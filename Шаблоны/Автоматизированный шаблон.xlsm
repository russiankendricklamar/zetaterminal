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gabovmv\Documents\Рабочая среда\Шаблоны\Автоматизированный шаблон\"/>
    </mc:Choice>
  </mc:AlternateContent>
  <bookViews>
    <workbookView xWindow="0" yWindow="0" windowWidth="28800" windowHeight="11832" activeTab="1"/>
  </bookViews>
  <sheets>
    <sheet name="Calculation" sheetId="3" r:id="rId1"/>
    <sheet name="Template" sheetId="2" r:id="rId2"/>
    <sheet name="Help Page" sheetId="6" r:id="rId3"/>
    <sheet name="Double test" sheetId="11" r:id="rId4"/>
    <sheet name="Instruction" sheetId="7" state="hidden" r:id="rId5"/>
    <sheet name="Instruction 2" sheetId="8" state="hidden" r:id="rId6"/>
  </sheets>
  <functionGroups builtInGroupCount="18"/>
  <definedNames>
    <definedName name="_xlnm._FilterDatabase" localSheetId="0" hidden="1">Calculation!$CG$6:$CL$203</definedName>
    <definedName name="_xlnm._FilterDatabase" localSheetId="2" hidden="1">'Help Page'!$A$1:$F$37</definedName>
    <definedName name="acra_garant">Template!$B$20</definedName>
    <definedName name="acra_issue">Template!$B$10</definedName>
    <definedName name="acra_issuer">Template!$B$15</definedName>
    <definedName name="axe1x_max">Calculation!$K$47</definedName>
    <definedName name="axe1x_min">Calculation!$J$47</definedName>
    <definedName name="axe1y_max">Calculation!$M$47</definedName>
    <definedName name="axe1y_min">Calculation!$L$47</definedName>
    <definedName name="axe2x_max">Calculation!$K$48</definedName>
    <definedName name="axe2x_min">Calculation!$J$48</definedName>
    <definedName name="axe2y_max">Calculation!$M$48</definedName>
    <definedName name="axe2y_min">Calculation!$L$48</definedName>
    <definedName name="axe3x_max">Calculation!$K$49</definedName>
    <definedName name="axe3x_min">Calculation!$J$49</definedName>
    <definedName name="axe3y_max">Calculation!$M$49</definedName>
    <definedName name="axe3y_min">Calculation!$L$49</definedName>
    <definedName name="axe4x_max">Calculation!$K$50</definedName>
    <definedName name="axe4x_min">Calculation!$J$50</definedName>
    <definedName name="axe4y_max">Calculation!$M$50</definedName>
    <definedName name="axe4y_min">Calculation!$L$50</definedName>
    <definedName name="bonds_out">Template!$B$7</definedName>
    <definedName name="chart1">Template!$A$45</definedName>
    <definedName name="chart2">Template!$A$63</definedName>
    <definedName name="chart3">Template!$A$79</definedName>
    <definedName name="chart4">Template!$A$86</definedName>
    <definedName name="Date">Template!$C$32</definedName>
    <definedName name="duration">Template!$B$42</definedName>
    <definedName name="expert_garant">Template!$B$19</definedName>
    <definedName name="expert_issue">Template!$B$9</definedName>
    <definedName name="expert_issuer">Template!$B$14</definedName>
    <definedName name="exspert_garant">Template!$B$19</definedName>
    <definedName name="ISIN">Template!$B$2</definedName>
    <definedName name="ncr_garant">Template!$B$21</definedName>
    <definedName name="ncr_issue">Template!$B$11</definedName>
    <definedName name="ncr_issuer">Template!$B$16</definedName>
    <definedName name="r_garant">Template!$A$18</definedName>
    <definedName name="r_issue">Template!$A$8</definedName>
    <definedName name="r_issuer">Template!$A$13</definedName>
    <definedName name="raex_garant">Template!$B$22</definedName>
    <definedName name="raex_issue">Template!$B$12</definedName>
    <definedName name="raex_issuer">Template!$B$17</definedName>
    <definedName name="ratings_garant">Template!$B$19:$B$22</definedName>
    <definedName name="ratings_issue">Template!$B$9:$B$12</definedName>
    <definedName name="ratings_issuer">Template!$B$14:$B$17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9" i="2" l="1"/>
  <c r="B38" i="2" l="1"/>
  <c r="B3" i="3" l="1"/>
  <c r="CK99" i="3" l="1"/>
  <c r="CK142" i="3"/>
  <c r="CK143" i="3"/>
  <c r="CK170" i="3"/>
  <c r="CK171" i="3"/>
  <c r="CK172" i="3"/>
  <c r="CK173" i="3"/>
  <c r="CK174" i="3"/>
  <c r="CK175" i="3"/>
  <c r="CK176" i="3"/>
  <c r="CK177" i="3"/>
  <c r="CK178" i="3"/>
  <c r="CK179" i="3"/>
  <c r="CK180" i="3"/>
  <c r="CK181" i="3"/>
  <c r="CK182" i="3"/>
  <c r="CK183" i="3"/>
  <c r="CK184" i="3"/>
  <c r="CK185" i="3"/>
  <c r="CK186" i="3"/>
  <c r="CK187" i="3"/>
  <c r="CK188" i="3"/>
  <c r="CK189" i="3"/>
  <c r="CK190" i="3"/>
  <c r="CK191" i="3"/>
  <c r="CK192" i="3"/>
  <c r="CK193" i="3"/>
  <c r="CK194" i="3"/>
  <c r="CK195" i="3"/>
  <c r="CK196" i="3"/>
  <c r="CK197" i="3"/>
  <c r="CK198" i="3"/>
  <c r="CK199" i="3"/>
  <c r="CK200" i="3"/>
  <c r="CK201" i="3"/>
  <c r="CK202" i="3"/>
  <c r="CK203" i="3"/>
  <c r="CK31" i="3" l="1"/>
  <c r="CK30" i="3"/>
  <c r="CK93" i="3"/>
  <c r="CK29" i="3"/>
  <c r="CK76" i="3"/>
  <c r="CK48" i="3"/>
  <c r="CK75" i="3"/>
  <c r="CK74" i="3"/>
  <c r="CK33" i="3"/>
  <c r="CK84" i="3"/>
  <c r="CK80" i="3"/>
  <c r="CK85" i="3"/>
  <c r="CK68" i="3"/>
  <c r="CK46" i="3"/>
  <c r="CK41" i="3"/>
  <c r="CK77" i="3"/>
  <c r="CK88" i="3"/>
  <c r="CK83" i="3"/>
  <c r="CK35" i="3"/>
  <c r="CK98" i="3"/>
  <c r="CK82" i="3"/>
  <c r="CK50" i="3"/>
  <c r="CK34" i="3"/>
  <c r="CK69" i="3"/>
  <c r="CK128" i="3"/>
  <c r="CK56" i="3"/>
  <c r="CK127" i="3"/>
  <c r="CK79" i="3"/>
  <c r="CK126" i="3"/>
  <c r="CK78" i="3"/>
  <c r="CK73" i="3"/>
  <c r="CK96" i="3"/>
  <c r="CK125" i="3"/>
  <c r="CK61" i="3"/>
  <c r="CK144" i="3"/>
  <c r="CK124" i="3"/>
  <c r="CK100" i="3"/>
  <c r="CK24" i="3"/>
  <c r="CK139" i="3"/>
  <c r="CK123" i="3"/>
  <c r="CK107" i="3"/>
  <c r="CK91" i="3"/>
  <c r="CK59" i="3"/>
  <c r="CK43" i="3"/>
  <c r="CK27" i="3"/>
  <c r="CK138" i="3"/>
  <c r="CK122" i="3"/>
  <c r="CK106" i="3"/>
  <c r="CK90" i="3"/>
  <c r="CK58" i="3"/>
  <c r="CK42" i="3"/>
  <c r="CK26" i="3"/>
  <c r="CK129" i="3"/>
  <c r="CK97" i="3"/>
  <c r="CK65" i="3"/>
  <c r="CK132" i="3"/>
  <c r="CK44" i="3"/>
  <c r="CK101" i="3"/>
  <c r="CK28" i="3"/>
  <c r="CK111" i="3"/>
  <c r="CK63" i="3"/>
  <c r="CK110" i="3"/>
  <c r="CK62" i="3"/>
  <c r="CK105" i="3"/>
  <c r="CK148" i="3"/>
  <c r="CK117" i="3"/>
  <c r="CK53" i="3"/>
  <c r="CK21" i="3"/>
  <c r="CK140" i="3"/>
  <c r="CK120" i="3"/>
  <c r="CK92" i="3"/>
  <c r="CK40" i="3"/>
  <c r="CK16" i="3"/>
  <c r="CK135" i="3"/>
  <c r="CK119" i="3"/>
  <c r="CK103" i="3"/>
  <c r="CK87" i="3"/>
  <c r="CK71" i="3"/>
  <c r="CK55" i="3"/>
  <c r="CK39" i="3"/>
  <c r="CK23" i="3"/>
  <c r="CK150" i="3"/>
  <c r="CK134" i="3"/>
  <c r="CK118" i="3"/>
  <c r="CK102" i="3"/>
  <c r="CK86" i="3"/>
  <c r="CK70" i="3"/>
  <c r="CK54" i="3"/>
  <c r="CK38" i="3"/>
  <c r="CK22" i="3"/>
  <c r="CK137" i="3"/>
  <c r="CK121" i="3"/>
  <c r="CK89" i="3"/>
  <c r="CK57" i="3"/>
  <c r="CK25" i="3"/>
  <c r="CK116" i="3"/>
  <c r="CK72" i="3"/>
  <c r="CK32" i="3"/>
  <c r="CK133" i="3"/>
  <c r="CK37" i="3"/>
  <c r="CK108" i="3"/>
  <c r="CK95" i="3"/>
  <c r="CK47" i="3"/>
  <c r="CK94" i="3"/>
  <c r="CK141" i="3"/>
  <c r="CK52" i="3"/>
  <c r="CK145" i="3"/>
  <c r="CK109" i="3"/>
  <c r="CK45" i="3"/>
  <c r="CK17" i="3"/>
  <c r="CK136" i="3"/>
  <c r="CK112" i="3"/>
  <c r="CK64" i="3"/>
  <c r="CK36" i="3"/>
  <c r="CK147" i="3"/>
  <c r="CK131" i="3"/>
  <c r="CK115" i="3"/>
  <c r="CK67" i="3"/>
  <c r="CK51" i="3"/>
  <c r="CK19" i="3"/>
  <c r="CK146" i="3"/>
  <c r="CK130" i="3"/>
  <c r="CK114" i="3"/>
  <c r="CK66" i="3"/>
  <c r="CK18" i="3"/>
  <c r="CK149" i="3"/>
  <c r="CK113" i="3"/>
  <c r="CK81" i="3"/>
  <c r="CK49" i="3"/>
  <c r="CK104" i="3"/>
  <c r="CK60" i="3"/>
  <c r="CK20" i="3"/>
  <c r="CK169" i="3"/>
  <c r="CK168" i="3"/>
  <c r="CK167" i="3"/>
  <c r="CK166" i="3"/>
  <c r="CK165" i="3"/>
  <c r="CK164" i="3"/>
  <c r="CK163" i="3"/>
  <c r="CK162" i="3"/>
  <c r="CK161" i="3"/>
  <c r="CK160" i="3"/>
  <c r="CK159" i="3"/>
  <c r="CK158" i="3"/>
  <c r="CK157" i="3"/>
  <c r="CK156" i="3"/>
  <c r="CK155" i="3"/>
  <c r="CK154" i="3"/>
  <c r="CK153" i="3"/>
  <c r="CK152" i="3"/>
  <c r="CK151" i="3"/>
  <c r="D2" i="3"/>
  <c r="D3" i="3" l="1"/>
  <c r="D4" i="3" s="1"/>
  <c r="D5" i="3" s="1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D52" i="3" s="1"/>
  <c r="D53" i="3" s="1"/>
  <c r="D54" i="3" s="1"/>
  <c r="D55" i="3" s="1"/>
  <c r="D56" i="3" s="1"/>
  <c r="D57" i="3" s="1"/>
  <c r="D58" i="3" s="1"/>
  <c r="D59" i="3" s="1"/>
  <c r="D60" i="3" s="1"/>
  <c r="D61" i="3" s="1"/>
  <c r="D62" i="3" s="1"/>
  <c r="D63" i="3" s="1"/>
  <c r="D64" i="3" s="1"/>
  <c r="D65" i="3" s="1"/>
  <c r="D66" i="3" s="1"/>
  <c r="D67" i="3" s="1"/>
  <c r="D68" i="3" s="1"/>
  <c r="D69" i="3" s="1"/>
  <c r="D70" i="3" s="1"/>
  <c r="D71" i="3" s="1"/>
  <c r="D72" i="3" s="1"/>
  <c r="D73" i="3" s="1"/>
  <c r="D74" i="3" s="1"/>
  <c r="D75" i="3" s="1"/>
  <c r="D76" i="3" s="1"/>
  <c r="D77" i="3" s="1"/>
  <c r="D78" i="3" s="1"/>
  <c r="D79" i="3" s="1"/>
  <c r="D80" i="3" s="1"/>
  <c r="D81" i="3" s="1"/>
  <c r="D82" i="3" s="1"/>
  <c r="D83" i="3" s="1"/>
  <c r="D84" i="3" s="1"/>
  <c r="D85" i="3" s="1"/>
  <c r="D86" i="3" s="1"/>
  <c r="D87" i="3" s="1"/>
  <c r="D88" i="3" s="1"/>
  <c r="D89" i="3" s="1"/>
  <c r="D90" i="3" s="1"/>
  <c r="D91" i="3" s="1"/>
  <c r="D92" i="3" s="1"/>
  <c r="D93" i="3" s="1"/>
  <c r="D94" i="3" s="1"/>
  <c r="D95" i="3" s="1"/>
  <c r="D96" i="3" s="1"/>
  <c r="D97" i="3" s="1"/>
  <c r="D98" i="3" s="1"/>
  <c r="D99" i="3" s="1"/>
  <c r="D100" i="3" s="1"/>
  <c r="D101" i="3" s="1"/>
  <c r="D102" i="3" s="1"/>
  <c r="D103" i="3" s="1"/>
  <c r="D104" i="3" s="1"/>
  <c r="D105" i="3" s="1"/>
  <c r="D106" i="3" s="1"/>
  <c r="D107" i="3" s="1"/>
  <c r="D108" i="3" s="1"/>
  <c r="D109" i="3" s="1"/>
  <c r="D110" i="3" s="1"/>
  <c r="D111" i="3" s="1"/>
  <c r="D112" i="3" s="1"/>
  <c r="D113" i="3" s="1"/>
  <c r="D114" i="3" s="1"/>
  <c r="D115" i="3" s="1"/>
  <c r="D116" i="3" s="1"/>
  <c r="D117" i="3" s="1"/>
  <c r="D118" i="3" s="1"/>
  <c r="D119" i="3" s="1"/>
  <c r="D120" i="3" s="1"/>
  <c r="D121" i="3" s="1"/>
  <c r="D122" i="3" s="1"/>
  <c r="D123" i="3" s="1"/>
  <c r="D124" i="3" s="1"/>
  <c r="D125" i="3" s="1"/>
  <c r="D126" i="3" s="1"/>
  <c r="D127" i="3" s="1"/>
  <c r="D128" i="3" s="1"/>
  <c r="D129" i="3" s="1"/>
  <c r="D130" i="3" s="1"/>
  <c r="D131" i="3" s="1"/>
  <c r="D132" i="3" s="1"/>
  <c r="D133" i="3" s="1"/>
  <c r="D134" i="3" s="1"/>
  <c r="D135" i="3" s="1"/>
  <c r="D136" i="3" s="1"/>
  <c r="D137" i="3" s="1"/>
  <c r="D138" i="3" s="1"/>
  <c r="D139" i="3" s="1"/>
  <c r="D140" i="3" s="1"/>
  <c r="D141" i="3" s="1"/>
  <c r="D142" i="3" s="1"/>
  <c r="D143" i="3" s="1"/>
  <c r="D144" i="3" s="1"/>
  <c r="D145" i="3" s="1"/>
  <c r="D146" i="3" s="1"/>
  <c r="D147" i="3" s="1"/>
  <c r="D148" i="3" s="1"/>
  <c r="D149" i="3" s="1"/>
  <c r="D150" i="3" s="1"/>
  <c r="D151" i="3" s="1"/>
  <c r="D152" i="3" s="1"/>
  <c r="D153" i="3" s="1"/>
  <c r="D154" i="3" s="1"/>
  <c r="D155" i="3" s="1"/>
  <c r="D156" i="3" s="1"/>
  <c r="D157" i="3" s="1"/>
  <c r="D158" i="3" s="1"/>
  <c r="D159" i="3" s="1"/>
  <c r="D160" i="3" s="1"/>
  <c r="D161" i="3" s="1"/>
  <c r="D162" i="3" s="1"/>
  <c r="D163" i="3" s="1"/>
  <c r="D164" i="3" s="1"/>
  <c r="D165" i="3" s="1"/>
  <c r="D166" i="3" s="1"/>
  <c r="D167" i="3" s="1"/>
  <c r="D168" i="3" s="1"/>
  <c r="D169" i="3" s="1"/>
  <c r="D170" i="3" s="1"/>
  <c r="D171" i="3" s="1"/>
  <c r="D172" i="3" s="1"/>
  <c r="D173" i="3" s="1"/>
  <c r="D174" i="3" s="1"/>
  <c r="D175" i="3" s="1"/>
  <c r="D176" i="3" s="1"/>
  <c r="D177" i="3" s="1"/>
  <c r="D178" i="3" s="1"/>
  <c r="D179" i="3" s="1"/>
  <c r="D180" i="3" s="1"/>
  <c r="D181" i="3" s="1"/>
  <c r="D182" i="3" s="1"/>
  <c r="D183" i="3" s="1"/>
  <c r="D184" i="3" s="1"/>
  <c r="D185" i="3" s="1"/>
  <c r="D186" i="3" s="1"/>
  <c r="D187" i="3" s="1"/>
  <c r="D188" i="3" s="1"/>
  <c r="D189" i="3" s="1"/>
  <c r="D190" i="3" s="1"/>
  <c r="D191" i="3" s="1"/>
  <c r="D192" i="3" s="1"/>
  <c r="D193" i="3" s="1"/>
  <c r="D194" i="3" s="1"/>
  <c r="D195" i="3" s="1"/>
  <c r="D196" i="3" s="1"/>
  <c r="D197" i="3" s="1"/>
  <c r="D198" i="3" s="1"/>
  <c r="D199" i="3" s="1"/>
  <c r="D200" i="3" s="1"/>
  <c r="D201" i="3" s="1"/>
  <c r="D202" i="3" s="1"/>
  <c r="D203" i="3" s="1"/>
  <c r="D204" i="3" s="1"/>
  <c r="D205" i="3" s="1"/>
  <c r="D206" i="3" s="1"/>
  <c r="D207" i="3" s="1"/>
  <c r="D208" i="3" s="1"/>
  <c r="D209" i="3" s="1"/>
  <c r="D210" i="3" s="1"/>
  <c r="D211" i="3" s="1"/>
  <c r="D212" i="3" s="1"/>
  <c r="D213" i="3" s="1"/>
  <c r="D214" i="3" s="1"/>
  <c r="D215" i="3" s="1"/>
  <c r="D216" i="3" s="1"/>
  <c r="D217" i="3" s="1"/>
  <c r="D218" i="3" s="1"/>
  <c r="D219" i="3" s="1"/>
  <c r="D220" i="3" s="1"/>
  <c r="D221" i="3" s="1"/>
  <c r="D222" i="3" s="1"/>
  <c r="D223" i="3" s="1"/>
  <c r="D224" i="3" s="1"/>
  <c r="D225" i="3" s="1"/>
  <c r="D226" i="3" s="1"/>
  <c r="D227" i="3" s="1"/>
  <c r="D228" i="3" s="1"/>
  <c r="D229" i="3" s="1"/>
  <c r="D230" i="3" s="1"/>
  <c r="D231" i="3" s="1"/>
  <c r="D232" i="3" s="1"/>
  <c r="D233" i="3" s="1"/>
  <c r="D234" i="3" s="1"/>
  <c r="D235" i="3" s="1"/>
  <c r="D236" i="3" s="1"/>
  <c r="D237" i="3" s="1"/>
  <c r="D238" i="3" s="1"/>
  <c r="D239" i="3" s="1"/>
  <c r="D240" i="3" s="1"/>
  <c r="D241" i="3" s="1"/>
  <c r="D242" i="3" s="1"/>
  <c r="D243" i="3" s="1"/>
  <c r="D244" i="3" s="1"/>
  <c r="D245" i="3" s="1"/>
  <c r="D246" i="3" s="1"/>
  <c r="D247" i="3" s="1"/>
  <c r="D248" i="3" s="1"/>
  <c r="D249" i="3" s="1"/>
  <c r="D250" i="3" s="1"/>
  <c r="D251" i="3" s="1"/>
  <c r="D252" i="3" s="1"/>
  <c r="D253" i="3" s="1"/>
  <c r="D254" i="3" s="1"/>
  <c r="D255" i="3" s="1"/>
  <c r="D256" i="3" s="1"/>
  <c r="D257" i="3" s="1"/>
  <c r="D258" i="3" s="1"/>
  <c r="D259" i="3" s="1"/>
  <c r="D260" i="3" s="1"/>
  <c r="D261" i="3" s="1"/>
  <c r="D262" i="3" s="1"/>
  <c r="D263" i="3" s="1"/>
  <c r="D264" i="3" s="1"/>
  <c r="D265" i="3" s="1"/>
  <c r="D266" i="3" s="1"/>
  <c r="D267" i="3" s="1"/>
  <c r="D268" i="3" s="1"/>
  <c r="D269" i="3" s="1"/>
  <c r="D270" i="3" s="1"/>
  <c r="D271" i="3" s="1"/>
  <c r="D272" i="3" s="1"/>
  <c r="D273" i="3" s="1"/>
  <c r="D274" i="3" s="1"/>
  <c r="D275" i="3" s="1"/>
  <c r="D276" i="3" s="1"/>
  <c r="D277" i="3" s="1"/>
  <c r="D278" i="3" s="1"/>
  <c r="D279" i="3" s="1"/>
  <c r="D280" i="3" s="1"/>
  <c r="D281" i="3" s="1"/>
  <c r="D282" i="3" s="1"/>
  <c r="D283" i="3" s="1"/>
  <c r="D284" i="3" s="1"/>
  <c r="D285" i="3" s="1"/>
  <c r="D286" i="3" s="1"/>
  <c r="D287" i="3" s="1"/>
  <c r="D288" i="3" s="1"/>
  <c r="D289" i="3" s="1"/>
  <c r="D290" i="3" s="1"/>
  <c r="D291" i="3" s="1"/>
  <c r="D292" i="3" s="1"/>
  <c r="D293" i="3" s="1"/>
  <c r="D294" i="3" s="1"/>
  <c r="D295" i="3" s="1"/>
  <c r="D296" i="3" s="1"/>
  <c r="D297" i="3" s="1"/>
  <c r="D298" i="3" s="1"/>
  <c r="D299" i="3" s="1"/>
  <c r="D300" i="3" s="1"/>
  <c r="D301" i="3" s="1"/>
  <c r="D302" i="3" s="1"/>
  <c r="D303" i="3" s="1"/>
  <c r="D304" i="3" s="1"/>
  <c r="D305" i="3" s="1"/>
  <c r="D306" i="3" s="1"/>
  <c r="D307" i="3" s="1"/>
  <c r="D308" i="3" s="1"/>
  <c r="D309" i="3" s="1"/>
  <c r="D310" i="3" s="1"/>
  <c r="D311" i="3" s="1"/>
  <c r="D312" i="3" s="1"/>
  <c r="D313" i="3" s="1"/>
  <c r="D314" i="3" s="1"/>
  <c r="D315" i="3" s="1"/>
  <c r="D316" i="3" s="1"/>
  <c r="D317" i="3" s="1"/>
  <c r="D318" i="3" s="1"/>
  <c r="D319" i="3" s="1"/>
  <c r="D320" i="3" s="1"/>
  <c r="D321" i="3" s="1"/>
  <c r="D322" i="3" s="1"/>
  <c r="D323" i="3" s="1"/>
  <c r="D324" i="3" s="1"/>
  <c r="D325" i="3" s="1"/>
  <c r="D326" i="3" s="1"/>
  <c r="D327" i="3" s="1"/>
  <c r="D328" i="3" s="1"/>
  <c r="D329" i="3" s="1"/>
  <c r="D330" i="3" s="1"/>
  <c r="D331" i="3" s="1"/>
  <c r="D332" i="3" s="1"/>
  <c r="D333" i="3" s="1"/>
  <c r="D334" i="3" s="1"/>
  <c r="D335" i="3" s="1"/>
  <c r="D336" i="3" s="1"/>
  <c r="D337" i="3" s="1"/>
  <c r="D338" i="3" s="1"/>
  <c r="D339" i="3" s="1"/>
  <c r="D340" i="3" s="1"/>
  <c r="D341" i="3" s="1"/>
  <c r="D342" i="3" s="1"/>
  <c r="D343" i="3" s="1"/>
  <c r="D344" i="3" s="1"/>
  <c r="D345" i="3" s="1"/>
  <c r="D346" i="3" s="1"/>
  <c r="D347" i="3" s="1"/>
  <c r="D348" i="3" s="1"/>
  <c r="D349" i="3" s="1"/>
  <c r="D350" i="3" s="1"/>
  <c r="D351" i="3" s="1"/>
  <c r="D352" i="3" s="1"/>
  <c r="D353" i="3" s="1"/>
  <c r="D354" i="3" s="1"/>
  <c r="D355" i="3" s="1"/>
  <c r="D356" i="3" s="1"/>
  <c r="D357" i="3" s="1"/>
  <c r="D358" i="3" s="1"/>
  <c r="D359" i="3" s="1"/>
  <c r="D360" i="3" s="1"/>
  <c r="D361" i="3" s="1"/>
  <c r="D362" i="3" s="1"/>
  <c r="D363" i="3" s="1"/>
  <c r="D364" i="3" s="1"/>
  <c r="D365" i="3" s="1"/>
  <c r="D366" i="3" s="1"/>
  <c r="D367" i="3" s="1"/>
  <c r="D368" i="3" s="1"/>
  <c r="D369" i="3" s="1"/>
  <c r="D370" i="3" s="1"/>
  <c r="D371" i="3" s="1"/>
  <c r="D372" i="3" s="1"/>
  <c r="D373" i="3" s="1"/>
  <c r="A20" i="2" l="1"/>
  <c r="A21" i="2"/>
  <c r="A22" i="2"/>
  <c r="A19" i="2"/>
  <c r="A15" i="2"/>
  <c r="A16" i="2"/>
  <c r="A17" i="2"/>
  <c r="A14" i="2"/>
  <c r="A10" i="2"/>
  <c r="A11" i="2"/>
  <c r="A12" i="2"/>
  <c r="A9" i="2"/>
  <c r="B3" i="2" l="1"/>
  <c r="CI18" i="3"/>
  <c r="CI187" i="3"/>
  <c r="CI180" i="3"/>
  <c r="CH198" i="3"/>
  <c r="CI36" i="3"/>
  <c r="CH166" i="3"/>
  <c r="CJ158" i="3"/>
  <c r="CH110" i="3"/>
  <c r="CH45" i="3"/>
  <c r="CI44" i="3"/>
  <c r="CH124" i="3"/>
  <c r="CH23" i="3"/>
  <c r="CJ136" i="3"/>
  <c r="CJ201" i="3"/>
  <c r="CI201" i="3"/>
  <c r="CI200" i="3"/>
  <c r="CI90" i="3"/>
  <c r="CI9" i="3"/>
  <c r="CJ87" i="3"/>
  <c r="CI143" i="3"/>
  <c r="CI125" i="3"/>
  <c r="CI184" i="3"/>
  <c r="CI154" i="3"/>
  <c r="CI17" i="3"/>
  <c r="CJ180" i="3"/>
  <c r="CJ91" i="3"/>
  <c r="CI149" i="3"/>
  <c r="CH141" i="3"/>
  <c r="CJ153" i="3"/>
  <c r="CH128" i="3"/>
  <c r="CJ192" i="3"/>
  <c r="CH127" i="3"/>
  <c r="CI168" i="3"/>
  <c r="CJ97" i="3"/>
  <c r="CH88" i="3"/>
  <c r="CH174" i="3"/>
  <c r="CH130" i="3"/>
  <c r="CI148" i="3"/>
  <c r="CI85" i="3"/>
  <c r="CH188" i="3"/>
  <c r="CI193" i="3"/>
  <c r="CH62" i="3"/>
  <c r="CI164" i="3"/>
  <c r="CH7" i="3"/>
  <c r="CJ130" i="3"/>
  <c r="CI92" i="3"/>
  <c r="CH15" i="3"/>
  <c r="CJ198" i="3"/>
  <c r="CI13" i="3"/>
  <c r="CI123" i="3"/>
  <c r="CJ121" i="3"/>
  <c r="CI7" i="3"/>
  <c r="CJ35" i="3"/>
  <c r="CI106" i="3"/>
  <c r="CJ79" i="3"/>
  <c r="M28" i="3"/>
  <c r="CJ105" i="3"/>
  <c r="CJ147" i="3"/>
  <c r="M29" i="3"/>
  <c r="CI86" i="3"/>
  <c r="CI203" i="3"/>
  <c r="CI10" i="3"/>
  <c r="CH113" i="3"/>
  <c r="CH77" i="3"/>
  <c r="CJ84" i="3"/>
  <c r="CJ179" i="3"/>
  <c r="CI160" i="3"/>
  <c r="CI54" i="3"/>
  <c r="CH65" i="3"/>
  <c r="CJ106" i="3"/>
  <c r="CJ59" i="3"/>
  <c r="CI119" i="3"/>
  <c r="CJ131" i="3"/>
  <c r="CJ25" i="3"/>
  <c r="CH91" i="3"/>
  <c r="CJ181" i="3"/>
  <c r="CH159" i="3"/>
  <c r="CH31" i="3"/>
  <c r="CJ18" i="3"/>
  <c r="CH197" i="3"/>
  <c r="CJ83" i="3"/>
  <c r="CJ21" i="3"/>
  <c r="CH64" i="3"/>
  <c r="CH55" i="3"/>
  <c r="CJ66" i="3"/>
  <c r="CH181" i="3"/>
  <c r="CJ37" i="3"/>
  <c r="CH133" i="3"/>
  <c r="CJ116" i="3"/>
  <c r="CI74" i="3"/>
  <c r="CI134" i="3"/>
  <c r="CI114" i="3"/>
  <c r="CI67" i="3"/>
  <c r="CJ10" i="3"/>
  <c r="CI60" i="3"/>
  <c r="CH195" i="3"/>
  <c r="M27" i="3"/>
  <c r="CJ8" i="3"/>
  <c r="CI79" i="3"/>
  <c r="CH192" i="3"/>
  <c r="CI65" i="3"/>
  <c r="CI62" i="3"/>
  <c r="CH118" i="3"/>
  <c r="CJ110" i="3"/>
  <c r="CI107" i="3"/>
  <c r="CJ141" i="3"/>
  <c r="CI96" i="3"/>
  <c r="CI144" i="3"/>
  <c r="CJ58" i="3"/>
  <c r="CH202" i="3"/>
  <c r="CJ77" i="3"/>
  <c r="CI191" i="3"/>
  <c r="CH94" i="3"/>
  <c r="CJ151" i="3"/>
  <c r="CJ78" i="3"/>
  <c r="CI47" i="3"/>
  <c r="CI183" i="3"/>
  <c r="CI115" i="3"/>
  <c r="CJ16" i="3"/>
  <c r="CH146" i="3"/>
  <c r="CJ15" i="3"/>
  <c r="CJ166" i="3"/>
  <c r="CJ38" i="3"/>
  <c r="CI52" i="3"/>
  <c r="CI192" i="3"/>
  <c r="CH58" i="3"/>
  <c r="CI141" i="3"/>
  <c r="CI132" i="3"/>
  <c r="CI87" i="3"/>
  <c r="CH116" i="3"/>
  <c r="CI159" i="3"/>
  <c r="CH19" i="3"/>
  <c r="CJ148" i="3"/>
  <c r="CH36" i="3"/>
  <c r="CJ73" i="3"/>
  <c r="CJ71" i="3"/>
  <c r="CH66" i="3"/>
  <c r="M31" i="3"/>
  <c r="CJ168" i="3"/>
  <c r="CH126" i="3"/>
  <c r="CJ65" i="3"/>
  <c r="CH33" i="3"/>
  <c r="CI46" i="3"/>
  <c r="CI194" i="3"/>
  <c r="CJ95" i="3"/>
  <c r="CI37" i="3"/>
  <c r="CI12" i="3"/>
  <c r="CJ104" i="3"/>
  <c r="CH201" i="3"/>
  <c r="CH11" i="3"/>
  <c r="CH199" i="3"/>
  <c r="CI55" i="3"/>
  <c r="CH26" i="3"/>
  <c r="CH97" i="3"/>
  <c r="CI21" i="3"/>
  <c r="CI167" i="3"/>
  <c r="CJ41" i="3"/>
  <c r="CI124" i="3"/>
  <c r="CJ109" i="3"/>
  <c r="CJ185" i="3"/>
  <c r="CH190" i="3"/>
  <c r="CJ114" i="3"/>
  <c r="CI14" i="3"/>
  <c r="CH117" i="3"/>
  <c r="CH119" i="3"/>
  <c r="CI42" i="3"/>
  <c r="CH102" i="3"/>
  <c r="CI181" i="3"/>
  <c r="CI59" i="3"/>
  <c r="CJ81" i="3"/>
  <c r="CH131" i="3"/>
  <c r="CI195" i="3"/>
  <c r="CH87" i="3"/>
  <c r="CI198" i="3"/>
  <c r="CJ103" i="3"/>
  <c r="CH173" i="3"/>
  <c r="CI103" i="3"/>
  <c r="CI56" i="3"/>
  <c r="CH153" i="3"/>
  <c r="CI77" i="3"/>
  <c r="CH25" i="3"/>
  <c r="CI202" i="3"/>
  <c r="CH115" i="3"/>
  <c r="CJ200" i="3"/>
  <c r="CI71" i="3"/>
  <c r="CI50" i="3"/>
  <c r="CH100" i="3"/>
  <c r="CH139" i="3"/>
  <c r="CI23" i="3"/>
  <c r="CJ139" i="3"/>
  <c r="CH149" i="3"/>
  <c r="CJ27" i="3"/>
  <c r="CJ119" i="3"/>
  <c r="CI58" i="3"/>
  <c r="CI150" i="3"/>
  <c r="CH52" i="3"/>
  <c r="CI108" i="3"/>
  <c r="CH92" i="3"/>
  <c r="CI142" i="3"/>
  <c r="CI82" i="3"/>
  <c r="CJ14" i="3"/>
  <c r="CJ7" i="3"/>
  <c r="CI101" i="3"/>
  <c r="CJ86" i="3"/>
  <c r="CI32" i="3"/>
  <c r="CI80" i="3"/>
  <c r="CI128" i="3"/>
  <c r="CH184" i="3"/>
  <c r="CH175" i="3"/>
  <c r="CH105" i="3"/>
  <c r="CJ117" i="3"/>
  <c r="CI135" i="3"/>
  <c r="CI156" i="3"/>
  <c r="CI196" i="3"/>
  <c r="CJ145" i="3"/>
  <c r="CH63" i="3"/>
  <c r="CI145" i="3"/>
  <c r="CH177" i="3"/>
  <c r="CH54" i="3"/>
  <c r="N2" i="3"/>
  <c r="CI26" i="3"/>
  <c r="CJ199" i="3"/>
  <c r="M32" i="3"/>
  <c r="CI113" i="3"/>
  <c r="CI133" i="3"/>
  <c r="CJ188" i="3"/>
  <c r="CJ146" i="3"/>
  <c r="CJ36" i="3"/>
  <c r="CH187" i="3"/>
  <c r="CJ45" i="3"/>
  <c r="CJ49" i="3"/>
  <c r="CI8" i="3"/>
  <c r="CI161" i="3"/>
  <c r="CI73" i="3"/>
  <c r="CI179" i="3"/>
  <c r="CJ28" i="3"/>
  <c r="CI43" i="3"/>
  <c r="CI45" i="3"/>
  <c r="CH95" i="3"/>
  <c r="CJ111" i="3"/>
  <c r="CI170" i="3"/>
  <c r="CH56" i="3"/>
  <c r="CI81" i="3"/>
  <c r="CI190" i="3"/>
  <c r="CJ140" i="3"/>
  <c r="CJ44" i="3"/>
  <c r="CI129" i="3"/>
  <c r="CJ75" i="3"/>
  <c r="CJ52" i="3"/>
  <c r="CI25" i="3"/>
  <c r="CI172" i="3"/>
  <c r="CH170" i="3"/>
  <c r="CJ98" i="3"/>
  <c r="CH90" i="3"/>
  <c r="CH79" i="3"/>
  <c r="CJ196" i="3"/>
  <c r="CI188" i="3"/>
  <c r="CE7" i="3"/>
  <c r="CJ134" i="3"/>
  <c r="CJ163" i="3"/>
  <c r="CH30" i="3"/>
  <c r="CJ171" i="3"/>
  <c r="CH185" i="3"/>
  <c r="CJ143" i="3"/>
  <c r="CJ123" i="3"/>
  <c r="CI163" i="3"/>
  <c r="CI34" i="3"/>
  <c r="CH59" i="3"/>
  <c r="CH106" i="3"/>
  <c r="CI40" i="3"/>
  <c r="CJ176" i="3"/>
  <c r="CH179" i="3"/>
  <c r="CJ31" i="3"/>
  <c r="CJ47" i="3"/>
  <c r="CJ93" i="3"/>
  <c r="CJ96" i="3"/>
  <c r="CH155" i="3"/>
  <c r="CH140" i="3"/>
  <c r="CJ124" i="3"/>
  <c r="CJ174" i="3"/>
  <c r="CJ128" i="3"/>
  <c r="CI27" i="3"/>
  <c r="CH17" i="3"/>
  <c r="CH193" i="3"/>
  <c r="CH98" i="3"/>
  <c r="CJ137" i="3"/>
  <c r="CH147" i="3"/>
  <c r="CH137" i="3"/>
  <c r="CJ112" i="3"/>
  <c r="CI116" i="3"/>
  <c r="CJ69" i="3"/>
  <c r="CJ30" i="3"/>
  <c r="CJ107" i="3"/>
  <c r="CJ68" i="3"/>
  <c r="CJ11" i="3"/>
  <c r="CH93" i="3"/>
  <c r="CH47" i="3"/>
  <c r="CJ20" i="3"/>
  <c r="CJ194" i="3"/>
  <c r="CJ76" i="3"/>
  <c r="CJ56" i="3"/>
  <c r="CI175" i="3"/>
  <c r="CI39" i="3"/>
  <c r="CH35" i="3"/>
  <c r="CH136" i="3"/>
  <c r="CH84" i="3"/>
  <c r="CI11" i="3"/>
  <c r="CH109" i="3"/>
  <c r="CH18" i="3"/>
  <c r="CJ12" i="3"/>
  <c r="CJ127" i="3"/>
  <c r="CJ63" i="3"/>
  <c r="CH9" i="3"/>
  <c r="CH101" i="3"/>
  <c r="CI68" i="3"/>
  <c r="CH73" i="3"/>
  <c r="CH145" i="3"/>
  <c r="CH78" i="3"/>
  <c r="CJ149" i="3"/>
  <c r="CJ170" i="3"/>
  <c r="CJ138" i="3"/>
  <c r="CH61" i="3"/>
  <c r="CH12" i="3"/>
  <c r="CI111" i="3"/>
  <c r="CH158" i="3"/>
  <c r="CH99" i="3"/>
  <c r="CH151" i="3"/>
  <c r="CI169" i="3"/>
  <c r="CJ115" i="3"/>
  <c r="CI84" i="3"/>
  <c r="CJ29" i="3"/>
  <c r="CJ22" i="3"/>
  <c r="CH123" i="3"/>
  <c r="CI83" i="3"/>
  <c r="CI64" i="3"/>
  <c r="CJ189" i="3"/>
  <c r="CH154" i="3"/>
  <c r="CI117" i="3"/>
  <c r="CJ142" i="3"/>
  <c r="CJ203" i="3"/>
  <c r="CI97" i="3"/>
  <c r="CI112" i="3"/>
  <c r="CJ197" i="3"/>
  <c r="CH182" i="3"/>
  <c r="CI146" i="3"/>
  <c r="CI91" i="3"/>
  <c r="CH148" i="3"/>
  <c r="CJ152" i="3"/>
  <c r="CH80" i="3"/>
  <c r="CJ126" i="3"/>
  <c r="CJ135" i="3"/>
  <c r="CH20" i="3"/>
  <c r="CI155" i="3"/>
  <c r="CI127" i="3"/>
  <c r="CH107" i="3"/>
  <c r="CJ57" i="3"/>
  <c r="CJ72" i="3"/>
  <c r="CH10" i="3"/>
  <c r="CH171" i="3"/>
  <c r="CI122" i="3"/>
  <c r="CJ202" i="3"/>
  <c r="CH70" i="3"/>
  <c r="CI136" i="3"/>
  <c r="CI31" i="3"/>
  <c r="CJ187" i="3"/>
  <c r="CI95" i="3"/>
  <c r="CH34" i="3"/>
  <c r="CI100" i="3"/>
  <c r="CH28" i="3"/>
  <c r="CI185" i="3"/>
  <c r="CJ154" i="3"/>
  <c r="CI121" i="3"/>
  <c r="CH191" i="3"/>
  <c r="CJ99" i="3"/>
  <c r="CH51" i="3"/>
  <c r="CI140" i="3"/>
  <c r="CJ51" i="3"/>
  <c r="CH163" i="3"/>
  <c r="CH186" i="3"/>
  <c r="CH49" i="3"/>
  <c r="CI162" i="3"/>
  <c r="CJ173" i="3"/>
  <c r="CI98" i="3"/>
  <c r="CH38" i="3"/>
  <c r="CI173" i="3"/>
  <c r="CJ13" i="3"/>
  <c r="CI29" i="3"/>
  <c r="CJ118" i="3"/>
  <c r="CH43" i="3"/>
  <c r="CH178" i="3"/>
  <c r="CI138" i="3"/>
  <c r="CJ17" i="3"/>
  <c r="CH83" i="3"/>
  <c r="CI178" i="3"/>
  <c r="CI182" i="3"/>
  <c r="CI35" i="3"/>
  <c r="CI177" i="3"/>
  <c r="CJ26" i="3"/>
  <c r="CH14" i="3"/>
  <c r="CI72" i="3"/>
  <c r="CH135" i="3"/>
  <c r="CI110" i="3"/>
  <c r="CI61" i="3"/>
  <c r="CH67" i="3"/>
  <c r="CJ195" i="3"/>
  <c r="CJ101" i="3"/>
  <c r="CH150" i="3"/>
  <c r="CH74" i="3"/>
  <c r="CI53" i="3"/>
  <c r="CI76" i="3"/>
  <c r="CI63" i="3"/>
  <c r="CH21" i="3"/>
  <c r="CJ94" i="3"/>
  <c r="CJ50" i="3"/>
  <c r="CI88" i="3"/>
  <c r="CJ108" i="3"/>
  <c r="CI174" i="3"/>
  <c r="CJ61" i="3"/>
  <c r="CI78" i="3"/>
  <c r="CH108" i="3"/>
  <c r="CH203" i="3"/>
  <c r="CI75" i="3"/>
  <c r="CH144" i="3"/>
  <c r="CH60" i="3"/>
  <c r="CI199" i="3"/>
  <c r="CJ159" i="3"/>
  <c r="CH129" i="3"/>
  <c r="CH69" i="3"/>
  <c r="CH143" i="3"/>
  <c r="CI20" i="3"/>
  <c r="CH120" i="3"/>
  <c r="CI51" i="3"/>
  <c r="CH176" i="3"/>
  <c r="CJ155" i="3"/>
  <c r="CI99" i="3"/>
  <c r="CH194" i="3"/>
  <c r="CJ40" i="3"/>
  <c r="CH132" i="3"/>
  <c r="CH165" i="3"/>
  <c r="CH183" i="3"/>
  <c r="CH142" i="3"/>
  <c r="CI70" i="3"/>
  <c r="CH169" i="3"/>
  <c r="CJ33" i="3"/>
  <c r="CI126" i="3"/>
  <c r="CJ80" i="3"/>
  <c r="CJ160" i="3"/>
  <c r="CJ85" i="3"/>
  <c r="CH189" i="3"/>
  <c r="CH29" i="3"/>
  <c r="CH42" i="3"/>
  <c r="CJ54" i="3"/>
  <c r="CJ100" i="3"/>
  <c r="CJ67" i="3"/>
  <c r="CJ62" i="3"/>
  <c r="CI176" i="3"/>
  <c r="CH200" i="3"/>
  <c r="CJ60" i="3"/>
  <c r="CI57" i="3"/>
  <c r="CJ19" i="3"/>
  <c r="CI137" i="3"/>
  <c r="CJ169" i="3"/>
  <c r="CJ24" i="3"/>
  <c r="CH8" i="3"/>
  <c r="CJ90" i="3"/>
  <c r="CH27" i="3"/>
  <c r="CH75" i="3"/>
  <c r="CH164" i="3"/>
  <c r="CH53" i="3"/>
  <c r="CH180" i="3"/>
  <c r="CI171" i="3"/>
  <c r="CI139" i="3"/>
  <c r="CJ190" i="3"/>
  <c r="CJ74" i="3"/>
  <c r="CH125" i="3"/>
  <c r="CI153" i="3"/>
  <c r="CH161" i="3"/>
  <c r="CJ156" i="3"/>
  <c r="CJ102" i="3"/>
  <c r="CH46" i="3"/>
  <c r="CJ157" i="3"/>
  <c r="CJ133" i="3"/>
  <c r="CJ162" i="3"/>
  <c r="CH103" i="3"/>
  <c r="CI165" i="3"/>
  <c r="CH85" i="3"/>
  <c r="CJ193" i="3"/>
  <c r="CJ129" i="3"/>
  <c r="CH76" i="3"/>
  <c r="CI131" i="3"/>
  <c r="CH168" i="3"/>
  <c r="CH37" i="3"/>
  <c r="CH71" i="3"/>
  <c r="CI38" i="3"/>
  <c r="CJ48" i="3"/>
  <c r="CI49" i="3"/>
  <c r="CI151" i="3"/>
  <c r="CJ32" i="3"/>
  <c r="CH122" i="3"/>
  <c r="CI166" i="3"/>
  <c r="CJ42" i="3"/>
  <c r="CH68" i="3"/>
  <c r="CH48" i="3"/>
  <c r="CJ165" i="3"/>
  <c r="CI109" i="3"/>
  <c r="CJ39" i="3"/>
  <c r="CH32" i="3"/>
  <c r="CH50" i="3"/>
  <c r="CH167" i="3"/>
  <c r="CI189" i="3"/>
  <c r="CI33" i="3"/>
  <c r="CJ70" i="3"/>
  <c r="CJ144" i="3"/>
  <c r="CI22" i="3"/>
  <c r="CJ34" i="3"/>
  <c r="CH86" i="3"/>
  <c r="CJ92" i="3"/>
  <c r="CI152" i="3"/>
  <c r="CJ161" i="3"/>
  <c r="CJ23" i="3"/>
  <c r="CJ9" i="3"/>
  <c r="CH16" i="3"/>
  <c r="CJ178" i="3"/>
  <c r="CI93" i="3"/>
  <c r="CI118" i="3"/>
  <c r="CJ172" i="3"/>
  <c r="CH157" i="3"/>
  <c r="CJ88" i="3"/>
  <c r="CI186" i="3"/>
  <c r="CH72" i="3"/>
  <c r="CH152" i="3"/>
  <c r="CJ177" i="3"/>
  <c r="CJ175" i="3"/>
  <c r="CH89" i="3"/>
  <c r="CJ53" i="3"/>
  <c r="CJ64" i="3"/>
  <c r="CJ191" i="3"/>
  <c r="CI120" i="3"/>
  <c r="CH24" i="3"/>
  <c r="CH196" i="3"/>
  <c r="CH13" i="3"/>
  <c r="CH41" i="3"/>
  <c r="CJ82" i="3"/>
  <c r="CH160" i="3"/>
  <c r="CH57" i="3"/>
  <c r="CI104" i="3"/>
  <c r="CJ113" i="3"/>
  <c r="CJ183" i="3"/>
  <c r="CH138" i="3"/>
  <c r="CI105" i="3"/>
  <c r="CH112" i="3"/>
  <c r="CH104" i="3"/>
  <c r="CH111" i="3"/>
  <c r="CI157" i="3"/>
  <c r="CJ182" i="3"/>
  <c r="CI16" i="3"/>
  <c r="CJ122" i="3"/>
  <c r="CH96" i="3"/>
  <c r="CH121" i="3"/>
  <c r="CH39" i="3"/>
  <c r="CJ184" i="3"/>
  <c r="CI15" i="3"/>
  <c r="CI147" i="3"/>
  <c r="CH82" i="3"/>
  <c r="CI66" i="3"/>
  <c r="CJ132" i="3"/>
  <c r="CI94" i="3"/>
  <c r="CJ125" i="3"/>
  <c r="CI30" i="3"/>
  <c r="CJ167" i="3"/>
  <c r="CH156" i="3"/>
  <c r="CI130" i="3"/>
  <c r="M30" i="3"/>
  <c r="CH40" i="3"/>
  <c r="CI158" i="3"/>
  <c r="L22" i="3"/>
  <c r="CI24" i="3"/>
  <c r="CJ43" i="3"/>
  <c r="CH172" i="3"/>
  <c r="CI197" i="3"/>
  <c r="CH44" i="3"/>
  <c r="CH162" i="3"/>
  <c r="CJ164" i="3"/>
  <c r="CJ46" i="3"/>
  <c r="CJ89" i="3"/>
  <c r="CH114" i="3"/>
  <c r="CJ150" i="3"/>
  <c r="CI19" i="3"/>
  <c r="CH81" i="3"/>
  <c r="CI102" i="3"/>
  <c r="CJ186" i="3"/>
  <c r="CJ55" i="3"/>
  <c r="CH22" i="3"/>
  <c r="CI48" i="3"/>
  <c r="CI28" i="3"/>
  <c r="CI69" i="3"/>
  <c r="CH134" i="3"/>
  <c r="CJ120" i="3"/>
  <c r="CI41" i="3"/>
  <c r="CI89" i="3"/>
  <c r="E2" i="3"/>
  <c r="CK13" i="3" l="1"/>
  <c r="CK14" i="3"/>
  <c r="CK15" i="3"/>
  <c r="CK9" i="3"/>
  <c r="CK8" i="3"/>
  <c r="CK11" i="3"/>
  <c r="CK12" i="3"/>
  <c r="CK10" i="3"/>
  <c r="CK7" i="3"/>
  <c r="C15" i="11"/>
  <c r="B15" i="11"/>
  <c r="E136" i="3"/>
  <c r="E147" i="3"/>
  <c r="E261" i="3"/>
  <c r="E13" i="3"/>
  <c r="E319" i="3"/>
  <c r="E310" i="3"/>
  <c r="E312" i="3"/>
  <c r="E253" i="3"/>
  <c r="E98" i="3"/>
  <c r="E152" i="3"/>
  <c r="E285" i="3"/>
  <c r="E41" i="3"/>
  <c r="E162" i="3"/>
  <c r="E47" i="3"/>
  <c r="E282" i="3"/>
  <c r="E132" i="3"/>
  <c r="E118" i="3"/>
  <c r="E158" i="3"/>
  <c r="E334" i="3"/>
  <c r="E143" i="3"/>
  <c r="E340" i="3"/>
  <c r="E43" i="3"/>
  <c r="E268" i="3"/>
  <c r="E345" i="3"/>
  <c r="E6" i="3"/>
  <c r="E79" i="3"/>
  <c r="E329" i="3"/>
  <c r="E206" i="3"/>
  <c r="E19" i="3"/>
  <c r="E77" i="3"/>
  <c r="E31" i="3"/>
  <c r="E352" i="3"/>
  <c r="E275" i="3"/>
  <c r="E366" i="3"/>
  <c r="E90" i="3"/>
  <c r="E113" i="3"/>
  <c r="E195" i="3"/>
  <c r="E277" i="3"/>
  <c r="E104" i="3"/>
  <c r="E342" i="3"/>
  <c r="E169" i="3"/>
  <c r="E304" i="3"/>
  <c r="E296" i="3"/>
  <c r="E58" i="3"/>
  <c r="E134" i="3"/>
  <c r="E36" i="3"/>
  <c r="E284" i="3"/>
  <c r="E246" i="3"/>
  <c r="E167" i="3"/>
  <c r="E350" i="3"/>
  <c r="E317" i="3"/>
  <c r="E259" i="3"/>
  <c r="E175" i="3"/>
  <c r="E313" i="3"/>
  <c r="E76" i="3"/>
  <c r="E210" i="3"/>
  <c r="E263" i="3"/>
  <c r="E127" i="3"/>
  <c r="E137" i="3"/>
  <c r="E189" i="3"/>
  <c r="E3" i="3"/>
  <c r="E363" i="3"/>
  <c r="E314" i="3"/>
  <c r="E244" i="3"/>
  <c r="E278" i="3"/>
  <c r="E126" i="3"/>
  <c r="E99" i="3"/>
  <c r="E160" i="3"/>
  <c r="E269" i="3"/>
  <c r="E80" i="3"/>
  <c r="E112" i="3"/>
  <c r="E251" i="3"/>
  <c r="E276" i="3"/>
  <c r="E86" i="3"/>
  <c r="E60" i="3"/>
  <c r="E170" i="3"/>
  <c r="E293" i="3"/>
  <c r="E202" i="3"/>
  <c r="E191" i="3"/>
  <c r="E89" i="3"/>
  <c r="E218" i="3"/>
  <c r="E273" i="3"/>
  <c r="E327" i="3"/>
  <c r="E125" i="3"/>
  <c r="E26" i="3"/>
  <c r="E148" i="3"/>
  <c r="E336" i="3"/>
  <c r="E335" i="3"/>
  <c r="E149" i="3"/>
  <c r="E82" i="3"/>
  <c r="E214" i="3"/>
  <c r="E180" i="3"/>
  <c r="E203" i="3"/>
  <c r="E309" i="3"/>
  <c r="E223" i="3"/>
  <c r="E227" i="3"/>
  <c r="E185" i="3"/>
  <c r="E258" i="3"/>
  <c r="E69" i="3"/>
  <c r="E39" i="3"/>
  <c r="E225" i="3"/>
  <c r="E355" i="3"/>
  <c r="E63" i="3"/>
  <c r="E224" i="3"/>
  <c r="E174" i="3"/>
  <c r="E61" i="3"/>
  <c r="E62" i="3"/>
  <c r="E28" i="3"/>
  <c r="E186" i="3"/>
  <c r="E272" i="3"/>
  <c r="E129" i="3"/>
  <c r="E238" i="3"/>
  <c r="E257" i="3"/>
  <c r="E311" i="3"/>
  <c r="E211" i="3"/>
  <c r="E67" i="3"/>
  <c r="E250" i="3"/>
  <c r="E17" i="3"/>
  <c r="E53" i="3"/>
  <c r="E288" i="3"/>
  <c r="E168" i="3"/>
  <c r="E362" i="3"/>
  <c r="E228" i="3"/>
  <c r="E29" i="3"/>
  <c r="E184" i="3"/>
  <c r="E11" i="3"/>
  <c r="E84" i="3"/>
  <c r="E20" i="3"/>
  <c r="E290" i="3"/>
  <c r="E270" i="3"/>
  <c r="E254" i="3"/>
  <c r="E182" i="3"/>
  <c r="E139" i="3"/>
  <c r="E124" i="3"/>
  <c r="E280" i="3"/>
  <c r="E122" i="3"/>
  <c r="E307" i="3"/>
  <c r="E231" i="3"/>
  <c r="E46" i="3"/>
  <c r="E115" i="3"/>
  <c r="E42" i="3"/>
  <c r="E344" i="3"/>
  <c r="E234" i="3"/>
  <c r="E370" i="3"/>
  <c r="E298" i="3"/>
  <c r="E226" i="3"/>
  <c r="E347" i="3"/>
  <c r="E316" i="3"/>
  <c r="E196" i="3"/>
  <c r="E64" i="3"/>
  <c r="E192" i="3"/>
  <c r="E274" i="3"/>
  <c r="E213" i="3"/>
  <c r="E237" i="3"/>
  <c r="E243" i="3"/>
  <c r="E230" i="3"/>
  <c r="E142" i="3"/>
  <c r="E55" i="3"/>
  <c r="E287" i="3"/>
  <c r="E220" i="3"/>
  <c r="E93" i="3"/>
  <c r="E54" i="3"/>
  <c r="E361" i="3"/>
  <c r="E159" i="3"/>
  <c r="E326" i="3"/>
  <c r="E318" i="3"/>
  <c r="E163" i="3"/>
  <c r="E341" i="3"/>
  <c r="E262" i="3"/>
  <c r="E339" i="3"/>
  <c r="E299" i="3"/>
  <c r="E101" i="3"/>
  <c r="E33" i="3"/>
  <c r="E9" i="3"/>
  <c r="E209" i="3"/>
  <c r="E161" i="3"/>
  <c r="E16" i="3"/>
  <c r="E367" i="3"/>
  <c r="E360" i="3"/>
  <c r="E242" i="3"/>
  <c r="E306" i="3"/>
  <c r="E22" i="3"/>
  <c r="E131" i="3"/>
  <c r="E373" i="3"/>
  <c r="E215" i="3"/>
  <c r="E10" i="3"/>
  <c r="E8" i="3"/>
  <c r="E83" i="3"/>
  <c r="E116" i="3"/>
  <c r="E35" i="3"/>
  <c r="E157" i="3"/>
  <c r="E328" i="3"/>
  <c r="E85" i="3"/>
  <c r="E52" i="3"/>
  <c r="E248" i="3"/>
  <c r="E198" i="3"/>
  <c r="E119" i="3"/>
  <c r="E222" i="3"/>
  <c r="E44" i="3"/>
  <c r="E245" i="3"/>
  <c r="E117" i="3"/>
  <c r="E155" i="3"/>
  <c r="E354" i="3"/>
  <c r="E14" i="3"/>
  <c r="E96" i="3"/>
  <c r="E179" i="3"/>
  <c r="E5" i="3"/>
  <c r="E183" i="3"/>
  <c r="E73" i="3"/>
  <c r="E100" i="3"/>
  <c r="E267" i="3"/>
  <c r="E235" i="3"/>
  <c r="E260" i="3"/>
  <c r="E32" i="3"/>
  <c r="E24" i="3"/>
  <c r="E45" i="3"/>
  <c r="E81" i="3"/>
  <c r="E357" i="3"/>
  <c r="E338" i="3"/>
  <c r="E78" i="3"/>
  <c r="E239" i="3"/>
  <c r="E56" i="3"/>
  <c r="E265" i="3"/>
  <c r="E302" i="3"/>
  <c r="E25" i="3"/>
  <c r="E301" i="3"/>
  <c r="E75" i="3"/>
  <c r="E351" i="3"/>
  <c r="E94" i="3"/>
  <c r="E133" i="3"/>
  <c r="E141" i="3"/>
  <c r="E72" i="3"/>
  <c r="E95" i="3"/>
  <c r="E300" i="3"/>
  <c r="E97" i="3"/>
  <c r="E207" i="3"/>
  <c r="E57" i="3"/>
  <c r="E348" i="3"/>
  <c r="E359" i="3"/>
  <c r="E102" i="3"/>
  <c r="E365" i="3"/>
  <c r="E49" i="3"/>
  <c r="E15" i="3"/>
  <c r="E130" i="3"/>
  <c r="E308" i="3"/>
  <c r="E178" i="3"/>
  <c r="E121" i="3"/>
  <c r="E199" i="3"/>
  <c r="E283" i="3"/>
  <c r="E21" i="3"/>
  <c r="E337" i="3"/>
  <c r="E297" i="3"/>
  <c r="E323" i="3"/>
  <c r="E241" i="3"/>
  <c r="E65" i="3"/>
  <c r="E50" i="3"/>
  <c r="E150" i="3"/>
  <c r="E201" i="3"/>
  <c r="E123" i="3"/>
  <c r="E145" i="3"/>
  <c r="E264" i="3"/>
  <c r="E303" i="3"/>
  <c r="E271" i="3"/>
  <c r="E292" i="3"/>
  <c r="E295" i="3"/>
  <c r="E166" i="3"/>
  <c r="E23" i="3"/>
  <c r="E208" i="3"/>
  <c r="E343" i="3"/>
  <c r="E369" i="3"/>
  <c r="E140" i="3"/>
  <c r="E305" i="3"/>
  <c r="E330" i="3"/>
  <c r="E12" i="3"/>
  <c r="E18" i="3"/>
  <c r="E88" i="3"/>
  <c r="E108" i="3"/>
  <c r="E114" i="3"/>
  <c r="E37" i="3"/>
  <c r="E197" i="3"/>
  <c r="E40" i="3"/>
  <c r="E30" i="3"/>
  <c r="E356" i="3"/>
  <c r="E331" i="3"/>
  <c r="E34" i="3"/>
  <c r="E364" i="3"/>
  <c r="E187" i="3"/>
  <c r="E107" i="3"/>
  <c r="E289" i="3"/>
  <c r="E128" i="3"/>
  <c r="E368" i="3"/>
  <c r="E349" i="3"/>
  <c r="E4" i="3"/>
  <c r="E120" i="3"/>
  <c r="E216" i="3"/>
  <c r="E171" i="3"/>
  <c r="E151" i="3"/>
  <c r="E233" i="3"/>
  <c r="E7" i="3"/>
  <c r="E332" i="3"/>
  <c r="E219" i="3"/>
  <c r="E221" i="3"/>
  <c r="E156" i="3"/>
  <c r="E190" i="3"/>
  <c r="E165" i="3"/>
  <c r="E48" i="3"/>
  <c r="E325" i="3"/>
  <c r="E194" i="3"/>
  <c r="E229" i="3"/>
  <c r="E321" i="3"/>
  <c r="E333" i="3"/>
  <c r="E372" i="3"/>
  <c r="E232" i="3"/>
  <c r="E177" i="3"/>
  <c r="E59" i="3"/>
  <c r="E315" i="3"/>
  <c r="E204" i="3"/>
  <c r="E110" i="3"/>
  <c r="E188" i="3"/>
  <c r="E252" i="3"/>
  <c r="E87" i="3"/>
  <c r="E320" i="3"/>
  <c r="E154" i="3"/>
  <c r="E66" i="3"/>
  <c r="E105" i="3"/>
  <c r="E176" i="3"/>
  <c r="E193" i="3"/>
  <c r="E68" i="3"/>
  <c r="E286" i="3"/>
  <c r="E164" i="3"/>
  <c r="E172" i="3"/>
  <c r="E138" i="3"/>
  <c r="E212" i="3"/>
  <c r="E106" i="3"/>
  <c r="E144" i="3"/>
  <c r="E294" i="3"/>
  <c r="E291" i="3"/>
  <c r="E279" i="3"/>
  <c r="E103" i="3"/>
  <c r="E353" i="3"/>
  <c r="E324" i="3"/>
  <c r="E109" i="3"/>
  <c r="E358" i="3"/>
  <c r="E71" i="3"/>
  <c r="E181" i="3"/>
  <c r="E371" i="3"/>
  <c r="E91" i="3"/>
  <c r="E205" i="3"/>
  <c r="E135" i="3"/>
  <c r="E236" i="3"/>
  <c r="E200" i="3"/>
  <c r="E240" i="3"/>
  <c r="E249" i="3"/>
  <c r="E74" i="3"/>
  <c r="E38" i="3"/>
  <c r="E92" i="3"/>
  <c r="E111" i="3"/>
  <c r="E70" i="3"/>
  <c r="E173" i="3"/>
  <c r="E266" i="3"/>
  <c r="E153" i="3"/>
  <c r="E247" i="3"/>
  <c r="E27" i="3"/>
  <c r="E322" i="3"/>
  <c r="E51" i="3"/>
  <c r="E217" i="3"/>
  <c r="E281" i="3"/>
  <c r="E255" i="3"/>
  <c r="E346" i="3"/>
  <c r="E256" i="3"/>
  <c r="E146" i="3"/>
  <c r="CL7" i="3" l="1"/>
  <c r="B7" i="2" s="1"/>
  <c r="F373" i="3"/>
  <c r="F372" i="3" s="1"/>
  <c r="F371" i="3" s="1"/>
  <c r="F370" i="3" s="1"/>
  <c r="F369" i="3" s="1"/>
  <c r="F368" i="3" s="1"/>
  <c r="F367" i="3" s="1"/>
  <c r="F366" i="3" s="1"/>
  <c r="F365" i="3" s="1"/>
  <c r="F364" i="3" s="1"/>
  <c r="F363" i="3" s="1"/>
  <c r="F362" i="3" s="1"/>
  <c r="F361" i="3" s="1"/>
  <c r="F360" i="3" s="1"/>
  <c r="F359" i="3" s="1"/>
  <c r="F358" i="3" s="1"/>
  <c r="F357" i="3" s="1"/>
  <c r="F356" i="3" s="1"/>
  <c r="F355" i="3" s="1"/>
  <c r="F354" i="3" s="1"/>
  <c r="F353" i="3" s="1"/>
  <c r="F352" i="3" s="1"/>
  <c r="F351" i="3" s="1"/>
  <c r="F350" i="3" s="1"/>
  <c r="F349" i="3" s="1"/>
  <c r="F348" i="3" s="1"/>
  <c r="F347" i="3" s="1"/>
  <c r="F346" i="3" s="1"/>
  <c r="F345" i="3" s="1"/>
  <c r="F344" i="3" s="1"/>
  <c r="F343" i="3" s="1"/>
  <c r="F342" i="3" s="1"/>
  <c r="F341" i="3" s="1"/>
  <c r="F340" i="3" s="1"/>
  <c r="F339" i="3" s="1"/>
  <c r="F338" i="3" s="1"/>
  <c r="F337" i="3" s="1"/>
  <c r="F336" i="3" s="1"/>
  <c r="F335" i="3" s="1"/>
  <c r="F334" i="3" s="1"/>
  <c r="F333" i="3" s="1"/>
  <c r="F332" i="3" s="1"/>
  <c r="F331" i="3" s="1"/>
  <c r="F330" i="3" s="1"/>
  <c r="F329" i="3" s="1"/>
  <c r="F328" i="3" s="1"/>
  <c r="F327" i="3" s="1"/>
  <c r="F326" i="3" s="1"/>
  <c r="F325" i="3" s="1"/>
  <c r="F324" i="3" s="1"/>
  <c r="F323" i="3" s="1"/>
  <c r="F322" i="3" s="1"/>
  <c r="F321" i="3" s="1"/>
  <c r="F320" i="3" s="1"/>
  <c r="F319" i="3" s="1"/>
  <c r="F318" i="3" s="1"/>
  <c r="F317" i="3" s="1"/>
  <c r="F316" i="3" s="1"/>
  <c r="F315" i="3" s="1"/>
  <c r="F314" i="3" s="1"/>
  <c r="F313" i="3" s="1"/>
  <c r="F312" i="3" s="1"/>
  <c r="F311" i="3" s="1"/>
  <c r="F310" i="3" s="1"/>
  <c r="F309" i="3" s="1"/>
  <c r="F308" i="3" s="1"/>
  <c r="F307" i="3" s="1"/>
  <c r="F306" i="3" s="1"/>
  <c r="F305" i="3" s="1"/>
  <c r="F304" i="3" s="1"/>
  <c r="F303" i="3" s="1"/>
  <c r="F302" i="3" s="1"/>
  <c r="F301" i="3" s="1"/>
  <c r="F300" i="3" s="1"/>
  <c r="F299" i="3" s="1"/>
  <c r="F298" i="3" s="1"/>
  <c r="F297" i="3" s="1"/>
  <c r="F296" i="3" s="1"/>
  <c r="F295" i="3" s="1"/>
  <c r="F294" i="3" s="1"/>
  <c r="F293" i="3" s="1"/>
  <c r="F292" i="3" s="1"/>
  <c r="F291" i="3" s="1"/>
  <c r="F290" i="3" s="1"/>
  <c r="F289" i="3" s="1"/>
  <c r="F288" i="3" s="1"/>
  <c r="F287" i="3" s="1"/>
  <c r="F286" i="3" s="1"/>
  <c r="F285" i="3" s="1"/>
  <c r="F284" i="3" s="1"/>
  <c r="F283" i="3" s="1"/>
  <c r="F282" i="3" s="1"/>
  <c r="F281" i="3" s="1"/>
  <c r="F280" i="3" s="1"/>
  <c r="F279" i="3" s="1"/>
  <c r="F278" i="3" s="1"/>
  <c r="F277" i="3" s="1"/>
  <c r="F276" i="3" s="1"/>
  <c r="F275" i="3" s="1"/>
  <c r="F274" i="3" s="1"/>
  <c r="F273" i="3" s="1"/>
  <c r="F272" i="3" s="1"/>
  <c r="F271" i="3" s="1"/>
  <c r="F270" i="3" s="1"/>
  <c r="F269" i="3" s="1"/>
  <c r="F268" i="3" s="1"/>
  <c r="F267" i="3" s="1"/>
  <c r="F266" i="3" s="1"/>
  <c r="F265" i="3" s="1"/>
  <c r="F264" i="3" s="1"/>
  <c r="F263" i="3" s="1"/>
  <c r="F262" i="3" s="1"/>
  <c r="F261" i="3" s="1"/>
  <c r="F260" i="3" s="1"/>
  <c r="F259" i="3" s="1"/>
  <c r="F258" i="3" s="1"/>
  <c r="F257" i="3" s="1"/>
  <c r="F256" i="3" s="1"/>
  <c r="F255" i="3" s="1"/>
  <c r="F254" i="3" s="1"/>
  <c r="F253" i="3" s="1"/>
  <c r="F252" i="3" s="1"/>
  <c r="F251" i="3" s="1"/>
  <c r="F250" i="3" s="1"/>
  <c r="F249" i="3" s="1"/>
  <c r="F248" i="3" s="1"/>
  <c r="F247" i="3" s="1"/>
  <c r="F246" i="3" s="1"/>
  <c r="F245" i="3" s="1"/>
  <c r="F244" i="3" s="1"/>
  <c r="F243" i="3" s="1"/>
  <c r="F242" i="3" s="1"/>
  <c r="F241" i="3" s="1"/>
  <c r="F240" i="3" s="1"/>
  <c r="F239" i="3" s="1"/>
  <c r="F238" i="3" s="1"/>
  <c r="F237" i="3" s="1"/>
  <c r="F236" i="3" s="1"/>
  <c r="F235" i="3" s="1"/>
  <c r="F234" i="3" s="1"/>
  <c r="F233" i="3" s="1"/>
  <c r="F232" i="3" s="1"/>
  <c r="F231" i="3" s="1"/>
  <c r="F230" i="3" s="1"/>
  <c r="F229" i="3" s="1"/>
  <c r="F228" i="3" s="1"/>
  <c r="F227" i="3" s="1"/>
  <c r="F226" i="3" s="1"/>
  <c r="F225" i="3" s="1"/>
  <c r="F224" i="3" s="1"/>
  <c r="F223" i="3" s="1"/>
  <c r="F222" i="3" s="1"/>
  <c r="F221" i="3" s="1"/>
  <c r="F220" i="3" s="1"/>
  <c r="F219" i="3" s="1"/>
  <c r="F218" i="3" s="1"/>
  <c r="F217" i="3" s="1"/>
  <c r="F216" i="3" s="1"/>
  <c r="F215" i="3" s="1"/>
  <c r="F214" i="3" s="1"/>
  <c r="F213" i="3" s="1"/>
  <c r="F212" i="3" s="1"/>
  <c r="F211" i="3" s="1"/>
  <c r="F210" i="3" s="1"/>
  <c r="F209" i="3" s="1"/>
  <c r="F208" i="3" s="1"/>
  <c r="F207" i="3" s="1"/>
  <c r="F206" i="3" s="1"/>
  <c r="F205" i="3" s="1"/>
  <c r="F204" i="3" s="1"/>
  <c r="F203" i="3" s="1"/>
  <c r="F202" i="3" s="1"/>
  <c r="F201" i="3" s="1"/>
  <c r="F200" i="3" s="1"/>
  <c r="F199" i="3" s="1"/>
  <c r="F198" i="3" s="1"/>
  <c r="F197" i="3" s="1"/>
  <c r="F196" i="3" s="1"/>
  <c r="F195" i="3" s="1"/>
  <c r="F194" i="3" s="1"/>
  <c r="F193" i="3" s="1"/>
  <c r="F192" i="3" s="1"/>
  <c r="F191" i="3" s="1"/>
  <c r="F190" i="3" s="1"/>
  <c r="F189" i="3" s="1"/>
  <c r="F188" i="3" s="1"/>
  <c r="F187" i="3" s="1"/>
  <c r="F186" i="3" s="1"/>
  <c r="F185" i="3" s="1"/>
  <c r="F184" i="3" s="1"/>
  <c r="F183" i="3" s="1"/>
  <c r="F182" i="3" s="1"/>
  <c r="F181" i="3" s="1"/>
  <c r="F180" i="3" s="1"/>
  <c r="F179" i="3" s="1"/>
  <c r="F178" i="3" s="1"/>
  <c r="F177" i="3" s="1"/>
  <c r="F176" i="3" s="1"/>
  <c r="F175" i="3" s="1"/>
  <c r="F174" i="3" s="1"/>
  <c r="F173" i="3" s="1"/>
  <c r="F172" i="3" s="1"/>
  <c r="F171" i="3" s="1"/>
  <c r="F170" i="3" s="1"/>
  <c r="F169" i="3" s="1"/>
  <c r="F168" i="3" s="1"/>
  <c r="F167" i="3" s="1"/>
  <c r="F166" i="3" s="1"/>
  <c r="F165" i="3" s="1"/>
  <c r="F164" i="3" s="1"/>
  <c r="F163" i="3" s="1"/>
  <c r="F162" i="3" s="1"/>
  <c r="F161" i="3" s="1"/>
  <c r="F160" i="3" s="1"/>
  <c r="F159" i="3" s="1"/>
  <c r="F158" i="3" s="1"/>
  <c r="F157" i="3" s="1"/>
  <c r="F156" i="3" s="1"/>
  <c r="F155" i="3" s="1"/>
  <c r="F154" i="3" s="1"/>
  <c r="F153" i="3" s="1"/>
  <c r="F152" i="3" s="1"/>
  <c r="F151" i="3" s="1"/>
  <c r="F150" i="3" s="1"/>
  <c r="F149" i="3" s="1"/>
  <c r="F148" i="3" s="1"/>
  <c r="F147" i="3" s="1"/>
  <c r="F146" i="3" s="1"/>
  <c r="F145" i="3" s="1"/>
  <c r="F144" i="3" s="1"/>
  <c r="F143" i="3" s="1"/>
  <c r="F142" i="3" s="1"/>
  <c r="F141" i="3" s="1"/>
  <c r="F140" i="3" s="1"/>
  <c r="F139" i="3" s="1"/>
  <c r="F138" i="3" s="1"/>
  <c r="F137" i="3" s="1"/>
  <c r="F136" i="3" s="1"/>
  <c r="F135" i="3" s="1"/>
  <c r="F134" i="3" s="1"/>
  <c r="F133" i="3" s="1"/>
  <c r="F132" i="3" s="1"/>
  <c r="F131" i="3" s="1"/>
  <c r="F130" i="3" s="1"/>
  <c r="F129" i="3" s="1"/>
  <c r="F128" i="3" s="1"/>
  <c r="F127" i="3" s="1"/>
  <c r="F126" i="3" s="1"/>
  <c r="F125" i="3" s="1"/>
  <c r="F124" i="3" s="1"/>
  <c r="F123" i="3" s="1"/>
  <c r="F122" i="3" s="1"/>
  <c r="F121" i="3" s="1"/>
  <c r="F120" i="3" s="1"/>
  <c r="F119" i="3" s="1"/>
  <c r="F118" i="3" s="1"/>
  <c r="F117" i="3" s="1"/>
  <c r="F116" i="3" s="1"/>
  <c r="F115" i="3" s="1"/>
  <c r="F114" i="3" s="1"/>
  <c r="F113" i="3" s="1"/>
  <c r="F112" i="3" s="1"/>
  <c r="F111" i="3" s="1"/>
  <c r="F110" i="3" s="1"/>
  <c r="F109" i="3" s="1"/>
  <c r="F108" i="3" s="1"/>
  <c r="F107" i="3" s="1"/>
  <c r="F106" i="3" s="1"/>
  <c r="F105" i="3" s="1"/>
  <c r="F104" i="3" s="1"/>
  <c r="F103" i="3" s="1"/>
  <c r="F102" i="3" s="1"/>
  <c r="F101" i="3" s="1"/>
  <c r="F100" i="3" s="1"/>
  <c r="F99" i="3" s="1"/>
  <c r="F98" i="3" s="1"/>
  <c r="F97" i="3" s="1"/>
  <c r="F96" i="3" s="1"/>
  <c r="F95" i="3" s="1"/>
  <c r="F94" i="3" s="1"/>
  <c r="F93" i="3" s="1"/>
  <c r="F92" i="3" s="1"/>
  <c r="F91" i="3" s="1"/>
  <c r="F90" i="3" s="1"/>
  <c r="F89" i="3" s="1"/>
  <c r="F88" i="3" s="1"/>
  <c r="F87" i="3" s="1"/>
  <c r="F86" i="3" s="1"/>
  <c r="F85" i="3" s="1"/>
  <c r="F84" i="3" s="1"/>
  <c r="F83" i="3" s="1"/>
  <c r="F82" i="3" s="1"/>
  <c r="F81" i="3" s="1"/>
  <c r="F80" i="3" s="1"/>
  <c r="F79" i="3" s="1"/>
  <c r="F78" i="3" s="1"/>
  <c r="F77" i="3" s="1"/>
  <c r="F76" i="3" s="1"/>
  <c r="F75" i="3" s="1"/>
  <c r="F74" i="3" s="1"/>
  <c r="F73" i="3" s="1"/>
  <c r="F72" i="3" s="1"/>
  <c r="F71" i="3" s="1"/>
  <c r="F70" i="3" s="1"/>
  <c r="F69" i="3" s="1"/>
  <c r="F68" i="3" s="1"/>
  <c r="F67" i="3" s="1"/>
  <c r="F66" i="3" s="1"/>
  <c r="F65" i="3" s="1"/>
  <c r="F64" i="3" s="1"/>
  <c r="F63" i="3" s="1"/>
  <c r="F62" i="3" s="1"/>
  <c r="F61" i="3" s="1"/>
  <c r="F60" i="3" s="1"/>
  <c r="F59" i="3" s="1"/>
  <c r="F58" i="3" s="1"/>
  <c r="F57" i="3" s="1"/>
  <c r="F56" i="3" s="1"/>
  <c r="F55" i="3" s="1"/>
  <c r="F54" i="3" s="1"/>
  <c r="F53" i="3" s="1"/>
  <c r="F52" i="3" s="1"/>
  <c r="F51" i="3" s="1"/>
  <c r="F50" i="3" s="1"/>
  <c r="F49" i="3" s="1"/>
  <c r="F48" i="3" s="1"/>
  <c r="F47" i="3" s="1"/>
  <c r="F46" i="3" s="1"/>
  <c r="F45" i="3" s="1"/>
  <c r="F44" i="3" s="1"/>
  <c r="F43" i="3" s="1"/>
  <c r="F42" i="3" s="1"/>
  <c r="F41" i="3" s="1"/>
  <c r="F40" i="3" s="1"/>
  <c r="F39" i="3" s="1"/>
  <c r="F38" i="3" s="1"/>
  <c r="F37" i="3" s="1"/>
  <c r="F36" i="3" s="1"/>
  <c r="F35" i="3" s="1"/>
  <c r="F34" i="3" s="1"/>
  <c r="F33" i="3" s="1"/>
  <c r="F32" i="3" s="1"/>
  <c r="F31" i="3" s="1"/>
  <c r="F30" i="3" s="1"/>
  <c r="F29" i="3" s="1"/>
  <c r="F28" i="3" s="1"/>
  <c r="F27" i="3" s="1"/>
  <c r="F26" i="3" s="1"/>
  <c r="F25" i="3" s="1"/>
  <c r="F24" i="3" s="1"/>
  <c r="F23" i="3" s="1"/>
  <c r="F22" i="3" s="1"/>
  <c r="F21" i="3" s="1"/>
  <c r="F20" i="3" s="1"/>
  <c r="F19" i="3" s="1"/>
  <c r="F18" i="3" s="1"/>
  <c r="F17" i="3" s="1"/>
  <c r="F16" i="3" s="1"/>
  <c r="F15" i="3" s="1"/>
  <c r="F14" i="3" s="1"/>
  <c r="F13" i="3" s="1"/>
  <c r="F12" i="3" s="1"/>
  <c r="F11" i="3" s="1"/>
  <c r="F10" i="3" s="1"/>
  <c r="F9" i="3" s="1"/>
  <c r="F8" i="3" s="1"/>
  <c r="F7" i="3" s="1"/>
  <c r="F6" i="3" s="1"/>
  <c r="F5" i="3" s="1"/>
  <c r="F4" i="3" s="1"/>
  <c r="F3" i="3" s="1"/>
  <c r="F2" i="3" s="1"/>
  <c r="B2" i="2"/>
  <c r="C31" i="11" l="1"/>
  <c r="D9" i="11"/>
  <c r="D11" i="11"/>
  <c r="J2" i="3"/>
  <c r="K2" i="3"/>
  <c r="D10" i="11"/>
  <c r="B4" i="2" l="1"/>
  <c r="B6" i="2"/>
  <c r="BB7" i="3"/>
  <c r="BB8" i="3"/>
  <c r="BB9" i="3"/>
  <c r="BB10" i="3"/>
  <c r="BB11" i="3"/>
  <c r="BB12" i="3"/>
  <c r="BB13" i="3"/>
  <c r="BB14" i="3"/>
  <c r="BB15" i="3"/>
  <c r="BB16" i="3"/>
  <c r="BB17" i="3"/>
  <c r="BB18" i="3"/>
  <c r="BB19" i="3"/>
  <c r="BB20" i="3"/>
  <c r="BB21" i="3"/>
  <c r="BB22" i="3"/>
  <c r="BB23" i="3"/>
  <c r="BB24" i="3"/>
  <c r="BB25" i="3"/>
  <c r="BB26" i="3"/>
  <c r="BB27" i="3"/>
  <c r="BB28" i="3"/>
  <c r="BB6" i="3"/>
  <c r="BP28" i="3"/>
  <c r="BO28" i="3"/>
  <c r="BN28" i="3"/>
  <c r="BM28" i="3"/>
  <c r="BL28" i="3"/>
  <c r="BK28" i="3"/>
  <c r="BJ28" i="3" s="1"/>
  <c r="BP27" i="3"/>
  <c r="BO27" i="3"/>
  <c r="BN27" i="3"/>
  <c r="BM27" i="3"/>
  <c r="BL27" i="3"/>
  <c r="BK27" i="3"/>
  <c r="BJ27" i="3" s="1"/>
  <c r="BP26" i="3"/>
  <c r="BO26" i="3"/>
  <c r="BN26" i="3"/>
  <c r="BM26" i="3"/>
  <c r="BL26" i="3"/>
  <c r="BK26" i="3"/>
  <c r="BJ26" i="3" s="1"/>
  <c r="BP25" i="3"/>
  <c r="BO25" i="3"/>
  <c r="BN25" i="3"/>
  <c r="BM25" i="3"/>
  <c r="BL25" i="3"/>
  <c r="BK25" i="3"/>
  <c r="BJ25" i="3" s="1"/>
  <c r="BP24" i="3"/>
  <c r="BO24" i="3"/>
  <c r="BN24" i="3"/>
  <c r="BM24" i="3"/>
  <c r="BL24" i="3"/>
  <c r="BK24" i="3"/>
  <c r="BJ24" i="3" s="1"/>
  <c r="BP23" i="3"/>
  <c r="BO23" i="3"/>
  <c r="BN23" i="3"/>
  <c r="BM23" i="3"/>
  <c r="BL23" i="3"/>
  <c r="BK23" i="3"/>
  <c r="BJ23" i="3" s="1"/>
  <c r="BP22" i="3"/>
  <c r="BO22" i="3"/>
  <c r="BN22" i="3"/>
  <c r="BM22" i="3"/>
  <c r="BL22" i="3"/>
  <c r="BK22" i="3"/>
  <c r="BJ22" i="3" s="1"/>
  <c r="BP21" i="3"/>
  <c r="BO21" i="3"/>
  <c r="BN21" i="3"/>
  <c r="BM21" i="3"/>
  <c r="BL21" i="3"/>
  <c r="BK21" i="3"/>
  <c r="BJ21" i="3" s="1"/>
  <c r="BP20" i="3"/>
  <c r="BO20" i="3"/>
  <c r="BN20" i="3"/>
  <c r="BM20" i="3"/>
  <c r="BL20" i="3"/>
  <c r="BK20" i="3"/>
  <c r="BJ20" i="3" s="1"/>
  <c r="BP19" i="3"/>
  <c r="BO19" i="3"/>
  <c r="BN19" i="3"/>
  <c r="BM19" i="3"/>
  <c r="BL19" i="3"/>
  <c r="BK19" i="3"/>
  <c r="BJ19" i="3" s="1"/>
  <c r="BP18" i="3"/>
  <c r="BO18" i="3"/>
  <c r="BN18" i="3"/>
  <c r="BM18" i="3"/>
  <c r="BL18" i="3"/>
  <c r="BK18" i="3"/>
  <c r="BJ18" i="3" s="1"/>
  <c r="BP17" i="3"/>
  <c r="BO17" i="3"/>
  <c r="BN17" i="3"/>
  <c r="BM17" i="3"/>
  <c r="BL17" i="3"/>
  <c r="BK17" i="3"/>
  <c r="BJ17" i="3" s="1"/>
  <c r="BP16" i="3"/>
  <c r="BO16" i="3"/>
  <c r="BN16" i="3"/>
  <c r="BM16" i="3"/>
  <c r="BL16" i="3"/>
  <c r="BK16" i="3"/>
  <c r="BJ16" i="3" s="1"/>
  <c r="BP15" i="3"/>
  <c r="BO15" i="3"/>
  <c r="BN15" i="3"/>
  <c r="BM15" i="3"/>
  <c r="BL15" i="3"/>
  <c r="BK15" i="3"/>
  <c r="BJ15" i="3" s="1"/>
  <c r="BP14" i="3"/>
  <c r="BO14" i="3"/>
  <c r="BN14" i="3"/>
  <c r="BM14" i="3"/>
  <c r="BL14" i="3"/>
  <c r="BK14" i="3"/>
  <c r="BJ14" i="3" s="1"/>
  <c r="BP13" i="3"/>
  <c r="BO13" i="3"/>
  <c r="BN13" i="3"/>
  <c r="BM13" i="3"/>
  <c r="BL13" i="3"/>
  <c r="BK13" i="3"/>
  <c r="BJ13" i="3" s="1"/>
  <c r="BP12" i="3"/>
  <c r="BO12" i="3"/>
  <c r="BN12" i="3"/>
  <c r="BM12" i="3"/>
  <c r="BL12" i="3"/>
  <c r="BK12" i="3"/>
  <c r="BJ12" i="3" s="1"/>
  <c r="BP11" i="3"/>
  <c r="BO11" i="3"/>
  <c r="BN11" i="3"/>
  <c r="BM11" i="3"/>
  <c r="BL11" i="3"/>
  <c r="BK11" i="3"/>
  <c r="BJ11" i="3" s="1"/>
  <c r="BP10" i="3"/>
  <c r="BO10" i="3"/>
  <c r="BN10" i="3"/>
  <c r="BM10" i="3"/>
  <c r="BL10" i="3"/>
  <c r="BK10" i="3"/>
  <c r="BJ10" i="3" s="1"/>
  <c r="BP9" i="3"/>
  <c r="BO9" i="3"/>
  <c r="BN9" i="3"/>
  <c r="BM9" i="3"/>
  <c r="BL9" i="3"/>
  <c r="BK9" i="3"/>
  <c r="BJ9" i="3" s="1"/>
  <c r="BP8" i="3"/>
  <c r="BO8" i="3"/>
  <c r="BN8" i="3"/>
  <c r="BM8" i="3"/>
  <c r="BL8" i="3"/>
  <c r="BK8" i="3"/>
  <c r="BJ8" i="3" s="1"/>
  <c r="BP7" i="3"/>
  <c r="BO7" i="3"/>
  <c r="BN7" i="3"/>
  <c r="BM7" i="3"/>
  <c r="BL7" i="3"/>
  <c r="BK7" i="3"/>
  <c r="BJ7" i="3" s="1"/>
  <c r="BP6" i="3"/>
  <c r="BO6" i="3"/>
  <c r="BN6" i="3"/>
  <c r="BM6" i="3"/>
  <c r="BL6" i="3"/>
  <c r="BK6" i="3"/>
  <c r="BJ6" i="3" s="1"/>
  <c r="BC5" i="3"/>
  <c r="BT23" i="3" l="1"/>
  <c r="B19" i="2" s="1"/>
  <c r="BU24" i="3"/>
  <c r="C20" i="2" s="1"/>
  <c r="BT24" i="3"/>
  <c r="B20" i="2" s="1"/>
  <c r="BU23" i="3"/>
  <c r="C19" i="2" s="1"/>
  <c r="BU25" i="3"/>
  <c r="C21" i="2" s="1"/>
  <c r="BT26" i="3"/>
  <c r="B22" i="2" s="1"/>
  <c r="BU26" i="3"/>
  <c r="C22" i="2" s="1"/>
  <c r="BT25" i="3"/>
  <c r="B21" i="2" s="1"/>
  <c r="F375" i="3" l="1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B25" i="3"/>
  <c r="L47" i="3" l="1"/>
  <c r="M47" i="3"/>
  <c r="C11" i="11"/>
  <c r="E11" i="11" s="1"/>
  <c r="B26" i="2"/>
  <c r="A1" i="8"/>
  <c r="B9" i="3"/>
  <c r="C10" i="11" l="1"/>
  <c r="E10" i="11" s="1"/>
  <c r="B27" i="2"/>
  <c r="F1" i="7"/>
  <c r="A1" i="7"/>
  <c r="AZ53" i="3" l="1"/>
  <c r="AY53" i="3"/>
  <c r="AX53" i="3"/>
  <c r="AW53" i="3"/>
  <c r="AV53" i="3"/>
  <c r="AU53" i="3"/>
  <c r="AT53" i="3" s="1"/>
  <c r="AZ52" i="3"/>
  <c r="AY52" i="3"/>
  <c r="AX52" i="3"/>
  <c r="AW52" i="3"/>
  <c r="AV52" i="3"/>
  <c r="AU52" i="3"/>
  <c r="AT52" i="3" s="1"/>
  <c r="AZ51" i="3"/>
  <c r="AY51" i="3"/>
  <c r="AX51" i="3"/>
  <c r="AW51" i="3"/>
  <c r="AV51" i="3"/>
  <c r="AU51" i="3"/>
  <c r="AT51" i="3" s="1"/>
  <c r="AZ50" i="3"/>
  <c r="AY50" i="3"/>
  <c r="AX50" i="3"/>
  <c r="AW50" i="3"/>
  <c r="AV50" i="3"/>
  <c r="AU50" i="3"/>
  <c r="AT50" i="3" s="1"/>
  <c r="AZ49" i="3"/>
  <c r="AY49" i="3"/>
  <c r="AX49" i="3"/>
  <c r="AW49" i="3"/>
  <c r="AV49" i="3"/>
  <c r="AU49" i="3"/>
  <c r="AT49" i="3" s="1"/>
  <c r="AZ48" i="3"/>
  <c r="AY48" i="3"/>
  <c r="AX48" i="3"/>
  <c r="AW48" i="3"/>
  <c r="AV48" i="3"/>
  <c r="AU48" i="3"/>
  <c r="AT48" i="3" s="1"/>
  <c r="AZ47" i="3"/>
  <c r="AY47" i="3"/>
  <c r="AX47" i="3"/>
  <c r="AW47" i="3"/>
  <c r="AV47" i="3"/>
  <c r="AU47" i="3"/>
  <c r="AT47" i="3" s="1"/>
  <c r="AZ46" i="3"/>
  <c r="AY46" i="3"/>
  <c r="AX46" i="3"/>
  <c r="AW46" i="3"/>
  <c r="AV46" i="3"/>
  <c r="AU46" i="3"/>
  <c r="AT46" i="3" s="1"/>
  <c r="AZ45" i="3"/>
  <c r="AY45" i="3"/>
  <c r="AX45" i="3"/>
  <c r="AW45" i="3"/>
  <c r="AV45" i="3"/>
  <c r="AU45" i="3"/>
  <c r="AT45" i="3" s="1"/>
  <c r="AZ44" i="3"/>
  <c r="AY44" i="3"/>
  <c r="AX44" i="3"/>
  <c r="AW44" i="3"/>
  <c r="AV44" i="3"/>
  <c r="AU44" i="3"/>
  <c r="AT44" i="3" s="1"/>
  <c r="AZ43" i="3"/>
  <c r="AY43" i="3"/>
  <c r="AX43" i="3"/>
  <c r="AW43" i="3"/>
  <c r="AV43" i="3"/>
  <c r="AU43" i="3"/>
  <c r="AT43" i="3" s="1"/>
  <c r="AZ42" i="3"/>
  <c r="AY42" i="3"/>
  <c r="AX42" i="3"/>
  <c r="AW42" i="3"/>
  <c r="AV42" i="3"/>
  <c r="AU42" i="3"/>
  <c r="AT42" i="3" s="1"/>
  <c r="AZ41" i="3"/>
  <c r="AY41" i="3"/>
  <c r="AX41" i="3"/>
  <c r="AW41" i="3"/>
  <c r="AV41" i="3"/>
  <c r="AU41" i="3"/>
  <c r="AT41" i="3" s="1"/>
  <c r="AZ40" i="3"/>
  <c r="AY40" i="3"/>
  <c r="AX40" i="3"/>
  <c r="AW40" i="3"/>
  <c r="AV40" i="3"/>
  <c r="AU40" i="3"/>
  <c r="AT40" i="3" s="1"/>
  <c r="AZ39" i="3"/>
  <c r="AY39" i="3"/>
  <c r="AX39" i="3"/>
  <c r="AW39" i="3"/>
  <c r="AV39" i="3"/>
  <c r="AU39" i="3"/>
  <c r="AT39" i="3" s="1"/>
  <c r="AZ38" i="3"/>
  <c r="AY38" i="3"/>
  <c r="AX38" i="3"/>
  <c r="AW38" i="3"/>
  <c r="AV38" i="3"/>
  <c r="AU38" i="3"/>
  <c r="AT38" i="3" s="1"/>
  <c r="AZ37" i="3"/>
  <c r="AY37" i="3"/>
  <c r="AX37" i="3"/>
  <c r="AW37" i="3"/>
  <c r="AV37" i="3"/>
  <c r="AU37" i="3"/>
  <c r="AT37" i="3" s="1"/>
  <c r="AZ36" i="3"/>
  <c r="AY36" i="3"/>
  <c r="AX36" i="3"/>
  <c r="AW36" i="3"/>
  <c r="AV36" i="3"/>
  <c r="AU36" i="3"/>
  <c r="AT36" i="3" s="1"/>
  <c r="AZ35" i="3"/>
  <c r="AY35" i="3"/>
  <c r="AX35" i="3"/>
  <c r="AW35" i="3"/>
  <c r="AV35" i="3"/>
  <c r="AU35" i="3"/>
  <c r="AT35" i="3" s="1"/>
  <c r="AZ34" i="3"/>
  <c r="AY34" i="3"/>
  <c r="AX34" i="3"/>
  <c r="AW34" i="3"/>
  <c r="AV34" i="3"/>
  <c r="AU34" i="3"/>
  <c r="AT34" i="3" s="1"/>
  <c r="AZ33" i="3"/>
  <c r="AY33" i="3"/>
  <c r="AX33" i="3"/>
  <c r="AW33" i="3"/>
  <c r="AV33" i="3"/>
  <c r="AU33" i="3"/>
  <c r="AT33" i="3" s="1"/>
  <c r="AZ32" i="3"/>
  <c r="AY32" i="3"/>
  <c r="AX32" i="3"/>
  <c r="AW32" i="3"/>
  <c r="AV32" i="3"/>
  <c r="AU32" i="3"/>
  <c r="AT32" i="3" s="1"/>
  <c r="AZ31" i="3"/>
  <c r="AY31" i="3"/>
  <c r="AX31" i="3"/>
  <c r="AW31" i="3"/>
  <c r="AV31" i="3"/>
  <c r="AU31" i="3"/>
  <c r="AT31" i="3" s="1"/>
  <c r="AZ30" i="3"/>
  <c r="AY30" i="3"/>
  <c r="AX30" i="3"/>
  <c r="AW30" i="3"/>
  <c r="AV30" i="3"/>
  <c r="AU30" i="3"/>
  <c r="AT30" i="3" s="1"/>
  <c r="AZ29" i="3"/>
  <c r="AY29" i="3"/>
  <c r="AX29" i="3"/>
  <c r="AW29" i="3"/>
  <c r="AV29" i="3"/>
  <c r="AU29" i="3"/>
  <c r="AT29" i="3" s="1"/>
  <c r="AL48" i="3"/>
  <c r="AL47" i="3"/>
  <c r="AL46" i="3"/>
  <c r="AL45" i="3"/>
  <c r="AL44" i="3"/>
  <c r="AL43" i="3"/>
  <c r="AL42" i="3"/>
  <c r="AL41" i="3"/>
  <c r="AL40" i="3"/>
  <c r="AL39" i="3"/>
  <c r="AL38" i="3"/>
  <c r="AL37" i="3"/>
  <c r="AL36" i="3"/>
  <c r="AL35" i="3"/>
  <c r="AL34" i="3"/>
  <c r="AL33" i="3"/>
  <c r="AL32" i="3"/>
  <c r="AL31" i="3"/>
  <c r="AL30" i="3"/>
  <c r="AL29" i="3"/>
  <c r="AL28" i="3"/>
  <c r="AL27" i="3"/>
  <c r="AL26" i="3"/>
  <c r="AL25" i="3"/>
  <c r="AL24" i="3"/>
  <c r="AL23" i="3"/>
  <c r="AL22" i="3"/>
  <c r="AL21" i="3"/>
  <c r="AL20" i="3"/>
  <c r="AL19" i="3"/>
  <c r="AL18" i="3"/>
  <c r="AL17" i="3"/>
  <c r="AL16" i="3"/>
  <c r="AL15" i="3"/>
  <c r="AL14" i="3"/>
  <c r="AL13" i="3"/>
  <c r="AL12" i="3"/>
  <c r="AL11" i="3"/>
  <c r="AL10" i="3"/>
  <c r="AL9" i="3"/>
  <c r="AL8" i="3"/>
  <c r="AL7" i="3"/>
  <c r="AL6" i="3"/>
  <c r="V28" i="3"/>
  <c r="V27" i="3"/>
  <c r="V26" i="3"/>
  <c r="V25" i="3"/>
  <c r="V24" i="3"/>
  <c r="V23" i="3"/>
  <c r="V22" i="3"/>
  <c r="V21" i="3"/>
  <c r="V20" i="3"/>
  <c r="V19" i="3"/>
  <c r="V18" i="3"/>
  <c r="V17" i="3"/>
  <c r="V16" i="3"/>
  <c r="V15" i="3"/>
  <c r="V14" i="3"/>
  <c r="V13" i="3"/>
  <c r="V12" i="3"/>
  <c r="V11" i="3"/>
  <c r="V10" i="3"/>
  <c r="V9" i="3"/>
  <c r="V8" i="3"/>
  <c r="V7" i="3"/>
  <c r="V6" i="3"/>
  <c r="B17" i="3"/>
  <c r="B7" i="3"/>
  <c r="C9" i="11" l="1"/>
  <c r="E9" i="11" s="1"/>
  <c r="AZ28" i="3"/>
  <c r="AY28" i="3"/>
  <c r="AX28" i="3"/>
  <c r="AW28" i="3"/>
  <c r="AV28" i="3"/>
  <c r="AU28" i="3"/>
  <c r="AT28" i="3" s="1"/>
  <c r="AI28" i="3"/>
  <c r="AH28" i="3"/>
  <c r="AF28" i="3"/>
  <c r="AE28" i="3"/>
  <c r="AD28" i="3" s="1"/>
  <c r="AZ27" i="3"/>
  <c r="AY27" i="3"/>
  <c r="AX27" i="3"/>
  <c r="AW27" i="3"/>
  <c r="AV27" i="3"/>
  <c r="AU27" i="3"/>
  <c r="AT27" i="3" s="1"/>
  <c r="AI27" i="3"/>
  <c r="AH27" i="3"/>
  <c r="AF27" i="3"/>
  <c r="AE27" i="3"/>
  <c r="AD27" i="3" s="1"/>
  <c r="AZ26" i="3"/>
  <c r="AY26" i="3"/>
  <c r="AX26" i="3"/>
  <c r="AW26" i="3"/>
  <c r="AV26" i="3"/>
  <c r="AU26" i="3"/>
  <c r="AT26" i="3" s="1"/>
  <c r="AI26" i="3"/>
  <c r="AH26" i="3"/>
  <c r="AF26" i="3"/>
  <c r="AE26" i="3"/>
  <c r="AD26" i="3" s="1"/>
  <c r="AZ25" i="3"/>
  <c r="AY25" i="3"/>
  <c r="AX25" i="3"/>
  <c r="AW25" i="3"/>
  <c r="AV25" i="3"/>
  <c r="AU25" i="3"/>
  <c r="AT25" i="3" s="1"/>
  <c r="AI25" i="3"/>
  <c r="AH25" i="3"/>
  <c r="AF25" i="3"/>
  <c r="AE25" i="3"/>
  <c r="AD25" i="3" s="1"/>
  <c r="AZ24" i="3"/>
  <c r="AY24" i="3"/>
  <c r="AX24" i="3"/>
  <c r="AW24" i="3"/>
  <c r="AV24" i="3"/>
  <c r="AU24" i="3"/>
  <c r="AT24" i="3" s="1"/>
  <c r="AI24" i="3"/>
  <c r="AH24" i="3"/>
  <c r="AF24" i="3"/>
  <c r="AE24" i="3"/>
  <c r="AD24" i="3" s="1"/>
  <c r="AZ23" i="3"/>
  <c r="AY23" i="3"/>
  <c r="AX23" i="3"/>
  <c r="AW23" i="3"/>
  <c r="AV23" i="3"/>
  <c r="AU23" i="3"/>
  <c r="AT23" i="3" s="1"/>
  <c r="AI23" i="3"/>
  <c r="AH23" i="3"/>
  <c r="AF23" i="3"/>
  <c r="AE23" i="3"/>
  <c r="AD23" i="3" s="1"/>
  <c r="AZ22" i="3"/>
  <c r="AY22" i="3"/>
  <c r="AX22" i="3"/>
  <c r="AW22" i="3"/>
  <c r="AV22" i="3"/>
  <c r="AU22" i="3"/>
  <c r="AT22" i="3" s="1"/>
  <c r="AI22" i="3"/>
  <c r="AH22" i="3"/>
  <c r="AF22" i="3"/>
  <c r="AE22" i="3"/>
  <c r="AD22" i="3" s="1"/>
  <c r="AZ21" i="3"/>
  <c r="AY21" i="3"/>
  <c r="AX21" i="3"/>
  <c r="AW21" i="3"/>
  <c r="AV21" i="3"/>
  <c r="AU21" i="3"/>
  <c r="AT21" i="3" s="1"/>
  <c r="AI21" i="3"/>
  <c r="AH21" i="3"/>
  <c r="AF21" i="3"/>
  <c r="AE21" i="3"/>
  <c r="AD21" i="3" s="1"/>
  <c r="AZ20" i="3"/>
  <c r="AY20" i="3"/>
  <c r="AX20" i="3"/>
  <c r="AW20" i="3"/>
  <c r="AV20" i="3"/>
  <c r="AU20" i="3"/>
  <c r="AT20" i="3" s="1"/>
  <c r="AI20" i="3"/>
  <c r="AH20" i="3"/>
  <c r="AF20" i="3"/>
  <c r="AE20" i="3"/>
  <c r="AD20" i="3" s="1"/>
  <c r="AZ19" i="3"/>
  <c r="AY19" i="3"/>
  <c r="AX19" i="3"/>
  <c r="AW19" i="3"/>
  <c r="AV19" i="3"/>
  <c r="AU19" i="3"/>
  <c r="AT19" i="3" s="1"/>
  <c r="AI19" i="3"/>
  <c r="AH19" i="3"/>
  <c r="AF19" i="3"/>
  <c r="AE19" i="3"/>
  <c r="AD19" i="3" s="1"/>
  <c r="AZ18" i="3"/>
  <c r="AY18" i="3"/>
  <c r="AX18" i="3"/>
  <c r="AW18" i="3"/>
  <c r="AV18" i="3"/>
  <c r="AU18" i="3"/>
  <c r="AT18" i="3" s="1"/>
  <c r="AI18" i="3"/>
  <c r="AH18" i="3"/>
  <c r="AF18" i="3"/>
  <c r="AE18" i="3"/>
  <c r="AD18" i="3" s="1"/>
  <c r="AZ17" i="3"/>
  <c r="AY17" i="3"/>
  <c r="AX17" i="3"/>
  <c r="AW17" i="3"/>
  <c r="AV17" i="3"/>
  <c r="AU17" i="3"/>
  <c r="AT17" i="3" s="1"/>
  <c r="AI17" i="3"/>
  <c r="AH17" i="3"/>
  <c r="AF17" i="3"/>
  <c r="AE17" i="3"/>
  <c r="AD17" i="3" s="1"/>
  <c r="AZ16" i="3"/>
  <c r="AY16" i="3"/>
  <c r="AX16" i="3"/>
  <c r="AW16" i="3"/>
  <c r="AV16" i="3"/>
  <c r="AU16" i="3"/>
  <c r="AT16" i="3" s="1"/>
  <c r="AI16" i="3"/>
  <c r="AH16" i="3"/>
  <c r="AF16" i="3"/>
  <c r="AE16" i="3"/>
  <c r="AD16" i="3" s="1"/>
  <c r="AZ15" i="3"/>
  <c r="AY15" i="3"/>
  <c r="AX15" i="3"/>
  <c r="AW15" i="3"/>
  <c r="AV15" i="3"/>
  <c r="AU15" i="3"/>
  <c r="AT15" i="3" s="1"/>
  <c r="AI15" i="3"/>
  <c r="AH15" i="3"/>
  <c r="AF15" i="3"/>
  <c r="AE15" i="3"/>
  <c r="AD15" i="3" s="1"/>
  <c r="AZ14" i="3"/>
  <c r="AY14" i="3"/>
  <c r="AX14" i="3"/>
  <c r="AW14" i="3"/>
  <c r="AV14" i="3"/>
  <c r="AU14" i="3"/>
  <c r="AT14" i="3" s="1"/>
  <c r="AI14" i="3"/>
  <c r="AH14" i="3"/>
  <c r="AF14" i="3"/>
  <c r="AE14" i="3"/>
  <c r="AD14" i="3" s="1"/>
  <c r="AZ13" i="3"/>
  <c r="AY13" i="3"/>
  <c r="AX13" i="3"/>
  <c r="AW13" i="3"/>
  <c r="AV13" i="3"/>
  <c r="AU13" i="3"/>
  <c r="AT13" i="3" s="1"/>
  <c r="AI13" i="3"/>
  <c r="AH13" i="3"/>
  <c r="AF13" i="3"/>
  <c r="AE13" i="3"/>
  <c r="AD13" i="3" s="1"/>
  <c r="AZ12" i="3"/>
  <c r="AY12" i="3"/>
  <c r="AX12" i="3"/>
  <c r="AW12" i="3"/>
  <c r="AV12" i="3"/>
  <c r="AU12" i="3"/>
  <c r="AT12" i="3" s="1"/>
  <c r="AI12" i="3"/>
  <c r="AH12" i="3"/>
  <c r="AF12" i="3"/>
  <c r="AE12" i="3"/>
  <c r="AD12" i="3" s="1"/>
  <c r="AZ11" i="3"/>
  <c r="AY11" i="3"/>
  <c r="AX11" i="3"/>
  <c r="AW11" i="3"/>
  <c r="AV11" i="3"/>
  <c r="AU11" i="3"/>
  <c r="AT11" i="3" s="1"/>
  <c r="AI11" i="3"/>
  <c r="AH11" i="3"/>
  <c r="AF11" i="3"/>
  <c r="AE11" i="3"/>
  <c r="AD11" i="3" s="1"/>
  <c r="AZ10" i="3"/>
  <c r="AY10" i="3"/>
  <c r="AX10" i="3"/>
  <c r="AW10" i="3"/>
  <c r="AV10" i="3"/>
  <c r="AU10" i="3"/>
  <c r="AT10" i="3" s="1"/>
  <c r="AI10" i="3"/>
  <c r="AH10" i="3"/>
  <c r="AF10" i="3"/>
  <c r="AE10" i="3"/>
  <c r="AD10" i="3" s="1"/>
  <c r="AZ9" i="3"/>
  <c r="AY9" i="3"/>
  <c r="AX9" i="3"/>
  <c r="AW9" i="3"/>
  <c r="AV9" i="3"/>
  <c r="AU9" i="3"/>
  <c r="AT9" i="3" s="1"/>
  <c r="AI9" i="3"/>
  <c r="AH9" i="3"/>
  <c r="AF9" i="3"/>
  <c r="AE9" i="3"/>
  <c r="AD9" i="3" s="1"/>
  <c r="AZ8" i="3"/>
  <c r="AY8" i="3"/>
  <c r="AX8" i="3"/>
  <c r="AW8" i="3"/>
  <c r="AV8" i="3"/>
  <c r="AU8" i="3"/>
  <c r="AT8" i="3" s="1"/>
  <c r="AI8" i="3"/>
  <c r="AH8" i="3"/>
  <c r="AF8" i="3"/>
  <c r="AE8" i="3"/>
  <c r="AD8" i="3" s="1"/>
  <c r="AZ7" i="3"/>
  <c r="AY7" i="3"/>
  <c r="AX7" i="3"/>
  <c r="AW7" i="3"/>
  <c r="AV7" i="3"/>
  <c r="AU7" i="3"/>
  <c r="AT7" i="3" s="1"/>
  <c r="AI7" i="3"/>
  <c r="AH7" i="3"/>
  <c r="AF7" i="3"/>
  <c r="AE7" i="3"/>
  <c r="AD7" i="3" s="1"/>
  <c r="AZ6" i="3"/>
  <c r="AY6" i="3"/>
  <c r="AX6" i="3"/>
  <c r="AW6" i="3"/>
  <c r="AV6" i="3"/>
  <c r="AU6" i="3"/>
  <c r="AT6" i="3" s="1"/>
  <c r="AI6" i="3"/>
  <c r="AH6" i="3"/>
  <c r="AF6" i="3"/>
  <c r="AE6" i="3"/>
  <c r="AD6" i="3" s="1"/>
  <c r="AM5" i="3"/>
  <c r="W5" i="3"/>
  <c r="BU17" i="3" l="1"/>
  <c r="C16" i="2" s="1"/>
  <c r="BU10" i="3"/>
  <c r="C12" i="2" s="1"/>
  <c r="BU9" i="3"/>
  <c r="C11" i="2" s="1"/>
  <c r="BU8" i="3"/>
  <c r="C10" i="2" s="1"/>
  <c r="BU7" i="3"/>
  <c r="C9" i="2" s="1"/>
  <c r="BT8" i="3"/>
  <c r="B10" i="2" s="1"/>
  <c r="BT10" i="3"/>
  <c r="B12" i="2" s="1"/>
  <c r="BT9" i="3"/>
  <c r="B11" i="2" s="1"/>
  <c r="BT7" i="3"/>
  <c r="B9" i="2" s="1"/>
  <c r="BT18" i="3"/>
  <c r="B17" i="2" s="1"/>
  <c r="BT16" i="3"/>
  <c r="B15" i="2" s="1"/>
  <c r="BU18" i="3"/>
  <c r="C17" i="2" s="1"/>
  <c r="BU16" i="3"/>
  <c r="C15" i="2" s="1"/>
  <c r="BT17" i="3"/>
  <c r="B16" i="2" s="1"/>
  <c r="BU15" i="3"/>
  <c r="C14" i="2" s="1"/>
  <c r="BT15" i="3"/>
  <c r="B14" i="2" s="1"/>
  <c r="B5" i="2" l="1"/>
  <c r="I26" i="3"/>
  <c r="B8" i="3"/>
  <c r="M26" i="3"/>
  <c r="B25" i="2" l="1"/>
  <c r="A29" i="2"/>
  <c r="A25" i="2"/>
  <c r="B24" i="2"/>
  <c r="I36" i="3"/>
  <c r="B13" i="3"/>
  <c r="J36" i="3"/>
  <c r="A1" i="2" l="1"/>
  <c r="B30" i="2"/>
  <c r="J6" i="3" l="1"/>
  <c r="T6" i="3" s="1"/>
  <c r="B16" i="11" l="1"/>
  <c r="J7" i="3"/>
  <c r="T7" i="3" s="1"/>
  <c r="C32" i="2"/>
  <c r="K6" i="3"/>
  <c r="B15" i="3"/>
  <c r="I22" i="3"/>
  <c r="L28" i="3"/>
  <c r="CC19" i="3"/>
  <c r="K31" i="3"/>
  <c r="K32" i="3"/>
  <c r="CC15" i="3"/>
  <c r="B20" i="3"/>
  <c r="B10" i="3"/>
  <c r="J29" i="3"/>
  <c r="L31" i="3"/>
  <c r="B24" i="3"/>
  <c r="B12" i="3"/>
  <c r="L30" i="3"/>
  <c r="B14" i="3"/>
  <c r="J28" i="3"/>
  <c r="CC16" i="3"/>
  <c r="K22" i="3"/>
  <c r="J26" i="3"/>
  <c r="R36" i="3"/>
  <c r="CC18" i="3"/>
  <c r="Q36" i="3"/>
  <c r="CC10" i="3"/>
  <c r="K28" i="3"/>
  <c r="J22" i="3"/>
  <c r="CC13" i="3"/>
  <c r="L32" i="3"/>
  <c r="K30" i="3"/>
  <c r="K26" i="3"/>
  <c r="L26" i="3"/>
  <c r="J27" i="3"/>
  <c r="CC8" i="3"/>
  <c r="CC7" i="3"/>
  <c r="J32" i="3"/>
  <c r="CC17" i="3"/>
  <c r="B18" i="3"/>
  <c r="K29" i="3"/>
  <c r="J30" i="3"/>
  <c r="B11" i="3"/>
  <c r="B16" i="3"/>
  <c r="L27" i="3"/>
  <c r="J31" i="3"/>
  <c r="CC9" i="3"/>
  <c r="L29" i="3"/>
  <c r="K27" i="3"/>
  <c r="CC14" i="3"/>
  <c r="CC11" i="3"/>
  <c r="CC12" i="3"/>
  <c r="CC20" i="3"/>
  <c r="B19" i="3"/>
  <c r="L6" i="3"/>
  <c r="M5" i="3" l="1"/>
  <c r="A41" i="2"/>
  <c r="N5" i="3"/>
  <c r="B23" i="3"/>
  <c r="A26" i="2" s="1"/>
  <c r="M22" i="3"/>
  <c r="N27" i="3"/>
  <c r="O27" i="3" s="1"/>
  <c r="A60" i="2"/>
  <c r="A59" i="2"/>
  <c r="A42" i="2"/>
  <c r="B78" i="2"/>
  <c r="AA1" i="2" s="1"/>
  <c r="C32" i="11"/>
  <c r="C16" i="11"/>
  <c r="B17" i="11"/>
  <c r="K7" i="3"/>
  <c r="B32" i="2"/>
  <c r="B59" i="2"/>
  <c r="B28" i="2"/>
  <c r="B29" i="2"/>
  <c r="B60" i="2"/>
  <c r="B40" i="2"/>
  <c r="J8" i="3"/>
  <c r="L5" i="11"/>
  <c r="L37" i="11"/>
  <c r="O36" i="3"/>
  <c r="M21" i="11"/>
  <c r="R37" i="11"/>
  <c r="K37" i="11"/>
  <c r="R21" i="11"/>
  <c r="L21" i="11"/>
  <c r="M37" i="11"/>
  <c r="P36" i="3"/>
  <c r="K5" i="11"/>
  <c r="P5" i="11"/>
  <c r="D8" i="11"/>
  <c r="D6" i="11"/>
  <c r="M5" i="11"/>
  <c r="B21" i="3"/>
  <c r="P21" i="11"/>
  <c r="L7" i="3"/>
  <c r="P37" i="11"/>
  <c r="K21" i="11"/>
  <c r="Q53" i="11"/>
  <c r="L53" i="11"/>
  <c r="D7" i="11"/>
  <c r="P53" i="11"/>
  <c r="K53" i="11"/>
  <c r="N36" i="3"/>
  <c r="Q5" i="11"/>
  <c r="M36" i="3"/>
  <c r="R5" i="11"/>
  <c r="N6" i="3"/>
  <c r="B18" i="11" l="1"/>
  <c r="T8" i="3"/>
  <c r="O6" i="3"/>
  <c r="K36" i="3"/>
  <c r="S36" i="3" s="1"/>
  <c r="L36" i="3"/>
  <c r="T36" i="3" s="1"/>
  <c r="C7" i="11"/>
  <c r="E7" i="11" s="1"/>
  <c r="C8" i="11"/>
  <c r="E8" i="11" s="1"/>
  <c r="R53" i="11"/>
  <c r="C6" i="11"/>
  <c r="E6" i="11" s="1"/>
  <c r="M53" i="11"/>
  <c r="C17" i="11"/>
  <c r="N32" i="3"/>
  <c r="O32" i="3" s="1"/>
  <c r="N30" i="3"/>
  <c r="O30" i="3" s="1"/>
  <c r="N29" i="3"/>
  <c r="O29" i="3" s="1"/>
  <c r="C35" i="2"/>
  <c r="N31" i="3"/>
  <c r="O31" i="3" s="1"/>
  <c r="N28" i="3"/>
  <c r="O28" i="3" s="1"/>
  <c r="B61" i="2"/>
  <c r="N26" i="3"/>
  <c r="O26" i="3" s="1"/>
  <c r="K8" i="3"/>
  <c r="C37" i="2"/>
  <c r="C36" i="2"/>
  <c r="J9" i="3"/>
  <c r="P22" i="11"/>
  <c r="K38" i="11"/>
  <c r="R6" i="11"/>
  <c r="M7" i="3"/>
  <c r="P6" i="3"/>
  <c r="M6" i="11"/>
  <c r="P6" i="11"/>
  <c r="Q54" i="11"/>
  <c r="K6" i="11"/>
  <c r="K54" i="11"/>
  <c r="K22" i="11"/>
  <c r="Q6" i="11"/>
  <c r="L6" i="11"/>
  <c r="N7" i="3"/>
  <c r="R22" i="11"/>
  <c r="P54" i="11"/>
  <c r="L54" i="11"/>
  <c r="L8" i="3"/>
  <c r="P38" i="11"/>
  <c r="M38" i="11"/>
  <c r="M22" i="11"/>
  <c r="L38" i="11"/>
  <c r="R38" i="11"/>
  <c r="M6" i="3"/>
  <c r="L22" i="11"/>
  <c r="A77" i="2" l="1"/>
  <c r="C77" i="2"/>
  <c r="A76" i="2"/>
  <c r="C76" i="2"/>
  <c r="S6" i="3"/>
  <c r="B44" i="2" s="1"/>
  <c r="O7" i="3"/>
  <c r="R6" i="3"/>
  <c r="B41" i="2" s="1"/>
  <c r="AB1" i="2" s="1"/>
  <c r="Q6" i="3"/>
  <c r="R7" i="3"/>
  <c r="B19" i="11"/>
  <c r="T9" i="3"/>
  <c r="R54" i="11"/>
  <c r="J14" i="2"/>
  <c r="M54" i="11"/>
  <c r="C18" i="11"/>
  <c r="I37" i="3"/>
  <c r="J10" i="3"/>
  <c r="K9" i="3"/>
  <c r="B37" i="2"/>
  <c r="B36" i="2"/>
  <c r="B35" i="2"/>
  <c r="M8" i="3"/>
  <c r="P55" i="11"/>
  <c r="M7" i="11"/>
  <c r="R7" i="11"/>
  <c r="P7" i="11"/>
  <c r="P39" i="11"/>
  <c r="R23" i="11"/>
  <c r="L23" i="11"/>
  <c r="K55" i="11"/>
  <c r="K7" i="11"/>
  <c r="N8" i="3"/>
  <c r="K39" i="11"/>
  <c r="Q37" i="3"/>
  <c r="L9" i="3"/>
  <c r="R37" i="3"/>
  <c r="P7" i="3"/>
  <c r="R39" i="11"/>
  <c r="Q55" i="11"/>
  <c r="L55" i="11"/>
  <c r="P23" i="11"/>
  <c r="K23" i="11"/>
  <c r="L39" i="11"/>
  <c r="Q7" i="11"/>
  <c r="M23" i="11"/>
  <c r="M39" i="11"/>
  <c r="L7" i="11"/>
  <c r="J37" i="3"/>
  <c r="S7" i="3" l="1"/>
  <c r="Q7" i="3"/>
  <c r="O8" i="3"/>
  <c r="R8" i="3"/>
  <c r="B20" i="11"/>
  <c r="T10" i="3"/>
  <c r="F76" i="2"/>
  <c r="Y1" i="2" s="1"/>
  <c r="B76" i="2"/>
  <c r="W1" i="2" s="1"/>
  <c r="B42" i="2"/>
  <c r="B77" i="2"/>
  <c r="X1" i="2" s="1"/>
  <c r="F77" i="2"/>
  <c r="Z1" i="2" s="1"/>
  <c r="B43" i="2"/>
  <c r="R55" i="11"/>
  <c r="M55" i="11"/>
  <c r="C19" i="11"/>
  <c r="I38" i="3"/>
  <c r="J11" i="3"/>
  <c r="T11" i="3" s="1"/>
  <c r="K10" i="3"/>
  <c r="B33" i="2"/>
  <c r="J13" i="2" s="1"/>
  <c r="O38" i="3"/>
  <c r="R24" i="11"/>
  <c r="M40" i="11"/>
  <c r="M8" i="11"/>
  <c r="P37" i="3"/>
  <c r="P56" i="11"/>
  <c r="J38" i="3"/>
  <c r="N9" i="3"/>
  <c r="P40" i="11"/>
  <c r="P8" i="3"/>
  <c r="L56" i="11"/>
  <c r="P8" i="11"/>
  <c r="K56" i="11"/>
  <c r="M24" i="11"/>
  <c r="M37" i="3"/>
  <c r="P24" i="11"/>
  <c r="P38" i="3"/>
  <c r="R8" i="11"/>
  <c r="K8" i="11"/>
  <c r="L24" i="11"/>
  <c r="L8" i="11"/>
  <c r="R38" i="3"/>
  <c r="Q8" i="11"/>
  <c r="Q56" i="11"/>
  <c r="K24" i="11"/>
  <c r="Q38" i="3"/>
  <c r="L10" i="3"/>
  <c r="R40" i="11"/>
  <c r="M9" i="3"/>
  <c r="L40" i="11"/>
  <c r="O37" i="3"/>
  <c r="K40" i="11"/>
  <c r="N37" i="3"/>
  <c r="K49" i="3" l="1"/>
  <c r="J49" i="3"/>
  <c r="Q8" i="3"/>
  <c r="S8" i="3"/>
  <c r="O9" i="3"/>
  <c r="R9" i="3"/>
  <c r="L37" i="3"/>
  <c r="T37" i="3" s="1"/>
  <c r="K37" i="3"/>
  <c r="S37" i="3" s="1"/>
  <c r="R56" i="11"/>
  <c r="M56" i="11"/>
  <c r="B21" i="11"/>
  <c r="C20" i="11"/>
  <c r="T38" i="3"/>
  <c r="S38" i="3"/>
  <c r="I39" i="3"/>
  <c r="J12" i="3"/>
  <c r="K11" i="3"/>
  <c r="M41" i="11"/>
  <c r="L11" i="3"/>
  <c r="P57" i="11"/>
  <c r="R41" i="11"/>
  <c r="K9" i="11"/>
  <c r="P9" i="3"/>
  <c r="R25" i="11"/>
  <c r="L57" i="11"/>
  <c r="N38" i="3"/>
  <c r="Q57" i="11"/>
  <c r="M9" i="11"/>
  <c r="Q9" i="11"/>
  <c r="L41" i="11"/>
  <c r="Q39" i="3"/>
  <c r="P39" i="3"/>
  <c r="P41" i="11"/>
  <c r="P25" i="11"/>
  <c r="M38" i="3"/>
  <c r="L25" i="11"/>
  <c r="K25" i="11"/>
  <c r="M25" i="11"/>
  <c r="P9" i="11"/>
  <c r="O39" i="3"/>
  <c r="M10" i="3"/>
  <c r="R39" i="3"/>
  <c r="J39" i="3"/>
  <c r="K57" i="11"/>
  <c r="L9" i="11"/>
  <c r="N10" i="3"/>
  <c r="R9" i="11"/>
  <c r="K41" i="11"/>
  <c r="Q9" i="3" l="1"/>
  <c r="S9" i="3"/>
  <c r="R10" i="3"/>
  <c r="O10" i="3"/>
  <c r="L38" i="3"/>
  <c r="B22" i="11"/>
  <c r="T12" i="3"/>
  <c r="K38" i="3"/>
  <c r="R57" i="11"/>
  <c r="M57" i="11"/>
  <c r="C21" i="11"/>
  <c r="T39" i="3"/>
  <c r="I40" i="3"/>
  <c r="S39" i="3"/>
  <c r="J13" i="3"/>
  <c r="K12" i="3"/>
  <c r="N11" i="3"/>
  <c r="L42" i="11"/>
  <c r="N39" i="3"/>
  <c r="L10" i="11"/>
  <c r="M42" i="11"/>
  <c r="P10" i="11"/>
  <c r="K26" i="11"/>
  <c r="R10" i="11"/>
  <c r="R42" i="11"/>
  <c r="P42" i="11"/>
  <c r="P58" i="11"/>
  <c r="K42" i="11"/>
  <c r="R40" i="3"/>
  <c r="J40" i="3"/>
  <c r="R26" i="11"/>
  <c r="Q58" i="11"/>
  <c r="P26" i="11"/>
  <c r="M11" i="3"/>
  <c r="M10" i="11"/>
  <c r="K58" i="11"/>
  <c r="P10" i="3"/>
  <c r="Q10" i="11"/>
  <c r="L58" i="11"/>
  <c r="P40" i="3"/>
  <c r="L26" i="11"/>
  <c r="M39" i="3"/>
  <c r="Q40" i="3"/>
  <c r="O40" i="3"/>
  <c r="K10" i="11"/>
  <c r="L12" i="3"/>
  <c r="M26" i="11"/>
  <c r="R11" i="3" l="1"/>
  <c r="S10" i="3"/>
  <c r="Q10" i="3"/>
  <c r="L39" i="3"/>
  <c r="O11" i="3"/>
  <c r="K39" i="3"/>
  <c r="B23" i="11"/>
  <c r="T13" i="3"/>
  <c r="R58" i="11"/>
  <c r="M58" i="11"/>
  <c r="C22" i="11"/>
  <c r="I41" i="3"/>
  <c r="T40" i="3"/>
  <c r="S40" i="3"/>
  <c r="J14" i="3"/>
  <c r="K13" i="3"/>
  <c r="O41" i="3"/>
  <c r="M40" i="3"/>
  <c r="P43" i="11"/>
  <c r="R43" i="11"/>
  <c r="K43" i="11"/>
  <c r="L13" i="3"/>
  <c r="Q11" i="11"/>
  <c r="P59" i="11"/>
  <c r="L43" i="11"/>
  <c r="L27" i="11"/>
  <c r="J41" i="3"/>
  <c r="M11" i="11"/>
  <c r="L59" i="11"/>
  <c r="P41" i="3"/>
  <c r="N12" i="3"/>
  <c r="M27" i="11"/>
  <c r="R11" i="11"/>
  <c r="K27" i="11"/>
  <c r="Q41" i="3"/>
  <c r="R41" i="3"/>
  <c r="K11" i="11"/>
  <c r="P27" i="11"/>
  <c r="L11" i="11"/>
  <c r="M43" i="11"/>
  <c r="Q59" i="11"/>
  <c r="P11" i="3"/>
  <c r="P11" i="11"/>
  <c r="K59" i="11"/>
  <c r="N40" i="3"/>
  <c r="M12" i="3"/>
  <c r="R27" i="11"/>
  <c r="R12" i="3" l="1"/>
  <c r="Q11" i="3"/>
  <c r="S11" i="3"/>
  <c r="O12" i="3"/>
  <c r="B24" i="11"/>
  <c r="T14" i="3"/>
  <c r="K40" i="3"/>
  <c r="L40" i="3"/>
  <c r="R59" i="11"/>
  <c r="M59" i="11"/>
  <c r="C23" i="11"/>
  <c r="S41" i="3"/>
  <c r="I42" i="3"/>
  <c r="T41" i="3"/>
  <c r="J15" i="3"/>
  <c r="K14" i="3"/>
  <c r="K28" i="11"/>
  <c r="P44" i="11"/>
  <c r="N13" i="3"/>
  <c r="P12" i="3"/>
  <c r="M44" i="11"/>
  <c r="R42" i="3"/>
  <c r="M28" i="11"/>
  <c r="L12" i="11"/>
  <c r="M12" i="11"/>
  <c r="Q12" i="11"/>
  <c r="N41" i="3"/>
  <c r="P60" i="11"/>
  <c r="K60" i="11"/>
  <c r="Q60" i="11"/>
  <c r="J42" i="3"/>
  <c r="K44" i="11"/>
  <c r="L14" i="3"/>
  <c r="L44" i="11"/>
  <c r="P42" i="3"/>
  <c r="M41" i="3"/>
  <c r="R44" i="11"/>
  <c r="M13" i="3"/>
  <c r="L28" i="11"/>
  <c r="O42" i="3"/>
  <c r="L60" i="11"/>
  <c r="P12" i="11"/>
  <c r="P28" i="11"/>
  <c r="R28" i="11"/>
  <c r="R12" i="11"/>
  <c r="Q42" i="3"/>
  <c r="K12" i="11"/>
  <c r="Q12" i="3" l="1"/>
  <c r="S12" i="3"/>
  <c r="O13" i="3"/>
  <c r="R13" i="3"/>
  <c r="B25" i="11"/>
  <c r="T15" i="3"/>
  <c r="L41" i="3"/>
  <c r="K41" i="3"/>
  <c r="R60" i="11"/>
  <c r="M60" i="11"/>
  <c r="C24" i="11"/>
  <c r="T42" i="3"/>
  <c r="J50" i="3" s="1"/>
  <c r="S42" i="3"/>
  <c r="L50" i="3" s="1"/>
  <c r="J16" i="3"/>
  <c r="T16" i="3" s="1"/>
  <c r="K15" i="3"/>
  <c r="L13" i="11"/>
  <c r="P29" i="11"/>
  <c r="N14" i="3"/>
  <c r="M45" i="11"/>
  <c r="P45" i="11"/>
  <c r="K61" i="11"/>
  <c r="Q13" i="11"/>
  <c r="L29" i="11"/>
  <c r="P61" i="11"/>
  <c r="R13" i="11"/>
  <c r="K29" i="11"/>
  <c r="P13" i="3"/>
  <c r="M42" i="3"/>
  <c r="K45" i="11"/>
  <c r="M29" i="11"/>
  <c r="R29" i="11"/>
  <c r="L15" i="3"/>
  <c r="M13" i="11"/>
  <c r="P13" i="11"/>
  <c r="L45" i="11"/>
  <c r="N42" i="3"/>
  <c r="M14" i="3"/>
  <c r="K13" i="11"/>
  <c r="R45" i="11"/>
  <c r="Q61" i="11"/>
  <c r="L61" i="11"/>
  <c r="Q13" i="3" l="1"/>
  <c r="S13" i="3"/>
  <c r="R14" i="3"/>
  <c r="O14" i="3"/>
  <c r="K42" i="3"/>
  <c r="L42" i="3"/>
  <c r="R61" i="11"/>
  <c r="M61" i="11"/>
  <c r="C25" i="11"/>
  <c r="B26" i="11"/>
  <c r="J17" i="3"/>
  <c r="K50" i="3"/>
  <c r="M50" i="3"/>
  <c r="K16" i="3"/>
  <c r="P14" i="11"/>
  <c r="R46" i="11"/>
  <c r="R30" i="11"/>
  <c r="R14" i="11"/>
  <c r="M46" i="11"/>
  <c r="Q14" i="11"/>
  <c r="P14" i="3"/>
  <c r="K62" i="11"/>
  <c r="L62" i="11"/>
  <c r="L46" i="11"/>
  <c r="L16" i="3"/>
  <c r="P62" i="11"/>
  <c r="P46" i="11"/>
  <c r="K30" i="11"/>
  <c r="K46" i="11"/>
  <c r="M14" i="11"/>
  <c r="N15" i="3"/>
  <c r="Q62" i="11"/>
  <c r="M30" i="11"/>
  <c r="L14" i="11"/>
  <c r="K14" i="11"/>
  <c r="P30" i="11"/>
  <c r="L30" i="11"/>
  <c r="M15" i="3"/>
  <c r="S14" i="3" l="1"/>
  <c r="Q14" i="3"/>
  <c r="R15" i="3"/>
  <c r="O15" i="3"/>
  <c r="J18" i="3"/>
  <c r="T18" i="3" s="1"/>
  <c r="T17" i="3"/>
  <c r="R62" i="11"/>
  <c r="M62" i="11"/>
  <c r="C26" i="11"/>
  <c r="B27" i="11"/>
  <c r="K17" i="3"/>
  <c r="N16" i="3"/>
  <c r="P15" i="11"/>
  <c r="L63" i="11"/>
  <c r="R31" i="11"/>
  <c r="R15" i="11"/>
  <c r="L47" i="11"/>
  <c r="M15" i="11"/>
  <c r="P15" i="3"/>
  <c r="K15" i="11"/>
  <c r="Q63" i="11"/>
  <c r="Q15" i="11"/>
  <c r="M31" i="11"/>
  <c r="L15" i="11"/>
  <c r="P63" i="11"/>
  <c r="K63" i="11"/>
  <c r="P31" i="11"/>
  <c r="R47" i="11"/>
  <c r="K31" i="11"/>
  <c r="L17" i="3"/>
  <c r="L31" i="11"/>
  <c r="P47" i="11"/>
  <c r="M47" i="11"/>
  <c r="K47" i="11"/>
  <c r="M16" i="3"/>
  <c r="Q15" i="3" l="1"/>
  <c r="S15" i="3"/>
  <c r="O16" i="3"/>
  <c r="R16" i="3"/>
  <c r="J47" i="3"/>
  <c r="J48" i="3"/>
  <c r="K47" i="3"/>
  <c r="K48" i="3"/>
  <c r="R63" i="11"/>
  <c r="M63" i="11"/>
  <c r="C27" i="11"/>
  <c r="K18" i="3"/>
  <c r="B28" i="11"/>
  <c r="M32" i="11"/>
  <c r="R32" i="11"/>
  <c r="K32" i="11"/>
  <c r="L16" i="11"/>
  <c r="P48" i="11"/>
  <c r="P32" i="11"/>
  <c r="P16" i="3"/>
  <c r="M17" i="3"/>
  <c r="L18" i="3"/>
  <c r="R48" i="11"/>
  <c r="Q64" i="11"/>
  <c r="R16" i="11"/>
  <c r="K48" i="11"/>
  <c r="K16" i="11"/>
  <c r="P16" i="11"/>
  <c r="L32" i="11"/>
  <c r="L48" i="11"/>
  <c r="N17" i="3"/>
  <c r="L64" i="11"/>
  <c r="K64" i="11"/>
  <c r="P64" i="11"/>
  <c r="Q16" i="11"/>
  <c r="M48" i="11"/>
  <c r="M16" i="11"/>
  <c r="S16" i="3" l="1"/>
  <c r="Q16" i="3"/>
  <c r="R17" i="3"/>
  <c r="O17" i="3"/>
  <c r="R64" i="11"/>
  <c r="M64" i="11"/>
  <c r="C28" i="11"/>
  <c r="L49" i="11"/>
  <c r="P65" i="11"/>
  <c r="P33" i="11"/>
  <c r="M49" i="11"/>
  <c r="K49" i="11"/>
  <c r="P17" i="3"/>
  <c r="N18" i="3"/>
  <c r="K65" i="11"/>
  <c r="Q65" i="11"/>
  <c r="K33" i="11"/>
  <c r="R17" i="11"/>
  <c r="P17" i="11"/>
  <c r="L65" i="11"/>
  <c r="M18" i="3"/>
  <c r="L33" i="11"/>
  <c r="M33" i="11"/>
  <c r="Q17" i="11"/>
  <c r="R33" i="11"/>
  <c r="K17" i="11"/>
  <c r="P49" i="11"/>
  <c r="L17" i="11"/>
  <c r="M17" i="11"/>
  <c r="R49" i="11"/>
  <c r="R18" i="3" l="1"/>
  <c r="S17" i="3"/>
  <c r="Q17" i="3"/>
  <c r="O18" i="3"/>
  <c r="R65" i="11"/>
  <c r="M65" i="11"/>
  <c r="J12" i="2"/>
  <c r="P18" i="3"/>
  <c r="Q18" i="3" l="1"/>
  <c r="J11" i="2" s="1"/>
  <c r="L48" i="3"/>
  <c r="S18" i="3"/>
  <c r="M48" i="3"/>
</calcChain>
</file>

<file path=xl/sharedStrings.xml><?xml version="1.0" encoding="utf-8"?>
<sst xmlns="http://schemas.openxmlformats.org/spreadsheetml/2006/main" count="3316" uniqueCount="2066">
  <si>
    <t>LAST</t>
  </si>
  <si>
    <t>ISIN</t>
  </si>
  <si>
    <t>Эмитент</t>
  </si>
  <si>
    <t>issuer</t>
  </si>
  <si>
    <t>Сектор</t>
  </si>
  <si>
    <t>Last</t>
  </si>
  <si>
    <t>Outlook</t>
  </si>
  <si>
    <t>Change</t>
  </si>
  <si>
    <t>Time</t>
  </si>
  <si>
    <t>Role</t>
  </si>
  <si>
    <t>EXP-Note-Nsc</t>
  </si>
  <si>
    <t>MIRA-I-Corp-LT-Nsc</t>
  </si>
  <si>
    <t>MDS-I-Corp-LT-Isc</t>
  </si>
  <si>
    <t>S&amp;P-I-Cr&amp;D-LT-Isc-Icur</t>
  </si>
  <si>
    <t>S&amp;P-I-Cr&amp;D-LT-Isc-Ncur</t>
  </si>
  <si>
    <t>S&amp;P-I-Cr&amp;D-LT-Nsc</t>
  </si>
  <si>
    <t>MDS-I-Cr&amp;D-LT-Isc-Ncur</t>
  </si>
  <si>
    <t>MIRA-I-Cr&amp;D-LT-Nsc</t>
  </si>
  <si>
    <t>EXP-C-Cr&amp;D-Nsc</t>
  </si>
  <si>
    <t>FCH-I-Dflt-LT-Isc-Icur</t>
  </si>
  <si>
    <t>MDS-I-Dflt-Isc</t>
  </si>
  <si>
    <t>IFX-I-Cr&amp;D-LT-Isc</t>
  </si>
  <si>
    <t>IFX-I-Cr&amp;D-LT-Nsc</t>
  </si>
  <si>
    <t>IFX-I-Cr&amp;D-LT-Isc-max</t>
  </si>
  <si>
    <t>IFX-I-Cr&amp;D-LT-Nsc-max</t>
  </si>
  <si>
    <t>Страна риска</t>
  </si>
  <si>
    <t>Кол-во выпусков облигаций в обращении</t>
  </si>
  <si>
    <t>Кредитный рейтинг эмиссии</t>
  </si>
  <si>
    <t>Эксперт РА</t>
  </si>
  <si>
    <t>Информация по выпуску</t>
  </si>
  <si>
    <t>x</t>
  </si>
  <si>
    <t>Дата выпуска</t>
  </si>
  <si>
    <t>y</t>
  </si>
  <si>
    <t>Дата погашения</t>
  </si>
  <si>
    <t>Купон, %</t>
  </si>
  <si>
    <t>Кол-во купонных платежей в год</t>
  </si>
  <si>
    <t>с</t>
  </si>
  <si>
    <t>по</t>
  </si>
  <si>
    <t xml:space="preserve">Анализируемый период </t>
  </si>
  <si>
    <t>Активность рынка</t>
  </si>
  <si>
    <t>Критерии активности</t>
  </si>
  <si>
    <t>Значения</t>
  </si>
  <si>
    <t>Пороговые значения</t>
  </si>
  <si>
    <t>Кол-во торговых дней</t>
  </si>
  <si>
    <t>Кол-во сделок</t>
  </si>
  <si>
    <t>Объем торгов/объем выпуска в обращении</t>
  </si>
  <si>
    <t>Наличие торгов в течение последних 30 календарных дней</t>
  </si>
  <si>
    <t>да</t>
  </si>
  <si>
    <t>Источник информации</t>
  </si>
  <si>
    <t>Рыночная котировка, % от номинала</t>
  </si>
  <si>
    <t>G-spread, б.п.</t>
  </si>
  <si>
    <t>Индикаторы рыночного риска</t>
  </si>
  <si>
    <t>DV01</t>
  </si>
  <si>
    <t>Динамика G-spread</t>
  </si>
  <si>
    <t>Сравнение с индексами корпоративных облигаций Московской биржи</t>
  </si>
  <si>
    <t>Сравнение с облигациями-аналогами</t>
  </si>
  <si>
    <t>Begin Date</t>
  </si>
  <si>
    <t>End Date</t>
  </si>
  <si>
    <t>TIME</t>
  </si>
  <si>
    <t>LAST_YIELD</t>
  </si>
  <si>
    <t>SHORTNAME_RUS</t>
  </si>
  <si>
    <t>FULLNAME_RUS</t>
  </si>
  <si>
    <t>MARKET_NAME_RUS_NRD</t>
  </si>
  <si>
    <t>Дата</t>
  </si>
  <si>
    <t>Первое число месяца</t>
  </si>
  <si>
    <t>Дата выгрузки</t>
  </si>
  <si>
    <t>G-spread</t>
  </si>
  <si>
    <t>Первое число предыдущего месяца</t>
  </si>
  <si>
    <t>Date</t>
  </si>
  <si>
    <t>DURATION</t>
  </si>
  <si>
    <t>Date Calc</t>
  </si>
  <si>
    <t>D, YEAR</t>
  </si>
  <si>
    <t>G-Curve, %</t>
  </si>
  <si>
    <t>G-spread, b.p.</t>
  </si>
  <si>
    <t>Fitch Ratings</t>
  </si>
  <si>
    <t>Эмиссия</t>
  </si>
  <si>
    <t>АКРА</t>
  </si>
  <si>
    <t>A.M. Best Company</t>
  </si>
  <si>
    <t>AK&amp;M</t>
  </si>
  <si>
    <t>Dagong</t>
  </si>
  <si>
    <t>Interfax</t>
  </si>
  <si>
    <t>JCR</t>
  </si>
  <si>
    <t>NRA</t>
  </si>
  <si>
    <t>RIA Rating</t>
  </si>
  <si>
    <t>RusRating</t>
  </si>
  <si>
    <t>DBRS</t>
  </si>
  <si>
    <t>OECD</t>
  </si>
  <si>
    <t>AMB-Bnd-Isc</t>
  </si>
  <si>
    <t>AKM-Bnd</t>
  </si>
  <si>
    <t>AKM-Fund</t>
  </si>
  <si>
    <t>AKM-MCP</t>
  </si>
  <si>
    <t>AKRA-Bnd-I-Nsc</t>
  </si>
  <si>
    <t>AKRA-Bnd-Nsc</t>
  </si>
  <si>
    <t>AKRA-BndG-Nsc</t>
  </si>
  <si>
    <t>AKRA-BndS-Nsc</t>
  </si>
  <si>
    <t>AKRA-Bnd-Sf-Nsc</t>
  </si>
  <si>
    <t>DGN-Bnd-LT-Isc-Ncur</t>
  </si>
  <si>
    <t>DGN-Bnd-LT-Isc-Icur</t>
  </si>
  <si>
    <t>DGN-Bnd-ShT-Isc-Icur</t>
  </si>
  <si>
    <t>DGN-Bnd-ShT-Isc-Ncur</t>
  </si>
  <si>
    <t>EXP-Note-S-Nsc</t>
  </si>
  <si>
    <t>EXP-Bnd-Sf-Nsc</t>
  </si>
  <si>
    <t>EXP-NoteS-Nsc</t>
  </si>
  <si>
    <t>EXP-Bnd-Isc</t>
  </si>
  <si>
    <t>EXP-Bnd-Nsc</t>
  </si>
  <si>
    <t>EXP-MCP-Nsc</t>
  </si>
  <si>
    <t>FCH-Bnd-Isc-Ncur</t>
  </si>
  <si>
    <t>FCH-Bnd-Isc</t>
  </si>
  <si>
    <t>FCH-Bnd-Nsc</t>
  </si>
  <si>
    <t>FCH-Bnd-KZsc</t>
  </si>
  <si>
    <t>FCH-Bnd-UAsc</t>
  </si>
  <si>
    <t>FCH-Bnd-RR</t>
  </si>
  <si>
    <t>FCH-Bnd-ShT-Isc-Icur</t>
  </si>
  <si>
    <t>IFX-Bnd-Isc-max</t>
  </si>
  <si>
    <t>IFX-Bnd-Nsc</t>
  </si>
  <si>
    <t>IFX-Bnd-Nsc-max</t>
  </si>
  <si>
    <t>IFX-Bnd-Isc</t>
  </si>
  <si>
    <t>JCR-Note-LT-Isc-Icur</t>
  </si>
  <si>
    <t>JCR-Note-ShT-Isc-Icur</t>
  </si>
  <si>
    <t>MDS-Bnd-Isc-Ncur</t>
  </si>
  <si>
    <t>MDS-BndS-Isc-Icur</t>
  </si>
  <si>
    <t>MDS-BndS-Isc-Ncur</t>
  </si>
  <si>
    <t>MDS-Bnd-RR</t>
  </si>
  <si>
    <t>MDS-Bnd-Isc-Icur</t>
  </si>
  <si>
    <t>MDS-Bnd-ShT-Isc-Icur</t>
  </si>
  <si>
    <t>MIRA-Bnd-Nsc</t>
  </si>
  <si>
    <t>NRA-Bnd</t>
  </si>
  <si>
    <t>RIA-Bnd</t>
  </si>
  <si>
    <t>RUS-Bnd-Isc</t>
  </si>
  <si>
    <t>RUS-Bnd-Nsc</t>
  </si>
  <si>
    <t>RUS-Fund-Isc</t>
  </si>
  <si>
    <t>RUS-MCP</t>
  </si>
  <si>
    <t>RUS-Fund-Nsc</t>
  </si>
  <si>
    <t>S&amp;P-Bnd-Isc-Icur</t>
  </si>
  <si>
    <t>S&amp;P-Bnd-Isc-Ncur</t>
  </si>
  <si>
    <t>S&amp;P-Bnd-Nsc</t>
  </si>
  <si>
    <t>S&amp;P-Bnd-KZsc</t>
  </si>
  <si>
    <t>S&amp;P-Bnd-UAsc</t>
  </si>
  <si>
    <t>S&amp;P-Bnd-RR</t>
  </si>
  <si>
    <t>S&amp;P-Bnd-ShT-Isc-Ncur</t>
  </si>
  <si>
    <t>S&amp;P-Bnd-ShT-Isc-Icur</t>
  </si>
  <si>
    <t>NCR-Bnd-Nsc</t>
  </si>
  <si>
    <t>AMB-I-Cr&amp;D-LT</t>
  </si>
  <si>
    <t>AKM-DP-Cr&amp;D</t>
  </si>
  <si>
    <t>AKM-R-Cr&amp;D</t>
  </si>
  <si>
    <t>AKM-PF-Cr&amp;D</t>
  </si>
  <si>
    <t>AKM-LC-Cr&amp;D</t>
  </si>
  <si>
    <t>AKM-I-Cr&amp;D</t>
  </si>
  <si>
    <t>AKM-AM-Cr&amp;D</t>
  </si>
  <si>
    <t>AKM-mkF-FS&amp;R</t>
  </si>
  <si>
    <t>AKM-AM-FS&amp;R</t>
  </si>
  <si>
    <t>AKM-MC-FS&amp;R</t>
  </si>
  <si>
    <t>AKM-IN-FS&amp;R</t>
  </si>
  <si>
    <t>AKM-B-Cr&amp;D</t>
  </si>
  <si>
    <t>AKRA-I-Cr&amp;D-LT-Isc-Icur</t>
  </si>
  <si>
    <t>AKRA-I-Cr&amp;D-LT-Isc-Ncur</t>
  </si>
  <si>
    <t>AKRA-I-SCA-LT-Isc</t>
  </si>
  <si>
    <t>AKRA-I-Cr&amp;D-LT-Isc</t>
  </si>
  <si>
    <t>AKRA-I-Cr&amp;D-LT-Nsc</t>
  </si>
  <si>
    <t>AKRA-I-SCA-LT-Nsc</t>
  </si>
  <si>
    <t>AKRA-I-Cr&amp;D-ShT-Isc-Icur</t>
  </si>
  <si>
    <t>AKRA-I-Cr&amp;D-ShT-Isc-Ncur</t>
  </si>
  <si>
    <t>DGN-I-Cr&amp;D-LT-Isc-Icur</t>
  </si>
  <si>
    <t>DGN-I-Cr&amp;D-LT-Isc-Ncur</t>
  </si>
  <si>
    <t>DGN-I-Cr&amp;D-ST-Isc-Icur</t>
  </si>
  <si>
    <t>DGN-I-Cr&amp;D-ST-Isc-Ncur</t>
  </si>
  <si>
    <t>DBRS-I-Cr&amp;D-LT-Isc-Ncur</t>
  </si>
  <si>
    <t>DBRS-I-Cr&amp;D-LT-Isc-Icur</t>
  </si>
  <si>
    <t>DBRS-Note-LT-Isc</t>
  </si>
  <si>
    <t>DBRS-NoteS-LT-Isc</t>
  </si>
  <si>
    <t>DBRS-B-Cr&amp;D-LT-Isc-Icur</t>
  </si>
  <si>
    <t>DBRS-I-Cr&amp;D-ShT-Isc-Ncur</t>
  </si>
  <si>
    <t>DBRS-I-Cr&amp;D-ShT-Isc-Icur</t>
  </si>
  <si>
    <t>DBRS-B-Cr&amp;D-ShT-Isc-Icur</t>
  </si>
  <si>
    <t>DBRS-Note-ShT-Isc</t>
  </si>
  <si>
    <t>EXP-FC-Cr&amp;D-Isc</t>
  </si>
  <si>
    <t>EXP-LC-Cr&amp;D-Isc</t>
  </si>
  <si>
    <t>EXP-R-Cr&amp;D-LT-Isc</t>
  </si>
  <si>
    <t>EXP-B-Cr&amp;D-Isc</t>
  </si>
  <si>
    <t>EXP-LC-Cr&amp;D-Nsc</t>
  </si>
  <si>
    <t>EXP-R-Cr&amp;D-LT-Nsc</t>
  </si>
  <si>
    <t>EXP-FC-Cr&amp;D-Nsc</t>
  </si>
  <si>
    <t>EXP-DP-Cr&amp;D-LT-Nsc</t>
  </si>
  <si>
    <t>EXP-B-Cr&amp;D-Nsc</t>
  </si>
  <si>
    <t>EXP-IN-FS&amp;R-Nsc</t>
  </si>
  <si>
    <t>EXP-C-Cr&amp;D-BYsc</t>
  </si>
  <si>
    <t>EXP-PF-Cr&amp;D-Nsc</t>
  </si>
  <si>
    <t>EXP-C-Cr&amp;D-KZsc</t>
  </si>
  <si>
    <t>EXP-IN-FS&amp;R-Isc</t>
  </si>
  <si>
    <t>EXP-C-Cr&amp;D-Isc</t>
  </si>
  <si>
    <t>EXP-INL-FS&amp;R-Isc</t>
  </si>
  <si>
    <t>EXP-NPF-FS&amp;R-Nsc</t>
  </si>
  <si>
    <t>EXP-HIM-R&amp;QS-Nsc</t>
  </si>
  <si>
    <t>EXP-FA-Cr&amp;D-Nsc</t>
  </si>
  <si>
    <t>EXP-mkF-FS&amp;R-Nsc</t>
  </si>
  <si>
    <t>EXP-IC-FS&amp;R-Nsc</t>
  </si>
  <si>
    <t>EXP-AM-R&amp;QS-Nsc</t>
  </si>
  <si>
    <t>EXP-mkF-Cr&amp;D-Nsc</t>
  </si>
  <si>
    <t>EXP-HC-Cr&amp;D-Nsc</t>
  </si>
  <si>
    <t>EXP-INL-FS&amp;R-Nsc</t>
  </si>
  <si>
    <t>EXP-GC-FS&amp;R-Nsc</t>
  </si>
  <si>
    <t>FCH-I-Dflt-LT-Isc-Ncur</t>
  </si>
  <si>
    <t>FCH-IN-FS&amp;R-LT-Isc-Icur</t>
  </si>
  <si>
    <t>FCH-IN-FS&amp;R-LT-Isc-Ncur</t>
  </si>
  <si>
    <t>FCH-I-Cr&amp;D-LT-KZsc</t>
  </si>
  <si>
    <t>FCH-I-Cr&amp;D-LT-Nsc</t>
  </si>
  <si>
    <t>FCH-IN-FS&amp;R-LT-Nsc</t>
  </si>
  <si>
    <t>FCH-I-Cr&amp;D-LT-UAsc</t>
  </si>
  <si>
    <t>FCH-I-Dflt-ShT-Isc-Ncur</t>
  </si>
  <si>
    <t>FCH-I-Dflt-ShT-Isc-Icur</t>
  </si>
  <si>
    <t>FCH-I-Cr&amp;D-ShT-Nsc</t>
  </si>
  <si>
    <t>FCH-I-Cr&amp;D-ShT-KZsc</t>
  </si>
  <si>
    <t>FCH-I-ViR</t>
  </si>
  <si>
    <t>FCH-I-Indv</t>
  </si>
  <si>
    <t>FCH-I-Supp</t>
  </si>
  <si>
    <t>FCH-I-SuppF</t>
  </si>
  <si>
    <t>JCR-I-Cr&amp;D-LT-Isc</t>
  </si>
  <si>
    <t>JCR-I-Cr&amp;D-LT-Isc-Icur</t>
  </si>
  <si>
    <t>JCR-I-Cr&amp;D-LT-Isc-Ncur</t>
  </si>
  <si>
    <t>JCR-I-Cr&amp;D-ShT-Isc-Ncur</t>
  </si>
  <si>
    <t>JCR-I-Cr&amp;D-ShT-Isc-Icur</t>
  </si>
  <si>
    <t>MDS-I-Cr&amp;D-LT-Isc</t>
  </si>
  <si>
    <t>MDS-NoteS-Isc-Icur-b</t>
  </si>
  <si>
    <t>MDS-NoteS-Isc-Ncur-b</t>
  </si>
  <si>
    <t>MDS-Note-Isc-Icur-b</t>
  </si>
  <si>
    <t>MDS-Note-Isc-Ncur-b</t>
  </si>
  <si>
    <t>MDS-I-Cr&amp;D-LT-Isc-b</t>
  </si>
  <si>
    <t>MDS-I-Cr&amp;D-LT-Isc-Ncur-b</t>
  </si>
  <si>
    <t>MDS-B-Cr&amp;D-LT-Isc-b</t>
  </si>
  <si>
    <t>MDS-Cp-RA-LT</t>
  </si>
  <si>
    <t>MDS-I-Cr&amp;D-LT-Isc-Icur</t>
  </si>
  <si>
    <t>MDS-B-Cr&amp;D-LT-Isc-Ncur</t>
  </si>
  <si>
    <t>MDS-Note-Isc-Icur</t>
  </si>
  <si>
    <t>MDS-B-Cr&amp;D-LT-Isc-Icur</t>
  </si>
  <si>
    <t>MDS-I-Corp-LT-Isc-Icur</t>
  </si>
  <si>
    <t>MDS-IN-FS&amp;R-LT-Isc-Icur</t>
  </si>
  <si>
    <t>MDS-I-Corp-LT-Isc-Ncur</t>
  </si>
  <si>
    <t>MDS-IN-FS&amp;R-LT-Isc-Ncur</t>
  </si>
  <si>
    <t>MDS-NoteS-Isc-Icur</t>
  </si>
  <si>
    <t>MDS-NoteS-Isc-Ncur</t>
  </si>
  <si>
    <t>MDS-IN-FS&amp;R-LT-Isc</t>
  </si>
  <si>
    <t>MDS-Note-Isc-Ncur</t>
  </si>
  <si>
    <t>MDS-Cp-RA-LT-Icur</t>
  </si>
  <si>
    <t>MDS-Cp-RA-LT-Ncur</t>
  </si>
  <si>
    <t>MDS-B-Cr&amp;D-LT-Isc-Icur-b</t>
  </si>
  <si>
    <t>MDS-I-Cr&amp;D-LT-Isc-Icur-b</t>
  </si>
  <si>
    <t>MDS-B-Cr&amp;D-LT-Isc-Ncur-b</t>
  </si>
  <si>
    <t>MDS-Note-Isc</t>
  </si>
  <si>
    <t>MDS-B-Cr&amp;D-LT-KZsc</t>
  </si>
  <si>
    <t>MDS-B-Cr&amp;D-LT-UAsc</t>
  </si>
  <si>
    <t>MDS-I-Corp-LT-UAsc</t>
  </si>
  <si>
    <t>MDS-I-Corp-LT-Kzsc</t>
  </si>
  <si>
    <t>MDS-B-Cr&amp;D-ShT-Isc-b</t>
  </si>
  <si>
    <t>MDS-I-Cr&amp;D-ShT-Isc-Ncur</t>
  </si>
  <si>
    <t>MDS-Cp-RA-ShT</t>
  </si>
  <si>
    <t>MDS-I-Cr&amp;D-ShT-Isc-Icur</t>
  </si>
  <si>
    <t>MDS-B-Cr&amp;D-ShT-Isc-Icur</t>
  </si>
  <si>
    <t>MDS-B-Cr&amp;D-ShT-Isc-Ncur</t>
  </si>
  <si>
    <t>MDS-IN-FS&amp;R-ShT-Isc</t>
  </si>
  <si>
    <t>MDS-Cp-RA-ST-Icur</t>
  </si>
  <si>
    <t>MDS-Cp-RA-ST-Ncur</t>
  </si>
  <si>
    <t>MDS-I-Cr&amp;D-ShT-Isc</t>
  </si>
  <si>
    <t>MDS-B-Cr&amp;D-ShT-Isc-Icur-b</t>
  </si>
  <si>
    <t>MDS-I-Cr&amp;D-ShT-Isc-b</t>
  </si>
  <si>
    <t>MDS-B-Cr&amp;D-ShT-Isc-Ncur-b</t>
  </si>
  <si>
    <t>MDS-B-FS&amp;R</t>
  </si>
  <si>
    <t>MDS-I-Cr&amp;D</t>
  </si>
  <si>
    <t>MIRA-B-Cr&amp;D-LT-Nsc</t>
  </si>
  <si>
    <t>MIRA-I-Corp-LT-Nsc-Icur</t>
  </si>
  <si>
    <t>NRA-HС-Cr&amp;D-Nsc</t>
  </si>
  <si>
    <t>NRA-INL-FS&amp;R</t>
  </si>
  <si>
    <t>NRA-I-Cr&amp;D-Nsc</t>
  </si>
  <si>
    <t>NRA-IС-R&amp;QS-Nsc</t>
  </si>
  <si>
    <t>NRA-DP-FS&amp;R-LT-Nsc</t>
  </si>
  <si>
    <t>NRA-NPF-FS&amp;R-LT-Nsc</t>
  </si>
  <si>
    <t>NRA-AM-R&amp;QS-LT-Nsc</t>
  </si>
  <si>
    <t>NRA-NPF-R&amp;QS-LT-Nsc</t>
  </si>
  <si>
    <t>NRA-IN-R&amp;QS-LT-Nsc</t>
  </si>
  <si>
    <t>NRA-IС-R&amp;QS-LT-Nsc</t>
  </si>
  <si>
    <t>NRA-B-Cr&amp;D-Isc</t>
  </si>
  <si>
    <t>NRA-I-Cr&amp;D-Isc</t>
  </si>
  <si>
    <t>NRA-HС-Cr&amp;D-Isc</t>
  </si>
  <si>
    <t>NRA-mkF-Cr&amp;D</t>
  </si>
  <si>
    <t>NRA-LC-FS&amp;R</t>
  </si>
  <si>
    <t>NRA-MC-Cr&amp;D</t>
  </si>
  <si>
    <t>NRA-R-Cr&amp;D</t>
  </si>
  <si>
    <t>NRA-DP-Cr&amp;D</t>
  </si>
  <si>
    <t>NRA-LC-Cr&amp;D</t>
  </si>
  <si>
    <t>NRA-DP-FS&amp;R</t>
  </si>
  <si>
    <t>NRA-NPF-FS&amp;R</t>
  </si>
  <si>
    <t>NRA-B-Cr&amp;D-Nsc</t>
  </si>
  <si>
    <t>NRA-IN-FS&amp;R</t>
  </si>
  <si>
    <t>NRA-AM-FS&amp;R</t>
  </si>
  <si>
    <t>NRA-IC-FS&amp;R</t>
  </si>
  <si>
    <t>NRA-RG-FS&amp;R</t>
  </si>
  <si>
    <t>NRA-AM-R&amp;QS-Nsc</t>
  </si>
  <si>
    <t>NRA-NPF-R&amp;QS-Nsc</t>
  </si>
  <si>
    <t>NRA-IN-R&amp;QS-Nsc</t>
  </si>
  <si>
    <t>NRA-mkF-FS&amp;R</t>
  </si>
  <si>
    <t>NRA-IC-Cr&amp;D</t>
  </si>
  <si>
    <t>NRA-IN-Cr&amp;D-Nsc</t>
  </si>
  <si>
    <t>RIA-B-Cr&amp;D</t>
  </si>
  <si>
    <t>RIA-IC-FS&amp;R</t>
  </si>
  <si>
    <t>RIA-R-Cr&amp;D</t>
  </si>
  <si>
    <t>RUS-B-Cr&amp;D-Isc</t>
  </si>
  <si>
    <t>RUS-IC-FS&amp;R-Nsc</t>
  </si>
  <si>
    <t>RUS-mkF-Cr&amp;D-Nsc</t>
  </si>
  <si>
    <t>RUS-NPF-FS&amp;R-Nsc</t>
  </si>
  <si>
    <t>RUS-AM-FS&amp;R-Isc</t>
  </si>
  <si>
    <t>RUS-IC-FS&amp;R-Isc</t>
  </si>
  <si>
    <t>RUS-I-Cr&amp;D-Isc</t>
  </si>
  <si>
    <t>RUS-NPF-FS&amp;R-Isc</t>
  </si>
  <si>
    <t>RUS-AM-FS&amp;R-Nsc</t>
  </si>
  <si>
    <t>RUS-I-Cr&amp;D-Nsc</t>
  </si>
  <si>
    <t>RUS-B-Cr&amp;D-Nsc</t>
  </si>
  <si>
    <t>S&amp;P-IN-FS&amp;R-Isc-Ncur</t>
  </si>
  <si>
    <t>S&amp;P-Cp-RA-LT-Icur</t>
  </si>
  <si>
    <t>S&amp;P-Cp-RA-LT-Ncur</t>
  </si>
  <si>
    <t>S&amp;P-IN-FS&amp;R-Isc-Icur</t>
  </si>
  <si>
    <t>S&amp;P-I-Cr&amp;D-LT-UAsc</t>
  </si>
  <si>
    <t>S&amp;P-I-Cr&amp;D-LT-KZsc</t>
  </si>
  <si>
    <t>S&amp;P-I-Cr&amp;D-ShT-Isc-Ncur</t>
  </si>
  <si>
    <t>S&amp;P-I-Cr&amp;D-ShT-Isc-Icur</t>
  </si>
  <si>
    <t>S&amp;P-Cp-RA-ST-Icur</t>
  </si>
  <si>
    <t>S&amp;P-Cp-RA-ST-Ncur</t>
  </si>
  <si>
    <t>S&amp;P-I-Corp</t>
  </si>
  <si>
    <t>NCR-I-SCA-LT-Nsc</t>
  </si>
  <si>
    <t>FCH-C-CC</t>
  </si>
  <si>
    <t>MDS-Bnd-CC-LT-Icur</t>
  </si>
  <si>
    <t>MDS-Bnk-CC-LT-Icur</t>
  </si>
  <si>
    <t>MDS-Bnd-CC-LT-Ncur</t>
  </si>
  <si>
    <t>MDS-Bnk-CC-LT-Ncur</t>
  </si>
  <si>
    <t>MDS-Bnd-CC-ShT-Icur</t>
  </si>
  <si>
    <t>MDS-Bnk-CC-ShT-Icur</t>
  </si>
  <si>
    <t>OESR-CRC</t>
  </si>
  <si>
    <t>S&amp;P-C-T&amp;C</t>
  </si>
  <si>
    <t>Кодовое имя</t>
  </si>
  <si>
    <t>Рейтинг</t>
  </si>
  <si>
    <t>Агенство</t>
  </si>
  <si>
    <t>Рейтинг эмиссии</t>
  </si>
  <si>
    <t>Рейтинг эмитента</t>
  </si>
  <si>
    <t>Активность</t>
  </si>
  <si>
    <t>Название агенства</t>
  </si>
  <si>
    <t>DEAL_ACC.SUM</t>
  </si>
  <si>
    <t>DEAL_ACC.CNN</t>
  </si>
  <si>
    <t>VAL_ACC.SUM</t>
  </si>
  <si>
    <t>SumMarketVal</t>
  </si>
  <si>
    <t>%</t>
  </si>
  <si>
    <t>Информация</t>
  </si>
  <si>
    <t>cpn_rate</t>
  </si>
  <si>
    <t>offer_date</t>
  </si>
  <si>
    <t>mty_date</t>
  </si>
  <si>
    <t>current_fv</t>
  </si>
  <si>
    <t>CouponPerYear</t>
  </si>
  <si>
    <t>convexity</t>
  </si>
  <si>
    <t>duration_n</t>
  </si>
  <si>
    <t>duration</t>
  </si>
  <si>
    <t>Аналоги</t>
  </si>
  <si>
    <t>Рынок</t>
  </si>
  <si>
    <t>FaceFTName</t>
  </si>
  <si>
    <t>Московская биржа</t>
  </si>
  <si>
    <t>Аналоги график</t>
  </si>
  <si>
    <t>Доходность</t>
  </si>
  <si>
    <t>Дюрация</t>
  </si>
  <si>
    <t>NickName</t>
  </si>
  <si>
    <t>Y2O_LAST</t>
  </si>
  <si>
    <t>DURATION_O</t>
  </si>
  <si>
    <t>Рейтинг эмиссии (значения)</t>
  </si>
  <si>
    <t>Рейтинг эмитента (значения)</t>
  </si>
  <si>
    <t>Name</t>
  </si>
  <si>
    <t>Отрасль</t>
  </si>
  <si>
    <t>G-curve, DUR_O</t>
  </si>
  <si>
    <t>DUR_O</t>
  </si>
  <si>
    <t>Короткое название</t>
  </si>
  <si>
    <t>Полное название</t>
  </si>
  <si>
    <t>PAR</t>
  </si>
  <si>
    <t>is_lombard</t>
  </si>
  <si>
    <t>Ломбард</t>
  </si>
  <si>
    <t>признак включения в ломбардный список БР (0 / 1)</t>
  </si>
  <si>
    <t>exch_main</t>
  </si>
  <si>
    <t>Площадка</t>
  </si>
  <si>
    <t>название основной площадки, на которой торгуется бумага</t>
  </si>
  <si>
    <t>listing_level</t>
  </si>
  <si>
    <t>Листинг</t>
  </si>
  <si>
    <t>уровень листинга Мосбиржи (1, 2 или 3)</t>
  </si>
  <si>
    <t>sum_mktval</t>
  </si>
  <si>
    <t>Сумма в обращ.</t>
  </si>
  <si>
    <t>объем в обращении в валюте номинала</t>
  </si>
  <si>
    <t>sum_mktvol</t>
  </si>
  <si>
    <t>Объем в обращ.</t>
  </si>
  <si>
    <t>объем в обращении в штуках</t>
  </si>
  <si>
    <t>CPN</t>
  </si>
  <si>
    <t>cpn_no</t>
  </si>
  <si>
    <t>Номер купона</t>
  </si>
  <si>
    <t>номер текущего купона</t>
  </si>
  <si>
    <t>cpn_begdate</t>
  </si>
  <si>
    <t>Начало купона</t>
  </si>
  <si>
    <t>дата начала текущего купона</t>
  </si>
  <si>
    <t>cpn_enddate</t>
  </si>
  <si>
    <t>Дата купона</t>
  </si>
  <si>
    <t>дата окончания текущего купона</t>
  </si>
  <si>
    <t>cpn_period</t>
  </si>
  <si>
    <t>Купонный период</t>
  </si>
  <si>
    <t>дней в текущем купонном периоде</t>
  </si>
  <si>
    <t>cpn_fixlist</t>
  </si>
  <si>
    <t>Дата фикс.купона</t>
  </si>
  <si>
    <t>дата фиксации списка на выплату купона</t>
  </si>
  <si>
    <t>Купонная ставка</t>
  </si>
  <si>
    <t>ставка текущего купона, % годовых</t>
  </si>
  <si>
    <t>cpn_value</t>
  </si>
  <si>
    <t>Купонная выплата</t>
  </si>
  <si>
    <t>выплата на облигацию в валюте номинала</t>
  </si>
  <si>
    <t>cpn_paydate</t>
  </si>
  <si>
    <t>Дата купона (факт)</t>
  </si>
  <si>
    <t>дата реальной выплаты купона</t>
  </si>
  <si>
    <t>cpn_knownno</t>
  </si>
  <si>
    <t>№ посл.изв.купона</t>
  </si>
  <si>
    <t>номер последнего известного купона</t>
  </si>
  <si>
    <t>cpn_knowndate</t>
  </si>
  <si>
    <t>Дата посл.изв.купона</t>
  </si>
  <si>
    <t>дата окончания последнего известного купона</t>
  </si>
  <si>
    <t>newcpn_date</t>
  </si>
  <si>
    <t>Дата опред.купона</t>
  </si>
  <si>
    <t>ближайшая дата определения неизвестных будущих купонов</t>
  </si>
  <si>
    <t>MTY</t>
  </si>
  <si>
    <t>ближайшая дата погашения части номинала</t>
  </si>
  <si>
    <t>mty_fixdate</t>
  </si>
  <si>
    <t>Дата фикс.погашения</t>
  </si>
  <si>
    <t>дата фиксации списка на выплату погашения</t>
  </si>
  <si>
    <t>mty_part</t>
  </si>
  <si>
    <t>Доля% погашения</t>
  </si>
  <si>
    <t>погашаемый % от первоначального номинала</t>
  </si>
  <si>
    <t>mty_value</t>
  </si>
  <si>
    <t>Размер погашения</t>
  </si>
  <si>
    <t>mty_paydate</t>
  </si>
  <si>
    <t>Дата погаш.(факт)</t>
  </si>
  <si>
    <t>реальная дата погашения/выплаты</t>
  </si>
  <si>
    <t>CALL</t>
  </si>
  <si>
    <t>call_date</t>
  </si>
  <si>
    <t>Дата доср.погашения</t>
  </si>
  <si>
    <t>дата досрочного погашения, опцион эмитента</t>
  </si>
  <si>
    <t>Дата оферты</t>
  </si>
  <si>
    <t>расчетная дата (ближайшей) оферты</t>
  </si>
  <si>
    <t>offer_end</t>
  </si>
  <si>
    <t>Дата фикс.выкупа</t>
  </si>
  <si>
    <t>дата окончания периода предъявления к выкупу</t>
  </si>
  <si>
    <t>offer_price</t>
  </si>
  <si>
    <t>Цена оферты</t>
  </si>
  <si>
    <t>цена выкупа, % от номинала, полная (с НКД)</t>
  </si>
  <si>
    <t>offer_paydate</t>
  </si>
  <si>
    <t>Дата выкупа (факт)</t>
  </si>
  <si>
    <t>дата реального выкупа</t>
  </si>
  <si>
    <t>CONV</t>
  </si>
  <si>
    <t>conv_begdate</t>
  </si>
  <si>
    <t>Начало конвертации</t>
  </si>
  <si>
    <t>дата начала конвертации (ближайшей)</t>
  </si>
  <si>
    <t>conv_enddate</t>
  </si>
  <si>
    <t>Дата конвертации</t>
  </si>
  <si>
    <t>дата окончания конвертации (ближайшей)</t>
  </si>
  <si>
    <t>conv_coeff</t>
  </si>
  <si>
    <t>Коэф.конвертации</t>
  </si>
  <si>
    <t>коэффициент конвертации (ближайшей)</t>
  </si>
  <si>
    <t>conv_fintoolid</t>
  </si>
  <si>
    <t>ID бумаги конвертации</t>
  </si>
  <si>
    <t>ID ценной бумаги, в которую совершается конвертация</t>
  </si>
  <si>
    <t>DFLT</t>
  </si>
  <si>
    <t>default_date</t>
  </si>
  <si>
    <t>Дата дефолта</t>
  </si>
  <si>
    <t>дата дефолта</t>
  </si>
  <si>
    <t>default_type</t>
  </si>
  <si>
    <t>Тип дефолта</t>
  </si>
  <si>
    <t>тип дефолта, либо отсутствие на заданную дату</t>
  </si>
  <si>
    <t>event_type</t>
  </si>
  <si>
    <t>Событие дефолта</t>
  </si>
  <si>
    <t>тип события, на котором возник дефолт</t>
  </si>
  <si>
    <t>duty_paydate</t>
  </si>
  <si>
    <t>Дата исполн.обязательств</t>
  </si>
  <si>
    <t>дата реального исполнения обязательства</t>
  </si>
  <si>
    <t>AUCT</t>
  </si>
  <si>
    <t>auct_exch</t>
  </si>
  <si>
    <t>Площадка аукциона</t>
  </si>
  <si>
    <t>название площадки, на кторой пройдет (до)размещение</t>
  </si>
  <si>
    <t>auct_begdate</t>
  </si>
  <si>
    <t>Начало аукциона</t>
  </si>
  <si>
    <t>дата начала (до)размещения (ближайшего)</t>
  </si>
  <si>
    <t>auct_askval</t>
  </si>
  <si>
    <t>Сумма размещения</t>
  </si>
  <si>
    <t>объем (до)размещаемых облигаций, в валюте номинала</t>
  </si>
  <si>
    <t>auct_askvol</t>
  </si>
  <si>
    <t>Объем размещения</t>
  </si>
  <si>
    <t>количество (до)размещаемых облигаций, штук</t>
  </si>
  <si>
    <t>auct_enddate</t>
  </si>
  <si>
    <t>Дата аукциона</t>
  </si>
  <si>
    <t>дата окончания (до)размещения (ближайшего)</t>
  </si>
  <si>
    <t>CALC</t>
  </si>
  <si>
    <t>accrued_int</t>
  </si>
  <si>
    <t>НКД</t>
  </si>
  <si>
    <t>НКД в валюте номинала</t>
  </si>
  <si>
    <t>accrued_int_pct</t>
  </si>
  <si>
    <t>НКД%</t>
  </si>
  <si>
    <t>НКД в % от номинала</t>
  </si>
  <si>
    <t>Текущ.номинал</t>
  </si>
  <si>
    <t>текущий номинал в валюте номинала</t>
  </si>
  <si>
    <t>current_fv_pct</t>
  </si>
  <si>
    <t>Текущ.номинал%</t>
  </si>
  <si>
    <t>текущий номинал в % от первоначального номинала</t>
  </si>
  <si>
    <t>fairvalue_avg</t>
  </si>
  <si>
    <t>ТСС средневзв.</t>
  </si>
  <si>
    <t>ТСС в валюте номинала, средневзв.цена биржи</t>
  </si>
  <si>
    <t>fairvalue_nfa</t>
  </si>
  <si>
    <t>ТСС ЦЦ НРД</t>
  </si>
  <si>
    <t>ТСС в валюте номинала, НРД</t>
  </si>
  <si>
    <t>mty_sumcpn</t>
  </si>
  <si>
    <t>Сумм.купон.до погаш.</t>
  </si>
  <si>
    <t>сумма купонов до погашения</t>
  </si>
  <si>
    <t>offer_sumcpn</t>
  </si>
  <si>
    <t>Сумм.купон.до оферт.</t>
  </si>
  <si>
    <t>сумма купонов до ближайшей оферты</t>
  </si>
  <si>
    <t>full_name_rus</t>
  </si>
  <si>
    <t>comment_rus</t>
  </si>
  <si>
    <t>ACCRUEDINT</t>
  </si>
  <si>
    <t>Накопленный купонный доход (= ставка купона * количество дней с момента начала очереного купонного периода)</t>
  </si>
  <si>
    <t>ADMQUOTE</t>
  </si>
  <si>
    <t>Призн.котир.</t>
  </si>
  <si>
    <t>Признаваемая котировка, рассчитываемая в соответствии Положением о порядке и сроках определения стоимости чистых активов акционерных инвестиционных фондов, стоимости чистых активов паевых инвестиционных фондов, расчетной стоимости инвестиционных паев паевых инвестиционных фондов, а также стоимости чистых активов акционерных инвестиционных фондов в расчете на одну акцию (утв. приказом Федеральной службы по финансовым рынкам от 15 июня 2005 г. № 05-21/пз-н)</t>
  </si>
  <si>
    <t>AKM_BL_N</t>
  </si>
  <si>
    <t>РО-К-Н-АКМ</t>
  </si>
  <si>
    <t>Рейтинг облигационного займа по национальной шкале - AK&amp;M</t>
  </si>
  <si>
    <t>AKM_E_N</t>
  </si>
  <si>
    <t>РЭ-К-Н-АКМ</t>
  </si>
  <si>
    <t>Кредитный рейтинг эмитента по национальной шкале - AK&amp;M</t>
  </si>
  <si>
    <t>ASK</t>
  </si>
  <si>
    <t>Продажа</t>
  </si>
  <si>
    <t>Лучшая цена продажи в валюте торгов</t>
  </si>
  <si>
    <t>ASK_SIZE</t>
  </si>
  <si>
    <t>Прод. объём</t>
  </si>
  <si>
    <t>Объем по лучшей цене продажи в штуках</t>
  </si>
  <si>
    <t>ASK_SIZE_TOTAL</t>
  </si>
  <si>
    <t>Объем предл.</t>
  </si>
  <si>
    <t>Полный объем предложения</t>
  </si>
  <si>
    <t>AVGE_CHNG</t>
  </si>
  <si>
    <t>Изм.средневзв.</t>
  </si>
  <si>
    <t>Изменение средневзвешенной цены за текущий торговый день к средневзвешенной цене предыдущего торгового дня в пунктах (= средневзвешенная цена - цена закрытия предыдущего торгового дня)</t>
  </si>
  <si>
    <t>AVGE_CHNG_PCT</t>
  </si>
  <si>
    <t>%Изм.средневзв.</t>
  </si>
  <si>
    <t>Относительное изменение средневзвешенной цены к средневзвешенной предыдущего дня в % (= Средневзвешенная цена / Средневзвешенная цена на закрытие предыдущего торгового дня - 1)</t>
  </si>
  <si>
    <t>AVGE_PRCE</t>
  </si>
  <si>
    <t>Средневзв.</t>
  </si>
  <si>
    <t>Средневзвешенная цена за текущий торговый день</t>
  </si>
  <si>
    <t>AVGE_YIELD</t>
  </si>
  <si>
    <t>Дох-П Срвз</t>
  </si>
  <si>
    <t>Доходность по средневзвешенной цене текущего торгового дня</t>
  </si>
  <si>
    <t>BID</t>
  </si>
  <si>
    <t>Покупка</t>
  </si>
  <si>
    <t>Лучшая цена покупки в валюте торгов</t>
  </si>
  <si>
    <t>BID_SIZE</t>
  </si>
  <si>
    <t>Пок. объём</t>
  </si>
  <si>
    <t>Объем по лучшей цене покупки в штуках</t>
  </si>
  <si>
    <t>BID_SIZE_TOTAL</t>
  </si>
  <si>
    <t>Объем спроса</t>
  </si>
  <si>
    <t>Полный объем спроса</t>
  </si>
  <si>
    <t>BOARDID</t>
  </si>
  <si>
    <t>Код режима</t>
  </si>
  <si>
    <t>Код режима торгов</t>
  </si>
  <si>
    <t>BOARDNAME</t>
  </si>
  <si>
    <t>Котир.лист</t>
  </si>
  <si>
    <t>Режим торгов и/или Котировальный лист</t>
  </si>
  <si>
    <t>BUYBACKDATE</t>
  </si>
  <si>
    <t>Дата обр.выкупа</t>
  </si>
  <si>
    <t>Дата обратного выкупа</t>
  </si>
  <si>
    <t>BUYBACKPRICE</t>
  </si>
  <si>
    <t>Цена обр.выкупа</t>
  </si>
  <si>
    <t>Цена обратного выкупа (по оферте)</t>
  </si>
  <si>
    <t>CBR_LOMBARD</t>
  </si>
  <si>
    <t>CBR_PLEDGE</t>
  </si>
  <si>
    <t>Залог РЕПО</t>
  </si>
  <si>
    <t>CHNG</t>
  </si>
  <si>
    <t>Изм.</t>
  </si>
  <si>
    <t>Изменение цены последней сделки к цене закрытия предыдущего дня в пунктах (= цена последней сделки - цена закрытия предыдущего торгового дня)</t>
  </si>
  <si>
    <t>CHNG_M</t>
  </si>
  <si>
    <t>Изм. мес.</t>
  </si>
  <si>
    <t>Изменение цены последней сделки к цене закрытия месяц назад в пунктах</t>
  </si>
  <si>
    <t>CHNG_M_PCT</t>
  </si>
  <si>
    <t>%Изм. мес.</t>
  </si>
  <si>
    <t>Относительное изменение цены последней сделки к цене закрытия месяц назад в %</t>
  </si>
  <si>
    <t>CHNG_PCT</t>
  </si>
  <si>
    <t>%Изм.</t>
  </si>
  <si>
    <t>Относительное изменение цены последней сделки к цене закрытия предыдущего дня в % (= Цена последней сделки / Цена закрытия предыдущего торгового дня - 1)</t>
  </si>
  <si>
    <t>CHNG_W</t>
  </si>
  <si>
    <t>Изм. нед.</t>
  </si>
  <si>
    <t>Изменение цены последней сделки к цене закрытия неделю назад в пунктах</t>
  </si>
  <si>
    <t>CHNG_W_PCT</t>
  </si>
  <si>
    <t>%Изм. нед.</t>
  </si>
  <si>
    <t>Относительное изменение цены последней сделки к цене закрытия неделю назад в %</t>
  </si>
  <si>
    <t>CHNG_Y</t>
  </si>
  <si>
    <t>Изм. год.</t>
  </si>
  <si>
    <t>Изменение цены последней сделки к цене закрытия год назад в пунктах</t>
  </si>
  <si>
    <t>CHNG_Y_PCT</t>
  </si>
  <si>
    <t>%Изм. год.</t>
  </si>
  <si>
    <t>Относительное изменение цены последней сделки к цене закрытия год назад в %</t>
  </si>
  <si>
    <t>CLOSE</t>
  </si>
  <si>
    <t>Закр. пред. дня</t>
  </si>
  <si>
    <t>Цена закрытия предыдущего дня в валюте торгов</t>
  </si>
  <si>
    <t>CONSENSUS_NUM_EST</t>
  </si>
  <si>
    <t>КолРек</t>
  </si>
  <si>
    <t>Количество рекомендаций</t>
  </si>
  <si>
    <t>CONSENSUS_TIME</t>
  </si>
  <si>
    <t>Дата последней оценки (подтверждение , изменение и т.д.)</t>
  </si>
  <si>
    <t>CONVEXITY</t>
  </si>
  <si>
    <t>Выпукл-П</t>
  </si>
  <si>
    <t>Выпуклость к погашению</t>
  </si>
  <si>
    <t>CONVEXITY_AGG</t>
  </si>
  <si>
    <t>Выпукл-С</t>
  </si>
  <si>
    <t>Выпуклость сводная</t>
  </si>
  <si>
    <t>CONVEXITY_O</t>
  </si>
  <si>
    <t>Выпукл-О</t>
  </si>
  <si>
    <t>Выпуклость к оферте</t>
  </si>
  <si>
    <t>Купон</t>
  </si>
  <si>
    <t>Размер ближайшего купона (облигации)</t>
  </si>
  <si>
    <t>CPN_DATE</t>
  </si>
  <si>
    <t>Дата очередной купонной выплаты (облигации)</t>
  </si>
  <si>
    <t>CPN_PERIOD</t>
  </si>
  <si>
    <t>Купон.период</t>
  </si>
  <si>
    <t>Купонный период в днях</t>
  </si>
  <si>
    <t>CPPRICE</t>
  </si>
  <si>
    <t>Период закр.</t>
  </si>
  <si>
    <t>Цена периода закрытия в валюте торгов</t>
  </si>
  <si>
    <t>DEAL_ACC</t>
  </si>
  <si>
    <t>Сделок</t>
  </si>
  <si>
    <t>Количество сделок за текущий торговый день</t>
  </si>
  <si>
    <t>DISCOUNT</t>
  </si>
  <si>
    <t>Дисконт</t>
  </si>
  <si>
    <t>DNT06BEG</t>
  </si>
  <si>
    <t>Днт06нач</t>
  </si>
  <si>
    <t>Начальный дисконт для сроков РЕПО до 6 дней</t>
  </si>
  <si>
    <t>DNT06MAX</t>
  </si>
  <si>
    <t>Днт06макс</t>
  </si>
  <si>
    <t>Максимальный дисконт для сроков РЕПО до 6 дней</t>
  </si>
  <si>
    <t>DNT06MIN</t>
  </si>
  <si>
    <t>Днт06мин</t>
  </si>
  <si>
    <t>Минимальный дисконт для сроков РЕПО до 6 дней</t>
  </si>
  <si>
    <t>DNT120BEG</t>
  </si>
  <si>
    <t>Днт90нач</t>
  </si>
  <si>
    <t>Начальный дисконт для сроков РЕПО от 15 до 90 дней</t>
  </si>
  <si>
    <t>DNT120MAX</t>
  </si>
  <si>
    <t>Днт90макс</t>
  </si>
  <si>
    <t>Максимальный дисконт для сроков РЕПО от 15 до 90 дней</t>
  </si>
  <si>
    <t>DNT120MIN</t>
  </si>
  <si>
    <t>Днт90мин</t>
  </si>
  <si>
    <t>Минимальный дисконт для сроков РЕПО от 15 до 90 дней</t>
  </si>
  <si>
    <t>DNT14BEG</t>
  </si>
  <si>
    <t>Днт14нач</t>
  </si>
  <si>
    <t>Начальный дисконт для сроков РЕПО от 7 до 14 дней</t>
  </si>
  <si>
    <t>DNT14MAX</t>
  </si>
  <si>
    <t>Днт14макс</t>
  </si>
  <si>
    <t>Максимальный дисконт для сроков РЕПО от 7 до 14 дней</t>
  </si>
  <si>
    <t>DNT14MIN</t>
  </si>
  <si>
    <t>Днт14мин</t>
  </si>
  <si>
    <t>Минимальный дисконт для сроков РЕПО от 7 до 14 дней</t>
  </si>
  <si>
    <t>DNT200BEG</t>
  </si>
  <si>
    <t>Днт180нач</t>
  </si>
  <si>
    <t>Начальный дисконт для сроков РЕПО от 91 до 180 дней</t>
  </si>
  <si>
    <t>DNT200MAX</t>
  </si>
  <si>
    <t>Днт180макс</t>
  </si>
  <si>
    <t>Максимальный дисконт для сроков РЕПО от 91 до 180 дней</t>
  </si>
  <si>
    <t>DNT200MIN</t>
  </si>
  <si>
    <t>Днт180мин</t>
  </si>
  <si>
    <t>Минимальный дисконт для сроков РЕПО от 91 до 180 дней</t>
  </si>
  <si>
    <t>DNT365BEG</t>
  </si>
  <si>
    <t>Днт365нач</t>
  </si>
  <si>
    <t>Начальный дисконт для сроков РЕПО от 201 до 365 дней</t>
  </si>
  <si>
    <t>DNT365MAX</t>
  </si>
  <si>
    <t>Днт365макс</t>
  </si>
  <si>
    <t>Максимальный дисконт для сроков РЕПО от 201 до 365 дней</t>
  </si>
  <si>
    <t>DNT365MIN</t>
  </si>
  <si>
    <t>Днт365мин</t>
  </si>
  <si>
    <t>Минимальный дисконт для сроков РЕПО от 201 до 365 дней</t>
  </si>
  <si>
    <t>ДюрМак-П</t>
  </si>
  <si>
    <t>Дюрация по Маколею</t>
  </si>
  <si>
    <t>DURATION_AGG</t>
  </si>
  <si>
    <t>ДюрМак-С</t>
  </si>
  <si>
    <t>Сводная дюрация</t>
  </si>
  <si>
    <t>DURATION_N</t>
  </si>
  <si>
    <t>Дюр.мод-П</t>
  </si>
  <si>
    <t>Дюрация к погашению модифицированная</t>
  </si>
  <si>
    <t>ДюрМак-О</t>
  </si>
  <si>
    <t>Дюрация к оферте</t>
  </si>
  <si>
    <t>DURATION_ON</t>
  </si>
  <si>
    <t>Дюр.мод-О</t>
  </si>
  <si>
    <t>Дюрация к оферте модифицированная</t>
  </si>
  <si>
    <t>EXCH</t>
  </si>
  <si>
    <t>Краткое наименование торговой площадки</t>
  </si>
  <si>
    <t>EXP_BL_N</t>
  </si>
  <si>
    <t>РО-К-Н-ЭксРА</t>
  </si>
  <si>
    <t>Рейтинг облигационного займа по национальной шкале - Эксперт РА</t>
  </si>
  <si>
    <t>EXP_E_N</t>
  </si>
  <si>
    <t>РЭ-К-Н-ЭксРА</t>
  </si>
  <si>
    <t>Кредитный рейтинг эмитента по национальной шкале - Эксперт РА</t>
  </si>
  <si>
    <t>FACEVALUE</t>
  </si>
  <si>
    <t>Номинал</t>
  </si>
  <si>
    <t>FACT_FRCST_CHNG</t>
  </si>
  <si>
    <t>Факт-Прогн.</t>
  </si>
  <si>
    <t>Абсолютное изменение между фактом и прогнозом</t>
  </si>
  <si>
    <t>FCH_B_I</t>
  </si>
  <si>
    <t>РО-К-M-Фитч</t>
  </si>
  <si>
    <t>Кредитный рейтинг облигации по международной шкале - Fitch</t>
  </si>
  <si>
    <t>FCH_B_N</t>
  </si>
  <si>
    <t>РО-К-Н-Фитч</t>
  </si>
  <si>
    <t>Кредитный рейтинг облигации по национальной шкале - Fitch</t>
  </si>
  <si>
    <t>FCH_E_DLTI</t>
  </si>
  <si>
    <t>РЭ-Д-М-Фитч</t>
  </si>
  <si>
    <t>Долгосрочный рейтинг дефолта эмитента по международной шкале - Fitch</t>
  </si>
  <si>
    <t>FCH_E_LTI</t>
  </si>
  <si>
    <t>РЭ-К-Н-Фитч</t>
  </si>
  <si>
    <t>Долгосрочный кредитный рейтинг эмитента по национальной шкале - Fitch</t>
  </si>
  <si>
    <t>FORECAST</t>
  </si>
  <si>
    <t>Прогноз</t>
  </si>
  <si>
    <t>FRCST_CHNG</t>
  </si>
  <si>
    <t>Изм. прогн.</t>
  </si>
  <si>
    <t>Абсолютное изменение прогноза</t>
  </si>
  <si>
    <t>HIGH</t>
  </si>
  <si>
    <t>Максимум</t>
  </si>
  <si>
    <t>Максимальная цена в валюте торгов за текущий торговый день</t>
  </si>
  <si>
    <t>ID_TRADE_SITE</t>
  </si>
  <si>
    <t>Ид торговой площадки</t>
  </si>
  <si>
    <t>Идентификатор торговой площадки</t>
  </si>
  <si>
    <t>IFRS_LEVEL</t>
  </si>
  <si>
    <t>Уровень МСФО13</t>
  </si>
  <si>
    <t>Уровень цен МСФО13</t>
  </si>
  <si>
    <t>IFX_B_I</t>
  </si>
  <si>
    <t>РО-К-М-ИФ</t>
  </si>
  <si>
    <t>Сводный кредитный рейтинг облигации по международной шкале (построен по рекомендациям МинФина) - Интерфакс</t>
  </si>
  <si>
    <t>IFX_B_N</t>
  </si>
  <si>
    <t>РО-К-Н-ИФ</t>
  </si>
  <si>
    <t>Сводный кредитный рейтинг облигации по национальной шкале (построен по рекомендациям МинФина) - Интерфакс</t>
  </si>
  <si>
    <t>IFX_E_I</t>
  </si>
  <si>
    <t>РЭ-К-Н-ИФ</t>
  </si>
  <si>
    <t>Сводный долгосрочный кредитный рейтинг эмитента по национальной шкале (построен по рекомендациям МинФина) - Интерфакс</t>
  </si>
  <si>
    <t>IFX_E_N</t>
  </si>
  <si>
    <t>РЭ-К-М-ИФ</t>
  </si>
  <si>
    <t>Сводный долгосрочный кредитный рейтинг эмитента по международной шкале (построен по рекомендациям МинФина) - Интерфакс</t>
  </si>
  <si>
    <t>Код инструмента ISIN</t>
  </si>
  <si>
    <t>ISSUER</t>
  </si>
  <si>
    <t>ISSUESIZE</t>
  </si>
  <si>
    <t>Выпуск, шт.</t>
  </si>
  <si>
    <t>Объем выпуска в штуках</t>
  </si>
  <si>
    <t>Последняя</t>
  </si>
  <si>
    <t>Цена последней сделки в валюте торгов</t>
  </si>
  <si>
    <t>LAST2AVGE</t>
  </si>
  <si>
    <t>Изм.к средневзв.</t>
  </si>
  <si>
    <t>Изменение последней цены к средневзвзвешенной на закрытие предыдущего торгового дня в пунктах</t>
  </si>
  <si>
    <t>LASTSETTLECODE</t>
  </si>
  <si>
    <t>Посл.код расч.</t>
  </si>
  <si>
    <t>Код расчетов последней сделки</t>
  </si>
  <si>
    <t>LAST_TIME</t>
  </si>
  <si>
    <t>Время посл. сд.</t>
  </si>
  <si>
    <t>Время последней сделки (= ЧЧ.ММ.СС, если в ходе последних торогов, ДД.ММ.ГГ, если ранее)</t>
  </si>
  <si>
    <t>Дох-П Посл</t>
  </si>
  <si>
    <t>Доходность к погашению по последней сделке в % годовых</t>
  </si>
  <si>
    <t>LCLOSE</t>
  </si>
  <si>
    <t>Офиц. закрытие</t>
  </si>
  <si>
    <t>Официальная текущая цена закрытия</t>
  </si>
  <si>
    <t>LCP_CHNG</t>
  </si>
  <si>
    <t>Изм. тек. цены</t>
  </si>
  <si>
    <t>Изменение официальной текущей цены закрытия</t>
  </si>
  <si>
    <t>LCP_CHNG_PCT</t>
  </si>
  <si>
    <t>%Изм. тек. цены</t>
  </si>
  <si>
    <t>Относительное изменение официальной текущей цены закрытия к текущей цене закрытия предыдущего дня в % (= Официальная текущая цена закрытия / Официальная текущая цена на закрытие предыдущего торгового дня - 1)</t>
  </si>
  <si>
    <t>LCURRENTPRICE</t>
  </si>
  <si>
    <t>Текущая цена</t>
  </si>
  <si>
    <t>Текущая цена в валюте торгов</t>
  </si>
  <si>
    <t>LNKCURRENCY</t>
  </si>
  <si>
    <t>Сопр. валюта</t>
  </si>
  <si>
    <t>Сопряженная валюта</t>
  </si>
  <si>
    <t>LOTSIZE</t>
  </si>
  <si>
    <t>Лот, шт.</t>
  </si>
  <si>
    <t>Лот в штуках</t>
  </si>
  <si>
    <t>LOW</t>
  </si>
  <si>
    <t>Минимум</t>
  </si>
  <si>
    <t>Минимальная цена в валюте торгов за текущий торговый день</t>
  </si>
  <si>
    <t>MAT_DATE</t>
  </si>
  <si>
    <t>Дата погашения (экспирации)</t>
  </si>
  <si>
    <t>MCAP</t>
  </si>
  <si>
    <t>Капитализ.</t>
  </si>
  <si>
    <t>Капитализация (= Рыночная цена * количество бумаг в обращении)</t>
  </si>
  <si>
    <t>MDS_B_I</t>
  </si>
  <si>
    <t>РО-К-M-Муд</t>
  </si>
  <si>
    <t>Кредитный рейтинг облигации по международной шкале - Moody's</t>
  </si>
  <si>
    <t>MDS_B_N</t>
  </si>
  <si>
    <t>РО-К-Н-МудИФ</t>
  </si>
  <si>
    <t>Кредитный рейтинг облигации по национальной шкале - Moody's-Interfax</t>
  </si>
  <si>
    <t>MDS_E_LTI</t>
  </si>
  <si>
    <t>РЭ-К-М-Муд</t>
  </si>
  <si>
    <t>Долгосрочный кредитный рейтинг эмитента по международной шкале - Moody's</t>
  </si>
  <si>
    <t>MDS_E_LTN</t>
  </si>
  <si>
    <t>РЭ-К-Н-МудИФ</t>
  </si>
  <si>
    <t>Долгосрочный кредитный рейтинг эмитента по национальной шкале - Moody's-Interfax</t>
  </si>
  <si>
    <t>MPRICE</t>
  </si>
  <si>
    <t>Рыночная3</t>
  </si>
  <si>
    <t>MPRICE2</t>
  </si>
  <si>
    <t>Рыночная2</t>
  </si>
  <si>
    <t>Рыночная цена2 в валюте торгов, рассчитываемая в соответствии с Порядком расчета рыночной стоимости активов и стоимости чистых активов, в которые инвестированы средства пенсионных накоплений (утв. приказом Федеральной службы по финансовым рынкам от 26 декабря 2006 г. № 06-155/пз-н) и Порядком расчета рыночной стоимости активов и стоимости чистых активов, в которые инвестированы накопления для жилищного обеспечения военнослужащих (утв. приказом Федеральной службы по финансовым рынкам от 15 декабря 2005 г. № 05-82/пз-н)</t>
  </si>
  <si>
    <t>NAME</t>
  </si>
  <si>
    <t>Тикер</t>
  </si>
  <si>
    <t>Краткое наименование инструмента на площадке</t>
  </si>
  <si>
    <t>OPEN</t>
  </si>
  <si>
    <t>Открытие</t>
  </si>
  <si>
    <t>Цена открытия (обычно = цена первой сделки) в валюте торгов</t>
  </si>
  <si>
    <t>OPEN_INST</t>
  </si>
  <si>
    <t>Откр. поз.</t>
  </si>
  <si>
    <t>Количество открытых позиций</t>
  </si>
  <si>
    <t>OPPRICE</t>
  </si>
  <si>
    <t>Период откр.</t>
  </si>
  <si>
    <t>Цена периода открытия в валюте торгов</t>
  </si>
  <si>
    <t>PERIOD</t>
  </si>
  <si>
    <t>Период</t>
  </si>
  <si>
    <t>Период в текстовом представлении</t>
  </si>
  <si>
    <t>POTENTIAL</t>
  </si>
  <si>
    <t>Пот-л%</t>
  </si>
  <si>
    <t>Относительное изменение Прогнозной к Рыночной цене</t>
  </si>
  <si>
    <t>PREVLCLOSE</t>
  </si>
  <si>
    <t>Пред. закрытие</t>
  </si>
  <si>
    <t>Официальное предыдущее закрытие</t>
  </si>
  <si>
    <t>PREVMPRICE</t>
  </si>
  <si>
    <t>Пред.рын.цена</t>
  </si>
  <si>
    <t>PUBLICATION_DATE</t>
  </si>
  <si>
    <t>Дата публикац.</t>
  </si>
  <si>
    <t>Дата публикации факта следующего периода</t>
  </si>
  <si>
    <t>PVBP</t>
  </si>
  <si>
    <t>PVBP-П</t>
  </si>
  <si>
    <t>PVBP  к погашению</t>
  </si>
  <si>
    <t>PVBP_AGG</t>
  </si>
  <si>
    <t>PVBP-С</t>
  </si>
  <si>
    <t>PVBP сводная</t>
  </si>
  <si>
    <t>PVBP_O</t>
  </si>
  <si>
    <t>PVBP-О</t>
  </si>
  <si>
    <t>PVBP к оферте</t>
  </si>
  <si>
    <t>RECOMMENDATION</t>
  </si>
  <si>
    <t>Рек</t>
  </si>
  <si>
    <t>Рекомендация по бумаге</t>
  </si>
  <si>
    <t>REC_BUY_PCT</t>
  </si>
  <si>
    <t>%РекПок</t>
  </si>
  <si>
    <t>Доля рекомендаций "Покупать"</t>
  </si>
  <si>
    <t>REC_CHANGE</t>
  </si>
  <si>
    <t>РекИзм</t>
  </si>
  <si>
    <t>Изменение рекомендации</t>
  </si>
  <si>
    <t>REC_HOLD_PCT</t>
  </si>
  <si>
    <t>%РекДерж</t>
  </si>
  <si>
    <t>Доля рекомендаций "Держать"</t>
  </si>
  <si>
    <t>REC_SELL_PCT</t>
  </si>
  <si>
    <t>%РекПрод</t>
  </si>
  <si>
    <t>Доля рекомендаций "Продавать"</t>
  </si>
  <si>
    <t>REC_VAL</t>
  </si>
  <si>
    <t>РекЗнач</t>
  </si>
  <si>
    <t>Оценка рекомендации в масштабе от -1 до 1</t>
  </si>
  <si>
    <t>RUS_B_N</t>
  </si>
  <si>
    <t>РО-К-Н-РусР</t>
  </si>
  <si>
    <t>Кредитный рейтинг облигаций по национальной шкале - Рус-Рейтинг</t>
  </si>
  <si>
    <t>RUS_E_I</t>
  </si>
  <si>
    <t>РЭ-К-М-РусР</t>
  </si>
  <si>
    <t>Кредитный рейтинг эмитента по международной шкале - Рус-Рейтинг</t>
  </si>
  <si>
    <t>RUS_E_N</t>
  </si>
  <si>
    <t>РЭ-К-Н-РусР</t>
  </si>
  <si>
    <t>Кредитный рейтинг эмитента по национальной шкале - Рус-Рейтинг</t>
  </si>
  <si>
    <t>SECCODE</t>
  </si>
  <si>
    <t>Торг.код</t>
  </si>
  <si>
    <t>Торговый код инструмента на площадке</t>
  </si>
  <si>
    <t>SECNAME</t>
  </si>
  <si>
    <t>Полн.наим.рус.</t>
  </si>
  <si>
    <t>Полное русское наименование</t>
  </si>
  <si>
    <t>SECNAME_E</t>
  </si>
  <si>
    <t>Полн.наим.англ.</t>
  </si>
  <si>
    <t>Полное английское наименование</t>
  </si>
  <si>
    <t>SECTOR</t>
  </si>
  <si>
    <t>SETTLECODE</t>
  </si>
  <si>
    <t>Код расчетов</t>
  </si>
  <si>
    <t>Код расчетов (определяет временнЫе параметры сделки)</t>
  </si>
  <si>
    <t>SHORTNAME_ENG</t>
  </si>
  <si>
    <t>Кр.наим.англ.</t>
  </si>
  <si>
    <t>Краткое английское наименование</t>
  </si>
  <si>
    <t>Кр.наим.рус.</t>
  </si>
  <si>
    <t>Краткое русское наименование</t>
  </si>
  <si>
    <t>SNP_B_I</t>
  </si>
  <si>
    <t>РО-К-M-СП</t>
  </si>
  <si>
    <t>Кредитный рейтинг облигации по международной шкале - S&amp;P</t>
  </si>
  <si>
    <t>SNP_B_N</t>
  </si>
  <si>
    <t>РО-К-Н-СП</t>
  </si>
  <si>
    <t>Кредитный рейтинг облигации по национальной шкале - S&amp;P</t>
  </si>
  <si>
    <t>SNP_E_LTI</t>
  </si>
  <si>
    <t>РЭ-К-М-СП</t>
  </si>
  <si>
    <t>Долгосрочный кредитный рейтинг эмитента по международной шкале - S&amp;P</t>
  </si>
  <si>
    <t>SNP_E_N</t>
  </si>
  <si>
    <t>РЭ-К-Н-СП</t>
  </si>
  <si>
    <t>Кредитный рейтинг эмитента по национальной шкале - S&amp;P</t>
  </si>
  <si>
    <t>SPREAD</t>
  </si>
  <si>
    <t>Спред</t>
  </si>
  <si>
    <t>STATUS</t>
  </si>
  <si>
    <t>Статус</t>
  </si>
  <si>
    <t>Торговый статус инструмента (торгуется ли он на площадке в текущий торговый день)</t>
  </si>
  <si>
    <t>TARGET_PRICE</t>
  </si>
  <si>
    <t>ПргнЦ</t>
  </si>
  <si>
    <t>Прогнозная цена</t>
  </si>
  <si>
    <t>TICK_ACC</t>
  </si>
  <si>
    <t>Кол-во изм.</t>
  </si>
  <si>
    <t>Количество изменений</t>
  </si>
  <si>
    <t>Время</t>
  </si>
  <si>
    <t>Время последнего события по инструменту (сделки или котировки)</t>
  </si>
  <si>
    <t>TP_CHNG</t>
  </si>
  <si>
    <t>ПргнИзм</t>
  </si>
  <si>
    <t>Абсолютное изменение Прогнозной цены</t>
  </si>
  <si>
    <t>TP_CHNG_M</t>
  </si>
  <si>
    <t>ПргнИзмМ</t>
  </si>
  <si>
    <t>Абсолютное изменение Прогнозной цены за месяц</t>
  </si>
  <si>
    <t>TP_CHNG_M_PCT</t>
  </si>
  <si>
    <t>Пргн%ИзмМ</t>
  </si>
  <si>
    <t>Относительное изменение Прогнозной цены за месяц</t>
  </si>
  <si>
    <t>TP_CHNG_PCT</t>
  </si>
  <si>
    <t>Пргн%Изм</t>
  </si>
  <si>
    <t>Относительное изменение Прогнозной цены</t>
  </si>
  <si>
    <t>TP_CHNG_Q</t>
  </si>
  <si>
    <t>ПргнИзм3М</t>
  </si>
  <si>
    <t>Абсолютное изменение Прогнозной цены за 3 месяца</t>
  </si>
  <si>
    <t>TP_CHNG_Q_PCT</t>
  </si>
  <si>
    <t>Пргн%Изм3М</t>
  </si>
  <si>
    <t>Относительное изменение Прогнозной цены за 3 месяца</t>
  </si>
  <si>
    <t>TP_CHNG_TIME</t>
  </si>
  <si>
    <t>ДатаПргн</t>
  </si>
  <si>
    <t>Дата последнего ненулевого изменения Прогнозной цены</t>
  </si>
  <si>
    <t>TP_CHNG_Y</t>
  </si>
  <si>
    <t>ПргнИзмГ</t>
  </si>
  <si>
    <t>Абсолютное изменение Прогнозной цены за год</t>
  </si>
  <si>
    <t>TP_CHNG_Y_PCT</t>
  </si>
  <si>
    <t>Пргн%ИзмГ</t>
  </si>
  <si>
    <t>Относительное изменение Прогнозной цены за год</t>
  </si>
  <si>
    <t>TP_DEVIATION</t>
  </si>
  <si>
    <t>ПргнСтО</t>
  </si>
  <si>
    <t>Стандартное отклонение по оценкам Прогнозной цены</t>
  </si>
  <si>
    <t>TP_HIGH</t>
  </si>
  <si>
    <t>ПргнМакс</t>
  </si>
  <si>
    <t>Максимальная из оценок Прогнозной цены</t>
  </si>
  <si>
    <t>TP_LOW</t>
  </si>
  <si>
    <t>ПргнМин</t>
  </si>
  <si>
    <t>Минимальная из оценок Прогнозной цены</t>
  </si>
  <si>
    <t>TP_MEDIAN</t>
  </si>
  <si>
    <t>ПргнЦМед</t>
  </si>
  <si>
    <t>Медианная оценка Прогнозной цены</t>
  </si>
  <si>
    <t>VAL</t>
  </si>
  <si>
    <t>Объём посл. ден.</t>
  </si>
  <si>
    <t>Оборот последней сделки в валюте торгов (= цена последней сделки * объем последней сделки)</t>
  </si>
  <si>
    <t>VAL_ACC</t>
  </si>
  <si>
    <t>Оборот за день</t>
  </si>
  <si>
    <t xml:space="preserve">Дневной оборот в валюте торгов за текущий торговый день </t>
  </si>
  <si>
    <t>VAL_ACC_USD</t>
  </si>
  <si>
    <t>Оборот, USD</t>
  </si>
  <si>
    <t>Суммарный оборот в долларах США</t>
  </si>
  <si>
    <t>VAL_USD</t>
  </si>
  <si>
    <t>Последняя, USD</t>
  </si>
  <si>
    <t>Оборот последней сделки в долларах США</t>
  </si>
  <si>
    <t>VOL</t>
  </si>
  <si>
    <t>Объём посл.шт.</t>
  </si>
  <si>
    <t>Объём последней сделки в штуках</t>
  </si>
  <si>
    <t>VOL_ACC</t>
  </si>
  <si>
    <t>Объем за день шт.</t>
  </si>
  <si>
    <t xml:space="preserve">Дневной объем в штуках за текущий торговый день </t>
  </si>
  <si>
    <t>VOL_LOTS</t>
  </si>
  <si>
    <t>Объем посл. лоты</t>
  </si>
  <si>
    <t>Объем последней сделки в лотах</t>
  </si>
  <si>
    <t>Y2O_ASK</t>
  </si>
  <si>
    <t>Дох-О Предл</t>
  </si>
  <si>
    <t>Доходность к оферте по предложению</t>
  </si>
  <si>
    <t>Y2O_BID</t>
  </si>
  <si>
    <t>Дох-О Спрос</t>
  </si>
  <si>
    <t>Доходность к оферте по спросу</t>
  </si>
  <si>
    <t>Y2O_CHANGE</t>
  </si>
  <si>
    <t>ИзмДох-О Посл</t>
  </si>
  <si>
    <t>Изменение доходности к оферте абс.</t>
  </si>
  <si>
    <t>Y2O_CHANGE_PCT</t>
  </si>
  <si>
    <t>%ИзмДох-О</t>
  </si>
  <si>
    <t>Изменение доходности к оферте отн.</t>
  </si>
  <si>
    <t>Дох-О Посл</t>
  </si>
  <si>
    <t>Доходность к оферте по цене последней сделки</t>
  </si>
  <si>
    <t>Y2O_PREV</t>
  </si>
  <si>
    <t>Дох-О предЗакр</t>
  </si>
  <si>
    <t>Доходность к оферте по цене пред.дня</t>
  </si>
  <si>
    <t>Y2O_WAP</t>
  </si>
  <si>
    <t>Дох-О Срвз</t>
  </si>
  <si>
    <t>Доходность к оферте по средневзвешенной цене</t>
  </si>
  <si>
    <t>YIELD_2</t>
  </si>
  <si>
    <t>Дох-Аукц</t>
  </si>
  <si>
    <t>Доходность к аукциону в % годовых</t>
  </si>
  <si>
    <t>YIELD_AGG</t>
  </si>
  <si>
    <t>Дох-П Сводн</t>
  </si>
  <si>
    <t>Сводная доходность</t>
  </si>
  <si>
    <t>YIELD_ASK</t>
  </si>
  <si>
    <t>Дох-П Предл</t>
  </si>
  <si>
    <t>Доходность к погашению по предложению</t>
  </si>
  <si>
    <t>YIELD_AVERAGE_12M</t>
  </si>
  <si>
    <t>Дох-П&lt;1Y&gt;</t>
  </si>
  <si>
    <t>Средняя доходность за 12 месяцев</t>
  </si>
  <si>
    <t>YIELD_AVERAGE_1M</t>
  </si>
  <si>
    <t>Дох-П&lt;1M&gt;</t>
  </si>
  <si>
    <t>Средняя доходность за 1 месяц</t>
  </si>
  <si>
    <t>YIELD_AVERAGE_2M</t>
  </si>
  <si>
    <t>Дох-П&lt;2M&gt;</t>
  </si>
  <si>
    <t>Средняя доходность за 2 месяца</t>
  </si>
  <si>
    <t>YIELD_AVERAGE_2W</t>
  </si>
  <si>
    <t>Дох-П&lt;2W&gt;</t>
  </si>
  <si>
    <t>Средняя доходность за 2 недели</t>
  </si>
  <si>
    <t>YIELD_AVERAGE_3M</t>
  </si>
  <si>
    <t>Дох-П&lt;3M&gt;</t>
  </si>
  <si>
    <t>Средняя доходность за 3 месяца</t>
  </si>
  <si>
    <t>YIELD_AVERAGE_6M</t>
  </si>
  <si>
    <t>Дох-П&lt;6M&gt;</t>
  </si>
  <si>
    <t>Средняя доходность за 6 месяцев</t>
  </si>
  <si>
    <t>YIELD_AVERAGE_O12M</t>
  </si>
  <si>
    <t>Дох-О&lt;1Y&gt;</t>
  </si>
  <si>
    <t>Средняя доходность к оферте за 12 месяцев</t>
  </si>
  <si>
    <t>YIELD_AVERAGE_O1M</t>
  </si>
  <si>
    <t>Дох-О&lt;1M&gt;</t>
  </si>
  <si>
    <t>Средняя доходность к оферте за 1 месяц</t>
  </si>
  <si>
    <t>YIELD_AVERAGE_O2M</t>
  </si>
  <si>
    <t>Дох-О&lt;2M&gt;</t>
  </si>
  <si>
    <t>Средняя доходность к оферте за 2 месяца</t>
  </si>
  <si>
    <t>YIELD_AVERAGE_O2W</t>
  </si>
  <si>
    <t>Дох-О&lt;2W&gt;</t>
  </si>
  <si>
    <t>Средняя доходность к оферте за 2 недели</t>
  </si>
  <si>
    <t>YIELD_AVERAGE_O3M</t>
  </si>
  <si>
    <t>Дох-О&lt;3M&gt;</t>
  </si>
  <si>
    <t>Средняя доходность к оферте за 3 месяца</t>
  </si>
  <si>
    <t>YIELD_AVERAGE_O6M</t>
  </si>
  <si>
    <t>Дох-О&lt;6M&gt;</t>
  </si>
  <si>
    <t>Средняя доходность к оферте за 6 месяцев</t>
  </si>
  <si>
    <t>YIELD_BID</t>
  </si>
  <si>
    <t>Дох-П Спрос</t>
  </si>
  <si>
    <t>Доходность к погашению по спросу</t>
  </si>
  <si>
    <t>YIELD_CHNG</t>
  </si>
  <si>
    <t>ИзмДох-П Посл</t>
  </si>
  <si>
    <t>Изменение доходности последней сделки к доходности по закрытию предыдущих торгов</t>
  </si>
  <si>
    <t>YIELD_CPPRICE</t>
  </si>
  <si>
    <t>Дох-П Закр</t>
  </si>
  <si>
    <t>Доходность к погашению по цене закрытия</t>
  </si>
  <si>
    <t>YIELD_CWA</t>
  </si>
  <si>
    <t>ТекДох-П Срвз</t>
  </si>
  <si>
    <t>Доходность текущая по средневзвешенной</t>
  </si>
  <si>
    <t>YIELD_HIGH</t>
  </si>
  <si>
    <t>Дох-П Макс</t>
  </si>
  <si>
    <t>Максимальная доходность</t>
  </si>
  <si>
    <t>YIELD_LOW</t>
  </si>
  <si>
    <t>Дох-П Мин</t>
  </si>
  <si>
    <t>Минимальная доходность</t>
  </si>
  <si>
    <t>YIELD_OPEN</t>
  </si>
  <si>
    <t>Дох-П Откр</t>
  </si>
  <si>
    <t>Доходность первой сделки</t>
  </si>
  <si>
    <t>YIELD_O_CWA</t>
  </si>
  <si>
    <t>ТекДох-О Срвз</t>
  </si>
  <si>
    <t>Доходность к оферте текущая по средневзвешенной</t>
  </si>
  <si>
    <t>YIELD_O_SWA</t>
  </si>
  <si>
    <t>ПрстДох-О Срвз</t>
  </si>
  <si>
    <t>Доходность к оферте простая по средневзвешенной</t>
  </si>
  <si>
    <t>YIELD_PREV</t>
  </si>
  <si>
    <t>Дох-П предЗакр</t>
  </si>
  <si>
    <t>Доходность к погашению по цене пред. дня</t>
  </si>
  <si>
    <t>YIELD_SWA</t>
  </si>
  <si>
    <t>ПрстДох-П Срвз</t>
  </si>
  <si>
    <t>Доходность простая по средневзвешенной</t>
  </si>
  <si>
    <t>Порядок действий</t>
  </si>
  <si>
    <t>Доходность индекса государственных облигаций (1-3 года)</t>
  </si>
  <si>
    <t>Эксперт РА изменило прогноз по рейтингу эмитента «Легенда» на «стабильный» и подтвердило кредитный рейтинг по Национальной российской рейтинговой шкале на уровне «ruBBB-»</t>
  </si>
  <si>
    <t>Оферта</t>
  </si>
  <si>
    <t>EndMtyDate</t>
  </si>
  <si>
    <t>Код поля</t>
  </si>
  <si>
    <t>Русское название</t>
  </si>
  <si>
    <t>Полное русское название</t>
  </si>
  <si>
    <t>Комментарий</t>
  </si>
  <si>
    <t>BOND</t>
  </si>
  <si>
    <t>TYPE</t>
  </si>
  <si>
    <t>CFI код</t>
  </si>
  <si>
    <t>Тип финансового инструмента (наименование)</t>
  </si>
  <si>
    <t>Вид облигации</t>
  </si>
  <si>
    <t>Биржевые, Классические, Ноты участия в кредите, Кредитные ноты, Евро-коммерческая бумага, Ссуда под долг.об., RMBS, Дим сум</t>
  </si>
  <si>
    <t>Тип облигации</t>
  </si>
  <si>
    <t>Гос, Муни, Корп, ЕвроКорп, ЕвроМуни, ЕвроГос</t>
  </si>
  <si>
    <t>Вид купона</t>
  </si>
  <si>
    <t>Дисконт, Фиксированный, Постоянный, Переменный, Индексируемый, Прочий</t>
  </si>
  <si>
    <t>Структурный параметр облигации</t>
  </si>
  <si>
    <t>Субординированные, Структурированные, Инфраструктурные, Дим сум</t>
  </si>
  <si>
    <t>Признак наличия по выпуску возможности досрочного выкупа или погашения (1-да)</t>
  </si>
  <si>
    <t>Признак наличия амортизационного погашения по выпуску (1-да)</t>
  </si>
  <si>
    <t>Наличие возможности конвертации / осуществленная конвертация в другой инструмент (1-да)</t>
  </si>
  <si>
    <t>Группа по периоду обращения</t>
  </si>
  <si>
    <t>Бессрочные, Краткосрочные, Среднесрочные, Долгосрочные</t>
  </si>
  <si>
    <t>Тип ц.б. по классификации Банка России</t>
  </si>
  <si>
    <t>Наименование типа ц.б. по классификации Банка России</t>
  </si>
  <si>
    <t>Идентификатор типа ценной бумаги</t>
  </si>
  <si>
    <t>Наименование типа ценных бумаг, русское</t>
  </si>
  <si>
    <t>Наименование типа ценных бумаг, английское</t>
  </si>
  <si>
    <t>Форма выпуска ценных бумаг</t>
  </si>
  <si>
    <t>Наименование формы выпуска (русс)</t>
  </si>
  <si>
    <t>Наименование формы выпуска (англ)</t>
  </si>
  <si>
    <t>Идентификатор вида купона (процента)</t>
  </si>
  <si>
    <t>Наименование вида купона (процента), русское</t>
  </si>
  <si>
    <t>Наименование вида купона (процента), английское</t>
  </si>
  <si>
    <t>Наименование типа купонного периода</t>
  </si>
  <si>
    <t>Наличие ковенантов согласно проспекту эмиссии</t>
  </si>
  <si>
    <t>ID</t>
  </si>
  <si>
    <t>Идентификатор выпуска облигаций Rusbonds</t>
  </si>
  <si>
    <t>Наличие возможности досрочного погашения по инициативе эмитента</t>
  </si>
  <si>
    <t>Идентификатор программы выпуска облигаций в базе Интерфакс</t>
  </si>
  <si>
    <t>Краткое название облигации</t>
  </si>
  <si>
    <t>присваивается RusBonds (Интерфакс), ограничение по символам – 25, уникальное</t>
  </si>
  <si>
    <t>Облигация с индексируемым номиналом</t>
  </si>
  <si>
    <t>ISIN-код выпуска облигаций, присваивается НДЦ</t>
  </si>
  <si>
    <t>Дополнительный ISIN-код выпуска облигаций</t>
  </si>
  <si>
    <t>Регистрационный номер выпуска облигаций</t>
  </si>
  <si>
    <t>Маркер сравнения данных НРД и Интерфакса</t>
  </si>
  <si>
    <t>0-данных нет, 1-данные есть только в НРД, 2-данные есть только в Интерфакс, 3-данные имеются в обоих источниках и совпадают, 4-данные имеются в обоих источниках, но не совпадают</t>
  </si>
  <si>
    <t>Номер государственной регистрации/Идентификационный номер</t>
  </si>
  <si>
    <t>Код НРД выпуска облигаций, присваивается НРД</t>
  </si>
  <si>
    <t>Полное название выпуска облигации</t>
  </si>
  <si>
    <t>Полное наименование выпуска ценной бумаги</t>
  </si>
  <si>
    <t>Серия облигации</t>
  </si>
  <si>
    <t>Порядковый номер выпуска</t>
  </si>
  <si>
    <t>Состояние выпуска облигаций</t>
  </si>
  <si>
    <t>Состояние выпуска</t>
  </si>
  <si>
    <t>Наименование состояния бумаги/ выпуска/транша, англ.</t>
  </si>
  <si>
    <t>Наименование состояния бумаги/ выпуска/транша, русское</t>
  </si>
  <si>
    <t xml:space="preserve">Признак наличия дефолта по выпуску (1-да) </t>
  </si>
  <si>
    <t>Секьюритизация</t>
  </si>
  <si>
    <t>Портфель ипотеки, Портфель автокредитов, Секьюритизация, Портфель потребкредитов, Портфель облигаций, Прочие активы</t>
  </si>
  <si>
    <t>Признак включения в ломбардный список БР</t>
  </si>
  <si>
    <t>Признак ценной бумаги предназначенной для квалифицированных инвесторов</t>
  </si>
  <si>
    <t>Листинг/внесписочные (ФБ ММВБ)</t>
  </si>
  <si>
    <t>Признак биржевой облигации</t>
  </si>
  <si>
    <t>Признак наличия по выпуску гарантии (1-да)</t>
  </si>
  <si>
    <t>Вид гарантии</t>
  </si>
  <si>
    <t>Залог, Гарантия, Необеспеченные, Поручительство</t>
  </si>
  <si>
    <t>Полнота гарантии</t>
  </si>
  <si>
    <t>Полная гарантия, Гарантия номинала, Частичная гарантия</t>
  </si>
  <si>
    <t>Гарантированная сумма</t>
  </si>
  <si>
    <t>Признак субъекта РФ</t>
  </si>
  <si>
    <t>Двухбуквенный код страны в соответствии с ОКСМ</t>
  </si>
  <si>
    <t>Признак, определяющий правила расчета НКД</t>
  </si>
  <si>
    <t>в случае значения ИСТИНА расчет НКД осуществляется исходя из купонной ставки; в противном случае – исходя из выплаты на одну облигации, рассчитанную с точностью до второго знака после запятой</t>
  </si>
  <si>
    <t>Идентификатор метода исчисления купонного дохода</t>
  </si>
  <si>
    <t>Базис НКД</t>
  </si>
  <si>
    <t>30/360, act/365, act/365L, act/360, 30E/360, 30/360 German, act/act, act/act ISDA</t>
  </si>
  <si>
    <t>Метод исчисления купонного дохода</t>
  </si>
  <si>
    <t>Количество купонов в год</t>
  </si>
  <si>
    <t>Периодичность  выплаты купона</t>
  </si>
  <si>
    <t>Базовый месяц</t>
  </si>
  <si>
    <t>Базовый год</t>
  </si>
  <si>
    <t>Номинал облигации</t>
  </si>
  <si>
    <t>Номинальная стоимость (в валюте номинала)</t>
  </si>
  <si>
    <t>Остаточная номинальная стоимость к погашению (в валюте номинала)</t>
  </si>
  <si>
    <t>Валюта номинала облигации</t>
  </si>
  <si>
    <t>трехбуквенный код валюты</t>
  </si>
  <si>
    <t>Валюта номинала</t>
  </si>
  <si>
    <t>Количество купонов всего</t>
  </si>
  <si>
    <t>Количество купонов</t>
  </si>
  <si>
    <t>Название оператора выпуска облигаций</t>
  </si>
  <si>
    <t>Name_operator</t>
  </si>
  <si>
    <t>Количество знаков после запятой, до которого выполняют округление НКД и купонных выплат</t>
  </si>
  <si>
    <t>Продолжительность текущего на дату запроса купонного периода в днях</t>
  </si>
  <si>
    <t>ИНН оператора выпуска облигаций</t>
  </si>
  <si>
    <t>Inn_operator</t>
  </si>
  <si>
    <t>Определен ли сектор рынка для инструмента</t>
  </si>
  <si>
    <t>ОКПО оператора выпуска облигаций</t>
  </si>
  <si>
    <t>Okpo_operator</t>
  </si>
  <si>
    <t>Сектор эмитента</t>
  </si>
  <si>
    <t>УИН оператора в БД RusBonds</t>
  </si>
  <si>
    <t>FinInstID_operator</t>
  </si>
  <si>
    <t>Название реального заемщика (эмитента) облигаций</t>
  </si>
  <si>
    <t>ОКПО  реального заемщика (эмитента) облигаций</t>
  </si>
  <si>
    <t>ИНН  реального заемщика (эмитента) облигаций</t>
  </si>
  <si>
    <t>Сектор реального заемщика</t>
  </si>
  <si>
    <t>УИН реального заемщика (эмитента) в БД RusBonds</t>
  </si>
  <si>
    <t>Количество гарантов/поручителей</t>
  </si>
  <si>
    <t>N - полное количество гарантов/поручителей выпуска</t>
  </si>
  <si>
    <t>Регистрирующий орган</t>
  </si>
  <si>
    <t>Орган, зарегистрировавший выпуск/присвоивший идентификационный номер</t>
  </si>
  <si>
    <t>Дата государственной регистрации выпуска</t>
  </si>
  <si>
    <t>Дата государственной регистрации/Дата допуска к торгам на фондовой бирже в процессе размещения</t>
  </si>
  <si>
    <t>Признак размещения по открытой/закрытой подписке</t>
  </si>
  <si>
    <t>Способ размещения</t>
  </si>
  <si>
    <t>Наименование способа размещения ценных бумаг</t>
  </si>
  <si>
    <t>Цена размещения в валюте номинала</t>
  </si>
  <si>
    <t>BegDistDate</t>
  </si>
  <si>
    <t>Дата начала размещения</t>
  </si>
  <si>
    <t>Дата окончания размещения</t>
  </si>
  <si>
    <t>Состояние отчета о выпуске</t>
  </si>
  <si>
    <t>Орган осуществивший регистрацию отчета</t>
  </si>
  <si>
    <t>Дата регистрации отчета о выпуске облигаций / дата отсылки уведомления</t>
  </si>
  <si>
    <t>Дата регистрации Отчёта об Итогах</t>
  </si>
  <si>
    <t>Дата начала начисления первого купона</t>
  </si>
  <si>
    <t>Количество дней с даты начала размещения до даты окончания погашения облигации</t>
  </si>
  <si>
    <t>Период обращения</t>
  </si>
  <si>
    <t>Дата начала погашения</t>
  </si>
  <si>
    <t>Дата погашения облигаций</t>
  </si>
  <si>
    <t>Дата погашения расчетная</t>
  </si>
  <si>
    <t>Дата погашения плановая</t>
  </si>
  <si>
    <t>Заявленный объем эмиссии в валюте номинала</t>
  </si>
  <si>
    <t>Заявленный объем эмиссии в штуках</t>
  </si>
  <si>
    <t>Объявленное  количество штук</t>
  </si>
  <si>
    <t>Объем в обращении в валюте номинала</t>
  </si>
  <si>
    <t>Объем в обращении в штуках</t>
  </si>
  <si>
    <t>Примечание</t>
  </si>
  <si>
    <t>Размещенное количество штук</t>
  </si>
  <si>
    <t>Уполномоченный депозитарий</t>
  </si>
  <si>
    <t>Дата начала первого купонного периода</t>
  </si>
  <si>
    <t>Номер лицевого счета</t>
  </si>
  <si>
    <t>Реестродержатель</t>
  </si>
  <si>
    <t>Тип лицевого счета (НД или НДЦД)</t>
  </si>
  <si>
    <t>Дата открытия лицевого счета/изменения типа ЛС</t>
  </si>
  <si>
    <t>Уровень листинга на Московской бирже</t>
  </si>
  <si>
    <t>1, 2, 3</t>
  </si>
  <si>
    <t>Идентификатор теста, в соответствии с которым по данным "на сегодня" бумага не может быть предложена неквалифицированным инвесторам</t>
  </si>
  <si>
    <t>Идентификатор теста, в соответствии с которым по данным "на завтра" бумага не может быть предложена неквалифицированным инвесторам</t>
  </si>
  <si>
    <t>Выпуск доступен для неквалифицированных инвесторов</t>
  </si>
  <si>
    <t>Идентификатор страны риска. Двухбуквенный код страны в соответствии с ОКСМ.</t>
  </si>
  <si>
    <t>Является сложным инструментом</t>
  </si>
  <si>
    <t>couponrate</t>
  </si>
  <si>
    <t>Ставка текущего купона</t>
  </si>
  <si>
    <t>floatratename</t>
  </si>
  <si>
    <t>Определение плавающей процентной ставки по купону</t>
  </si>
  <si>
    <t>fullname_en_nrd</t>
  </si>
  <si>
    <t>Полное наименование на английском языке по базе НРД</t>
  </si>
  <si>
    <t>issubordinated</t>
  </si>
  <si>
    <t>Признак субординированных облигаций(1-да)</t>
  </si>
  <si>
    <t>issuercountry</t>
  </si>
  <si>
    <t>Страна эмитента. Двухбуквенный код страны в соответствии с ОКСМ.Список возможных значений возвращает метод /Info/EnumValues(‘referenceData’, ‘Country’).</t>
  </si>
  <si>
    <t>issuerregionname</t>
  </si>
  <si>
    <t>Регион в стране эмитента</t>
  </si>
  <si>
    <t>nominaltype</t>
  </si>
  <si>
    <t>Тип номинала ценной бумаги. Список возможных значений возвращает метод /Info/EnumValues (‘referenceData’, ‘nominaltype’).</t>
  </si>
  <si>
    <t>nsd_service</t>
  </si>
  <si>
    <t>Обслуживание в НРД. («На обслуживании» и т.п.). Список возможных значений возвращает метод EnumValues(‘referenceData’, ‘nsd_service’).</t>
  </si>
  <si>
    <t>raterevisionsperyear</t>
  </si>
  <si>
    <t>Частота пересмотра плавающей ставки купона(кол-во раз в год)</t>
  </si>
  <si>
    <t>Сектор экономики по классификатору ЦБ РФ</t>
  </si>
  <si>
    <t>sna2008</t>
  </si>
  <si>
    <t>Система национальных счетов 2008</t>
  </si>
  <si>
    <t>update_time</t>
  </si>
  <si>
    <t>Дата последнего обновления данных по бумаге</t>
  </si>
  <si>
    <t>put</t>
  </si>
  <si>
    <t>Оферта:</t>
  </si>
  <si>
    <t>put+call</t>
  </si>
  <si>
    <t>Кредитный рейтинг эмитента</t>
  </si>
  <si>
    <t>Кредитный рейтинг гаранта/поручителя/оферента</t>
  </si>
  <si>
    <t>Гарант</t>
  </si>
  <si>
    <t>Рейтинг гаранта</t>
  </si>
  <si>
    <t>Рейтинг гаранта (значения)</t>
  </si>
  <si>
    <t>Возможные ошибки</t>
  </si>
  <si>
    <t>Название индекса</t>
  </si>
  <si>
    <t>Код</t>
  </si>
  <si>
    <t>Наименование</t>
  </si>
  <si>
    <t>Сравнение с индексами Московской биржи</t>
  </si>
  <si>
    <t>Доходность индекса государственных облигаций (менее года)</t>
  </si>
  <si>
    <t>Доходность индекса государственных облигаций (3-5 лет)</t>
  </si>
  <si>
    <t>Доходность индекса государственных облигаций (более 5 лет)</t>
  </si>
  <si>
    <t>RUGBITR1Y</t>
  </si>
  <si>
    <t>RUGBITR3Y</t>
  </si>
  <si>
    <t>RUGBITR5Y</t>
  </si>
  <si>
    <t>RUGBITR5+</t>
  </si>
  <si>
    <t>Rudata</t>
  </si>
  <si>
    <t>Cbond</t>
  </si>
  <si>
    <t>Показатели</t>
  </si>
  <si>
    <t>Дата оценки</t>
  </si>
  <si>
    <t>Код мос биржи</t>
  </si>
  <si>
    <t>Last price</t>
  </si>
  <si>
    <t>Placement date</t>
  </si>
  <si>
    <t>Maturity date</t>
  </si>
  <si>
    <t>Duration</t>
  </si>
  <si>
    <t>Offer date</t>
  </si>
  <si>
    <t>Country of risk</t>
  </si>
  <si>
    <t>Сходимость</t>
  </si>
  <si>
    <t>cbonds issuer</t>
  </si>
  <si>
    <t>Emitent industry</t>
  </si>
  <si>
    <t>1. Авторизироваться в cbonds</t>
  </si>
  <si>
    <t>cbond last price</t>
  </si>
  <si>
    <t>cbond close price</t>
  </si>
  <si>
    <t>cbond indicative price</t>
  </si>
  <si>
    <t>cbond last YTM</t>
  </si>
  <si>
    <t>cbond close YTM</t>
  </si>
  <si>
    <t>cbond indicative YTM</t>
  </si>
  <si>
    <t>cbond last YTP</t>
  </si>
  <si>
    <t>cbond close YTP</t>
  </si>
  <si>
    <t>cbond indicative YTP</t>
  </si>
  <si>
    <t>Duration to offer</t>
  </si>
  <si>
    <t>PRICE</t>
  </si>
  <si>
    <t>YTM</t>
  </si>
  <si>
    <t>YTP</t>
  </si>
  <si>
    <t>Duration in years</t>
  </si>
  <si>
    <t>3. Проверить правильность выгрузки рейтингов</t>
  </si>
  <si>
    <t>Подтвержден</t>
  </si>
  <si>
    <t>RUCBTRAAANS</t>
  </si>
  <si>
    <t>RUCBTRAANS</t>
  </si>
  <si>
    <t>RUCBTRANS</t>
  </si>
  <si>
    <t>Доходность индекса корпоративных облигаций с рейтингом AAA (менее года)</t>
  </si>
  <si>
    <t>Доходность индекса корпоративных облигаций с рейтингом AA (менее года)</t>
  </si>
  <si>
    <t>Доходность индекса корпоративных облигаций с рейтингом A (менее года)</t>
  </si>
  <si>
    <t>Доходность индекса корпоративных облигаций с рейтингом AAA (1-3 года)</t>
  </si>
  <si>
    <t>Доходность индекса корпоративных облигаций с рейтингом AA (1-3 года)</t>
  </si>
  <si>
    <t>Доходность индекса корпоративных облигаций с рейтингом A (1-3 года)</t>
  </si>
  <si>
    <t>RUCBTR3A3YNS</t>
  </si>
  <si>
    <t>RUCBTRAA3YNS</t>
  </si>
  <si>
    <t>RUCBTRA3YNS</t>
  </si>
  <si>
    <t>RUCBTR3A5YNS</t>
  </si>
  <si>
    <t>RUCBTRAA5YNS</t>
  </si>
  <si>
    <t>Доходность индекса корпоративных облигаций с рейтингом BBB</t>
  </si>
  <si>
    <t>RUCBTRBBBNS</t>
  </si>
  <si>
    <t>Границы оси x</t>
  </si>
  <si>
    <t>Границы оси y</t>
  </si>
  <si>
    <t>Границы графиков</t>
  </si>
  <si>
    <t>Chart 1</t>
  </si>
  <si>
    <t>Chart 2</t>
  </si>
  <si>
    <t>Chart 3</t>
  </si>
  <si>
    <t>Chart 4</t>
  </si>
  <si>
    <t>Max</t>
  </si>
  <si>
    <t>Min</t>
  </si>
  <si>
    <t>Ось X</t>
  </si>
  <si>
    <t>Ось Y</t>
  </si>
  <si>
    <t>Moody's</t>
  </si>
  <si>
    <t>Expert RA</t>
  </si>
  <si>
    <t>Standard &amp; Poor's</t>
  </si>
  <si>
    <t>Moody's Interfax</t>
  </si>
  <si>
    <t>AMB-I-FS&amp;R-LT-Isc</t>
  </si>
  <si>
    <t>MDS-Note-BNP-ShT-Isc-Ncur</t>
  </si>
  <si>
    <t>MDS-B-CDP-ShT-Isc-Ncur</t>
  </si>
  <si>
    <t>MDS-B-CDP-Isc-Icur</t>
  </si>
  <si>
    <t>MDS-B-CDP-Isc-Ncur</t>
  </si>
  <si>
    <t>MDS-Prnc-Shelf-Isc-Ncur</t>
  </si>
  <si>
    <t>MDS-Prnc-Isc-Icur</t>
  </si>
  <si>
    <t>MDS-Prnc-MTN-Isc-Icur</t>
  </si>
  <si>
    <t>MDS-Prnc-MTN-Isc-Ncur</t>
  </si>
  <si>
    <t>MDS-Prnc-Isc-Ncur</t>
  </si>
  <si>
    <t>NRA-C-Cr&amp;D-Nsc</t>
  </si>
  <si>
    <t>NRA-DP-R&amp;QS-Nsc</t>
  </si>
  <si>
    <t>NRA-ESG-Nsc</t>
  </si>
  <si>
    <t>AKRA</t>
  </si>
  <si>
    <t>NCR</t>
  </si>
  <si>
    <t>MDS-NoteJrSr-Isc-Icur</t>
  </si>
  <si>
    <t>MDS-NoteJrSr-Isc-Ncur</t>
  </si>
  <si>
    <t>MDS-NoteJrSr-MTN-Isc-Icur</t>
  </si>
  <si>
    <t>MDS-NoteJrSr-MTN-Isc-Ncur</t>
  </si>
  <si>
    <t>MDS-NoteJrSb-Isc-Icur</t>
  </si>
  <si>
    <t>MDS-NoteJrSb-Isc-Ncur</t>
  </si>
  <si>
    <t>MDS-NoteJrSb-MTN-Isc-Icur</t>
  </si>
  <si>
    <t>MDS-NoteJrSb-MTN-Isc-Ncur</t>
  </si>
  <si>
    <t>MDS-NoteJrSr-Shelf-Isc-Icur</t>
  </si>
  <si>
    <t>MDS-NoteJrSb-Shelf-Isc-Icur</t>
  </si>
  <si>
    <t>MDS-NoteSrSc-Isc-Icur</t>
  </si>
  <si>
    <t>MDS-NoteSrSc-Isc-Ncur</t>
  </si>
  <si>
    <t>MDS-NoteSrSc-MTN-Isc-Icur</t>
  </si>
  <si>
    <t>MDS-NoteSrSc-MTN-Isc-Ncur</t>
  </si>
  <si>
    <t>MDS-NoteSr-MTN-Isc-Icur</t>
  </si>
  <si>
    <t>MDS-NoteSr-MTN-Isc-Ncur</t>
  </si>
  <si>
    <t>MDS-BndC-Isc-Ncur</t>
  </si>
  <si>
    <t>MDS-NoteSrSr-Isc-Icur</t>
  </si>
  <si>
    <t>MDS-NoteSrSr-Isc-Ncur</t>
  </si>
  <si>
    <t>MDS-NoteSrSr-MTN-Isc-Icur</t>
  </si>
  <si>
    <t>MDS-NoteSrSr-MTN-Isc-Ncur</t>
  </si>
  <si>
    <t>MDS-NoteSr-Shelf-Isc-Icur</t>
  </si>
  <si>
    <t>MDS-NoteSr-Shelf-Isc-Ncur</t>
  </si>
  <si>
    <t>MDS-NoteSr-BNP-Isc-Ncur</t>
  </si>
  <si>
    <t>MDS-NoteSb-MTN-Isc-Icur</t>
  </si>
  <si>
    <t>MDS-NoteSb-MTN-Isc-Ncur</t>
  </si>
  <si>
    <t>MDS-NoteSb-Shelf-Isc-Icur</t>
  </si>
  <si>
    <t>MDS-NoteSb-Shelf-Isc-Ncur</t>
  </si>
  <si>
    <t>MDS-NoteSb-BNP-Isc-Ncur</t>
  </si>
  <si>
    <t>EXP-R-ESG-Nsc</t>
  </si>
  <si>
    <t>MDS-IN-FS&amp;R-ShT-Isc-Icur</t>
  </si>
  <si>
    <t>MDS-I-SCAA</t>
  </si>
  <si>
    <t>MDS-Other-ShT-Isc-Icur-b</t>
  </si>
  <si>
    <t>MDS-Other-ShT-Isc-Ncur-b</t>
  </si>
  <si>
    <t>MDS-Other-ShT-Isc-Icur</t>
  </si>
  <si>
    <t>MDS-Other-ShT-Isc-Ncur</t>
  </si>
  <si>
    <t>NRA-Funds-Ncr</t>
  </si>
  <si>
    <t>AKRA-R-ESG-Nsc</t>
  </si>
  <si>
    <t>NCR-C-Cr&amp;D-LT-Nsc</t>
  </si>
  <si>
    <t>AKRA-Bnd-Isc</t>
  </si>
  <si>
    <t>MDS-Cp-RA-LT-Icur-b</t>
  </si>
  <si>
    <t>MDS-Cp-RA-LT-Ncur-b</t>
  </si>
  <si>
    <t>MDS-Cp-RA-ST-Icur-b</t>
  </si>
  <si>
    <t>MDS-Cp-RA-ST-Ncur-b</t>
  </si>
  <si>
    <t>MDS-I-Cr&amp;D-ShT-Isc-Ncur-b</t>
  </si>
  <si>
    <t>MDS-Cp-RA-LT-b</t>
  </si>
  <si>
    <t>MDS-Cp-RA-ST-b</t>
  </si>
  <si>
    <t>NRA-RG-R&amp;QS-LT-Nsc</t>
  </si>
  <si>
    <t>NRA-Bnd-Ncr</t>
  </si>
  <si>
    <t>EXP-mkF-Cr&amp;D-KZsc</t>
  </si>
  <si>
    <t>EXP-B-Cr&amp;D-BYsc</t>
  </si>
  <si>
    <t>MDS-U-Cr&amp;D-LT-Isc</t>
  </si>
  <si>
    <t>NCR-R-ESG-Nsc</t>
  </si>
  <si>
    <t>NRA-LC-Cr&amp;D-Nsc</t>
  </si>
  <si>
    <t>MDS-BndJr-RR</t>
  </si>
  <si>
    <t>NCR-B-Cr&amp;D-LT-Nsc</t>
  </si>
  <si>
    <t>NCR-LC-Cr&amp;D-LT-Nsc</t>
  </si>
  <si>
    <t>NCR-IN-Cr&amp;D-LT-Nsc</t>
  </si>
  <si>
    <t>NCR-G-Cr&amp;D-LT-Nsc</t>
  </si>
  <si>
    <t>MDS-B-Cr&amp;D-LT-Isc</t>
  </si>
  <si>
    <t>MDS-B-Cr&amp;D-ShT-Isc</t>
  </si>
  <si>
    <t>MDS-NoteSr-MTN-Isc-Ncur-b</t>
  </si>
  <si>
    <t>S&amp;P-Bnd-Isc-Icur-p</t>
  </si>
  <si>
    <t>EXP-Funds-Nsc</t>
  </si>
  <si>
    <t>S&amp;P-Bnd-Isc-Ncur-p</t>
  </si>
  <si>
    <t>MDS-B-CDP-ShT-Isc-Icur</t>
  </si>
  <si>
    <t>MDS-NoteSrSc-Isc-Icur-b</t>
  </si>
  <si>
    <t>MDS-NoteSrSc-Isc-Ncur-b</t>
  </si>
  <si>
    <t>MDS-NoteSrSc-MTN-Isc-Icur-b</t>
  </si>
  <si>
    <t>MDS-NoteSr-MTN-Isc-Icur-b</t>
  </si>
  <si>
    <t>MDS-BndC-Isc-Icur</t>
  </si>
  <si>
    <t>NRA-IC-Cr&amp;D-Nsc</t>
  </si>
  <si>
    <t>AKRA-Funds-ESG-Nsc</t>
  </si>
  <si>
    <t>MDS-NoteJrSb-Shelf-Isc-Ncur</t>
  </si>
  <si>
    <t>RAEX-Europe</t>
  </si>
  <si>
    <t>Перевод</t>
  </si>
  <si>
    <t>НКР</t>
  </si>
  <si>
    <t>4. Ищем аналоги</t>
  </si>
  <si>
    <t>5. Добавить корпоративные события</t>
  </si>
  <si>
    <t>6. Активировать макрос и проверить подписи в графиках</t>
  </si>
  <si>
    <t>Корпоративный</t>
  </si>
  <si>
    <t>Определяется по итогам основной сессии в соответствии с п.3 Приложения 2 к Положению № 437-П и с Приказом ФСФР №10-65/пз-н от 09.11.2010</t>
  </si>
  <si>
    <t>Предыдущая рыночная цена цена3 в валюте торгов</t>
  </si>
  <si>
    <t>Наименование подгруппы полей</t>
  </si>
  <si>
    <t>Английское название</t>
  </si>
  <si>
    <t>securitization</t>
  </si>
  <si>
    <t>amortisedmty</t>
  </si>
  <si>
    <t>Признак наличия амортизационного погашения по выпуску (1 - да)</t>
  </si>
  <si>
    <t>haveindexedfv</t>
  </si>
  <si>
    <t>haveoffer</t>
  </si>
  <si>
    <t>Признак наличия по выпуску возможности досрочного выкупа или погашения (1 - да)</t>
  </si>
  <si>
    <t>haverepayment</t>
  </si>
  <si>
    <t>maturitygroup</t>
  </si>
  <si>
    <t>Группа по периоду обращения. Список возможных значений возвращает метод EnumValues (‘referenceData’, ‘MaturityGroup’).</t>
  </si>
  <si>
    <t>havecovenant</t>
  </si>
  <si>
    <t>ratetypenamerus_nrd</t>
  </si>
  <si>
    <t>Наименование вида купона (процента), русское. Список возможных значений возвращает метод EnumValues(‘referenceData’, ‘RateTypeNameRus_NRD’).</t>
  </si>
  <si>
    <t>ratetypenameeng_nrd</t>
  </si>
  <si>
    <t>Наименование вида купона (процента), английское. Список возможных значений возвращает метод EnumValues(‘referenceData’, ‘RateTypeNameEng_NRD’).</t>
  </si>
  <si>
    <t>coupontypename_nrd</t>
  </si>
  <si>
    <t>Наименование типа купонного периода. Список возможных значений возвращает метод EnumValues (‘referenceData’, ‘CouponTypeName_NRD’).</t>
  </si>
  <si>
    <t>rate_type_id</t>
  </si>
  <si>
    <t>isconvertible</t>
  </si>
  <si>
    <t>Наличие возможности конвертации / осуществленная конвертация в другой инструмент (1 - да)</t>
  </si>
  <si>
    <t>Признак субординированных облигаций (1 - да)</t>
  </si>
  <si>
    <t>seniority</t>
  </si>
  <si>
    <t>Старшинство выплат при банкротстве эмитента</t>
  </si>
  <si>
    <t>CLASS</t>
  </si>
  <si>
    <t>fintooltype</t>
  </si>
  <si>
    <t>Тип финансового инструмента (наименование). Список возможных значений возвращает метод EnumValues(‘referenceData’, ‘fintooltype’).</t>
  </si>
  <si>
    <t>securitykind</t>
  </si>
  <si>
    <t>Вид выпуска/спонсируемость/тип инвестиций. Список возможных значений возвращает метод EnumValues (‘referenceData’, ‘SecurityKind’).</t>
  </si>
  <si>
    <t>securitytype</t>
  </si>
  <si>
    <t>Тип выпуска/расписки/фонда. Список возможных значений возвращает метод EnumValues(‘referenceData’, ‘SecurityType’).</t>
  </si>
  <si>
    <t>coupontype</t>
  </si>
  <si>
    <t>Вид купона. Список возможных значений возвращает метод EnumValues(‘referenceData’, ‘CouponType’).</t>
  </si>
  <si>
    <t>bondstructuralpar</t>
  </si>
  <si>
    <t>formarketbonds_nrd</t>
  </si>
  <si>
    <t>sectypenamerus_nrd</t>
  </si>
  <si>
    <t>Наименование типа ценных бумаг, русское. Список возможных значений возвращает метод EnumValues(‘referenceData’, ‘SecTypeNameRus_NRD’).</t>
  </si>
  <si>
    <t>sectypenameeng_nrd</t>
  </si>
  <si>
    <t>Наименование типа ценных бумаг, английское. Список возможных значений возвращает метод EnumValues(‘referenceData’, ‘SecTypeNameEng_NRD’).</t>
  </si>
  <si>
    <t>secformnamerus_nrd</t>
  </si>
  <si>
    <t>Наименование формы выпуска(русс). Список возможных значений возвращает метод EnumValues(‘referenceData’, ‘SecFormNameRus_NRD’).</t>
  </si>
  <si>
    <t>secformnameeng_nrd</t>
  </si>
  <si>
    <t>Наименование формы выпуска(англ). Список возможных значений возвращает метод EnumValues(‘referenceData’, ‘SecFormNameEng_NRD’).</t>
  </si>
  <si>
    <t>sectypenamebr_nrd</t>
  </si>
  <si>
    <t>Наименование типа ц.б.по классификации Банка России. Список возможных значений возвращает метод EnumValues (‘referenceData’, ‘SecTypeNameBR_NRD’).</t>
  </si>
  <si>
    <t>placementtype_nrd</t>
  </si>
  <si>
    <t>Наименование способа размещения ценных бумаг. Список возможных значений возвращает метод EnumValues(‘referenceData’, ‘PlacementType_NRD’).</t>
  </si>
  <si>
    <t>sec_type_id</t>
  </si>
  <si>
    <t>sec_form_id</t>
  </si>
  <si>
    <t>Идентификатор формы выпуска ценных бумаг. Соответствующие наименования см.поля secformnamerus_nrd и secformnameeng_nrd</t>
  </si>
  <si>
    <t>placement_type_id</t>
  </si>
  <si>
    <t>privatedist</t>
  </si>
  <si>
    <t>sec_type_br_code</t>
  </si>
  <si>
    <t>Тип ц.б. по классификации Банка России. Список возможных значений возвращает метод EnumValues (‘referenceData’, ‘Sec_Type_BR_Code’).</t>
  </si>
  <si>
    <t>DR</t>
  </si>
  <si>
    <t>dr_category_name_nrd</t>
  </si>
  <si>
    <t>Полное наименование категории депозитарных расписок (рус.)</t>
  </si>
  <si>
    <t>dr_category_name_en_nrd</t>
  </si>
  <si>
    <t>Полное наименование категории депозитарных расписок (англ.)</t>
  </si>
  <si>
    <t>dr_category_mn</t>
  </si>
  <si>
    <t>Мнемокод категории депозитарных расписок</t>
  </si>
  <si>
    <t>QI</t>
  </si>
  <si>
    <t>isqualified_nrd</t>
  </si>
  <si>
    <t>Для квалифицированных инвесторов (1/0) по базе НРД</t>
  </si>
  <si>
    <t>isqualified</t>
  </si>
  <si>
    <t>sector4212u</t>
  </si>
  <si>
    <t>SHARE</t>
  </si>
  <si>
    <t>share_category_name_nrd</t>
  </si>
  <si>
    <t>Наименование категории, русское. Список возможных значений возвращает метод EnumValues(‘referenceData’, ‘Share_Category_Name_NRD’).</t>
  </si>
  <si>
    <t>share_category_name_en_nrd</t>
  </si>
  <si>
    <t>Наименование категории, английское. Список возможных значений возвращает метод EnumValues(‘referenceData’, ‘Share_Category_Name_En_NRD’).</t>
  </si>
  <si>
    <t>share_category_id</t>
  </si>
  <si>
    <t>Категория акций</t>
  </si>
  <si>
    <t>BASE</t>
  </si>
  <si>
    <t>isincodebase_nrd</t>
  </si>
  <si>
    <t>ISIN-код выпуска акций, на которые выпущены расписки</t>
  </si>
  <si>
    <t>base_asset_fintoolid</t>
  </si>
  <si>
    <t>Идентификатор базового актива</t>
  </si>
  <si>
    <t>id_iss</t>
  </si>
  <si>
    <t>Идентификатор основного торгового инструмента</t>
  </si>
  <si>
    <t>CODE</t>
  </si>
  <si>
    <t>isincode</t>
  </si>
  <si>
    <t>ISIN-код финансового инструмента</t>
  </si>
  <si>
    <t>regcode</t>
  </si>
  <si>
    <t>Регистрационный номер финансового инструмента</t>
  </si>
  <si>
    <t>fintoolid</t>
  </si>
  <si>
    <t>Идентификатор финансового инструмента в базе Интерфакс</t>
  </si>
  <si>
    <t>Financial instrument's Interfax identifier</t>
  </si>
  <si>
    <t>nrdcode</t>
  </si>
  <si>
    <t>Код НРД финансового инструмента</t>
  </si>
  <si>
    <t>regcode_m</t>
  </si>
  <si>
    <t>Маркер сравнения регистрационного номера финансового инструмента НРД и Интерфакса</t>
  </si>
  <si>
    <t>issuenumber</t>
  </si>
  <si>
    <t>Номер выпуска по базе НРД</t>
  </si>
  <si>
    <t>bondseries</t>
  </si>
  <si>
    <t>Номер серии по базе НРД</t>
  </si>
  <si>
    <t>regcode_nrd</t>
  </si>
  <si>
    <t>Регистрационный номер финансового инструмента в базе НРД</t>
  </si>
  <si>
    <t>moex_code</t>
  </si>
  <si>
    <t>Идентификатор инструмента на Московской бирже (SECID)</t>
  </si>
  <si>
    <t>isin144a</t>
  </si>
  <si>
    <t>progfintoolid</t>
  </si>
  <si>
    <t>Связь между УИН выпуска облигаций и УИН программы облигаций</t>
  </si>
  <si>
    <t>regcode_norm</t>
  </si>
  <si>
    <t>Регистрационный номер финансового инструмента в нормализованном виде (только цифры и буквы)</t>
  </si>
  <si>
    <t>nickname</t>
  </si>
  <si>
    <t>Краткое наименование финансового инструмента</t>
  </si>
  <si>
    <t>fullname</t>
  </si>
  <si>
    <t>Полное название финансового инструмента</t>
  </si>
  <si>
    <t>fullname_nrd</t>
  </si>
  <si>
    <t>Полное название финансового инструмента по базе НРД</t>
  </si>
  <si>
    <t>moex_name</t>
  </si>
  <si>
    <t>Краткое наименование инструмента на Московской бирже (SHORTNAME)</t>
  </si>
  <si>
    <t>PARAM</t>
  </si>
  <si>
    <t>ACCINT</t>
  </si>
  <si>
    <t>basis</t>
  </si>
  <si>
    <t>Базис НКД по базе Интерфакс. Список возможных значений возвращает метод EnumValues(‘referenceData’, ‘Basis’).</t>
  </si>
  <si>
    <t>accruedintcalctype</t>
  </si>
  <si>
    <t>Признак, определяющий правила расчета НКД. Список возможных значений возвращает метод EnumValues(‘referenceData’, ‘AccruedintCalcType’).</t>
  </si>
  <si>
    <t>fraction_nrd</t>
  </si>
  <si>
    <t>Количество знаков после запятой</t>
  </si>
  <si>
    <t>base_month</t>
  </si>
  <si>
    <t>Базовый месяц по базе НРД</t>
  </si>
  <si>
    <t>base_year</t>
  </si>
  <si>
    <t>Базовый год по базе НРД</t>
  </si>
  <si>
    <t>basis_nrd</t>
  </si>
  <si>
    <t>Базис НКД по базе НРД. Список возможных значений возвращает метод EnumValues (‘referenceData’, ‘Basis_NRD’).</t>
  </si>
  <si>
    <t>coupon_period_base_id</t>
  </si>
  <si>
    <t>numdecimals</t>
  </si>
  <si>
    <t>COVER</t>
  </si>
  <si>
    <t>guaranteetype</t>
  </si>
  <si>
    <t>Вид гарантии. Список возможных значений возвращает метод EnumValues(‘referenceData’, ‘GuaranteeType’).</t>
  </si>
  <si>
    <t>guaranteeamount</t>
  </si>
  <si>
    <t>isguaranteed</t>
  </si>
  <si>
    <t>guarantval</t>
  </si>
  <si>
    <t>isgosgarantee</t>
  </si>
  <si>
    <t>Есть ли гос. гарантия</t>
  </si>
  <si>
    <t>couponperyear</t>
  </si>
  <si>
    <t>couponperiod</t>
  </si>
  <si>
    <t>numcoupons</t>
  </si>
  <si>
    <t>numcoupons_m</t>
  </si>
  <si>
    <t>Маркер сравнения количества купонов всего НРД и Интерфакса</t>
  </si>
  <si>
    <t>numcoupons_nrd</t>
  </si>
  <si>
    <t>Количество купонов всего по базе НРД</t>
  </si>
  <si>
    <t>cp_type_id</t>
  </si>
  <si>
    <t>Периодичность выплаты купона</t>
  </si>
  <si>
    <t>Частота пересмотра плавающей ставки купона (кол-во раз в год)</t>
  </si>
  <si>
    <t>Ближайшая дата определения купонной ставки (если применимо)</t>
  </si>
  <si>
    <t>FACEVAL</t>
  </si>
  <si>
    <t>facevalue</t>
  </si>
  <si>
    <t>Начальный номинал финансового инструмента</t>
  </si>
  <si>
    <t>faceftname</t>
  </si>
  <si>
    <t>Валюта номинала финансового инструмента. Список возможных значений возвращает метод /Info/EnumValues (‘referenceData’, ‘FaceFTName’).</t>
  </si>
  <si>
    <t>facevalue_m</t>
  </si>
  <si>
    <t>Маркер сравнения начального номинала финансового инструмента НРД и Интерфакса</t>
  </si>
  <si>
    <t>faceftname_m</t>
  </si>
  <si>
    <t>Маркер сравнения валюты номинала НРД и Интерфакса</t>
  </si>
  <si>
    <t>currentfacevalue_nrd</t>
  </si>
  <si>
    <t>Текущий номинал облигации с учетом амортизации по базе НРД</t>
  </si>
  <si>
    <t>facevalue_nrd</t>
  </si>
  <si>
    <t>Номинал финансового инструмента по базе НРД</t>
  </si>
  <si>
    <t>faceftname_nrd</t>
  </si>
  <si>
    <t>Валюта номинала финансового инструмента по базе НРД. Список возможных значений возвращает метод EnumValues (‘referenceData’, ‘FaceFTName_NRD’).</t>
  </si>
  <si>
    <t>drqty</t>
  </si>
  <si>
    <t>Количество ДР</t>
  </si>
  <si>
    <t>shqty</t>
  </si>
  <si>
    <t>Количество представляемых ц.б.</t>
  </si>
  <si>
    <t>LIST</t>
  </si>
  <si>
    <t>islombardcbr_nrd</t>
  </si>
  <si>
    <t>Включение в ломбардный список (1/0) по базе НРД</t>
  </si>
  <si>
    <t>micexlist_nrd</t>
  </si>
  <si>
    <t>listing_level_spb</t>
  </si>
  <si>
    <t>Уровень листинга на “Бирже СПБ”</t>
  </si>
  <si>
    <t>REGION</t>
  </si>
  <si>
    <t>country</t>
  </si>
  <si>
    <t>Двухбуквенный код страны в соответствии с ОКСМ. Список возможных значений возвращает метод /Info/EnumValues(‘referenceData’, ‘Country’).</t>
  </si>
  <si>
    <t>isregion</t>
  </si>
  <si>
    <t>Выпуск субъекта федерации: 0 - муниципальный выпуск, 1 - выпуск субъекта федерации, пусто - другое.</t>
  </si>
  <si>
    <t>original_country</t>
  </si>
  <si>
    <t>Идентификатор страны риска в базе Интерфакс. Двухбуквенный код страны в соответствии с ОКСМ.</t>
  </si>
  <si>
    <t>status</t>
  </si>
  <si>
    <t>Состояние выпуска финансового инструмента. Список возможных значений возвращает метод /Info/EnumValues(‘referenceData’, ‘Status’).</t>
  </si>
  <si>
    <t>havedefault</t>
  </si>
  <si>
    <t>Признак наличия дефолта по выпуску (1 - да)</t>
  </si>
  <si>
    <t>secstaterus_nrd</t>
  </si>
  <si>
    <t>Наименование состояния бумаги/ выпуска/транша, русское. Список возможных значений возвращает метод EnumValues(‘referenceData’, ‘SecStateRus_NRD’).</t>
  </si>
  <si>
    <t>secstateeng_nrd</t>
  </si>
  <si>
    <t>Наименование состояния бумаги/ выпуска/транша, англ. Список возможных значений возвращает метод EnumValues(‘referenceData’, ‘SecStateEng_NRD’).</t>
  </si>
  <si>
    <t>sec_state_id</t>
  </si>
  <si>
    <t>CUSTODY</t>
  </si>
  <si>
    <t>ACC</t>
  </si>
  <si>
    <t>registraracctype_nrd</t>
  </si>
  <si>
    <t>Тип лицевого счета (НД или НДЦД). Список возможных значений возвращает метод EnumValues (‘referenceData’, ‘RegistrarAccType_NRD’).</t>
  </si>
  <si>
    <t>registraracctypedate_nrd</t>
  </si>
  <si>
    <t>facialacc_nrd</t>
  </si>
  <si>
    <t>acc_open_date_nrd</t>
  </si>
  <si>
    <t>Дата первого открытия ЛС в реестре</t>
  </si>
  <si>
    <t>DEPO</t>
  </si>
  <si>
    <t>depositary_nrd</t>
  </si>
  <si>
    <t>registrar_nrd</t>
  </si>
  <si>
    <t>minlot_nrd</t>
  </si>
  <si>
    <t>Минимальный лот (в валюте номинала) для проведения расчетов в ISCD</t>
  </si>
  <si>
    <t>specialized_depo_nrd</t>
  </si>
  <si>
    <t>Код НРД специализированного депозитария</t>
  </si>
  <si>
    <t>DIST&amp;MTY</t>
  </si>
  <si>
    <t>Ближайшая дата безотзывной оферты</t>
  </si>
  <si>
    <t>Ближайшая дата досрочного погашения по инициативе эмитента</t>
  </si>
  <si>
    <t>firstcoupondate</t>
  </si>
  <si>
    <t>firstcoupondate_nrd</t>
  </si>
  <si>
    <t>endmtydate</t>
  </si>
  <si>
    <t>Дата погашения финансового инструмента</t>
  </si>
  <si>
    <t>endmtydate_m</t>
  </si>
  <si>
    <t>Маркер сравнения даты погашения финансового инструмента НРД и Интерфакса</t>
  </si>
  <si>
    <t>daysall_m</t>
  </si>
  <si>
    <t>Маркер сравнения количества дней с даты начала размещения до даты окончания погашения облигации НРД и Интерфакса</t>
  </si>
  <si>
    <t>daysall_nrd</t>
  </si>
  <si>
    <t>Количество дней с даты начала размещения до даты окончания погашения облигации по базе НРД</t>
  </si>
  <si>
    <t>endmtydate_nrd</t>
  </si>
  <si>
    <t>Дата погашения финансового инструмента по базе НРД</t>
  </si>
  <si>
    <t>planmtydate_nrd</t>
  </si>
  <si>
    <t>begmtydate</t>
  </si>
  <si>
    <t>daysall</t>
  </si>
  <si>
    <t>PLACEMT</t>
  </si>
  <si>
    <t>enddistdate</t>
  </si>
  <si>
    <t>begdistdate_m</t>
  </si>
  <si>
    <t>Маркер сравнения даты начала размещения НРД и Интерфакса</t>
  </si>
  <si>
    <t>enddistdate_m</t>
  </si>
  <si>
    <t>Маркер сравнения даты окончания размещения НРД и Интерфакса</t>
  </si>
  <si>
    <t>begdistdate_nrd</t>
  </si>
  <si>
    <t>Дата начала размещения по базе НРД</t>
  </si>
  <si>
    <t>enddistdate_nrd</t>
  </si>
  <si>
    <t>Дата окончания размещения по базе НРД</t>
  </si>
  <si>
    <t>placeprice_nrd</t>
  </si>
  <si>
    <t>begdistdate</t>
  </si>
  <si>
    <t>beg_book_date</t>
  </si>
  <si>
    <t>Дата открытия книги заявок</t>
  </si>
  <si>
    <t>REGISTR</t>
  </si>
  <si>
    <t>regdate_m</t>
  </si>
  <si>
    <t>Маркер сравнения даты государственной регистрации выпуска НРД и Интерфакса</t>
  </si>
  <si>
    <t>regdate_nrd</t>
  </si>
  <si>
    <t>Дата государственной регистрации выпуска в базе НРД</t>
  </si>
  <si>
    <t>regorg_nrd</t>
  </si>
  <si>
    <t>Регистрирующий орган по базе НРД</t>
  </si>
  <si>
    <t>regdate</t>
  </si>
  <si>
    <t>regorg</t>
  </si>
  <si>
    <t>REPORT</t>
  </si>
  <si>
    <t>regdistdate_m</t>
  </si>
  <si>
    <t>Маркер сравнения даты регистрации отчета о выпуске финансового инструмента / даты отсылки уведомления НРД и Интерфакса</t>
  </si>
  <si>
    <t>rpregorg_nrd</t>
  </si>
  <si>
    <t>Орган, осуществивший регистрацию отчета по базе НРД</t>
  </si>
  <si>
    <t>rpstate_nrd</t>
  </si>
  <si>
    <t>Состояние отчета о выпуске по базе НРД. Список возможных значений возвращает метод /EnumValues (‘referenceData’, ‘RpState_NRD’).</t>
  </si>
  <si>
    <t>regdistdate_nrd</t>
  </si>
  <si>
    <t>Дата регистрации отчета о выпуске финансового инструмента / дата отсылки уведомления по базе НРД</t>
  </si>
  <si>
    <t>VOLUME</t>
  </si>
  <si>
    <t>sumissueval</t>
  </si>
  <si>
    <t>summarketval</t>
  </si>
  <si>
    <t>sumissuevol_m</t>
  </si>
  <si>
    <t>Маркер сравнения заявленного объема эмиссии в штуках НРД и Интерфакса</t>
  </si>
  <si>
    <t>summarketvol_m</t>
  </si>
  <si>
    <t>Маркер сравнения объема в обращении в штуках НРД и Интерфакса</t>
  </si>
  <si>
    <t>summarketvol_nrd</t>
  </si>
  <si>
    <t>Объем в обращении в штуках по базе НРД</t>
  </si>
  <si>
    <t>sumissuevol_nrd</t>
  </si>
  <si>
    <t>Заявленный объем эмиссии в штуках по базе НРД</t>
  </si>
  <si>
    <t>summarketvolorig_nrd</t>
  </si>
  <si>
    <t>Объем бумаг в обращении (с учетом доп. выпусков за вычетом погашенных ц.б) по остаточной номинальной стоимости</t>
  </si>
  <si>
    <t>sumissuevol</t>
  </si>
  <si>
    <t>summarketvol</t>
  </si>
  <si>
    <t>MODEL</t>
  </si>
  <si>
    <t>RequestedCode</t>
  </si>
  <si>
    <t>Запрошенный код</t>
  </si>
  <si>
    <t>RequestedType</t>
  </si>
  <si>
    <t>Тип запрошенного кода</t>
  </si>
  <si>
    <t>cfi</t>
  </si>
  <si>
    <t>Код типа инструмента</t>
  </si>
  <si>
    <t>RequestedCodeError</t>
  </si>
  <si>
    <t>Ошибка при запросе кода</t>
  </si>
  <si>
    <t>seniorityname</t>
  </si>
  <si>
    <t>Старшинство выплат - наименование</t>
  </si>
  <si>
    <t>regdistdate</t>
  </si>
  <si>
    <t>Дата регистрации отчета о выпуске финансового инструмента / дата отсылки уведомления</t>
  </si>
  <si>
    <t>accruedinterest</t>
  </si>
  <si>
    <t>Накопленный купонный доход в валюте номинала</t>
  </si>
  <si>
    <t>nextcoupondate</t>
  </si>
  <si>
    <t>Дата следующего купона</t>
  </si>
  <si>
    <t>beg_offer_date</t>
  </si>
  <si>
    <t>Расчетная дата выкупа</t>
  </si>
  <si>
    <t>next_repayment_date</t>
  </si>
  <si>
    <t>Дата ближайшего возможного погашения</t>
  </si>
  <si>
    <t>isinold</t>
  </si>
  <si>
    <t>Прежний isin</t>
  </si>
  <si>
    <t>MAINROLE</t>
  </si>
  <si>
    <t>BORROW</t>
  </si>
  <si>
    <t>borrowername</t>
  </si>
  <si>
    <t>borrowerinn</t>
  </si>
  <si>
    <t>ИНН / TIN реального заемщика(эмитента) облигаций; для депо-расписок ИНН / TIN эмитента представляемой(базовой) ценной бумаги</t>
  </si>
  <si>
    <t>borrowersector</t>
  </si>
  <si>
    <t>Сектор реального заемщика. Список возможных значений возвращает метод EnumValues(‘referenceData’, ‘BorrowerSector’).</t>
  </si>
  <si>
    <t>borroweruid</t>
  </si>
  <si>
    <t>УИН реального заемщика (эмитента) в БД Интерфакс (fininstid)</t>
  </si>
  <si>
    <t>borrowercountry</t>
  </si>
  <si>
    <t>Страна реального заёмщика. Двухбуквенный код страны в соответствии с ОКСМ. Список возможных значений возвращает метод /Info/EnumValues(‘referenceData’, ‘Country’).</t>
  </si>
  <si>
    <t>borrowerregionname</t>
  </si>
  <si>
    <t>Регион в стране реального заемщика</t>
  </si>
  <si>
    <t>MULTIPLIER</t>
  </si>
  <si>
    <t>FUND</t>
  </si>
  <si>
    <t>cmp_code_nsd_issuer_nrd</t>
  </si>
  <si>
    <t>Код НРД фонда/ИСУ</t>
  </si>
  <si>
    <t>cmp_code_nsd_managing_nrd</t>
  </si>
  <si>
    <t>Код НРД управляющего ипотечным покрытием</t>
  </si>
  <si>
    <t>company_state_name_nrd</t>
  </si>
  <si>
    <t>Наименование состояния организации</t>
  </si>
  <si>
    <t>company_state_mn</t>
  </si>
  <si>
    <t>Мнемокод состояния организации</t>
  </si>
  <si>
    <t>GUARANT</t>
  </si>
  <si>
    <t>numguarantors</t>
  </si>
  <si>
    <t>mspcorp_is_guarant</t>
  </si>
  <si>
    <t>Гарантом/поручителем по выпуску является “Федеральная корпорация по развитию малого и среднего предпринимательства”</t>
  </si>
  <si>
    <t>issuername</t>
  </si>
  <si>
    <t>Название оператора выпуска финансового инструмента</t>
  </si>
  <si>
    <t>issuerinn</t>
  </si>
  <si>
    <t>ИНН / TIN оператора выпуска финансового инструмента</t>
  </si>
  <si>
    <t>issuersector</t>
  </si>
  <si>
    <t>Сектор эмитента. Список возможных значений возвращает метод EnumValues(‘referenceData’, ‘IssuerSector’).</t>
  </si>
  <si>
    <t>nrdcompcode</t>
  </si>
  <si>
    <t>Код НРД эмитента</t>
  </si>
  <si>
    <t>issuername_nrd</t>
  </si>
  <si>
    <t>Название оператора выпуска финансового инструмента по базе НРД</t>
  </si>
  <si>
    <t>issueruid</t>
  </si>
  <si>
    <t>УИН оператора в БД Интерфакс (fininstid)</t>
  </si>
  <si>
    <t>Страна эмитента. Двухбуквенный код страны в соответствии с ОКСМ. Список возможных значений возвращает метод /Info/EnumValues(‘referenceData’, ‘Country’).</t>
  </si>
  <si>
    <t>issuer_msp_type</t>
  </si>
  <si>
    <t>Категория МСП, если эмитент включен в реестр МСП</t>
  </si>
  <si>
    <t>issuer_msp_support</t>
  </si>
  <si>
    <t>Признак участия эмитента в реестре МСП-ПП</t>
  </si>
  <si>
    <t>ORGANIZ</t>
  </si>
  <si>
    <t>beneficiaryuid</t>
  </si>
  <si>
    <t>Идентификатор бенефициара</t>
  </si>
  <si>
    <t>mspbank_is_coorganizer</t>
  </si>
  <si>
    <t>Соорганизатором выпуска является “Российский Банк поддержки малого и среднего предпринимательства”</t>
  </si>
  <si>
    <t>RATIO</t>
  </si>
  <si>
    <t>current_ratio</t>
  </si>
  <si>
    <t>Отношение оборотных активов к краткосрочным обязательствам</t>
  </si>
  <si>
    <t>ev_ebitda</t>
  </si>
  <si>
    <t>Отношение стоимости компании к ее прибыли до уплаты процентов, налогов и затрат на амортизацию</t>
  </si>
  <si>
    <t>ev_sales</t>
  </si>
  <si>
    <t>Отношение стоимости компании к ее выручке</t>
  </si>
  <si>
    <t>la</t>
  </si>
  <si>
    <t>Отношение обязательств компании к ее активам</t>
  </si>
  <si>
    <t>leverage</t>
  </si>
  <si>
    <t>Отношение долга к собственному капиталу компании</t>
  </si>
  <si>
    <t>net_debt_to_ebitda</t>
  </si>
  <si>
    <t>Отношение чистого долга к прибыли до уплаты процентов, налогов и затрат на амортизацию</t>
  </si>
  <si>
    <t>net_profit_margin</t>
  </si>
  <si>
    <t>Отношение чистой прибыли к выручке</t>
  </si>
  <si>
    <t>payout_ratio</t>
  </si>
  <si>
    <t>Отношение выплаченных за год дивидендов к чистой прибыли</t>
  </si>
  <si>
    <t>price_book</t>
  </si>
  <si>
    <t>Отношение текущей рыночной стоимости компании к балансовой стоимости ее активов</t>
  </si>
  <si>
    <t>price_earnings</t>
  </si>
  <si>
    <t>Отношение рыночной цены компании к чистой прибыли</t>
  </si>
  <si>
    <t>price_fcf</t>
  </si>
  <si>
    <t>Отношение рыночной цены компании к свободным денежным средствам компании</t>
  </si>
  <si>
    <t>price_sales</t>
  </si>
  <si>
    <t>Отношение текущей рыночной стоимости компании к ее выручке</t>
  </si>
  <si>
    <t>roa</t>
  </si>
  <si>
    <t>Отношение чистой прибыли компании к ее активам (коэффициент рентабельности активов)</t>
  </si>
  <si>
    <t>roe</t>
  </si>
  <si>
    <t>Отношение чистой прибыли к собственному капиталу компании (коэффициент рентабельности собственного капитала)</t>
  </si>
  <si>
    <t>roi</t>
  </si>
  <si>
    <t>Отношение чистой прибыли компании к ее инвестициям (коэффициент возврата инвестиий)</t>
  </si>
  <si>
    <t>ros</t>
  </si>
  <si>
    <t>Отношение чистой прибыли компании к ее собственному капиталу</t>
  </si>
  <si>
    <t>RESULT</t>
  </si>
  <si>
    <t>book_value</t>
  </si>
  <si>
    <t>Бухгалтерская стоимость компании</t>
  </si>
  <si>
    <t>sales</t>
  </si>
  <si>
    <t>Выручка</t>
  </si>
  <si>
    <t>earnings</t>
  </si>
  <si>
    <t>Чистая прибыль</t>
  </si>
  <si>
    <t>ebitda</t>
  </si>
  <si>
    <t>Прибыль до уплаты процентов, налогов и затрат на амортизацию</t>
  </si>
  <si>
    <t>enterprise_value</t>
  </si>
  <si>
    <t>Стоимость компании с учетом долговой нагрузки</t>
  </si>
  <si>
    <t>long_term_debt</t>
  </si>
  <si>
    <t>Долгосрочные обязательства компании (более 1 года)</t>
  </si>
  <si>
    <t>market_cap</t>
  </si>
  <si>
    <t>Стоимость компании на рынке без учета долговой нагрзки</t>
  </si>
  <si>
    <t>net_debt</t>
  </si>
  <si>
    <t>Чистый долг компании</t>
  </si>
  <si>
    <t>RATING</t>
  </si>
  <si>
    <t>s_and_p_fintool_rating</t>
  </si>
  <si>
    <t>Рейтинг инструмента S&amp;P Global</t>
  </si>
  <si>
    <t>moody_fintool_rating</t>
  </si>
  <si>
    <t>Рейтинг инструмента Moody's Investors</t>
  </si>
  <si>
    <t>fitch_fintool_rating</t>
  </si>
  <si>
    <t>Рейтинг инструмента Fitch Ratings</t>
  </si>
  <si>
    <t>akra_fintool_rating</t>
  </si>
  <si>
    <t>Рейтинг инструмента АКРА</t>
  </si>
  <si>
    <t>expert_ra_fintool_rating</t>
  </si>
  <si>
    <t>Рейтинг инструмента ЭкспертРА</t>
  </si>
  <si>
    <t>nra_fintool_rating</t>
  </si>
  <si>
    <t>Рейтинг инструмента НРА</t>
  </si>
  <si>
    <t>ncr_fintool_rating</t>
  </si>
  <si>
    <t>Рейтинг инструмента НКР</t>
  </si>
  <si>
    <t>s_and_p_emitent_rating</t>
  </si>
  <si>
    <t>Рейтинг эмитента S&amp;P Global</t>
  </si>
  <si>
    <t>moody_emitent_rating</t>
  </si>
  <si>
    <t>Рейтинг эмитента Moody's Investors</t>
  </si>
  <si>
    <t>fitch_emitent_rating</t>
  </si>
  <si>
    <t>Рейтинг эмитента Fitch Ratings</t>
  </si>
  <si>
    <t>akra_emitent_rating</t>
  </si>
  <si>
    <t>Рейтинг эмитента АКРА</t>
  </si>
  <si>
    <t>expert_ra_emitent_rating</t>
  </si>
  <si>
    <t>Рейтинг эмитента ЭкспертРА</t>
  </si>
  <si>
    <t>nra_emitent_rating</t>
  </si>
  <si>
    <t>Рейтинг эмитента НРА</t>
  </si>
  <si>
    <t>ncr_emitent_rating</t>
  </si>
  <si>
    <t>Рейтинг эмитента НКР</t>
  </si>
  <si>
    <t>SUPPORT</t>
  </si>
  <si>
    <t>ATTRIB</t>
  </si>
  <si>
    <t>ismatched</t>
  </si>
  <si>
    <t>Сверен ли инструмент (с НРД или иным первоисточником данных)</t>
  </si>
  <si>
    <t>includedinindex</t>
  </si>
  <si>
    <t>Входит в состав одного из основных индексов</t>
  </si>
  <si>
    <t>NOTE</t>
  </si>
  <si>
    <t>note</t>
  </si>
  <si>
    <t>Примечание - выдержки из эмиссионных документов</t>
  </si>
  <si>
    <t>UPDATE</t>
  </si>
  <si>
    <t>TRADING</t>
  </si>
  <si>
    <t>ACTIV</t>
  </si>
  <si>
    <t>numdealsdays_1d</t>
  </si>
  <si>
    <t>Количество дней со сделками за 1 торговый день</t>
  </si>
  <si>
    <t>numdealsdays_2d</t>
  </si>
  <si>
    <t>Количество дней со сделками за 2 торговых дня</t>
  </si>
  <si>
    <t>numdealsdays_5d</t>
  </si>
  <si>
    <t>Количество дней со сделками за 5 торговых дней</t>
  </si>
  <si>
    <t>numdealsdays_10d</t>
  </si>
  <si>
    <t>Количество дней со сделками за 10 торговых дней</t>
  </si>
  <si>
    <t>numdealsdays_1m</t>
  </si>
  <si>
    <t>Количество дней со сделками за 1 месяц</t>
  </si>
  <si>
    <t>CHANGE</t>
  </si>
  <si>
    <t>chng_pct</t>
  </si>
  <si>
    <t>Изменение цены за день</t>
  </si>
  <si>
    <t>chng_w_pct</t>
  </si>
  <si>
    <t>Изменение цены за неделю</t>
  </si>
  <si>
    <t>chng_m_pct</t>
  </si>
  <si>
    <t>Изменение цены за месяц</t>
  </si>
  <si>
    <t>chng_y_pct</t>
  </si>
  <si>
    <t>Изменение цены за год</t>
  </si>
  <si>
    <t>DEAL</t>
  </si>
  <si>
    <t>numtrades_1d</t>
  </si>
  <si>
    <t>Количество сделок за 1 торговый день</t>
  </si>
  <si>
    <t>numtrades_2d</t>
  </si>
  <si>
    <t>Количество сделок за 2 торговых дня</t>
  </si>
  <si>
    <t>numtrades_5d</t>
  </si>
  <si>
    <t>Количество сделок за 5 торговых дней</t>
  </si>
  <si>
    <t>numtrades_10d</t>
  </si>
  <si>
    <t>Количество сделок за 10 торговых дней</t>
  </si>
  <si>
    <t>numtrades_1m</t>
  </si>
  <si>
    <t>Количество сделок за 1 месяц</t>
  </si>
  <si>
    <t>EOD</t>
  </si>
  <si>
    <t>tradesite</t>
  </si>
  <si>
    <t>Идентификатор основной торговой площадки, см. поле id в /Info/ExchangeTree</t>
  </si>
  <si>
    <t>Дюрация к ближайшему погашению</t>
  </si>
  <si>
    <t>yield_agg</t>
  </si>
  <si>
    <t>Агрегированная оценка доходности к ближайшему погашению</t>
  </si>
  <si>
    <t>durmd</t>
  </si>
  <si>
    <t>Модифицированная дюрация к ближайшему погашению</t>
  </si>
  <si>
    <t>z_wa_mb</t>
  </si>
  <si>
    <t>Z-спред к ближайшему погашению</t>
  </si>
  <si>
    <t>last</t>
  </si>
  <si>
    <t>Цена на основной торговой площадке, в % для облигаций</t>
  </si>
  <si>
    <t>current_waprice</t>
  </si>
  <si>
    <t>Текущая средневзвешенная цена, в % к номиналу</t>
  </si>
  <si>
    <t>current_numtrades</t>
  </si>
  <si>
    <t>Текущее количество сделок</t>
  </si>
  <si>
    <t>current_dayvalue</t>
  </si>
  <si>
    <t>Текущий объем сделок, в валюте торгов</t>
  </si>
  <si>
    <t>current_agg_numtrades</t>
  </si>
  <si>
    <t>Агрегированное текущее количество сделок</t>
  </si>
  <si>
    <t>current_agg_dayvalue</t>
  </si>
  <si>
    <t>Агрегированный текущий объем сделок, в валюте торгов</t>
  </si>
  <si>
    <t>current_g_spread</t>
  </si>
  <si>
    <t>Текущий g-spread</t>
  </si>
  <si>
    <t>current_z_spread</t>
  </si>
  <si>
    <t>Текущий z-spread</t>
  </si>
  <si>
    <t>current_effective_yield</t>
  </si>
  <si>
    <t>Текущая эффективная доходность</t>
  </si>
  <si>
    <t>g_spread</t>
  </si>
  <si>
    <t>g-spread из предыдущих итогов торгов</t>
  </si>
  <si>
    <t>z_spread</t>
  </si>
  <si>
    <t>z-spread из предыдущих итогов торгов</t>
  </si>
  <si>
    <t>effective_yield</t>
  </si>
  <si>
    <t>Эффективная доходность из предыдущих итогов торгов</t>
  </si>
  <si>
    <t>have_mm_moex</t>
  </si>
  <si>
    <t>Бумага имеет маркетмейкеров на Московской бирже</t>
  </si>
  <si>
    <t>have_mm_spb</t>
  </si>
  <si>
    <t>Бумага имеет маркетмейкеров на Бирже СПБ</t>
  </si>
  <si>
    <t>high_risk</t>
  </si>
  <si>
    <t>Признак повышенного риска</t>
  </si>
  <si>
    <t>moex_growthsector</t>
  </si>
  <si>
    <t>Флаг принадлежности инструмента к сектору роста МБ</t>
  </si>
  <si>
    <t>moex_iir</t>
  </si>
  <si>
    <t>Флаг принадлежности инструмента к сектору ПИР Московской Биржи</t>
  </si>
  <si>
    <t>STAT</t>
  </si>
  <si>
    <t>mcap</t>
  </si>
  <si>
    <t>Капитализация выпуска по итогам торгов</t>
  </si>
  <si>
    <t>free_float</t>
  </si>
  <si>
    <t>Доля в свободном обращении</t>
  </si>
  <si>
    <t>beta</t>
  </si>
  <si>
    <t>Бэта к основному индексу</t>
  </si>
  <si>
    <t>beta_sector</t>
  </si>
  <si>
    <t>Бэта к секторальному индексу</t>
  </si>
  <si>
    <t>TEST</t>
  </si>
  <si>
    <t>iscomplicated</t>
  </si>
  <si>
    <t>Выпуск является сложным</t>
  </si>
  <si>
    <t>available_for_unqualified</t>
  </si>
  <si>
    <t>qualified_test_id</t>
  </si>
  <si>
    <t>Идентификатор теста, в соответствии с которым по данным ‘на сегодня’ бумага не может быть предложена неквалифицированным инвесторам</t>
  </si>
  <si>
    <t>qualified_test_id_tm</t>
  </si>
  <si>
    <t>Идентификатор теста, в соответствии с которым по данным ‘на завтра’ бумага не может быть предложена неквалифицированным инвесторам</t>
  </si>
  <si>
    <t>for_unqualified_investor</t>
  </si>
  <si>
    <t>Доступность для неквалифицированных инвесторов: 0 - Нет, 1 - Да, 2 - Да, после тестирования, -1 - Неизвестно</t>
  </si>
  <si>
    <t>val_acc</t>
  </si>
  <si>
    <t>Дневной оборот в валюте торгов за предыдущий торговый день</t>
  </si>
  <si>
    <t>val_1d</t>
  </si>
  <si>
    <t>Объем торгов за 1 торговый день</t>
  </si>
  <si>
    <t>val_2d</t>
  </si>
  <si>
    <t>Объем торгов за 2 торговых дня</t>
  </si>
  <si>
    <t>val_5d</t>
  </si>
  <si>
    <t>Объем торгов за 5 торговых дней</t>
  </si>
  <si>
    <t>val_10d</t>
  </si>
  <si>
    <t>Объем торгов за 10 торговых дней</t>
  </si>
  <si>
    <t>val_1m</t>
  </si>
  <si>
    <t>Объем торгов за 1 месяц</t>
  </si>
  <si>
    <t>avgval_1m</t>
  </si>
  <si>
    <t>Средний дневной оборот за месяц в валюте номинала</t>
  </si>
  <si>
    <t>currentfacevalue_ifx</t>
  </si>
  <si>
    <t>Текущий номинал по данным Интерфакс</t>
  </si>
  <si>
    <t>accrint_facevalue_currency</t>
  </si>
  <si>
    <t>Накопленный купонный доход, конвертированный в валюту номинала</t>
  </si>
  <si>
    <t>debt_to_ebitda</t>
  </si>
  <si>
    <t>Отношение долга компании к прибыли до уплаты процентов, налогов и затрат на амортизацию</t>
  </si>
  <si>
    <t>gross_margin</t>
  </si>
  <si>
    <t>Отношение валовой прибыль к выручке (в %)</t>
  </si>
  <si>
    <t>ebit_to_interest_expenses</t>
  </si>
  <si>
    <t>Отношение прибыли до уплаты налогов и процентов к затратам на уплату процентов</t>
  </si>
  <si>
    <t>debt_to_ffo</t>
  </si>
  <si>
    <t>Отношение долга к денежным потокам от операционной деятельности</t>
  </si>
  <si>
    <t>gross_income</t>
  </si>
  <si>
    <t>Валовая прибыль</t>
  </si>
  <si>
    <t>roce</t>
  </si>
  <si>
    <t>Доходность используемого капитала</t>
  </si>
  <si>
    <t>equity</t>
  </si>
  <si>
    <t>Собственный капитал компании</t>
  </si>
  <si>
    <t>assets</t>
  </si>
  <si>
    <t>Активы компании</t>
  </si>
  <si>
    <t>debt</t>
  </si>
  <si>
    <t>Совокупный долг компании</t>
  </si>
  <si>
    <t>prevlclose</t>
  </si>
  <si>
    <t>Цена на начало периода (день)</t>
  </si>
  <si>
    <t>lclose</t>
  </si>
  <si>
    <t>Цена на конец периода (день)</t>
  </si>
  <si>
    <t>high</t>
  </si>
  <si>
    <t>Максимальная цена за день</t>
  </si>
  <si>
    <t>low</t>
  </si>
  <si>
    <t>Минимальная цена за день</t>
  </si>
  <si>
    <t>range</t>
  </si>
  <si>
    <t>Диапазон за 1 день</t>
  </si>
  <si>
    <t>prevlclose_M</t>
  </si>
  <si>
    <t>Цена на начало периода (месяц)</t>
  </si>
  <si>
    <t>prevlclose_Y</t>
  </si>
  <si>
    <t>Цена на начало периода (год)</t>
  </si>
  <si>
    <t>high_M</t>
  </si>
  <si>
    <t>Максимальная цена за месяц</t>
  </si>
  <si>
    <t>high_Y</t>
  </si>
  <si>
    <t>Максимальная цена за год</t>
  </si>
  <si>
    <t>low_M</t>
  </si>
  <si>
    <t>Минимальная цена за месяц</t>
  </si>
  <si>
    <t>low_Y</t>
  </si>
  <si>
    <t>Минимальная цена за год</t>
  </si>
  <si>
    <t>range_M</t>
  </si>
  <si>
    <t>Диапазон за месяц</t>
  </si>
  <si>
    <t>range_Y</t>
  </si>
  <si>
    <t>Диапазон за год</t>
  </si>
  <si>
    <t>Биржа</t>
  </si>
  <si>
    <t>CLOSE (как значения)</t>
  </si>
  <si>
    <t>CLOSE_YIELD</t>
  </si>
  <si>
    <t>CLOSE_YIELD_OFFER</t>
  </si>
  <si>
    <t>DURATION_OFFER</t>
  </si>
  <si>
    <t>График 3</t>
  </si>
  <si>
    <t xml:space="preserve">
01.01.2024
</t>
  </si>
  <si>
    <t xml:space="preserve">
02.01.2024
</t>
  </si>
  <si>
    <t>КБД Московской биржи (g-curve), %</t>
  </si>
  <si>
    <t>Double test выгружаемых данных из Rudata и Cbonds</t>
  </si>
  <si>
    <t>Выгрузка Cbonds</t>
  </si>
  <si>
    <t>Выгрузка Rudata</t>
  </si>
  <si>
    <t>G-Curve</t>
  </si>
  <si>
    <t>Last yield</t>
  </si>
  <si>
    <t>Критерий</t>
  </si>
  <si>
    <t>Количество облигаций в обращении</t>
  </si>
  <si>
    <t>Стабильный</t>
  </si>
  <si>
    <t>Begdistdate</t>
  </si>
  <si>
    <t>2. Активировать макрос bonds_out</t>
  </si>
  <si>
    <t>Даты</t>
  </si>
  <si>
    <t>Облигация с инфляционно-индексируемым номиналом</t>
  </si>
  <si>
    <t>current_coupontype</t>
  </si>
  <si>
    <t>Вид текущего купона</t>
  </si>
  <si>
    <t>profit_type</t>
  </si>
  <si>
    <t>Вид дохода</t>
  </si>
  <si>
    <t>Предназначено для квалифицированных инвесторов (присваивается облигациям и фондам на основании эмиссионных документов и указаний эмитентов, исключая другие признаки)</t>
  </si>
  <si>
    <t>FoundType</t>
  </si>
  <si>
    <t>Найденный тип</t>
  </si>
  <si>
    <t>IsValid</t>
  </si>
  <si>
    <t>Признак корректности идентификатора</t>
  </si>
  <si>
    <t>Выпуск доступен для неквалифицированных инвесторов. Если по ЦБ требуется тестирование или ЦБ = только для КИ, всегда будет available_for_unqualified = false, если без тестов доступно для всех, то будет available_for_unqualified = true</t>
  </si>
  <si>
    <t>Снят</t>
  </si>
  <si>
    <t>снят</t>
  </si>
  <si>
    <t>AKRA-C-Cr&amp;D-LT-Nsc</t>
  </si>
  <si>
    <t>RU000A103943</t>
  </si>
  <si>
    <t>"Аэрофлот - российские авиалинии", ПАО</t>
  </si>
  <si>
    <t>ruAA</t>
  </si>
  <si>
    <t>AA(RU)</t>
  </si>
  <si>
    <t>Issuer</t>
  </si>
  <si>
    <t>aa-(ru)</t>
  </si>
  <si>
    <t>Доходность индекса корпоративных облигаций с рейтингом AAA (3-5 лет)</t>
  </si>
  <si>
    <t>Доходность индекса корпоративных облигаций с рейтингом AA (3-5 лет)</t>
  </si>
  <si>
    <t>Доходность индекса корпоративных облигаций с рейтингом A (3-5 лет)</t>
  </si>
  <si>
    <t>RUCBTRA5YNS</t>
  </si>
  <si>
    <t>EXP-I-SCA-Nsc</t>
  </si>
  <si>
    <t>ruA</t>
  </si>
  <si>
    <t>Установлен</t>
  </si>
  <si>
    <t>RU0009062285</t>
  </si>
  <si>
    <t>RU0007200283</t>
  </si>
  <si>
    <t>RU0008514856</t>
  </si>
  <si>
    <t>RU000A0JQU88</t>
  </si>
  <si>
    <t>RU000A0JQU96</t>
  </si>
  <si>
    <t>RU000A0JTTC1</t>
  </si>
  <si>
    <t>RU000A10BGJ4</t>
  </si>
  <si>
    <t>RU000A10CS75</t>
  </si>
  <si>
    <t>XS0559915961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</si>
</sst>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(* #,##0.00_);_(* \(#,##0.00\);_(* &quot;-&quot;??_);_(@_)"/>
    <numFmt numFmtId="165" formatCode="_-* #,##0.0000\ _₽_-;\-* #,##0.0000\ _₽_-;_-* &quot;-&quot;??\ _₽_-;_-@_-"/>
    <numFmt numFmtId="166" formatCode="0.000000"/>
    <numFmt numFmtId="167" formatCode="0.000000000000"/>
    <numFmt numFmtId="168" formatCode="d/m/yyyy;@"/>
    <numFmt numFmtId="169" formatCode="dd/mm/yyyy;@"/>
    <numFmt numFmtId="170" formatCode="dd\.mm\.yyyy"/>
    <numFmt numFmtId="171" formatCode="###\ ###\ ###\ ##0.00%"/>
    <numFmt numFmtId="172" formatCode="dd\.mm\.yyyy\ hh:mm:ss;@"/>
  </numFmts>
  <fonts count="2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i/>
      <sz val="11"/>
      <color rgb="FF7F7F7F"/>
      <name val="Verdana"/>
      <family val="2"/>
    </font>
    <font>
      <sz val="11"/>
      <color theme="1"/>
      <name val="Calibri"/>
      <family val="2"/>
      <charset val="204"/>
    </font>
    <font>
      <b/>
      <sz val="10"/>
      <name val="Calibri"/>
      <family val="2"/>
      <charset val="204"/>
    </font>
    <font>
      <b/>
      <sz val="10"/>
      <color theme="4" tint="-0.499984740745262"/>
      <name val="Calibri"/>
      <family val="2"/>
      <charset val="204"/>
    </font>
    <font>
      <sz val="11"/>
      <name val="Calibri"/>
      <family val="2"/>
      <charset val="204"/>
      <scheme val="minor"/>
    </font>
    <font>
      <sz val="10"/>
      <name val="Calibri"/>
      <family val="2"/>
      <charset val="204"/>
    </font>
    <font>
      <sz val="10"/>
      <color theme="1"/>
      <name val="Calibri"/>
      <family val="2"/>
      <charset val="204"/>
    </font>
    <font>
      <b/>
      <sz val="12"/>
      <name val="Calibri"/>
      <family val="2"/>
      <charset val="204"/>
    </font>
    <font>
      <b/>
      <sz val="10"/>
      <color theme="1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0070C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sz val="11"/>
      <color rgb="FFC0000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color rgb="FFFFFFFF"/>
      <name val="Arial"/>
      <family val="2"/>
      <charset val="204"/>
    </font>
    <font>
      <b/>
      <sz val="11"/>
      <color theme="1"/>
      <name val="Arial"/>
      <family val="2"/>
      <charset val="204"/>
    </font>
    <font>
      <b/>
      <sz val="16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E89F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21" fillId="0" borderId="0">
      <alignment horizontal="left" vertical="center"/>
    </xf>
    <xf numFmtId="0" fontId="22" fillId="10" borderId="0">
      <alignment horizontal="center" vertical="center"/>
    </xf>
    <xf numFmtId="0" fontId="23" fillId="0" borderId="0">
      <alignment horizontal="left" vertical="center"/>
    </xf>
    <xf numFmtId="0" fontId="21" fillId="11" borderId="0">
      <alignment horizontal="left" vertical="center"/>
    </xf>
  </cellStyleXfs>
  <cellXfs count="188">
    <xf numFmtId="0" fontId="0" fillId="0" borderId="0" xfId="0"/>
    <xf numFmtId="14" fontId="0" fillId="0" borderId="0" xfId="0" applyNumberFormat="1"/>
    <xf numFmtId="0" fontId="6" fillId="0" borderId="0" xfId="0" applyFont="1"/>
    <xf numFmtId="0" fontId="0" fillId="2" borderId="0" xfId="0" applyFill="1"/>
    <xf numFmtId="0" fontId="0" fillId="3" borderId="3" xfId="0" applyFill="1" applyBorder="1" applyAlignment="1">
      <alignment horizontal="center" vertical="center"/>
    </xf>
    <xf numFmtId="10" fontId="0" fillId="3" borderId="3" xfId="2" applyNumberFormat="1" applyFont="1" applyFill="1" applyBorder="1" applyAlignment="1">
      <alignment horizontal="center" vertical="center"/>
    </xf>
    <xf numFmtId="10" fontId="0" fillId="3" borderId="3" xfId="0" applyNumberForma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7" fillId="0" borderId="2" xfId="3" applyFont="1" applyFill="1" applyBorder="1" applyAlignment="1">
      <alignment horizontal="center" vertical="center" wrapText="1"/>
    </xf>
    <xf numFmtId="0" fontId="7" fillId="0" borderId="0" xfId="3" applyFont="1" applyFill="1" applyBorder="1" applyAlignment="1">
      <alignment horizontal="center" vertical="center" wrapText="1"/>
    </xf>
    <xf numFmtId="3" fontId="7" fillId="0" borderId="0" xfId="3" applyNumberFormat="1" applyFont="1" applyFill="1" applyBorder="1" applyAlignment="1">
      <alignment horizontal="center" vertical="center"/>
    </xf>
    <xf numFmtId="0" fontId="7" fillId="0" borderId="1" xfId="3" applyFont="1" applyFill="1" applyBorder="1" applyAlignment="1">
      <alignment horizontal="center" vertical="center" wrapText="1"/>
    </xf>
    <xf numFmtId="0" fontId="7" fillId="0" borderId="1" xfId="3" applyFont="1" applyFill="1" applyBorder="1" applyAlignment="1">
      <alignment horizontal="center" vertical="center"/>
    </xf>
    <xf numFmtId="165" fontId="0" fillId="0" borderId="0" xfId="1" applyNumberFormat="1" applyFont="1" applyFill="1" applyBorder="1"/>
    <xf numFmtId="10" fontId="6" fillId="0" borderId="0" xfId="2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4" fontId="15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9" fontId="0" fillId="0" borderId="0" xfId="0" applyNumberFormat="1"/>
    <xf numFmtId="0" fontId="16" fillId="0" borderId="0" xfId="0" applyFont="1"/>
    <xf numFmtId="168" fontId="0" fillId="0" borderId="0" xfId="0" applyNumberFormat="1"/>
    <xf numFmtId="0" fontId="15" fillId="0" borderId="3" xfId="0" applyFont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14" fillId="2" borderId="4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14" fontId="0" fillId="0" borderId="3" xfId="0" applyNumberFormat="1" applyBorder="1"/>
    <xf numFmtId="0" fontId="0" fillId="2" borderId="3" xfId="0" applyFill="1" applyBorder="1"/>
    <xf numFmtId="14" fontId="16" fillId="0" borderId="3" xfId="0" applyNumberFormat="1" applyFont="1" applyBorder="1"/>
    <xf numFmtId="0" fontId="0" fillId="0" borderId="3" xfId="0" applyBorder="1"/>
    <xf numFmtId="169" fontId="0" fillId="0" borderId="3" xfId="0" applyNumberFormat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vertical="center"/>
    </xf>
    <xf numFmtId="14" fontId="0" fillId="0" borderId="3" xfId="0" applyNumberFormat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8" fontId="14" fillId="2" borderId="3" xfId="0" applyNumberFormat="1" applyFont="1" applyFill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68" fontId="16" fillId="0" borderId="3" xfId="0" applyNumberFormat="1" applyFont="1" applyBorder="1" applyAlignment="1">
      <alignment horizontal="center" vertical="center"/>
    </xf>
    <xf numFmtId="10" fontId="0" fillId="0" borderId="3" xfId="2" applyNumberFormat="1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8" fillId="0" borderId="0" xfId="0" applyFont="1"/>
    <xf numFmtId="0" fontId="8" fillId="0" borderId="1" xfId="0" applyFont="1" applyBorder="1" applyAlignment="1">
      <alignment wrapText="1"/>
    </xf>
    <xf numFmtId="0" fontId="8" fillId="0" borderId="1" xfId="0" applyFont="1" applyBorder="1"/>
    <xf numFmtId="0" fontId="8" fillId="0" borderId="0" xfId="0" applyFont="1" applyAlignment="1">
      <alignment horizontal="right"/>
    </xf>
    <xf numFmtId="0" fontId="9" fillId="0" borderId="0" xfId="0" applyFont="1" applyAlignment="1">
      <alignment vertical="center"/>
    </xf>
    <xf numFmtId="0" fontId="3" fillId="0" borderId="0" xfId="0" applyFont="1"/>
    <xf numFmtId="0" fontId="8" fillId="0" borderId="0" xfId="0" applyFont="1" applyAlignment="1">
      <alignment horizontal="left" vertical="center"/>
    </xf>
    <xf numFmtId="14" fontId="3" fillId="0" borderId="0" xfId="0" applyNumberFormat="1" applyFont="1"/>
    <xf numFmtId="3" fontId="8" fillId="0" borderId="0" xfId="0" applyNumberFormat="1" applyFont="1" applyAlignment="1">
      <alignment horizontal="center"/>
    </xf>
    <xf numFmtId="10" fontId="8" fillId="0" borderId="0" xfId="0" applyNumberFormat="1" applyFont="1" applyAlignment="1">
      <alignment horizontal="center"/>
    </xf>
    <xf numFmtId="0" fontId="8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center" vertical="center"/>
    </xf>
    <xf numFmtId="14" fontId="3" fillId="0" borderId="1" xfId="0" applyNumberFormat="1" applyFont="1" applyBorder="1"/>
    <xf numFmtId="0" fontId="3" fillId="0" borderId="1" xfId="0" applyFont="1" applyBorder="1"/>
    <xf numFmtId="0" fontId="10" fillId="0" borderId="0" xfId="0" applyFont="1" applyAlignment="1">
      <alignment horizontal="center"/>
    </xf>
    <xf numFmtId="0" fontId="8" fillId="0" borderId="0" xfId="0" applyFont="1" applyAlignment="1">
      <alignment horizontal="left" vertical="center" wrapText="1"/>
    </xf>
    <xf numFmtId="10" fontId="8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/>
    </xf>
    <xf numFmtId="2" fontId="11" fillId="0" borderId="0" xfId="0" applyNumberFormat="1" applyFont="1" applyAlignment="1">
      <alignment horizontal="center"/>
    </xf>
    <xf numFmtId="10" fontId="0" fillId="0" borderId="1" xfId="0" applyNumberFormat="1" applyBorder="1"/>
    <xf numFmtId="0" fontId="0" fillId="0" borderId="1" xfId="0" applyBorder="1"/>
    <xf numFmtId="166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" fontId="1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167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0" fontId="13" fillId="2" borderId="0" xfId="2" applyNumberFormat="1" applyFont="1" applyFill="1" applyBorder="1" applyAlignment="1">
      <alignment horizontal="center" vertical="center"/>
    </xf>
    <xf numFmtId="3" fontId="16" fillId="0" borderId="3" xfId="0" applyNumberFormat="1" applyFont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170" fontId="8" fillId="0" borderId="0" xfId="0" applyNumberFormat="1" applyFont="1" applyAlignment="1">
      <alignment horizontal="center"/>
    </xf>
    <xf numFmtId="170" fontId="3" fillId="0" borderId="0" xfId="0" applyNumberFormat="1" applyFont="1" applyAlignment="1">
      <alignment horizontal="center" vertical="center"/>
    </xf>
    <xf numFmtId="2" fontId="16" fillId="0" borderId="3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10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0" xfId="0" applyNumberFormat="1"/>
    <xf numFmtId="0" fontId="14" fillId="2" borderId="3" xfId="0" applyNumberFormat="1" applyFont="1" applyFill="1" applyBorder="1" applyAlignment="1">
      <alignment horizontal="center" vertical="center"/>
    </xf>
    <xf numFmtId="0" fontId="0" fillId="0" borderId="3" xfId="0" applyNumberFormat="1" applyBorder="1"/>
    <xf numFmtId="0" fontId="6" fillId="4" borderId="0" xfId="0" applyFont="1" applyFill="1"/>
    <xf numFmtId="14" fontId="8" fillId="0" borderId="0" xfId="0" applyNumberFormat="1" applyFont="1" applyAlignment="1">
      <alignment horizontal="right"/>
    </xf>
    <xf numFmtId="0" fontId="0" fillId="5" borderId="0" xfId="0" applyFill="1"/>
    <xf numFmtId="170" fontId="3" fillId="0" borderId="0" xfId="0" applyNumberFormat="1" applyFont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0" fillId="0" borderId="0" xfId="0" applyAlignment="1">
      <alignment wrapText="1"/>
    </xf>
    <xf numFmtId="0" fontId="0" fillId="6" borderId="0" xfId="0" applyFill="1"/>
    <xf numFmtId="0" fontId="0" fillId="6" borderId="0" xfId="0" applyFill="1" applyAlignment="1">
      <alignment wrapText="1"/>
    </xf>
    <xf numFmtId="0" fontId="14" fillId="7" borderId="3" xfId="0" applyFont="1" applyFill="1" applyBorder="1" applyAlignment="1">
      <alignment horizontal="center" vertical="center"/>
    </xf>
    <xf numFmtId="170" fontId="8" fillId="0" borderId="0" xfId="0" applyNumberFormat="1" applyFont="1" applyFill="1" applyAlignment="1">
      <alignment horizontal="center"/>
    </xf>
    <xf numFmtId="0" fontId="0" fillId="0" borderId="5" xfId="0" applyNumberFormat="1" applyBorder="1"/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6" fillId="0" borderId="0" xfId="0" applyFont="1" applyFill="1"/>
    <xf numFmtId="0" fontId="19" fillId="2" borderId="3" xfId="0" applyFont="1" applyFill="1" applyBorder="1" applyAlignment="1">
      <alignment horizontal="center" vertical="center"/>
    </xf>
    <xf numFmtId="0" fontId="0" fillId="0" borderId="0" xfId="0" applyFill="1" applyBorder="1"/>
    <xf numFmtId="0" fontId="14" fillId="0" borderId="0" xfId="0" applyFont="1" applyAlignment="1">
      <alignment horizontal="left"/>
    </xf>
    <xf numFmtId="0" fontId="14" fillId="0" borderId="0" xfId="0" applyFont="1"/>
    <xf numFmtId="0" fontId="0" fillId="0" borderId="3" xfId="0" applyFill="1" applyBorder="1"/>
    <xf numFmtId="0" fontId="20" fillId="5" borderId="3" xfId="0" applyFont="1" applyFill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3" fontId="8" fillId="0" borderId="0" xfId="0" applyNumberFormat="1" applyFont="1" applyFill="1" applyAlignment="1">
      <alignment horizontal="center"/>
    </xf>
    <xf numFmtId="0" fontId="15" fillId="8" borderId="3" xfId="0" applyFont="1" applyFill="1" applyBorder="1" applyAlignment="1">
      <alignment horizontal="center" vertical="center"/>
    </xf>
    <xf numFmtId="14" fontId="15" fillId="8" borderId="3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16" fillId="0" borderId="3" xfId="0" applyNumberFormat="1" applyFont="1" applyBorder="1" applyAlignment="1">
      <alignment horizontal="center" vertical="center" wrapText="1"/>
    </xf>
    <xf numFmtId="0" fontId="0" fillId="0" borderId="3" xfId="0" applyNumberFormat="1" applyBorder="1" applyAlignment="1">
      <alignment horizontal="center" vertical="center" wrapText="1"/>
    </xf>
    <xf numFmtId="0" fontId="20" fillId="7" borderId="0" xfId="0" applyFont="1" applyFill="1" applyBorder="1" applyAlignment="1">
      <alignment horizontal="center"/>
    </xf>
    <xf numFmtId="14" fontId="6" fillId="9" borderId="3" xfId="0" applyNumberFormat="1" applyFont="1" applyFill="1" applyBorder="1"/>
    <xf numFmtId="49" fontId="0" fillId="0" borderId="3" xfId="0" applyNumberFormat="1" applyBorder="1" applyAlignment="1">
      <alignment horizontal="center" vertical="center" wrapText="1"/>
    </xf>
    <xf numFmtId="0" fontId="8" fillId="0" borderId="0" xfId="0" applyFont="1" applyAlignment="1">
      <alignment horizontal="left" vertical="center" wrapText="1"/>
    </xf>
    <xf numFmtId="3" fontId="7" fillId="0" borderId="2" xfId="3" applyNumberFormat="1" applyFont="1" applyFill="1" applyBorder="1" applyAlignment="1">
      <alignment horizontal="center" vertical="center"/>
    </xf>
    <xf numFmtId="2" fontId="0" fillId="0" borderId="3" xfId="0" applyNumberFormat="1" applyBorder="1" applyAlignment="1">
      <alignment horizontal="center"/>
    </xf>
    <xf numFmtId="0" fontId="14" fillId="0" borderId="3" xfId="0" applyFont="1" applyBorder="1" applyAlignment="1">
      <alignment horizontal="center"/>
    </xf>
    <xf numFmtId="10" fontId="0" fillId="0" borderId="3" xfId="0" applyNumberFormat="1" applyBorder="1" applyAlignment="1">
      <alignment horizontal="center"/>
    </xf>
    <xf numFmtId="0" fontId="0" fillId="4" borderId="0" xfId="0" applyFill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/>
    </xf>
    <xf numFmtId="171" fontId="0" fillId="0" borderId="3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2" fontId="6" fillId="0" borderId="3" xfId="0" applyNumberFormat="1" applyFon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2" fontId="11" fillId="0" borderId="0" xfId="2" applyNumberFormat="1" applyFont="1" applyAlignment="1">
      <alignment horizontal="center" vertical="center"/>
    </xf>
    <xf numFmtId="0" fontId="24" fillId="12" borderId="0" xfId="0" applyFont="1" applyFill="1"/>
    <xf numFmtId="0" fontId="14" fillId="12" borderId="0" xfId="0" applyFont="1" applyFill="1"/>
    <xf numFmtId="0" fontId="24" fillId="0" borderId="0" xfId="0" applyFont="1"/>
    <xf numFmtId="0" fontId="20" fillId="5" borderId="3" xfId="0" applyFon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14" fontId="0" fillId="0" borderId="3" xfId="0" applyNumberFormat="1" applyFill="1" applyBorder="1" applyAlignment="1">
      <alignment horizontal="center" vertical="center"/>
    </xf>
    <xf numFmtId="2" fontId="0" fillId="12" borderId="3" xfId="0" applyNumberFormat="1" applyFill="1" applyBorder="1" applyAlignment="1">
      <alignment horizontal="center" vertical="center"/>
    </xf>
    <xf numFmtId="2" fontId="0" fillId="9" borderId="3" xfId="0" applyNumberFormat="1" applyFill="1" applyBorder="1" applyAlignment="1">
      <alignment horizontal="center" vertical="center"/>
    </xf>
    <xf numFmtId="0" fontId="0" fillId="9" borderId="3" xfId="1" applyNumberFormat="1" applyFont="1" applyFill="1" applyBorder="1" applyAlignment="1">
      <alignment horizontal="center" vertical="center"/>
    </xf>
    <xf numFmtId="0" fontId="0" fillId="0" borderId="3" xfId="1" applyNumberFormat="1" applyFont="1" applyFill="1" applyBorder="1" applyAlignment="1">
      <alignment horizontal="center" vertical="center"/>
    </xf>
    <xf numFmtId="2" fontId="0" fillId="0" borderId="3" xfId="0" applyNumberFormat="1" applyFill="1" applyBorder="1" applyAlignment="1">
      <alignment horizontal="center" vertical="center"/>
    </xf>
    <xf numFmtId="22" fontId="0" fillId="0" borderId="0" xfId="0" applyNumberFormat="1"/>
    <xf numFmtId="0" fontId="0" fillId="0" borderId="0" xfId="0" applyNumberForma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4" fontId="15" fillId="0" borderId="3" xfId="0" applyNumberFormat="1" applyFont="1" applyFill="1" applyBorder="1" applyAlignment="1">
      <alignment horizontal="center" vertical="center"/>
    </xf>
    <xf numFmtId="2" fontId="11" fillId="0" borderId="1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3" xfId="0" applyNumberFormat="1" applyBorder="1" applyAlignment="1">
      <alignment horizontal="center"/>
    </xf>
    <xf numFmtId="172" fontId="0" fillId="0" borderId="0" xfId="0" applyNumberFormat="1"/>
    <xf numFmtId="10" fontId="0" fillId="9" borderId="3" xfId="2" applyNumberFormat="1" applyFont="1" applyFill="1" applyBorder="1" applyAlignment="1">
      <alignment horizontal="center" vertical="center"/>
    </xf>
    <xf numFmtId="10" fontId="0" fillId="0" borderId="3" xfId="2" applyNumberFormat="1" applyFont="1" applyFill="1" applyBorder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10" fontId="0" fillId="0" borderId="3" xfId="1" applyNumberFormat="1" applyFont="1" applyFill="1" applyBorder="1" applyAlignment="1">
      <alignment horizontal="center" vertical="center"/>
    </xf>
    <xf numFmtId="10" fontId="0" fillId="9" borderId="3" xfId="1" applyNumberFormat="1" applyFont="1" applyFill="1" applyBorder="1" applyAlignment="1">
      <alignment horizontal="center" vertical="center"/>
    </xf>
    <xf numFmtId="10" fontId="16" fillId="0" borderId="3" xfId="0" applyNumberFormat="1" applyFont="1" applyBorder="1" applyAlignment="1">
      <alignment horizontal="center" vertical="center"/>
    </xf>
    <xf numFmtId="10" fontId="0" fillId="0" borderId="3" xfId="1" applyNumberFormat="1" applyFont="1" applyBorder="1" applyAlignment="1">
      <alignment horizontal="center" vertical="center"/>
    </xf>
    <xf numFmtId="10" fontId="6" fillId="0" borderId="3" xfId="0" applyNumberFormat="1" applyFont="1" applyBorder="1" applyAlignment="1">
      <alignment horizontal="center" vertical="center"/>
    </xf>
    <xf numFmtId="0" fontId="25" fillId="0" borderId="0" xfId="0" applyFont="1"/>
    <xf numFmtId="0" fontId="0" fillId="0" borderId="3" xfId="0" applyBorder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8" fillId="0" borderId="2" xfId="0" applyFont="1" applyBorder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167" fontId="0" fillId="0" borderId="0" xfId="0" applyNumberFormat="1" applyAlignment="1">
      <alignment horizontal="center" vertical="center"/>
    </xf>
    <xf numFmtId="0" fontId="9" fillId="0" borderId="2" xfId="0" applyFont="1" applyBorder="1" applyAlignment="1">
      <alignment horizontal="left" vertical="center"/>
    </xf>
    <xf numFmtId="0" fontId="4" fillId="0" borderId="0" xfId="3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0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9" fillId="0" borderId="0" xfId="0" applyFont="1" applyAlignment="1">
      <alignment horizontal="left" vertical="center"/>
    </xf>
    <xf numFmtId="0" fontId="8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8">
    <cellStyle name="CbondsStyleHeader" xfId="6"/>
    <cellStyle name="CbondsStyleOne" xfId="4"/>
    <cellStyle name="CbondsStyleThree" xfId="5"/>
    <cellStyle name="CbondsStyleTwo" xfId="7"/>
    <cellStyle name="Обычный" xfId="0" builtinId="0"/>
    <cellStyle name="Пояснение" xfId="3" builtinId="53"/>
    <cellStyle name="Процентный" xfId="2" builtinId="5"/>
    <cellStyle name="Финансовый" xfId="1" builtinId="3"/>
  </cellStyles>
  <dxfs count="1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E89F"/>
      <color rgb="FFFFD54F"/>
      <color rgb="FF9C0006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ru-RU" sz="105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05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Динамика доходности облигации в RUB, g-curve, g-spread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ru-RU" sz="105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YTM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Calculation!$J$6:$J$18</c:f>
              <c:numCache>
                <c:formatCode>m/d/yyyy</c:formatCode>
                <c:ptCount val="13"/>
                <c:pt idx="0">
                  <c:v>46023</c:v>
                </c:pt>
                <c:pt idx="1">
                  <c:v>45992</c:v>
                </c:pt>
                <c:pt idx="2">
                  <c:v>45962</c:v>
                </c:pt>
                <c:pt idx="3">
                  <c:v>45931</c:v>
                </c:pt>
                <c:pt idx="4">
                  <c:v>45901</c:v>
                </c:pt>
                <c:pt idx="5">
                  <c:v>45870</c:v>
                </c:pt>
                <c:pt idx="6">
                  <c:v>45839</c:v>
                </c:pt>
                <c:pt idx="7">
                  <c:v>45809</c:v>
                </c:pt>
                <c:pt idx="8">
                  <c:v>45778</c:v>
                </c:pt>
                <c:pt idx="9">
                  <c:v>45748</c:v>
                </c:pt>
                <c:pt idx="10">
                  <c:v>45717</c:v>
                </c:pt>
                <c:pt idx="11">
                  <c:v>45689</c:v>
                </c:pt>
                <c:pt idx="12">
                  <c:v>45658</c:v>
                </c:pt>
              </c:numCache>
            </c:numRef>
          </c:cat>
          <c:val>
            <c:numRef>
              <c:f>Calculation!$R$6:$R$18</c:f>
              <c:numCache>
                <c:formatCode>0.00</c:formatCode>
                <c:ptCount val="13"/>
                <c:pt idx="0">
                  <c:v>15.09522411723</c:v>
                </c:pt>
                <c:pt idx="1">
                  <c:v>16.554563790715999</c:v>
                </c:pt>
                <c:pt idx="2">
                  <c:v>16.987128281996998</c:v>
                </c:pt>
                <c:pt idx="3">
                  <c:v>17.707945195819999</c:v>
                </c:pt>
                <c:pt idx="4">
                  <c:v>15.430527090363</c:v>
                </c:pt>
                <c:pt idx="5">
                  <c:v>16.450482906766002</c:v>
                </c:pt>
                <c:pt idx="6">
                  <c:v>19.100672837796001</c:v>
                </c:pt>
                <c:pt idx="7">
                  <c:v>19.228065652051001</c:v>
                </c:pt>
                <c:pt idx="8">
                  <c:v>20.559481504762001</c:v>
                </c:pt>
                <c:pt idx="9">
                  <c:v>21.077986448927998</c:v>
                </c:pt>
                <c:pt idx="10">
                  <c:v>20.156965203037998</c:v>
                </c:pt>
                <c:pt idx="11">
                  <c:v>22.096551076620997</c:v>
                </c:pt>
                <c:pt idx="12">
                  <c:v>22.003964114293002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C7-4F74-9D68-3A1518D469DC}"/>
            </c:ext>
          </c:extLst>
        </c:ser>
        <c:ser>
          <c:idx val="1"/>
          <c:order val="1"/>
          <c:tx>
            <c:v>g-curve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Calculation!$J$6:$J$18</c:f>
              <c:numCache>
                <c:formatCode>m/d/yyyy</c:formatCode>
                <c:ptCount val="13"/>
                <c:pt idx="0">
                  <c:v>46023</c:v>
                </c:pt>
                <c:pt idx="1">
                  <c:v>45992</c:v>
                </c:pt>
                <c:pt idx="2">
                  <c:v>45962</c:v>
                </c:pt>
                <c:pt idx="3">
                  <c:v>45931</c:v>
                </c:pt>
                <c:pt idx="4">
                  <c:v>45901</c:v>
                </c:pt>
                <c:pt idx="5">
                  <c:v>45870</c:v>
                </c:pt>
                <c:pt idx="6">
                  <c:v>45839</c:v>
                </c:pt>
                <c:pt idx="7">
                  <c:v>45809</c:v>
                </c:pt>
                <c:pt idx="8">
                  <c:v>45778</c:v>
                </c:pt>
                <c:pt idx="9">
                  <c:v>45748</c:v>
                </c:pt>
                <c:pt idx="10">
                  <c:v>45717</c:v>
                </c:pt>
                <c:pt idx="11">
                  <c:v>45689</c:v>
                </c:pt>
                <c:pt idx="12">
                  <c:v>45658</c:v>
                </c:pt>
              </c:numCache>
            </c:numRef>
          </c:cat>
          <c:val>
            <c:numRef>
              <c:f>Calculation!$S$6:$S$18</c:f>
              <c:numCache>
                <c:formatCode>0.00</c:formatCode>
                <c:ptCount val="13"/>
                <c:pt idx="0">
                  <c:v>12.4107467029991</c:v>
                </c:pt>
                <c:pt idx="1">
                  <c:v>13.569784492246601</c:v>
                </c:pt>
                <c:pt idx="2">
                  <c:v>12.916585321231599</c:v>
                </c:pt>
                <c:pt idx="3">
                  <c:v>14.259866254727898</c:v>
                </c:pt>
                <c:pt idx="4">
                  <c:v>14.306857300436002</c:v>
                </c:pt>
                <c:pt idx="5">
                  <c:v>13.803030775828102</c:v>
                </c:pt>
                <c:pt idx="6">
                  <c:v>15.532962621874702</c:v>
                </c:pt>
                <c:pt idx="7">
                  <c:v>17.458323060519099</c:v>
                </c:pt>
                <c:pt idx="8">
                  <c:v>18.084276947384701</c:v>
                </c:pt>
                <c:pt idx="9">
                  <c:v>17.857996311750401</c:v>
                </c:pt>
                <c:pt idx="10">
                  <c:v>18.701587071174899</c:v>
                </c:pt>
                <c:pt idx="11">
                  <c:v>18.165069538723198</c:v>
                </c:pt>
                <c:pt idx="12">
                  <c:v>18.407589614319601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C7-4F74-9D68-3A1518D46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279616"/>
        <c:axId val="597280008"/>
      </c:lineChart>
      <c:lineChart>
        <c:grouping val="standard"/>
        <c:varyColors val="0"/>
        <c:ser>
          <c:idx val="2"/>
          <c:order val="2"/>
          <c:tx>
            <c:v>g-spread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Calculation!$J$6:$J$18</c:f>
              <c:numCache>
                <c:formatCode>m/d/yyyy</c:formatCode>
                <c:ptCount val="13"/>
                <c:pt idx="0">
                  <c:v>46023</c:v>
                </c:pt>
                <c:pt idx="1">
                  <c:v>45992</c:v>
                </c:pt>
                <c:pt idx="2">
                  <c:v>45962</c:v>
                </c:pt>
                <c:pt idx="3">
                  <c:v>45931</c:v>
                </c:pt>
                <c:pt idx="4">
                  <c:v>45901</c:v>
                </c:pt>
                <c:pt idx="5">
                  <c:v>45870</c:v>
                </c:pt>
                <c:pt idx="6">
                  <c:v>45839</c:v>
                </c:pt>
                <c:pt idx="7">
                  <c:v>45809</c:v>
                </c:pt>
                <c:pt idx="8">
                  <c:v>45778</c:v>
                </c:pt>
                <c:pt idx="9">
                  <c:v>45748</c:v>
                </c:pt>
                <c:pt idx="10">
                  <c:v>45717</c:v>
                </c:pt>
                <c:pt idx="11">
                  <c:v>45689</c:v>
                </c:pt>
                <c:pt idx="12">
                  <c:v>45658</c:v>
                </c:pt>
              </c:numCache>
            </c:numRef>
          </c:cat>
          <c:val>
            <c:numRef>
              <c:f>Calculation!$Q$6:$Q$18</c:f>
              <c:numCache>
                <c:formatCode>0.00</c:formatCode>
                <c:ptCount val="13"/>
                <c:pt idx="0">
                  <c:v>268.44774142308984</c:v>
                </c:pt>
                <c:pt idx="1">
                  <c:v>298.47792984694007</c:v>
                </c:pt>
                <c:pt idx="2">
                  <c:v>407.05429607653997</c:v>
                </c:pt>
                <c:pt idx="3">
                  <c:v>344.80789410921005</c:v>
                </c:pt>
                <c:pt idx="4">
                  <c:v>112.36697899269981</c:v>
                </c:pt>
                <c:pt idx="5">
                  <c:v>264.74521309378997</c:v>
                </c:pt>
                <c:pt idx="6">
                  <c:v>356.7710215921299</c:v>
                </c:pt>
                <c:pt idx="7">
                  <c:v>176.97425915319005</c:v>
                </c:pt>
                <c:pt idx="8">
                  <c:v>247.52045573773</c:v>
                </c:pt>
                <c:pt idx="9">
                  <c:v>321.99901371775974</c:v>
                </c:pt>
                <c:pt idx="10">
                  <c:v>145.53781318630999</c:v>
                </c:pt>
                <c:pt idx="11">
                  <c:v>393.14815378977988</c:v>
                </c:pt>
                <c:pt idx="12">
                  <c:v>359.63744999734007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C7-4F74-9D68-3A1518D46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275696"/>
        <c:axId val="597278048"/>
      </c:lineChart>
      <c:dateAx>
        <c:axId val="597279616"/>
        <c:scaling>
          <c:orientation val="minMax"/>
          <c:max val="46023"/>
          <c:min val="45658"/>
        </c:scaling>
        <c:delete val="0"/>
        <c:axPos val="b"/>
        <c:numFmt formatCode="dd\.mm\.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ru-RU" sz="8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97280008"/>
        <c:crosses val="autoZero"/>
        <c:auto val="1"/>
        <c:lblOffset val="100"/>
        <c:baseTimeUnit val="days"/>
        <c:majorUnit val="1"/>
        <c:majorTimeUnit val="months"/>
        <c:minorUnit val="1"/>
        <c:minorTimeUnit val="months"/>
      </c:dateAx>
      <c:valAx>
        <c:axId val="597280008"/>
        <c:scaling>
          <c:orientation val="minMax"/>
          <c:max val="24.000000000000004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ru-RU"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Доходность, %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ru-RU" sz="8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97279616"/>
        <c:crosses val="autoZero"/>
        <c:crossBetween val="between"/>
      </c:valAx>
      <c:valAx>
        <c:axId val="597278048"/>
        <c:scaling>
          <c:orientation val="minMax"/>
        </c:scaling>
        <c:delete val="0"/>
        <c:axPos val="r"/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7275696"/>
        <c:crosses val="max"/>
        <c:crossBetween val="between"/>
      </c:valAx>
      <c:dateAx>
        <c:axId val="59727569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7278048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7F2E5"/>
    </a:solidFill>
    <a:ln w="9525" cap="flat" cmpd="sng" algn="ctr">
      <a:solidFill>
        <a:schemeClr val="bg1">
          <a:alpha val="97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ru-RU">
                <a:solidFill>
                  <a:schemeClr val="tx1"/>
                </a:solidFill>
              </a:rPr>
              <a:t>Динамика цен</a:t>
            </a:r>
          </a:p>
        </c:rich>
      </c:tx>
      <c:layout>
        <c:manualLayout>
          <c:xMode val="edge"/>
          <c:yMode val="edge"/>
          <c:x val="0.41052521967362771"/>
          <c:y val="3.107317015280302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solidFill>
            <a:schemeClr val="accent1"/>
          </a:solidFill>
          <a:ln w="2222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tx1">
                <a:lumMod val="95000"/>
                <a:lumOff val="5000"/>
              </a:schemeClr>
            </a:solidFill>
            <a:ln w="15875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222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tx1">
                <a:lumMod val="95000"/>
                <a:lumOff val="5000"/>
              </a:schemeClr>
            </a:solidFill>
            <a:ln w="15875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222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tx1">
                <a:lumMod val="95000"/>
                <a:lumOff val="5000"/>
              </a:schemeClr>
            </a:solidFill>
            <a:ln w="15875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222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tx1">
                <a:lumMod val="95000"/>
                <a:lumOff val="5000"/>
              </a:schemeClr>
            </a:solidFill>
            <a:ln w="15875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222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tx1">
                <a:lumMod val="95000"/>
                <a:lumOff val="5000"/>
              </a:schemeClr>
            </a:solidFill>
            <a:ln w="15875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222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tx1">
                <a:lumMod val="95000"/>
                <a:lumOff val="5000"/>
              </a:schemeClr>
            </a:solidFill>
            <a:ln w="15875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222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tx1">
                <a:lumMod val="95000"/>
                <a:lumOff val="5000"/>
              </a:schemeClr>
            </a:solidFill>
            <a:ln w="15875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222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tx1">
                <a:lumMod val="95000"/>
                <a:lumOff val="5000"/>
              </a:schemeClr>
            </a:solidFill>
            <a:ln w="15875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222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tx1">
                <a:lumMod val="95000"/>
                <a:lumOff val="5000"/>
              </a:schemeClr>
            </a:solidFill>
            <a:ln w="15875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2225" cap="rnd">
            <a:solidFill>
              <a:schemeClr val="tx1"/>
            </a:solidFill>
            <a:round/>
          </a:ln>
          <a:effectLst/>
        </c:spPr>
        <c:marker>
          <c:symbol val="circle"/>
          <c:size val="6"/>
          <c:spPr>
            <a:noFill/>
            <a:ln w="15875">
              <a:noFill/>
              <a:round/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2225" cap="rnd">
            <a:solidFill>
              <a:schemeClr val="tx1"/>
            </a:solidFill>
            <a:round/>
          </a:ln>
          <a:effectLst/>
        </c:spPr>
        <c:marker>
          <c:symbol val="circle"/>
          <c:size val="6"/>
          <c:spPr>
            <a:noFill/>
            <a:ln w="15875">
              <a:noFill/>
              <a:round/>
            </a:ln>
            <a:effectLst/>
          </c:spPr>
        </c:marker>
      </c:pivotFmt>
      <c:pivotFmt>
        <c:idx val="13"/>
        <c:spPr>
          <a:solidFill>
            <a:schemeClr val="accent1"/>
          </a:solidFill>
          <a:ln w="22225" cap="rnd">
            <a:solidFill>
              <a:schemeClr val="tx1"/>
            </a:solidFill>
            <a:round/>
          </a:ln>
          <a:effectLst/>
        </c:spPr>
        <c:marker>
          <c:symbol val="circle"/>
          <c:size val="6"/>
          <c:spPr>
            <a:noFill/>
            <a:ln w="15875">
              <a:noFill/>
              <a:round/>
            </a:ln>
            <a:effectLst/>
          </c:spPr>
        </c:marker>
      </c:pivotFmt>
      <c:pivotFmt>
        <c:idx val="14"/>
        <c:spPr>
          <a:solidFill>
            <a:schemeClr val="accent1"/>
          </a:solidFill>
          <a:ln w="22225" cap="rnd">
            <a:solidFill>
              <a:schemeClr val="tx1"/>
            </a:solidFill>
            <a:round/>
          </a:ln>
          <a:effectLst/>
        </c:spPr>
        <c:marker>
          <c:symbol val="circle"/>
          <c:size val="6"/>
          <c:spPr>
            <a:noFill/>
            <a:ln w="15875">
              <a:noFill/>
              <a:round/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2225" cap="rnd">
            <a:solidFill>
              <a:schemeClr val="tx1"/>
            </a:solidFill>
            <a:round/>
          </a:ln>
          <a:effectLst/>
        </c:spPr>
        <c:marker>
          <c:symbol val="circle"/>
          <c:size val="6"/>
          <c:spPr>
            <a:noFill/>
            <a:ln w="15875">
              <a:noFill/>
              <a:round/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7.2344019657746228E-2"/>
          <c:y val="0.14686169997981022"/>
          <c:w val="0.91606128038343038"/>
          <c:h val="0.77162766942754735"/>
        </c:manualLayout>
      </c:layout>
      <c:lineChart>
        <c:grouping val="standard"/>
        <c:varyColors val="0"/>
        <c:ser>
          <c:idx val="0"/>
          <c:order val="0"/>
          <c:tx>
            <c:v>LAST</c:v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cat>
            <c:numRef>
              <c:f>Calculation!$D$2:$D$437</c:f>
              <c:numCache>
                <c:formatCode>m/d/yyyy</c:formatCode>
                <c:ptCount val="436"/>
                <c:pt idx="0">
                  <c:v>46023</c:v>
                </c:pt>
                <c:pt idx="1">
                  <c:v>46022</c:v>
                </c:pt>
                <c:pt idx="2">
                  <c:v>46021</c:v>
                </c:pt>
                <c:pt idx="3">
                  <c:v>46020</c:v>
                </c:pt>
                <c:pt idx="4">
                  <c:v>46019</c:v>
                </c:pt>
                <c:pt idx="5">
                  <c:v>46018</c:v>
                </c:pt>
                <c:pt idx="6">
                  <c:v>46017</c:v>
                </c:pt>
                <c:pt idx="7">
                  <c:v>46016</c:v>
                </c:pt>
                <c:pt idx="8">
                  <c:v>46015</c:v>
                </c:pt>
                <c:pt idx="9">
                  <c:v>46014</c:v>
                </c:pt>
                <c:pt idx="10">
                  <c:v>46013</c:v>
                </c:pt>
                <c:pt idx="11">
                  <c:v>46012</c:v>
                </c:pt>
                <c:pt idx="12">
                  <c:v>46011</c:v>
                </c:pt>
                <c:pt idx="13">
                  <c:v>46010</c:v>
                </c:pt>
                <c:pt idx="14">
                  <c:v>46009</c:v>
                </c:pt>
                <c:pt idx="15">
                  <c:v>46008</c:v>
                </c:pt>
                <c:pt idx="16">
                  <c:v>46007</c:v>
                </c:pt>
                <c:pt idx="17">
                  <c:v>46006</c:v>
                </c:pt>
                <c:pt idx="18">
                  <c:v>46005</c:v>
                </c:pt>
                <c:pt idx="19">
                  <c:v>46004</c:v>
                </c:pt>
                <c:pt idx="20">
                  <c:v>46003</c:v>
                </c:pt>
                <c:pt idx="21">
                  <c:v>46002</c:v>
                </c:pt>
                <c:pt idx="22">
                  <c:v>46001</c:v>
                </c:pt>
                <c:pt idx="23">
                  <c:v>46000</c:v>
                </c:pt>
                <c:pt idx="24">
                  <c:v>45999</c:v>
                </c:pt>
                <c:pt idx="25">
                  <c:v>45998</c:v>
                </c:pt>
                <c:pt idx="26">
                  <c:v>45997</c:v>
                </c:pt>
                <c:pt idx="27">
                  <c:v>45996</c:v>
                </c:pt>
                <c:pt idx="28">
                  <c:v>45995</c:v>
                </c:pt>
                <c:pt idx="29">
                  <c:v>45994</c:v>
                </c:pt>
                <c:pt idx="30">
                  <c:v>45993</c:v>
                </c:pt>
                <c:pt idx="31">
                  <c:v>45992</c:v>
                </c:pt>
                <c:pt idx="32">
                  <c:v>45991</c:v>
                </c:pt>
                <c:pt idx="33">
                  <c:v>45990</c:v>
                </c:pt>
                <c:pt idx="34">
                  <c:v>45989</c:v>
                </c:pt>
                <c:pt idx="35">
                  <c:v>45988</c:v>
                </c:pt>
                <c:pt idx="36">
                  <c:v>45987</c:v>
                </c:pt>
                <c:pt idx="37">
                  <c:v>45986</c:v>
                </c:pt>
                <c:pt idx="38">
                  <c:v>45985</c:v>
                </c:pt>
                <c:pt idx="39">
                  <c:v>45984</c:v>
                </c:pt>
                <c:pt idx="40">
                  <c:v>45983</c:v>
                </c:pt>
                <c:pt idx="41">
                  <c:v>45982</c:v>
                </c:pt>
                <c:pt idx="42">
                  <c:v>45981</c:v>
                </c:pt>
                <c:pt idx="43">
                  <c:v>45980</c:v>
                </c:pt>
                <c:pt idx="44">
                  <c:v>45979</c:v>
                </c:pt>
                <c:pt idx="45">
                  <c:v>45978</c:v>
                </c:pt>
                <c:pt idx="46">
                  <c:v>45977</c:v>
                </c:pt>
                <c:pt idx="47">
                  <c:v>45976</c:v>
                </c:pt>
                <c:pt idx="48">
                  <c:v>45975</c:v>
                </c:pt>
                <c:pt idx="49">
                  <c:v>45974</c:v>
                </c:pt>
                <c:pt idx="50">
                  <c:v>45973</c:v>
                </c:pt>
                <c:pt idx="51">
                  <c:v>45972</c:v>
                </c:pt>
                <c:pt idx="52">
                  <c:v>45971</c:v>
                </c:pt>
                <c:pt idx="53">
                  <c:v>45970</c:v>
                </c:pt>
                <c:pt idx="54">
                  <c:v>45969</c:v>
                </c:pt>
                <c:pt idx="55">
                  <c:v>45968</c:v>
                </c:pt>
                <c:pt idx="56">
                  <c:v>45967</c:v>
                </c:pt>
                <c:pt idx="57">
                  <c:v>45966</c:v>
                </c:pt>
                <c:pt idx="58">
                  <c:v>45965</c:v>
                </c:pt>
                <c:pt idx="59">
                  <c:v>45964</c:v>
                </c:pt>
                <c:pt idx="60">
                  <c:v>45963</c:v>
                </c:pt>
                <c:pt idx="61">
                  <c:v>45962</c:v>
                </c:pt>
                <c:pt idx="62">
                  <c:v>45961</c:v>
                </c:pt>
                <c:pt idx="63">
                  <c:v>45960</c:v>
                </c:pt>
                <c:pt idx="64">
                  <c:v>45959</c:v>
                </c:pt>
                <c:pt idx="65">
                  <c:v>45958</c:v>
                </c:pt>
                <c:pt idx="66">
                  <c:v>45957</c:v>
                </c:pt>
                <c:pt idx="67">
                  <c:v>45956</c:v>
                </c:pt>
                <c:pt idx="68">
                  <c:v>45955</c:v>
                </c:pt>
                <c:pt idx="69">
                  <c:v>45954</c:v>
                </c:pt>
                <c:pt idx="70">
                  <c:v>45953</c:v>
                </c:pt>
                <c:pt idx="71">
                  <c:v>45952</c:v>
                </c:pt>
                <c:pt idx="72">
                  <c:v>45951</c:v>
                </c:pt>
                <c:pt idx="73">
                  <c:v>45950</c:v>
                </c:pt>
                <c:pt idx="74">
                  <c:v>45949</c:v>
                </c:pt>
                <c:pt idx="75">
                  <c:v>45948</c:v>
                </c:pt>
                <c:pt idx="76">
                  <c:v>45947</c:v>
                </c:pt>
                <c:pt idx="77">
                  <c:v>45946</c:v>
                </c:pt>
                <c:pt idx="78">
                  <c:v>45945</c:v>
                </c:pt>
                <c:pt idx="79">
                  <c:v>45944</c:v>
                </c:pt>
                <c:pt idx="80">
                  <c:v>45943</c:v>
                </c:pt>
                <c:pt idx="81">
                  <c:v>45942</c:v>
                </c:pt>
                <c:pt idx="82">
                  <c:v>45941</c:v>
                </c:pt>
                <c:pt idx="83">
                  <c:v>45940</c:v>
                </c:pt>
                <c:pt idx="84">
                  <c:v>45939</c:v>
                </c:pt>
                <c:pt idx="85">
                  <c:v>45938</c:v>
                </c:pt>
                <c:pt idx="86">
                  <c:v>45937</c:v>
                </c:pt>
                <c:pt idx="87">
                  <c:v>45936</c:v>
                </c:pt>
                <c:pt idx="88">
                  <c:v>45935</c:v>
                </c:pt>
                <c:pt idx="89">
                  <c:v>45934</c:v>
                </c:pt>
                <c:pt idx="90">
                  <c:v>45933</c:v>
                </c:pt>
                <c:pt idx="91">
                  <c:v>45932</c:v>
                </c:pt>
                <c:pt idx="92">
                  <c:v>45931</c:v>
                </c:pt>
                <c:pt idx="93">
                  <c:v>45930</c:v>
                </c:pt>
                <c:pt idx="94">
                  <c:v>45929</c:v>
                </c:pt>
                <c:pt idx="95">
                  <c:v>45928</c:v>
                </c:pt>
                <c:pt idx="96">
                  <c:v>45927</c:v>
                </c:pt>
                <c:pt idx="97">
                  <c:v>45926</c:v>
                </c:pt>
                <c:pt idx="98">
                  <c:v>45925</c:v>
                </c:pt>
                <c:pt idx="99">
                  <c:v>45924</c:v>
                </c:pt>
                <c:pt idx="100">
                  <c:v>45923</c:v>
                </c:pt>
                <c:pt idx="101">
                  <c:v>45922</c:v>
                </c:pt>
                <c:pt idx="102">
                  <c:v>45921</c:v>
                </c:pt>
                <c:pt idx="103">
                  <c:v>45920</c:v>
                </c:pt>
                <c:pt idx="104">
                  <c:v>45919</c:v>
                </c:pt>
                <c:pt idx="105">
                  <c:v>45918</c:v>
                </c:pt>
                <c:pt idx="106">
                  <c:v>45917</c:v>
                </c:pt>
                <c:pt idx="107">
                  <c:v>45916</c:v>
                </c:pt>
                <c:pt idx="108">
                  <c:v>45915</c:v>
                </c:pt>
                <c:pt idx="109">
                  <c:v>45914</c:v>
                </c:pt>
                <c:pt idx="110">
                  <c:v>45913</c:v>
                </c:pt>
                <c:pt idx="111">
                  <c:v>45912</c:v>
                </c:pt>
                <c:pt idx="112">
                  <c:v>45911</c:v>
                </c:pt>
                <c:pt idx="113">
                  <c:v>45910</c:v>
                </c:pt>
                <c:pt idx="114">
                  <c:v>45909</c:v>
                </c:pt>
                <c:pt idx="115">
                  <c:v>45908</c:v>
                </c:pt>
                <c:pt idx="116">
                  <c:v>45907</c:v>
                </c:pt>
                <c:pt idx="117">
                  <c:v>45906</c:v>
                </c:pt>
                <c:pt idx="118">
                  <c:v>45905</c:v>
                </c:pt>
                <c:pt idx="119">
                  <c:v>45904</c:v>
                </c:pt>
                <c:pt idx="120">
                  <c:v>45903</c:v>
                </c:pt>
                <c:pt idx="121">
                  <c:v>45902</c:v>
                </c:pt>
                <c:pt idx="122">
                  <c:v>45901</c:v>
                </c:pt>
                <c:pt idx="123">
                  <c:v>45900</c:v>
                </c:pt>
                <c:pt idx="124">
                  <c:v>45899</c:v>
                </c:pt>
                <c:pt idx="125">
                  <c:v>45898</c:v>
                </c:pt>
                <c:pt idx="126">
                  <c:v>45897</c:v>
                </c:pt>
                <c:pt idx="127">
                  <c:v>45896</c:v>
                </c:pt>
                <c:pt idx="128">
                  <c:v>45895</c:v>
                </c:pt>
                <c:pt idx="129">
                  <c:v>45894</c:v>
                </c:pt>
                <c:pt idx="130">
                  <c:v>45893</c:v>
                </c:pt>
                <c:pt idx="131">
                  <c:v>45892</c:v>
                </c:pt>
                <c:pt idx="132">
                  <c:v>45891</c:v>
                </c:pt>
                <c:pt idx="133">
                  <c:v>45890</c:v>
                </c:pt>
                <c:pt idx="134">
                  <c:v>45889</c:v>
                </c:pt>
                <c:pt idx="135">
                  <c:v>45888</c:v>
                </c:pt>
                <c:pt idx="136">
                  <c:v>45887</c:v>
                </c:pt>
                <c:pt idx="137">
                  <c:v>45886</c:v>
                </c:pt>
                <c:pt idx="138">
                  <c:v>45885</c:v>
                </c:pt>
                <c:pt idx="139">
                  <c:v>45884</c:v>
                </c:pt>
                <c:pt idx="140">
                  <c:v>45883</c:v>
                </c:pt>
                <c:pt idx="141">
                  <c:v>45882</c:v>
                </c:pt>
                <c:pt idx="142">
                  <c:v>45881</c:v>
                </c:pt>
                <c:pt idx="143">
                  <c:v>45880</c:v>
                </c:pt>
                <c:pt idx="144">
                  <c:v>45879</c:v>
                </c:pt>
                <c:pt idx="145">
                  <c:v>45878</c:v>
                </c:pt>
                <c:pt idx="146">
                  <c:v>45877</c:v>
                </c:pt>
                <c:pt idx="147">
                  <c:v>45876</c:v>
                </c:pt>
                <c:pt idx="148">
                  <c:v>45875</c:v>
                </c:pt>
                <c:pt idx="149">
                  <c:v>45874</c:v>
                </c:pt>
                <c:pt idx="150">
                  <c:v>45873</c:v>
                </c:pt>
                <c:pt idx="151">
                  <c:v>45872</c:v>
                </c:pt>
                <c:pt idx="152">
                  <c:v>45871</c:v>
                </c:pt>
                <c:pt idx="153">
                  <c:v>45870</c:v>
                </c:pt>
                <c:pt idx="154">
                  <c:v>45869</c:v>
                </c:pt>
                <c:pt idx="155">
                  <c:v>45868</c:v>
                </c:pt>
                <c:pt idx="156">
                  <c:v>45867</c:v>
                </c:pt>
                <c:pt idx="157">
                  <c:v>45866</c:v>
                </c:pt>
                <c:pt idx="158">
                  <c:v>45865</c:v>
                </c:pt>
                <c:pt idx="159">
                  <c:v>45864</c:v>
                </c:pt>
                <c:pt idx="160">
                  <c:v>45863</c:v>
                </c:pt>
                <c:pt idx="161">
                  <c:v>45862</c:v>
                </c:pt>
                <c:pt idx="162">
                  <c:v>45861</c:v>
                </c:pt>
                <c:pt idx="163">
                  <c:v>45860</c:v>
                </c:pt>
                <c:pt idx="164">
                  <c:v>45859</c:v>
                </c:pt>
                <c:pt idx="165">
                  <c:v>45858</c:v>
                </c:pt>
                <c:pt idx="166">
                  <c:v>45857</c:v>
                </c:pt>
                <c:pt idx="167">
                  <c:v>45856</c:v>
                </c:pt>
                <c:pt idx="168">
                  <c:v>45855</c:v>
                </c:pt>
                <c:pt idx="169">
                  <c:v>45854</c:v>
                </c:pt>
                <c:pt idx="170">
                  <c:v>45853</c:v>
                </c:pt>
                <c:pt idx="171">
                  <c:v>45852</c:v>
                </c:pt>
                <c:pt idx="172">
                  <c:v>45851</c:v>
                </c:pt>
                <c:pt idx="173">
                  <c:v>45850</c:v>
                </c:pt>
                <c:pt idx="174">
                  <c:v>45849</c:v>
                </c:pt>
                <c:pt idx="175">
                  <c:v>45848</c:v>
                </c:pt>
                <c:pt idx="176">
                  <c:v>45847</c:v>
                </c:pt>
                <c:pt idx="177">
                  <c:v>45846</c:v>
                </c:pt>
                <c:pt idx="178">
                  <c:v>45845</c:v>
                </c:pt>
                <c:pt idx="179">
                  <c:v>45844</c:v>
                </c:pt>
                <c:pt idx="180">
                  <c:v>45843</c:v>
                </c:pt>
                <c:pt idx="181">
                  <c:v>45842</c:v>
                </c:pt>
                <c:pt idx="182">
                  <c:v>45841</c:v>
                </c:pt>
                <c:pt idx="183">
                  <c:v>45840</c:v>
                </c:pt>
                <c:pt idx="184">
                  <c:v>45839</c:v>
                </c:pt>
                <c:pt idx="185">
                  <c:v>45838</c:v>
                </c:pt>
                <c:pt idx="186">
                  <c:v>45837</c:v>
                </c:pt>
                <c:pt idx="187">
                  <c:v>45836</c:v>
                </c:pt>
                <c:pt idx="188">
                  <c:v>45835</c:v>
                </c:pt>
                <c:pt idx="189">
                  <c:v>45834</c:v>
                </c:pt>
                <c:pt idx="190">
                  <c:v>45833</c:v>
                </c:pt>
                <c:pt idx="191">
                  <c:v>45832</c:v>
                </c:pt>
                <c:pt idx="192">
                  <c:v>45831</c:v>
                </c:pt>
                <c:pt idx="193">
                  <c:v>45830</c:v>
                </c:pt>
                <c:pt idx="194">
                  <c:v>45829</c:v>
                </c:pt>
                <c:pt idx="195">
                  <c:v>45828</c:v>
                </c:pt>
                <c:pt idx="196">
                  <c:v>45827</c:v>
                </c:pt>
                <c:pt idx="197">
                  <c:v>45826</c:v>
                </c:pt>
                <c:pt idx="198">
                  <c:v>45825</c:v>
                </c:pt>
                <c:pt idx="199">
                  <c:v>45824</c:v>
                </c:pt>
                <c:pt idx="200">
                  <c:v>45823</c:v>
                </c:pt>
                <c:pt idx="201">
                  <c:v>45822</c:v>
                </c:pt>
                <c:pt idx="202">
                  <c:v>45821</c:v>
                </c:pt>
                <c:pt idx="203">
                  <c:v>45820</c:v>
                </c:pt>
                <c:pt idx="204">
                  <c:v>45819</c:v>
                </c:pt>
                <c:pt idx="205">
                  <c:v>45818</c:v>
                </c:pt>
                <c:pt idx="206">
                  <c:v>45817</c:v>
                </c:pt>
                <c:pt idx="207">
                  <c:v>45816</c:v>
                </c:pt>
                <c:pt idx="208">
                  <c:v>45815</c:v>
                </c:pt>
                <c:pt idx="209">
                  <c:v>45814</c:v>
                </c:pt>
                <c:pt idx="210">
                  <c:v>45813</c:v>
                </c:pt>
                <c:pt idx="211">
                  <c:v>45812</c:v>
                </c:pt>
                <c:pt idx="212">
                  <c:v>45811</c:v>
                </c:pt>
                <c:pt idx="213">
                  <c:v>45810</c:v>
                </c:pt>
                <c:pt idx="214">
                  <c:v>45809</c:v>
                </c:pt>
                <c:pt idx="215">
                  <c:v>45808</c:v>
                </c:pt>
                <c:pt idx="216">
                  <c:v>45807</c:v>
                </c:pt>
                <c:pt idx="217">
                  <c:v>45806</c:v>
                </c:pt>
                <c:pt idx="218">
                  <c:v>45805</c:v>
                </c:pt>
                <c:pt idx="219">
                  <c:v>45804</c:v>
                </c:pt>
                <c:pt idx="220">
                  <c:v>45803</c:v>
                </c:pt>
                <c:pt idx="221">
                  <c:v>45802</c:v>
                </c:pt>
                <c:pt idx="222">
                  <c:v>45801</c:v>
                </c:pt>
                <c:pt idx="223">
                  <c:v>45800</c:v>
                </c:pt>
                <c:pt idx="224">
                  <c:v>45799</c:v>
                </c:pt>
                <c:pt idx="225">
                  <c:v>45798</c:v>
                </c:pt>
                <c:pt idx="226">
                  <c:v>45797</c:v>
                </c:pt>
                <c:pt idx="227">
                  <c:v>45796</c:v>
                </c:pt>
                <c:pt idx="228">
                  <c:v>45795</c:v>
                </c:pt>
                <c:pt idx="229">
                  <c:v>45794</c:v>
                </c:pt>
                <c:pt idx="230">
                  <c:v>45793</c:v>
                </c:pt>
                <c:pt idx="231">
                  <c:v>45792</c:v>
                </c:pt>
                <c:pt idx="232">
                  <c:v>45791</c:v>
                </c:pt>
                <c:pt idx="233">
                  <c:v>45790</c:v>
                </c:pt>
                <c:pt idx="234">
                  <c:v>45789</c:v>
                </c:pt>
                <c:pt idx="235">
                  <c:v>45788</c:v>
                </c:pt>
                <c:pt idx="236">
                  <c:v>45787</c:v>
                </c:pt>
                <c:pt idx="237">
                  <c:v>45786</c:v>
                </c:pt>
                <c:pt idx="238">
                  <c:v>45785</c:v>
                </c:pt>
                <c:pt idx="239">
                  <c:v>45784</c:v>
                </c:pt>
                <c:pt idx="240">
                  <c:v>45783</c:v>
                </c:pt>
                <c:pt idx="241">
                  <c:v>45782</c:v>
                </c:pt>
                <c:pt idx="242">
                  <c:v>45781</c:v>
                </c:pt>
                <c:pt idx="243">
                  <c:v>45780</c:v>
                </c:pt>
                <c:pt idx="244">
                  <c:v>45779</c:v>
                </c:pt>
                <c:pt idx="245">
                  <c:v>45778</c:v>
                </c:pt>
                <c:pt idx="246">
                  <c:v>45777</c:v>
                </c:pt>
                <c:pt idx="247">
                  <c:v>45776</c:v>
                </c:pt>
                <c:pt idx="248">
                  <c:v>45775</c:v>
                </c:pt>
                <c:pt idx="249">
                  <c:v>45774</c:v>
                </c:pt>
                <c:pt idx="250">
                  <c:v>45773</c:v>
                </c:pt>
                <c:pt idx="251">
                  <c:v>45772</c:v>
                </c:pt>
                <c:pt idx="252">
                  <c:v>45771</c:v>
                </c:pt>
                <c:pt idx="253">
                  <c:v>45770</c:v>
                </c:pt>
                <c:pt idx="254">
                  <c:v>45769</c:v>
                </c:pt>
                <c:pt idx="255">
                  <c:v>45768</c:v>
                </c:pt>
                <c:pt idx="256">
                  <c:v>45767</c:v>
                </c:pt>
                <c:pt idx="257">
                  <c:v>45766</c:v>
                </c:pt>
                <c:pt idx="258">
                  <c:v>45765</c:v>
                </c:pt>
                <c:pt idx="259">
                  <c:v>45764</c:v>
                </c:pt>
                <c:pt idx="260">
                  <c:v>45763</c:v>
                </c:pt>
                <c:pt idx="261">
                  <c:v>45762</c:v>
                </c:pt>
                <c:pt idx="262">
                  <c:v>45761</c:v>
                </c:pt>
                <c:pt idx="263">
                  <c:v>45760</c:v>
                </c:pt>
                <c:pt idx="264">
                  <c:v>45759</c:v>
                </c:pt>
                <c:pt idx="265">
                  <c:v>45758</c:v>
                </c:pt>
                <c:pt idx="266">
                  <c:v>45757</c:v>
                </c:pt>
                <c:pt idx="267">
                  <c:v>45756</c:v>
                </c:pt>
                <c:pt idx="268">
                  <c:v>45755</c:v>
                </c:pt>
                <c:pt idx="269">
                  <c:v>45754</c:v>
                </c:pt>
                <c:pt idx="270">
                  <c:v>45753</c:v>
                </c:pt>
                <c:pt idx="271">
                  <c:v>45752</c:v>
                </c:pt>
                <c:pt idx="272">
                  <c:v>45751</c:v>
                </c:pt>
                <c:pt idx="273">
                  <c:v>45750</c:v>
                </c:pt>
                <c:pt idx="274">
                  <c:v>45749</c:v>
                </c:pt>
                <c:pt idx="275">
                  <c:v>45748</c:v>
                </c:pt>
                <c:pt idx="276">
                  <c:v>45747</c:v>
                </c:pt>
                <c:pt idx="277">
                  <c:v>45746</c:v>
                </c:pt>
                <c:pt idx="278">
                  <c:v>45745</c:v>
                </c:pt>
                <c:pt idx="279">
                  <c:v>45744</c:v>
                </c:pt>
                <c:pt idx="280">
                  <c:v>45743</c:v>
                </c:pt>
                <c:pt idx="281">
                  <c:v>45742</c:v>
                </c:pt>
                <c:pt idx="282">
                  <c:v>45741</c:v>
                </c:pt>
                <c:pt idx="283">
                  <c:v>45740</c:v>
                </c:pt>
                <c:pt idx="284">
                  <c:v>45739</c:v>
                </c:pt>
                <c:pt idx="285">
                  <c:v>45738</c:v>
                </c:pt>
                <c:pt idx="286">
                  <c:v>45737</c:v>
                </c:pt>
                <c:pt idx="287">
                  <c:v>45736</c:v>
                </c:pt>
                <c:pt idx="288">
                  <c:v>45735</c:v>
                </c:pt>
                <c:pt idx="289">
                  <c:v>45734</c:v>
                </c:pt>
                <c:pt idx="290">
                  <c:v>45733</c:v>
                </c:pt>
                <c:pt idx="291">
                  <c:v>45732</c:v>
                </c:pt>
                <c:pt idx="292">
                  <c:v>45731</c:v>
                </c:pt>
                <c:pt idx="293">
                  <c:v>45730</c:v>
                </c:pt>
                <c:pt idx="294">
                  <c:v>45729</c:v>
                </c:pt>
                <c:pt idx="295">
                  <c:v>45728</c:v>
                </c:pt>
                <c:pt idx="296">
                  <c:v>45727</c:v>
                </c:pt>
                <c:pt idx="297">
                  <c:v>45726</c:v>
                </c:pt>
                <c:pt idx="298">
                  <c:v>45725</c:v>
                </c:pt>
                <c:pt idx="299">
                  <c:v>45724</c:v>
                </c:pt>
                <c:pt idx="300">
                  <c:v>45723</c:v>
                </c:pt>
                <c:pt idx="301">
                  <c:v>45722</c:v>
                </c:pt>
                <c:pt idx="302">
                  <c:v>45721</c:v>
                </c:pt>
                <c:pt idx="303">
                  <c:v>45720</c:v>
                </c:pt>
                <c:pt idx="304">
                  <c:v>45719</c:v>
                </c:pt>
                <c:pt idx="305">
                  <c:v>45718</c:v>
                </c:pt>
                <c:pt idx="306">
                  <c:v>45717</c:v>
                </c:pt>
                <c:pt idx="307">
                  <c:v>45716</c:v>
                </c:pt>
                <c:pt idx="308">
                  <c:v>45715</c:v>
                </c:pt>
                <c:pt idx="309">
                  <c:v>45714</c:v>
                </c:pt>
                <c:pt idx="310">
                  <c:v>45713</c:v>
                </c:pt>
                <c:pt idx="311">
                  <c:v>45712</c:v>
                </c:pt>
                <c:pt idx="312">
                  <c:v>45711</c:v>
                </c:pt>
                <c:pt idx="313">
                  <c:v>45710</c:v>
                </c:pt>
                <c:pt idx="314">
                  <c:v>45709</c:v>
                </c:pt>
                <c:pt idx="315">
                  <c:v>45708</c:v>
                </c:pt>
                <c:pt idx="316">
                  <c:v>45707</c:v>
                </c:pt>
                <c:pt idx="317">
                  <c:v>45706</c:v>
                </c:pt>
                <c:pt idx="318">
                  <c:v>45705</c:v>
                </c:pt>
                <c:pt idx="319">
                  <c:v>45704</c:v>
                </c:pt>
                <c:pt idx="320">
                  <c:v>45703</c:v>
                </c:pt>
                <c:pt idx="321">
                  <c:v>45702</c:v>
                </c:pt>
                <c:pt idx="322">
                  <c:v>45701</c:v>
                </c:pt>
                <c:pt idx="323">
                  <c:v>45700</c:v>
                </c:pt>
                <c:pt idx="324">
                  <c:v>45699</c:v>
                </c:pt>
                <c:pt idx="325">
                  <c:v>45698</c:v>
                </c:pt>
                <c:pt idx="326">
                  <c:v>45697</c:v>
                </c:pt>
                <c:pt idx="327">
                  <c:v>45696</c:v>
                </c:pt>
                <c:pt idx="328">
                  <c:v>45695</c:v>
                </c:pt>
                <c:pt idx="329">
                  <c:v>45694</c:v>
                </c:pt>
                <c:pt idx="330">
                  <c:v>45693</c:v>
                </c:pt>
                <c:pt idx="331">
                  <c:v>45692</c:v>
                </c:pt>
                <c:pt idx="332">
                  <c:v>45691</c:v>
                </c:pt>
                <c:pt idx="333">
                  <c:v>45690</c:v>
                </c:pt>
                <c:pt idx="334">
                  <c:v>45689</c:v>
                </c:pt>
                <c:pt idx="335">
                  <c:v>45688</c:v>
                </c:pt>
                <c:pt idx="336">
                  <c:v>45687</c:v>
                </c:pt>
                <c:pt idx="337">
                  <c:v>45686</c:v>
                </c:pt>
                <c:pt idx="338">
                  <c:v>45685</c:v>
                </c:pt>
                <c:pt idx="339">
                  <c:v>45684</c:v>
                </c:pt>
                <c:pt idx="340">
                  <c:v>45683</c:v>
                </c:pt>
                <c:pt idx="341">
                  <c:v>45682</c:v>
                </c:pt>
                <c:pt idx="342">
                  <c:v>45681</c:v>
                </c:pt>
                <c:pt idx="343">
                  <c:v>45680</c:v>
                </c:pt>
                <c:pt idx="344">
                  <c:v>45679</c:v>
                </c:pt>
                <c:pt idx="345">
                  <c:v>45678</c:v>
                </c:pt>
                <c:pt idx="346">
                  <c:v>45677</c:v>
                </c:pt>
                <c:pt idx="347">
                  <c:v>45676</c:v>
                </c:pt>
                <c:pt idx="348">
                  <c:v>45675</c:v>
                </c:pt>
                <c:pt idx="349">
                  <c:v>45674</c:v>
                </c:pt>
                <c:pt idx="350">
                  <c:v>45673</c:v>
                </c:pt>
                <c:pt idx="351">
                  <c:v>45672</c:v>
                </c:pt>
                <c:pt idx="352">
                  <c:v>45671</c:v>
                </c:pt>
                <c:pt idx="353">
                  <c:v>45670</c:v>
                </c:pt>
                <c:pt idx="354">
                  <c:v>45669</c:v>
                </c:pt>
                <c:pt idx="355">
                  <c:v>45668</c:v>
                </c:pt>
                <c:pt idx="356">
                  <c:v>45667</c:v>
                </c:pt>
                <c:pt idx="357">
                  <c:v>45666</c:v>
                </c:pt>
                <c:pt idx="358">
                  <c:v>45665</c:v>
                </c:pt>
                <c:pt idx="359">
                  <c:v>45664</c:v>
                </c:pt>
                <c:pt idx="360">
                  <c:v>45663</c:v>
                </c:pt>
                <c:pt idx="361">
                  <c:v>45662</c:v>
                </c:pt>
                <c:pt idx="362">
                  <c:v>45661</c:v>
                </c:pt>
                <c:pt idx="363">
                  <c:v>45660</c:v>
                </c:pt>
                <c:pt idx="364">
                  <c:v>45659</c:v>
                </c:pt>
                <c:pt idx="365">
                  <c:v>45658</c:v>
                </c:pt>
                <c:pt idx="366">
                  <c:v>45657</c:v>
                </c:pt>
                <c:pt idx="367">
                  <c:v>45656</c:v>
                </c:pt>
                <c:pt idx="368">
                  <c:v>45655</c:v>
                </c:pt>
                <c:pt idx="369">
                  <c:v>45654</c:v>
                </c:pt>
                <c:pt idx="370">
                  <c:v>45653</c:v>
                </c:pt>
                <c:pt idx="371">
                  <c:v>45652</c:v>
                </c:pt>
              </c:numCache>
            </c:numRef>
          </c:cat>
          <c:val>
            <c:numRef>
              <c:f>Calculation!$F$2:$F$437</c:f>
              <c:numCache>
                <c:formatCode>General</c:formatCode>
                <c:ptCount val="436"/>
                <c:pt idx="0">
                  <c:v>97.46</c:v>
                </c:pt>
                <c:pt idx="1">
                  <c:v>97.46</c:v>
                </c:pt>
                <c:pt idx="2">
                  <c:v>97.46</c:v>
                </c:pt>
                <c:pt idx="3">
                  <c:v>97.23</c:v>
                </c:pt>
                <c:pt idx="4">
                  <c:v>97.2</c:v>
                </c:pt>
                <c:pt idx="5">
                  <c:v>97.2</c:v>
                </c:pt>
                <c:pt idx="6">
                  <c:v>97.2</c:v>
                </c:pt>
                <c:pt idx="7">
                  <c:v>97.09</c:v>
                </c:pt>
                <c:pt idx="8">
                  <c:v>96.86</c:v>
                </c:pt>
                <c:pt idx="9">
                  <c:v>96.84</c:v>
                </c:pt>
                <c:pt idx="10">
                  <c:v>97.01</c:v>
                </c:pt>
                <c:pt idx="11">
                  <c:v>96.92</c:v>
                </c:pt>
                <c:pt idx="12">
                  <c:v>96.92</c:v>
                </c:pt>
                <c:pt idx="13">
                  <c:v>96.92</c:v>
                </c:pt>
                <c:pt idx="14">
                  <c:v>96.82</c:v>
                </c:pt>
                <c:pt idx="15">
                  <c:v>96.74</c:v>
                </c:pt>
                <c:pt idx="16">
                  <c:v>96.84</c:v>
                </c:pt>
                <c:pt idx="17">
                  <c:v>96.76</c:v>
                </c:pt>
                <c:pt idx="18">
                  <c:v>96.82</c:v>
                </c:pt>
                <c:pt idx="19">
                  <c:v>96.82</c:v>
                </c:pt>
                <c:pt idx="20">
                  <c:v>96.82</c:v>
                </c:pt>
                <c:pt idx="21">
                  <c:v>96.81</c:v>
                </c:pt>
                <c:pt idx="22">
                  <c:v>96.66</c:v>
                </c:pt>
                <c:pt idx="23">
                  <c:v>96.9</c:v>
                </c:pt>
                <c:pt idx="24">
                  <c:v>96.84</c:v>
                </c:pt>
                <c:pt idx="25">
                  <c:v>96.7</c:v>
                </c:pt>
                <c:pt idx="26">
                  <c:v>96.7</c:v>
                </c:pt>
                <c:pt idx="27">
                  <c:v>96.7</c:v>
                </c:pt>
                <c:pt idx="28">
                  <c:v>96.52</c:v>
                </c:pt>
                <c:pt idx="29">
                  <c:v>96.58</c:v>
                </c:pt>
                <c:pt idx="30">
                  <c:v>96.59</c:v>
                </c:pt>
                <c:pt idx="31">
                  <c:v>96.49</c:v>
                </c:pt>
                <c:pt idx="32">
                  <c:v>96.34</c:v>
                </c:pt>
                <c:pt idx="33">
                  <c:v>96.34</c:v>
                </c:pt>
                <c:pt idx="34">
                  <c:v>96.34</c:v>
                </c:pt>
                <c:pt idx="35">
                  <c:v>96.44</c:v>
                </c:pt>
                <c:pt idx="36">
                  <c:v>96.47</c:v>
                </c:pt>
                <c:pt idx="37">
                  <c:v>96.52</c:v>
                </c:pt>
                <c:pt idx="38">
                  <c:v>96.38</c:v>
                </c:pt>
                <c:pt idx="39">
                  <c:v>96.42</c:v>
                </c:pt>
                <c:pt idx="40">
                  <c:v>96.42</c:v>
                </c:pt>
                <c:pt idx="41">
                  <c:v>96.42</c:v>
                </c:pt>
                <c:pt idx="42">
                  <c:v>96.36</c:v>
                </c:pt>
                <c:pt idx="43">
                  <c:v>96.31</c:v>
                </c:pt>
                <c:pt idx="44">
                  <c:v>96.34</c:v>
                </c:pt>
                <c:pt idx="45">
                  <c:v>96.46</c:v>
                </c:pt>
                <c:pt idx="46">
                  <c:v>96.38</c:v>
                </c:pt>
                <c:pt idx="47">
                  <c:v>96.38</c:v>
                </c:pt>
                <c:pt idx="48">
                  <c:v>96.38</c:v>
                </c:pt>
                <c:pt idx="49">
                  <c:v>96.46</c:v>
                </c:pt>
                <c:pt idx="50">
                  <c:v>96.2</c:v>
                </c:pt>
                <c:pt idx="51">
                  <c:v>96.04</c:v>
                </c:pt>
                <c:pt idx="52">
                  <c:v>95.84</c:v>
                </c:pt>
                <c:pt idx="53">
                  <c:v>95.88</c:v>
                </c:pt>
                <c:pt idx="54">
                  <c:v>95.88</c:v>
                </c:pt>
                <c:pt idx="55">
                  <c:v>95.88</c:v>
                </c:pt>
                <c:pt idx="56">
                  <c:v>95.82</c:v>
                </c:pt>
                <c:pt idx="57">
                  <c:v>95.86</c:v>
                </c:pt>
                <c:pt idx="58">
                  <c:v>95.75</c:v>
                </c:pt>
                <c:pt idx="59">
                  <c:v>95.75</c:v>
                </c:pt>
                <c:pt idx="60">
                  <c:v>95.9</c:v>
                </c:pt>
                <c:pt idx="61">
                  <c:v>95.9</c:v>
                </c:pt>
                <c:pt idx="62">
                  <c:v>95.62</c:v>
                </c:pt>
                <c:pt idx="63">
                  <c:v>95.8</c:v>
                </c:pt>
                <c:pt idx="64">
                  <c:v>95.37</c:v>
                </c:pt>
                <c:pt idx="65">
                  <c:v>95.55</c:v>
                </c:pt>
                <c:pt idx="66">
                  <c:v>95.41</c:v>
                </c:pt>
                <c:pt idx="67">
                  <c:v>95.62</c:v>
                </c:pt>
                <c:pt idx="68">
                  <c:v>95.62</c:v>
                </c:pt>
                <c:pt idx="69">
                  <c:v>95.62</c:v>
                </c:pt>
                <c:pt idx="70">
                  <c:v>95.3</c:v>
                </c:pt>
                <c:pt idx="71">
                  <c:v>95.51</c:v>
                </c:pt>
                <c:pt idx="72">
                  <c:v>95.5</c:v>
                </c:pt>
                <c:pt idx="73">
                  <c:v>95.29</c:v>
                </c:pt>
                <c:pt idx="74">
                  <c:v>95.43</c:v>
                </c:pt>
                <c:pt idx="75">
                  <c:v>95.43</c:v>
                </c:pt>
                <c:pt idx="76">
                  <c:v>95.43</c:v>
                </c:pt>
                <c:pt idx="77">
                  <c:v>94.94</c:v>
                </c:pt>
                <c:pt idx="78">
                  <c:v>94.98</c:v>
                </c:pt>
                <c:pt idx="79">
                  <c:v>95.07</c:v>
                </c:pt>
                <c:pt idx="80">
                  <c:v>95.12</c:v>
                </c:pt>
                <c:pt idx="81">
                  <c:v>95.14</c:v>
                </c:pt>
                <c:pt idx="82">
                  <c:v>95.14</c:v>
                </c:pt>
                <c:pt idx="83">
                  <c:v>95.14</c:v>
                </c:pt>
                <c:pt idx="84">
                  <c:v>94.94</c:v>
                </c:pt>
                <c:pt idx="85">
                  <c:v>94.84</c:v>
                </c:pt>
                <c:pt idx="86">
                  <c:v>95.02</c:v>
                </c:pt>
                <c:pt idx="87">
                  <c:v>95.02</c:v>
                </c:pt>
                <c:pt idx="88">
                  <c:v>94.98</c:v>
                </c:pt>
                <c:pt idx="89">
                  <c:v>94.98</c:v>
                </c:pt>
                <c:pt idx="90">
                  <c:v>94.98</c:v>
                </c:pt>
                <c:pt idx="91">
                  <c:v>95.03</c:v>
                </c:pt>
                <c:pt idx="92">
                  <c:v>94.58</c:v>
                </c:pt>
                <c:pt idx="93">
                  <c:v>94.65</c:v>
                </c:pt>
                <c:pt idx="94">
                  <c:v>94.92</c:v>
                </c:pt>
                <c:pt idx="95">
                  <c:v>94.89</c:v>
                </c:pt>
                <c:pt idx="96">
                  <c:v>94.89</c:v>
                </c:pt>
                <c:pt idx="97">
                  <c:v>94.89</c:v>
                </c:pt>
                <c:pt idx="98">
                  <c:v>94.72</c:v>
                </c:pt>
                <c:pt idx="99">
                  <c:v>94.78</c:v>
                </c:pt>
                <c:pt idx="100">
                  <c:v>94.91</c:v>
                </c:pt>
                <c:pt idx="101">
                  <c:v>94.94</c:v>
                </c:pt>
                <c:pt idx="102">
                  <c:v>94.82</c:v>
                </c:pt>
                <c:pt idx="103">
                  <c:v>94.82</c:v>
                </c:pt>
                <c:pt idx="104">
                  <c:v>94.82</c:v>
                </c:pt>
                <c:pt idx="105">
                  <c:v>94.91</c:v>
                </c:pt>
                <c:pt idx="106">
                  <c:v>94.96</c:v>
                </c:pt>
                <c:pt idx="107">
                  <c:v>95</c:v>
                </c:pt>
                <c:pt idx="108">
                  <c:v>94.98</c:v>
                </c:pt>
                <c:pt idx="109">
                  <c:v>95.15</c:v>
                </c:pt>
                <c:pt idx="110">
                  <c:v>95.15</c:v>
                </c:pt>
                <c:pt idx="111">
                  <c:v>95.15</c:v>
                </c:pt>
                <c:pt idx="112">
                  <c:v>95.19</c:v>
                </c:pt>
                <c:pt idx="113">
                  <c:v>95.19</c:v>
                </c:pt>
                <c:pt idx="114">
                  <c:v>95.2</c:v>
                </c:pt>
                <c:pt idx="115">
                  <c:v>94.98</c:v>
                </c:pt>
                <c:pt idx="116">
                  <c:v>95.09</c:v>
                </c:pt>
                <c:pt idx="117">
                  <c:v>95.09</c:v>
                </c:pt>
                <c:pt idx="118">
                  <c:v>95.09</c:v>
                </c:pt>
                <c:pt idx="119">
                  <c:v>95.05</c:v>
                </c:pt>
                <c:pt idx="120">
                  <c:v>95.09</c:v>
                </c:pt>
                <c:pt idx="121">
                  <c:v>95.13</c:v>
                </c:pt>
                <c:pt idx="122">
                  <c:v>95.2</c:v>
                </c:pt>
                <c:pt idx="123">
                  <c:v>95.44</c:v>
                </c:pt>
                <c:pt idx="124">
                  <c:v>95.44</c:v>
                </c:pt>
                <c:pt idx="125">
                  <c:v>95.44</c:v>
                </c:pt>
                <c:pt idx="126">
                  <c:v>95.4</c:v>
                </c:pt>
                <c:pt idx="127">
                  <c:v>95.19</c:v>
                </c:pt>
                <c:pt idx="128">
                  <c:v>94.83</c:v>
                </c:pt>
                <c:pt idx="129">
                  <c:v>94.88</c:v>
                </c:pt>
                <c:pt idx="130">
                  <c:v>95.1</c:v>
                </c:pt>
                <c:pt idx="131">
                  <c:v>95.1</c:v>
                </c:pt>
                <c:pt idx="132">
                  <c:v>95.1</c:v>
                </c:pt>
                <c:pt idx="133">
                  <c:v>94.71</c:v>
                </c:pt>
                <c:pt idx="134">
                  <c:v>95.27</c:v>
                </c:pt>
                <c:pt idx="135">
                  <c:v>95.1</c:v>
                </c:pt>
                <c:pt idx="136">
                  <c:v>94.77</c:v>
                </c:pt>
                <c:pt idx="137">
                  <c:v>94.53</c:v>
                </c:pt>
                <c:pt idx="138">
                  <c:v>94.53</c:v>
                </c:pt>
                <c:pt idx="139">
                  <c:v>94.53</c:v>
                </c:pt>
                <c:pt idx="140">
                  <c:v>94.39</c:v>
                </c:pt>
                <c:pt idx="141">
                  <c:v>94.21</c:v>
                </c:pt>
                <c:pt idx="142">
                  <c:v>94.21</c:v>
                </c:pt>
                <c:pt idx="143">
                  <c:v>94.23</c:v>
                </c:pt>
                <c:pt idx="144">
                  <c:v>94.48</c:v>
                </c:pt>
                <c:pt idx="145">
                  <c:v>94.48</c:v>
                </c:pt>
                <c:pt idx="146">
                  <c:v>94.48</c:v>
                </c:pt>
                <c:pt idx="147">
                  <c:v>94.5</c:v>
                </c:pt>
                <c:pt idx="148">
                  <c:v>94.57</c:v>
                </c:pt>
                <c:pt idx="149">
                  <c:v>94.51</c:v>
                </c:pt>
                <c:pt idx="150">
                  <c:v>94.47</c:v>
                </c:pt>
                <c:pt idx="151">
                  <c:v>94.46</c:v>
                </c:pt>
                <c:pt idx="152">
                  <c:v>94.46</c:v>
                </c:pt>
                <c:pt idx="153">
                  <c:v>94.46</c:v>
                </c:pt>
                <c:pt idx="154">
                  <c:v>94.3</c:v>
                </c:pt>
                <c:pt idx="155">
                  <c:v>93.94</c:v>
                </c:pt>
                <c:pt idx="156">
                  <c:v>94.04</c:v>
                </c:pt>
                <c:pt idx="157">
                  <c:v>93.91</c:v>
                </c:pt>
                <c:pt idx="158">
                  <c:v>93.79</c:v>
                </c:pt>
                <c:pt idx="159">
                  <c:v>93.79</c:v>
                </c:pt>
                <c:pt idx="160">
                  <c:v>93.79</c:v>
                </c:pt>
                <c:pt idx="161">
                  <c:v>93.78</c:v>
                </c:pt>
                <c:pt idx="162">
                  <c:v>93.82</c:v>
                </c:pt>
                <c:pt idx="163">
                  <c:v>93.96</c:v>
                </c:pt>
                <c:pt idx="164">
                  <c:v>93.82</c:v>
                </c:pt>
                <c:pt idx="165">
                  <c:v>93.75</c:v>
                </c:pt>
                <c:pt idx="166">
                  <c:v>93.75</c:v>
                </c:pt>
                <c:pt idx="167">
                  <c:v>93.75</c:v>
                </c:pt>
                <c:pt idx="168">
                  <c:v>93.5</c:v>
                </c:pt>
                <c:pt idx="169">
                  <c:v>93.77</c:v>
                </c:pt>
                <c:pt idx="170">
                  <c:v>93.26</c:v>
                </c:pt>
                <c:pt idx="171">
                  <c:v>93</c:v>
                </c:pt>
                <c:pt idx="172">
                  <c:v>93.08</c:v>
                </c:pt>
                <c:pt idx="173">
                  <c:v>93.08</c:v>
                </c:pt>
                <c:pt idx="174">
                  <c:v>93.08</c:v>
                </c:pt>
                <c:pt idx="175">
                  <c:v>92.82</c:v>
                </c:pt>
                <c:pt idx="176">
                  <c:v>92.5</c:v>
                </c:pt>
                <c:pt idx="177">
                  <c:v>92.61</c:v>
                </c:pt>
                <c:pt idx="178">
                  <c:v>92.46</c:v>
                </c:pt>
                <c:pt idx="179">
                  <c:v>92.51</c:v>
                </c:pt>
                <c:pt idx="180">
                  <c:v>92.51</c:v>
                </c:pt>
                <c:pt idx="181">
                  <c:v>92.51</c:v>
                </c:pt>
                <c:pt idx="182">
                  <c:v>92.51</c:v>
                </c:pt>
                <c:pt idx="183">
                  <c:v>92.1</c:v>
                </c:pt>
                <c:pt idx="184">
                  <c:v>92.1</c:v>
                </c:pt>
                <c:pt idx="185">
                  <c:v>91.86</c:v>
                </c:pt>
                <c:pt idx="186">
                  <c:v>91.71</c:v>
                </c:pt>
                <c:pt idx="187">
                  <c:v>91.71</c:v>
                </c:pt>
                <c:pt idx="188">
                  <c:v>91.71</c:v>
                </c:pt>
                <c:pt idx="189">
                  <c:v>91.6</c:v>
                </c:pt>
                <c:pt idx="190">
                  <c:v>91.58</c:v>
                </c:pt>
                <c:pt idx="191">
                  <c:v>91.37</c:v>
                </c:pt>
                <c:pt idx="192">
                  <c:v>91.29</c:v>
                </c:pt>
                <c:pt idx="193">
                  <c:v>91.27</c:v>
                </c:pt>
                <c:pt idx="194">
                  <c:v>91.27</c:v>
                </c:pt>
                <c:pt idx="195">
                  <c:v>91.27</c:v>
                </c:pt>
                <c:pt idx="196">
                  <c:v>91.38</c:v>
                </c:pt>
                <c:pt idx="197">
                  <c:v>91.34</c:v>
                </c:pt>
                <c:pt idx="198">
                  <c:v>91.35</c:v>
                </c:pt>
                <c:pt idx="199">
                  <c:v>91.3</c:v>
                </c:pt>
                <c:pt idx="200">
                  <c:v>91.6</c:v>
                </c:pt>
                <c:pt idx="201">
                  <c:v>91.6</c:v>
                </c:pt>
                <c:pt idx="202">
                  <c:v>91.6</c:v>
                </c:pt>
                <c:pt idx="203">
                  <c:v>91.5</c:v>
                </c:pt>
                <c:pt idx="204">
                  <c:v>91.5</c:v>
                </c:pt>
                <c:pt idx="205">
                  <c:v>91.28</c:v>
                </c:pt>
                <c:pt idx="206">
                  <c:v>90.9</c:v>
                </c:pt>
                <c:pt idx="207">
                  <c:v>91.31</c:v>
                </c:pt>
                <c:pt idx="208">
                  <c:v>91.31</c:v>
                </c:pt>
                <c:pt idx="209">
                  <c:v>91.31</c:v>
                </c:pt>
                <c:pt idx="210">
                  <c:v>91.5</c:v>
                </c:pt>
                <c:pt idx="211">
                  <c:v>91.2</c:v>
                </c:pt>
                <c:pt idx="212">
                  <c:v>90.81</c:v>
                </c:pt>
                <c:pt idx="213">
                  <c:v>91.22</c:v>
                </c:pt>
                <c:pt idx="214">
                  <c:v>91.1</c:v>
                </c:pt>
                <c:pt idx="215">
                  <c:v>91.1</c:v>
                </c:pt>
                <c:pt idx="216">
                  <c:v>91.1</c:v>
                </c:pt>
                <c:pt idx="217">
                  <c:v>90.47</c:v>
                </c:pt>
                <c:pt idx="218">
                  <c:v>90.16</c:v>
                </c:pt>
                <c:pt idx="219">
                  <c:v>89.87</c:v>
                </c:pt>
                <c:pt idx="220">
                  <c:v>89.89</c:v>
                </c:pt>
                <c:pt idx="221">
                  <c:v>89.84</c:v>
                </c:pt>
                <c:pt idx="222">
                  <c:v>89.84</c:v>
                </c:pt>
                <c:pt idx="223">
                  <c:v>89.84</c:v>
                </c:pt>
                <c:pt idx="224">
                  <c:v>89.98</c:v>
                </c:pt>
                <c:pt idx="225">
                  <c:v>89.73</c:v>
                </c:pt>
                <c:pt idx="226">
                  <c:v>89.8</c:v>
                </c:pt>
                <c:pt idx="227">
                  <c:v>89.86</c:v>
                </c:pt>
                <c:pt idx="228">
                  <c:v>89.87</c:v>
                </c:pt>
                <c:pt idx="229">
                  <c:v>89.87</c:v>
                </c:pt>
                <c:pt idx="230">
                  <c:v>89.87</c:v>
                </c:pt>
                <c:pt idx="231">
                  <c:v>90.08</c:v>
                </c:pt>
                <c:pt idx="232">
                  <c:v>90.04</c:v>
                </c:pt>
                <c:pt idx="233">
                  <c:v>89.98</c:v>
                </c:pt>
                <c:pt idx="234">
                  <c:v>90.18</c:v>
                </c:pt>
                <c:pt idx="235">
                  <c:v>89.82</c:v>
                </c:pt>
                <c:pt idx="236">
                  <c:v>89.82</c:v>
                </c:pt>
                <c:pt idx="237">
                  <c:v>89.82</c:v>
                </c:pt>
                <c:pt idx="238">
                  <c:v>89.82</c:v>
                </c:pt>
                <c:pt idx="239">
                  <c:v>89.78</c:v>
                </c:pt>
                <c:pt idx="240">
                  <c:v>89.42</c:v>
                </c:pt>
                <c:pt idx="241">
                  <c:v>89.28</c:v>
                </c:pt>
                <c:pt idx="242">
                  <c:v>89.44</c:v>
                </c:pt>
                <c:pt idx="243">
                  <c:v>89.44</c:v>
                </c:pt>
                <c:pt idx="244">
                  <c:v>89.44</c:v>
                </c:pt>
                <c:pt idx="245">
                  <c:v>89.38</c:v>
                </c:pt>
                <c:pt idx="246">
                  <c:v>89.38</c:v>
                </c:pt>
                <c:pt idx="247">
                  <c:v>89.33</c:v>
                </c:pt>
                <c:pt idx="248">
                  <c:v>89.13</c:v>
                </c:pt>
                <c:pt idx="249">
                  <c:v>88.98</c:v>
                </c:pt>
                <c:pt idx="250">
                  <c:v>88.98</c:v>
                </c:pt>
                <c:pt idx="251">
                  <c:v>88.98</c:v>
                </c:pt>
                <c:pt idx="252">
                  <c:v>88.94</c:v>
                </c:pt>
                <c:pt idx="253">
                  <c:v>89.2</c:v>
                </c:pt>
                <c:pt idx="254">
                  <c:v>88.74</c:v>
                </c:pt>
                <c:pt idx="255">
                  <c:v>88.63</c:v>
                </c:pt>
                <c:pt idx="256">
                  <c:v>88.11</c:v>
                </c:pt>
                <c:pt idx="257">
                  <c:v>88.11</c:v>
                </c:pt>
                <c:pt idx="258">
                  <c:v>88.11</c:v>
                </c:pt>
                <c:pt idx="259">
                  <c:v>88.08</c:v>
                </c:pt>
                <c:pt idx="260">
                  <c:v>88.15</c:v>
                </c:pt>
                <c:pt idx="261">
                  <c:v>88.3</c:v>
                </c:pt>
                <c:pt idx="262">
                  <c:v>88.18</c:v>
                </c:pt>
                <c:pt idx="263">
                  <c:v>88.09</c:v>
                </c:pt>
                <c:pt idx="264">
                  <c:v>88.09</c:v>
                </c:pt>
                <c:pt idx="265">
                  <c:v>88.09</c:v>
                </c:pt>
                <c:pt idx="266">
                  <c:v>87.84</c:v>
                </c:pt>
                <c:pt idx="267">
                  <c:v>87.2</c:v>
                </c:pt>
                <c:pt idx="268">
                  <c:v>87.5</c:v>
                </c:pt>
                <c:pt idx="269">
                  <c:v>86.75</c:v>
                </c:pt>
                <c:pt idx="270">
                  <c:v>87.5</c:v>
                </c:pt>
                <c:pt idx="271">
                  <c:v>87.5</c:v>
                </c:pt>
                <c:pt idx="272">
                  <c:v>87.5</c:v>
                </c:pt>
                <c:pt idx="273">
                  <c:v>87.78</c:v>
                </c:pt>
                <c:pt idx="274">
                  <c:v>87.5</c:v>
                </c:pt>
                <c:pt idx="275">
                  <c:v>87.17</c:v>
                </c:pt>
                <c:pt idx="276">
                  <c:v>88.25</c:v>
                </c:pt>
                <c:pt idx="277">
                  <c:v>88.44</c:v>
                </c:pt>
                <c:pt idx="278">
                  <c:v>88.44</c:v>
                </c:pt>
                <c:pt idx="279">
                  <c:v>88.44</c:v>
                </c:pt>
                <c:pt idx="280">
                  <c:v>88.24</c:v>
                </c:pt>
                <c:pt idx="281">
                  <c:v>88.4</c:v>
                </c:pt>
                <c:pt idx="282">
                  <c:v>88.61</c:v>
                </c:pt>
                <c:pt idx="283">
                  <c:v>88.34</c:v>
                </c:pt>
                <c:pt idx="284">
                  <c:v>88.57</c:v>
                </c:pt>
                <c:pt idx="285">
                  <c:v>88.57</c:v>
                </c:pt>
                <c:pt idx="286">
                  <c:v>88.57</c:v>
                </c:pt>
                <c:pt idx="287">
                  <c:v>88.6</c:v>
                </c:pt>
                <c:pt idx="288">
                  <c:v>88.36</c:v>
                </c:pt>
                <c:pt idx="289">
                  <c:v>88.34</c:v>
                </c:pt>
                <c:pt idx="290">
                  <c:v>88.42</c:v>
                </c:pt>
                <c:pt idx="291">
                  <c:v>88.66</c:v>
                </c:pt>
                <c:pt idx="292">
                  <c:v>88.66</c:v>
                </c:pt>
                <c:pt idx="293">
                  <c:v>88.66</c:v>
                </c:pt>
                <c:pt idx="294">
                  <c:v>88.47</c:v>
                </c:pt>
                <c:pt idx="295">
                  <c:v>88.45</c:v>
                </c:pt>
                <c:pt idx="296">
                  <c:v>88.44</c:v>
                </c:pt>
                <c:pt idx="297">
                  <c:v>88.39</c:v>
                </c:pt>
                <c:pt idx="298">
                  <c:v>88.64</c:v>
                </c:pt>
                <c:pt idx="299">
                  <c:v>88.64</c:v>
                </c:pt>
                <c:pt idx="300">
                  <c:v>88.64</c:v>
                </c:pt>
                <c:pt idx="301">
                  <c:v>88.5</c:v>
                </c:pt>
                <c:pt idx="302">
                  <c:v>88.48</c:v>
                </c:pt>
                <c:pt idx="303">
                  <c:v>88.44</c:v>
                </c:pt>
                <c:pt idx="304">
                  <c:v>88.15</c:v>
                </c:pt>
                <c:pt idx="305">
                  <c:v>88.34</c:v>
                </c:pt>
                <c:pt idx="306">
                  <c:v>88.34</c:v>
                </c:pt>
                <c:pt idx="307">
                  <c:v>88.34</c:v>
                </c:pt>
                <c:pt idx="308">
                  <c:v>87.71</c:v>
                </c:pt>
                <c:pt idx="309">
                  <c:v>87.79</c:v>
                </c:pt>
                <c:pt idx="310">
                  <c:v>87.67</c:v>
                </c:pt>
                <c:pt idx="311">
                  <c:v>87.51</c:v>
                </c:pt>
                <c:pt idx="312">
                  <c:v>87.2</c:v>
                </c:pt>
                <c:pt idx="313">
                  <c:v>87.2</c:v>
                </c:pt>
                <c:pt idx="314">
                  <c:v>87.2</c:v>
                </c:pt>
                <c:pt idx="315">
                  <c:v>87.32</c:v>
                </c:pt>
                <c:pt idx="316">
                  <c:v>87.5</c:v>
                </c:pt>
                <c:pt idx="317">
                  <c:v>87.03</c:v>
                </c:pt>
                <c:pt idx="318">
                  <c:v>87.15</c:v>
                </c:pt>
                <c:pt idx="319">
                  <c:v>87.16</c:v>
                </c:pt>
                <c:pt idx="320">
                  <c:v>87.16</c:v>
                </c:pt>
                <c:pt idx="321">
                  <c:v>87.16</c:v>
                </c:pt>
                <c:pt idx="322">
                  <c:v>86.5</c:v>
                </c:pt>
                <c:pt idx="323">
                  <c:v>86.85</c:v>
                </c:pt>
                <c:pt idx="324">
                  <c:v>86.46</c:v>
                </c:pt>
                <c:pt idx="325">
                  <c:v>86.31</c:v>
                </c:pt>
                <c:pt idx="326">
                  <c:v>85.99</c:v>
                </c:pt>
                <c:pt idx="327">
                  <c:v>85.99</c:v>
                </c:pt>
                <c:pt idx="328">
                  <c:v>85.99</c:v>
                </c:pt>
                <c:pt idx="329">
                  <c:v>86.15</c:v>
                </c:pt>
                <c:pt idx="330">
                  <c:v>85.5</c:v>
                </c:pt>
                <c:pt idx="331">
                  <c:v>85.64</c:v>
                </c:pt>
                <c:pt idx="332">
                  <c:v>85.8</c:v>
                </c:pt>
                <c:pt idx="333">
                  <c:v>85.92</c:v>
                </c:pt>
                <c:pt idx="334">
                  <c:v>85.92</c:v>
                </c:pt>
                <c:pt idx="335">
                  <c:v>85.92</c:v>
                </c:pt>
                <c:pt idx="336">
                  <c:v>85.48</c:v>
                </c:pt>
                <c:pt idx="337">
                  <c:v>85.21</c:v>
                </c:pt>
                <c:pt idx="338">
                  <c:v>85.19</c:v>
                </c:pt>
                <c:pt idx="339">
                  <c:v>85.08</c:v>
                </c:pt>
                <c:pt idx="340">
                  <c:v>85.09</c:v>
                </c:pt>
                <c:pt idx="341">
                  <c:v>85.09</c:v>
                </c:pt>
                <c:pt idx="342">
                  <c:v>85.09</c:v>
                </c:pt>
                <c:pt idx="343">
                  <c:v>84.96</c:v>
                </c:pt>
                <c:pt idx="344">
                  <c:v>84.79</c:v>
                </c:pt>
                <c:pt idx="345">
                  <c:v>84.9</c:v>
                </c:pt>
                <c:pt idx="346">
                  <c:v>85.2</c:v>
                </c:pt>
                <c:pt idx="347">
                  <c:v>85</c:v>
                </c:pt>
                <c:pt idx="348">
                  <c:v>85</c:v>
                </c:pt>
                <c:pt idx="349">
                  <c:v>85</c:v>
                </c:pt>
                <c:pt idx="350">
                  <c:v>85.35</c:v>
                </c:pt>
                <c:pt idx="351">
                  <c:v>85.53</c:v>
                </c:pt>
                <c:pt idx="352">
                  <c:v>85.3</c:v>
                </c:pt>
                <c:pt idx="353">
                  <c:v>85.77</c:v>
                </c:pt>
                <c:pt idx="354">
                  <c:v>85.9</c:v>
                </c:pt>
                <c:pt idx="355">
                  <c:v>85.9</c:v>
                </c:pt>
                <c:pt idx="356">
                  <c:v>85.9</c:v>
                </c:pt>
                <c:pt idx="357">
                  <c:v>85.25</c:v>
                </c:pt>
                <c:pt idx="358">
                  <c:v>85.16</c:v>
                </c:pt>
                <c:pt idx="359">
                  <c:v>84.98</c:v>
                </c:pt>
                <c:pt idx="360">
                  <c:v>84.98</c:v>
                </c:pt>
                <c:pt idx="361">
                  <c:v>84.94</c:v>
                </c:pt>
                <c:pt idx="362">
                  <c:v>84.94</c:v>
                </c:pt>
                <c:pt idx="363">
                  <c:v>84.94</c:v>
                </c:pt>
                <c:pt idx="364">
                  <c:v>85.23</c:v>
                </c:pt>
                <c:pt idx="365">
                  <c:v>85.23</c:v>
                </c:pt>
                <c:pt idx="366">
                  <c:v>85.23</c:v>
                </c:pt>
                <c:pt idx="367">
                  <c:v>85.23</c:v>
                </c:pt>
                <c:pt idx="368">
                  <c:v>85.29</c:v>
                </c:pt>
                <c:pt idx="369">
                  <c:v>85.29</c:v>
                </c:pt>
                <c:pt idx="370">
                  <c:v>84.13</c:v>
                </c:pt>
                <c:pt idx="371">
                  <c:v>83.9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60-43DD-941B-8FDC3DC21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280400"/>
        <c:axId val="597278440"/>
      </c:lineChart>
      <c:dateAx>
        <c:axId val="597280400"/>
        <c:scaling>
          <c:orientation val="minMax"/>
          <c:max val="46023"/>
          <c:min val="45658"/>
        </c:scaling>
        <c:delete val="0"/>
        <c:axPos val="b"/>
        <c:minorGridlines>
          <c:spPr>
            <a:ln w="9525" cap="flat" cmpd="sng" algn="ctr">
              <a:solidFill>
                <a:schemeClr val="dk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dd\.mm\.yy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2460000" spcFirstLastPara="1" vertOverflow="ellipsis" wrap="square" anchor="ctr" anchorCtr="1"/>
          <a:lstStyle/>
          <a:p>
            <a:pPr algn="ctr">
              <a:defRPr lang="ru-RU" sz="800" b="0" i="0" u="none" strike="noStrike" kern="1200" cap="none" spc="0" normalizeH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97278440"/>
        <c:crosses val="autoZero"/>
        <c:auto val="1"/>
        <c:lblOffset val="100"/>
        <c:baseTimeUnit val="days"/>
        <c:majorTimeUnit val="months"/>
        <c:minorUnit val="1"/>
        <c:minorTimeUnit val="months"/>
      </c:dateAx>
      <c:valAx>
        <c:axId val="597278440"/>
        <c:scaling>
          <c:orientation val="minMax"/>
          <c:max val="99"/>
          <c:min val="82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728040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rgbClr val="F7F2E5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074294439436908E-2"/>
          <c:y val="6.658251750518672E-2"/>
          <c:w val="0.87949317005169925"/>
          <c:h val="0.76600508947095436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Calculation!$J$35</c:f>
              <c:strCache>
                <c:ptCount val="1"/>
                <c:pt idx="0">
                  <c:v>NickName</c:v>
                </c:pt>
              </c:strCache>
            </c:strRef>
          </c:tx>
          <c:spPr>
            <a:ln w="19050">
              <a:noFill/>
            </a:ln>
          </c:spPr>
          <c:dPt>
            <c:idx val="0"/>
            <c:marker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468B-4189-AAC2-6615C9EF474F}"/>
              </c:ext>
            </c:extLst>
          </c:dPt>
          <c:dLbls>
            <c:dLbl>
              <c:idx val="0"/>
              <c:layout>
                <c:manualLayout>
                  <c:x val="-3.7759711467607163E-2"/>
                  <c:y val="-7.7193010892116276E-2"/>
                </c:manualLayout>
              </c:layout>
              <c:tx>
                <c:rich>
                  <a:bodyPr/>
                  <a:lstStyle/>
                  <a:p>
                    <a:fld id="{34D00F5B-4FBA-4286-A00B-3EAFF5C2B392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468B-4189-AAC2-6615C9EF474F}"/>
                </c:ext>
              </c:extLst>
            </c:dLbl>
            <c:dLbl>
              <c:idx val="1"/>
              <c:layout>
                <c:manualLayout>
                  <c:x val="-1.937677280306684E-3"/>
                  <c:y val="4.809796330584077E-2"/>
                </c:manualLayout>
              </c:layout>
              <c:tx>
                <c:rich>
                  <a:bodyPr/>
                  <a:lstStyle/>
                  <a:p>
                    <a:fld id="{D3CE240F-22F1-4121-AAA1-77F9857A7CF2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B08-45BB-9D43-277433B518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A32028D-C4A0-4463-956F-C47B8E99D227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B08-45BB-9D43-277433B518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096B52-0730-4039-91F4-9522B0DC9261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B08-45BB-9D43-277433B518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9EF2AC2-3842-449F-81F1-50DF15C8A478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B08-45BB-9D43-277433B518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65E47D8-7FBC-454A-A0CF-D8015E5AE657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B08-45BB-9D43-277433B518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BE915A0-D7FB-4716-A0C6-1362B1008C49}" type="CELLRANGE">
                      <a:rPr lang="ru-RU"/>
                      <a:pPr/>
                      <a:t>[ДИАПАЗОН ЯЧЕЕК]</a:t>
                    </a:fld>
                    <a:endParaRPr lang="ru-RU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B08-45BB-9D43-277433B51848}"/>
                </c:ext>
              </c:extLst>
            </c:dLbl>
            <c:spPr>
              <a:noFill/>
              <a:ln>
                <a:noFill/>
              </a:ln>
              <a:effectLst/>
            </c:sp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Calculation!$L$36:$L$42</c:f>
              <c:numCache>
                <c:formatCode>0.00</c:formatCode>
                <c:ptCount val="7"/>
                <c:pt idx="0">
                  <c:v>0.4414180168707123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Calculation!$K$36:$K$42</c:f>
              <c:numCache>
                <c:formatCode>0.00</c:formatCode>
                <c:ptCount val="7"/>
                <c:pt idx="0">
                  <c:v>15.09522411723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Calculation!$J$36:$J$42</c15:f>
                <c15:dlblRangeCache>
                  <c:ptCount val="7"/>
                  <c:pt idx="0">
                    <c:v>Аэрофлот, П01-БО-01</c:v>
                  </c:pt>
                  <c:pt idx="1">
                    <c:v>#ЗНАЧ!</c:v>
                  </c:pt>
                  <c:pt idx="2">
                    <c:v>#ЗНАЧ!</c:v>
                  </c:pt>
                  <c:pt idx="3">
                    <c:v>#ЗНАЧ!</c:v>
                  </c:pt>
                  <c:pt idx="4">
                    <c:v>#ЗНАЧ!</c:v>
                  </c:pt>
                  <c:pt idx="5">
                    <c:v>#ЗНАЧ!</c:v>
                  </c:pt>
                  <c:pt idx="6">
                    <c:v>#ЗНАЧ!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7B08-45BB-9D43-277433B518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279224"/>
        <c:axId val="597274912"/>
        <c:extLst/>
      </c:scatterChart>
      <c:valAx>
        <c:axId val="597279224"/>
        <c:scaling>
          <c:orientation val="minMax"/>
          <c:max val="0.8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 sz="8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Дюрация, лет.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97274912"/>
        <c:crosses val="autoZero"/>
        <c:crossBetween val="midCat"/>
      </c:valAx>
      <c:valAx>
        <c:axId val="597274912"/>
        <c:scaling>
          <c:orientation val="minMax"/>
          <c:max val="16"/>
          <c:min val="1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800">
                    <a:solidFill>
                      <a:sysClr val="windowText" lastClr="000000"/>
                    </a:solidFill>
                  </a:rPr>
                  <a:t>Доходность к</a:t>
                </a:r>
                <a:r>
                  <a:rPr lang="ru-RU" sz="800" baseline="0">
                    <a:solidFill>
                      <a:sysClr val="windowText" lastClr="000000"/>
                    </a:solidFill>
                  </a:rPr>
                  <a:t> оферте/погашению, %</a:t>
                </a:r>
                <a:endParaRPr lang="ru-RU" sz="800">
                  <a:solidFill>
                    <a:sysClr val="windowText" lastClr="000000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97279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F7F2E5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layout>
        <c:manualLayout>
          <c:xMode val="edge"/>
          <c:yMode val="edge"/>
          <c:x val="0.48876436628474995"/>
          <c:y val="9.48678899271029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8184362854361847E-2"/>
          <c:y val="0.46667348352102922"/>
          <c:w val="0.92058119821014139"/>
          <c:h val="0.23757790967358114"/>
        </c:manualLayout>
      </c:layout>
      <c:scatterChart>
        <c:scatterStyle val="lineMarker"/>
        <c:varyColors val="0"/>
        <c:ser>
          <c:idx val="0"/>
          <c:order val="0"/>
          <c:tx>
            <c:v>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4"/>
            <c:spPr>
              <a:solidFill>
                <a:schemeClr val="bg1">
                  <a:lumMod val="50000"/>
                </a:schemeClr>
              </a:solidFill>
              <a:ln w="9525">
                <a:noFill/>
                <a:round/>
              </a:ln>
              <a:effectLst/>
              <a:scene3d>
                <a:camera prst="orthographicFront"/>
                <a:lightRig rig="threePt" dir="t"/>
              </a:scene3d>
              <a:sp3d/>
            </c:spPr>
          </c:marker>
          <c:dPt>
            <c:idx val="5"/>
            <c:marker>
              <c:symbol val="circle"/>
              <c:size val="24"/>
              <c:spPr>
                <a:solidFill>
                  <a:srgbClr val="C00000"/>
                </a:solidFill>
                <a:ln w="9525">
                  <a:noFill/>
                  <a:round/>
                </a:ln>
                <a:effectLst/>
                <a:scene3d>
                  <a:camera prst="orthographicFront"/>
                  <a:lightRig rig="threePt" dir="t"/>
                </a:scene3d>
                <a:sp3d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6AC2-47E0-8DD5-6C6A7FCF271F}"/>
              </c:ext>
            </c:extLst>
          </c:dPt>
          <c:dLbls>
            <c:dLbl>
              <c:idx val="0"/>
              <c:layout>
                <c:manualLayout>
                  <c:x val="-0.12900597596513436"/>
                  <c:y val="-0.34393670796610976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700" b="1" i="0" u="none" strike="noStrike" kern="1200" baseline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ru-RU"/>
                      <a:t>Индекс гос. облигаций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770715024258332"/>
                      <c:h val="0.2673500391703541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02F-419E-86F9-0793E341AAE2}"/>
                </c:ext>
              </c:extLst>
            </c:dLbl>
            <c:dLbl>
              <c:idx val="1"/>
              <c:layout>
                <c:manualLayout>
                  <c:x val="8.9729200274805979E-2"/>
                  <c:y val="-0.35956753218965148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0">
                    <a:noAutofit/>
                  </a:bodyPr>
                  <a:lstStyle/>
                  <a:p>
                    <a:pPr marL="0" marR="0" lvl="0" indent="0" algn="ctr" defTabSz="914400" rtl="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 sz="700" b="1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ru-RU" sz="700" b="1" i="0" u="none" strike="noStrike" kern="1200" baseline="0">
                        <a:solidFill>
                          <a:sysClr val="windowText" lastClr="000000"/>
                        </a:solidFill>
                      </a:rPr>
                      <a:t>Индекс корп. облигаций (</a:t>
                    </a:r>
                    <a:r>
                      <a:rPr lang="en-US" sz="700" b="1" i="0" u="none" strike="noStrike" kern="1200" baseline="0">
                        <a:solidFill>
                          <a:sysClr val="windowText" lastClr="000000"/>
                        </a:solidFill>
                      </a:rPr>
                      <a:t>AA)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marL="0" marR="0" lvl="0" indent="0" algn="ctr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 sz="7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888984331504014"/>
                      <c:h val="0.2794709060910601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6AC2-47E0-8DD5-6C6A7FCF271F}"/>
                </c:ext>
              </c:extLst>
            </c:dLbl>
            <c:dLbl>
              <c:idx val="2"/>
              <c:layout>
                <c:manualLayout>
                  <c:x val="-0.1423727612980473"/>
                  <c:y val="-0.34796918855646874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0">
                    <a:noAutofit/>
                  </a:bodyPr>
                  <a:lstStyle/>
                  <a:p>
                    <a:pPr marL="0" marR="0" lvl="0" indent="0" algn="ctr" defTabSz="914400" rtl="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 sz="700" b="1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ru-RU" sz="700" b="1" i="0" u="none" strike="noStrike" kern="1200" baseline="0">
                        <a:solidFill>
                          <a:sysClr val="windowText" lastClr="000000"/>
                        </a:solidFill>
                      </a:rPr>
                      <a:t>Индекс корп. облигаций (</a:t>
                    </a:r>
                    <a:r>
                      <a:rPr lang="en-US" sz="700" b="1" i="0" u="none" strike="noStrike" kern="1200" baseline="0">
                        <a:solidFill>
                          <a:sysClr val="windowText" lastClr="000000"/>
                        </a:solidFill>
                      </a:rPr>
                      <a:t>AAA)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marL="0" marR="0" lvl="0" indent="0" algn="ctr" defTabSz="914400" rtl="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 sz="7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253543307086615"/>
                      <c:h val="0.2673500391703541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02F-419E-86F9-0793E341AAE2}"/>
                </c:ext>
              </c:extLst>
            </c:dLbl>
            <c:dLbl>
              <c:idx val="3"/>
              <c:layout>
                <c:manualLayout>
                  <c:x val="-4.5049606756207131E-2"/>
                  <c:y val="-0.3285004884481291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700" b="1" i="0" u="none" strike="noStrike" kern="1200" baseline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ru-RU"/>
                      <a:t>Индекс</a:t>
                    </a:r>
                    <a:r>
                      <a:rPr lang="ru-RU" baseline="0"/>
                      <a:t> корп. облигаций (</a:t>
                    </a:r>
                    <a:r>
                      <a:rPr lang="en-US" baseline="0"/>
                      <a:t>A)</a:t>
                    </a: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794527956732682"/>
                      <c:h val="0.276316735498798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02F-419E-86F9-0793E341AAE2}"/>
                </c:ext>
              </c:extLst>
            </c:dLbl>
            <c:dLbl>
              <c:idx val="4"/>
              <c:layout>
                <c:manualLayout>
                  <c:x val="-4.7073787860092649E-2"/>
                  <c:y val="-0.33483143456586206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700" b="1" i="0" u="none" strike="noStrike" kern="1200" baseline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ru-RU"/>
                      <a:t>Индекс корп.</a:t>
                    </a:r>
                    <a:r>
                      <a:rPr lang="ru-RU" baseline="0"/>
                      <a:t> облигаций (</a:t>
                    </a:r>
                    <a:r>
                      <a:rPr lang="en-US" baseline="0"/>
                      <a:t>BBB)</a:t>
                    </a: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870707070707069"/>
                      <c:h val="0.2910670116521298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502F-419E-86F9-0793E341AAE2}"/>
                </c:ext>
              </c:extLst>
            </c:dLbl>
            <c:dLbl>
              <c:idx val="5"/>
              <c:layout>
                <c:manualLayout>
                  <c:x val="-1.5753591596175259E-2"/>
                  <c:y val="-0.35442841887065368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700" b="1" i="0" u="none" strike="noStrike" kern="1200" baseline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ru-RU"/>
                      <a:t>Оцениваемая</a:t>
                    </a:r>
                    <a:r>
                      <a:rPr lang="ru-RU" baseline="0"/>
                      <a:t> облигация</a:t>
                    </a:r>
                    <a:endParaRPr lang="ru-RU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704806708440968"/>
                      <c:h val="0.2570827265615300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6AC2-47E0-8DD5-6C6A7FCF27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Template!$W$1:$AB$1</c:f>
              <c:numCache>
                <c:formatCode>0.00%</c:formatCode>
                <c:ptCount val="6"/>
                <c:pt idx="0">
                  <c:v>0.12920000000000001</c:v>
                </c:pt>
                <c:pt idx="1">
                  <c:v>0.1671</c:v>
                </c:pt>
                <c:pt idx="2">
                  <c:v>0.15210000000000001</c:v>
                </c:pt>
                <c:pt idx="3">
                  <c:v>0.21440000000000001</c:v>
                </c:pt>
                <c:pt idx="4">
                  <c:v>0.2555</c:v>
                </c:pt>
                <c:pt idx="5">
                  <c:v>0.15095224117229999</c:v>
                </c:pt>
              </c:numCache>
            </c:numRef>
          </c:xVal>
          <c:yVal>
            <c:numRef>
              <c:f>Template!$W$4:$AB$4</c:f>
              <c:numCache>
                <c:formatCode>General</c:formatCode>
                <c:ptCount val="6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AC2-47E0-8DD5-6C6A7FCF271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597274520"/>
        <c:axId val="597273736"/>
      </c:scatterChart>
      <c:valAx>
        <c:axId val="597274520"/>
        <c:scaling>
          <c:orientation val="minMax"/>
          <c:max val="0.27"/>
          <c:min val="0.12"/>
        </c:scaling>
        <c:delete val="0"/>
        <c:axPos val="b"/>
        <c:numFmt formatCode="0.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cap="all" spc="120" normalizeH="0" baseline="0">
                <a:solidFill>
                  <a:schemeClr val="tx1"/>
                </a:solidFill>
                <a:latin typeface="+mn-lt"/>
                <a:ea typeface="+mn-ea"/>
                <a:cs typeface="Aharoni" panose="02010803020104030203" pitchFamily="2" charset="-79"/>
              </a:defRPr>
            </a:pPr>
            <a:endParaRPr lang="ru-RU"/>
          </a:p>
        </c:txPr>
        <c:crossAx val="597273736"/>
        <c:crosses val="autoZero"/>
        <c:crossBetween val="midCat"/>
        <c:majorUnit val="1.0000000000000002E-2"/>
      </c:valAx>
      <c:valAx>
        <c:axId val="597273736"/>
        <c:scaling>
          <c:orientation val="minMax"/>
          <c:min val="0.8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597274520"/>
        <c:crosses val="autoZero"/>
        <c:crossBetween val="midCat"/>
      </c:valAx>
      <c:spPr>
        <a:gradFill flip="none" rotWithShape="1">
          <a:gsLst>
            <a:gs pos="0">
              <a:srgbClr val="DFCA95"/>
            </a:gs>
            <a:gs pos="100000">
              <a:srgbClr val="F7F2E5"/>
            </a:gs>
          </a:gsLst>
          <a:path path="circle">
            <a:fillToRect l="100000" t="100000"/>
          </a:path>
          <a:tileRect r="-100000" b="-100000"/>
        </a:gradFill>
        <a:ln>
          <a:gradFill flip="none" rotWithShape="1">
            <a:gsLst>
              <a:gs pos="13271">
                <a:srgbClr val="EBF3FA"/>
              </a:gs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8100000" scaled="1"/>
            <a:tileRect/>
          </a:gradFill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61</xdr:row>
      <xdr:rowOff>180417</xdr:rowOff>
    </xdr:from>
    <xdr:to>
      <xdr:col>6</xdr:col>
      <xdr:colOff>27179</xdr:colOff>
      <xdr:row>73</xdr:row>
      <xdr:rowOff>200026</xdr:rowOff>
    </xdr:to>
    <xdr:graphicFrame macro="">
      <xdr:nvGraphicFramePr>
        <xdr:cNvPr id="12" name="Chart 2">
          <a:extLst>
            <a:ext uri="{FF2B5EF4-FFF2-40B4-BE49-F238E27FC236}">
              <a16:creationId xmlns:a16="http://schemas.microsoft.com/office/drawing/2014/main" id="{00000000-0008-0000-0000-00000D000000}"/>
            </a:ext>
            <a:ext uri="{C183D7F6-B498-43B3-948B-1728B52AA6E4}">
              <adec:decorative xmlns="" xmlns:adec="http://schemas.microsoft.com/office/drawing/2017/decorative" val="1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571500</xdr:colOff>
          <xdr:row>6</xdr:row>
          <xdr:rowOff>220980</xdr:rowOff>
        </xdr:from>
        <xdr:to>
          <xdr:col>19</xdr:col>
          <xdr:colOff>137160</xdr:colOff>
          <xdr:row>8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Macro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44</xdr:row>
      <xdr:rowOff>0</xdr:rowOff>
    </xdr:from>
    <xdr:to>
      <xdr:col>6</xdr:col>
      <xdr:colOff>25976</xdr:colOff>
      <xdr:row>57</xdr:row>
      <xdr:rowOff>0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308E3A0-161B-48DF-B109-B3B0F4E31AB9}"/>
            </a:ext>
            <a:ext uri="{C183D7F6-B498-43B3-948B-1728B52AA6E4}">
              <adec:decorative xmlns="" xmlns:adec="http://schemas.microsoft.com/office/drawing/2017/decorative" val="1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85</xdr:row>
      <xdr:rowOff>0</xdr:rowOff>
    </xdr:from>
    <xdr:to>
      <xdr:col>6</xdr:col>
      <xdr:colOff>8659</xdr:colOff>
      <xdr:row>97</xdr:row>
      <xdr:rowOff>181840</xdr:rowOff>
    </xdr:to>
    <xdr:graphicFrame macro="">
      <xdr:nvGraphicFramePr>
        <xdr:cNvPr id="25" name="Chart 4">
          <a:extLst>
            <a:ext uri="{FF2B5EF4-FFF2-40B4-BE49-F238E27FC236}">
              <a16:creationId xmlns:a16="http://schemas.microsoft.com/office/drawing/2014/main" id="{F97CDF63-E804-41B0-B3F8-BE10628E4F37}"/>
            </a:ext>
            <a:ext uri="{C183D7F6-B498-43B3-948B-1728B52AA6E4}">
              <adec:decorative xmlns="" xmlns:adec="http://schemas.microsoft.com/office/drawing/2017/decorative" val="1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78</xdr:row>
      <xdr:rowOff>28575</xdr:rowOff>
    </xdr:from>
    <xdr:to>
      <xdr:col>6</xdr:col>
      <xdr:colOff>19050</xdr:colOff>
      <xdr:row>83</xdr:row>
      <xdr:rowOff>147038</xdr:rowOff>
    </xdr:to>
    <xdr:graphicFrame macro="">
      <xdr:nvGraphicFramePr>
        <xdr:cNvPr id="26" name="Chart 3">
          <a:extLst>
            <a:ext uri="{FF2B5EF4-FFF2-40B4-BE49-F238E27FC236}">
              <a16:creationId xmlns:a16="http://schemas.microsoft.com/office/drawing/2014/main" id="{26CDA746-3C9A-4953-8E7E-63C0A03C17BC}"/>
            </a:ext>
            <a:ext uri="{C183D7F6-B498-43B3-948B-1728B52AA6E4}">
              <adec:decorative xmlns="" xmlns:adec="http://schemas.microsoft.com/office/drawing/2017/decorative" val="1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571500</xdr:colOff>
          <xdr:row>3</xdr:row>
          <xdr:rowOff>160020</xdr:rowOff>
        </xdr:from>
        <xdr:to>
          <xdr:col>19</xdr:col>
          <xdr:colOff>175260</xdr:colOff>
          <xdr:row>5</xdr:row>
          <xdr:rowOff>137160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axes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160020</xdr:rowOff>
        </xdr:from>
        <xdr:to>
          <xdr:col>19</xdr:col>
          <xdr:colOff>152400</xdr:colOff>
          <xdr:row>2</xdr:row>
          <xdr:rowOff>304800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Bonds_out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-0.499984740745262"/>
  </sheetPr>
  <dimension ref="A1:FF2064"/>
  <sheetViews>
    <sheetView zoomScaleNormal="100" workbookViewId="0">
      <selection activeCell="B3" sqref="B3"/>
    </sheetView>
  </sheetViews>
  <sheetFormatPr defaultRowHeight="14.4" x14ac:dyDescent="0.3"/>
  <cols>
    <col min="1" max="1" width="17" bestFit="1" customWidth="1"/>
    <col min="2" max="2" width="15.109375" bestFit="1" customWidth="1"/>
    <col min="4" max="4" width="24" style="1" bestFit="1" customWidth="1"/>
    <col min="5" max="6" width="20.33203125" customWidth="1"/>
    <col min="7" max="7" width="24.5546875" customWidth="1"/>
    <col min="9" max="9" width="18.33203125" bestFit="1" customWidth="1"/>
    <col min="10" max="10" width="21" bestFit="1" customWidth="1"/>
    <col min="11" max="11" width="22.109375" customWidth="1"/>
    <col min="12" max="12" width="20.88671875" bestFit="1" customWidth="1"/>
    <col min="13" max="13" width="21" customWidth="1"/>
    <col min="14" max="14" width="23.109375" customWidth="1"/>
    <col min="15" max="15" width="19.109375" bestFit="1" customWidth="1"/>
    <col min="16" max="16" width="19" customWidth="1"/>
    <col min="17" max="17" width="14.44140625" customWidth="1"/>
    <col min="18" max="18" width="14.5546875" customWidth="1"/>
    <col min="19" max="19" width="16.44140625" bestFit="1" customWidth="1"/>
    <col min="20" max="20" width="14.109375" bestFit="1" customWidth="1"/>
    <col min="21" max="21" width="9" customWidth="1"/>
    <col min="22" max="22" width="30.44140625" bestFit="1" customWidth="1"/>
    <col min="23" max="23" width="21.6640625" bestFit="1" customWidth="1"/>
    <col min="24" max="24" width="7.33203125" bestFit="1" customWidth="1"/>
    <col min="25" max="25" width="12.109375" bestFit="1" customWidth="1"/>
    <col min="26" max="26" width="13.33203125" bestFit="1" customWidth="1"/>
    <col min="27" max="27" width="13.88671875" bestFit="1" customWidth="1"/>
    <col min="28" max="28" width="10.6640625" bestFit="1" customWidth="1"/>
    <col min="30" max="30" width="30.44140625" bestFit="1" customWidth="1"/>
    <col min="31" max="31" width="21.6640625" bestFit="1" customWidth="1"/>
    <col min="32" max="32" width="7.33203125" bestFit="1" customWidth="1"/>
    <col min="33" max="33" width="12.109375" bestFit="1" customWidth="1"/>
    <col min="34" max="34" width="13.33203125" bestFit="1" customWidth="1"/>
    <col min="35" max="35" width="13.88671875" bestFit="1" customWidth="1"/>
    <col min="36" max="36" width="10.6640625" bestFit="1" customWidth="1"/>
    <col min="38" max="38" width="30.44140625" bestFit="1" customWidth="1"/>
    <col min="39" max="39" width="21.6640625" bestFit="1" customWidth="1"/>
    <col min="40" max="40" width="7.33203125" bestFit="1" customWidth="1"/>
    <col min="41" max="41" width="12.109375" bestFit="1" customWidth="1"/>
    <col min="42" max="42" width="13.33203125" bestFit="1" customWidth="1"/>
    <col min="43" max="43" width="10.6640625" bestFit="1" customWidth="1"/>
    <col min="44" max="44" width="6" bestFit="1" customWidth="1"/>
    <col min="46" max="46" width="30.44140625" bestFit="1" customWidth="1"/>
    <col min="47" max="47" width="21.6640625" bestFit="1" customWidth="1"/>
    <col min="48" max="48" width="7.33203125" bestFit="1" customWidth="1"/>
    <col min="49" max="49" width="12.109375" bestFit="1" customWidth="1"/>
    <col min="50" max="50" width="17.6640625" customWidth="1"/>
    <col min="51" max="51" width="16.88671875" customWidth="1"/>
    <col min="52" max="52" width="15.88671875" customWidth="1"/>
    <col min="54" max="54" width="15.88671875" customWidth="1"/>
    <col min="55" max="55" width="19.109375" bestFit="1" customWidth="1"/>
    <col min="56" max="56" width="10.109375" customWidth="1"/>
    <col min="57" max="57" width="15.6640625" customWidth="1"/>
    <col min="58" max="59" width="14.109375" customWidth="1"/>
    <col min="60" max="60" width="13.6640625" customWidth="1"/>
    <col min="62" max="62" width="17.5546875" bestFit="1" customWidth="1"/>
    <col min="63" max="63" width="19.109375" bestFit="1" customWidth="1"/>
    <col min="64" max="64" width="9.109375" customWidth="1"/>
    <col min="65" max="65" width="16" customWidth="1"/>
    <col min="66" max="66" width="16.88671875" customWidth="1"/>
    <col min="67" max="67" width="14.6640625" customWidth="1"/>
    <col min="68" max="68" width="13.109375" customWidth="1"/>
    <col min="71" max="71" width="25.6640625" customWidth="1"/>
    <col min="72" max="72" width="17.6640625" customWidth="1"/>
    <col min="73" max="73" width="16.109375" customWidth="1"/>
    <col min="74" max="74" width="15.6640625" customWidth="1"/>
    <col min="78" max="78" width="75.44140625" customWidth="1"/>
    <col min="79" max="79" width="15.44140625" customWidth="1"/>
    <col min="80" max="80" width="7.88671875" customWidth="1"/>
    <col min="81" max="81" width="12.44140625" customWidth="1"/>
    <col min="83" max="83" width="15.109375" style="19" bestFit="1" customWidth="1"/>
    <col min="84" max="84" width="10.109375" style="19" customWidth="1"/>
    <col min="85" max="85" width="15.44140625" style="19" bestFit="1" customWidth="1"/>
    <col min="86" max="86" width="13.33203125" style="19" bestFit="1" customWidth="1"/>
    <col min="87" max="87" width="15.88671875" style="19" bestFit="1" customWidth="1"/>
    <col min="88" max="88" width="15.88671875" style="19" customWidth="1"/>
    <col min="89" max="89" width="9.88671875" style="19" bestFit="1" customWidth="1"/>
    <col min="90" max="90" width="35.109375" style="19" bestFit="1" customWidth="1"/>
    <col min="92" max="92" width="11" bestFit="1" customWidth="1"/>
    <col min="93" max="93" width="8" bestFit="1" customWidth="1"/>
    <col min="94" max="94" width="3" bestFit="1" customWidth="1"/>
    <col min="95" max="96" width="10.109375" bestFit="1" customWidth="1"/>
    <col min="98" max="98" width="10.109375" bestFit="1" customWidth="1"/>
    <col min="101" max="101" width="10.109375" bestFit="1" customWidth="1"/>
    <col min="103" max="105" width="10.109375" bestFit="1" customWidth="1"/>
    <col min="130" max="130" width="8.88671875" customWidth="1"/>
    <col min="132" max="132" width="10.109375" bestFit="1" customWidth="1"/>
    <col min="136" max="136" width="10.109375" bestFit="1" customWidth="1"/>
    <col min="137" max="137" width="15.33203125" bestFit="1" customWidth="1"/>
  </cols>
  <sheetData>
    <row r="1" spans="1:162" x14ac:dyDescent="0.3">
      <c r="A1" s="24" t="s">
        <v>1</v>
      </c>
      <c r="B1" s="114" t="s">
        <v>2044</v>
      </c>
      <c r="D1" s="24" t="s">
        <v>58</v>
      </c>
      <c r="E1" s="25" t="s">
        <v>600</v>
      </c>
      <c r="F1" s="25" t="s">
        <v>2011</v>
      </c>
      <c r="I1" s="89"/>
      <c r="J1" s="24" t="s">
        <v>1273</v>
      </c>
      <c r="K1" s="24" t="s">
        <v>1276</v>
      </c>
      <c r="M1" s="26"/>
      <c r="N1" s="24" t="s">
        <v>60</v>
      </c>
      <c r="O1" s="24" t="s">
        <v>61</v>
      </c>
      <c r="P1" s="24" t="s">
        <v>62</v>
      </c>
    </row>
    <row r="2" spans="1:162" ht="45" customHeight="1" x14ac:dyDescent="0.3">
      <c r="A2" s="24" t="s">
        <v>57</v>
      </c>
      <c r="B2" s="115">
        <v>46023</v>
      </c>
      <c r="D2" s="30">
        <f>B2</f>
        <v>46023</v>
      </c>
      <c r="E2" s="86" t="str">
        <f>_xll.CbondsClosePrice($B$1,D2,$B$27)</f>
        <v>Нет данных</v>
      </c>
      <c r="F2" s="131">
        <f>IF(IF(AND(E2="",D2=""),"",IF(AND(E2="Нет данных",D2&lt;&gt;""),F3,E2)) = 0,"",IF(AND(E2="",D2=""),"",IF(AND(E2="Нет данных",D2&lt;&gt;""),F3,E2)))</f>
        <v>97.46</v>
      </c>
      <c r="I2" s="24" t="s">
        <v>1275</v>
      </c>
      <c r="J2" s="118" t="str">
        <f>_xll.CbondsEmitentCountry(B1)</f>
        <v>Россия</v>
      </c>
      <c r="K2" s="118" t="str">
        <f>_xll.CbondsEmitentIndustry(B1)</f>
        <v>Воздушный транспорт</v>
      </c>
      <c r="M2" s="24" t="s">
        <v>3</v>
      </c>
      <c r="N2" s="117" t="str">
        <f>_xll.IssueOrgAndRoles(B1,M2,,,,N1:P1)</f>
        <v>Аэрофлот</v>
      </c>
      <c r="O2" s="121" t="s">
        <v>2045</v>
      </c>
      <c r="P2" s="118" t="s">
        <v>1420</v>
      </c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87"/>
      <c r="BX2" s="87"/>
      <c r="BY2" s="87"/>
      <c r="BZ2" s="87"/>
      <c r="CA2" s="87"/>
      <c r="CB2" s="87"/>
      <c r="CC2" s="87"/>
      <c r="CD2" s="87"/>
      <c r="CE2" s="150"/>
      <c r="CF2" s="150"/>
      <c r="CG2" s="150"/>
      <c r="CH2" s="150"/>
      <c r="CI2" s="150"/>
      <c r="CJ2" s="150"/>
      <c r="CK2" s="150"/>
      <c r="CL2" s="150"/>
      <c r="CM2" s="87"/>
      <c r="CN2" s="87"/>
      <c r="CO2" s="87"/>
      <c r="CP2" s="87"/>
      <c r="CQ2" s="87"/>
      <c r="CR2" s="87"/>
      <c r="CS2" s="87"/>
      <c r="CT2" s="87"/>
      <c r="CU2" s="87"/>
      <c r="CV2" s="87"/>
      <c r="CW2" s="87"/>
      <c r="CX2" s="87"/>
      <c r="CY2" s="87"/>
      <c r="CZ2" s="87"/>
      <c r="DA2" s="87"/>
      <c r="DB2" s="87"/>
      <c r="DC2" s="87"/>
      <c r="DD2" s="87"/>
      <c r="DE2" s="87"/>
      <c r="DF2" s="87"/>
      <c r="DG2" s="87"/>
      <c r="DH2" s="87"/>
      <c r="DI2" s="87"/>
      <c r="DJ2" s="87"/>
      <c r="DK2" s="87"/>
      <c r="DL2" s="87"/>
      <c r="DM2" s="87"/>
      <c r="DN2" s="87"/>
      <c r="DO2" s="87"/>
      <c r="DP2" s="87"/>
      <c r="DQ2" s="87"/>
      <c r="DR2" s="87"/>
      <c r="DS2" s="87"/>
      <c r="DT2" s="87"/>
      <c r="DU2" s="87"/>
      <c r="DV2" s="87"/>
      <c r="DW2" s="87"/>
      <c r="DX2" s="87"/>
      <c r="DY2" s="87"/>
      <c r="DZ2" s="87"/>
      <c r="EA2" s="87"/>
      <c r="EB2" s="87"/>
      <c r="EC2" s="87"/>
      <c r="ED2" s="87"/>
      <c r="EE2" s="87"/>
      <c r="EF2" s="87"/>
      <c r="EG2" s="87"/>
      <c r="EH2" s="87"/>
      <c r="EI2" s="87"/>
      <c r="EJ2" s="87"/>
      <c r="EK2" s="87"/>
      <c r="EL2" s="87"/>
      <c r="EM2" s="87"/>
      <c r="EN2" s="87"/>
      <c r="EO2" s="87"/>
      <c r="EP2" s="87"/>
      <c r="EQ2" s="87"/>
      <c r="ER2" s="87"/>
      <c r="ES2" s="87"/>
      <c r="ET2" s="87"/>
      <c r="EU2" s="87"/>
      <c r="EV2" s="87"/>
      <c r="EW2" s="87"/>
      <c r="EX2" s="87"/>
      <c r="EY2" s="87"/>
      <c r="EZ2" s="87"/>
      <c r="FA2" s="87"/>
      <c r="FB2" s="87"/>
      <c r="FC2" s="87"/>
      <c r="FD2" s="87"/>
      <c r="FE2" s="87"/>
      <c r="FF2" s="87"/>
    </row>
    <row r="3" spans="1:162" x14ac:dyDescent="0.3">
      <c r="A3" s="24" t="s">
        <v>56</v>
      </c>
      <c r="B3" s="152">
        <f>EDATE(B2,-12)</f>
        <v>45658</v>
      </c>
      <c r="D3" s="28">
        <f>D2-1</f>
        <v>46022</v>
      </c>
      <c r="E3" s="86" t="str">
        <f>_xll.CbondsClosePrice($B$1,D3,$B$27)</f>
        <v>Нет данных</v>
      </c>
      <c r="F3" s="131">
        <f t="shared" ref="F3:F66" si="0">IF(IF(AND(E3="",D3=""),"",IF(AND(E3="Нет данных",D3&lt;&gt;""),F4,E3)) = 0,"",IF(AND(E3="",D3=""),"",IF(AND(E3="Нет данных",D3&lt;&gt;""),F4,E3)))</f>
        <v>97.46</v>
      </c>
      <c r="I3" s="16"/>
    </row>
    <row r="4" spans="1:162" x14ac:dyDescent="0.3">
      <c r="D4" s="28">
        <f t="shared" ref="D4:D67" si="1">D3-1</f>
        <v>46021</v>
      </c>
      <c r="E4" s="86">
        <f>_xll.CbondsClosePrice($B$1,D4,$B$27)</f>
        <v>97.46</v>
      </c>
      <c r="F4" s="131">
        <f t="shared" si="0"/>
        <v>97.46</v>
      </c>
      <c r="I4" s="17" t="s">
        <v>66</v>
      </c>
      <c r="P4" s="19" t="s">
        <v>32</v>
      </c>
      <c r="R4" s="166" t="s">
        <v>2015</v>
      </c>
      <c r="S4" s="166"/>
      <c r="V4" s="17" t="s">
        <v>339</v>
      </c>
      <c r="AD4" s="17" t="s">
        <v>367</v>
      </c>
      <c r="AL4" s="17" t="s">
        <v>340</v>
      </c>
      <c r="AT4" s="17" t="s">
        <v>368</v>
      </c>
      <c r="BB4" s="17" t="s">
        <v>1249</v>
      </c>
      <c r="BI4" s="72"/>
      <c r="BJ4" s="106" t="s">
        <v>1250</v>
      </c>
      <c r="BZ4" s="107"/>
    </row>
    <row r="5" spans="1:162" x14ac:dyDescent="0.3">
      <c r="D5" s="28">
        <f t="shared" si="1"/>
        <v>46020</v>
      </c>
      <c r="E5" s="86">
        <f>_xll.CbondsClosePrice($B$1,D5,$B$27)</f>
        <v>97.23</v>
      </c>
      <c r="F5" s="131">
        <f t="shared" si="0"/>
        <v>97.23</v>
      </c>
      <c r="I5" s="29"/>
      <c r="J5" s="24" t="s">
        <v>68</v>
      </c>
      <c r="K5" s="24" t="s">
        <v>70</v>
      </c>
      <c r="L5" s="24" t="s">
        <v>600</v>
      </c>
      <c r="M5" s="98" t="str">
        <f>IF($B$10 = "", "YTM","YTP")</f>
        <v>YTM</v>
      </c>
      <c r="N5" s="98" t="str">
        <f>IF($B$10 = "", "DURATION to maturity","DURATION to put")</f>
        <v>DURATION to maturity</v>
      </c>
      <c r="O5" s="24" t="s">
        <v>71</v>
      </c>
      <c r="P5" s="24" t="s">
        <v>72</v>
      </c>
      <c r="Q5" s="24" t="s">
        <v>73</v>
      </c>
      <c r="R5" s="24" t="s">
        <v>1290</v>
      </c>
      <c r="S5" s="24" t="s">
        <v>2022</v>
      </c>
      <c r="T5" s="24" t="s">
        <v>2029</v>
      </c>
      <c r="V5" s="24" t="s">
        <v>338</v>
      </c>
      <c r="W5" s="33" t="str">
        <f>_xll.InstrumentRatings(B1,B2,"*",)</f>
        <v>Name</v>
      </c>
      <c r="X5" s="88" t="s">
        <v>5</v>
      </c>
      <c r="Y5" s="88" t="s">
        <v>6</v>
      </c>
      <c r="Z5" s="88" t="s">
        <v>7</v>
      </c>
      <c r="AA5" s="88" t="s">
        <v>8</v>
      </c>
      <c r="AB5" s="88" t="s">
        <v>9</v>
      </c>
      <c r="AD5" s="24" t="s">
        <v>338</v>
      </c>
      <c r="AE5" s="24" t="s">
        <v>369</v>
      </c>
      <c r="AF5" s="24" t="s">
        <v>5</v>
      </c>
      <c r="AG5" s="24" t="s">
        <v>6</v>
      </c>
      <c r="AH5" s="24" t="s">
        <v>7</v>
      </c>
      <c r="AI5" s="24" t="s">
        <v>8</v>
      </c>
      <c r="AJ5" s="24" t="s">
        <v>9</v>
      </c>
      <c r="AL5" s="24" t="s">
        <v>338</v>
      </c>
      <c r="AM5" s="33" t="str">
        <f>_xll.InstrumentRatings(B1,B2,,"*")</f>
        <v>Name</v>
      </c>
      <c r="AN5" s="88" t="s">
        <v>5</v>
      </c>
      <c r="AO5" s="88" t="s">
        <v>6</v>
      </c>
      <c r="AP5" s="88" t="s">
        <v>7</v>
      </c>
      <c r="AQ5" s="88" t="s">
        <v>8</v>
      </c>
      <c r="AR5" s="88" t="s">
        <v>9</v>
      </c>
      <c r="AT5" s="24" t="s">
        <v>338</v>
      </c>
      <c r="AU5" s="24" t="s">
        <v>369</v>
      </c>
      <c r="AV5" s="24" t="s">
        <v>5</v>
      </c>
      <c r="AW5" s="24" t="s">
        <v>6</v>
      </c>
      <c r="AX5" s="24" t="s">
        <v>7</v>
      </c>
      <c r="AY5" s="24" t="s">
        <v>8</v>
      </c>
      <c r="AZ5" s="24" t="s">
        <v>9</v>
      </c>
      <c r="BB5" s="24" t="s">
        <v>338</v>
      </c>
      <c r="BC5" s="33" t="str">
        <f>_xll.InstrumentRatings(B1,B2,,"*",4)</f>
        <v>Name</v>
      </c>
      <c r="BD5" s="88" t="s">
        <v>5</v>
      </c>
      <c r="BE5" s="88" t="s">
        <v>6</v>
      </c>
      <c r="BF5" s="88" t="s">
        <v>7</v>
      </c>
      <c r="BG5" s="88" t="s">
        <v>8</v>
      </c>
      <c r="BH5" s="88" t="s">
        <v>9</v>
      </c>
      <c r="BJ5" s="24" t="s">
        <v>338</v>
      </c>
      <c r="BK5" s="104" t="s">
        <v>369</v>
      </c>
      <c r="BL5" s="24" t="s">
        <v>5</v>
      </c>
      <c r="BM5" s="24" t="s">
        <v>6</v>
      </c>
      <c r="BN5" s="24" t="s">
        <v>7</v>
      </c>
      <c r="BO5" s="24" t="s">
        <v>8</v>
      </c>
      <c r="BP5" s="24" t="s">
        <v>9</v>
      </c>
      <c r="BS5" s="77" t="s">
        <v>75</v>
      </c>
      <c r="BZ5" s="107" t="s">
        <v>1255</v>
      </c>
    </row>
    <row r="6" spans="1:162" x14ac:dyDescent="0.3">
      <c r="A6" s="17" t="s">
        <v>348</v>
      </c>
      <c r="D6" s="28">
        <f t="shared" si="1"/>
        <v>46019</v>
      </c>
      <c r="E6" s="86" t="str">
        <f>_xll.CbondsClosePrice($B$1,D6,$B$27)</f>
        <v>Нет данных</v>
      </c>
      <c r="F6" s="131">
        <f t="shared" si="0"/>
        <v>97.2</v>
      </c>
      <c r="I6" s="29">
        <v>1</v>
      </c>
      <c r="J6" s="35">
        <f>$B$2</f>
        <v>46023</v>
      </c>
      <c r="K6" s="36">
        <f>VLOOKUP(J6,'Help Page'!A:C,3,0)</f>
        <v>46021</v>
      </c>
      <c r="L6" s="80">
        <f>IF(_xll.CbondsClosePrice($B$1,K6,$B$27) = "Нет данных","",_xll.CbondsClosePrice($B$1,K6,$B$27))</f>
        <v>97.46</v>
      </c>
      <c r="M6" s="163">
        <f>IFERROR(IF($M$5 = "YTM",_xll.CbondsCalcYTM($B$1,K6,L6),_xll.CbondsCalcYTP($B$1,K6,L6)),"")</f>
        <v>0.15095224117229999</v>
      </c>
      <c r="N6" s="84">
        <f>IFERROR(IF($N$5 = "DURATION to maturity",_xll.CbondsCalcDuration($B$1,K6,L6),_xll.CbondsCalcDurationToPutCall($B$1,K6,L6)),"")</f>
        <v>161.11757615780999</v>
      </c>
      <c r="O6" s="39">
        <f>IFERROR(N6/365,"")</f>
        <v>0.4414180168707123</v>
      </c>
      <c r="P6" s="41">
        <f>IFERROR(_xll.GCurve(K6,N6,$P$4)/100,"")</f>
        <v>0.12410746702999101</v>
      </c>
      <c r="Q6" s="39">
        <f>IFERROR((M6-P6)*10000,"")</f>
        <v>268.44774142308984</v>
      </c>
      <c r="R6" s="124">
        <f>IFERROR(M6*100,"")</f>
        <v>15.09522411723</v>
      </c>
      <c r="S6" s="124">
        <f>IFERROR(P6*100,"")</f>
        <v>12.4107467029991</v>
      </c>
      <c r="T6" s="35">
        <f>IF(J6 &gt;$B$7,J6,"")</f>
        <v>46023</v>
      </c>
      <c r="V6" s="26" t="str">
        <f>VLOOKUP(W6,'Help Page'!E:F,2,0)</f>
        <v>Expert RA</v>
      </c>
      <c r="W6" s="86" t="s">
        <v>10</v>
      </c>
      <c r="X6" s="86" t="s">
        <v>2046</v>
      </c>
      <c r="Y6" s="86"/>
      <c r="Z6" s="86" t="s">
        <v>1293</v>
      </c>
      <c r="AA6" s="35">
        <v>45961</v>
      </c>
      <c r="AB6" s="86"/>
      <c r="AD6" s="26" t="str">
        <f>VLOOKUP(AE6,'Help Page'!E:F,2,0)</f>
        <v>Expert RA</v>
      </c>
      <c r="AE6" s="26" t="str">
        <f>IF(X6&lt;&gt;"Снят",W6," ")</f>
        <v>EXP-Note-Nsc</v>
      </c>
      <c r="AF6" s="26" t="str">
        <f>IF(X6&lt;&gt;"Снят",X6," ")</f>
        <v>ruAA</v>
      </c>
      <c r="AG6" s="26"/>
      <c r="AH6" s="26" t="str">
        <f>IF(X6&lt;&gt;"Снят",Z6," ")</f>
        <v>Подтвержден</v>
      </c>
      <c r="AI6" s="35">
        <f>IF(X6&lt;&gt;"Снят",AA6," ")</f>
        <v>45961</v>
      </c>
      <c r="AJ6" s="26"/>
      <c r="AL6" s="26" t="str">
        <f>VLOOKUP(AM6,'Help Page'!E:F,2,0)</f>
        <v>Expert RA</v>
      </c>
      <c r="AM6" s="86" t="s">
        <v>18</v>
      </c>
      <c r="AN6" s="86" t="s">
        <v>2046</v>
      </c>
      <c r="AO6" s="86" t="s">
        <v>2026</v>
      </c>
      <c r="AP6" s="86" t="s">
        <v>1293</v>
      </c>
      <c r="AQ6" s="35">
        <v>45957</v>
      </c>
      <c r="AR6" s="86" t="s">
        <v>2048</v>
      </c>
      <c r="AT6" s="26" t="str">
        <f>VLOOKUP(AU6,'Help Page'!E:F,2,0)</f>
        <v>Expert RA</v>
      </c>
      <c r="AU6" s="26" t="str">
        <f>IF(AN6&lt;&gt;"Снят",AM6," ")</f>
        <v>EXP-C-Cr&amp;D-Nsc</v>
      </c>
      <c r="AV6" s="26" t="str">
        <f>IF(AN6&lt;&gt;"Снят",AN6," ")</f>
        <v>ruAA</v>
      </c>
      <c r="AW6" s="26" t="str">
        <f>IF(AN6&lt;&gt;"Снят",AO6," ")</f>
        <v>Стабильный</v>
      </c>
      <c r="AX6" s="26" t="str">
        <f>IF(AN6&lt;&gt;"Снят",AP6," ")</f>
        <v>Подтвержден</v>
      </c>
      <c r="AY6" s="35">
        <f>IF(AN6&lt;&gt;"Снят",AQ6," ")</f>
        <v>45957</v>
      </c>
      <c r="AZ6" s="26" t="str">
        <f>IF(AN6&lt;&gt;"Снят",AR6," ")</f>
        <v>Issuer</v>
      </c>
      <c r="BB6" s="26" t="e">
        <f>VLOOKUP(BC6,'Help Page'!E:F,2,0)</f>
        <v>#N/A</v>
      </c>
      <c r="BC6" s="86"/>
      <c r="BD6" s="86"/>
      <c r="BE6" s="86"/>
      <c r="BF6" s="86"/>
      <c r="BG6" s="86"/>
      <c r="BH6" s="86"/>
      <c r="BI6" s="87"/>
      <c r="BJ6" s="26" t="e">
        <f>VLOOKUP(BK6,'Help Page'!E:F,2,0)</f>
        <v>#N/A</v>
      </c>
      <c r="BK6" s="26">
        <f>IF(BD6&lt;&gt;"Снят",BC6," ")</f>
        <v>0</v>
      </c>
      <c r="BL6" s="26">
        <f t="shared" ref="BL6:BL28" si="2">IF(BD6&lt;&gt;"Снят",BD6," ")</f>
        <v>0</v>
      </c>
      <c r="BM6" s="26">
        <f t="shared" ref="BM6:BM28" si="3">IF(BD6&lt;&gt;"Снят",BE6," ")</f>
        <v>0</v>
      </c>
      <c r="BN6" s="26">
        <f t="shared" ref="BN6:BN28" si="4">IF(BD6&lt;&gt;"Снят",BF6," ")</f>
        <v>0</v>
      </c>
      <c r="BO6" s="35">
        <f t="shared" ref="BO6:BO28" si="5">IF(BD6&lt;&gt;"Снят",BG6," ")</f>
        <v>0</v>
      </c>
      <c r="BP6" s="26">
        <f t="shared" ref="BP6:BP28" si="6">IF(BD6&lt;&gt;"Снят",BH6," ")</f>
        <v>0</v>
      </c>
      <c r="BS6" s="24" t="s">
        <v>338</v>
      </c>
      <c r="BT6" s="24" t="s">
        <v>337</v>
      </c>
      <c r="BU6" s="24" t="s">
        <v>63</v>
      </c>
      <c r="BV6" s="24" t="s">
        <v>1415</v>
      </c>
      <c r="BZ6" s="24" t="s">
        <v>1252</v>
      </c>
      <c r="CA6" s="24" t="s">
        <v>1254</v>
      </c>
      <c r="CB6" s="24" t="s">
        <v>1253</v>
      </c>
      <c r="CC6" s="24" t="s">
        <v>362</v>
      </c>
      <c r="CE6" s="24" t="s">
        <v>1744</v>
      </c>
      <c r="CF6" s="26"/>
      <c r="CG6" s="24" t="s">
        <v>1</v>
      </c>
      <c r="CH6" s="24" t="s">
        <v>1603</v>
      </c>
      <c r="CI6" s="24" t="s">
        <v>2027</v>
      </c>
      <c r="CJ6" s="24" t="s">
        <v>1448</v>
      </c>
      <c r="CK6" s="24" t="s">
        <v>2024</v>
      </c>
      <c r="CL6" s="24" t="s">
        <v>2025</v>
      </c>
      <c r="CM6" s="1"/>
      <c r="CN6" s="1"/>
      <c r="CP6" s="1"/>
      <c r="CR6" s="1"/>
      <c r="CS6" s="1"/>
      <c r="CT6" s="1"/>
      <c r="CU6" s="1"/>
      <c r="CV6" s="1"/>
      <c r="CW6" s="1"/>
      <c r="CY6" s="1"/>
      <c r="CZ6" s="1"/>
      <c r="DA6" s="1"/>
      <c r="DB6" s="1"/>
      <c r="DC6" s="1"/>
      <c r="DD6" s="1"/>
      <c r="DF6" s="1"/>
      <c r="DG6" s="1"/>
      <c r="DH6" s="1"/>
      <c r="DJ6" s="1"/>
      <c r="DL6" s="1"/>
      <c r="EB6" s="1"/>
      <c r="EC6" s="1"/>
      <c r="EF6" s="1"/>
      <c r="EG6" s="149"/>
    </row>
    <row r="7" spans="1:162" x14ac:dyDescent="0.3">
      <c r="A7" s="24" t="s">
        <v>1186</v>
      </c>
      <c r="B7" s="40">
        <f>_xll.ReferenceParams($B$1,A7)</f>
        <v>44364</v>
      </c>
      <c r="D7" s="28">
        <f t="shared" si="1"/>
        <v>46018</v>
      </c>
      <c r="E7" s="86" t="str">
        <f>_xll.CbondsClosePrice($B$1,D7,$B$27)</f>
        <v>Нет данных</v>
      </c>
      <c r="F7" s="131">
        <f t="shared" si="0"/>
        <v>97.2</v>
      </c>
      <c r="I7" s="29">
        <v>2</v>
      </c>
      <c r="J7" s="35">
        <f>VLOOKUP(J6,'Help Page'!A:B,2,0)</f>
        <v>45992</v>
      </c>
      <c r="K7" s="36">
        <f>VLOOKUP(J7,'Help Page'!A:C,3,0)</f>
        <v>45989</v>
      </c>
      <c r="L7" s="80">
        <f>IF(_xll.CbondsClosePrice($B$1,K7,$B$27) = "Нет данных","",_xll.CbondsClosePrice($B$1,K7,$B$27))</f>
        <v>96.34</v>
      </c>
      <c r="M7" s="163">
        <f>IFERROR(IF($M$5 = "YTM",_xll.CbondsCalcYTM($B$1,K7,L7),_xll.CbondsCalcYTP($B$1,K7,L7)),"")</f>
        <v>0.16554563790716001</v>
      </c>
      <c r="N7" s="84">
        <f>IFERROR(IF($N$5 = "DURATION to maturity",_xll.CbondsCalcDuration($B$1,K7,L7),_xll.CbondsCalcDurationToPutCall($B$1,K7,L7)),"")</f>
        <v>189.31094986879</v>
      </c>
      <c r="O7" s="39">
        <f t="shared" ref="O7:O18" si="7">IFERROR(N7/365,"")</f>
        <v>0.51866013662682198</v>
      </c>
      <c r="P7" s="41">
        <f>IFERROR(_xll.GCurve(K7,N7,$P$4)/100,"")</f>
        <v>0.135697844922466</v>
      </c>
      <c r="Q7" s="39">
        <f t="shared" ref="Q7:Q18" si="8">IFERROR((M7-P7)*10000,"")</f>
        <v>298.47792984694007</v>
      </c>
      <c r="R7" s="124">
        <f t="shared" ref="R7:R18" si="9">IFERROR(M7*100,"")</f>
        <v>16.554563790715999</v>
      </c>
      <c r="S7" s="124">
        <f t="shared" ref="S7:S18" si="10">IFERROR(P7*100,"")</f>
        <v>13.569784492246601</v>
      </c>
      <c r="T7" s="35">
        <f t="shared" ref="T7:T18" si="11">IF(J7 &gt;$B$7,J7,"")</f>
        <v>45992</v>
      </c>
      <c r="V7" s="26" t="str">
        <f>VLOOKUP(W7,'Help Page'!E:F,2,0)</f>
        <v>AKRA</v>
      </c>
      <c r="W7" s="86" t="s">
        <v>92</v>
      </c>
      <c r="X7" s="86" t="s">
        <v>2047</v>
      </c>
      <c r="Y7" s="86"/>
      <c r="Z7" s="86" t="s">
        <v>1293</v>
      </c>
      <c r="AA7" s="35">
        <v>45831</v>
      </c>
      <c r="AB7" s="86"/>
      <c r="AD7" s="26" t="str">
        <f>VLOOKUP(AE7,'Help Page'!E:F,2,0)</f>
        <v>AKRA</v>
      </c>
      <c r="AE7" s="26" t="str">
        <f t="shared" ref="AE7:AE28" si="12">IF(X7&lt;&gt;"Снят",W7," ")</f>
        <v>AKRA-Bnd-Nsc</v>
      </c>
      <c r="AF7" s="26" t="str">
        <f t="shared" ref="AF7:AF28" si="13">IF(X7&lt;&gt;"Снят",X7," ")</f>
        <v>AA(RU)</v>
      </c>
      <c r="AG7" s="26"/>
      <c r="AH7" s="26" t="str">
        <f t="shared" ref="AH7:AH28" si="14">IF(X7&lt;&gt;"Снят",Z7," ")</f>
        <v>Подтвержден</v>
      </c>
      <c r="AI7" s="35">
        <f t="shared" ref="AI7:AI28" si="15">IF(X7&lt;&gt;"Снят",AA7," ")</f>
        <v>45831</v>
      </c>
      <c r="AJ7" s="26"/>
      <c r="AL7" s="26" t="str">
        <f>VLOOKUP(AM7,'Help Page'!E:F,2,0)</f>
        <v>AK&amp;M</v>
      </c>
      <c r="AM7" s="86" t="s">
        <v>147</v>
      </c>
      <c r="AN7" s="86" t="s">
        <v>2041</v>
      </c>
      <c r="AO7" s="86"/>
      <c r="AP7" s="86" t="s">
        <v>2042</v>
      </c>
      <c r="AQ7" s="35">
        <v>40464</v>
      </c>
      <c r="AR7" s="86" t="s">
        <v>2048</v>
      </c>
      <c r="AT7" s="26" t="e">
        <f>VLOOKUP(AU7,'Help Page'!E:F,2,0)</f>
        <v>#N/A</v>
      </c>
      <c r="AU7" s="26" t="str">
        <f t="shared" ref="AU7:AU28" si="16">IF(AN7&lt;&gt;"Снят",AM7," ")</f>
        <v xml:space="preserve"> </v>
      </c>
      <c r="AV7" s="26" t="str">
        <f t="shared" ref="AV7:AV28" si="17">IF(AN7&lt;&gt;"Снят",AN7," ")</f>
        <v xml:space="preserve"> </v>
      </c>
      <c r="AW7" s="26" t="str">
        <f t="shared" ref="AW7:AW28" si="18">IF(AN7&lt;&gt;"Снят",AO7," ")</f>
        <v xml:space="preserve"> </v>
      </c>
      <c r="AX7" s="26" t="str">
        <f t="shared" ref="AX7:AX28" si="19">IF(AN7&lt;&gt;"Снят",AP7," ")</f>
        <v xml:space="preserve"> </v>
      </c>
      <c r="AY7" s="35" t="str">
        <f t="shared" ref="AY7:AY28" si="20">IF(AN7&lt;&gt;"Снят",AQ7," ")</f>
        <v xml:space="preserve"> </v>
      </c>
      <c r="AZ7" s="26" t="str">
        <f t="shared" ref="AZ7:AZ28" si="21">IF(AN7&lt;&gt;"Снят",AR7," ")</f>
        <v xml:space="preserve"> </v>
      </c>
      <c r="BB7" s="26" t="e">
        <f>VLOOKUP(BC7,'Help Page'!E:F,2,0)</f>
        <v>#N/A</v>
      </c>
      <c r="BC7" s="86"/>
      <c r="BD7" s="86"/>
      <c r="BE7" s="86"/>
      <c r="BF7" s="86"/>
      <c r="BG7" s="86"/>
      <c r="BH7" s="86"/>
      <c r="BJ7" s="26" t="e">
        <f>VLOOKUP(BK7,'Help Page'!E:F,2,0)</f>
        <v>#N/A</v>
      </c>
      <c r="BK7" s="26">
        <f t="shared" ref="BK7:BK28" si="22">IF(BD7&lt;&gt;"Снят",BC7," ")</f>
        <v>0</v>
      </c>
      <c r="BL7" s="26">
        <f t="shared" si="2"/>
        <v>0</v>
      </c>
      <c r="BM7" s="26">
        <f t="shared" si="3"/>
        <v>0</v>
      </c>
      <c r="BN7" s="26">
        <f t="shared" si="4"/>
        <v>0</v>
      </c>
      <c r="BO7" s="35">
        <f t="shared" si="5"/>
        <v>0</v>
      </c>
      <c r="BP7" s="26">
        <f t="shared" si="6"/>
        <v>0</v>
      </c>
      <c r="BS7" s="26" t="s">
        <v>1322</v>
      </c>
      <c r="BT7" s="26" t="str">
        <f>IFERROR(IF(VLOOKUP(BS7,AD:AJ,7,0)="",VLOOKUP(BS7,AD:AJ,3,0),""),"")</f>
        <v>ruAA</v>
      </c>
      <c r="BU7" s="36">
        <f>IFERROR(IF(VLOOKUP(BS7,AD:AJ,7,0)="",VLOOKUP(BS7,AD:AJ,6,0),""),"")</f>
        <v>45961</v>
      </c>
      <c r="BV7" s="26" t="s">
        <v>28</v>
      </c>
      <c r="BZ7" s="108" t="s">
        <v>1256</v>
      </c>
      <c r="CA7" s="94" t="s">
        <v>1259</v>
      </c>
      <c r="CB7" s="94">
        <v>9201</v>
      </c>
      <c r="CC7" s="94">
        <f>_xll.CbondsIndexValue(CB7,$K$6)</f>
        <v>12.92</v>
      </c>
      <c r="CE7" s="26" t="str">
        <f>CONCATENATE(_xll.ReferenceParams($B$1,CE6),":INN")</f>
        <v>7712040126:INN</v>
      </c>
      <c r="CF7" s="26"/>
      <c r="CG7" s="26" t="s">
        <v>2057</v>
      </c>
      <c r="CH7" s="26" t="str">
        <f>_xll.ReferenceParams(CG7,$CH$6 )</f>
        <v>В обращении</v>
      </c>
      <c r="CI7" s="35" t="str">
        <f>_xll.ReferenceParams(CG7,$CI$6 )</f>
        <v/>
      </c>
      <c r="CJ7" s="35" t="str">
        <f>_xll.ReferenceParams(CG7,$CJ$6)</f>
        <v>Акция</v>
      </c>
      <c r="CK7" s="26">
        <f t="shared" ref="CK7:CK38" si="23">IF(CG7 = "","",IF(AND(CH7="В обращении",CI7&lt;=$B$2,CJ7 = "Облигация"),1,0))</f>
        <v>0</v>
      </c>
      <c r="CL7" s="151">
        <f>SUM(CK7:CK200)</f>
        <v>3</v>
      </c>
      <c r="DL7" s="1"/>
    </row>
    <row r="8" spans="1:162" x14ac:dyDescent="0.3">
      <c r="A8" s="24" t="s">
        <v>346</v>
      </c>
      <c r="B8" s="38">
        <f>_xll.ReferenceParams($B$1,A8)</f>
        <v>24650000000</v>
      </c>
      <c r="D8" s="28">
        <f t="shared" si="1"/>
        <v>46017</v>
      </c>
      <c r="E8" s="86">
        <f>_xll.CbondsClosePrice($B$1,D8,$B$27)</f>
        <v>97.2</v>
      </c>
      <c r="F8" s="131">
        <f t="shared" si="0"/>
        <v>97.2</v>
      </c>
      <c r="I8" s="29">
        <v>3</v>
      </c>
      <c r="J8" s="35">
        <f>VLOOKUP(J7,'Help Page'!A:B,2,0)</f>
        <v>45962</v>
      </c>
      <c r="K8" s="36">
        <f>VLOOKUP(J8,'Help Page'!A:C,3,0)</f>
        <v>45961</v>
      </c>
      <c r="L8" s="80">
        <f>IF(_xll.CbondsClosePrice($B$1,K8,$B$27) = "Нет данных","",_xll.CbondsClosePrice($B$1,K8,$B$27))</f>
        <v>95.62</v>
      </c>
      <c r="M8" s="163">
        <f>IFERROR(IF($M$5 = "YTM",_xll.CbondsCalcYTM($B$1,K8,L8),_xll.CbondsCalcYTP($B$1,K8,L8)),"")</f>
        <v>0.16987128281996999</v>
      </c>
      <c r="N8" s="84">
        <f>IFERROR(IF($N$5 = "DURATION to maturity",_xll.CbondsCalcDuration($B$1,K8,L8),_xll.CbondsCalcDurationToPutCall($B$1,K8,L8)),"")</f>
        <v>217.30247046628</v>
      </c>
      <c r="O8" s="39">
        <f t="shared" si="7"/>
        <v>0.59534923415419183</v>
      </c>
      <c r="P8" s="41">
        <f>IFERROR(_xll.GCurve(K8,N8,$P$4)/100,"")</f>
        <v>0.129165853212316</v>
      </c>
      <c r="Q8" s="39">
        <f t="shared" si="8"/>
        <v>407.05429607653997</v>
      </c>
      <c r="R8" s="124">
        <f t="shared" si="9"/>
        <v>16.987128281996998</v>
      </c>
      <c r="S8" s="124">
        <f t="shared" si="10"/>
        <v>12.916585321231599</v>
      </c>
      <c r="T8" s="35">
        <f t="shared" si="11"/>
        <v>45962</v>
      </c>
      <c r="V8" s="26" t="e">
        <f>VLOOKUP(W8,'Help Page'!E:F,2,0)</f>
        <v>#N/A</v>
      </c>
      <c r="W8" s="86"/>
      <c r="X8" s="86"/>
      <c r="Y8" s="86"/>
      <c r="Z8" s="86"/>
      <c r="AA8" s="86"/>
      <c r="AB8" s="86"/>
      <c r="AD8" s="26" t="e">
        <f>VLOOKUP(AE8,'Help Page'!E:F,2,0)</f>
        <v>#N/A</v>
      </c>
      <c r="AE8" s="26">
        <f t="shared" si="12"/>
        <v>0</v>
      </c>
      <c r="AF8" s="26">
        <f t="shared" si="13"/>
        <v>0</v>
      </c>
      <c r="AG8" s="26"/>
      <c r="AH8" s="26">
        <f t="shared" si="14"/>
        <v>0</v>
      </c>
      <c r="AI8" s="35">
        <f t="shared" si="15"/>
        <v>0</v>
      </c>
      <c r="AJ8" s="26"/>
      <c r="AL8" s="26" t="str">
        <f>VLOOKUP(AM8,'Help Page'!E:F,2,0)</f>
        <v>AKRA</v>
      </c>
      <c r="AM8" s="86" t="s">
        <v>158</v>
      </c>
      <c r="AN8" s="86" t="s">
        <v>2041</v>
      </c>
      <c r="AO8" s="86"/>
      <c r="AP8" s="86" t="s">
        <v>2042</v>
      </c>
      <c r="AQ8" s="35">
        <v>45839</v>
      </c>
      <c r="AR8" s="86" t="s">
        <v>2048</v>
      </c>
      <c r="AT8" s="26" t="e">
        <f>VLOOKUP(AU8,'Help Page'!E:F,2,0)</f>
        <v>#N/A</v>
      </c>
      <c r="AU8" s="26" t="str">
        <f t="shared" si="16"/>
        <v xml:space="preserve"> </v>
      </c>
      <c r="AV8" s="26" t="str">
        <f t="shared" si="17"/>
        <v xml:space="preserve"> </v>
      </c>
      <c r="AW8" s="26" t="str">
        <f t="shared" si="18"/>
        <v xml:space="preserve"> </v>
      </c>
      <c r="AX8" s="26" t="str">
        <f t="shared" si="19"/>
        <v xml:space="preserve"> </v>
      </c>
      <c r="AY8" s="35" t="str">
        <f t="shared" si="20"/>
        <v xml:space="preserve"> </v>
      </c>
      <c r="AZ8" s="26" t="str">
        <f t="shared" si="21"/>
        <v xml:space="preserve"> </v>
      </c>
      <c r="BB8" s="26" t="e">
        <f>VLOOKUP(BC8,'Help Page'!E:F,2,0)</f>
        <v>#N/A</v>
      </c>
      <c r="BC8" s="86"/>
      <c r="BD8" s="86"/>
      <c r="BE8" s="86"/>
      <c r="BF8" s="86"/>
      <c r="BG8" s="86"/>
      <c r="BH8" s="86"/>
      <c r="BJ8" s="26" t="e">
        <f>VLOOKUP(BK8,'Help Page'!E:F,2,0)</f>
        <v>#N/A</v>
      </c>
      <c r="BK8" s="26">
        <f t="shared" si="22"/>
        <v>0</v>
      </c>
      <c r="BL8" s="26">
        <f t="shared" si="2"/>
        <v>0</v>
      </c>
      <c r="BM8" s="26">
        <f t="shared" si="3"/>
        <v>0</v>
      </c>
      <c r="BN8" s="26">
        <f t="shared" si="4"/>
        <v>0</v>
      </c>
      <c r="BO8" s="35">
        <f t="shared" si="5"/>
        <v>0</v>
      </c>
      <c r="BP8" s="26">
        <f t="shared" si="6"/>
        <v>0</v>
      </c>
      <c r="BS8" s="26" t="s">
        <v>1338</v>
      </c>
      <c r="BT8" s="26" t="str">
        <f>IFERROR(IF(VLOOKUP(BS8,AD:AJ,7,0)="",VLOOKUP(BS8,AD:AJ,3,0),""),"")</f>
        <v>AA(RU)</v>
      </c>
      <c r="BU8" s="36">
        <f>IFERROR(IF(VLOOKUP(BS8,AD:AJ,7,0)="",VLOOKUP(BS8,AD:AJ,6,0),""),"")</f>
        <v>45831</v>
      </c>
      <c r="BV8" s="26" t="s">
        <v>76</v>
      </c>
      <c r="BZ8" s="108" t="s">
        <v>1297</v>
      </c>
      <c r="CA8" s="94" t="s">
        <v>1294</v>
      </c>
      <c r="CB8" s="94">
        <v>80471</v>
      </c>
      <c r="CC8" s="94">
        <f>_xll.CbondsIndexValue(CB8,$K$6)</f>
        <v>15.21</v>
      </c>
      <c r="CE8" s="26"/>
      <c r="CF8" s="26"/>
      <c r="CG8" s="26" t="s">
        <v>2058</v>
      </c>
      <c r="CH8" s="26" t="str">
        <f>_xll.ReferenceParams(CG8,$CH$6 )</f>
        <v>Погашен</v>
      </c>
      <c r="CI8" s="35">
        <f>_xll.ReferenceParams(CG8,$CI$6 )</f>
        <v>36972</v>
      </c>
      <c r="CJ8" s="35" t="str">
        <f>_xll.ReferenceParams(CG8,$CJ$6)</f>
        <v>Облигация</v>
      </c>
      <c r="CK8" s="26">
        <f t="shared" si="23"/>
        <v>0</v>
      </c>
      <c r="CL8" s="26"/>
      <c r="DL8" s="1"/>
    </row>
    <row r="9" spans="1:162" x14ac:dyDescent="0.3">
      <c r="A9" s="24" t="s">
        <v>1069</v>
      </c>
      <c r="B9" s="36">
        <f>_xll.ReferenceParams($B$1,A9)</f>
        <v>46184</v>
      </c>
      <c r="D9" s="28">
        <f t="shared" si="1"/>
        <v>46016</v>
      </c>
      <c r="E9" s="86">
        <f>_xll.CbondsClosePrice($B$1,D9,$B$27)</f>
        <v>97.09</v>
      </c>
      <c r="F9" s="131">
        <f t="shared" si="0"/>
        <v>97.09</v>
      </c>
      <c r="I9" s="29">
        <v>4</v>
      </c>
      <c r="J9" s="35">
        <f>VLOOKUP(J8,'Help Page'!A:B,2,0)</f>
        <v>45931</v>
      </c>
      <c r="K9" s="36">
        <f>VLOOKUP(J9,'Help Page'!A:C,3,0)</f>
        <v>45930</v>
      </c>
      <c r="L9" s="80">
        <f>IF(_xll.CbondsClosePrice($B$1,K9,$B$27) = "Нет данных","",_xll.CbondsClosePrice($B$1,K9,$B$27))</f>
        <v>94.65</v>
      </c>
      <c r="M9" s="163">
        <f>IFERROR(IF($M$5 = "YTM",_xll.CbondsCalcYTM($B$1,K9,L9),_xll.CbondsCalcYTP($B$1,K9,L9)),"")</f>
        <v>0.17707945195819999</v>
      </c>
      <c r="N9" s="84">
        <f>IFERROR(IF($N$5 = "DURATION to maturity",_xll.CbondsCalcDuration($B$1,K9,L9),_xll.CbondsCalcDurationToPutCall($B$1,K9,L9)),"")</f>
        <v>248.28838083685</v>
      </c>
      <c r="O9" s="39">
        <f t="shared" si="7"/>
        <v>0.68024213927904109</v>
      </c>
      <c r="P9" s="41">
        <f>IFERROR(_xll.GCurve(K9,N9,$P$4)/100,"")</f>
        <v>0.14259866254727899</v>
      </c>
      <c r="Q9" s="39">
        <f t="shared" si="8"/>
        <v>344.80789410921005</v>
      </c>
      <c r="R9" s="124">
        <f t="shared" si="9"/>
        <v>17.707945195819999</v>
      </c>
      <c r="S9" s="124">
        <f t="shared" si="10"/>
        <v>14.259866254727898</v>
      </c>
      <c r="T9" s="35">
        <f t="shared" si="11"/>
        <v>45931</v>
      </c>
      <c r="V9" s="26" t="e">
        <f>VLOOKUP(W9,'Help Page'!E:F,2,0)</f>
        <v>#N/A</v>
      </c>
      <c r="W9" s="86"/>
      <c r="X9" s="86"/>
      <c r="Y9" s="86"/>
      <c r="Z9" s="86"/>
      <c r="AA9" s="86"/>
      <c r="AB9" s="86"/>
      <c r="AD9" s="26" t="e">
        <f>VLOOKUP(AE9,'Help Page'!E:F,2,0)</f>
        <v>#N/A</v>
      </c>
      <c r="AE9" s="26">
        <f t="shared" si="12"/>
        <v>0</v>
      </c>
      <c r="AF9" s="26">
        <f t="shared" si="13"/>
        <v>0</v>
      </c>
      <c r="AG9" s="26"/>
      <c r="AH9" s="26">
        <f t="shared" si="14"/>
        <v>0</v>
      </c>
      <c r="AI9" s="35">
        <f t="shared" si="15"/>
        <v>0</v>
      </c>
      <c r="AJ9" s="26"/>
      <c r="AL9" s="26" t="str">
        <f>VLOOKUP(AM9,'Help Page'!E:F,2,0)</f>
        <v>AKRA</v>
      </c>
      <c r="AM9" s="86" t="s">
        <v>159</v>
      </c>
      <c r="AN9" s="86" t="s">
        <v>2049</v>
      </c>
      <c r="AO9" s="86" t="s">
        <v>2026</v>
      </c>
      <c r="AP9" s="86" t="s">
        <v>1293</v>
      </c>
      <c r="AQ9" s="35">
        <v>45831</v>
      </c>
      <c r="AR9" s="86" t="s">
        <v>2048</v>
      </c>
      <c r="AT9" s="26" t="str">
        <f>VLOOKUP(AU9,'Help Page'!E:F,2,0)</f>
        <v>AKRA</v>
      </c>
      <c r="AU9" s="26" t="str">
        <f t="shared" si="16"/>
        <v>AKRA-I-SCA-LT-Nsc</v>
      </c>
      <c r="AV9" s="26" t="str">
        <f t="shared" si="17"/>
        <v>aa-(ru)</v>
      </c>
      <c r="AW9" s="26" t="str">
        <f t="shared" si="18"/>
        <v>Стабильный</v>
      </c>
      <c r="AX9" s="26" t="str">
        <f t="shared" si="19"/>
        <v>Подтвержден</v>
      </c>
      <c r="AY9" s="35">
        <f t="shared" si="20"/>
        <v>45831</v>
      </c>
      <c r="AZ9" s="26" t="str">
        <f t="shared" si="21"/>
        <v>Issuer</v>
      </c>
      <c r="BB9" s="26" t="e">
        <f>VLOOKUP(BC9,'Help Page'!E:F,2,0)</f>
        <v>#N/A</v>
      </c>
      <c r="BC9" s="86"/>
      <c r="BD9" s="86"/>
      <c r="BE9" s="86"/>
      <c r="BF9" s="86"/>
      <c r="BG9" s="86"/>
      <c r="BH9" s="86"/>
      <c r="BJ9" s="26" t="e">
        <f>VLOOKUP(BK9,'Help Page'!E:F,2,0)</f>
        <v>#N/A</v>
      </c>
      <c r="BK9" s="26">
        <f t="shared" si="22"/>
        <v>0</v>
      </c>
      <c r="BL9" s="26">
        <f t="shared" si="2"/>
        <v>0</v>
      </c>
      <c r="BM9" s="26">
        <f t="shared" si="3"/>
        <v>0</v>
      </c>
      <c r="BN9" s="26">
        <f t="shared" si="4"/>
        <v>0</v>
      </c>
      <c r="BO9" s="35">
        <f t="shared" si="5"/>
        <v>0</v>
      </c>
      <c r="BP9" s="26">
        <f t="shared" si="6"/>
        <v>0</v>
      </c>
      <c r="BS9" s="26" t="s">
        <v>1339</v>
      </c>
      <c r="BT9" s="26" t="str">
        <f>IFERROR(IF(VLOOKUP(BS9,AD:AJ,7,0)="",VLOOKUP(BS9,AD:AJ,3,0),""),"")</f>
        <v/>
      </c>
      <c r="BU9" s="36" t="str">
        <f>IFERROR(IF(VLOOKUP(BS9,AD:AJ,7,0)="",VLOOKUP(BS9,AD:AJ,6,0),""),"")</f>
        <v/>
      </c>
      <c r="BV9" s="26" t="s">
        <v>1416</v>
      </c>
      <c r="BZ9" s="108" t="s">
        <v>1298</v>
      </c>
      <c r="CA9" s="94" t="s">
        <v>1295</v>
      </c>
      <c r="CB9" s="94">
        <v>80479</v>
      </c>
      <c r="CC9" s="94">
        <f>_xll.CbondsIndexValue(CB9,$K$6)</f>
        <v>16.71</v>
      </c>
      <c r="CE9" s="26"/>
      <c r="CF9" s="26"/>
      <c r="CG9" s="26" t="s">
        <v>2059</v>
      </c>
      <c r="CH9" s="26" t="str">
        <f>_xll.ReferenceParams(CG9,$CH$6 )</f>
        <v>Погашен</v>
      </c>
      <c r="CI9" s="35">
        <f>_xll.ReferenceParams(CG9,$CI$6 )</f>
        <v>37333</v>
      </c>
      <c r="CJ9" s="35" t="str">
        <f>_xll.ReferenceParams(CG9,$CJ$6)</f>
        <v>Облигация</v>
      </c>
      <c r="CK9" s="26">
        <f t="shared" si="23"/>
        <v>0</v>
      </c>
      <c r="CL9" s="26"/>
      <c r="DL9" s="1"/>
    </row>
    <row r="10" spans="1:162" x14ac:dyDescent="0.3">
      <c r="A10" s="24" t="s">
        <v>350</v>
      </c>
      <c r="B10" s="36" t="str">
        <f>_xll.BondDateParams($B$1,$K$6,A10)</f>
        <v/>
      </c>
      <c r="D10" s="28">
        <f t="shared" si="1"/>
        <v>46015</v>
      </c>
      <c r="E10" s="86">
        <f>_xll.CbondsClosePrice($B$1,D10,$B$27)</f>
        <v>96.86</v>
      </c>
      <c r="F10" s="131">
        <f t="shared" si="0"/>
        <v>96.86</v>
      </c>
      <c r="I10" s="29">
        <v>5</v>
      </c>
      <c r="J10" s="35">
        <f>VLOOKUP(J9,'Help Page'!A:B,2,0)</f>
        <v>45901</v>
      </c>
      <c r="K10" s="36">
        <f>VLOOKUP(J10,'Help Page'!A:C,3,0)</f>
        <v>45898</v>
      </c>
      <c r="L10" s="80">
        <f>IF(_xll.CbondsClosePrice($B$1,K10,$B$27) = "Нет данных","",_xll.CbondsClosePrice($B$1,K10,$B$27))</f>
        <v>95.44</v>
      </c>
      <c r="M10" s="163">
        <f>IFERROR(IF($M$5 = "YTM",_xll.CbondsCalcYTM($B$1,K10,L10),_xll.CbondsCalcYTP($B$1,K10,L10)),"")</f>
        <v>0.15430527090363</v>
      </c>
      <c r="N10" s="84">
        <f>IFERROR(IF($N$5 = "DURATION to maturity",_xll.CbondsCalcDuration($B$1,K10,L10),_xll.CbondsCalcDurationToPutCall($B$1,K10,L10)),"")</f>
        <v>274.63745905352999</v>
      </c>
      <c r="O10" s="39">
        <f t="shared" si="7"/>
        <v>0.75243139466720543</v>
      </c>
      <c r="P10" s="41">
        <f>IFERROR(_xll.GCurve(K10,N10,$P$4)/100,"")</f>
        <v>0.14306857300436002</v>
      </c>
      <c r="Q10" s="39">
        <f t="shared" si="8"/>
        <v>112.36697899269981</v>
      </c>
      <c r="R10" s="124">
        <f t="shared" si="9"/>
        <v>15.430527090363</v>
      </c>
      <c r="S10" s="124">
        <f t="shared" si="10"/>
        <v>14.306857300436002</v>
      </c>
      <c r="T10" s="35">
        <f t="shared" si="11"/>
        <v>45901</v>
      </c>
      <c r="V10" s="26" t="e">
        <f>VLOOKUP(W10,'Help Page'!E:F,2,0)</f>
        <v>#N/A</v>
      </c>
      <c r="W10" s="86"/>
      <c r="X10" s="86"/>
      <c r="Y10" s="86"/>
      <c r="Z10" s="86"/>
      <c r="AA10" s="86"/>
      <c r="AB10" s="86"/>
      <c r="AD10" s="26" t="e">
        <f>VLOOKUP(AE10,'Help Page'!E:F,2,0)</f>
        <v>#N/A</v>
      </c>
      <c r="AE10" s="26">
        <f t="shared" si="12"/>
        <v>0</v>
      </c>
      <c r="AF10" s="26">
        <f t="shared" si="13"/>
        <v>0</v>
      </c>
      <c r="AG10" s="26"/>
      <c r="AH10" s="26">
        <f t="shared" si="14"/>
        <v>0</v>
      </c>
      <c r="AI10" s="35">
        <f t="shared" si="15"/>
        <v>0</v>
      </c>
      <c r="AJ10" s="26"/>
      <c r="AL10" s="26" t="str">
        <f>VLOOKUP(AM10,'Help Page'!E:F,2,0)</f>
        <v>Interfax</v>
      </c>
      <c r="AM10" s="86" t="s">
        <v>21</v>
      </c>
      <c r="AN10" s="86" t="s">
        <v>2041</v>
      </c>
      <c r="AO10" s="86"/>
      <c r="AP10" s="86" t="s">
        <v>2042</v>
      </c>
      <c r="AQ10" s="35">
        <v>44650</v>
      </c>
      <c r="AR10" s="86" t="s">
        <v>2048</v>
      </c>
      <c r="AT10" s="26" t="e">
        <f>VLOOKUP(AU10,'Help Page'!E:F,2,0)</f>
        <v>#N/A</v>
      </c>
      <c r="AU10" s="26" t="str">
        <f t="shared" si="16"/>
        <v xml:space="preserve"> </v>
      </c>
      <c r="AV10" s="26" t="str">
        <f t="shared" si="17"/>
        <v xml:space="preserve"> </v>
      </c>
      <c r="AW10" s="26" t="str">
        <f t="shared" si="18"/>
        <v xml:space="preserve"> </v>
      </c>
      <c r="AX10" s="26" t="str">
        <f t="shared" si="19"/>
        <v xml:space="preserve"> </v>
      </c>
      <c r="AY10" s="35" t="str">
        <f t="shared" si="20"/>
        <v xml:space="preserve"> </v>
      </c>
      <c r="AZ10" s="26" t="str">
        <f t="shared" si="21"/>
        <v xml:space="preserve"> </v>
      </c>
      <c r="BB10" s="26" t="e">
        <f>VLOOKUP(BC10,'Help Page'!E:F,2,0)</f>
        <v>#N/A</v>
      </c>
      <c r="BC10" s="86"/>
      <c r="BD10" s="86"/>
      <c r="BE10" s="86"/>
      <c r="BF10" s="86"/>
      <c r="BG10" s="86"/>
      <c r="BH10" s="86"/>
      <c r="BJ10" s="26" t="e">
        <f>VLOOKUP(BK10,'Help Page'!E:F,2,0)</f>
        <v>#N/A</v>
      </c>
      <c r="BK10" s="26">
        <f t="shared" si="22"/>
        <v>0</v>
      </c>
      <c r="BL10" s="26">
        <f t="shared" si="2"/>
        <v>0</v>
      </c>
      <c r="BM10" s="26">
        <f t="shared" si="3"/>
        <v>0</v>
      </c>
      <c r="BN10" s="26">
        <f t="shared" si="4"/>
        <v>0</v>
      </c>
      <c r="BO10" s="35">
        <f t="shared" si="5"/>
        <v>0</v>
      </c>
      <c r="BP10" s="26">
        <f t="shared" si="6"/>
        <v>0</v>
      </c>
      <c r="BS10" s="26" t="s">
        <v>1414</v>
      </c>
      <c r="BT10" s="26" t="str">
        <f>IFERROR(IF(VLOOKUP(BS10,AD:AJ,7,0)="",VLOOKUP(BS10,AD:AJ,3,0),""),"")</f>
        <v/>
      </c>
      <c r="BU10" s="36" t="str">
        <f>IFERROR(IF(VLOOKUP(BS10,AD:AJ,7,0)="",VLOOKUP(BS10,AD:AJ,6,0),""),"")</f>
        <v/>
      </c>
      <c r="BV10" s="26" t="s">
        <v>1414</v>
      </c>
      <c r="BZ10" s="108" t="s">
        <v>1299</v>
      </c>
      <c r="CA10" s="94" t="s">
        <v>1296</v>
      </c>
      <c r="CB10" s="94">
        <v>80487</v>
      </c>
      <c r="CC10" s="94">
        <f>_xll.CbondsIndexValue(CB10,$K$6)</f>
        <v>21.44</v>
      </c>
      <c r="CE10" s="26"/>
      <c r="CF10" s="26"/>
      <c r="CG10" s="26" t="s">
        <v>2060</v>
      </c>
      <c r="CH10" s="26" t="str">
        <f>_xll.ReferenceParams(CG10,$CH$6 )</f>
        <v>Погашен</v>
      </c>
      <c r="CI10" s="35">
        <f>_xll.ReferenceParams(CG10,$CI$6 )</f>
        <v>40280</v>
      </c>
      <c r="CJ10" s="35" t="str">
        <f>_xll.ReferenceParams(CG10,$CJ$6)</f>
        <v>Облигация</v>
      </c>
      <c r="CK10" s="26">
        <f t="shared" si="23"/>
        <v>0</v>
      </c>
      <c r="CL10" s="26"/>
      <c r="DL10" s="1"/>
    </row>
    <row r="11" spans="1:162" x14ac:dyDescent="0.3">
      <c r="A11" s="24" t="s">
        <v>349</v>
      </c>
      <c r="B11" s="26">
        <f>_xll.BondDateParams($B$1,$K$6,A11)</f>
        <v>8.35</v>
      </c>
      <c r="D11" s="28">
        <f t="shared" si="1"/>
        <v>46014</v>
      </c>
      <c r="E11" s="86">
        <f>_xll.CbondsClosePrice($B$1,D11,$B$27)</f>
        <v>96.84</v>
      </c>
      <c r="F11" s="131">
        <f t="shared" si="0"/>
        <v>96.84</v>
      </c>
      <c r="I11" s="29">
        <v>6</v>
      </c>
      <c r="J11" s="35">
        <f>VLOOKUP(J10,'Help Page'!A:B,2,0)</f>
        <v>45870</v>
      </c>
      <c r="K11" s="36">
        <f>VLOOKUP(J11,'Help Page'!A:C,3,0)</f>
        <v>45869</v>
      </c>
      <c r="L11" s="80">
        <f>IF(_xll.CbondsClosePrice($B$1,K11,$B$27) = "Нет данных","",_xll.CbondsClosePrice($B$1,K11,$B$27))</f>
        <v>94.3</v>
      </c>
      <c r="M11" s="163">
        <f>IFERROR(IF($M$5 = "YTM",_xll.CbondsCalcYTM($B$1,K11,L11),_xll.CbondsCalcYTP($B$1,K11,L11)),"")</f>
        <v>0.16450482906766001</v>
      </c>
      <c r="N11" s="84">
        <f>IFERROR(IF($N$5 = "DURATION to maturity",_xll.CbondsCalcDuration($B$1,K11,L11),_xll.CbondsCalcDurationToPutCall($B$1,K11,L11)),"")</f>
        <v>303.58178642656998</v>
      </c>
      <c r="O11" s="39">
        <f t="shared" si="7"/>
        <v>0.8317309217166301</v>
      </c>
      <c r="P11" s="41">
        <f>IFERROR(_xll.GCurve(K11,N11,$P$4)/100,"")</f>
        <v>0.13803030775828101</v>
      </c>
      <c r="Q11" s="39">
        <f t="shared" si="8"/>
        <v>264.74521309378997</v>
      </c>
      <c r="R11" s="124">
        <f t="shared" si="9"/>
        <v>16.450482906766002</v>
      </c>
      <c r="S11" s="124">
        <f t="shared" si="10"/>
        <v>13.803030775828102</v>
      </c>
      <c r="T11" s="35">
        <f t="shared" si="11"/>
        <v>45870</v>
      </c>
      <c r="V11" s="26" t="e">
        <f>VLOOKUP(W11,'Help Page'!E:F,2,0)</f>
        <v>#N/A</v>
      </c>
      <c r="W11" s="86"/>
      <c r="X11" s="86"/>
      <c r="Y11" s="86"/>
      <c r="Z11" s="86"/>
      <c r="AA11" s="86"/>
      <c r="AB11" s="86"/>
      <c r="AD11" s="26" t="e">
        <f>VLOOKUP(AE11,'Help Page'!E:F,2,0)</f>
        <v>#N/A</v>
      </c>
      <c r="AE11" s="26">
        <f t="shared" si="12"/>
        <v>0</v>
      </c>
      <c r="AF11" s="26">
        <f t="shared" si="13"/>
        <v>0</v>
      </c>
      <c r="AG11" s="26"/>
      <c r="AH11" s="26">
        <f t="shared" si="14"/>
        <v>0</v>
      </c>
      <c r="AI11" s="35">
        <f t="shared" si="15"/>
        <v>0</v>
      </c>
      <c r="AJ11" s="26"/>
      <c r="AL11" s="26" t="str">
        <f>VLOOKUP(AM11,'Help Page'!E:F,2,0)</f>
        <v>Interfax</v>
      </c>
      <c r="AM11" s="86" t="s">
        <v>22</v>
      </c>
      <c r="AN11" s="86" t="s">
        <v>2041</v>
      </c>
      <c r="AO11" s="86"/>
      <c r="AP11" s="86" t="s">
        <v>2042</v>
      </c>
      <c r="AQ11" s="35">
        <v>44670</v>
      </c>
      <c r="AR11" s="86" t="s">
        <v>2048</v>
      </c>
      <c r="AT11" s="26" t="e">
        <f>VLOOKUP(AU11,'Help Page'!E:F,2,0)</f>
        <v>#N/A</v>
      </c>
      <c r="AU11" s="26" t="str">
        <f t="shared" si="16"/>
        <v xml:space="preserve"> </v>
      </c>
      <c r="AV11" s="26" t="str">
        <f t="shared" si="17"/>
        <v xml:space="preserve"> </v>
      </c>
      <c r="AW11" s="26" t="str">
        <f t="shared" si="18"/>
        <v xml:space="preserve"> </v>
      </c>
      <c r="AX11" s="26" t="str">
        <f t="shared" si="19"/>
        <v xml:space="preserve"> </v>
      </c>
      <c r="AY11" s="35" t="str">
        <f t="shared" si="20"/>
        <v xml:space="preserve"> </v>
      </c>
      <c r="AZ11" s="26" t="str">
        <f t="shared" si="21"/>
        <v xml:space="preserve"> </v>
      </c>
      <c r="BB11" s="26" t="e">
        <f>VLOOKUP(BC11,'Help Page'!E:F,2,0)</f>
        <v>#N/A</v>
      </c>
      <c r="BC11" s="86"/>
      <c r="BD11" s="86"/>
      <c r="BE11" s="86"/>
      <c r="BF11" s="86"/>
      <c r="BG11" s="86"/>
      <c r="BH11" s="86"/>
      <c r="BJ11" s="26" t="e">
        <f>VLOOKUP(BK11,'Help Page'!E:F,2,0)</f>
        <v>#N/A</v>
      </c>
      <c r="BK11" s="26">
        <f t="shared" si="22"/>
        <v>0</v>
      </c>
      <c r="BL11" s="26">
        <f t="shared" si="2"/>
        <v>0</v>
      </c>
      <c r="BM11" s="26">
        <f t="shared" si="3"/>
        <v>0</v>
      </c>
      <c r="BN11" s="26">
        <f t="shared" si="4"/>
        <v>0</v>
      </c>
      <c r="BO11" s="35">
        <f t="shared" si="5"/>
        <v>0</v>
      </c>
      <c r="BP11" s="26">
        <f t="shared" si="6"/>
        <v>0</v>
      </c>
      <c r="BS11" s="105"/>
      <c r="BT11" s="105"/>
      <c r="BU11" s="105"/>
      <c r="BV11" s="105"/>
      <c r="BZ11" s="108" t="s">
        <v>1066</v>
      </c>
      <c r="CA11" s="94" t="s">
        <v>1260</v>
      </c>
      <c r="CB11" s="94">
        <v>9209</v>
      </c>
      <c r="CC11" s="94">
        <f>_xll.CbondsIndexValue(CB11,$K$6)</f>
        <v>14.06</v>
      </c>
      <c r="CE11" s="26"/>
      <c r="CF11" s="26"/>
      <c r="CG11" s="26" t="s">
        <v>2061</v>
      </c>
      <c r="CH11" s="26" t="str">
        <f>_xll.ReferenceParams(CG11,$CH$6 )</f>
        <v>Погашен</v>
      </c>
      <c r="CI11" s="35">
        <f>_xll.ReferenceParams(CG11,$CI$6 )</f>
        <v>40280</v>
      </c>
      <c r="CJ11" s="35" t="str">
        <f>_xll.ReferenceParams(CG11,$CJ$6)</f>
        <v>Облигация</v>
      </c>
      <c r="CK11" s="26">
        <f t="shared" si="23"/>
        <v>0</v>
      </c>
      <c r="CL11" s="26"/>
      <c r="DL11" s="1"/>
    </row>
    <row r="12" spans="1:162" x14ac:dyDescent="0.3">
      <c r="A12" s="24" t="s">
        <v>352</v>
      </c>
      <c r="B12" s="38">
        <f>_xll.BondDateParams($B$1,$K$6,A12)</f>
        <v>1000</v>
      </c>
      <c r="D12" s="28">
        <f t="shared" si="1"/>
        <v>46013</v>
      </c>
      <c r="E12" s="86">
        <f>_xll.CbondsClosePrice($B$1,D12,$B$27)</f>
        <v>97.01</v>
      </c>
      <c r="F12" s="131">
        <f t="shared" si="0"/>
        <v>97.01</v>
      </c>
      <c r="I12" s="29">
        <v>7</v>
      </c>
      <c r="J12" s="35">
        <f>VLOOKUP(J11,'Help Page'!A:B,2,0)</f>
        <v>45839</v>
      </c>
      <c r="K12" s="36">
        <f>VLOOKUP(J12,'Help Page'!A:C,3,0)</f>
        <v>45838</v>
      </c>
      <c r="L12" s="80">
        <f>IF(_xll.CbondsClosePrice($B$1,K12,$B$27) = "Нет данных","",_xll.CbondsClosePrice($B$1,K12,$B$27))</f>
        <v>91.86</v>
      </c>
      <c r="M12" s="163">
        <f>IFERROR(IF($M$5 = "YTM",_xll.CbondsCalcYTM($B$1,K12,L12),_xll.CbondsCalcYTP($B$1,K12,L12)),"")</f>
        <v>0.19100672837796001</v>
      </c>
      <c r="N12" s="84">
        <f>IFERROR(IF($N$5 = "DURATION to maturity",_xll.CbondsCalcDuration($B$1,K12,L12),_xll.CbondsCalcDurationToPutCall($B$1,K12,L12)),"")</f>
        <v>334.43806748503999</v>
      </c>
      <c r="O12" s="39">
        <f t="shared" si="7"/>
        <v>0.91626867804120549</v>
      </c>
      <c r="P12" s="41">
        <f>IFERROR(_xll.GCurve(K12,N12,$P$4)/100,"")</f>
        <v>0.15532962621874702</v>
      </c>
      <c r="Q12" s="39">
        <f t="shared" si="8"/>
        <v>356.7710215921299</v>
      </c>
      <c r="R12" s="124">
        <f t="shared" si="9"/>
        <v>19.100672837796001</v>
      </c>
      <c r="S12" s="124">
        <f t="shared" si="10"/>
        <v>15.532962621874702</v>
      </c>
      <c r="T12" s="35">
        <f t="shared" si="11"/>
        <v>45839</v>
      </c>
      <c r="V12" s="26" t="e">
        <f>VLOOKUP(W12,'Help Page'!E:F,2,0)</f>
        <v>#N/A</v>
      </c>
      <c r="W12" s="86"/>
      <c r="X12" s="86"/>
      <c r="Y12" s="86"/>
      <c r="Z12" s="86"/>
      <c r="AA12" s="86"/>
      <c r="AB12" s="86"/>
      <c r="AD12" s="26" t="e">
        <f>VLOOKUP(AE12,'Help Page'!E:F,2,0)</f>
        <v>#N/A</v>
      </c>
      <c r="AE12" s="26">
        <f t="shared" si="12"/>
        <v>0</v>
      </c>
      <c r="AF12" s="26">
        <f t="shared" si="13"/>
        <v>0</v>
      </c>
      <c r="AG12" s="26"/>
      <c r="AH12" s="26">
        <f t="shared" si="14"/>
        <v>0</v>
      </c>
      <c r="AI12" s="35">
        <f t="shared" si="15"/>
        <v>0</v>
      </c>
      <c r="AJ12" s="26"/>
      <c r="AL12" s="26" t="str">
        <f>VLOOKUP(AM12,'Help Page'!E:F,2,0)</f>
        <v>Interfax</v>
      </c>
      <c r="AM12" s="86" t="s">
        <v>23</v>
      </c>
      <c r="AN12" s="86" t="s">
        <v>2041</v>
      </c>
      <c r="AO12" s="86"/>
      <c r="AP12" s="86" t="s">
        <v>2042</v>
      </c>
      <c r="AQ12" s="35">
        <v>44650</v>
      </c>
      <c r="AR12" s="86" t="s">
        <v>2048</v>
      </c>
      <c r="AT12" s="26" t="e">
        <f>VLOOKUP(AU12,'Help Page'!E:F,2,0)</f>
        <v>#N/A</v>
      </c>
      <c r="AU12" s="26" t="str">
        <f t="shared" si="16"/>
        <v xml:space="preserve"> </v>
      </c>
      <c r="AV12" s="26" t="str">
        <f t="shared" si="17"/>
        <v xml:space="preserve"> </v>
      </c>
      <c r="AW12" s="26" t="str">
        <f t="shared" si="18"/>
        <v xml:space="preserve"> </v>
      </c>
      <c r="AX12" s="26" t="str">
        <f t="shared" si="19"/>
        <v xml:space="preserve"> </v>
      </c>
      <c r="AY12" s="35" t="str">
        <f t="shared" si="20"/>
        <v xml:space="preserve"> </v>
      </c>
      <c r="AZ12" s="26" t="str">
        <f t="shared" si="21"/>
        <v xml:space="preserve"> </v>
      </c>
      <c r="BB12" s="26" t="e">
        <f>VLOOKUP(BC12,'Help Page'!E:F,2,0)</f>
        <v>#N/A</v>
      </c>
      <c r="BC12" s="86"/>
      <c r="BD12" s="86"/>
      <c r="BE12" s="86"/>
      <c r="BF12" s="86"/>
      <c r="BG12" s="86"/>
      <c r="BH12" s="86"/>
      <c r="BJ12" s="26" t="e">
        <f>VLOOKUP(BK12,'Help Page'!E:F,2,0)</f>
        <v>#N/A</v>
      </c>
      <c r="BK12" s="26">
        <f t="shared" si="22"/>
        <v>0</v>
      </c>
      <c r="BL12" s="26">
        <f t="shared" si="2"/>
        <v>0</v>
      </c>
      <c r="BM12" s="26">
        <f t="shared" si="3"/>
        <v>0</v>
      </c>
      <c r="BN12" s="26">
        <f t="shared" si="4"/>
        <v>0</v>
      </c>
      <c r="BO12" s="35">
        <f t="shared" si="5"/>
        <v>0</v>
      </c>
      <c r="BP12" s="26">
        <f t="shared" si="6"/>
        <v>0</v>
      </c>
      <c r="BU12" s="22"/>
      <c r="BZ12" s="108" t="s">
        <v>1300</v>
      </c>
      <c r="CA12" s="94" t="s">
        <v>1303</v>
      </c>
      <c r="CB12" s="94">
        <v>80503</v>
      </c>
      <c r="CC12" s="94">
        <f>_xll.CbondsIndexValue(CB12,$K$6)</f>
        <v>15.13</v>
      </c>
      <c r="CE12" s="26"/>
      <c r="CF12" s="26"/>
      <c r="CG12" s="26" t="s">
        <v>2062</v>
      </c>
      <c r="CH12" s="26" t="str">
        <f>_xll.ReferenceParams(CG12,$CH$6 )</f>
        <v>Погашен</v>
      </c>
      <c r="CI12" s="35">
        <f>_xll.ReferenceParams(CG12,$CI$6 )</f>
        <v>41368</v>
      </c>
      <c r="CJ12" s="35" t="str">
        <f>_xll.ReferenceParams(CG12,$CJ$6)</f>
        <v>Облигация</v>
      </c>
      <c r="CK12" s="26">
        <f t="shared" si="23"/>
        <v>0</v>
      </c>
      <c r="CL12" s="35"/>
      <c r="DL12" s="1"/>
    </row>
    <row r="13" spans="1:162" x14ac:dyDescent="0.3">
      <c r="A13" s="24" t="s">
        <v>353</v>
      </c>
      <c r="B13" s="26">
        <f>_xll.ReferenceParams($B$1,A13)</f>
        <v>4</v>
      </c>
      <c r="D13" s="28">
        <f t="shared" si="1"/>
        <v>46012</v>
      </c>
      <c r="E13" s="86" t="str">
        <f>_xll.CbondsClosePrice($B$1,D13,$B$27)</f>
        <v>Нет данных</v>
      </c>
      <c r="F13" s="131">
        <f t="shared" si="0"/>
        <v>96.92</v>
      </c>
      <c r="I13" s="29">
        <v>8</v>
      </c>
      <c r="J13" s="35">
        <f>VLOOKUP(J12,'Help Page'!A:B,2,0)</f>
        <v>45809</v>
      </c>
      <c r="K13" s="36">
        <f>VLOOKUP(J13,'Help Page'!A:C,3,0)</f>
        <v>45807</v>
      </c>
      <c r="L13" s="80">
        <f>IF(_xll.CbondsClosePrice($B$1,K13,$B$27) = "Нет данных","",_xll.CbondsClosePrice($B$1,K13,$B$27))</f>
        <v>91.1</v>
      </c>
      <c r="M13" s="163">
        <f>IFERROR(IF($M$5 = "YTM",_xll.CbondsCalcYTM($B$1,K13,L13),_xll.CbondsCalcYTP($B$1,K13,L13)),"")</f>
        <v>0.19228065652050999</v>
      </c>
      <c r="N13" s="84">
        <f>IFERROR(IF($N$5 = "DURATION to maturity",_xll.CbondsCalcDuration($B$1,K13,L13),_xll.CbondsCalcDurationToPutCall($B$1,K13,L13)),"")</f>
        <v>357.58075574993001</v>
      </c>
      <c r="O13" s="39">
        <f t="shared" si="7"/>
        <v>0.97967330342446579</v>
      </c>
      <c r="P13" s="41">
        <f>IFERROR(_xll.GCurve(K13,N13,$P$4)/100,"")</f>
        <v>0.17458323060519099</v>
      </c>
      <c r="Q13" s="39">
        <f t="shared" si="8"/>
        <v>176.97425915319005</v>
      </c>
      <c r="R13" s="124">
        <f t="shared" si="9"/>
        <v>19.228065652051001</v>
      </c>
      <c r="S13" s="124">
        <f t="shared" si="10"/>
        <v>17.458323060519099</v>
      </c>
      <c r="T13" s="35">
        <f t="shared" si="11"/>
        <v>45809</v>
      </c>
      <c r="V13" s="26" t="e">
        <f>VLOOKUP(W13,'Help Page'!E:F,2,0)</f>
        <v>#N/A</v>
      </c>
      <c r="W13" s="86"/>
      <c r="X13" s="86"/>
      <c r="Y13" s="86"/>
      <c r="Z13" s="86"/>
      <c r="AA13" s="86"/>
      <c r="AB13" s="86"/>
      <c r="AD13" s="26" t="e">
        <f>VLOOKUP(AE13,'Help Page'!E:F,2,0)</f>
        <v>#N/A</v>
      </c>
      <c r="AE13" s="26">
        <f t="shared" si="12"/>
        <v>0</v>
      </c>
      <c r="AF13" s="26">
        <f t="shared" si="13"/>
        <v>0</v>
      </c>
      <c r="AG13" s="26"/>
      <c r="AH13" s="26">
        <f t="shared" si="14"/>
        <v>0</v>
      </c>
      <c r="AI13" s="35">
        <f t="shared" si="15"/>
        <v>0</v>
      </c>
      <c r="AJ13" s="26"/>
      <c r="AL13" s="26" t="str">
        <f>VLOOKUP(AM13,'Help Page'!E:F,2,0)</f>
        <v>Interfax</v>
      </c>
      <c r="AM13" s="86" t="s">
        <v>24</v>
      </c>
      <c r="AN13" s="86" t="s">
        <v>2041</v>
      </c>
      <c r="AO13" s="86"/>
      <c r="AP13" s="86" t="s">
        <v>2042</v>
      </c>
      <c r="AQ13" s="35">
        <v>44670</v>
      </c>
      <c r="AR13" s="86" t="s">
        <v>2048</v>
      </c>
      <c r="AT13" s="26" t="e">
        <f>VLOOKUP(AU13,'Help Page'!E:F,2,0)</f>
        <v>#N/A</v>
      </c>
      <c r="AU13" s="26" t="str">
        <f t="shared" si="16"/>
        <v xml:space="preserve"> </v>
      </c>
      <c r="AV13" s="26" t="str">
        <f t="shared" si="17"/>
        <v xml:space="preserve"> </v>
      </c>
      <c r="AW13" s="26" t="str">
        <f t="shared" si="18"/>
        <v xml:space="preserve"> </v>
      </c>
      <c r="AX13" s="26" t="str">
        <f t="shared" si="19"/>
        <v xml:space="preserve"> </v>
      </c>
      <c r="AY13" s="35" t="str">
        <f t="shared" si="20"/>
        <v xml:space="preserve"> </v>
      </c>
      <c r="AZ13" s="26" t="str">
        <f t="shared" si="21"/>
        <v xml:space="preserve"> </v>
      </c>
      <c r="BB13" s="26" t="e">
        <f>VLOOKUP(BC13,'Help Page'!E:F,2,0)</f>
        <v>#N/A</v>
      </c>
      <c r="BC13" s="86"/>
      <c r="BD13" s="86"/>
      <c r="BE13" s="86"/>
      <c r="BF13" s="86"/>
      <c r="BG13" s="86"/>
      <c r="BH13" s="86"/>
      <c r="BJ13" s="26" t="e">
        <f>VLOOKUP(BK13,'Help Page'!E:F,2,0)</f>
        <v>#N/A</v>
      </c>
      <c r="BK13" s="26">
        <f t="shared" si="22"/>
        <v>0</v>
      </c>
      <c r="BL13" s="26">
        <f t="shared" si="2"/>
        <v>0</v>
      </c>
      <c r="BM13" s="26">
        <f t="shared" si="3"/>
        <v>0</v>
      </c>
      <c r="BN13" s="26">
        <f t="shared" si="4"/>
        <v>0</v>
      </c>
      <c r="BO13" s="35">
        <f t="shared" si="5"/>
        <v>0</v>
      </c>
      <c r="BP13" s="26">
        <f t="shared" si="6"/>
        <v>0</v>
      </c>
      <c r="BS13" s="24" t="s">
        <v>2</v>
      </c>
      <c r="BU13" s="22"/>
      <c r="BZ13" s="108" t="s">
        <v>1301</v>
      </c>
      <c r="CA13" s="94" t="s">
        <v>1304</v>
      </c>
      <c r="CB13" s="94">
        <v>80511</v>
      </c>
      <c r="CC13" s="94">
        <f>_xll.CbondsIndexValue(CB13,$K$6)</f>
        <v>16.71</v>
      </c>
      <c r="CE13" s="26"/>
      <c r="CF13" s="26"/>
      <c r="CG13" s="26" t="s">
        <v>2063</v>
      </c>
      <c r="CH13" s="26" t="str">
        <f>_xll.ReferenceParams(CG13,$CH$6 )</f>
        <v>В обращении</v>
      </c>
      <c r="CI13" s="35">
        <f>_xll.ReferenceParams(CG13,$CI$6 )</f>
        <v>45771</v>
      </c>
      <c r="CJ13" s="35" t="str">
        <f>_xll.ReferenceParams(CG13,$CJ$6)</f>
        <v>Облигация</v>
      </c>
      <c r="CK13" s="26">
        <f t="shared" si="23"/>
        <v>1</v>
      </c>
      <c r="CL13" s="26"/>
      <c r="DL13" s="1"/>
    </row>
    <row r="14" spans="1:162" x14ac:dyDescent="0.3">
      <c r="A14" s="24" t="s">
        <v>354</v>
      </c>
      <c r="B14" s="39">
        <f>_xll.EfirYields($B$1,$K$6,A14)</f>
        <v>0.47837113999999997</v>
      </c>
      <c r="D14" s="28">
        <f t="shared" si="1"/>
        <v>46011</v>
      </c>
      <c r="E14" s="86" t="str">
        <f>_xll.CbondsClosePrice($B$1,D14,$B$27)</f>
        <v>Нет данных</v>
      </c>
      <c r="F14" s="131">
        <f t="shared" si="0"/>
        <v>96.92</v>
      </c>
      <c r="I14" s="29">
        <v>9</v>
      </c>
      <c r="J14" s="35">
        <f>VLOOKUP(J13,'Help Page'!A:B,2,0)</f>
        <v>45778</v>
      </c>
      <c r="K14" s="36">
        <f>VLOOKUP(J14,'Help Page'!A:C,3,0)</f>
        <v>45777</v>
      </c>
      <c r="L14" s="80">
        <f>IF(_xll.CbondsClosePrice($B$1,K14,$B$27) = "Нет данных","",_xll.CbondsClosePrice($B$1,K14,$B$27))</f>
        <v>89.38</v>
      </c>
      <c r="M14" s="163">
        <f>IFERROR(IF($M$5 = "YTM",_xll.CbondsCalcYTM($B$1,K14,L14),_xll.CbondsCalcYTP($B$1,K14,L14)),"")</f>
        <v>0.20559481504762001</v>
      </c>
      <c r="N14" s="84">
        <f>IFERROR(IF($N$5 = "DURATION to maturity",_xll.CbondsCalcDuration($B$1,K14,L14),_xll.CbondsCalcDurationToPutCall($B$1,K14,L14)),"")</f>
        <v>387.42798220748</v>
      </c>
      <c r="O14" s="39">
        <f t="shared" si="7"/>
        <v>1.0614465265958357</v>
      </c>
      <c r="P14" s="41">
        <f>IFERROR(_xll.GCurve(K14,N14,$P$4)/100,"")</f>
        <v>0.180842769473847</v>
      </c>
      <c r="Q14" s="39">
        <f t="shared" si="8"/>
        <v>247.52045573773</v>
      </c>
      <c r="R14" s="124">
        <f t="shared" si="9"/>
        <v>20.559481504762001</v>
      </c>
      <c r="S14" s="124">
        <f t="shared" si="10"/>
        <v>18.084276947384701</v>
      </c>
      <c r="T14" s="35">
        <f t="shared" si="11"/>
        <v>45778</v>
      </c>
      <c r="V14" s="26" t="e">
        <f>VLOOKUP(W14,'Help Page'!E:F,2,0)</f>
        <v>#N/A</v>
      </c>
      <c r="W14" s="86"/>
      <c r="X14" s="86"/>
      <c r="Y14" s="86"/>
      <c r="Z14" s="86"/>
      <c r="AA14" s="86"/>
      <c r="AB14" s="86"/>
      <c r="AD14" s="26" t="e">
        <f>VLOOKUP(AE14,'Help Page'!E:F,2,0)</f>
        <v>#N/A</v>
      </c>
      <c r="AE14" s="26">
        <f t="shared" si="12"/>
        <v>0</v>
      </c>
      <c r="AF14" s="26">
        <f t="shared" si="13"/>
        <v>0</v>
      </c>
      <c r="AG14" s="26"/>
      <c r="AH14" s="26">
        <f t="shared" si="14"/>
        <v>0</v>
      </c>
      <c r="AI14" s="35">
        <f t="shared" si="15"/>
        <v>0</v>
      </c>
      <c r="AJ14" s="26"/>
      <c r="AL14" s="26" t="e">
        <f>VLOOKUP(AM14,'Help Page'!E:F,2,0)</f>
        <v>#N/A</v>
      </c>
      <c r="AM14" s="86" t="s">
        <v>2054</v>
      </c>
      <c r="AN14" s="86" t="s">
        <v>2055</v>
      </c>
      <c r="AO14" s="86" t="s">
        <v>2026</v>
      </c>
      <c r="AP14" s="86" t="s">
        <v>2056</v>
      </c>
      <c r="AQ14" s="35">
        <v>45957</v>
      </c>
      <c r="AR14" s="86" t="s">
        <v>2048</v>
      </c>
      <c r="AT14" s="26" t="e">
        <f>VLOOKUP(AU14,'Help Page'!E:F,2,0)</f>
        <v>#N/A</v>
      </c>
      <c r="AU14" s="26" t="str">
        <f t="shared" si="16"/>
        <v>EXP-I-SCA-Nsc</v>
      </c>
      <c r="AV14" s="26" t="str">
        <f t="shared" si="17"/>
        <v>ruA</v>
      </c>
      <c r="AW14" s="26" t="str">
        <f t="shared" si="18"/>
        <v>Стабильный</v>
      </c>
      <c r="AX14" s="26" t="str">
        <f t="shared" si="19"/>
        <v>Установлен</v>
      </c>
      <c r="AY14" s="35">
        <f t="shared" si="20"/>
        <v>45957</v>
      </c>
      <c r="AZ14" s="26" t="str">
        <f t="shared" si="21"/>
        <v>Issuer</v>
      </c>
      <c r="BB14" s="26" t="e">
        <f>VLOOKUP(BC14,'Help Page'!E:F,2,0)</f>
        <v>#N/A</v>
      </c>
      <c r="BC14" s="86"/>
      <c r="BD14" s="86"/>
      <c r="BE14" s="86"/>
      <c r="BF14" s="86"/>
      <c r="BG14" s="86"/>
      <c r="BH14" s="86"/>
      <c r="BJ14" s="26" t="e">
        <f>VLOOKUP(BK14,'Help Page'!E:F,2,0)</f>
        <v>#N/A</v>
      </c>
      <c r="BK14" s="26">
        <f t="shared" si="22"/>
        <v>0</v>
      </c>
      <c r="BL14" s="26">
        <f t="shared" si="2"/>
        <v>0</v>
      </c>
      <c r="BM14" s="26">
        <f t="shared" si="3"/>
        <v>0</v>
      </c>
      <c r="BN14" s="26">
        <f t="shared" si="4"/>
        <v>0</v>
      </c>
      <c r="BO14" s="35">
        <f t="shared" si="5"/>
        <v>0</v>
      </c>
      <c r="BP14" s="26">
        <f t="shared" si="6"/>
        <v>0</v>
      </c>
      <c r="BS14" s="24" t="s">
        <v>338</v>
      </c>
      <c r="BT14" s="24" t="s">
        <v>337</v>
      </c>
      <c r="BU14" s="37" t="s">
        <v>63</v>
      </c>
      <c r="BV14" s="24" t="s">
        <v>1415</v>
      </c>
      <c r="BZ14" s="108" t="s">
        <v>1302</v>
      </c>
      <c r="CA14" s="94" t="s">
        <v>1305</v>
      </c>
      <c r="CB14" s="94">
        <v>80519</v>
      </c>
      <c r="CC14" s="94">
        <f>_xll.CbondsIndexValue(CB14,$K$6)</f>
        <v>21.44</v>
      </c>
      <c r="CE14" s="26"/>
      <c r="CF14" s="26"/>
      <c r="CG14" s="26" t="s">
        <v>2064</v>
      </c>
      <c r="CH14" s="26" t="str">
        <f>_xll.ReferenceParams(CG14,$CH$6 )</f>
        <v>В обращении</v>
      </c>
      <c r="CI14" s="35">
        <f>_xll.ReferenceParams(CG14,$CI$6 )</f>
        <v>45919</v>
      </c>
      <c r="CJ14" s="35" t="str">
        <f>_xll.ReferenceParams(CG14,$CJ$6)</f>
        <v>Облигация</v>
      </c>
      <c r="CK14" s="26">
        <f t="shared" si="23"/>
        <v>1</v>
      </c>
      <c r="CL14" s="26"/>
      <c r="DL14" s="1"/>
    </row>
    <row r="15" spans="1:162" x14ac:dyDescent="0.3">
      <c r="A15" s="24" t="s">
        <v>355</v>
      </c>
      <c r="B15" s="39">
        <f>_xll.EfirYields($B$1,$K$6,A15)</f>
        <v>0.38236807</v>
      </c>
      <c r="D15" s="28">
        <f t="shared" si="1"/>
        <v>46010</v>
      </c>
      <c r="E15" s="86">
        <f>_xll.CbondsClosePrice($B$1,D15,$B$27)</f>
        <v>96.92</v>
      </c>
      <c r="F15" s="131">
        <f t="shared" si="0"/>
        <v>96.92</v>
      </c>
      <c r="I15" s="29">
        <v>10</v>
      </c>
      <c r="J15" s="35">
        <f>VLOOKUP(J14,'Help Page'!A:B,2,0)</f>
        <v>45748</v>
      </c>
      <c r="K15" s="36">
        <f>VLOOKUP(J15,'Help Page'!A:C,3,0)</f>
        <v>45747</v>
      </c>
      <c r="L15" s="80">
        <f>IF(_xll.CbondsClosePrice($B$1,K15,$B$27) = "Нет данных","",_xll.CbondsClosePrice($B$1,K15,$B$27))</f>
        <v>88.25</v>
      </c>
      <c r="M15" s="163">
        <f>IFERROR(IF($M$5 = "YTM",_xll.CbondsCalcYTM($B$1,K15,L15),_xll.CbondsCalcYTP($B$1,K15,L15)),"")</f>
        <v>0.21077986448927999</v>
      </c>
      <c r="N15" s="84">
        <f>IFERROR(IF($N$5 = "DURATION to maturity",_xll.CbondsCalcDuration($B$1,K15,L15),_xll.CbondsCalcDurationToPutCall($B$1,K15,L15)),"")</f>
        <v>417.36860648511998</v>
      </c>
      <c r="O15" s="39">
        <f t="shared" si="7"/>
        <v>1.1434756342058081</v>
      </c>
      <c r="P15" s="41">
        <f>IFERROR(_xll.GCurve(K15,N15,$P$4)/100,"")</f>
        <v>0.17857996311750401</v>
      </c>
      <c r="Q15" s="39">
        <f t="shared" si="8"/>
        <v>321.99901371775974</v>
      </c>
      <c r="R15" s="124">
        <f t="shared" si="9"/>
        <v>21.077986448927998</v>
      </c>
      <c r="S15" s="124">
        <f t="shared" si="10"/>
        <v>17.857996311750401</v>
      </c>
      <c r="T15" s="35">
        <f t="shared" si="11"/>
        <v>45748</v>
      </c>
      <c r="V15" s="26" t="e">
        <f>VLOOKUP(W15,'Help Page'!E:F,2,0)</f>
        <v>#N/A</v>
      </c>
      <c r="W15" s="86"/>
      <c r="X15" s="86"/>
      <c r="Y15" s="86"/>
      <c r="Z15" s="86"/>
      <c r="AA15" s="86"/>
      <c r="AB15" s="86"/>
      <c r="AD15" s="26" t="e">
        <f>VLOOKUP(AE15,'Help Page'!E:F,2,0)</f>
        <v>#N/A</v>
      </c>
      <c r="AE15" s="26">
        <f t="shared" si="12"/>
        <v>0</v>
      </c>
      <c r="AF15" s="26">
        <f t="shared" si="13"/>
        <v>0</v>
      </c>
      <c r="AG15" s="26"/>
      <c r="AH15" s="26">
        <f t="shared" si="14"/>
        <v>0</v>
      </c>
      <c r="AI15" s="35">
        <f t="shared" si="15"/>
        <v>0</v>
      </c>
      <c r="AJ15" s="26"/>
      <c r="AL15" s="26" t="e">
        <f>VLOOKUP(AM15,'Help Page'!E:F,2,0)</f>
        <v>#N/A</v>
      </c>
      <c r="AM15" s="86" t="s">
        <v>2043</v>
      </c>
      <c r="AN15" s="86" t="s">
        <v>2047</v>
      </c>
      <c r="AO15" s="86" t="s">
        <v>2026</v>
      </c>
      <c r="AP15" s="86" t="s">
        <v>1293</v>
      </c>
      <c r="AQ15" s="35">
        <v>45831</v>
      </c>
      <c r="AR15" s="86" t="s">
        <v>2048</v>
      </c>
      <c r="AT15" s="26" t="e">
        <f>VLOOKUP(AU15,'Help Page'!E:F,2,0)</f>
        <v>#N/A</v>
      </c>
      <c r="AU15" s="26" t="str">
        <f t="shared" si="16"/>
        <v>AKRA-C-Cr&amp;D-LT-Nsc</v>
      </c>
      <c r="AV15" s="26" t="str">
        <f t="shared" si="17"/>
        <v>AA(RU)</v>
      </c>
      <c r="AW15" s="26" t="str">
        <f t="shared" si="18"/>
        <v>Стабильный</v>
      </c>
      <c r="AX15" s="26" t="str">
        <f t="shared" si="19"/>
        <v>Подтвержден</v>
      </c>
      <c r="AY15" s="35">
        <f t="shared" si="20"/>
        <v>45831</v>
      </c>
      <c r="AZ15" s="26" t="str">
        <f t="shared" si="21"/>
        <v>Issuer</v>
      </c>
      <c r="BB15" s="26" t="e">
        <f>VLOOKUP(BC15,'Help Page'!E:F,2,0)</f>
        <v>#N/A</v>
      </c>
      <c r="BC15" s="86"/>
      <c r="BD15" s="86"/>
      <c r="BE15" s="86"/>
      <c r="BF15" s="86"/>
      <c r="BG15" s="86"/>
      <c r="BH15" s="86"/>
      <c r="BJ15" s="26" t="e">
        <f>VLOOKUP(BK15,'Help Page'!E:F,2,0)</f>
        <v>#N/A</v>
      </c>
      <c r="BK15" s="26">
        <f t="shared" si="22"/>
        <v>0</v>
      </c>
      <c r="BL15" s="26">
        <f t="shared" si="2"/>
        <v>0</v>
      </c>
      <c r="BM15" s="26">
        <f t="shared" si="3"/>
        <v>0</v>
      </c>
      <c r="BN15" s="26">
        <f t="shared" si="4"/>
        <v>0</v>
      </c>
      <c r="BO15" s="35">
        <f t="shared" si="5"/>
        <v>0</v>
      </c>
      <c r="BP15" s="26">
        <f t="shared" si="6"/>
        <v>0</v>
      </c>
      <c r="BS15" s="26" t="s">
        <v>1322</v>
      </c>
      <c r="BT15" s="26" t="str">
        <f>IFERROR(IF(VLOOKUP(BS15,AT:AZ,7,0)="Issuer",VLOOKUP(BS15,AT:AZ,3,0)&amp;"/"&amp;VLOOKUP(BS15,AT:AZ,4,0),""),"")</f>
        <v>ruAA/Стабильный</v>
      </c>
      <c r="BU15" s="36">
        <f>IFERROR(IF(VLOOKUP(BS15,AT:AZ,7,0)="Issuer",VLOOKUP(BS15,AT:AZ,6,0),""),"")</f>
        <v>45957</v>
      </c>
      <c r="BV15" s="26" t="s">
        <v>28</v>
      </c>
      <c r="BZ15" s="108" t="s">
        <v>1257</v>
      </c>
      <c r="CA15" s="94" t="s">
        <v>1261</v>
      </c>
      <c r="CB15" s="94">
        <v>9217</v>
      </c>
      <c r="CC15" s="94">
        <f>_xll.CbondsIndexValue(CB15,$K$6)</f>
        <v>14.24</v>
      </c>
      <c r="CE15" s="26"/>
      <c r="CF15" s="26"/>
      <c r="CG15" s="26" t="s">
        <v>2044</v>
      </c>
      <c r="CH15" s="26" t="str">
        <f>_xll.ReferenceParams(CG15,$CH$6 )</f>
        <v>В обращении</v>
      </c>
      <c r="CI15" s="35">
        <f>_xll.ReferenceParams(CG15,$CI$6 )</f>
        <v>44364</v>
      </c>
      <c r="CJ15" s="35" t="str">
        <f>_xll.ReferenceParams(CG15,$CJ$6)</f>
        <v>Облигация</v>
      </c>
      <c r="CK15" s="26">
        <f t="shared" si="23"/>
        <v>1</v>
      </c>
      <c r="CL15" s="26"/>
      <c r="DL15" s="1"/>
    </row>
    <row r="16" spans="1:162" x14ac:dyDescent="0.3">
      <c r="A16" s="24" t="s">
        <v>356</v>
      </c>
      <c r="B16" s="39">
        <f>_xll.EfirEndOfDay(,K6,$A$16,"LAST_TRADE_DATE",,$B$1,,0)/365</f>
        <v>0.44109589041095892</v>
      </c>
      <c r="D16" s="28">
        <f t="shared" si="1"/>
        <v>46009</v>
      </c>
      <c r="E16" s="86">
        <f>_xll.CbondsClosePrice($B$1,D16,$B$27)</f>
        <v>96.82</v>
      </c>
      <c r="F16" s="131">
        <f t="shared" si="0"/>
        <v>96.82</v>
      </c>
      <c r="I16" s="29">
        <v>11</v>
      </c>
      <c r="J16" s="35">
        <f>VLOOKUP(J15,'Help Page'!A:B,2,0)</f>
        <v>45717</v>
      </c>
      <c r="K16" s="36">
        <f>VLOOKUP(J16,'Help Page'!A:C,3,0)</f>
        <v>45716</v>
      </c>
      <c r="L16" s="80">
        <f>IF(_xll.CbondsClosePrice($B$1,K16,$B$27) = "Нет данных","",_xll.CbondsClosePrice($B$1,K16,$B$27))</f>
        <v>88.34</v>
      </c>
      <c r="M16" s="163">
        <f>IFERROR(IF($M$5 = "YTM",_xll.CbondsCalcYTM($B$1,K16,L16),_xll.CbondsCalcYTP($B$1,K16,L16)),"")</f>
        <v>0.20156965203037999</v>
      </c>
      <c r="N16" s="84">
        <f>IFERROR(IF($N$5 = "DURATION to maturity",_xll.CbondsCalcDuration($B$1,K16,L16),_xll.CbondsCalcDurationToPutCall($B$1,K16,L16)),"")</f>
        <v>438.47959516029999</v>
      </c>
      <c r="O16" s="39">
        <f t="shared" si="7"/>
        <v>1.2013139593432876</v>
      </c>
      <c r="P16" s="41">
        <f>IFERROR(_xll.GCurve(K16,N16,$P$4)/100,"")</f>
        <v>0.18701587071174899</v>
      </c>
      <c r="Q16" s="39">
        <f t="shared" si="8"/>
        <v>145.53781318630999</v>
      </c>
      <c r="R16" s="124">
        <f t="shared" si="9"/>
        <v>20.156965203037998</v>
      </c>
      <c r="S16" s="124">
        <f t="shared" si="10"/>
        <v>18.701587071174899</v>
      </c>
      <c r="T16" s="35">
        <f t="shared" si="11"/>
        <v>45717</v>
      </c>
      <c r="V16" s="26" t="e">
        <f>VLOOKUP(W16,'Help Page'!E:F,2,0)</f>
        <v>#N/A</v>
      </c>
      <c r="W16" s="86"/>
      <c r="X16" s="86"/>
      <c r="Y16" s="86"/>
      <c r="Z16" s="86"/>
      <c r="AA16" s="86"/>
      <c r="AB16" s="86"/>
      <c r="AD16" s="26" t="e">
        <f>VLOOKUP(AE16,'Help Page'!E:F,2,0)</f>
        <v>#N/A</v>
      </c>
      <c r="AE16" s="26">
        <f t="shared" si="12"/>
        <v>0</v>
      </c>
      <c r="AF16" s="26">
        <f t="shared" si="13"/>
        <v>0</v>
      </c>
      <c r="AG16" s="26"/>
      <c r="AH16" s="26">
        <f t="shared" si="14"/>
        <v>0</v>
      </c>
      <c r="AI16" s="35">
        <f t="shared" si="15"/>
        <v>0</v>
      </c>
      <c r="AJ16" s="26"/>
      <c r="AL16" s="26" t="e">
        <f>VLOOKUP(AM16,'Help Page'!E:F,2,0)</f>
        <v>#N/A</v>
      </c>
      <c r="AM16" s="86"/>
      <c r="AN16" s="86"/>
      <c r="AO16" s="86"/>
      <c r="AP16" s="86"/>
      <c r="AQ16" s="86"/>
      <c r="AR16" s="86"/>
      <c r="AT16" s="26" t="e">
        <f>VLOOKUP(AU16,'Help Page'!E:F,2,0)</f>
        <v>#N/A</v>
      </c>
      <c r="AU16" s="26">
        <f t="shared" si="16"/>
        <v>0</v>
      </c>
      <c r="AV16" s="26">
        <f t="shared" si="17"/>
        <v>0</v>
      </c>
      <c r="AW16" s="26">
        <f t="shared" si="18"/>
        <v>0</v>
      </c>
      <c r="AX16" s="26">
        <f t="shared" si="19"/>
        <v>0</v>
      </c>
      <c r="AY16" s="35">
        <f t="shared" si="20"/>
        <v>0</v>
      </c>
      <c r="AZ16" s="26">
        <f t="shared" si="21"/>
        <v>0</v>
      </c>
      <c r="BB16" s="26" t="e">
        <f>VLOOKUP(BC16,'Help Page'!E:F,2,0)</f>
        <v>#N/A</v>
      </c>
      <c r="BC16" s="86"/>
      <c r="BD16" s="86"/>
      <c r="BE16" s="86"/>
      <c r="BF16" s="86"/>
      <c r="BG16" s="86"/>
      <c r="BH16" s="86"/>
      <c r="BJ16" s="26" t="e">
        <f>VLOOKUP(BK16,'Help Page'!E:F,2,0)</f>
        <v>#N/A</v>
      </c>
      <c r="BK16" s="26">
        <f t="shared" si="22"/>
        <v>0</v>
      </c>
      <c r="BL16" s="26">
        <f t="shared" si="2"/>
        <v>0</v>
      </c>
      <c r="BM16" s="26">
        <f t="shared" si="3"/>
        <v>0</v>
      </c>
      <c r="BN16" s="26">
        <f t="shared" si="4"/>
        <v>0</v>
      </c>
      <c r="BO16" s="35">
        <f t="shared" si="5"/>
        <v>0</v>
      </c>
      <c r="BP16" s="26">
        <f t="shared" si="6"/>
        <v>0</v>
      </c>
      <c r="BS16" s="26" t="s">
        <v>1338</v>
      </c>
      <c r="BT16" s="26" t="str">
        <f>IFERROR(IF(VLOOKUP(BS16,AT:AZ,7,0)="Issuer",VLOOKUP(BS16,AT:AZ,3,0)&amp;"/"&amp;VLOOKUP(BS16,AT:AZ,4,0),""),"")</f>
        <v>aa-(ru)/Стабильный</v>
      </c>
      <c r="BU16" s="36">
        <f>IFERROR(IF(VLOOKUP(BS16,AT:AZ,7,0)="Issuer",VLOOKUP(BS16,AT:AZ,6,0),""),"")</f>
        <v>45831</v>
      </c>
      <c r="BV16" s="26" t="s">
        <v>76</v>
      </c>
      <c r="BZ16" s="108" t="s">
        <v>2050</v>
      </c>
      <c r="CA16" s="94" t="s">
        <v>1306</v>
      </c>
      <c r="CB16" s="94">
        <v>80527</v>
      </c>
      <c r="CC16" s="94">
        <f>_xll.CbondsIndexValue(CB16,$K$6)</f>
        <v>15.38</v>
      </c>
      <c r="CE16" s="26"/>
      <c r="CF16" s="26"/>
      <c r="CG16" s="26"/>
      <c r="CH16" s="26" t="str">
        <f>_xll.ReferenceParams(CG16,$CH$6 )</f>
        <v/>
      </c>
      <c r="CI16" s="35" t="str">
        <f>_xll.ReferenceParams(CG16,$CI$6 )</f>
        <v/>
      </c>
      <c r="CJ16" s="35" t="str">
        <f>_xll.ReferenceParams(CG16,$CJ$6)</f>
        <v/>
      </c>
      <c r="CK16" s="26" t="str">
        <f t="shared" si="23"/>
        <v/>
      </c>
      <c r="CL16" s="26"/>
      <c r="DL16" s="1"/>
    </row>
    <row r="17" spans="1:116" x14ac:dyDescent="0.3">
      <c r="A17" s="24" t="s">
        <v>359</v>
      </c>
      <c r="B17" s="36" t="str">
        <f>_xll.ReferenceParams($B$1,A17)</f>
        <v>RUB</v>
      </c>
      <c r="D17" s="28">
        <f t="shared" si="1"/>
        <v>46008</v>
      </c>
      <c r="E17" s="86">
        <f>_xll.CbondsClosePrice($B$1,D17,$B$27)</f>
        <v>96.74</v>
      </c>
      <c r="F17" s="131">
        <f t="shared" si="0"/>
        <v>96.74</v>
      </c>
      <c r="I17" s="29">
        <v>12</v>
      </c>
      <c r="J17" s="35">
        <f>VLOOKUP(J16,'Help Page'!A:B,2,0)</f>
        <v>45689</v>
      </c>
      <c r="K17" s="36">
        <f>VLOOKUP(J17,'Help Page'!A:C,3,0)</f>
        <v>45688</v>
      </c>
      <c r="L17" s="80">
        <f>IF(_xll.CbondsClosePrice($B$1,K17,$B$27) = "Нет данных","",_xll.CbondsClosePrice($B$1,K17,$B$27))</f>
        <v>85.92</v>
      </c>
      <c r="M17" s="163">
        <f>IFERROR(IF($M$5 = "YTM",_xll.CbondsCalcYTM($B$1,K17,L17),_xll.CbondsCalcYTP($B$1,K17,L17)),"")</f>
        <v>0.22096551076620999</v>
      </c>
      <c r="N17" s="84">
        <f>IFERROR(IF($N$5 = "DURATION to maturity",_xll.CbondsCalcDuration($B$1,K17,L17),_xll.CbondsCalcDurationToPutCall($B$1,K17,L17)),"")</f>
        <v>466.07459808893998</v>
      </c>
      <c r="O17" s="39">
        <f t="shared" si="7"/>
        <v>1.2769167070929863</v>
      </c>
      <c r="P17" s="41">
        <f>IFERROR(_xll.GCurve(K17,N17,$P$4)/100,"")</f>
        <v>0.181650695387232</v>
      </c>
      <c r="Q17" s="39">
        <f t="shared" si="8"/>
        <v>393.14815378977988</v>
      </c>
      <c r="R17" s="124">
        <f t="shared" si="9"/>
        <v>22.096551076620997</v>
      </c>
      <c r="S17" s="124">
        <f t="shared" si="10"/>
        <v>18.165069538723198</v>
      </c>
      <c r="T17" s="35">
        <f>IF(J17 &gt;$B$7,J17,"")</f>
        <v>45689</v>
      </c>
      <c r="V17" s="26" t="e">
        <f>VLOOKUP(W17,'Help Page'!E:F,2,0)</f>
        <v>#N/A</v>
      </c>
      <c r="W17" s="86"/>
      <c r="X17" s="86"/>
      <c r="Y17" s="86"/>
      <c r="Z17" s="86"/>
      <c r="AA17" s="86"/>
      <c r="AB17" s="86"/>
      <c r="AD17" s="26" t="e">
        <f>VLOOKUP(AE17,'Help Page'!E:F,2,0)</f>
        <v>#N/A</v>
      </c>
      <c r="AE17" s="26">
        <f t="shared" si="12"/>
        <v>0</v>
      </c>
      <c r="AF17" s="26">
        <f t="shared" si="13"/>
        <v>0</v>
      </c>
      <c r="AG17" s="26"/>
      <c r="AH17" s="26">
        <f t="shared" si="14"/>
        <v>0</v>
      </c>
      <c r="AI17" s="35">
        <f t="shared" si="15"/>
        <v>0</v>
      </c>
      <c r="AJ17" s="26"/>
      <c r="AL17" s="26" t="e">
        <f>VLOOKUP(AM17,'Help Page'!E:F,2,0)</f>
        <v>#N/A</v>
      </c>
      <c r="AM17" s="86"/>
      <c r="AN17" s="86"/>
      <c r="AO17" s="86"/>
      <c r="AP17" s="86"/>
      <c r="AQ17" s="86"/>
      <c r="AR17" s="86"/>
      <c r="AT17" s="26" t="e">
        <f>VLOOKUP(AU17,'Help Page'!E:F,2,0)</f>
        <v>#N/A</v>
      </c>
      <c r="AU17" s="26">
        <f t="shared" si="16"/>
        <v>0</v>
      </c>
      <c r="AV17" s="26">
        <f t="shared" si="17"/>
        <v>0</v>
      </c>
      <c r="AW17" s="26">
        <f t="shared" si="18"/>
        <v>0</v>
      </c>
      <c r="AX17" s="26">
        <f t="shared" si="19"/>
        <v>0</v>
      </c>
      <c r="AY17" s="35">
        <f t="shared" si="20"/>
        <v>0</v>
      </c>
      <c r="AZ17" s="26">
        <f t="shared" si="21"/>
        <v>0</v>
      </c>
      <c r="BB17" s="26" t="e">
        <f>VLOOKUP(BC17,'Help Page'!E:F,2,0)</f>
        <v>#N/A</v>
      </c>
      <c r="BC17" s="86"/>
      <c r="BD17" s="86"/>
      <c r="BE17" s="86"/>
      <c r="BF17" s="86"/>
      <c r="BG17" s="86"/>
      <c r="BH17" s="86"/>
      <c r="BJ17" s="26" t="e">
        <f>VLOOKUP(BK17,'Help Page'!E:F,2,0)</f>
        <v>#N/A</v>
      </c>
      <c r="BK17" s="26">
        <f t="shared" si="22"/>
        <v>0</v>
      </c>
      <c r="BL17" s="26">
        <f t="shared" si="2"/>
        <v>0</v>
      </c>
      <c r="BM17" s="26">
        <f t="shared" si="3"/>
        <v>0</v>
      </c>
      <c r="BN17" s="26">
        <f t="shared" si="4"/>
        <v>0</v>
      </c>
      <c r="BO17" s="35">
        <f t="shared" si="5"/>
        <v>0</v>
      </c>
      <c r="BP17" s="26">
        <f t="shared" si="6"/>
        <v>0</v>
      </c>
      <c r="BS17" s="26" t="s">
        <v>1339</v>
      </c>
      <c r="BT17" s="26" t="str">
        <f>IFERROR(IF(VLOOKUP(BS17,AT:AZ,7,0)="Issuer",VLOOKUP(BS17,AT:AZ,3,0)&amp;"/"&amp;VLOOKUP(BS17,AT:AZ,4,0),""),"")</f>
        <v/>
      </c>
      <c r="BU17" s="36" t="str">
        <f>IFERROR(IF(VLOOKUP(BS17,AT:AZ,7,0)="Issuer",VLOOKUP(BS17,AT:AZ,6,0),""),"")</f>
        <v/>
      </c>
      <c r="BV17" s="26" t="s">
        <v>1416</v>
      </c>
      <c r="BZ17" s="108" t="s">
        <v>2051</v>
      </c>
      <c r="CA17" s="94" t="s">
        <v>1307</v>
      </c>
      <c r="CB17" s="94">
        <v>80511</v>
      </c>
      <c r="CC17" s="94">
        <f>_xll.CbondsIndexValue(CB17,$K$6)</f>
        <v>16.71</v>
      </c>
      <c r="CD17" s="165">
        <v>80535</v>
      </c>
      <c r="CE17" s="26"/>
      <c r="CF17" s="26"/>
      <c r="CG17" s="26"/>
      <c r="CH17" s="26" t="str">
        <f>_xll.ReferenceParams(CG17,$CH$6 )</f>
        <v/>
      </c>
      <c r="CI17" s="35" t="str">
        <f>_xll.ReferenceParams(CG17,$CI$6 )</f>
        <v/>
      </c>
      <c r="CJ17" s="35" t="str">
        <f>_xll.ReferenceParams(CG17,$CJ$6)</f>
        <v/>
      </c>
      <c r="CK17" s="26" t="str">
        <f t="shared" si="23"/>
        <v/>
      </c>
      <c r="CL17" s="26"/>
      <c r="DL17" s="1"/>
    </row>
    <row r="18" spans="1:116" x14ac:dyDescent="0.3">
      <c r="A18" s="24" t="s">
        <v>365</v>
      </c>
      <c r="B18" s="39" t="str">
        <f>_xll.EfirEndOfDay(,$K$6,A18,"LAST_TRADE_DATE",,$B$1,,0)</f>
        <v/>
      </c>
      <c r="D18" s="28">
        <f t="shared" si="1"/>
        <v>46007</v>
      </c>
      <c r="E18" s="86">
        <f>_xll.CbondsClosePrice($B$1,D18,$B$27)</f>
        <v>96.84</v>
      </c>
      <c r="F18" s="131">
        <f t="shared" si="0"/>
        <v>96.84</v>
      </c>
      <c r="I18" s="29">
        <v>13</v>
      </c>
      <c r="J18" s="35">
        <f>VLOOKUP(J17,'Help Page'!A:B,2,0)</f>
        <v>45658</v>
      </c>
      <c r="K18" s="36">
        <f>VLOOKUP(J18,'Help Page'!A:C,3,0)</f>
        <v>45656</v>
      </c>
      <c r="L18" s="80">
        <f>IF(_xll.CbondsClosePrice($B$1,K18,$B$27) = "Нет данных","",_xll.CbondsClosePrice($B$1,K18,$B$27))</f>
        <v>85.23</v>
      </c>
      <c r="M18" s="163">
        <f>IFERROR(IF($M$5 = "YTM",_xll.CbondsCalcYTM($B$1,K18,L18),_xll.CbondsCalcYTP($B$1,K18,L18)),"")</f>
        <v>0.22003964114293001</v>
      </c>
      <c r="N18" s="84">
        <f>IFERROR(IF($N$5 = "DURATION to maturity",_xll.CbondsCalcDuration($B$1,K18,L18),_xll.CbondsCalcDurationToPutCall($B$1,K18,L18)),"")</f>
        <v>498.09391305059</v>
      </c>
      <c r="O18" s="39">
        <f t="shared" si="7"/>
        <v>1.3646408576728493</v>
      </c>
      <c r="P18" s="41">
        <f>IFERROR(_xll.GCurve(K18,N18,$P$4)/100,"")</f>
        <v>0.184075896143196</v>
      </c>
      <c r="Q18" s="39">
        <f t="shared" si="8"/>
        <v>359.63744999734007</v>
      </c>
      <c r="R18" s="124">
        <f t="shared" si="9"/>
        <v>22.003964114293002</v>
      </c>
      <c r="S18" s="124">
        <f t="shared" si="10"/>
        <v>18.407589614319601</v>
      </c>
      <c r="T18" s="35">
        <f t="shared" si="11"/>
        <v>45658</v>
      </c>
      <c r="V18" s="26" t="e">
        <f>VLOOKUP(W18,'Help Page'!E:F,2,0)</f>
        <v>#N/A</v>
      </c>
      <c r="W18" s="86"/>
      <c r="X18" s="86"/>
      <c r="Y18" s="86"/>
      <c r="Z18" s="86"/>
      <c r="AA18" s="86"/>
      <c r="AB18" s="86"/>
      <c r="AD18" s="26" t="e">
        <f>VLOOKUP(AE18,'Help Page'!E:F,2,0)</f>
        <v>#N/A</v>
      </c>
      <c r="AE18" s="26">
        <f t="shared" si="12"/>
        <v>0</v>
      </c>
      <c r="AF18" s="26">
        <f t="shared" si="13"/>
        <v>0</v>
      </c>
      <c r="AG18" s="26"/>
      <c r="AH18" s="26">
        <f t="shared" si="14"/>
        <v>0</v>
      </c>
      <c r="AI18" s="35">
        <f t="shared" si="15"/>
        <v>0</v>
      </c>
      <c r="AJ18" s="26"/>
      <c r="AL18" s="26" t="e">
        <f>VLOOKUP(AM18,'Help Page'!E:F,2,0)</f>
        <v>#N/A</v>
      </c>
      <c r="AM18" s="86"/>
      <c r="AN18" s="86"/>
      <c r="AO18" s="86"/>
      <c r="AP18" s="86"/>
      <c r="AQ18" s="86"/>
      <c r="AR18" s="86"/>
      <c r="AT18" s="26" t="e">
        <f>VLOOKUP(AU18,'Help Page'!E:F,2,0)</f>
        <v>#N/A</v>
      </c>
      <c r="AU18" s="26">
        <f t="shared" si="16"/>
        <v>0</v>
      </c>
      <c r="AV18" s="26">
        <f t="shared" si="17"/>
        <v>0</v>
      </c>
      <c r="AW18" s="26">
        <f t="shared" si="18"/>
        <v>0</v>
      </c>
      <c r="AX18" s="26">
        <f t="shared" si="19"/>
        <v>0</v>
      </c>
      <c r="AY18" s="35">
        <f t="shared" si="20"/>
        <v>0</v>
      </c>
      <c r="AZ18" s="26">
        <f t="shared" si="21"/>
        <v>0</v>
      </c>
      <c r="BB18" s="26" t="e">
        <f>VLOOKUP(BC18,'Help Page'!E:F,2,0)</f>
        <v>#N/A</v>
      </c>
      <c r="BC18" s="86"/>
      <c r="BD18" s="86"/>
      <c r="BE18" s="86"/>
      <c r="BF18" s="86"/>
      <c r="BG18" s="86"/>
      <c r="BH18" s="86"/>
      <c r="BJ18" s="26" t="e">
        <f>VLOOKUP(BK18,'Help Page'!E:F,2,0)</f>
        <v>#N/A</v>
      </c>
      <c r="BK18" s="26">
        <f t="shared" si="22"/>
        <v>0</v>
      </c>
      <c r="BL18" s="26">
        <f t="shared" si="2"/>
        <v>0</v>
      </c>
      <c r="BM18" s="26">
        <f t="shared" si="3"/>
        <v>0</v>
      </c>
      <c r="BN18" s="26">
        <f t="shared" si="4"/>
        <v>0</v>
      </c>
      <c r="BO18" s="35">
        <f t="shared" si="5"/>
        <v>0</v>
      </c>
      <c r="BP18" s="26">
        <f t="shared" si="6"/>
        <v>0</v>
      </c>
      <c r="BS18" s="26" t="s">
        <v>1414</v>
      </c>
      <c r="BT18" s="26" t="str">
        <f>IFERROR(IF(VLOOKUP(BS18,AT:AZ,7,0)="Issuer",VLOOKUP(BS18,AT:AZ,3,0)&amp;"/"&amp;VLOOKUP(BS18,AT:AZ,4,0),""),"")</f>
        <v/>
      </c>
      <c r="BU18" s="36" t="str">
        <f>IFERROR(IF(VLOOKUP(BS18,AT:AZ,7,0)="Issuer",VLOOKUP(BS18,AT:AZ,6,0),""),"")</f>
        <v/>
      </c>
      <c r="BV18" s="26" t="s">
        <v>1414</v>
      </c>
      <c r="BZ18" s="108" t="s">
        <v>2052</v>
      </c>
      <c r="CA18" s="129" t="s">
        <v>2053</v>
      </c>
      <c r="CB18" s="129">
        <v>80519</v>
      </c>
      <c r="CC18" s="94">
        <f>_xll.CbondsIndexValue(CB18,$K$6)</f>
        <v>21.44</v>
      </c>
      <c r="CD18" s="165">
        <v>80543</v>
      </c>
      <c r="CE18" s="26"/>
      <c r="CF18" s="26"/>
      <c r="CG18" s="26"/>
      <c r="CH18" s="26" t="str">
        <f>_xll.ReferenceParams(CG18,$CH$6 )</f>
        <v/>
      </c>
      <c r="CI18" s="35" t="str">
        <f>_xll.ReferenceParams(CG18,$CI$6 )</f>
        <v/>
      </c>
      <c r="CJ18" s="35" t="str">
        <f>_xll.ReferenceParams(CG18,$CJ$6)</f>
        <v/>
      </c>
      <c r="CK18" s="26" t="str">
        <f t="shared" si="23"/>
        <v/>
      </c>
      <c r="CL18" s="26"/>
      <c r="DL18" s="1"/>
    </row>
    <row r="19" spans="1:116" x14ac:dyDescent="0.3">
      <c r="A19" s="24" t="s">
        <v>366</v>
      </c>
      <c r="B19" s="39" t="e">
        <f>_xll.EfirEndOfDay(,$K$6,A19,"LAST_TRADE_DATE",,$B$1,,0)/365</f>
        <v>#VALUE!</v>
      </c>
      <c r="D19" s="28">
        <f t="shared" si="1"/>
        <v>46006</v>
      </c>
      <c r="E19" s="86">
        <f>_xll.CbondsClosePrice($B$1,D19,$B$27)</f>
        <v>96.76</v>
      </c>
      <c r="F19" s="131">
        <f t="shared" si="0"/>
        <v>96.76</v>
      </c>
      <c r="V19" s="26" t="e">
        <f>VLOOKUP(W19,'Help Page'!E:F,2,0)</f>
        <v>#N/A</v>
      </c>
      <c r="W19" s="86"/>
      <c r="X19" s="86"/>
      <c r="Y19" s="86"/>
      <c r="Z19" s="86"/>
      <c r="AA19" s="86"/>
      <c r="AB19" s="86"/>
      <c r="AD19" s="26" t="e">
        <f>VLOOKUP(AE19,'Help Page'!E:F,2,0)</f>
        <v>#N/A</v>
      </c>
      <c r="AE19" s="26">
        <f t="shared" si="12"/>
        <v>0</v>
      </c>
      <c r="AF19" s="26">
        <f t="shared" si="13"/>
        <v>0</v>
      </c>
      <c r="AG19" s="26"/>
      <c r="AH19" s="26">
        <f t="shared" si="14"/>
        <v>0</v>
      </c>
      <c r="AI19" s="35">
        <f t="shared" si="15"/>
        <v>0</v>
      </c>
      <c r="AJ19" s="26"/>
      <c r="AL19" s="26" t="e">
        <f>VLOOKUP(AM19,'Help Page'!E:F,2,0)</f>
        <v>#N/A</v>
      </c>
      <c r="AM19" s="86"/>
      <c r="AN19" s="86"/>
      <c r="AO19" s="86"/>
      <c r="AP19" s="86"/>
      <c r="AQ19" s="86"/>
      <c r="AR19" s="86"/>
      <c r="AT19" s="26" t="e">
        <f>VLOOKUP(AU19,'Help Page'!E:F,2,0)</f>
        <v>#N/A</v>
      </c>
      <c r="AU19" s="26">
        <f t="shared" si="16"/>
        <v>0</v>
      </c>
      <c r="AV19" s="26">
        <f t="shared" si="17"/>
        <v>0</v>
      </c>
      <c r="AW19" s="26">
        <f t="shared" si="18"/>
        <v>0</v>
      </c>
      <c r="AX19" s="26">
        <f t="shared" si="19"/>
        <v>0</v>
      </c>
      <c r="AY19" s="35">
        <f t="shared" si="20"/>
        <v>0</v>
      </c>
      <c r="AZ19" s="26">
        <f t="shared" si="21"/>
        <v>0</v>
      </c>
      <c r="BB19" s="26" t="e">
        <f>VLOOKUP(BC19,'Help Page'!E:F,2,0)</f>
        <v>#N/A</v>
      </c>
      <c r="BC19" s="86"/>
      <c r="BD19" s="86"/>
      <c r="BE19" s="86"/>
      <c r="BF19" s="86"/>
      <c r="BG19" s="86"/>
      <c r="BH19" s="86"/>
      <c r="BJ19" s="26" t="e">
        <f>VLOOKUP(BK19,'Help Page'!E:F,2,0)</f>
        <v>#N/A</v>
      </c>
      <c r="BK19" s="26">
        <f t="shared" si="22"/>
        <v>0</v>
      </c>
      <c r="BL19" s="26">
        <f t="shared" si="2"/>
        <v>0</v>
      </c>
      <c r="BM19" s="26">
        <f t="shared" si="3"/>
        <v>0</v>
      </c>
      <c r="BN19" s="26">
        <f t="shared" si="4"/>
        <v>0</v>
      </c>
      <c r="BO19" s="35">
        <f t="shared" si="5"/>
        <v>0</v>
      </c>
      <c r="BP19" s="26">
        <f t="shared" si="6"/>
        <v>0</v>
      </c>
      <c r="BS19" s="105"/>
      <c r="BT19" s="105"/>
      <c r="BU19" s="105"/>
      <c r="BV19" s="105"/>
      <c r="BZ19" s="108" t="s">
        <v>1258</v>
      </c>
      <c r="CA19" s="94" t="s">
        <v>1262</v>
      </c>
      <c r="CB19" s="94">
        <v>9225</v>
      </c>
      <c r="CC19" s="94">
        <f>_xll.CbondsIndexValue(CB19,$K$6)</f>
        <v>14.52</v>
      </c>
      <c r="CE19" s="26"/>
      <c r="CF19" s="26"/>
      <c r="CG19" s="26"/>
      <c r="CH19" s="26" t="str">
        <f>_xll.ReferenceParams(CG19,$CH$6 )</f>
        <v/>
      </c>
      <c r="CI19" s="35" t="str">
        <f>_xll.ReferenceParams(CG19,$CI$6 )</f>
        <v/>
      </c>
      <c r="CJ19" s="35" t="str">
        <f>_xll.ReferenceParams(CG19,$CJ$6)</f>
        <v/>
      </c>
      <c r="CK19" s="26" t="str">
        <f t="shared" si="23"/>
        <v/>
      </c>
      <c r="CL19" s="26"/>
      <c r="DL19" s="1"/>
    </row>
    <row r="20" spans="1:116" x14ac:dyDescent="0.3">
      <c r="A20" s="24" t="s">
        <v>372</v>
      </c>
      <c r="B20" s="84" t="str">
        <f>_xll.EfirEndOfDay(,$K$6,A19,"LAST_TRADE_DATE",,$B$1,,0)</f>
        <v/>
      </c>
      <c r="D20" s="28">
        <f t="shared" si="1"/>
        <v>46005</v>
      </c>
      <c r="E20" s="86" t="str">
        <f>_xll.CbondsClosePrice($B$1,D20,$B$27)</f>
        <v>Нет данных</v>
      </c>
      <c r="F20" s="131">
        <f t="shared" si="0"/>
        <v>96.82</v>
      </c>
      <c r="I20" s="15" t="s">
        <v>341</v>
      </c>
      <c r="J20" s="21"/>
      <c r="V20" s="26" t="e">
        <f>VLOOKUP(W20,'Help Page'!E:F,2,0)</f>
        <v>#N/A</v>
      </c>
      <c r="W20" s="86"/>
      <c r="X20" s="86"/>
      <c r="Y20" s="86"/>
      <c r="Z20" s="86"/>
      <c r="AA20" s="86"/>
      <c r="AB20" s="86"/>
      <c r="AD20" s="26" t="e">
        <f>VLOOKUP(AE20,'Help Page'!E:F,2,0)</f>
        <v>#N/A</v>
      </c>
      <c r="AE20" s="26">
        <f t="shared" si="12"/>
        <v>0</v>
      </c>
      <c r="AF20" s="26">
        <f t="shared" si="13"/>
        <v>0</v>
      </c>
      <c r="AG20" s="26"/>
      <c r="AH20" s="26">
        <f t="shared" si="14"/>
        <v>0</v>
      </c>
      <c r="AI20" s="35">
        <f t="shared" si="15"/>
        <v>0</v>
      </c>
      <c r="AJ20" s="26"/>
      <c r="AL20" s="26" t="e">
        <f>VLOOKUP(AM20,'Help Page'!E:F,2,0)</f>
        <v>#N/A</v>
      </c>
      <c r="AM20" s="86"/>
      <c r="AN20" s="86"/>
      <c r="AO20" s="86"/>
      <c r="AP20" s="86"/>
      <c r="AQ20" s="86"/>
      <c r="AR20" s="86"/>
      <c r="AT20" s="26" t="e">
        <f>VLOOKUP(AU20,'Help Page'!E:F,2,0)</f>
        <v>#N/A</v>
      </c>
      <c r="AU20" s="26">
        <f t="shared" si="16"/>
        <v>0</v>
      </c>
      <c r="AV20" s="26">
        <f t="shared" si="17"/>
        <v>0</v>
      </c>
      <c r="AW20" s="26">
        <f t="shared" si="18"/>
        <v>0</v>
      </c>
      <c r="AX20" s="26">
        <f t="shared" si="19"/>
        <v>0</v>
      </c>
      <c r="AY20" s="35">
        <f t="shared" si="20"/>
        <v>0</v>
      </c>
      <c r="AZ20" s="26">
        <f t="shared" si="21"/>
        <v>0</v>
      </c>
      <c r="BB20" s="26" t="e">
        <f>VLOOKUP(BC20,'Help Page'!E:F,2,0)</f>
        <v>#N/A</v>
      </c>
      <c r="BC20" s="86"/>
      <c r="BD20" s="86"/>
      <c r="BE20" s="86"/>
      <c r="BF20" s="86"/>
      <c r="BG20" s="86"/>
      <c r="BH20" s="86"/>
      <c r="BJ20" s="26" t="e">
        <f>VLOOKUP(BK20,'Help Page'!E:F,2,0)</f>
        <v>#N/A</v>
      </c>
      <c r="BK20" s="26">
        <f t="shared" si="22"/>
        <v>0</v>
      </c>
      <c r="BL20" s="26">
        <f t="shared" si="2"/>
        <v>0</v>
      </c>
      <c r="BM20" s="26">
        <f t="shared" si="3"/>
        <v>0</v>
      </c>
      <c r="BN20" s="26">
        <f t="shared" si="4"/>
        <v>0</v>
      </c>
      <c r="BO20" s="35">
        <f t="shared" si="5"/>
        <v>0</v>
      </c>
      <c r="BP20" s="26">
        <f t="shared" si="6"/>
        <v>0</v>
      </c>
      <c r="BS20" s="105"/>
      <c r="BT20" s="105"/>
      <c r="BU20" s="105"/>
      <c r="BV20" s="105"/>
      <c r="BZ20" s="108" t="s">
        <v>1308</v>
      </c>
      <c r="CA20" s="94" t="s">
        <v>1309</v>
      </c>
      <c r="CB20" s="94">
        <v>80495</v>
      </c>
      <c r="CC20" s="94">
        <f>_xll.CbondsIndexValue(CB20,$K$6)</f>
        <v>25.55</v>
      </c>
      <c r="CE20" s="26"/>
      <c r="CF20" s="26"/>
      <c r="CG20" s="26"/>
      <c r="CH20" s="26" t="str">
        <f>_xll.ReferenceParams(CG20,$CH$6 )</f>
        <v/>
      </c>
      <c r="CI20" s="35" t="str">
        <f>_xll.ReferenceParams(CG20,$CI$6 )</f>
        <v/>
      </c>
      <c r="CJ20" s="35" t="str">
        <f>_xll.ReferenceParams(CG20,$CJ$6)</f>
        <v/>
      </c>
      <c r="CK20" s="26" t="str">
        <f t="shared" si="23"/>
        <v/>
      </c>
      <c r="CL20" s="26"/>
      <c r="DL20" s="1"/>
    </row>
    <row r="21" spans="1:116" x14ac:dyDescent="0.3">
      <c r="A21" s="85" t="s">
        <v>371</v>
      </c>
      <c r="B21" s="39" t="e">
        <f>_xll.GCurve(K6,B20,$P$4)</f>
        <v>#VALUE!</v>
      </c>
      <c r="D21" s="28">
        <f t="shared" si="1"/>
        <v>46004</v>
      </c>
      <c r="E21" s="86" t="str">
        <f>_xll.CbondsClosePrice($B$1,D21,$B$27)</f>
        <v>Нет данных</v>
      </c>
      <c r="F21" s="131">
        <f t="shared" si="0"/>
        <v>96.82</v>
      </c>
      <c r="I21" s="24" t="s">
        <v>343</v>
      </c>
      <c r="J21" s="24" t="s">
        <v>344</v>
      </c>
      <c r="K21" s="24" t="s">
        <v>345</v>
      </c>
      <c r="L21" s="24" t="s">
        <v>346</v>
      </c>
      <c r="M21" s="24" t="s">
        <v>347</v>
      </c>
      <c r="V21" s="26" t="e">
        <f>VLOOKUP(W21,'Help Page'!E:F,2,0)</f>
        <v>#N/A</v>
      </c>
      <c r="W21" s="86"/>
      <c r="X21" s="86"/>
      <c r="Y21" s="86"/>
      <c r="Z21" s="86"/>
      <c r="AA21" s="86"/>
      <c r="AB21" s="86"/>
      <c r="AD21" s="26" t="e">
        <f>VLOOKUP(AE21,'Help Page'!E:F,2,0)</f>
        <v>#N/A</v>
      </c>
      <c r="AE21" s="26">
        <f t="shared" si="12"/>
        <v>0</v>
      </c>
      <c r="AF21" s="26">
        <f t="shared" si="13"/>
        <v>0</v>
      </c>
      <c r="AG21" s="26"/>
      <c r="AH21" s="26">
        <f t="shared" si="14"/>
        <v>0</v>
      </c>
      <c r="AI21" s="35">
        <f t="shared" si="15"/>
        <v>0</v>
      </c>
      <c r="AJ21" s="26"/>
      <c r="AL21" s="26" t="e">
        <f>VLOOKUP(AM21,'Help Page'!E:F,2,0)</f>
        <v>#N/A</v>
      </c>
      <c r="AM21" s="86"/>
      <c r="AN21" s="86"/>
      <c r="AO21" s="86"/>
      <c r="AP21" s="86"/>
      <c r="AQ21" s="86"/>
      <c r="AR21" s="86"/>
      <c r="AT21" s="26" t="e">
        <f>VLOOKUP(AU21,'Help Page'!E:F,2,0)</f>
        <v>#N/A</v>
      </c>
      <c r="AU21" s="26">
        <f t="shared" si="16"/>
        <v>0</v>
      </c>
      <c r="AV21" s="26">
        <f t="shared" si="17"/>
        <v>0</v>
      </c>
      <c r="AW21" s="26">
        <f t="shared" si="18"/>
        <v>0</v>
      </c>
      <c r="AX21" s="26">
        <f t="shared" si="19"/>
        <v>0</v>
      </c>
      <c r="AY21" s="35">
        <f t="shared" si="20"/>
        <v>0</v>
      </c>
      <c r="AZ21" s="26">
        <f t="shared" si="21"/>
        <v>0</v>
      </c>
      <c r="BB21" s="26" t="e">
        <f>VLOOKUP(BC21,'Help Page'!E:F,2,0)</f>
        <v>#N/A</v>
      </c>
      <c r="BC21" s="86"/>
      <c r="BD21" s="86"/>
      <c r="BE21" s="86"/>
      <c r="BF21" s="86"/>
      <c r="BG21" s="86"/>
      <c r="BH21" s="86"/>
      <c r="BJ21" s="26" t="e">
        <f>VLOOKUP(BK21,'Help Page'!E:F,2,0)</f>
        <v>#N/A</v>
      </c>
      <c r="BK21" s="26">
        <f t="shared" si="22"/>
        <v>0</v>
      </c>
      <c r="BL21" s="26">
        <f t="shared" si="2"/>
        <v>0</v>
      </c>
      <c r="BM21" s="26">
        <f t="shared" si="3"/>
        <v>0</v>
      </c>
      <c r="BN21" s="26">
        <f t="shared" si="4"/>
        <v>0</v>
      </c>
      <c r="BO21" s="35">
        <f t="shared" si="5"/>
        <v>0</v>
      </c>
      <c r="BP21" s="26">
        <f t="shared" si="6"/>
        <v>0</v>
      </c>
      <c r="BS21" s="24" t="s">
        <v>1248</v>
      </c>
      <c r="BU21" s="22"/>
      <c r="BV21" s="105"/>
      <c r="BW21" s="105"/>
      <c r="CE21" s="26"/>
      <c r="CF21" s="26"/>
      <c r="CG21" s="26"/>
      <c r="CH21" s="26" t="str">
        <f>_xll.ReferenceParams(CG21,$CH$6 )</f>
        <v/>
      </c>
      <c r="CI21" s="35" t="str">
        <f>_xll.ReferenceParams(CG21,$CI$6 )</f>
        <v/>
      </c>
      <c r="CJ21" s="35" t="str">
        <f>_xll.ReferenceParams(CG21,$CJ$6)</f>
        <v/>
      </c>
      <c r="CK21" s="26" t="str">
        <f t="shared" si="23"/>
        <v/>
      </c>
      <c r="CL21" s="26"/>
      <c r="DL21" s="1"/>
    </row>
    <row r="22" spans="1:116" x14ac:dyDescent="0.3">
      <c r="D22" s="28">
        <f t="shared" si="1"/>
        <v>46003</v>
      </c>
      <c r="E22" s="86">
        <f>_xll.CbondsClosePrice($B$1,D22,$B$27)</f>
        <v>96.82</v>
      </c>
      <c r="F22" s="131">
        <f t="shared" si="0"/>
        <v>96.82</v>
      </c>
      <c r="I22" s="76">
        <f>_xll.EfirHistoryAgg(B1,J6-30,J6-1,"DO",I21)</f>
        <v>7793</v>
      </c>
      <c r="J22" s="38">
        <f>_xll.EfirHistoryAgg(B1,J6-30,J6-1,"DO",J21)</f>
        <v>21</v>
      </c>
      <c r="K22" s="38">
        <f>_xll.EfirHistoryAgg(B1,J6-30,J6-1,"DO",K21)</f>
        <v>507793581.89999998</v>
      </c>
      <c r="L22" s="38">
        <f>_xll.ReferenceParams(B1,L21)</f>
        <v>24650000000</v>
      </c>
      <c r="M22" s="41">
        <f>K22/L22</f>
        <v>2.0600145310344826E-2</v>
      </c>
      <c r="V22" s="26" t="e">
        <f>VLOOKUP(W22,'Help Page'!E:F,2,0)</f>
        <v>#N/A</v>
      </c>
      <c r="W22" s="86"/>
      <c r="X22" s="86"/>
      <c r="Y22" s="86"/>
      <c r="Z22" s="86"/>
      <c r="AA22" s="86"/>
      <c r="AB22" s="86"/>
      <c r="AD22" s="26" t="e">
        <f>VLOOKUP(AE22,'Help Page'!E:F,2,0)</f>
        <v>#N/A</v>
      </c>
      <c r="AE22" s="26">
        <f t="shared" si="12"/>
        <v>0</v>
      </c>
      <c r="AF22" s="26">
        <f t="shared" si="13"/>
        <v>0</v>
      </c>
      <c r="AG22" s="26"/>
      <c r="AH22" s="26">
        <f t="shared" si="14"/>
        <v>0</v>
      </c>
      <c r="AI22" s="35">
        <f t="shared" si="15"/>
        <v>0</v>
      </c>
      <c r="AJ22" s="26"/>
      <c r="AL22" s="26" t="e">
        <f>VLOOKUP(AM22,'Help Page'!E:F,2,0)</f>
        <v>#N/A</v>
      </c>
      <c r="AM22" s="86"/>
      <c r="AN22" s="86"/>
      <c r="AO22" s="86"/>
      <c r="AP22" s="86"/>
      <c r="AQ22" s="86"/>
      <c r="AR22" s="86"/>
      <c r="AT22" s="26" t="e">
        <f>VLOOKUP(AU22,'Help Page'!E:F,2,0)</f>
        <v>#N/A</v>
      </c>
      <c r="AU22" s="26">
        <f t="shared" si="16"/>
        <v>0</v>
      </c>
      <c r="AV22" s="26">
        <f t="shared" si="17"/>
        <v>0</v>
      </c>
      <c r="AW22" s="26">
        <f t="shared" si="18"/>
        <v>0</v>
      </c>
      <c r="AX22" s="26">
        <f t="shared" si="19"/>
        <v>0</v>
      </c>
      <c r="AY22" s="35">
        <f t="shared" si="20"/>
        <v>0</v>
      </c>
      <c r="AZ22" s="26">
        <f t="shared" si="21"/>
        <v>0</v>
      </c>
      <c r="BB22" s="26" t="e">
        <f>VLOOKUP(BC22,'Help Page'!E:F,2,0)</f>
        <v>#N/A</v>
      </c>
      <c r="BC22" s="86"/>
      <c r="BD22" s="86"/>
      <c r="BE22" s="86"/>
      <c r="BF22" s="86"/>
      <c r="BG22" s="86"/>
      <c r="BH22" s="86"/>
      <c r="BJ22" s="26" t="e">
        <f>VLOOKUP(BK22,'Help Page'!E:F,2,0)</f>
        <v>#N/A</v>
      </c>
      <c r="BK22" s="26">
        <f t="shared" si="22"/>
        <v>0</v>
      </c>
      <c r="BL22" s="26">
        <f t="shared" si="2"/>
        <v>0</v>
      </c>
      <c r="BM22" s="26">
        <f t="shared" si="3"/>
        <v>0</v>
      </c>
      <c r="BN22" s="26">
        <f t="shared" si="4"/>
        <v>0</v>
      </c>
      <c r="BO22" s="35">
        <f t="shared" si="5"/>
        <v>0</v>
      </c>
      <c r="BP22" s="26">
        <f t="shared" si="6"/>
        <v>0</v>
      </c>
      <c r="BS22" s="24" t="s">
        <v>338</v>
      </c>
      <c r="BT22" s="24" t="s">
        <v>337</v>
      </c>
      <c r="BU22" s="37" t="s">
        <v>63</v>
      </c>
      <c r="BV22" s="24" t="s">
        <v>1415</v>
      </c>
      <c r="BW22" s="105"/>
      <c r="CE22" s="26"/>
      <c r="CF22" s="26"/>
      <c r="CG22" s="26"/>
      <c r="CH22" s="26" t="str">
        <f>_xll.ReferenceParams(CG22,$CH$6 )</f>
        <v/>
      </c>
      <c r="CI22" s="35" t="str">
        <f>_xll.ReferenceParams(CG22,$CI$6 )</f>
        <v/>
      </c>
      <c r="CJ22" s="35" t="str">
        <f>_xll.ReferenceParams(CG22,$CJ$6)</f>
        <v/>
      </c>
      <c r="CK22" s="26" t="str">
        <f t="shared" si="23"/>
        <v/>
      </c>
      <c r="CL22" s="26"/>
      <c r="DL22" s="1"/>
    </row>
    <row r="23" spans="1:116" x14ac:dyDescent="0.3">
      <c r="A23" s="24" t="s">
        <v>1244</v>
      </c>
      <c r="B23" s="36" t="str">
        <f>IF(AND(B25&lt;&gt;"",B24=""),"Call",IF(AND(B25&lt;&gt;"",B24&lt;&gt;""),"Put","Нет"))</f>
        <v>Нет</v>
      </c>
      <c r="D23" s="28">
        <f t="shared" si="1"/>
        <v>46002</v>
      </c>
      <c r="E23" s="86">
        <f>_xll.CbondsClosePrice($B$1,D23,$B$27)</f>
        <v>96.81</v>
      </c>
      <c r="F23" s="131">
        <f t="shared" si="0"/>
        <v>96.81</v>
      </c>
      <c r="O23" s="1"/>
      <c r="Q23" s="105"/>
      <c r="V23" s="26" t="e">
        <f>VLOOKUP(W23,'Help Page'!E:F,2,0)</f>
        <v>#N/A</v>
      </c>
      <c r="W23" s="86"/>
      <c r="X23" s="86"/>
      <c r="Y23" s="86"/>
      <c r="Z23" s="86"/>
      <c r="AA23" s="86"/>
      <c r="AB23" s="86"/>
      <c r="AD23" s="26" t="e">
        <f>VLOOKUP(AE23,'Help Page'!E:F,2,0)</f>
        <v>#N/A</v>
      </c>
      <c r="AE23" s="26">
        <f t="shared" si="12"/>
        <v>0</v>
      </c>
      <c r="AF23" s="26">
        <f t="shared" si="13"/>
        <v>0</v>
      </c>
      <c r="AG23" s="26"/>
      <c r="AH23" s="26">
        <f t="shared" si="14"/>
        <v>0</v>
      </c>
      <c r="AI23" s="35">
        <f t="shared" si="15"/>
        <v>0</v>
      </c>
      <c r="AJ23" s="26"/>
      <c r="AL23" s="26" t="e">
        <f>VLOOKUP(AM23,'Help Page'!E:F,2,0)</f>
        <v>#N/A</v>
      </c>
      <c r="AM23" s="86"/>
      <c r="AN23" s="86"/>
      <c r="AO23" s="86"/>
      <c r="AP23" s="86"/>
      <c r="AQ23" s="86"/>
      <c r="AR23" s="86"/>
      <c r="AT23" s="26" t="e">
        <f>VLOOKUP(AU23,'Help Page'!E:F,2,0)</f>
        <v>#N/A</v>
      </c>
      <c r="AU23" s="26">
        <f t="shared" si="16"/>
        <v>0</v>
      </c>
      <c r="AV23" s="26">
        <f t="shared" si="17"/>
        <v>0</v>
      </c>
      <c r="AW23" s="26">
        <f t="shared" si="18"/>
        <v>0</v>
      </c>
      <c r="AX23" s="26">
        <f t="shared" si="19"/>
        <v>0</v>
      </c>
      <c r="AY23" s="35">
        <f t="shared" si="20"/>
        <v>0</v>
      </c>
      <c r="AZ23" s="26">
        <f t="shared" si="21"/>
        <v>0</v>
      </c>
      <c r="BB23" s="26" t="e">
        <f>VLOOKUP(BC23,'Help Page'!E:F,2,0)</f>
        <v>#N/A</v>
      </c>
      <c r="BC23" s="86"/>
      <c r="BD23" s="86"/>
      <c r="BE23" s="86"/>
      <c r="BF23" s="86"/>
      <c r="BG23" s="86"/>
      <c r="BH23" s="86"/>
      <c r="BJ23" s="26" t="e">
        <f>VLOOKUP(BK23,'Help Page'!E:F,2,0)</f>
        <v>#N/A</v>
      </c>
      <c r="BK23" s="26">
        <f t="shared" si="22"/>
        <v>0</v>
      </c>
      <c r="BL23" s="26">
        <f t="shared" si="2"/>
        <v>0</v>
      </c>
      <c r="BM23" s="26">
        <f t="shared" si="3"/>
        <v>0</v>
      </c>
      <c r="BN23" s="26">
        <f t="shared" si="4"/>
        <v>0</v>
      </c>
      <c r="BO23" s="35">
        <f t="shared" si="5"/>
        <v>0</v>
      </c>
      <c r="BP23" s="26">
        <f t="shared" si="6"/>
        <v>0</v>
      </c>
      <c r="BS23" s="26" t="s">
        <v>1322</v>
      </c>
      <c r="BT23" s="26" t="str">
        <f>IFERROR(IF(VLOOKUP(BS23,BJ:BP,7,0)="Guarant 1",VLOOKUP(BS23,BJ:BP,3,0)&amp;"/"&amp;VLOOKUP(BS23,BJ:BP,4,0),""),"")</f>
        <v/>
      </c>
      <c r="BU23" s="36" t="str">
        <f>IFERROR(IF(VLOOKUP(BS23,BJ:BP,7,0)="Guarant 1",VLOOKUP(BS23,BJ:BP,6,0),""),"")</f>
        <v/>
      </c>
      <c r="BV23" s="26" t="s">
        <v>28</v>
      </c>
      <c r="BW23" s="105"/>
      <c r="CE23" s="26"/>
      <c r="CF23" s="26"/>
      <c r="CG23" s="26"/>
      <c r="CH23" s="26" t="str">
        <f>_xll.ReferenceParams(CG23,$CH$6 )</f>
        <v/>
      </c>
      <c r="CI23" s="35" t="str">
        <f>_xll.ReferenceParams(CG23,$CI$6 )</f>
        <v/>
      </c>
      <c r="CJ23" s="35" t="str">
        <f>_xll.ReferenceParams(CG23,$CJ$6)</f>
        <v/>
      </c>
      <c r="CK23" s="26" t="str">
        <f t="shared" si="23"/>
        <v/>
      </c>
      <c r="CL23" s="26"/>
      <c r="DL23" s="1"/>
    </row>
    <row r="24" spans="1:116" x14ac:dyDescent="0.3">
      <c r="A24" s="24" t="s">
        <v>350</v>
      </c>
      <c r="B24" s="36" t="str">
        <f>_xll.BondDateParams($B$1,$K$6,A24)</f>
        <v/>
      </c>
      <c r="C24" t="s">
        <v>1243</v>
      </c>
      <c r="D24" s="28">
        <f t="shared" si="1"/>
        <v>46001</v>
      </c>
      <c r="E24" s="86">
        <f>_xll.CbondsClosePrice($B$1,D24,$B$27)</f>
        <v>96.66</v>
      </c>
      <c r="F24" s="131">
        <f t="shared" si="0"/>
        <v>96.66</v>
      </c>
      <c r="I24" s="15" t="s">
        <v>357</v>
      </c>
      <c r="O24" s="1"/>
      <c r="Q24" s="105"/>
      <c r="V24" s="26" t="e">
        <f>VLOOKUP(W24,'Help Page'!E:F,2,0)</f>
        <v>#N/A</v>
      </c>
      <c r="W24" s="86"/>
      <c r="X24" s="86"/>
      <c r="Y24" s="86"/>
      <c r="Z24" s="86"/>
      <c r="AA24" s="86"/>
      <c r="AB24" s="86"/>
      <c r="AD24" s="26" t="e">
        <f>VLOOKUP(AE24,'Help Page'!E:F,2,0)</f>
        <v>#N/A</v>
      </c>
      <c r="AE24" s="26">
        <f t="shared" si="12"/>
        <v>0</v>
      </c>
      <c r="AF24" s="26">
        <f t="shared" si="13"/>
        <v>0</v>
      </c>
      <c r="AG24" s="26"/>
      <c r="AH24" s="26">
        <f t="shared" si="14"/>
        <v>0</v>
      </c>
      <c r="AI24" s="35">
        <f t="shared" si="15"/>
        <v>0</v>
      </c>
      <c r="AJ24" s="26"/>
      <c r="AL24" s="26" t="e">
        <f>VLOOKUP(AM24,'Help Page'!E:F,2,0)</f>
        <v>#N/A</v>
      </c>
      <c r="AM24" s="86"/>
      <c r="AN24" s="86"/>
      <c r="AO24" s="86"/>
      <c r="AP24" s="86"/>
      <c r="AQ24" s="86"/>
      <c r="AR24" s="86"/>
      <c r="AT24" s="26" t="e">
        <f>VLOOKUP(AU24,'Help Page'!E:F,2,0)</f>
        <v>#N/A</v>
      </c>
      <c r="AU24" s="26">
        <f t="shared" si="16"/>
        <v>0</v>
      </c>
      <c r="AV24" s="26">
        <f t="shared" si="17"/>
        <v>0</v>
      </c>
      <c r="AW24" s="26">
        <f t="shared" si="18"/>
        <v>0</v>
      </c>
      <c r="AX24" s="26">
        <f t="shared" si="19"/>
        <v>0</v>
      </c>
      <c r="AY24" s="35">
        <f t="shared" si="20"/>
        <v>0</v>
      </c>
      <c r="AZ24" s="26">
        <f t="shared" si="21"/>
        <v>0</v>
      </c>
      <c r="BB24" s="26" t="e">
        <f>VLOOKUP(BC24,'Help Page'!E:F,2,0)</f>
        <v>#N/A</v>
      </c>
      <c r="BC24" s="86"/>
      <c r="BD24" s="86"/>
      <c r="BE24" s="86"/>
      <c r="BF24" s="86"/>
      <c r="BG24" s="86"/>
      <c r="BH24" s="86"/>
      <c r="BJ24" s="26" t="e">
        <f>VLOOKUP(BK24,'Help Page'!E:F,2,0)</f>
        <v>#N/A</v>
      </c>
      <c r="BK24" s="26">
        <f t="shared" si="22"/>
        <v>0</v>
      </c>
      <c r="BL24" s="26">
        <f t="shared" si="2"/>
        <v>0</v>
      </c>
      <c r="BM24" s="26">
        <f t="shared" si="3"/>
        <v>0</v>
      </c>
      <c r="BN24" s="26">
        <f t="shared" si="4"/>
        <v>0</v>
      </c>
      <c r="BO24" s="35">
        <f t="shared" si="5"/>
        <v>0</v>
      </c>
      <c r="BP24" s="26">
        <f t="shared" si="6"/>
        <v>0</v>
      </c>
      <c r="BS24" s="26" t="s">
        <v>1338</v>
      </c>
      <c r="BT24" s="26" t="str">
        <f>IFERROR(IF(VLOOKUP(BS24,BJ:BP,7,0)="Guarant 1",VLOOKUP(BS24,BJ:BP,3,0)&amp;"/"&amp;VLOOKUP(BS24,BJ:BP,4,0),""),"")</f>
        <v/>
      </c>
      <c r="BU24" s="36" t="str">
        <f>IFERROR(IF(VLOOKUP(BS24,BJ:BP,7,0)="Guarant 1",VLOOKUP(BS24,BJ:BP,6,0),""),"")</f>
        <v/>
      </c>
      <c r="BV24" s="26" t="s">
        <v>76</v>
      </c>
      <c r="BW24" s="105"/>
      <c r="CE24" s="26"/>
      <c r="CF24" s="26"/>
      <c r="CG24" s="26"/>
      <c r="CH24" s="26" t="str">
        <f>_xll.ReferenceParams(CG24,$CH$6 )</f>
        <v/>
      </c>
      <c r="CI24" s="35" t="str">
        <f>_xll.ReferenceParams(CG24,$CI$6 )</f>
        <v/>
      </c>
      <c r="CJ24" s="35" t="str">
        <f>_xll.ReferenceParams(CG24,$CJ$6)</f>
        <v/>
      </c>
      <c r="CK24" s="26" t="str">
        <f t="shared" si="23"/>
        <v/>
      </c>
      <c r="CL24" s="26"/>
      <c r="DL24" s="1"/>
    </row>
    <row r="25" spans="1:116" x14ac:dyDescent="0.3">
      <c r="A25" s="24" t="s">
        <v>350</v>
      </c>
      <c r="B25" s="36" t="str">
        <f>_xll.ReferenceParams($B$1,A25)</f>
        <v/>
      </c>
      <c r="C25" t="s">
        <v>1245</v>
      </c>
      <c r="D25" s="28">
        <f t="shared" si="1"/>
        <v>46000</v>
      </c>
      <c r="E25" s="86">
        <f>_xll.CbondsClosePrice($B$1,D25,$B$27)</f>
        <v>96.9</v>
      </c>
      <c r="F25" s="131">
        <f t="shared" si="0"/>
        <v>96.9</v>
      </c>
      <c r="I25" s="24" t="s">
        <v>1</v>
      </c>
      <c r="J25" s="24" t="s">
        <v>343</v>
      </c>
      <c r="K25" s="24" t="s">
        <v>344</v>
      </c>
      <c r="L25" s="24" t="s">
        <v>345</v>
      </c>
      <c r="M25" s="24" t="s">
        <v>346</v>
      </c>
      <c r="N25" s="24" t="s">
        <v>347</v>
      </c>
      <c r="O25" s="85" t="s">
        <v>358</v>
      </c>
      <c r="Q25" s="135"/>
      <c r="S25" s="74"/>
      <c r="V25" s="26" t="e">
        <f>VLOOKUP(W25,'Help Page'!E:F,2,0)</f>
        <v>#N/A</v>
      </c>
      <c r="W25" s="86"/>
      <c r="X25" s="86"/>
      <c r="Y25" s="86"/>
      <c r="Z25" s="86"/>
      <c r="AA25" s="86"/>
      <c r="AB25" s="86"/>
      <c r="AD25" s="26" t="e">
        <f>VLOOKUP(AE25,'Help Page'!E:F,2,0)</f>
        <v>#N/A</v>
      </c>
      <c r="AE25" s="26">
        <f t="shared" si="12"/>
        <v>0</v>
      </c>
      <c r="AF25" s="26">
        <f t="shared" si="13"/>
        <v>0</v>
      </c>
      <c r="AG25" s="26"/>
      <c r="AH25" s="26">
        <f t="shared" si="14"/>
        <v>0</v>
      </c>
      <c r="AI25" s="35">
        <f t="shared" si="15"/>
        <v>0</v>
      </c>
      <c r="AJ25" s="26"/>
      <c r="AL25" s="26" t="e">
        <f>VLOOKUP(AM25,'Help Page'!E:F,2,0)</f>
        <v>#N/A</v>
      </c>
      <c r="AM25" s="86"/>
      <c r="AN25" s="86"/>
      <c r="AO25" s="86"/>
      <c r="AP25" s="86"/>
      <c r="AQ25" s="86"/>
      <c r="AR25" s="86"/>
      <c r="AT25" s="26" t="e">
        <f>VLOOKUP(AU25,'Help Page'!E:F,2,0)</f>
        <v>#N/A</v>
      </c>
      <c r="AU25" s="26">
        <f t="shared" si="16"/>
        <v>0</v>
      </c>
      <c r="AV25" s="26">
        <f t="shared" si="17"/>
        <v>0</v>
      </c>
      <c r="AW25" s="26">
        <f t="shared" si="18"/>
        <v>0</v>
      </c>
      <c r="AX25" s="26">
        <f t="shared" si="19"/>
        <v>0</v>
      </c>
      <c r="AY25" s="35">
        <f t="shared" si="20"/>
        <v>0</v>
      </c>
      <c r="AZ25" s="26">
        <f t="shared" si="21"/>
        <v>0</v>
      </c>
      <c r="BB25" s="26" t="e">
        <f>VLOOKUP(BC25,'Help Page'!E:F,2,0)</f>
        <v>#N/A</v>
      </c>
      <c r="BC25" s="86"/>
      <c r="BD25" s="86"/>
      <c r="BE25" s="86"/>
      <c r="BF25" s="86"/>
      <c r="BG25" s="86"/>
      <c r="BH25" s="86"/>
      <c r="BJ25" s="26" t="e">
        <f>VLOOKUP(BK25,'Help Page'!E:F,2,0)</f>
        <v>#N/A</v>
      </c>
      <c r="BK25" s="26">
        <f t="shared" si="22"/>
        <v>0</v>
      </c>
      <c r="BL25" s="26">
        <f t="shared" si="2"/>
        <v>0</v>
      </c>
      <c r="BM25" s="26">
        <f t="shared" si="3"/>
        <v>0</v>
      </c>
      <c r="BN25" s="26">
        <f t="shared" si="4"/>
        <v>0</v>
      </c>
      <c r="BO25" s="35">
        <f t="shared" si="5"/>
        <v>0</v>
      </c>
      <c r="BP25" s="26">
        <f t="shared" si="6"/>
        <v>0</v>
      </c>
      <c r="BS25" s="26" t="s">
        <v>1339</v>
      </c>
      <c r="BT25" s="26" t="str">
        <f>IFERROR(IF(VLOOKUP(BS25,BJ:BP,7,0)="Guarant 1",VLOOKUP(BS25,BJ:BP,3,0)&amp;"/"&amp;VLOOKUP(BS25,BJ:BP,4,0),""),"")</f>
        <v/>
      </c>
      <c r="BU25" s="36" t="str">
        <f>IFERROR(IF(VLOOKUP(BS25,BJ:BP,7,0)="Guarant 1",VLOOKUP(BS25,BJ:BP,6,0),""),"")</f>
        <v/>
      </c>
      <c r="BV25" s="26" t="s">
        <v>1416</v>
      </c>
      <c r="BW25" s="105"/>
      <c r="CE25" s="26"/>
      <c r="CF25" s="26"/>
      <c r="CG25" s="26"/>
      <c r="CH25" s="26" t="str">
        <f>_xll.ReferenceParams(CG25,$CH$6 )</f>
        <v/>
      </c>
      <c r="CI25" s="35" t="str">
        <f>_xll.ReferenceParams(CG25,$CI$6 )</f>
        <v/>
      </c>
      <c r="CJ25" s="35" t="str">
        <f>_xll.ReferenceParams(CG25,$CJ$6)</f>
        <v/>
      </c>
      <c r="CK25" s="26" t="str">
        <f t="shared" si="23"/>
        <v/>
      </c>
      <c r="CL25" s="26"/>
      <c r="DL25" s="1"/>
    </row>
    <row r="26" spans="1:116" x14ac:dyDescent="0.3">
      <c r="D26" s="28">
        <f t="shared" si="1"/>
        <v>45999</v>
      </c>
      <c r="E26" s="86">
        <f>_xll.CbondsClosePrice($B$1,D26,$B$27)</f>
        <v>96.84</v>
      </c>
      <c r="F26" s="131">
        <f t="shared" si="0"/>
        <v>96.84</v>
      </c>
      <c r="I26" s="26" t="str">
        <f>B1</f>
        <v>RU000A103943</v>
      </c>
      <c r="J26" s="27">
        <f>_xll.EfirHistoryAgg(I26,$J$6-30,$J$6-1,"DO",$J$25)</f>
        <v>7793</v>
      </c>
      <c r="K26" s="27">
        <f>_xll.EfirHistoryAgg(I26,$J$6-30,$J$6-1,"DO",$K$25)</f>
        <v>21</v>
      </c>
      <c r="L26" s="76">
        <f>_xll.EfirHistoryAgg(I26,$J$6-30,$J$6-1,"DO",$L$25)</f>
        <v>507793581.89999998</v>
      </c>
      <c r="M26" s="76">
        <f>_xll.ReferenceParams(I26,$M$25)</f>
        <v>24650000000</v>
      </c>
      <c r="N26" s="41">
        <f>L26/M26</f>
        <v>2.0600145310344826E-2</v>
      </c>
      <c r="O26" s="134" t="str">
        <f t="shared" ref="O26:O32" si="24">IF(AND(J26&gt;=10,K26&gt;=5,N26&gt;=0.001),"Активный","Не активный")</f>
        <v>Активный</v>
      </c>
      <c r="Q26" s="136"/>
      <c r="S26" s="74"/>
      <c r="V26" s="26" t="e">
        <f>VLOOKUP(W26,'Help Page'!E:F,2,0)</f>
        <v>#N/A</v>
      </c>
      <c r="W26" s="86"/>
      <c r="X26" s="86"/>
      <c r="Y26" s="86"/>
      <c r="Z26" s="86"/>
      <c r="AA26" s="86"/>
      <c r="AB26" s="86"/>
      <c r="AD26" s="26" t="e">
        <f>VLOOKUP(AE26,'Help Page'!E:F,2,0)</f>
        <v>#N/A</v>
      </c>
      <c r="AE26" s="26">
        <f t="shared" si="12"/>
        <v>0</v>
      </c>
      <c r="AF26" s="26">
        <f t="shared" si="13"/>
        <v>0</v>
      </c>
      <c r="AG26" s="26"/>
      <c r="AH26" s="26">
        <f t="shared" si="14"/>
        <v>0</v>
      </c>
      <c r="AI26" s="35">
        <f t="shared" si="15"/>
        <v>0</v>
      </c>
      <c r="AJ26" s="26"/>
      <c r="AL26" s="26" t="e">
        <f>VLOOKUP(AM26,'Help Page'!E:F,2,0)</f>
        <v>#N/A</v>
      </c>
      <c r="AM26" s="86"/>
      <c r="AN26" s="86"/>
      <c r="AO26" s="86"/>
      <c r="AP26" s="86"/>
      <c r="AQ26" s="86"/>
      <c r="AR26" s="86"/>
      <c r="AT26" s="26" t="e">
        <f>VLOOKUP(AU26,'Help Page'!E:F,2,0)</f>
        <v>#N/A</v>
      </c>
      <c r="AU26" s="26">
        <f t="shared" si="16"/>
        <v>0</v>
      </c>
      <c r="AV26" s="26">
        <f t="shared" si="17"/>
        <v>0</v>
      </c>
      <c r="AW26" s="26">
        <f t="shared" si="18"/>
        <v>0</v>
      </c>
      <c r="AX26" s="26">
        <f t="shared" si="19"/>
        <v>0</v>
      </c>
      <c r="AY26" s="35">
        <f t="shared" si="20"/>
        <v>0</v>
      </c>
      <c r="AZ26" s="26">
        <f t="shared" si="21"/>
        <v>0</v>
      </c>
      <c r="BB26" s="26" t="e">
        <f>VLOOKUP(BC26,'Help Page'!E:F,2,0)</f>
        <v>#N/A</v>
      </c>
      <c r="BC26" s="86"/>
      <c r="BD26" s="86"/>
      <c r="BE26" s="86"/>
      <c r="BF26" s="86"/>
      <c r="BG26" s="86"/>
      <c r="BH26" s="86"/>
      <c r="BJ26" s="26" t="e">
        <f>VLOOKUP(BK26,'Help Page'!E:F,2,0)</f>
        <v>#N/A</v>
      </c>
      <c r="BK26" s="26">
        <f t="shared" si="22"/>
        <v>0</v>
      </c>
      <c r="BL26" s="26">
        <f t="shared" si="2"/>
        <v>0</v>
      </c>
      <c r="BM26" s="26">
        <f t="shared" si="3"/>
        <v>0</v>
      </c>
      <c r="BN26" s="26">
        <f t="shared" si="4"/>
        <v>0</v>
      </c>
      <c r="BO26" s="35">
        <f t="shared" si="5"/>
        <v>0</v>
      </c>
      <c r="BP26" s="26">
        <f t="shared" si="6"/>
        <v>0</v>
      </c>
      <c r="BS26" s="26" t="s">
        <v>1414</v>
      </c>
      <c r="BT26" s="26" t="str">
        <f>IFERROR(IF(VLOOKUP(BS26,BJ:BP,7,0)="Guarant 1",VLOOKUP(BS26,BJ:BP,3,0)&amp;"/"&amp;VLOOKUP(BS26,BJ:BP,4,0),""),"")</f>
        <v/>
      </c>
      <c r="BU26" s="36" t="str">
        <f>IFERROR(IF(VLOOKUP(BS26,BJ:BP,7,0)="Guarant 1",VLOOKUP(BS26,BJ:BP,6,0),""),"")</f>
        <v/>
      </c>
      <c r="BV26" s="26" t="s">
        <v>1414</v>
      </c>
      <c r="BW26" s="105"/>
      <c r="CE26" s="26"/>
      <c r="CF26" s="26"/>
      <c r="CG26" s="26"/>
      <c r="CH26" s="26" t="str">
        <f>_xll.ReferenceParams(CG26,$CH$6 )</f>
        <v/>
      </c>
      <c r="CI26" s="35" t="str">
        <f>_xll.ReferenceParams(CG26,$CI$6 )</f>
        <v/>
      </c>
      <c r="CJ26" s="35" t="str">
        <f>_xll.ReferenceParams(CG26,$CJ$6)</f>
        <v/>
      </c>
      <c r="CK26" s="26" t="str">
        <f t="shared" si="23"/>
        <v/>
      </c>
      <c r="CL26" s="26"/>
      <c r="DL26" s="1"/>
    </row>
    <row r="27" spans="1:116" x14ac:dyDescent="0.3">
      <c r="A27" s="24" t="s">
        <v>2010</v>
      </c>
      <c r="B27" s="128">
        <v>135</v>
      </c>
      <c r="D27" s="28">
        <f t="shared" si="1"/>
        <v>45998</v>
      </c>
      <c r="E27" s="86" t="str">
        <f>_xll.CbondsClosePrice($B$1,D27,$B$27)</f>
        <v>Нет данных</v>
      </c>
      <c r="F27" s="131">
        <f t="shared" si="0"/>
        <v>96.7</v>
      </c>
      <c r="I27" s="114" t="s">
        <v>2065</v>
      </c>
      <c r="J27" s="26">
        <f>_xll.EfirHistoryAgg(I27,$J$6-30,$J$6-1,"DO",$J$25)</f>
        <v>0</v>
      </c>
      <c r="K27" s="26">
        <f>_xll.EfirHistoryAgg(I27,$J$6-30,$J$6-1,"DO",$K$25)</f>
        <v>0</v>
      </c>
      <c r="L27" s="38">
        <f>_xll.EfirHistoryAgg(I27,$J$6-30,$J$6-1,"DO",$L$25)</f>
        <v>0</v>
      </c>
      <c r="M27" s="38">
        <f>_xll.ReferenceParams(I27,$M$25)</f>
        <v>1000000000</v>
      </c>
      <c r="N27" s="41">
        <f>L27/M27</f>
        <v>0</v>
      </c>
      <c r="O27" s="134" t="str">
        <f t="shared" si="24"/>
        <v>Не активный</v>
      </c>
      <c r="Q27" s="136"/>
      <c r="S27" s="74"/>
      <c r="V27" s="26" t="e">
        <f>VLOOKUP(W27,'Help Page'!E:F,2,0)</f>
        <v>#N/A</v>
      </c>
      <c r="W27" s="86"/>
      <c r="X27" s="86"/>
      <c r="Y27" s="86"/>
      <c r="Z27" s="86"/>
      <c r="AA27" s="86"/>
      <c r="AB27" s="86"/>
      <c r="AD27" s="26" t="e">
        <f>VLOOKUP(AE27,'Help Page'!E:F,2,0)</f>
        <v>#N/A</v>
      </c>
      <c r="AE27" s="26">
        <f t="shared" si="12"/>
        <v>0</v>
      </c>
      <c r="AF27" s="26">
        <f t="shared" si="13"/>
        <v>0</v>
      </c>
      <c r="AG27" s="26"/>
      <c r="AH27" s="26">
        <f t="shared" si="14"/>
        <v>0</v>
      </c>
      <c r="AI27" s="35">
        <f t="shared" si="15"/>
        <v>0</v>
      </c>
      <c r="AJ27" s="26"/>
      <c r="AL27" s="26" t="e">
        <f>VLOOKUP(AM27,'Help Page'!E:F,2,0)</f>
        <v>#N/A</v>
      </c>
      <c r="AM27" s="86"/>
      <c r="AN27" s="86"/>
      <c r="AO27" s="86"/>
      <c r="AP27" s="86"/>
      <c r="AQ27" s="86"/>
      <c r="AR27" s="86"/>
      <c r="AT27" s="26" t="e">
        <f>VLOOKUP(AU27,'Help Page'!E:F,2,0)</f>
        <v>#N/A</v>
      </c>
      <c r="AU27" s="26">
        <f t="shared" si="16"/>
        <v>0</v>
      </c>
      <c r="AV27" s="26">
        <f t="shared" si="17"/>
        <v>0</v>
      </c>
      <c r="AW27" s="26">
        <f t="shared" si="18"/>
        <v>0</v>
      </c>
      <c r="AX27" s="26">
        <f t="shared" si="19"/>
        <v>0</v>
      </c>
      <c r="AY27" s="35">
        <f t="shared" si="20"/>
        <v>0</v>
      </c>
      <c r="AZ27" s="26">
        <f t="shared" si="21"/>
        <v>0</v>
      </c>
      <c r="BB27" s="26" t="e">
        <f>VLOOKUP(BC27,'Help Page'!E:F,2,0)</f>
        <v>#N/A</v>
      </c>
      <c r="BC27" s="86"/>
      <c r="BD27" s="86"/>
      <c r="BE27" s="86"/>
      <c r="BF27" s="86"/>
      <c r="BG27" s="86"/>
      <c r="BH27" s="86"/>
      <c r="BJ27" s="26" t="e">
        <f>VLOOKUP(BK27,'Help Page'!E:F,2,0)</f>
        <v>#N/A</v>
      </c>
      <c r="BK27" s="26">
        <f t="shared" si="22"/>
        <v>0</v>
      </c>
      <c r="BL27" s="26">
        <f t="shared" si="2"/>
        <v>0</v>
      </c>
      <c r="BM27" s="26">
        <f t="shared" si="3"/>
        <v>0</v>
      </c>
      <c r="BN27" s="26">
        <f t="shared" si="4"/>
        <v>0</v>
      </c>
      <c r="BO27" s="35">
        <f t="shared" si="5"/>
        <v>0</v>
      </c>
      <c r="BP27" s="26">
        <f t="shared" si="6"/>
        <v>0</v>
      </c>
      <c r="BV27" s="105"/>
      <c r="BW27" s="105"/>
      <c r="CE27" s="26"/>
      <c r="CF27" s="26"/>
      <c r="CG27" s="26"/>
      <c r="CH27" s="26" t="str">
        <f>_xll.ReferenceParams(CG27,$CH$6 )</f>
        <v/>
      </c>
      <c r="CI27" s="35" t="str">
        <f>_xll.ReferenceParams(CG27,$CI$6 )</f>
        <v/>
      </c>
      <c r="CJ27" s="35" t="str">
        <f>_xll.ReferenceParams(CG27,$CJ$6)</f>
        <v/>
      </c>
      <c r="CK27" s="26" t="str">
        <f t="shared" si="23"/>
        <v/>
      </c>
      <c r="CL27" s="26"/>
      <c r="DL27" s="1"/>
    </row>
    <row r="28" spans="1:116" x14ac:dyDescent="0.3">
      <c r="D28" s="28">
        <f t="shared" si="1"/>
        <v>45997</v>
      </c>
      <c r="E28" s="86" t="str">
        <f>_xll.CbondsClosePrice($B$1,D28,$B$27)</f>
        <v>Нет данных</v>
      </c>
      <c r="F28" s="131">
        <f t="shared" si="0"/>
        <v>96.7</v>
      </c>
      <c r="I28" s="114"/>
      <c r="J28" s="26" t="e">
        <f>_xll.EfirHistoryAgg(I28,$J$6-30,$J$6-1,"DO",$J$25)</f>
        <v>#VALUE!</v>
      </c>
      <c r="K28" s="26" t="e">
        <f>_xll.EfirHistoryAgg(I28,$J$6-30,$J$6-1,"DO",$K$25)</f>
        <v>#VALUE!</v>
      </c>
      <c r="L28" s="38" t="e">
        <f>_xll.EfirHistoryAgg(I28,$J$6-30,$J$6-1,"DO",$L$25)</f>
        <v>#VALUE!</v>
      </c>
      <c r="M28" s="38" t="str">
        <f>_xll.ReferenceParams(I28,$M$25)</f>
        <v/>
      </c>
      <c r="N28" s="41" t="e">
        <f t="shared" ref="N28:N32" si="25">L28/M28</f>
        <v>#VALUE!</v>
      </c>
      <c r="O28" s="134" t="e">
        <f t="shared" si="24"/>
        <v>#VALUE!</v>
      </c>
      <c r="Q28" s="136"/>
      <c r="S28" s="74"/>
      <c r="V28" s="26" t="e">
        <f>VLOOKUP(W28,'Help Page'!E:F,2,0)</f>
        <v>#N/A</v>
      </c>
      <c r="W28" s="86"/>
      <c r="X28" s="86"/>
      <c r="Y28" s="86"/>
      <c r="Z28" s="86"/>
      <c r="AA28" s="86"/>
      <c r="AB28" s="86"/>
      <c r="AD28" s="26" t="e">
        <f>VLOOKUP(AE28,'Help Page'!E:F,2,0)</f>
        <v>#N/A</v>
      </c>
      <c r="AE28" s="26">
        <f t="shared" si="12"/>
        <v>0</v>
      </c>
      <c r="AF28" s="26">
        <f t="shared" si="13"/>
        <v>0</v>
      </c>
      <c r="AG28" s="26"/>
      <c r="AH28" s="26">
        <f t="shared" si="14"/>
        <v>0</v>
      </c>
      <c r="AI28" s="35">
        <f t="shared" si="15"/>
        <v>0</v>
      </c>
      <c r="AJ28" s="26"/>
      <c r="AL28" s="26" t="e">
        <f>VLOOKUP(AM28,'Help Page'!E:F,2,0)</f>
        <v>#N/A</v>
      </c>
      <c r="AM28" s="86"/>
      <c r="AN28" s="86"/>
      <c r="AO28" s="86"/>
      <c r="AP28" s="86"/>
      <c r="AQ28" s="86"/>
      <c r="AR28" s="86"/>
      <c r="AT28" s="26" t="e">
        <f>VLOOKUP(AU28,'Help Page'!E:F,2,0)</f>
        <v>#N/A</v>
      </c>
      <c r="AU28" s="26">
        <f t="shared" si="16"/>
        <v>0</v>
      </c>
      <c r="AV28" s="26">
        <f t="shared" si="17"/>
        <v>0</v>
      </c>
      <c r="AW28" s="26">
        <f t="shared" si="18"/>
        <v>0</v>
      </c>
      <c r="AX28" s="26">
        <f t="shared" si="19"/>
        <v>0</v>
      </c>
      <c r="AY28" s="35">
        <f t="shared" si="20"/>
        <v>0</v>
      </c>
      <c r="AZ28" s="26">
        <f t="shared" si="21"/>
        <v>0</v>
      </c>
      <c r="BB28" s="26" t="e">
        <f>VLOOKUP(BC28,'Help Page'!E:F,2,0)</f>
        <v>#N/A</v>
      </c>
      <c r="BC28" s="86"/>
      <c r="BD28" s="86"/>
      <c r="BE28" s="86"/>
      <c r="BF28" s="86"/>
      <c r="BG28" s="86"/>
      <c r="BH28" s="86"/>
      <c r="BJ28" s="26" t="e">
        <f>VLOOKUP(BK28,'Help Page'!E:F,2,0)</f>
        <v>#N/A</v>
      </c>
      <c r="BK28" s="26">
        <f t="shared" si="22"/>
        <v>0</v>
      </c>
      <c r="BL28" s="26">
        <f t="shared" si="2"/>
        <v>0</v>
      </c>
      <c r="BM28" s="26">
        <f t="shared" si="3"/>
        <v>0</v>
      </c>
      <c r="BN28" s="26">
        <f t="shared" si="4"/>
        <v>0</v>
      </c>
      <c r="BO28" s="35">
        <f t="shared" si="5"/>
        <v>0</v>
      </c>
      <c r="BP28" s="26">
        <f t="shared" si="6"/>
        <v>0</v>
      </c>
      <c r="BS28" s="105"/>
      <c r="BT28" s="105"/>
      <c r="BU28" s="105"/>
      <c r="BV28" s="105"/>
      <c r="BW28" s="105"/>
      <c r="CE28" s="26"/>
      <c r="CF28" s="26"/>
      <c r="CG28" s="26"/>
      <c r="CH28" s="26" t="str">
        <f>_xll.ReferenceParams(CG28,$CH$6 )</f>
        <v/>
      </c>
      <c r="CI28" s="35" t="str">
        <f>_xll.ReferenceParams(CG28,$CI$6 )</f>
        <v/>
      </c>
      <c r="CJ28" s="35" t="str">
        <f>_xll.ReferenceParams(CG28,$CJ$6)</f>
        <v/>
      </c>
      <c r="CK28" s="26" t="str">
        <f t="shared" si="23"/>
        <v/>
      </c>
      <c r="CL28" s="26"/>
      <c r="DL28" s="1"/>
    </row>
    <row r="29" spans="1:116" x14ac:dyDescent="0.3">
      <c r="D29" s="28">
        <f t="shared" si="1"/>
        <v>45996</v>
      </c>
      <c r="E29" s="86">
        <f>_xll.CbondsClosePrice($B$1,D29,$B$27)</f>
        <v>96.7</v>
      </c>
      <c r="F29" s="131">
        <f t="shared" si="0"/>
        <v>96.7</v>
      </c>
      <c r="I29" s="114"/>
      <c r="J29" s="26" t="e">
        <f>_xll.EfirHistoryAgg(I29,$J$6-30,$J$6-1,"DO",$J$25)</f>
        <v>#VALUE!</v>
      </c>
      <c r="K29" s="26" t="e">
        <f>_xll.EfirHistoryAgg(I29,$J$6-30,$J$6-1,"DO",$K$25)</f>
        <v>#VALUE!</v>
      </c>
      <c r="L29" s="38" t="e">
        <f>_xll.EfirHistoryAgg(I29,$J$6-30,$J$6-1,"DO",$L$25)</f>
        <v>#VALUE!</v>
      </c>
      <c r="M29" s="38" t="str">
        <f>_xll.ReferenceParams(I29,$M$25)</f>
        <v/>
      </c>
      <c r="N29" s="41" t="e">
        <f t="shared" si="25"/>
        <v>#VALUE!</v>
      </c>
      <c r="O29" s="134" t="e">
        <f t="shared" si="24"/>
        <v>#VALUE!</v>
      </c>
      <c r="Q29" s="136"/>
      <c r="S29" s="74"/>
      <c r="W29" s="87"/>
      <c r="X29" s="87"/>
      <c r="Y29" s="87"/>
      <c r="Z29" s="87"/>
      <c r="AA29" s="87"/>
      <c r="AB29" s="87"/>
      <c r="AL29" s="26" t="e">
        <f>VLOOKUP(AM29,'Help Page'!E:F,2,0)</f>
        <v>#N/A</v>
      </c>
      <c r="AM29" s="86"/>
      <c r="AN29" s="86"/>
      <c r="AO29" s="86"/>
      <c r="AP29" s="86"/>
      <c r="AQ29" s="86"/>
      <c r="AR29" s="86"/>
      <c r="AT29" s="26" t="e">
        <f>VLOOKUP(AU29,'Help Page'!E:F,2,0)</f>
        <v>#N/A</v>
      </c>
      <c r="AU29" s="26">
        <f t="shared" ref="AU29:AU53" si="26">IF(AN29&lt;&gt;"Снят",AM29," ")</f>
        <v>0</v>
      </c>
      <c r="AV29" s="26">
        <f t="shared" ref="AV29:AV53" si="27">IF(AN29&lt;&gt;"Снят",AN29," ")</f>
        <v>0</v>
      </c>
      <c r="AW29" s="26">
        <f t="shared" ref="AW29:AW53" si="28">IF(AN29&lt;&gt;"Снят",AO29," ")</f>
        <v>0</v>
      </c>
      <c r="AX29" s="26">
        <f t="shared" ref="AX29:AX53" si="29">IF(AN29&lt;&gt;"Снят",AP29," ")</f>
        <v>0</v>
      </c>
      <c r="AY29" s="35">
        <f t="shared" ref="AY29:AY53" si="30">IF(AN29&lt;&gt;"Снят",AQ29," ")</f>
        <v>0</v>
      </c>
      <c r="AZ29" s="26">
        <f t="shared" ref="AZ29:AZ53" si="31">IF(AN29&lt;&gt;"Снят",AR29," ")</f>
        <v>0</v>
      </c>
      <c r="BC29" s="87"/>
      <c r="BD29" s="87"/>
      <c r="BE29" s="87"/>
      <c r="BF29" s="87"/>
      <c r="BG29" s="87"/>
      <c r="BH29" s="87"/>
      <c r="BS29" s="105"/>
      <c r="BT29" s="105"/>
      <c r="BU29" s="105"/>
      <c r="BV29" s="105"/>
      <c r="BW29" s="105"/>
      <c r="CE29" s="26"/>
      <c r="CF29" s="26"/>
      <c r="CG29" s="26"/>
      <c r="CH29" s="26" t="str">
        <f>_xll.ReferenceParams(CG29,$CH$6 )</f>
        <v/>
      </c>
      <c r="CI29" s="35" t="str">
        <f>_xll.ReferenceParams(CG29,$CI$6 )</f>
        <v/>
      </c>
      <c r="CJ29" s="35" t="str">
        <f>_xll.ReferenceParams(CG29,$CJ$6)</f>
        <v/>
      </c>
      <c r="CK29" s="26" t="str">
        <f t="shared" si="23"/>
        <v/>
      </c>
      <c r="CL29" s="26"/>
      <c r="DL29" s="1"/>
    </row>
    <row r="30" spans="1:116" x14ac:dyDescent="0.3">
      <c r="D30" s="28">
        <f t="shared" si="1"/>
        <v>45995</v>
      </c>
      <c r="E30" s="86">
        <f>_xll.CbondsClosePrice($B$1,D30,$B$27)</f>
        <v>96.52</v>
      </c>
      <c r="F30" s="131">
        <f t="shared" si="0"/>
        <v>96.52</v>
      </c>
      <c r="I30" s="114"/>
      <c r="J30" s="26" t="e">
        <f>_xll.EfirHistoryAgg(I30,$J$6-30,$J$6-1,"DO",$J$25)</f>
        <v>#VALUE!</v>
      </c>
      <c r="K30" s="26" t="e">
        <f>_xll.EfirHistoryAgg(I30,$J$6-30,$J$6-1,"DO",$K$25)</f>
        <v>#VALUE!</v>
      </c>
      <c r="L30" s="38" t="e">
        <f>_xll.EfirHistoryAgg(I30,$J$6-30,$J$6-1,"DO",$L$25)</f>
        <v>#VALUE!</v>
      </c>
      <c r="M30" s="38" t="str">
        <f>_xll.ReferenceParams(I30,$M$25)</f>
        <v/>
      </c>
      <c r="N30" s="41" t="e">
        <f t="shared" si="25"/>
        <v>#VALUE!</v>
      </c>
      <c r="O30" s="134" t="e">
        <f t="shared" si="24"/>
        <v>#VALUE!</v>
      </c>
      <c r="Q30" s="136"/>
      <c r="S30" s="74"/>
      <c r="W30" s="87"/>
      <c r="X30" s="87"/>
      <c r="Y30" s="87"/>
      <c r="Z30" s="87"/>
      <c r="AA30" s="87"/>
      <c r="AB30" s="87"/>
      <c r="AL30" s="26" t="e">
        <f>VLOOKUP(AM30,'Help Page'!E:F,2,0)</f>
        <v>#N/A</v>
      </c>
      <c r="AM30" s="86"/>
      <c r="AN30" s="86"/>
      <c r="AO30" s="86"/>
      <c r="AP30" s="86"/>
      <c r="AQ30" s="86"/>
      <c r="AR30" s="86"/>
      <c r="AT30" s="26" t="e">
        <f>VLOOKUP(AU30,'Help Page'!E:F,2,0)</f>
        <v>#N/A</v>
      </c>
      <c r="AU30" s="26">
        <f t="shared" si="26"/>
        <v>0</v>
      </c>
      <c r="AV30" s="26">
        <f t="shared" si="27"/>
        <v>0</v>
      </c>
      <c r="AW30" s="26">
        <f t="shared" si="28"/>
        <v>0</v>
      </c>
      <c r="AX30" s="26">
        <f t="shared" si="29"/>
        <v>0</v>
      </c>
      <c r="AY30" s="35">
        <f t="shared" si="30"/>
        <v>0</v>
      </c>
      <c r="AZ30" s="26">
        <f t="shared" si="31"/>
        <v>0</v>
      </c>
      <c r="BC30" s="87"/>
      <c r="BD30" s="87"/>
      <c r="BE30" s="87"/>
      <c r="BF30" s="87"/>
      <c r="BG30" s="87"/>
      <c r="BH30" s="87"/>
      <c r="BS30" s="105"/>
      <c r="BT30" s="105"/>
      <c r="BU30" s="105"/>
      <c r="BV30" s="105"/>
      <c r="BW30" s="105"/>
      <c r="CE30" s="26"/>
      <c r="CF30" s="26"/>
      <c r="CG30" s="26"/>
      <c r="CH30" s="26" t="str">
        <f>_xll.ReferenceParams(CG30,$CH$6 )</f>
        <v/>
      </c>
      <c r="CI30" s="35" t="str">
        <f>_xll.ReferenceParams(CG30,$CI$6 )</f>
        <v/>
      </c>
      <c r="CJ30" s="35" t="str">
        <f>_xll.ReferenceParams(CG30,$CJ$6)</f>
        <v/>
      </c>
      <c r="CK30" s="26" t="str">
        <f t="shared" si="23"/>
        <v/>
      </c>
      <c r="CL30" s="26"/>
      <c r="DL30" s="1"/>
    </row>
    <row r="31" spans="1:116" x14ac:dyDescent="0.3">
      <c r="D31" s="28">
        <f t="shared" si="1"/>
        <v>45994</v>
      </c>
      <c r="E31" s="86">
        <f>_xll.CbondsClosePrice($B$1,D31,$B$27)</f>
        <v>96.58</v>
      </c>
      <c r="F31" s="131">
        <f t="shared" si="0"/>
        <v>96.58</v>
      </c>
      <c r="I31" s="114"/>
      <c r="J31" s="26" t="e">
        <f>_xll.EfirHistoryAgg(I31,$J$6-30,$J$6-1,"DO",$J$25)</f>
        <v>#VALUE!</v>
      </c>
      <c r="K31" s="26" t="e">
        <f>_xll.EfirHistoryAgg(I31,$J$6-30,$J$6-1,"DO",$K$25)</f>
        <v>#VALUE!</v>
      </c>
      <c r="L31" s="38" t="e">
        <f>_xll.EfirHistoryAgg(I31,$J$6-30,$J$6-1,"DO",$L$25)</f>
        <v>#VALUE!</v>
      </c>
      <c r="M31" s="38" t="str">
        <f>_xll.ReferenceParams(I31,$M$25)</f>
        <v/>
      </c>
      <c r="N31" s="41" t="e">
        <f t="shared" si="25"/>
        <v>#VALUE!</v>
      </c>
      <c r="O31" s="134" t="e">
        <f t="shared" si="24"/>
        <v>#VALUE!</v>
      </c>
      <c r="Q31" s="136"/>
      <c r="S31" s="74"/>
      <c r="W31" s="87"/>
      <c r="X31" s="87"/>
      <c r="Y31" s="87"/>
      <c r="Z31" s="87"/>
      <c r="AA31" s="87"/>
      <c r="AB31" s="87"/>
      <c r="AL31" s="26" t="e">
        <f>VLOOKUP(AM31,'Help Page'!E:F,2,0)</f>
        <v>#N/A</v>
      </c>
      <c r="AM31" s="86"/>
      <c r="AN31" s="86"/>
      <c r="AO31" s="86"/>
      <c r="AP31" s="86"/>
      <c r="AQ31" s="86"/>
      <c r="AR31" s="86"/>
      <c r="AT31" s="26" t="e">
        <f>VLOOKUP(AU31,'Help Page'!E:F,2,0)</f>
        <v>#N/A</v>
      </c>
      <c r="AU31" s="26">
        <f t="shared" si="26"/>
        <v>0</v>
      </c>
      <c r="AV31" s="26">
        <f t="shared" si="27"/>
        <v>0</v>
      </c>
      <c r="AW31" s="26">
        <f t="shared" si="28"/>
        <v>0</v>
      </c>
      <c r="AX31" s="26">
        <f t="shared" si="29"/>
        <v>0</v>
      </c>
      <c r="AY31" s="35">
        <f t="shared" si="30"/>
        <v>0</v>
      </c>
      <c r="AZ31" s="26">
        <f t="shared" si="31"/>
        <v>0</v>
      </c>
      <c r="BC31" s="87"/>
      <c r="BD31" s="87"/>
      <c r="BE31" s="87"/>
      <c r="BF31" s="87"/>
      <c r="BG31" s="87"/>
      <c r="BH31" s="87"/>
      <c r="BS31" s="105"/>
      <c r="BT31" s="105"/>
      <c r="BU31" s="105"/>
      <c r="BV31" s="105"/>
      <c r="BW31" s="105"/>
      <c r="CE31" s="26"/>
      <c r="CF31" s="26"/>
      <c r="CG31" s="26"/>
      <c r="CH31" s="26" t="str">
        <f>_xll.ReferenceParams(CG31,$CH$6 )</f>
        <v/>
      </c>
      <c r="CI31" s="35" t="str">
        <f>_xll.ReferenceParams(CG31,$CI$6 )</f>
        <v/>
      </c>
      <c r="CJ31" s="35" t="str">
        <f>_xll.ReferenceParams(CG31,$CJ$6)</f>
        <v/>
      </c>
      <c r="CK31" s="26" t="str">
        <f t="shared" si="23"/>
        <v/>
      </c>
      <c r="CL31" s="26"/>
      <c r="DL31" s="1"/>
    </row>
    <row r="32" spans="1:116" x14ac:dyDescent="0.3">
      <c r="D32" s="28">
        <f t="shared" si="1"/>
        <v>45993</v>
      </c>
      <c r="E32" s="86">
        <f>_xll.CbondsClosePrice($B$1,D32,$B$27)</f>
        <v>96.59</v>
      </c>
      <c r="F32" s="131">
        <f t="shared" si="0"/>
        <v>96.59</v>
      </c>
      <c r="I32" s="114"/>
      <c r="J32" s="26" t="e">
        <f>_xll.EfirHistoryAgg(I32,$J$6-30,$J$6-1,"DO",$J$25)</f>
        <v>#VALUE!</v>
      </c>
      <c r="K32" s="26" t="e">
        <f>_xll.EfirHistoryAgg(I32,$J$6-30,$J$6-1,"DO",$K$25)</f>
        <v>#VALUE!</v>
      </c>
      <c r="L32" s="38" t="e">
        <f>_xll.EfirHistoryAgg(I32,$J$6-30,$J$6-1,"DO",$L$25)</f>
        <v>#VALUE!</v>
      </c>
      <c r="M32" s="38" t="str">
        <f>_xll.ReferenceParams(I32,$M$25)</f>
        <v/>
      </c>
      <c r="N32" s="41" t="e">
        <f t="shared" si="25"/>
        <v>#VALUE!</v>
      </c>
      <c r="O32" s="134" t="e">
        <f t="shared" si="24"/>
        <v>#VALUE!</v>
      </c>
      <c r="Q32" s="136"/>
      <c r="S32" s="74"/>
      <c r="W32" s="87"/>
      <c r="X32" s="87"/>
      <c r="Y32" s="87"/>
      <c r="Z32" s="87"/>
      <c r="AA32" s="87"/>
      <c r="AB32" s="87"/>
      <c r="AL32" s="26" t="e">
        <f>VLOOKUP(AM32,'Help Page'!E:F,2,0)</f>
        <v>#N/A</v>
      </c>
      <c r="AM32" s="86"/>
      <c r="AN32" s="86"/>
      <c r="AO32" s="86"/>
      <c r="AP32" s="86"/>
      <c r="AQ32" s="86"/>
      <c r="AR32" s="86"/>
      <c r="AT32" s="26" t="e">
        <f>VLOOKUP(AU32,'Help Page'!E:F,2,0)</f>
        <v>#N/A</v>
      </c>
      <c r="AU32" s="26">
        <f t="shared" si="26"/>
        <v>0</v>
      </c>
      <c r="AV32" s="26">
        <f t="shared" si="27"/>
        <v>0</v>
      </c>
      <c r="AW32" s="26">
        <f t="shared" si="28"/>
        <v>0</v>
      </c>
      <c r="AX32" s="26">
        <f t="shared" si="29"/>
        <v>0</v>
      </c>
      <c r="AY32" s="35">
        <f t="shared" si="30"/>
        <v>0</v>
      </c>
      <c r="AZ32" s="26">
        <f t="shared" si="31"/>
        <v>0</v>
      </c>
      <c r="BC32" s="87"/>
      <c r="BD32" s="87"/>
      <c r="BE32" s="87"/>
      <c r="BF32" s="87"/>
      <c r="BG32" s="87"/>
      <c r="BH32" s="87"/>
      <c r="CE32" s="26"/>
      <c r="CF32" s="26"/>
      <c r="CG32" s="26"/>
      <c r="CH32" s="26" t="str">
        <f>_xll.ReferenceParams(CG32,$CH$6 )</f>
        <v/>
      </c>
      <c r="CI32" s="35" t="str">
        <f>_xll.ReferenceParams(CG32,$CI$6 )</f>
        <v/>
      </c>
      <c r="CJ32" s="35" t="str">
        <f>_xll.ReferenceParams(CG32,$CJ$6)</f>
        <v/>
      </c>
      <c r="CK32" s="26" t="str">
        <f t="shared" si="23"/>
        <v/>
      </c>
      <c r="CL32" s="26"/>
      <c r="DL32" s="1"/>
    </row>
    <row r="33" spans="4:116" x14ac:dyDescent="0.3">
      <c r="D33" s="28">
        <f t="shared" si="1"/>
        <v>45992</v>
      </c>
      <c r="E33" s="86">
        <f>_xll.CbondsClosePrice($B$1,D33,$B$27)</f>
        <v>96.49</v>
      </c>
      <c r="F33" s="131">
        <f t="shared" si="0"/>
        <v>96.49</v>
      </c>
      <c r="O33" s="1"/>
      <c r="W33" s="87"/>
      <c r="X33" s="87"/>
      <c r="Y33" s="87"/>
      <c r="Z33" s="87"/>
      <c r="AA33" s="87"/>
      <c r="AB33" s="87"/>
      <c r="AL33" s="26" t="e">
        <f>VLOOKUP(AM33,'Help Page'!E:F,2,0)</f>
        <v>#N/A</v>
      </c>
      <c r="AM33" s="86"/>
      <c r="AN33" s="86"/>
      <c r="AO33" s="86"/>
      <c r="AP33" s="86"/>
      <c r="AQ33" s="86"/>
      <c r="AR33" s="86"/>
      <c r="AT33" s="26" t="e">
        <f>VLOOKUP(AU33,'Help Page'!E:F,2,0)</f>
        <v>#N/A</v>
      </c>
      <c r="AU33" s="26">
        <f t="shared" si="26"/>
        <v>0</v>
      </c>
      <c r="AV33" s="26">
        <f t="shared" si="27"/>
        <v>0</v>
      </c>
      <c r="AW33" s="26">
        <f t="shared" si="28"/>
        <v>0</v>
      </c>
      <c r="AX33" s="26">
        <f t="shared" si="29"/>
        <v>0</v>
      </c>
      <c r="AY33" s="35">
        <f t="shared" si="30"/>
        <v>0</v>
      </c>
      <c r="AZ33" s="26">
        <f t="shared" si="31"/>
        <v>0</v>
      </c>
      <c r="BC33" s="87"/>
      <c r="BD33" s="87"/>
      <c r="BE33" s="87"/>
      <c r="BF33" s="87"/>
      <c r="BG33" s="87"/>
      <c r="BH33" s="87"/>
      <c r="CE33" s="26"/>
      <c r="CF33" s="26"/>
      <c r="CG33" s="26"/>
      <c r="CH33" s="26" t="str">
        <f>_xll.ReferenceParams(CG33,$CH$6 )</f>
        <v/>
      </c>
      <c r="CI33" s="35" t="str">
        <f>_xll.ReferenceParams(CG33,$CI$6 )</f>
        <v/>
      </c>
      <c r="CJ33" s="35" t="str">
        <f>_xll.ReferenceParams(CG33,$CJ$6)</f>
        <v/>
      </c>
      <c r="CK33" s="26" t="str">
        <f t="shared" si="23"/>
        <v/>
      </c>
      <c r="CL33" s="26"/>
      <c r="DL33" s="1"/>
    </row>
    <row r="34" spans="4:116" x14ac:dyDescent="0.3">
      <c r="D34" s="28">
        <f t="shared" si="1"/>
        <v>45991</v>
      </c>
      <c r="E34" s="86" t="str">
        <f>_xll.CbondsClosePrice($B$1,D34,$B$27)</f>
        <v>Нет данных</v>
      </c>
      <c r="F34" s="131">
        <f t="shared" si="0"/>
        <v>96.34</v>
      </c>
      <c r="I34" s="15" t="s">
        <v>361</v>
      </c>
      <c r="O34" s="1"/>
      <c r="W34" s="87"/>
      <c r="X34" s="87"/>
      <c r="Y34" s="87"/>
      <c r="Z34" s="87"/>
      <c r="AA34" s="87"/>
      <c r="AB34" s="87"/>
      <c r="AL34" s="26" t="e">
        <f>VLOOKUP(AM34,'Help Page'!E:F,2,0)</f>
        <v>#N/A</v>
      </c>
      <c r="AM34" s="86"/>
      <c r="AN34" s="86"/>
      <c r="AO34" s="86"/>
      <c r="AP34" s="86"/>
      <c r="AQ34" s="86"/>
      <c r="AR34" s="86"/>
      <c r="AT34" s="26" t="e">
        <f>VLOOKUP(AU34,'Help Page'!E:F,2,0)</f>
        <v>#N/A</v>
      </c>
      <c r="AU34" s="26">
        <f t="shared" si="26"/>
        <v>0</v>
      </c>
      <c r="AV34" s="26">
        <f t="shared" si="27"/>
        <v>0</v>
      </c>
      <c r="AW34" s="26">
        <f t="shared" si="28"/>
        <v>0</v>
      </c>
      <c r="AX34" s="26">
        <f t="shared" si="29"/>
        <v>0</v>
      </c>
      <c r="AY34" s="35">
        <f t="shared" si="30"/>
        <v>0</v>
      </c>
      <c r="AZ34" s="26">
        <f t="shared" si="31"/>
        <v>0</v>
      </c>
      <c r="BC34" s="87"/>
      <c r="BD34" s="87"/>
      <c r="BE34" s="87"/>
      <c r="BF34" s="87"/>
      <c r="BG34" s="87"/>
      <c r="BH34" s="87"/>
      <c r="CE34" s="26"/>
      <c r="CF34" s="26"/>
      <c r="CG34" s="26"/>
      <c r="CH34" s="26" t="str">
        <f>_xll.ReferenceParams(CG34,$CH$6 )</f>
        <v/>
      </c>
      <c r="CI34" s="35" t="str">
        <f>_xll.ReferenceParams(CG34,$CI$6 )</f>
        <v/>
      </c>
      <c r="CJ34" s="35" t="str">
        <f>_xll.ReferenceParams(CG34,$CJ$6)</f>
        <v/>
      </c>
      <c r="CK34" s="26" t="str">
        <f t="shared" si="23"/>
        <v/>
      </c>
      <c r="CL34" s="26"/>
      <c r="DL34" s="1"/>
    </row>
    <row r="35" spans="4:116" x14ac:dyDescent="0.3">
      <c r="D35" s="28">
        <f t="shared" si="1"/>
        <v>45990</v>
      </c>
      <c r="E35" s="86" t="str">
        <f>_xll.CbondsClosePrice($B$1,D35,$B$27)</f>
        <v>Нет данных</v>
      </c>
      <c r="F35" s="131">
        <f t="shared" si="0"/>
        <v>96.34</v>
      </c>
      <c r="I35" s="24" t="s">
        <v>1</v>
      </c>
      <c r="J35" s="24" t="s">
        <v>364</v>
      </c>
      <c r="K35" s="24" t="s">
        <v>362</v>
      </c>
      <c r="L35" s="24" t="s">
        <v>363</v>
      </c>
      <c r="M35" s="24" t="s">
        <v>2012</v>
      </c>
      <c r="N35" s="24" t="s">
        <v>69</v>
      </c>
      <c r="O35" s="24" t="s">
        <v>2013</v>
      </c>
      <c r="P35" s="24" t="s">
        <v>2014</v>
      </c>
      <c r="Q35" s="24" t="s">
        <v>600</v>
      </c>
      <c r="R35" s="24" t="s">
        <v>1068</v>
      </c>
      <c r="S35" s="24" t="s">
        <v>1311</v>
      </c>
      <c r="T35" s="24" t="s">
        <v>1310</v>
      </c>
      <c r="W35" s="87"/>
      <c r="X35" s="87"/>
      <c r="Y35" s="87"/>
      <c r="Z35" s="87"/>
      <c r="AA35" s="87"/>
      <c r="AB35" s="87"/>
      <c r="AL35" s="26" t="e">
        <f>VLOOKUP(AM35,'Help Page'!E:F,2,0)</f>
        <v>#N/A</v>
      </c>
      <c r="AM35" s="86"/>
      <c r="AN35" s="86"/>
      <c r="AO35" s="86"/>
      <c r="AP35" s="86"/>
      <c r="AQ35" s="86"/>
      <c r="AR35" s="86"/>
      <c r="AT35" s="26" t="e">
        <f>VLOOKUP(AU35,'Help Page'!E:F,2,0)</f>
        <v>#N/A</v>
      </c>
      <c r="AU35" s="26">
        <f t="shared" si="26"/>
        <v>0</v>
      </c>
      <c r="AV35" s="26">
        <f t="shared" si="27"/>
        <v>0</v>
      </c>
      <c r="AW35" s="26">
        <f t="shared" si="28"/>
        <v>0</v>
      </c>
      <c r="AX35" s="26">
        <f t="shared" si="29"/>
        <v>0</v>
      </c>
      <c r="AY35" s="35">
        <f t="shared" si="30"/>
        <v>0</v>
      </c>
      <c r="AZ35" s="26">
        <f t="shared" si="31"/>
        <v>0</v>
      </c>
      <c r="BC35" s="87"/>
      <c r="BD35" s="87"/>
      <c r="BE35" s="87"/>
      <c r="BF35" s="87"/>
      <c r="BG35" s="87"/>
      <c r="BH35" s="87"/>
      <c r="CE35" s="26"/>
      <c r="CF35" s="26"/>
      <c r="CG35" s="26"/>
      <c r="CH35" s="26" t="str">
        <f>_xll.ReferenceParams(CG35,$CH$6 )</f>
        <v/>
      </c>
      <c r="CI35" s="35" t="str">
        <f>_xll.ReferenceParams(CG35,$CI$6 )</f>
        <v/>
      </c>
      <c r="CJ35" s="35" t="str">
        <f>_xll.ReferenceParams(CG35,$CJ$6)</f>
        <v/>
      </c>
      <c r="CK35" s="26" t="str">
        <f t="shared" si="23"/>
        <v/>
      </c>
      <c r="CL35" s="26"/>
      <c r="DL35" s="1"/>
    </row>
    <row r="36" spans="4:116" x14ac:dyDescent="0.3">
      <c r="D36" s="28">
        <f t="shared" si="1"/>
        <v>45989</v>
      </c>
      <c r="E36" s="86">
        <f>_xll.CbondsClosePrice($B$1,D36,$B$27)</f>
        <v>96.34</v>
      </c>
      <c r="F36" s="131">
        <f t="shared" si="0"/>
        <v>96.34</v>
      </c>
      <c r="I36" s="26" t="str">
        <f>I26</f>
        <v>RU000A103943</v>
      </c>
      <c r="J36" s="26" t="str">
        <f>_xll.CbondsBondName(I36)</f>
        <v>Аэрофлот, П01-БО-01</v>
      </c>
      <c r="K36" s="39">
        <f>IF(R36="O",O36,M36)*100</f>
        <v>15.09522411723</v>
      </c>
      <c r="L36" s="39">
        <f>IF(R36="O",P36,N36)</f>
        <v>0.4414180168707123</v>
      </c>
      <c r="M36" s="162">
        <f>_xll.CbondsCalcYTM(I26,$K$6,Q36)</f>
        <v>0.15095224117229999</v>
      </c>
      <c r="N36" s="80">
        <f>_xll.CbondsCalcDuration(I26,$K$6,Q36)/365</f>
        <v>0.4414180168707123</v>
      </c>
      <c r="O36" s="86" t="str">
        <f>_xll.CbondsCalcYTP(I36,$K$6,Q36)</f>
        <v>Нет данных</v>
      </c>
      <c r="P36" s="39" t="e">
        <f>_xll.CbondsCalcDurationToPutCall(I36,$K$6,Q36)/365</f>
        <v>#VALUE!</v>
      </c>
      <c r="Q36" s="128">
        <f>IFERROR(_xll.CbondsClosePrice(I36,$K$6,$B$27),"")</f>
        <v>97.46</v>
      </c>
      <c r="R36" s="26" t="str">
        <f>IF(IFERROR(_xll.BondDateParams($I36,$K$6,$A$10)+1,"нет оферты") = "нет оферты", "нет","O")</f>
        <v>нет</v>
      </c>
      <c r="S36" s="124">
        <f t="shared" ref="S36:S42" si="32">IF(IFERROR(I36,"-") = "-","Нет",K36)</f>
        <v>15.09522411723</v>
      </c>
      <c r="T36" s="124">
        <f t="shared" ref="T36:T42" si="33">IF(IFERROR(I36,"-") = "-","Нет",L36)</f>
        <v>0.4414180168707123</v>
      </c>
      <c r="W36" s="87"/>
      <c r="X36" s="87"/>
      <c r="Y36" s="87"/>
      <c r="Z36" s="87"/>
      <c r="AA36" s="87"/>
      <c r="AB36" s="87"/>
      <c r="AL36" s="26" t="e">
        <f>VLOOKUP(AM36,'Help Page'!E:F,2,0)</f>
        <v>#N/A</v>
      </c>
      <c r="AM36" s="86"/>
      <c r="AN36" s="86"/>
      <c r="AO36" s="86"/>
      <c r="AP36" s="86"/>
      <c r="AQ36" s="86"/>
      <c r="AR36" s="86"/>
      <c r="AT36" s="26" t="e">
        <f>VLOOKUP(AU36,'Help Page'!E:F,2,0)</f>
        <v>#N/A</v>
      </c>
      <c r="AU36" s="26">
        <f t="shared" si="26"/>
        <v>0</v>
      </c>
      <c r="AV36" s="26">
        <f t="shared" si="27"/>
        <v>0</v>
      </c>
      <c r="AW36" s="26">
        <f t="shared" si="28"/>
        <v>0</v>
      </c>
      <c r="AX36" s="26">
        <f t="shared" si="29"/>
        <v>0</v>
      </c>
      <c r="AY36" s="35">
        <f t="shared" si="30"/>
        <v>0</v>
      </c>
      <c r="AZ36" s="26">
        <f t="shared" si="31"/>
        <v>0</v>
      </c>
      <c r="BC36" s="87"/>
      <c r="BD36" s="87"/>
      <c r="BE36" s="87"/>
      <c r="BF36" s="87"/>
      <c r="BG36" s="87"/>
      <c r="BH36" s="87"/>
      <c r="CE36" s="26"/>
      <c r="CF36" s="26"/>
      <c r="CG36" s="26"/>
      <c r="CH36" s="26" t="str">
        <f>_xll.ReferenceParams(CG36,$CH$6 )</f>
        <v/>
      </c>
      <c r="CI36" s="35" t="str">
        <f>_xll.ReferenceParams(CG36,$CI$6 )</f>
        <v/>
      </c>
      <c r="CJ36" s="35" t="str">
        <f>_xll.ReferenceParams(CG36,$CJ$6)</f>
        <v/>
      </c>
      <c r="CK36" s="26" t="str">
        <f t="shared" si="23"/>
        <v/>
      </c>
      <c r="CL36" s="26"/>
      <c r="DL36" s="1"/>
    </row>
    <row r="37" spans="4:116" x14ac:dyDescent="0.3">
      <c r="D37" s="28">
        <f t="shared" si="1"/>
        <v>45988</v>
      </c>
      <c r="E37" s="86">
        <f>_xll.CbondsClosePrice($B$1,D37,$B$27)</f>
        <v>96.44</v>
      </c>
      <c r="F37" s="131">
        <f t="shared" si="0"/>
        <v>96.44</v>
      </c>
      <c r="I37" s="23" t="e">
        <f>IF(O27="Активный",I27,IF(O28="Активный",I28,IF(O29="Активный",I29,IF(O30="Активный",I30,IF(O31="Активный",I31,IF(O32="Активный",I32,0))))))</f>
        <v>#VALUE!</v>
      </c>
      <c r="J37" s="26" t="e">
        <f>_xll.CbondsBondName(I37)</f>
        <v>#VALUE!</v>
      </c>
      <c r="K37" s="39" t="e">
        <f t="shared" ref="K37:K42" si="34">IF(R37="O",O37,M37)*100</f>
        <v>#VALUE!</v>
      </c>
      <c r="L37" s="39" t="e">
        <f t="shared" ref="L37:L42" si="35">IF(R37="O",P37,N37)</f>
        <v>#VALUE!</v>
      </c>
      <c r="M37" s="164" t="e">
        <f>_xll.CbondsCalcYTM(I27,$K$6,Q37)</f>
        <v>#VALUE!</v>
      </c>
      <c r="N37" s="133" t="e">
        <f>_xll.CbondsCalcDuration(I27,$K$6,Q37)/365</f>
        <v>#VALUE!</v>
      </c>
      <c r="O37" s="86" t="e">
        <f>_xll.CbondsCalcYTP(I37,$K$6,Q37)</f>
        <v>#VALUE!</v>
      </c>
      <c r="P37" s="39" t="e">
        <f>_xll.CbondsCalcDurationToPutCall(I37,$K$6,Q37)/365</f>
        <v>#VALUE!</v>
      </c>
      <c r="Q37" s="128" t="str">
        <f>IFERROR(_xll.CbondsClosePrice(I37,$K$6,$B$27),"")</f>
        <v/>
      </c>
      <c r="R37" s="26" t="str">
        <f>IF(IFERROR(_xll.BondDateParams($I37,$K$6,$A$10)+1,"нет оферты") = "нет оферты", "нет","O")</f>
        <v>нет</v>
      </c>
      <c r="S37" s="124" t="str">
        <f t="shared" si="32"/>
        <v>Нет</v>
      </c>
      <c r="T37" s="124" t="str">
        <f t="shared" si="33"/>
        <v>Нет</v>
      </c>
      <c r="W37" s="87"/>
      <c r="X37" s="87"/>
      <c r="Y37" s="87"/>
      <c r="Z37" s="87"/>
      <c r="AA37" s="87"/>
      <c r="AB37" s="87"/>
      <c r="AL37" s="26" t="e">
        <f>VLOOKUP(AM37,'Help Page'!E:F,2,0)</f>
        <v>#N/A</v>
      </c>
      <c r="AM37" s="86"/>
      <c r="AN37" s="86"/>
      <c r="AO37" s="86"/>
      <c r="AP37" s="86"/>
      <c r="AQ37" s="86"/>
      <c r="AR37" s="86"/>
      <c r="AT37" s="26" t="e">
        <f>VLOOKUP(AU37,'Help Page'!E:F,2,0)</f>
        <v>#N/A</v>
      </c>
      <c r="AU37" s="26">
        <f t="shared" si="26"/>
        <v>0</v>
      </c>
      <c r="AV37" s="26">
        <f t="shared" si="27"/>
        <v>0</v>
      </c>
      <c r="AW37" s="26">
        <f t="shared" si="28"/>
        <v>0</v>
      </c>
      <c r="AX37" s="26">
        <f t="shared" si="29"/>
        <v>0</v>
      </c>
      <c r="AY37" s="35">
        <f t="shared" si="30"/>
        <v>0</v>
      </c>
      <c r="AZ37" s="26">
        <f t="shared" si="31"/>
        <v>0</v>
      </c>
      <c r="BC37" s="87"/>
      <c r="BD37" s="87"/>
      <c r="BE37" s="87"/>
      <c r="BF37" s="87"/>
      <c r="BG37" s="87"/>
      <c r="BH37" s="87"/>
      <c r="CE37" s="26"/>
      <c r="CF37" s="26"/>
      <c r="CG37" s="26"/>
      <c r="CH37" s="26" t="str">
        <f>_xll.ReferenceParams(CG37,$CH$6 )</f>
        <v/>
      </c>
      <c r="CI37" s="35" t="str">
        <f>_xll.ReferenceParams(CG37,$CI$6 )</f>
        <v/>
      </c>
      <c r="CJ37" s="35" t="str">
        <f>_xll.ReferenceParams(CG37,$CJ$6)</f>
        <v/>
      </c>
      <c r="CK37" s="26" t="str">
        <f t="shared" si="23"/>
        <v/>
      </c>
      <c r="CL37" s="26"/>
      <c r="DL37" s="1"/>
    </row>
    <row r="38" spans="4:116" x14ac:dyDescent="0.3">
      <c r="D38" s="28">
        <f t="shared" si="1"/>
        <v>45987</v>
      </c>
      <c r="E38" s="86">
        <f>_xll.CbondsClosePrice($B$1,D38,$B$27)</f>
        <v>96.47</v>
      </c>
      <c r="F38" s="131">
        <f t="shared" si="0"/>
        <v>96.47</v>
      </c>
      <c r="I38" s="23" t="e">
        <f>IF(AND($O$27="Активный",$I$27&lt;&gt;I37),$I$27,IF(AND($O$28="Активный",$I$28&lt;&gt;I37),$I$28,IF(AND($O$29="Активный",$I$29&lt;&gt;I37),$I$29,IF(AND($O$30="Активный",$I$30&lt;&gt;I37),$I$30,IF(AND($O$31="Активный",$I$31&lt;&gt;I37),$I$31,IF(AND($O$32="Активный",$I$32&lt;&gt;I37),$I$32,0))))))</f>
        <v>#VALUE!</v>
      </c>
      <c r="J38" s="26" t="e">
        <f>_xll.CbondsBondName(I38)</f>
        <v>#VALUE!</v>
      </c>
      <c r="K38" s="39" t="e">
        <f t="shared" si="34"/>
        <v>#VALUE!</v>
      </c>
      <c r="L38" s="39" t="e">
        <f t="shared" si="35"/>
        <v>#VALUE!</v>
      </c>
      <c r="M38" s="132" t="e">
        <f>_xll.CbondsCalcYTM(I28,$K$6,Q38)</f>
        <v>#VALUE!</v>
      </c>
      <c r="N38" s="133" t="e">
        <f>_xll.CbondsCalcDuration(I28,$K$6,Q38)/365</f>
        <v>#VALUE!</v>
      </c>
      <c r="O38" s="130" t="e">
        <f>_xll.CbondsCalcYTP(I38,$K$6,Q38)</f>
        <v>#VALUE!</v>
      </c>
      <c r="P38" s="39" t="e">
        <f>_xll.CbondsCalcDurationToPutCall(I38,$K$6,Q38)/365</f>
        <v>#VALUE!</v>
      </c>
      <c r="Q38" s="128" t="str">
        <f>IFERROR(_xll.CbondsClosePrice(I38,$K$6,$B$27),"")</f>
        <v/>
      </c>
      <c r="R38" s="26" t="str">
        <f>IF(IFERROR(_xll.BondDateParams($I38,$K$6,$A$10)+1,"нет оферты") = "нет оферты", "нет","O")</f>
        <v>нет</v>
      </c>
      <c r="S38" s="124" t="str">
        <f t="shared" si="32"/>
        <v>Нет</v>
      </c>
      <c r="T38" s="124" t="str">
        <f t="shared" si="33"/>
        <v>Нет</v>
      </c>
      <c r="W38" s="87"/>
      <c r="X38" s="87"/>
      <c r="Y38" s="87"/>
      <c r="Z38" s="87"/>
      <c r="AA38" s="87"/>
      <c r="AB38" s="87"/>
      <c r="AL38" s="26" t="e">
        <f>VLOOKUP(AM38,'Help Page'!E:F,2,0)</f>
        <v>#N/A</v>
      </c>
      <c r="AM38" s="86"/>
      <c r="AN38" s="86"/>
      <c r="AO38" s="86"/>
      <c r="AP38" s="86"/>
      <c r="AQ38" s="86"/>
      <c r="AR38" s="86"/>
      <c r="AT38" s="26" t="e">
        <f>VLOOKUP(AU38,'Help Page'!E:F,2,0)</f>
        <v>#N/A</v>
      </c>
      <c r="AU38" s="26">
        <f t="shared" si="26"/>
        <v>0</v>
      </c>
      <c r="AV38" s="26">
        <f t="shared" si="27"/>
        <v>0</v>
      </c>
      <c r="AW38" s="26">
        <f t="shared" si="28"/>
        <v>0</v>
      </c>
      <c r="AX38" s="26">
        <f t="shared" si="29"/>
        <v>0</v>
      </c>
      <c r="AY38" s="35">
        <f t="shared" si="30"/>
        <v>0</v>
      </c>
      <c r="AZ38" s="26">
        <f t="shared" si="31"/>
        <v>0</v>
      </c>
      <c r="BC38" s="87"/>
      <c r="BD38" s="87"/>
      <c r="BE38" s="87"/>
      <c r="BF38" s="87"/>
      <c r="BG38" s="87"/>
      <c r="BH38" s="87"/>
      <c r="CE38" s="26"/>
      <c r="CF38" s="26"/>
      <c r="CG38" s="26"/>
      <c r="CH38" s="26" t="str">
        <f>_xll.ReferenceParams(CG38,$CH$6 )</f>
        <v/>
      </c>
      <c r="CI38" s="35" t="str">
        <f>_xll.ReferenceParams(CG38,$CI$6 )</f>
        <v/>
      </c>
      <c r="CJ38" s="35" t="str">
        <f>_xll.ReferenceParams(CG38,$CJ$6)</f>
        <v/>
      </c>
      <c r="CK38" s="26" t="str">
        <f t="shared" si="23"/>
        <v/>
      </c>
      <c r="CL38" s="26"/>
      <c r="DL38" s="1"/>
    </row>
    <row r="39" spans="4:116" x14ac:dyDescent="0.3">
      <c r="D39" s="28">
        <f t="shared" si="1"/>
        <v>45986</v>
      </c>
      <c r="E39" s="86">
        <f>_xll.CbondsClosePrice($B$1,D39,$B$27)</f>
        <v>96.52</v>
      </c>
      <c r="F39" s="131">
        <f t="shared" si="0"/>
        <v>96.52</v>
      </c>
      <c r="I39" s="23" t="e">
        <f>IF(AND($O$27="Активный",$I$27&lt;&gt;I38,$I$27&lt;&gt;I37),$I$27,IF(AND($O$28="Активный",$I$28&lt;&gt;I38,$I$28&lt;&gt;I37),$I$28,IF(AND($O$29="Активный",$I$29&lt;&gt;I38,$I$29&lt;&gt;I37),$I$29,IF(AND($O$30="Активный",$I$30&lt;&gt;I38,$I$30&lt;&gt;I37),$I$30,IF(AND($O$31="Активный",$I$31&lt;&gt;I38,$I$31&lt;&gt;I37),$I$31,IF(AND($O$32="Активный",$I$32&lt;&gt;I38,$I$32&lt;&gt;I37),$I$32,0))))))</f>
        <v>#VALUE!</v>
      </c>
      <c r="J39" s="26" t="e">
        <f>_xll.CbondsBondName(I39)</f>
        <v>#VALUE!</v>
      </c>
      <c r="K39" s="39" t="e">
        <f t="shared" si="34"/>
        <v>#VALUE!</v>
      </c>
      <c r="L39" s="39" t="e">
        <f t="shared" si="35"/>
        <v>#VALUE!</v>
      </c>
      <c r="M39" s="132" t="e">
        <f>_xll.CbondsCalcYTM(I29,$K$6,Q39)</f>
        <v>#VALUE!</v>
      </c>
      <c r="N39" s="133" t="e">
        <f>_xll.CbondsCalcDuration(I29,$K$6,Q39)/365</f>
        <v>#VALUE!</v>
      </c>
      <c r="O39" s="130" t="e">
        <f>_xll.CbondsCalcYTP(I39,$K$6,Q39)</f>
        <v>#VALUE!</v>
      </c>
      <c r="P39" s="39" t="e">
        <f>_xll.CbondsCalcDurationToPutCall(I39,$K$6,Q39)/365</f>
        <v>#VALUE!</v>
      </c>
      <c r="Q39" s="128" t="str">
        <f>IFERROR(_xll.CbondsClosePrice(I39,$K$6,$B$27),"")</f>
        <v/>
      </c>
      <c r="R39" s="26" t="str">
        <f>IF(IFERROR(_xll.BondDateParams($I39,$K$6,$A$10)+1,"нет оферты") = "нет оферты", "нет","O")</f>
        <v>нет</v>
      </c>
      <c r="S39" s="124" t="str">
        <f t="shared" si="32"/>
        <v>Нет</v>
      </c>
      <c r="T39" s="124" t="str">
        <f t="shared" si="33"/>
        <v>Нет</v>
      </c>
      <c r="W39" s="87"/>
      <c r="X39" s="87"/>
      <c r="Y39" s="87"/>
      <c r="Z39" s="87"/>
      <c r="AA39" s="87"/>
      <c r="AB39" s="87"/>
      <c r="AL39" s="26" t="e">
        <f>VLOOKUP(AM39,'Help Page'!E:F,2,0)</f>
        <v>#N/A</v>
      </c>
      <c r="AM39" s="86"/>
      <c r="AN39" s="86"/>
      <c r="AO39" s="86"/>
      <c r="AP39" s="86"/>
      <c r="AQ39" s="86"/>
      <c r="AR39" s="86"/>
      <c r="AT39" s="26" t="e">
        <f>VLOOKUP(AU39,'Help Page'!E:F,2,0)</f>
        <v>#N/A</v>
      </c>
      <c r="AU39" s="26">
        <f t="shared" si="26"/>
        <v>0</v>
      </c>
      <c r="AV39" s="26">
        <f t="shared" si="27"/>
        <v>0</v>
      </c>
      <c r="AW39" s="26">
        <f t="shared" si="28"/>
        <v>0</v>
      </c>
      <c r="AX39" s="26">
        <f t="shared" si="29"/>
        <v>0</v>
      </c>
      <c r="AY39" s="35">
        <f t="shared" si="30"/>
        <v>0</v>
      </c>
      <c r="AZ39" s="26">
        <f t="shared" si="31"/>
        <v>0</v>
      </c>
      <c r="BC39" s="87"/>
      <c r="BD39" s="87"/>
      <c r="BE39" s="87"/>
      <c r="BF39" s="87"/>
      <c r="BG39" s="87"/>
      <c r="BH39" s="87"/>
      <c r="CE39" s="26"/>
      <c r="CF39" s="26"/>
      <c r="CG39" s="26"/>
      <c r="CH39" s="26" t="str">
        <f>_xll.ReferenceParams(CG39,$CH$6 )</f>
        <v/>
      </c>
      <c r="CI39" s="35" t="str">
        <f>_xll.ReferenceParams(CG39,$CI$6 )</f>
        <v/>
      </c>
      <c r="CJ39" s="35" t="str">
        <f>_xll.ReferenceParams(CG39,$CJ$6)</f>
        <v/>
      </c>
      <c r="CK39" s="26" t="str">
        <f t="shared" ref="CK39:CK70" si="36">IF(CG39 = "","",IF(AND(CH39="В обращении",CI39&lt;=$B$2,CJ39 = "Облигация"),1,0))</f>
        <v/>
      </c>
      <c r="CL39" s="26"/>
      <c r="DL39" s="1"/>
    </row>
    <row r="40" spans="4:116" x14ac:dyDescent="0.3">
      <c r="D40" s="28">
        <f t="shared" si="1"/>
        <v>45985</v>
      </c>
      <c r="E40" s="86">
        <f>_xll.CbondsClosePrice($B$1,D40,$B$27)</f>
        <v>96.38</v>
      </c>
      <c r="F40" s="131">
        <f t="shared" si="0"/>
        <v>96.38</v>
      </c>
      <c r="I40" s="23" t="e">
        <f>IF(AND($O$27="Активный",$I$27&lt;&gt;I39,$I$27&lt;&gt;I38,$I$27&lt;&gt;I37),$I$27,IF(AND($O$28="Активный",$I$28&lt;&gt;I39,$I$28&lt;&gt;I38,$I$28&lt;&gt;I37),$I$28,IF(AND($O$29="Активный",$I$29&lt;&gt;I39,$I$29&lt;&gt;I38,$I$29&lt;&gt;I37),$I$29,IF(AND($O$30="Активный",$I$30&lt;&gt;I39,$I$30&lt;&gt;I38,$I$30&lt;&gt;I37),$I$30,IF(AND($O$31="Активный",$I$31&lt;&gt;I39,$I$31&lt;&gt;I38,$I$31&lt;&gt;I37),$I$31,IF(AND($O$32="Активный",$I$32&lt;&gt;I39,$I$32&lt;&gt;I38,$I$32&lt;&gt;I37),$I$32,0))))))</f>
        <v>#VALUE!</v>
      </c>
      <c r="J40" s="26" t="e">
        <f>_xll.CbondsBondName(I40)</f>
        <v>#VALUE!</v>
      </c>
      <c r="K40" s="39" t="e">
        <f t="shared" si="34"/>
        <v>#VALUE!</v>
      </c>
      <c r="L40" s="39" t="e">
        <f t="shared" si="35"/>
        <v>#VALUE!</v>
      </c>
      <c r="M40" s="132" t="e">
        <f>_xll.CbondsCalcYTM(I30,$K$6,Q40)</f>
        <v>#VALUE!</v>
      </c>
      <c r="N40" s="133" t="e">
        <f>_xll.CbondsCalcDuration(I30,$K$6,Q40)/365</f>
        <v>#VALUE!</v>
      </c>
      <c r="O40" s="130" t="e">
        <f>_xll.CbondsCalcYTP(I40,$K$6,Q40)</f>
        <v>#VALUE!</v>
      </c>
      <c r="P40" s="39" t="e">
        <f>_xll.CbondsCalcDurationToPutCall(I40,$K$6,Q40)/365</f>
        <v>#VALUE!</v>
      </c>
      <c r="Q40" s="128" t="str">
        <f>IFERROR(_xll.CbondsClosePrice(I40,$K$6,$B$27),"")</f>
        <v/>
      </c>
      <c r="R40" s="26" t="str">
        <f>IF(IFERROR(_xll.BondDateParams($I40,$K$6,$A$10)+1,"нет оферты") = "нет оферты", "нет","O")</f>
        <v>нет</v>
      </c>
      <c r="S40" s="124" t="str">
        <f t="shared" si="32"/>
        <v>Нет</v>
      </c>
      <c r="T40" s="124" t="str">
        <f t="shared" si="33"/>
        <v>Нет</v>
      </c>
      <c r="W40" s="87"/>
      <c r="X40" s="87"/>
      <c r="Y40" s="87"/>
      <c r="Z40" s="87"/>
      <c r="AA40" s="87"/>
      <c r="AB40" s="87"/>
      <c r="AL40" s="26" t="e">
        <f>VLOOKUP(AM40,'Help Page'!E:F,2,0)</f>
        <v>#N/A</v>
      </c>
      <c r="AM40" s="86"/>
      <c r="AN40" s="86"/>
      <c r="AO40" s="86"/>
      <c r="AP40" s="86"/>
      <c r="AQ40" s="86"/>
      <c r="AR40" s="86"/>
      <c r="AT40" s="26" t="e">
        <f>VLOOKUP(AU40,'Help Page'!E:F,2,0)</f>
        <v>#N/A</v>
      </c>
      <c r="AU40" s="26">
        <f t="shared" si="26"/>
        <v>0</v>
      </c>
      <c r="AV40" s="26">
        <f t="shared" si="27"/>
        <v>0</v>
      </c>
      <c r="AW40" s="26">
        <f t="shared" si="28"/>
        <v>0</v>
      </c>
      <c r="AX40" s="26">
        <f t="shared" si="29"/>
        <v>0</v>
      </c>
      <c r="AY40" s="35">
        <f t="shared" si="30"/>
        <v>0</v>
      </c>
      <c r="AZ40" s="26">
        <f t="shared" si="31"/>
        <v>0</v>
      </c>
      <c r="BC40" s="87"/>
      <c r="BD40" s="87"/>
      <c r="BE40" s="87"/>
      <c r="BF40" s="87"/>
      <c r="BG40" s="87"/>
      <c r="BH40" s="87"/>
      <c r="CE40" s="26"/>
      <c r="CF40" s="26"/>
      <c r="CG40" s="26"/>
      <c r="CH40" s="26" t="str">
        <f>_xll.ReferenceParams(CG40,$CH$6 )</f>
        <v/>
      </c>
      <c r="CI40" s="35" t="str">
        <f>_xll.ReferenceParams(CG40,$CI$6 )</f>
        <v/>
      </c>
      <c r="CJ40" s="35" t="str">
        <f>_xll.ReferenceParams(CG40,$CJ$6)</f>
        <v/>
      </c>
      <c r="CK40" s="26" t="str">
        <f t="shared" si="36"/>
        <v/>
      </c>
      <c r="CL40" s="26"/>
      <c r="DL40" s="1"/>
    </row>
    <row r="41" spans="4:116" x14ac:dyDescent="0.3">
      <c r="D41" s="28">
        <f t="shared" si="1"/>
        <v>45984</v>
      </c>
      <c r="E41" s="86" t="str">
        <f>_xll.CbondsClosePrice($B$1,D41,$B$27)</f>
        <v>Нет данных</v>
      </c>
      <c r="F41" s="131">
        <f t="shared" si="0"/>
        <v>96.42</v>
      </c>
      <c r="I41" s="23" t="e">
        <f>IF(AND($O$27="Активный",$I$27&lt;&gt;I40,$I$27&lt;&gt;I39,$I$27&lt;&gt;I38,$I$27&lt;&gt;I37),$I$27,IF(AND($O$28="Активный",$I$28&lt;&gt;I40,$I$28&lt;&gt;I39,$I$28&lt;&gt;I38,$I$28&lt;&gt;I37),$I$28,IF(AND($O$29="Активный",$I$29&lt;&gt;I40,$I$29&lt;&gt;I39,$I$29&lt;&gt;I38,$I$29&lt;&gt;I37),$I$29,IF(AND($O$30="Активный",$I$30&lt;&gt;I40,$I$30&lt;&gt;I39,$I$30&lt;&gt;I38,$I$30&lt;&gt;I37),$I$30,IF(AND($O$31="Активный",$I$31&lt;&gt;I40,$I$31&lt;&gt;I39,$I$31&lt;&gt;I38,$I$31&lt;&gt;I37),$I$31,IF(AND($O$32="Активный",$I$32&lt;&gt;I40,$I$32&lt;&gt;I39,$I$32&lt;&gt;I38,$I$32&lt;&gt;I37),$I$32,0))))))</f>
        <v>#VALUE!</v>
      </c>
      <c r="J41" s="26" t="e">
        <f>_xll.CbondsBondName(I41)</f>
        <v>#VALUE!</v>
      </c>
      <c r="K41" s="39" t="e">
        <f t="shared" si="34"/>
        <v>#VALUE!</v>
      </c>
      <c r="L41" s="39" t="e">
        <f t="shared" si="35"/>
        <v>#VALUE!</v>
      </c>
      <c r="M41" s="132" t="e">
        <f>_xll.CbondsCalcYTM(I31,$K$6,Q41)</f>
        <v>#VALUE!</v>
      </c>
      <c r="N41" s="133" t="e">
        <f>_xll.CbondsCalcDuration(I31,$K$6,Q41)/365</f>
        <v>#VALUE!</v>
      </c>
      <c r="O41" s="130" t="e">
        <f>_xll.CbondsCalcYTP(I41,$K$6,Q41)</f>
        <v>#VALUE!</v>
      </c>
      <c r="P41" s="39" t="e">
        <f>_xll.CbondsCalcDurationToPutCall(I41,$K$6,Q41)/365</f>
        <v>#VALUE!</v>
      </c>
      <c r="Q41" s="128" t="str">
        <f>IFERROR(_xll.CbondsClosePrice(I41,$K$6,$B$27),"")</f>
        <v/>
      </c>
      <c r="R41" s="26" t="str">
        <f>IF(IFERROR(_xll.BondDateParams($I41,$K$6,$A$10)+1,"нет оферты") = "нет оферты", "нет","O")</f>
        <v>нет</v>
      </c>
      <c r="S41" s="124" t="str">
        <f t="shared" si="32"/>
        <v>Нет</v>
      </c>
      <c r="T41" s="124" t="str">
        <f t="shared" si="33"/>
        <v>Нет</v>
      </c>
      <c r="W41" s="87"/>
      <c r="X41" s="87"/>
      <c r="Y41" s="87"/>
      <c r="Z41" s="87"/>
      <c r="AA41" s="87"/>
      <c r="AB41" s="87"/>
      <c r="AL41" s="26" t="e">
        <f>VLOOKUP(AM41,'Help Page'!E:F,2,0)</f>
        <v>#N/A</v>
      </c>
      <c r="AM41" s="86"/>
      <c r="AN41" s="86"/>
      <c r="AO41" s="86"/>
      <c r="AP41" s="86"/>
      <c r="AQ41" s="86"/>
      <c r="AR41" s="86"/>
      <c r="AT41" s="26" t="e">
        <f>VLOOKUP(AU41,'Help Page'!E:F,2,0)</f>
        <v>#N/A</v>
      </c>
      <c r="AU41" s="26">
        <f t="shared" si="26"/>
        <v>0</v>
      </c>
      <c r="AV41" s="26">
        <f t="shared" si="27"/>
        <v>0</v>
      </c>
      <c r="AW41" s="26">
        <f t="shared" si="28"/>
        <v>0</v>
      </c>
      <c r="AX41" s="26">
        <f t="shared" si="29"/>
        <v>0</v>
      </c>
      <c r="AY41" s="35">
        <f t="shared" si="30"/>
        <v>0</v>
      </c>
      <c r="AZ41" s="26">
        <f t="shared" si="31"/>
        <v>0</v>
      </c>
      <c r="BC41" s="87"/>
      <c r="BD41" s="87"/>
      <c r="BE41" s="87"/>
      <c r="BF41" s="87"/>
      <c r="BG41" s="87"/>
      <c r="BH41" s="87"/>
      <c r="CE41" s="26"/>
      <c r="CF41" s="26"/>
      <c r="CG41" s="26"/>
      <c r="CH41" s="26" t="str">
        <f>_xll.ReferenceParams(CG41,$CH$6 )</f>
        <v/>
      </c>
      <c r="CI41" s="35" t="str">
        <f>_xll.ReferenceParams(CG41,$CI$6 )</f>
        <v/>
      </c>
      <c r="CJ41" s="35" t="str">
        <f>_xll.ReferenceParams(CG41,$CJ$6)</f>
        <v/>
      </c>
      <c r="CK41" s="26" t="str">
        <f t="shared" si="36"/>
        <v/>
      </c>
      <c r="CL41" s="26"/>
      <c r="DL41" s="1"/>
    </row>
    <row r="42" spans="4:116" x14ac:dyDescent="0.3">
      <c r="D42" s="28">
        <f t="shared" si="1"/>
        <v>45983</v>
      </c>
      <c r="E42" s="86" t="str">
        <f>_xll.CbondsClosePrice($B$1,D42,$B$27)</f>
        <v>Нет данных</v>
      </c>
      <c r="F42" s="131">
        <f t="shared" si="0"/>
        <v>96.42</v>
      </c>
      <c r="I42" s="23" t="e">
        <f>IF(AND($O$27="Активный",$I$27&lt;&gt;I41,$I$27&lt;&gt;I40,$I$27&lt;&gt;I39,$I$27&lt;&gt;I38,$I$27&lt;&gt;I37),$I$27,IF(AND($O$28="Активный",$I$28&lt;&gt;I41,$I$28&lt;&gt;I40,$I$28&lt;&gt;I39,$I$28&lt;&gt;I38,$I$28&lt;&gt;I37),$I$28,IF(AND($O$29="Активный",$I$29&lt;&gt;I41,$I$29&lt;&gt;I40,$I$29&lt;&gt;I39,$I$29&lt;&gt;I38,$I$29&lt;&gt;I37),$I$29,IF(AND($O$30="Активный",$I$30&lt;&gt;I41,$I$30&lt;&gt;I40,$I$30&lt;&gt;I39,$I$30&lt;&gt;I38,$I$30&lt;&gt;I37),$I$30,IF(AND($O$31="Активный",$I$31&lt;&gt;I41,$I$31&lt;&gt;I40,$I$31&lt;&gt;I39,$I$31&lt;&gt;I38,$I$31&lt;&gt;I37),$I$31,IF(AND($O$32="Активный",$I$32&lt;&gt;I41,$I$32&lt;&gt;I40,$I$32&lt;&gt;I39,$I$32&lt;&gt;I38,$I$32&lt;&gt;I37),$I$32,0))))))</f>
        <v>#VALUE!</v>
      </c>
      <c r="J42" s="26" t="e">
        <f>_xll.CbondsBondName(I42)</f>
        <v>#VALUE!</v>
      </c>
      <c r="K42" s="39" t="e">
        <f t="shared" si="34"/>
        <v>#VALUE!</v>
      </c>
      <c r="L42" s="39" t="e">
        <f t="shared" si="35"/>
        <v>#VALUE!</v>
      </c>
      <c r="M42" s="132" t="e">
        <f>_xll.CbondsCalcYTM(I32,$K$6,Q42)</f>
        <v>#VALUE!</v>
      </c>
      <c r="N42" s="133" t="e">
        <f>_xll.CbondsCalcDuration(I32,$K$6,Q42)/365</f>
        <v>#VALUE!</v>
      </c>
      <c r="O42" s="130" t="e">
        <f>_xll.CbondsCalcYTP(I42,$K$6,Q42)</f>
        <v>#VALUE!</v>
      </c>
      <c r="P42" s="39" t="e">
        <f>_xll.CbondsCalcDurationToPutCall(I42,$K$6,Q42)/365</f>
        <v>#VALUE!</v>
      </c>
      <c r="Q42" s="128" t="str">
        <f>IFERROR(_xll.CbondsClosePrice(I42,$K$6,$B$27),"")</f>
        <v/>
      </c>
      <c r="R42" s="26" t="str">
        <f>IF(IFERROR(_xll.BondDateParams($I42,$K$6,$A$10)+1,"нет оферты") = "нет оферты", "нет","O")</f>
        <v>нет</v>
      </c>
      <c r="S42" s="124" t="str">
        <f t="shared" si="32"/>
        <v>Нет</v>
      </c>
      <c r="T42" s="124" t="str">
        <f t="shared" si="33"/>
        <v>Нет</v>
      </c>
      <c r="W42" s="87"/>
      <c r="X42" s="87"/>
      <c r="Y42" s="87"/>
      <c r="Z42" s="87"/>
      <c r="AA42" s="87"/>
      <c r="AB42" s="87"/>
      <c r="AL42" s="26" t="e">
        <f>VLOOKUP(AM42,'Help Page'!E:F,2,0)</f>
        <v>#N/A</v>
      </c>
      <c r="AM42" s="86"/>
      <c r="AN42" s="86"/>
      <c r="AO42" s="86"/>
      <c r="AP42" s="86"/>
      <c r="AQ42" s="86"/>
      <c r="AR42" s="86"/>
      <c r="AT42" s="26" t="e">
        <f>VLOOKUP(AU42,'Help Page'!E:F,2,0)</f>
        <v>#N/A</v>
      </c>
      <c r="AU42" s="26">
        <f t="shared" si="26"/>
        <v>0</v>
      </c>
      <c r="AV42" s="26">
        <f t="shared" si="27"/>
        <v>0</v>
      </c>
      <c r="AW42" s="26">
        <f t="shared" si="28"/>
        <v>0</v>
      </c>
      <c r="AX42" s="26">
        <f t="shared" si="29"/>
        <v>0</v>
      </c>
      <c r="AY42" s="35">
        <f t="shared" si="30"/>
        <v>0</v>
      </c>
      <c r="AZ42" s="26">
        <f t="shared" si="31"/>
        <v>0</v>
      </c>
      <c r="BC42" s="87"/>
      <c r="BD42" s="87"/>
      <c r="BE42" s="87"/>
      <c r="BF42" s="87"/>
      <c r="BG42" s="87"/>
      <c r="BH42" s="87"/>
      <c r="CE42" s="26"/>
      <c r="CF42" s="26"/>
      <c r="CG42" s="26"/>
      <c r="CH42" s="26" t="str">
        <f>_xll.ReferenceParams(CG42,$CH$6 )</f>
        <v/>
      </c>
      <c r="CI42" s="35" t="str">
        <f>_xll.ReferenceParams(CG42,$CI$6 )</f>
        <v/>
      </c>
      <c r="CJ42" s="35" t="str">
        <f>_xll.ReferenceParams(CG42,$CJ$6)</f>
        <v/>
      </c>
      <c r="CK42" s="26" t="str">
        <f t="shared" si="36"/>
        <v/>
      </c>
      <c r="CL42" s="26"/>
      <c r="DL42" s="1"/>
    </row>
    <row r="43" spans="4:116" x14ac:dyDescent="0.3">
      <c r="D43" s="28">
        <f t="shared" si="1"/>
        <v>45982</v>
      </c>
      <c r="E43" s="86">
        <f>_xll.CbondsClosePrice($B$1,D43,$B$27)</f>
        <v>96.42</v>
      </c>
      <c r="F43" s="131">
        <f t="shared" si="0"/>
        <v>96.42</v>
      </c>
      <c r="O43" s="1"/>
      <c r="W43" s="87"/>
      <c r="X43" s="87"/>
      <c r="Y43" s="87"/>
      <c r="Z43" s="87"/>
      <c r="AA43" s="87"/>
      <c r="AB43" s="87"/>
      <c r="AL43" s="26" t="e">
        <f>VLOOKUP(AM43,'Help Page'!E:F,2,0)</f>
        <v>#N/A</v>
      </c>
      <c r="AM43" s="86"/>
      <c r="AN43" s="86"/>
      <c r="AO43" s="86"/>
      <c r="AP43" s="86"/>
      <c r="AQ43" s="86"/>
      <c r="AR43" s="86"/>
      <c r="AT43" s="26" t="e">
        <f>VLOOKUP(AU43,'Help Page'!E:F,2,0)</f>
        <v>#N/A</v>
      </c>
      <c r="AU43" s="26">
        <f t="shared" si="26"/>
        <v>0</v>
      </c>
      <c r="AV43" s="26">
        <f t="shared" si="27"/>
        <v>0</v>
      </c>
      <c r="AW43" s="26">
        <f t="shared" si="28"/>
        <v>0</v>
      </c>
      <c r="AX43" s="26">
        <f t="shared" si="29"/>
        <v>0</v>
      </c>
      <c r="AY43" s="35">
        <f t="shared" si="30"/>
        <v>0</v>
      </c>
      <c r="AZ43" s="26">
        <f t="shared" si="31"/>
        <v>0</v>
      </c>
      <c r="BC43" s="87"/>
      <c r="BD43" s="87"/>
      <c r="BE43" s="87"/>
      <c r="BF43" s="87"/>
      <c r="BG43" s="87"/>
      <c r="BH43" s="87"/>
      <c r="CE43" s="26"/>
      <c r="CF43" s="26"/>
      <c r="CG43" s="26"/>
      <c r="CH43" s="26" t="str">
        <f>_xll.ReferenceParams(CG43,$CH$6 )</f>
        <v/>
      </c>
      <c r="CI43" s="35" t="str">
        <f>_xll.ReferenceParams(CG43,$CI$6 )</f>
        <v/>
      </c>
      <c r="CJ43" s="35" t="str">
        <f>_xll.ReferenceParams(CG43,$CJ$6)</f>
        <v/>
      </c>
      <c r="CK43" s="26" t="str">
        <f t="shared" si="36"/>
        <v/>
      </c>
      <c r="CL43" s="26"/>
      <c r="DL43" s="1"/>
    </row>
    <row r="44" spans="4:116" x14ac:dyDescent="0.3">
      <c r="D44" s="28">
        <f t="shared" si="1"/>
        <v>45981</v>
      </c>
      <c r="E44" s="86">
        <f>_xll.CbondsClosePrice($B$1,D44,$B$27)</f>
        <v>96.36</v>
      </c>
      <c r="F44" s="131">
        <f t="shared" si="0"/>
        <v>96.36</v>
      </c>
      <c r="O44" s="1"/>
      <c r="W44" s="87"/>
      <c r="X44" s="87"/>
      <c r="Y44" s="87"/>
      <c r="Z44" s="87"/>
      <c r="AA44" s="87"/>
      <c r="AB44" s="87"/>
      <c r="AL44" s="26" t="e">
        <f>VLOOKUP(AM44,'Help Page'!E:F,2,0)</f>
        <v>#N/A</v>
      </c>
      <c r="AM44" s="86"/>
      <c r="AN44" s="86"/>
      <c r="AO44" s="86"/>
      <c r="AP44" s="86"/>
      <c r="AQ44" s="86"/>
      <c r="AR44" s="86"/>
      <c r="AT44" s="26" t="e">
        <f>VLOOKUP(AU44,'Help Page'!E:F,2,0)</f>
        <v>#N/A</v>
      </c>
      <c r="AU44" s="26">
        <f t="shared" si="26"/>
        <v>0</v>
      </c>
      <c r="AV44" s="26">
        <f t="shared" si="27"/>
        <v>0</v>
      </c>
      <c r="AW44" s="26">
        <f t="shared" si="28"/>
        <v>0</v>
      </c>
      <c r="AX44" s="26">
        <f t="shared" si="29"/>
        <v>0</v>
      </c>
      <c r="AY44" s="35">
        <f t="shared" si="30"/>
        <v>0</v>
      </c>
      <c r="AZ44" s="26">
        <f t="shared" si="31"/>
        <v>0</v>
      </c>
      <c r="BC44" s="87"/>
      <c r="BD44" s="87"/>
      <c r="BE44" s="87"/>
      <c r="BF44" s="87"/>
      <c r="BG44" s="87"/>
      <c r="BH44" s="87"/>
      <c r="CE44" s="26"/>
      <c r="CF44" s="26"/>
      <c r="CG44" s="26"/>
      <c r="CH44" s="26" t="str">
        <f>_xll.ReferenceParams(CG44,$CH$6 )</f>
        <v/>
      </c>
      <c r="CI44" s="35" t="str">
        <f>_xll.ReferenceParams(CG44,$CI$6 )</f>
        <v/>
      </c>
      <c r="CJ44" s="35" t="str">
        <f>_xll.ReferenceParams(CG44,$CJ$6)</f>
        <v/>
      </c>
      <c r="CK44" s="26" t="str">
        <f t="shared" si="36"/>
        <v/>
      </c>
      <c r="CL44" s="26"/>
      <c r="DL44" s="1"/>
    </row>
    <row r="45" spans="4:116" x14ac:dyDescent="0.3">
      <c r="D45" s="28">
        <f t="shared" si="1"/>
        <v>45980</v>
      </c>
      <c r="E45" s="86">
        <f>_xll.CbondsClosePrice($B$1,D45,$B$27)</f>
        <v>96.31</v>
      </c>
      <c r="F45" s="131">
        <f t="shared" si="0"/>
        <v>96.31</v>
      </c>
      <c r="I45" s="125" t="s">
        <v>1312</v>
      </c>
      <c r="J45" s="166" t="s">
        <v>1319</v>
      </c>
      <c r="K45" s="166"/>
      <c r="L45" s="166" t="s">
        <v>1320</v>
      </c>
      <c r="M45" s="166"/>
      <c r="O45" s="1"/>
      <c r="W45" s="87"/>
      <c r="X45" s="87"/>
      <c r="Y45" s="87"/>
      <c r="Z45" s="87"/>
      <c r="AA45" s="87"/>
      <c r="AB45" s="87"/>
      <c r="AL45" s="26" t="e">
        <f>VLOOKUP(AM45,'Help Page'!E:F,2,0)</f>
        <v>#N/A</v>
      </c>
      <c r="AM45" s="86"/>
      <c r="AN45" s="86"/>
      <c r="AO45" s="86"/>
      <c r="AP45" s="86"/>
      <c r="AQ45" s="86"/>
      <c r="AR45" s="86"/>
      <c r="AT45" s="26" t="e">
        <f>VLOOKUP(AU45,'Help Page'!E:F,2,0)</f>
        <v>#N/A</v>
      </c>
      <c r="AU45" s="26">
        <f t="shared" si="26"/>
        <v>0</v>
      </c>
      <c r="AV45" s="26">
        <f t="shared" si="27"/>
        <v>0</v>
      </c>
      <c r="AW45" s="26">
        <f t="shared" si="28"/>
        <v>0</v>
      </c>
      <c r="AX45" s="26">
        <f t="shared" si="29"/>
        <v>0</v>
      </c>
      <c r="AY45" s="35">
        <f t="shared" si="30"/>
        <v>0</v>
      </c>
      <c r="AZ45" s="26">
        <f t="shared" si="31"/>
        <v>0</v>
      </c>
      <c r="BC45" s="87"/>
      <c r="BD45" s="87"/>
      <c r="BE45" s="87"/>
      <c r="BF45" s="87"/>
      <c r="BG45" s="87"/>
      <c r="BH45" s="87"/>
      <c r="CE45" s="26"/>
      <c r="CF45" s="26"/>
      <c r="CG45" s="26"/>
      <c r="CH45" s="26" t="str">
        <f>_xll.ReferenceParams(CG45,$CH$6 )</f>
        <v/>
      </c>
      <c r="CI45" s="35" t="str">
        <f>_xll.ReferenceParams(CG45,$CI$6 )</f>
        <v/>
      </c>
      <c r="CJ45" s="35" t="str">
        <f>_xll.ReferenceParams(CG45,$CJ$6)</f>
        <v/>
      </c>
      <c r="CK45" s="26" t="str">
        <f t="shared" si="36"/>
        <v/>
      </c>
      <c r="CL45" s="26"/>
      <c r="DL45" s="1"/>
    </row>
    <row r="46" spans="4:116" x14ac:dyDescent="0.3">
      <c r="D46" s="28">
        <f t="shared" si="1"/>
        <v>45979</v>
      </c>
      <c r="E46" s="86">
        <f>_xll.CbondsClosePrice($B$1,D46,$B$27)</f>
        <v>96.34</v>
      </c>
      <c r="F46" s="131">
        <f t="shared" si="0"/>
        <v>96.34</v>
      </c>
      <c r="I46" s="31"/>
      <c r="J46" s="94" t="s">
        <v>1318</v>
      </c>
      <c r="K46" s="94" t="s">
        <v>1317</v>
      </c>
      <c r="L46" s="94" t="s">
        <v>1318</v>
      </c>
      <c r="M46" s="94" t="s">
        <v>1317</v>
      </c>
      <c r="O46" s="1"/>
      <c r="W46" s="87"/>
      <c r="X46" s="87"/>
      <c r="Y46" s="87"/>
      <c r="Z46" s="87"/>
      <c r="AA46" s="87"/>
      <c r="AB46" s="87"/>
      <c r="AL46" s="26" t="e">
        <f>VLOOKUP(AM46,'Help Page'!E:F,2,0)</f>
        <v>#N/A</v>
      </c>
      <c r="AM46" s="86"/>
      <c r="AN46" s="86"/>
      <c r="AO46" s="86"/>
      <c r="AP46" s="86"/>
      <c r="AQ46" s="86"/>
      <c r="AR46" s="86"/>
      <c r="AT46" s="26" t="e">
        <f>VLOOKUP(AU46,'Help Page'!E:F,2,0)</f>
        <v>#N/A</v>
      </c>
      <c r="AU46" s="26">
        <f t="shared" si="26"/>
        <v>0</v>
      </c>
      <c r="AV46" s="26">
        <f t="shared" si="27"/>
        <v>0</v>
      </c>
      <c r="AW46" s="26">
        <f t="shared" si="28"/>
        <v>0</v>
      </c>
      <c r="AX46" s="26">
        <f t="shared" si="29"/>
        <v>0</v>
      </c>
      <c r="AY46" s="35">
        <f t="shared" si="30"/>
        <v>0</v>
      </c>
      <c r="AZ46" s="26">
        <f t="shared" si="31"/>
        <v>0</v>
      </c>
      <c r="BC46" s="87"/>
      <c r="BD46" s="87"/>
      <c r="BE46" s="87"/>
      <c r="BF46" s="87"/>
      <c r="BG46" s="87"/>
      <c r="BH46" s="87"/>
      <c r="CE46" s="26"/>
      <c r="CF46" s="26"/>
      <c r="CG46" s="26"/>
      <c r="CH46" s="26" t="str">
        <f>_xll.ReferenceParams(CG46,$CH$6 )</f>
        <v/>
      </c>
      <c r="CI46" s="35" t="str">
        <f>_xll.ReferenceParams(CG46,$CI$6 )</f>
        <v/>
      </c>
      <c r="CJ46" s="35" t="str">
        <f>_xll.ReferenceParams(CG46,$CJ$6)</f>
        <v/>
      </c>
      <c r="CK46" s="26" t="str">
        <f t="shared" si="36"/>
        <v/>
      </c>
      <c r="CL46" s="26"/>
      <c r="DL46" s="1"/>
    </row>
    <row r="47" spans="4:116" x14ac:dyDescent="0.3">
      <c r="D47" s="28">
        <f t="shared" si="1"/>
        <v>45978</v>
      </c>
      <c r="E47" s="86">
        <f>_xll.CbondsClosePrice($B$1,D47,$B$27)</f>
        <v>96.46</v>
      </c>
      <c r="F47" s="131">
        <f t="shared" si="0"/>
        <v>96.46</v>
      </c>
      <c r="I47" s="94" t="s">
        <v>1313</v>
      </c>
      <c r="J47" s="111">
        <f>MIN(T6:T18)</f>
        <v>45658</v>
      </c>
      <c r="K47" s="111">
        <f>MAX(T6:T18)</f>
        <v>46023</v>
      </c>
      <c r="L47" s="154">
        <f>_xlfn.FLOOR.MATH(MIN(F:F)-1,1)</f>
        <v>82</v>
      </c>
      <c r="M47" s="154">
        <f>_xlfn.CEILING.MATH(MAX(F:F)+1)</f>
        <v>99</v>
      </c>
      <c r="O47" s="1"/>
      <c r="W47" s="87"/>
      <c r="X47" s="87"/>
      <c r="Y47" s="87"/>
      <c r="Z47" s="87"/>
      <c r="AA47" s="87"/>
      <c r="AB47" s="87"/>
      <c r="AL47" s="26" t="e">
        <f>VLOOKUP(AM47,'Help Page'!E:F,2,0)</f>
        <v>#N/A</v>
      </c>
      <c r="AM47" s="86"/>
      <c r="AN47" s="86"/>
      <c r="AO47" s="86"/>
      <c r="AP47" s="86"/>
      <c r="AQ47" s="86"/>
      <c r="AR47" s="86"/>
      <c r="AT47" s="26" t="e">
        <f>VLOOKUP(AU47,'Help Page'!E:F,2,0)</f>
        <v>#N/A</v>
      </c>
      <c r="AU47" s="26">
        <f t="shared" si="26"/>
        <v>0</v>
      </c>
      <c r="AV47" s="26">
        <f t="shared" si="27"/>
        <v>0</v>
      </c>
      <c r="AW47" s="26">
        <f t="shared" si="28"/>
        <v>0</v>
      </c>
      <c r="AX47" s="26">
        <f t="shared" si="29"/>
        <v>0</v>
      </c>
      <c r="AY47" s="35">
        <f t="shared" si="30"/>
        <v>0</v>
      </c>
      <c r="AZ47" s="26">
        <f t="shared" si="31"/>
        <v>0</v>
      </c>
      <c r="BC47" s="87"/>
      <c r="BD47" s="87"/>
      <c r="BE47" s="87"/>
      <c r="BF47" s="87"/>
      <c r="BG47" s="87"/>
      <c r="BH47" s="87"/>
      <c r="CE47" s="26"/>
      <c r="CF47" s="26"/>
      <c r="CG47" s="26"/>
      <c r="CH47" s="26" t="str">
        <f>_xll.ReferenceParams(CG47,$CH$6 )</f>
        <v/>
      </c>
      <c r="CI47" s="35" t="str">
        <f>_xll.ReferenceParams(CG47,$CI$6 )</f>
        <v/>
      </c>
      <c r="CJ47" s="35" t="str">
        <f>_xll.ReferenceParams(CG47,$CJ$6)</f>
        <v/>
      </c>
      <c r="CK47" s="26" t="str">
        <f t="shared" si="36"/>
        <v/>
      </c>
      <c r="CL47" s="26"/>
      <c r="DL47" s="1"/>
    </row>
    <row r="48" spans="4:116" x14ac:dyDescent="0.3">
      <c r="D48" s="28">
        <f t="shared" si="1"/>
        <v>45977</v>
      </c>
      <c r="E48" s="86" t="str">
        <f>_xll.CbondsClosePrice($B$1,D48,$B$27)</f>
        <v>Нет данных</v>
      </c>
      <c r="F48" s="131">
        <f t="shared" si="0"/>
        <v>96.38</v>
      </c>
      <c r="I48" s="94" t="s">
        <v>1314</v>
      </c>
      <c r="J48" s="111">
        <f>MIN(T6:T18)</f>
        <v>45658</v>
      </c>
      <c r="K48" s="111">
        <f>MAX(T6:T18)</f>
        <v>46023</v>
      </c>
      <c r="L48" s="124">
        <f>ROUNDDOWN(MIN(M6:M18,P6:P18)-0.01,2)*100</f>
        <v>11</v>
      </c>
      <c r="M48" s="124">
        <f>ROUNDUP(MAX(M6:M18,P6:P18)+0.01,2)*100</f>
        <v>24.000000000000004</v>
      </c>
      <c r="O48" s="1"/>
      <c r="W48" s="87"/>
      <c r="X48" s="87"/>
      <c r="Y48" s="87"/>
      <c r="Z48" s="87"/>
      <c r="AA48" s="87"/>
      <c r="AB48" s="87"/>
      <c r="AL48" s="26" t="e">
        <f>VLOOKUP(AM48,'Help Page'!E:F,2,0)</f>
        <v>#N/A</v>
      </c>
      <c r="AM48" s="86"/>
      <c r="AN48" s="86"/>
      <c r="AO48" s="86"/>
      <c r="AP48" s="86"/>
      <c r="AQ48" s="86"/>
      <c r="AR48" s="86"/>
      <c r="AT48" s="26" t="e">
        <f>VLOOKUP(AU48,'Help Page'!E:F,2,0)</f>
        <v>#N/A</v>
      </c>
      <c r="AU48" s="26">
        <f t="shared" si="26"/>
        <v>0</v>
      </c>
      <c r="AV48" s="26">
        <f t="shared" si="27"/>
        <v>0</v>
      </c>
      <c r="AW48" s="26">
        <f t="shared" si="28"/>
        <v>0</v>
      </c>
      <c r="AX48" s="26">
        <f t="shared" si="29"/>
        <v>0</v>
      </c>
      <c r="AY48" s="35">
        <f t="shared" si="30"/>
        <v>0</v>
      </c>
      <c r="AZ48" s="26">
        <f t="shared" si="31"/>
        <v>0</v>
      </c>
      <c r="BC48" s="87"/>
      <c r="BD48" s="87"/>
      <c r="BE48" s="87"/>
      <c r="BF48" s="87"/>
      <c r="BG48" s="87"/>
      <c r="BH48" s="87"/>
      <c r="CE48" s="26"/>
      <c r="CF48" s="26"/>
      <c r="CG48" s="26"/>
      <c r="CH48" s="26" t="str">
        <f>_xll.ReferenceParams(CG48,$CH$6 )</f>
        <v/>
      </c>
      <c r="CI48" s="35" t="str">
        <f>_xll.ReferenceParams(CG48,$CI$6 )</f>
        <v/>
      </c>
      <c r="CJ48" s="35" t="str">
        <f>_xll.ReferenceParams(CG48,$CJ$6)</f>
        <v/>
      </c>
      <c r="CK48" s="26" t="str">
        <f t="shared" si="36"/>
        <v/>
      </c>
      <c r="CL48" s="26"/>
      <c r="DL48" s="1"/>
    </row>
    <row r="49" spans="4:116" x14ac:dyDescent="0.3">
      <c r="D49" s="28">
        <f t="shared" si="1"/>
        <v>45976</v>
      </c>
      <c r="E49" s="86" t="str">
        <f>_xll.CbondsClosePrice($B$1,D49,$B$27)</f>
        <v>Нет данных</v>
      </c>
      <c r="F49" s="131">
        <f t="shared" si="0"/>
        <v>96.38</v>
      </c>
      <c r="I49" s="94" t="s">
        <v>1315</v>
      </c>
      <c r="J49" s="126">
        <f>_xlfn.FLOOR.MATH(MIN(Template!W1:AB1)-0.5%,0.01)</f>
        <v>0.12</v>
      </c>
      <c r="K49" s="126">
        <f>_xlfn.CEILING.MATH(MAX(Template!W1:AB1)+0.5%,0.01)</f>
        <v>0.27</v>
      </c>
      <c r="L49" s="154"/>
      <c r="M49" s="154"/>
      <c r="O49" s="1"/>
      <c r="W49" s="87"/>
      <c r="X49" s="87"/>
      <c r="Y49" s="87"/>
      <c r="Z49" s="87"/>
      <c r="AA49" s="87"/>
      <c r="AB49" s="87"/>
      <c r="AL49" s="26"/>
      <c r="AM49" s="86"/>
      <c r="AN49" s="86"/>
      <c r="AO49" s="86"/>
      <c r="AP49" s="86"/>
      <c r="AQ49" s="86"/>
      <c r="AR49" s="86"/>
      <c r="AT49" s="26" t="e">
        <f>VLOOKUP(AU49,'Help Page'!E:F,2,0)</f>
        <v>#N/A</v>
      </c>
      <c r="AU49" s="26">
        <f t="shared" si="26"/>
        <v>0</v>
      </c>
      <c r="AV49" s="26">
        <f t="shared" si="27"/>
        <v>0</v>
      </c>
      <c r="AW49" s="26">
        <f t="shared" si="28"/>
        <v>0</v>
      </c>
      <c r="AX49" s="26">
        <f t="shared" si="29"/>
        <v>0</v>
      </c>
      <c r="AY49" s="35">
        <f t="shared" si="30"/>
        <v>0</v>
      </c>
      <c r="AZ49" s="26">
        <f t="shared" si="31"/>
        <v>0</v>
      </c>
      <c r="BC49" s="87"/>
      <c r="BD49" s="87"/>
      <c r="BE49" s="87"/>
      <c r="BF49" s="87"/>
      <c r="BG49" s="87"/>
      <c r="BH49" s="87"/>
      <c r="CE49" s="26"/>
      <c r="CF49" s="26"/>
      <c r="CG49" s="26"/>
      <c r="CH49" s="26" t="str">
        <f>_xll.ReferenceParams(CG49,$CH$6 )</f>
        <v/>
      </c>
      <c r="CI49" s="35" t="str">
        <f>_xll.ReferenceParams(CG49,$CI$6 )</f>
        <v/>
      </c>
      <c r="CJ49" s="35" t="str">
        <f>_xll.ReferenceParams(CG49,$CJ$6)</f>
        <v/>
      </c>
      <c r="CK49" s="26" t="str">
        <f t="shared" si="36"/>
        <v/>
      </c>
      <c r="CL49" s="26"/>
      <c r="DL49" s="1"/>
    </row>
    <row r="50" spans="4:116" x14ac:dyDescent="0.3">
      <c r="D50" s="28">
        <f t="shared" si="1"/>
        <v>45975</v>
      </c>
      <c r="E50" s="86">
        <f>_xll.CbondsClosePrice($B$1,D50,$B$27)</f>
        <v>96.38</v>
      </c>
      <c r="F50" s="131">
        <f t="shared" si="0"/>
        <v>96.38</v>
      </c>
      <c r="I50" s="94" t="s">
        <v>1316</v>
      </c>
      <c r="J50" s="124">
        <f>MAX(_xlfn.FLOOR.MATH(MIN(T36:T42)-0.3,0.1),0)</f>
        <v>0.1</v>
      </c>
      <c r="K50" s="124">
        <f>_xlfn.CEILING.MATH(MAX(T36:T42)+0.3,0.1)</f>
        <v>0.8</v>
      </c>
      <c r="L50" s="124">
        <f>_xlfn.FLOOR.MATH(MIN(S36:S42)-0.5,1)</f>
        <v>14</v>
      </c>
      <c r="M50" s="124">
        <f>_xlfn.CEILING.MATH(MAX(S36:S42)+0.5,1)</f>
        <v>16</v>
      </c>
      <c r="O50" s="1"/>
      <c r="W50" s="87"/>
      <c r="X50" s="87"/>
      <c r="Y50" s="87"/>
      <c r="Z50" s="87"/>
      <c r="AA50" s="87"/>
      <c r="AB50" s="87"/>
      <c r="AL50" s="26"/>
      <c r="AM50" s="86"/>
      <c r="AN50" s="86"/>
      <c r="AO50" s="86"/>
      <c r="AP50" s="86"/>
      <c r="AQ50" s="86"/>
      <c r="AR50" s="86"/>
      <c r="AT50" s="26" t="e">
        <f>VLOOKUP(AU50,'Help Page'!E:F,2,0)</f>
        <v>#N/A</v>
      </c>
      <c r="AU50" s="26">
        <f t="shared" si="26"/>
        <v>0</v>
      </c>
      <c r="AV50" s="26">
        <f t="shared" si="27"/>
        <v>0</v>
      </c>
      <c r="AW50" s="26">
        <f t="shared" si="28"/>
        <v>0</v>
      </c>
      <c r="AX50" s="26">
        <f t="shared" si="29"/>
        <v>0</v>
      </c>
      <c r="AY50" s="35">
        <f t="shared" si="30"/>
        <v>0</v>
      </c>
      <c r="AZ50" s="26">
        <f t="shared" si="31"/>
        <v>0</v>
      </c>
      <c r="BC50" s="87"/>
      <c r="BD50" s="87"/>
      <c r="BE50" s="87"/>
      <c r="BF50" s="87"/>
      <c r="BG50" s="87"/>
      <c r="BH50" s="87"/>
      <c r="CE50" s="26"/>
      <c r="CF50" s="26"/>
      <c r="CG50" s="26"/>
      <c r="CH50" s="26" t="str">
        <f>_xll.ReferenceParams(CG50,$CH$6 )</f>
        <v/>
      </c>
      <c r="CI50" s="35" t="str">
        <f>_xll.ReferenceParams(CG50,$CI$6 )</f>
        <v/>
      </c>
      <c r="CJ50" s="35" t="str">
        <f>_xll.ReferenceParams(CG50,$CJ$6)</f>
        <v/>
      </c>
      <c r="CK50" s="26" t="str">
        <f t="shared" si="36"/>
        <v/>
      </c>
      <c r="CL50" s="26"/>
      <c r="DL50" s="1"/>
    </row>
    <row r="51" spans="4:116" x14ac:dyDescent="0.3">
      <c r="D51" s="28">
        <f t="shared" si="1"/>
        <v>45974</v>
      </c>
      <c r="E51" s="86">
        <f>_xll.CbondsClosePrice($B$1,D51,$B$27)</f>
        <v>96.46</v>
      </c>
      <c r="F51" s="131">
        <f t="shared" si="0"/>
        <v>96.46</v>
      </c>
      <c r="O51" s="1"/>
      <c r="W51" s="87"/>
      <c r="X51" s="87"/>
      <c r="Y51" s="87"/>
      <c r="Z51" s="87"/>
      <c r="AA51" s="87"/>
      <c r="AB51" s="87"/>
      <c r="AL51" s="26"/>
      <c r="AM51" s="86"/>
      <c r="AN51" s="86"/>
      <c r="AO51" s="86"/>
      <c r="AP51" s="86"/>
      <c r="AQ51" s="86"/>
      <c r="AR51" s="86"/>
      <c r="AT51" s="26" t="e">
        <f>VLOOKUP(AU51,'Help Page'!E:F,2,0)</f>
        <v>#N/A</v>
      </c>
      <c r="AU51" s="26">
        <f t="shared" si="26"/>
        <v>0</v>
      </c>
      <c r="AV51" s="26">
        <f t="shared" si="27"/>
        <v>0</v>
      </c>
      <c r="AW51" s="26">
        <f t="shared" si="28"/>
        <v>0</v>
      </c>
      <c r="AX51" s="26">
        <f t="shared" si="29"/>
        <v>0</v>
      </c>
      <c r="AY51" s="35">
        <f t="shared" si="30"/>
        <v>0</v>
      </c>
      <c r="AZ51" s="26">
        <f t="shared" si="31"/>
        <v>0</v>
      </c>
      <c r="BC51" s="87"/>
      <c r="BD51" s="87"/>
      <c r="BE51" s="87"/>
      <c r="BF51" s="87"/>
      <c r="BG51" s="87"/>
      <c r="BH51" s="87"/>
      <c r="CE51" s="26"/>
      <c r="CF51" s="26"/>
      <c r="CG51" s="26"/>
      <c r="CH51" s="26" t="str">
        <f>_xll.ReferenceParams(CG51,$CH$6 )</f>
        <v/>
      </c>
      <c r="CI51" s="35" t="str">
        <f>_xll.ReferenceParams(CG51,$CI$6 )</f>
        <v/>
      </c>
      <c r="CJ51" s="35" t="str">
        <f>_xll.ReferenceParams(CG51,$CJ$6)</f>
        <v/>
      </c>
      <c r="CK51" s="26" t="str">
        <f t="shared" si="36"/>
        <v/>
      </c>
      <c r="CL51" s="26"/>
      <c r="DL51" s="1"/>
    </row>
    <row r="52" spans="4:116" x14ac:dyDescent="0.3">
      <c r="D52" s="28">
        <f t="shared" si="1"/>
        <v>45973</v>
      </c>
      <c r="E52" s="86">
        <f>_xll.CbondsClosePrice($B$1,D52,$B$27)</f>
        <v>96.2</v>
      </c>
      <c r="F52" s="131">
        <f t="shared" si="0"/>
        <v>96.2</v>
      </c>
      <c r="O52" s="1"/>
      <c r="W52" s="87"/>
      <c r="X52" s="87"/>
      <c r="Y52" s="87"/>
      <c r="Z52" s="87"/>
      <c r="AA52" s="87"/>
      <c r="AB52" s="87"/>
      <c r="AL52" s="26"/>
      <c r="AM52" s="86"/>
      <c r="AN52" s="86"/>
      <c r="AO52" s="86"/>
      <c r="AP52" s="86"/>
      <c r="AQ52" s="86"/>
      <c r="AR52" s="86"/>
      <c r="AT52" s="26" t="e">
        <f>VLOOKUP(AU52,'Help Page'!E:F,2,0)</f>
        <v>#N/A</v>
      </c>
      <c r="AU52" s="26">
        <f t="shared" si="26"/>
        <v>0</v>
      </c>
      <c r="AV52" s="26">
        <f t="shared" si="27"/>
        <v>0</v>
      </c>
      <c r="AW52" s="26">
        <f t="shared" si="28"/>
        <v>0</v>
      </c>
      <c r="AX52" s="26">
        <f t="shared" si="29"/>
        <v>0</v>
      </c>
      <c r="AY52" s="35">
        <f t="shared" si="30"/>
        <v>0</v>
      </c>
      <c r="AZ52" s="26">
        <f t="shared" si="31"/>
        <v>0</v>
      </c>
      <c r="BC52" s="87"/>
      <c r="BD52" s="87"/>
      <c r="BE52" s="87"/>
      <c r="BF52" s="87"/>
      <c r="BG52" s="87"/>
      <c r="BH52" s="87"/>
      <c r="CE52" s="26"/>
      <c r="CF52" s="26"/>
      <c r="CG52" s="26"/>
      <c r="CH52" s="26" t="str">
        <f>_xll.ReferenceParams(CG52,$CH$6 )</f>
        <v/>
      </c>
      <c r="CI52" s="35" t="str">
        <f>_xll.ReferenceParams(CG52,$CI$6 )</f>
        <v/>
      </c>
      <c r="CJ52" s="35" t="str">
        <f>_xll.ReferenceParams(CG52,$CJ$6)</f>
        <v/>
      </c>
      <c r="CK52" s="26" t="str">
        <f t="shared" si="36"/>
        <v/>
      </c>
      <c r="CL52" s="26"/>
      <c r="DL52" s="1"/>
    </row>
    <row r="53" spans="4:116" x14ac:dyDescent="0.3">
      <c r="D53" s="28">
        <f t="shared" si="1"/>
        <v>45972</v>
      </c>
      <c r="E53" s="86">
        <f>_xll.CbondsClosePrice($B$1,D53,$B$27)</f>
        <v>96.04</v>
      </c>
      <c r="F53" s="131">
        <f t="shared" si="0"/>
        <v>96.04</v>
      </c>
      <c r="O53" s="1"/>
      <c r="W53" s="87"/>
      <c r="X53" s="87"/>
      <c r="Y53" s="87"/>
      <c r="Z53" s="87"/>
      <c r="AA53" s="87"/>
      <c r="AB53" s="87"/>
      <c r="AL53" s="26"/>
      <c r="AM53" s="86"/>
      <c r="AN53" s="86"/>
      <c r="AO53" s="86"/>
      <c r="AP53" s="86"/>
      <c r="AQ53" s="86"/>
      <c r="AR53" s="86"/>
      <c r="AT53" s="26" t="e">
        <f>VLOOKUP(AU53,'Help Page'!E:F,2,0)</f>
        <v>#N/A</v>
      </c>
      <c r="AU53" s="26">
        <f t="shared" si="26"/>
        <v>0</v>
      </c>
      <c r="AV53" s="26">
        <f t="shared" si="27"/>
        <v>0</v>
      </c>
      <c r="AW53" s="26">
        <f t="shared" si="28"/>
        <v>0</v>
      </c>
      <c r="AX53" s="26">
        <f t="shared" si="29"/>
        <v>0</v>
      </c>
      <c r="AY53" s="35">
        <f t="shared" si="30"/>
        <v>0</v>
      </c>
      <c r="AZ53" s="26">
        <f t="shared" si="31"/>
        <v>0</v>
      </c>
      <c r="BC53" s="87"/>
      <c r="BD53" s="87"/>
      <c r="BE53" s="87"/>
      <c r="BF53" s="87"/>
      <c r="BG53" s="87"/>
      <c r="BH53" s="87"/>
      <c r="CE53" s="26"/>
      <c r="CF53" s="26"/>
      <c r="CG53" s="26"/>
      <c r="CH53" s="26" t="str">
        <f>_xll.ReferenceParams(CG53,$CH$6 )</f>
        <v/>
      </c>
      <c r="CI53" s="35" t="str">
        <f>_xll.ReferenceParams(CG53,$CI$6 )</f>
        <v/>
      </c>
      <c r="CJ53" s="35" t="str">
        <f>_xll.ReferenceParams(CG53,$CJ$6)</f>
        <v/>
      </c>
      <c r="CK53" s="26" t="str">
        <f t="shared" si="36"/>
        <v/>
      </c>
      <c r="CL53" s="26"/>
      <c r="DL53" s="1"/>
    </row>
    <row r="54" spans="4:116" x14ac:dyDescent="0.3">
      <c r="D54" s="28">
        <f t="shared" si="1"/>
        <v>45971</v>
      </c>
      <c r="E54" s="86">
        <f>_xll.CbondsClosePrice($B$1,D54,$B$27)</f>
        <v>95.84</v>
      </c>
      <c r="F54" s="131">
        <f t="shared" si="0"/>
        <v>95.84</v>
      </c>
      <c r="O54" s="1"/>
      <c r="W54" s="87"/>
      <c r="X54" s="87"/>
      <c r="Y54" s="87"/>
      <c r="Z54" s="87"/>
      <c r="AA54" s="87"/>
      <c r="AB54" s="87"/>
      <c r="AM54" s="87"/>
      <c r="AN54" s="87"/>
      <c r="AO54" s="87"/>
      <c r="AP54" s="87"/>
      <c r="AQ54" s="87"/>
      <c r="AR54" s="87"/>
      <c r="BC54" s="87"/>
      <c r="BD54" s="87"/>
      <c r="BE54" s="87"/>
      <c r="BF54" s="87"/>
      <c r="BG54" s="87"/>
      <c r="BH54" s="87"/>
      <c r="CE54" s="26"/>
      <c r="CF54" s="26"/>
      <c r="CG54" s="26"/>
      <c r="CH54" s="26" t="str">
        <f>_xll.ReferenceParams(CG54,$CH$6 )</f>
        <v/>
      </c>
      <c r="CI54" s="35" t="str">
        <f>_xll.ReferenceParams(CG54,$CI$6 )</f>
        <v/>
      </c>
      <c r="CJ54" s="35" t="str">
        <f>_xll.ReferenceParams(CG54,$CJ$6)</f>
        <v/>
      </c>
      <c r="CK54" s="26" t="str">
        <f t="shared" si="36"/>
        <v/>
      </c>
      <c r="CL54" s="26"/>
      <c r="DL54" s="1"/>
    </row>
    <row r="55" spans="4:116" x14ac:dyDescent="0.3">
      <c r="D55" s="28">
        <f t="shared" si="1"/>
        <v>45970</v>
      </c>
      <c r="E55" s="86" t="str">
        <f>_xll.CbondsClosePrice($B$1,D55,$B$27)</f>
        <v>Нет данных</v>
      </c>
      <c r="F55" s="131">
        <f t="shared" si="0"/>
        <v>95.88</v>
      </c>
      <c r="O55" s="1"/>
      <c r="W55" s="87"/>
      <c r="X55" s="87"/>
      <c r="Y55" s="87"/>
      <c r="Z55" s="87"/>
      <c r="AA55" s="87"/>
      <c r="AB55" s="87"/>
      <c r="AM55" s="87"/>
      <c r="AN55" s="87"/>
      <c r="AO55" s="87"/>
      <c r="AP55" s="87"/>
      <c r="AQ55" s="87"/>
      <c r="AR55" s="87"/>
      <c r="BC55" s="87"/>
      <c r="BD55" s="87"/>
      <c r="BE55" s="87"/>
      <c r="BF55" s="87"/>
      <c r="BG55" s="87"/>
      <c r="BH55" s="87"/>
      <c r="CE55" s="26"/>
      <c r="CF55" s="26"/>
      <c r="CG55" s="26"/>
      <c r="CH55" s="26" t="str">
        <f>_xll.ReferenceParams(CG55,$CH$6 )</f>
        <v/>
      </c>
      <c r="CI55" s="35" t="str">
        <f>_xll.ReferenceParams(CG55,$CI$6 )</f>
        <v/>
      </c>
      <c r="CJ55" s="35" t="str">
        <f>_xll.ReferenceParams(CG55,$CJ$6)</f>
        <v/>
      </c>
      <c r="CK55" s="26" t="str">
        <f t="shared" si="36"/>
        <v/>
      </c>
      <c r="CL55" s="26"/>
      <c r="DL55" s="1"/>
    </row>
    <row r="56" spans="4:116" x14ac:dyDescent="0.3">
      <c r="D56" s="28">
        <f t="shared" si="1"/>
        <v>45969</v>
      </c>
      <c r="E56" s="86" t="str">
        <f>_xll.CbondsClosePrice($B$1,D56,$B$27)</f>
        <v>Нет данных</v>
      </c>
      <c r="F56" s="131">
        <f t="shared" si="0"/>
        <v>95.88</v>
      </c>
      <c r="O56" s="1"/>
      <c r="W56" s="87"/>
      <c r="X56" s="87"/>
      <c r="Y56" s="87"/>
      <c r="Z56" s="87"/>
      <c r="AA56" s="87"/>
      <c r="AB56" s="87"/>
      <c r="AM56" s="87"/>
      <c r="AN56" s="87"/>
      <c r="AO56" s="87"/>
      <c r="AP56" s="87"/>
      <c r="AQ56" s="87"/>
      <c r="AR56" s="87"/>
      <c r="BC56" s="87"/>
      <c r="BD56" s="87"/>
      <c r="BE56" s="87"/>
      <c r="BF56" s="87"/>
      <c r="BG56" s="87"/>
      <c r="BH56" s="87"/>
      <c r="CE56" s="26"/>
      <c r="CF56" s="26"/>
      <c r="CG56" s="26"/>
      <c r="CH56" s="26" t="str">
        <f>_xll.ReferenceParams(CG56,$CH$6 )</f>
        <v/>
      </c>
      <c r="CI56" s="35" t="str">
        <f>_xll.ReferenceParams(CG56,$CI$6 )</f>
        <v/>
      </c>
      <c r="CJ56" s="35" t="str">
        <f>_xll.ReferenceParams(CG56,$CJ$6)</f>
        <v/>
      </c>
      <c r="CK56" s="26" t="str">
        <f t="shared" si="36"/>
        <v/>
      </c>
      <c r="CL56" s="26"/>
      <c r="DL56" s="1"/>
    </row>
    <row r="57" spans="4:116" x14ac:dyDescent="0.3">
      <c r="D57" s="28">
        <f t="shared" si="1"/>
        <v>45968</v>
      </c>
      <c r="E57" s="86">
        <f>_xll.CbondsClosePrice($B$1,D57,$B$27)</f>
        <v>95.88</v>
      </c>
      <c r="F57" s="131">
        <f t="shared" si="0"/>
        <v>95.88</v>
      </c>
      <c r="O57" s="1"/>
      <c r="W57" s="87"/>
      <c r="X57" s="87"/>
      <c r="Y57" s="87"/>
      <c r="Z57" s="87"/>
      <c r="AA57" s="87"/>
      <c r="AB57" s="87"/>
      <c r="AM57" s="87"/>
      <c r="AN57" s="87"/>
      <c r="AO57" s="87"/>
      <c r="AP57" s="87"/>
      <c r="AQ57" s="87"/>
      <c r="AR57" s="87"/>
      <c r="BC57" s="87"/>
      <c r="BD57" s="87"/>
      <c r="BE57" s="87"/>
      <c r="BF57" s="87"/>
      <c r="BG57" s="87"/>
      <c r="BH57" s="87"/>
      <c r="CE57" s="26"/>
      <c r="CF57" s="26"/>
      <c r="CG57" s="26"/>
      <c r="CH57" s="26" t="str">
        <f>_xll.ReferenceParams(CG57,$CH$6 )</f>
        <v/>
      </c>
      <c r="CI57" s="35" t="str">
        <f>_xll.ReferenceParams(CG57,$CI$6 )</f>
        <v/>
      </c>
      <c r="CJ57" s="35" t="str">
        <f>_xll.ReferenceParams(CG57,$CJ$6)</f>
        <v/>
      </c>
      <c r="CK57" s="26" t="str">
        <f t="shared" si="36"/>
        <v/>
      </c>
      <c r="CL57" s="26"/>
      <c r="DL57" s="1"/>
    </row>
    <row r="58" spans="4:116" x14ac:dyDescent="0.3">
      <c r="D58" s="28">
        <f t="shared" si="1"/>
        <v>45967</v>
      </c>
      <c r="E58" s="86">
        <f>_xll.CbondsClosePrice($B$1,D58,$B$27)</f>
        <v>95.82</v>
      </c>
      <c r="F58" s="131">
        <f t="shared" si="0"/>
        <v>95.82</v>
      </c>
      <c r="O58" s="1"/>
      <c r="W58" s="87"/>
      <c r="X58" s="87"/>
      <c r="Y58" s="87"/>
      <c r="Z58" s="87"/>
      <c r="AA58" s="87"/>
      <c r="AB58" s="87"/>
      <c r="AM58" s="87"/>
      <c r="AN58" s="87"/>
      <c r="AO58" s="87"/>
      <c r="AP58" s="87"/>
      <c r="AQ58" s="87"/>
      <c r="AR58" s="87"/>
      <c r="BC58" s="87"/>
      <c r="BD58" s="87"/>
      <c r="BE58" s="87"/>
      <c r="BF58" s="87"/>
      <c r="BG58" s="87"/>
      <c r="BH58" s="87"/>
      <c r="CE58" s="26"/>
      <c r="CF58" s="26"/>
      <c r="CG58" s="26"/>
      <c r="CH58" s="26" t="str">
        <f>_xll.ReferenceParams(CG58,$CH$6 )</f>
        <v/>
      </c>
      <c r="CI58" s="35" t="str">
        <f>_xll.ReferenceParams(CG58,$CI$6 )</f>
        <v/>
      </c>
      <c r="CJ58" s="35" t="str">
        <f>_xll.ReferenceParams(CG58,$CJ$6)</f>
        <v/>
      </c>
      <c r="CK58" s="26" t="str">
        <f t="shared" si="36"/>
        <v/>
      </c>
      <c r="CL58" s="26"/>
      <c r="DL58" s="1"/>
    </row>
    <row r="59" spans="4:116" x14ac:dyDescent="0.3">
      <c r="D59" s="28">
        <f t="shared" si="1"/>
        <v>45966</v>
      </c>
      <c r="E59" s="86">
        <f>_xll.CbondsClosePrice($B$1,D59,$B$27)</f>
        <v>95.86</v>
      </c>
      <c r="F59" s="131">
        <f t="shared" si="0"/>
        <v>95.86</v>
      </c>
      <c r="O59" s="1"/>
      <c r="W59" s="87"/>
      <c r="X59" s="87"/>
      <c r="Y59" s="87"/>
      <c r="Z59" s="87"/>
      <c r="AA59" s="87"/>
      <c r="AB59" s="87"/>
      <c r="AM59" s="87"/>
      <c r="AN59" s="87"/>
      <c r="AO59" s="87"/>
      <c r="AP59" s="87"/>
      <c r="AQ59" s="87"/>
      <c r="AR59" s="87"/>
      <c r="BC59" s="87"/>
      <c r="BD59" s="87"/>
      <c r="BE59" s="87"/>
      <c r="BF59" s="87"/>
      <c r="BG59" s="87"/>
      <c r="BH59" s="87"/>
      <c r="CE59" s="26"/>
      <c r="CF59" s="26"/>
      <c r="CG59" s="26"/>
      <c r="CH59" s="26" t="str">
        <f>_xll.ReferenceParams(CG59,$CH$6 )</f>
        <v/>
      </c>
      <c r="CI59" s="35" t="str">
        <f>_xll.ReferenceParams(CG59,$CI$6 )</f>
        <v/>
      </c>
      <c r="CJ59" s="35" t="str">
        <f>_xll.ReferenceParams(CG59,$CJ$6)</f>
        <v/>
      </c>
      <c r="CK59" s="26" t="str">
        <f t="shared" si="36"/>
        <v/>
      </c>
      <c r="CL59" s="26"/>
      <c r="DL59" s="1"/>
    </row>
    <row r="60" spans="4:116" x14ac:dyDescent="0.3">
      <c r="D60" s="28">
        <f t="shared" si="1"/>
        <v>45965</v>
      </c>
      <c r="E60" s="86" t="str">
        <f>_xll.CbondsClosePrice($B$1,D60,$B$27)</f>
        <v>Нет данных</v>
      </c>
      <c r="F60" s="131">
        <f t="shared" si="0"/>
        <v>95.75</v>
      </c>
      <c r="O60" s="1"/>
      <c r="W60" s="87"/>
      <c r="X60" s="87"/>
      <c r="Y60" s="87"/>
      <c r="Z60" s="87"/>
      <c r="AA60" s="87"/>
      <c r="AB60" s="87"/>
      <c r="AM60" s="87"/>
      <c r="AN60" s="87"/>
      <c r="AO60" s="87"/>
      <c r="AP60" s="87"/>
      <c r="AQ60" s="87"/>
      <c r="AR60" s="87"/>
      <c r="BC60" s="87"/>
      <c r="BD60" s="87"/>
      <c r="BE60" s="87"/>
      <c r="BF60" s="87"/>
      <c r="BG60" s="87"/>
      <c r="BH60" s="87"/>
      <c r="CE60" s="26"/>
      <c r="CF60" s="26"/>
      <c r="CG60" s="26"/>
      <c r="CH60" s="26" t="str">
        <f>_xll.ReferenceParams(CG60,$CH$6 )</f>
        <v/>
      </c>
      <c r="CI60" s="35" t="str">
        <f>_xll.ReferenceParams(CG60,$CI$6 )</f>
        <v/>
      </c>
      <c r="CJ60" s="35" t="str">
        <f>_xll.ReferenceParams(CG60,$CJ$6)</f>
        <v/>
      </c>
      <c r="CK60" s="26" t="str">
        <f t="shared" si="36"/>
        <v/>
      </c>
      <c r="CL60" s="26"/>
      <c r="DL60" s="1"/>
    </row>
    <row r="61" spans="4:116" x14ac:dyDescent="0.3">
      <c r="D61" s="28">
        <f t="shared" si="1"/>
        <v>45964</v>
      </c>
      <c r="E61" s="86">
        <f>_xll.CbondsClosePrice($B$1,D61,$B$27)</f>
        <v>95.75</v>
      </c>
      <c r="F61" s="131">
        <f t="shared" si="0"/>
        <v>95.75</v>
      </c>
      <c r="O61" s="1"/>
      <c r="W61" s="87"/>
      <c r="X61" s="87"/>
      <c r="Y61" s="87"/>
      <c r="Z61" s="87"/>
      <c r="AA61" s="87"/>
      <c r="AB61" s="87"/>
      <c r="AM61" s="87"/>
      <c r="AN61" s="87"/>
      <c r="AO61" s="87"/>
      <c r="AP61" s="87"/>
      <c r="AQ61" s="87"/>
      <c r="AR61" s="87"/>
      <c r="BC61" s="87"/>
      <c r="BD61" s="87"/>
      <c r="BE61" s="87"/>
      <c r="BF61" s="87"/>
      <c r="BG61" s="87"/>
      <c r="BH61" s="87"/>
      <c r="CE61" s="26"/>
      <c r="CF61" s="26"/>
      <c r="CG61" s="26"/>
      <c r="CH61" s="26" t="str">
        <f>_xll.ReferenceParams(CG61,$CH$6 )</f>
        <v/>
      </c>
      <c r="CI61" s="35" t="str">
        <f>_xll.ReferenceParams(CG61,$CI$6 )</f>
        <v/>
      </c>
      <c r="CJ61" s="35" t="str">
        <f>_xll.ReferenceParams(CG61,$CJ$6)</f>
        <v/>
      </c>
      <c r="CK61" s="26" t="str">
        <f t="shared" si="36"/>
        <v/>
      </c>
      <c r="CL61" s="26"/>
      <c r="DL61" s="1"/>
    </row>
    <row r="62" spans="4:116" x14ac:dyDescent="0.3">
      <c r="D62" s="28">
        <f t="shared" si="1"/>
        <v>45963</v>
      </c>
      <c r="E62" s="86" t="str">
        <f>_xll.CbondsClosePrice($B$1,D62,$B$27)</f>
        <v>Нет данных</v>
      </c>
      <c r="F62" s="131">
        <f t="shared" si="0"/>
        <v>95.9</v>
      </c>
      <c r="W62" s="87"/>
      <c r="X62" s="87"/>
      <c r="Y62" s="87"/>
      <c r="Z62" s="87"/>
      <c r="AA62" s="87"/>
      <c r="AB62" s="87"/>
      <c r="AM62" s="87"/>
      <c r="AN62" s="87"/>
      <c r="AO62" s="87"/>
      <c r="AP62" s="87"/>
      <c r="AQ62" s="87"/>
      <c r="AR62" s="87"/>
      <c r="BC62" s="87"/>
      <c r="BD62" s="87"/>
      <c r="BE62" s="87"/>
      <c r="BF62" s="87"/>
      <c r="BG62" s="87"/>
      <c r="BH62" s="87"/>
      <c r="CE62" s="26"/>
      <c r="CF62" s="26"/>
      <c r="CG62" s="26"/>
      <c r="CH62" s="26" t="str">
        <f>_xll.ReferenceParams(CG62,$CH$6 )</f>
        <v/>
      </c>
      <c r="CI62" s="35" t="str">
        <f>_xll.ReferenceParams(CG62,$CI$6 )</f>
        <v/>
      </c>
      <c r="CJ62" s="35" t="str">
        <f>_xll.ReferenceParams(CG62,$CJ$6)</f>
        <v/>
      </c>
      <c r="CK62" s="26" t="str">
        <f t="shared" si="36"/>
        <v/>
      </c>
      <c r="CL62" s="26"/>
      <c r="DL62" s="1"/>
    </row>
    <row r="63" spans="4:116" x14ac:dyDescent="0.3">
      <c r="D63" s="28">
        <f t="shared" si="1"/>
        <v>45962</v>
      </c>
      <c r="E63" s="86">
        <f>_xll.CbondsClosePrice($B$1,D63,$B$27)</f>
        <v>95.9</v>
      </c>
      <c r="F63" s="131">
        <f t="shared" si="0"/>
        <v>95.9</v>
      </c>
      <c r="W63" s="87"/>
      <c r="X63" s="87"/>
      <c r="Y63" s="87"/>
      <c r="Z63" s="87"/>
      <c r="AA63" s="87"/>
      <c r="AB63" s="87"/>
      <c r="AM63" s="87"/>
      <c r="AN63" s="87"/>
      <c r="AO63" s="87"/>
      <c r="AP63" s="87"/>
      <c r="AQ63" s="87"/>
      <c r="AR63" s="87"/>
      <c r="BC63" s="87"/>
      <c r="BD63" s="87"/>
      <c r="BE63" s="87"/>
      <c r="BF63" s="87"/>
      <c r="BG63" s="87"/>
      <c r="BH63" s="87"/>
      <c r="CE63" s="26"/>
      <c r="CF63" s="26"/>
      <c r="CG63" s="26"/>
      <c r="CH63" s="26" t="str">
        <f>_xll.ReferenceParams(CG63,$CH$6 )</f>
        <v/>
      </c>
      <c r="CI63" s="35" t="str">
        <f>_xll.ReferenceParams(CG63,$CI$6 )</f>
        <v/>
      </c>
      <c r="CJ63" s="35" t="str">
        <f>_xll.ReferenceParams(CG63,$CJ$6)</f>
        <v/>
      </c>
      <c r="CK63" s="26" t="str">
        <f t="shared" si="36"/>
        <v/>
      </c>
      <c r="CL63" s="26"/>
      <c r="DL63" s="1"/>
    </row>
    <row r="64" spans="4:116" x14ac:dyDescent="0.3">
      <c r="D64" s="28">
        <f t="shared" si="1"/>
        <v>45961</v>
      </c>
      <c r="E64" s="86">
        <f>_xll.CbondsClosePrice($B$1,D64,$B$27)</f>
        <v>95.62</v>
      </c>
      <c r="F64" s="131">
        <f t="shared" si="0"/>
        <v>95.62</v>
      </c>
      <c r="W64" s="87"/>
      <c r="X64" s="87"/>
      <c r="Y64" s="87"/>
      <c r="Z64" s="87"/>
      <c r="AA64" s="87"/>
      <c r="AB64" s="87"/>
      <c r="AM64" s="87"/>
      <c r="AN64" s="87"/>
      <c r="AO64" s="87"/>
      <c r="AP64" s="87"/>
      <c r="AQ64" s="87"/>
      <c r="AR64" s="87"/>
      <c r="BC64" s="87"/>
      <c r="BD64" s="87"/>
      <c r="BE64" s="87"/>
      <c r="BF64" s="87"/>
      <c r="BG64" s="87"/>
      <c r="BH64" s="87"/>
      <c r="CE64" s="26"/>
      <c r="CF64" s="26"/>
      <c r="CG64" s="26"/>
      <c r="CH64" s="26" t="str">
        <f>_xll.ReferenceParams(CG64,$CH$6 )</f>
        <v/>
      </c>
      <c r="CI64" s="35" t="str">
        <f>_xll.ReferenceParams(CG64,$CI$6 )</f>
        <v/>
      </c>
      <c r="CJ64" s="35" t="str">
        <f>_xll.ReferenceParams(CG64,$CJ$6)</f>
        <v/>
      </c>
      <c r="CK64" s="26" t="str">
        <f t="shared" si="36"/>
        <v/>
      </c>
      <c r="CL64" s="26"/>
      <c r="DL64" s="1"/>
    </row>
    <row r="65" spans="4:116" x14ac:dyDescent="0.3">
      <c r="D65" s="28">
        <f t="shared" si="1"/>
        <v>45960</v>
      </c>
      <c r="E65" s="86">
        <f>_xll.CbondsClosePrice($B$1,D65,$B$27)</f>
        <v>95.8</v>
      </c>
      <c r="F65" s="131">
        <f t="shared" si="0"/>
        <v>95.8</v>
      </c>
      <c r="O65" s="1"/>
      <c r="W65" s="87"/>
      <c r="X65" s="87"/>
      <c r="Y65" s="87"/>
      <c r="Z65" s="87"/>
      <c r="AA65" s="87"/>
      <c r="AB65" s="87"/>
      <c r="AM65" s="87"/>
      <c r="AN65" s="87"/>
      <c r="AO65" s="87"/>
      <c r="AP65" s="87"/>
      <c r="AQ65" s="87"/>
      <c r="AR65" s="87"/>
      <c r="BC65" s="87"/>
      <c r="BD65" s="87"/>
      <c r="BE65" s="87"/>
      <c r="BF65" s="87"/>
      <c r="BG65" s="87"/>
      <c r="BH65" s="87"/>
      <c r="CE65" s="26"/>
      <c r="CF65" s="26"/>
      <c r="CG65" s="26"/>
      <c r="CH65" s="26" t="str">
        <f>_xll.ReferenceParams(CG65,$CH$6 )</f>
        <v/>
      </c>
      <c r="CI65" s="35" t="str">
        <f>_xll.ReferenceParams(CG65,$CI$6 )</f>
        <v/>
      </c>
      <c r="CJ65" s="35" t="str">
        <f>_xll.ReferenceParams(CG65,$CJ$6)</f>
        <v/>
      </c>
      <c r="CK65" s="26" t="str">
        <f t="shared" si="36"/>
        <v/>
      </c>
      <c r="CL65" s="26"/>
      <c r="DL65" s="1"/>
    </row>
    <row r="66" spans="4:116" x14ac:dyDescent="0.3">
      <c r="D66" s="28">
        <f t="shared" si="1"/>
        <v>45959</v>
      </c>
      <c r="E66" s="86">
        <f>_xll.CbondsClosePrice($B$1,D66,$B$27)</f>
        <v>95.37</v>
      </c>
      <c r="F66" s="131">
        <f t="shared" si="0"/>
        <v>95.37</v>
      </c>
      <c r="O66" s="1"/>
      <c r="W66" s="87"/>
      <c r="X66" s="87"/>
      <c r="Y66" s="87"/>
      <c r="Z66" s="87"/>
      <c r="AA66" s="87"/>
      <c r="AB66" s="87"/>
      <c r="AM66" s="87"/>
      <c r="AN66" s="87"/>
      <c r="AO66" s="87"/>
      <c r="AP66" s="87"/>
      <c r="AQ66" s="87"/>
      <c r="AR66" s="87"/>
      <c r="BC66" s="87"/>
      <c r="BD66" s="87"/>
      <c r="BE66" s="87"/>
      <c r="BF66" s="87"/>
      <c r="BG66" s="87"/>
      <c r="BH66" s="87"/>
      <c r="CE66" s="26"/>
      <c r="CF66" s="26"/>
      <c r="CG66" s="26"/>
      <c r="CH66" s="26" t="str">
        <f>_xll.ReferenceParams(CG66,$CH$6 )</f>
        <v/>
      </c>
      <c r="CI66" s="35" t="str">
        <f>_xll.ReferenceParams(CG66,$CI$6 )</f>
        <v/>
      </c>
      <c r="CJ66" s="35" t="str">
        <f>_xll.ReferenceParams(CG66,$CJ$6)</f>
        <v/>
      </c>
      <c r="CK66" s="26" t="str">
        <f t="shared" si="36"/>
        <v/>
      </c>
      <c r="CL66" s="26"/>
      <c r="DL66" s="1"/>
    </row>
    <row r="67" spans="4:116" x14ac:dyDescent="0.3">
      <c r="D67" s="28">
        <f t="shared" si="1"/>
        <v>45958</v>
      </c>
      <c r="E67" s="86">
        <f>_xll.CbondsClosePrice($B$1,D67,$B$27)</f>
        <v>95.55</v>
      </c>
      <c r="F67" s="131">
        <f t="shared" ref="F67:F130" si="37">IF(IF(AND(E67="",D67=""),"",IF(AND(E67="Нет данных",D67&lt;&gt;""),F68,E67)) = 0,"",IF(AND(E67="",D67=""),"",IF(AND(E67="Нет данных",D67&lt;&gt;""),F68,E67)))</f>
        <v>95.55</v>
      </c>
      <c r="O67" s="1"/>
      <c r="W67" s="87"/>
      <c r="X67" s="87"/>
      <c r="Y67" s="87"/>
      <c r="Z67" s="87"/>
      <c r="AA67" s="87"/>
      <c r="AB67" s="87"/>
      <c r="AM67" s="87"/>
      <c r="AN67" s="87"/>
      <c r="AO67" s="87"/>
      <c r="AP67" s="87"/>
      <c r="AQ67" s="87"/>
      <c r="AR67" s="87"/>
      <c r="BC67" s="87"/>
      <c r="BD67" s="87"/>
      <c r="BE67" s="87"/>
      <c r="BF67" s="87"/>
      <c r="BG67" s="87"/>
      <c r="BH67" s="87"/>
      <c r="CE67" s="26"/>
      <c r="CF67" s="26"/>
      <c r="CG67" s="26"/>
      <c r="CH67" s="26" t="str">
        <f>_xll.ReferenceParams(CG67,$CH$6 )</f>
        <v/>
      </c>
      <c r="CI67" s="35" t="str">
        <f>_xll.ReferenceParams(CG67,$CI$6 )</f>
        <v/>
      </c>
      <c r="CJ67" s="35" t="str">
        <f>_xll.ReferenceParams(CG67,$CJ$6)</f>
        <v/>
      </c>
      <c r="CK67" s="26" t="str">
        <f t="shared" si="36"/>
        <v/>
      </c>
      <c r="CL67" s="26"/>
      <c r="DL67" s="1"/>
    </row>
    <row r="68" spans="4:116" x14ac:dyDescent="0.3">
      <c r="D68" s="28">
        <f t="shared" ref="D68:D131" si="38">D67-1</f>
        <v>45957</v>
      </c>
      <c r="E68" s="86">
        <f>_xll.CbondsClosePrice($B$1,D68,$B$27)</f>
        <v>95.41</v>
      </c>
      <c r="F68" s="131">
        <f t="shared" si="37"/>
        <v>95.41</v>
      </c>
      <c r="O68" s="1"/>
      <c r="W68" s="87"/>
      <c r="X68" s="87"/>
      <c r="Y68" s="87"/>
      <c r="Z68" s="87"/>
      <c r="AA68" s="87"/>
      <c r="AB68" s="87"/>
      <c r="AM68" s="87"/>
      <c r="AN68" s="87"/>
      <c r="AO68" s="87"/>
      <c r="AP68" s="87"/>
      <c r="AQ68" s="87"/>
      <c r="AR68" s="87"/>
      <c r="BC68" s="87"/>
      <c r="BD68" s="87"/>
      <c r="BE68" s="87"/>
      <c r="BF68" s="87"/>
      <c r="BG68" s="87"/>
      <c r="BH68" s="87"/>
      <c r="CE68" s="26"/>
      <c r="CF68" s="26"/>
      <c r="CG68" s="26"/>
      <c r="CH68" s="26" t="str">
        <f>_xll.ReferenceParams(CG68,$CH$6 )</f>
        <v/>
      </c>
      <c r="CI68" s="35" t="str">
        <f>_xll.ReferenceParams(CG68,$CI$6 )</f>
        <v/>
      </c>
      <c r="CJ68" s="35" t="str">
        <f>_xll.ReferenceParams(CG68,$CJ$6)</f>
        <v/>
      </c>
      <c r="CK68" s="26" t="str">
        <f t="shared" si="36"/>
        <v/>
      </c>
      <c r="CL68" s="26"/>
      <c r="DL68" s="1"/>
    </row>
    <row r="69" spans="4:116" x14ac:dyDescent="0.3">
      <c r="D69" s="28">
        <f t="shared" si="38"/>
        <v>45956</v>
      </c>
      <c r="E69" s="86" t="str">
        <f>_xll.CbondsClosePrice($B$1,D69,$B$27)</f>
        <v>Нет данных</v>
      </c>
      <c r="F69" s="131">
        <f t="shared" si="37"/>
        <v>95.62</v>
      </c>
      <c r="O69" s="1"/>
      <c r="W69" s="87"/>
      <c r="X69" s="87"/>
      <c r="Y69" s="87"/>
      <c r="Z69" s="87"/>
      <c r="AA69" s="87"/>
      <c r="AB69" s="87"/>
      <c r="AM69" s="87"/>
      <c r="AN69" s="87"/>
      <c r="AO69" s="87"/>
      <c r="AP69" s="87"/>
      <c r="AQ69" s="87"/>
      <c r="AR69" s="87"/>
      <c r="BC69" s="87"/>
      <c r="BD69" s="87"/>
      <c r="BE69" s="87"/>
      <c r="BF69" s="87"/>
      <c r="BG69" s="87"/>
      <c r="BH69" s="87"/>
      <c r="CE69" s="26"/>
      <c r="CF69" s="26"/>
      <c r="CG69" s="26"/>
      <c r="CH69" s="26" t="str">
        <f>_xll.ReferenceParams(CG69,$CH$6 )</f>
        <v/>
      </c>
      <c r="CI69" s="35" t="str">
        <f>_xll.ReferenceParams(CG69,$CI$6 )</f>
        <v/>
      </c>
      <c r="CJ69" s="35" t="str">
        <f>_xll.ReferenceParams(CG69,$CJ$6)</f>
        <v/>
      </c>
      <c r="CK69" s="26" t="str">
        <f t="shared" si="36"/>
        <v/>
      </c>
      <c r="CL69" s="26"/>
      <c r="DL69" s="1"/>
    </row>
    <row r="70" spans="4:116" x14ac:dyDescent="0.3">
      <c r="D70" s="28">
        <f t="shared" si="38"/>
        <v>45955</v>
      </c>
      <c r="E70" s="86" t="str">
        <f>_xll.CbondsClosePrice($B$1,D70,$B$27)</f>
        <v>Нет данных</v>
      </c>
      <c r="F70" s="131">
        <f t="shared" si="37"/>
        <v>95.62</v>
      </c>
      <c r="O70" s="1"/>
      <c r="W70" s="87"/>
      <c r="X70" s="87"/>
      <c r="Y70" s="87"/>
      <c r="Z70" s="87"/>
      <c r="AA70" s="87"/>
      <c r="AB70" s="87"/>
      <c r="AM70" s="87"/>
      <c r="AN70" s="87"/>
      <c r="AO70" s="87"/>
      <c r="AP70" s="87"/>
      <c r="AQ70" s="87"/>
      <c r="AR70" s="87"/>
      <c r="BC70" s="87"/>
      <c r="BD70" s="87"/>
      <c r="BE70" s="87"/>
      <c r="BF70" s="87"/>
      <c r="BG70" s="87"/>
      <c r="BH70" s="87"/>
      <c r="CE70" s="26"/>
      <c r="CF70" s="26"/>
      <c r="CG70" s="26"/>
      <c r="CH70" s="26" t="str">
        <f>_xll.ReferenceParams(CG70,$CH$6 )</f>
        <v/>
      </c>
      <c r="CI70" s="35" t="str">
        <f>_xll.ReferenceParams(CG70,$CI$6 )</f>
        <v/>
      </c>
      <c r="CJ70" s="35" t="str">
        <f>_xll.ReferenceParams(CG70,$CJ$6)</f>
        <v/>
      </c>
      <c r="CK70" s="26" t="str">
        <f t="shared" si="36"/>
        <v/>
      </c>
      <c r="CL70" s="26"/>
      <c r="DL70" s="1"/>
    </row>
    <row r="71" spans="4:116" x14ac:dyDescent="0.3">
      <c r="D71" s="28">
        <f t="shared" si="38"/>
        <v>45954</v>
      </c>
      <c r="E71" s="86">
        <f>_xll.CbondsClosePrice($B$1,D71,$B$27)</f>
        <v>95.62</v>
      </c>
      <c r="F71" s="131">
        <f t="shared" si="37"/>
        <v>95.62</v>
      </c>
      <c r="O71" s="1"/>
      <c r="W71" s="87"/>
      <c r="X71" s="87"/>
      <c r="Y71" s="87"/>
      <c r="Z71" s="87"/>
      <c r="AA71" s="87"/>
      <c r="AB71" s="87"/>
      <c r="AM71" s="87"/>
      <c r="AN71" s="87"/>
      <c r="AO71" s="87"/>
      <c r="AP71" s="87"/>
      <c r="AQ71" s="87"/>
      <c r="AR71" s="87"/>
      <c r="BC71" s="87"/>
      <c r="BD71" s="87"/>
      <c r="BE71" s="87"/>
      <c r="BF71" s="87"/>
      <c r="BG71" s="87"/>
      <c r="BH71" s="87"/>
      <c r="CE71" s="26"/>
      <c r="CF71" s="26"/>
      <c r="CG71" s="26"/>
      <c r="CH71" s="26" t="str">
        <f>_xll.ReferenceParams(CG71,$CH$6 )</f>
        <v/>
      </c>
      <c r="CI71" s="35" t="str">
        <f>_xll.ReferenceParams(CG71,$CI$6 )</f>
        <v/>
      </c>
      <c r="CJ71" s="35" t="str">
        <f>_xll.ReferenceParams(CG71,$CJ$6)</f>
        <v/>
      </c>
      <c r="CK71" s="26" t="str">
        <f t="shared" ref="CK71:CK102" si="39">IF(CG71 = "","",IF(AND(CH71="В обращении",CI71&lt;=$B$2,CJ71 = "Облигация"),1,0))</f>
        <v/>
      </c>
      <c r="CL71" s="26"/>
      <c r="DL71" s="1"/>
    </row>
    <row r="72" spans="4:116" x14ac:dyDescent="0.3">
      <c r="D72" s="28">
        <f t="shared" si="38"/>
        <v>45953</v>
      </c>
      <c r="E72" s="86">
        <f>_xll.CbondsClosePrice($B$1,D72,$B$27)</f>
        <v>95.3</v>
      </c>
      <c r="F72" s="131">
        <f t="shared" si="37"/>
        <v>95.3</v>
      </c>
      <c r="O72" s="1"/>
      <c r="W72" s="87"/>
      <c r="X72" s="87"/>
      <c r="Y72" s="87"/>
      <c r="Z72" s="87"/>
      <c r="AA72" s="87"/>
      <c r="AB72" s="87"/>
      <c r="AM72" s="87"/>
      <c r="AN72" s="87"/>
      <c r="AO72" s="87"/>
      <c r="AP72" s="87"/>
      <c r="AQ72" s="87"/>
      <c r="AR72" s="87"/>
      <c r="BC72" s="87"/>
      <c r="BD72" s="87"/>
      <c r="BE72" s="87"/>
      <c r="BF72" s="87"/>
      <c r="BG72" s="87"/>
      <c r="BH72" s="87"/>
      <c r="CE72" s="26"/>
      <c r="CF72" s="26"/>
      <c r="CG72" s="26"/>
      <c r="CH72" s="26" t="str">
        <f>_xll.ReferenceParams(CG72,$CH$6 )</f>
        <v/>
      </c>
      <c r="CI72" s="35" t="str">
        <f>_xll.ReferenceParams(CG72,$CI$6 )</f>
        <v/>
      </c>
      <c r="CJ72" s="35" t="str">
        <f>_xll.ReferenceParams(CG72,$CJ$6)</f>
        <v/>
      </c>
      <c r="CK72" s="26" t="str">
        <f t="shared" si="39"/>
        <v/>
      </c>
      <c r="CL72" s="26"/>
      <c r="DL72" s="1"/>
    </row>
    <row r="73" spans="4:116" x14ac:dyDescent="0.3">
      <c r="D73" s="28">
        <f t="shared" si="38"/>
        <v>45952</v>
      </c>
      <c r="E73" s="86">
        <f>_xll.CbondsClosePrice($B$1,D73,$B$27)</f>
        <v>95.51</v>
      </c>
      <c r="F73" s="131">
        <f t="shared" si="37"/>
        <v>95.51</v>
      </c>
      <c r="O73" s="1"/>
      <c r="W73" s="87"/>
      <c r="X73" s="87"/>
      <c r="Y73" s="87"/>
      <c r="Z73" s="87"/>
      <c r="AA73" s="87"/>
      <c r="AB73" s="87"/>
      <c r="AM73" s="87"/>
      <c r="AN73" s="87"/>
      <c r="AO73" s="87"/>
      <c r="AP73" s="87"/>
      <c r="AQ73" s="87"/>
      <c r="AR73" s="87"/>
      <c r="BC73" s="87"/>
      <c r="BD73" s="87"/>
      <c r="BE73" s="87"/>
      <c r="BF73" s="87"/>
      <c r="BG73" s="87"/>
      <c r="BH73" s="87"/>
      <c r="CE73" s="26"/>
      <c r="CF73" s="26"/>
      <c r="CG73" s="26"/>
      <c r="CH73" s="26" t="str">
        <f>_xll.ReferenceParams(CG73,$CH$6 )</f>
        <v/>
      </c>
      <c r="CI73" s="35" t="str">
        <f>_xll.ReferenceParams(CG73,$CI$6 )</f>
        <v/>
      </c>
      <c r="CJ73" s="35" t="str">
        <f>_xll.ReferenceParams(CG73,$CJ$6)</f>
        <v/>
      </c>
      <c r="CK73" s="26" t="str">
        <f t="shared" si="39"/>
        <v/>
      </c>
      <c r="CL73" s="26"/>
      <c r="DL73" s="1"/>
    </row>
    <row r="74" spans="4:116" x14ac:dyDescent="0.3">
      <c r="D74" s="28">
        <f t="shared" si="38"/>
        <v>45951</v>
      </c>
      <c r="E74" s="86">
        <f>_xll.CbondsClosePrice($B$1,D74,$B$27)</f>
        <v>95.5</v>
      </c>
      <c r="F74" s="131">
        <f t="shared" si="37"/>
        <v>95.5</v>
      </c>
      <c r="O74" s="1"/>
      <c r="W74" s="87"/>
      <c r="X74" s="87"/>
      <c r="Y74" s="87"/>
      <c r="Z74" s="87"/>
      <c r="AA74" s="87"/>
      <c r="AB74" s="87"/>
      <c r="AM74" s="87"/>
      <c r="AN74" s="87"/>
      <c r="AO74" s="87"/>
      <c r="AP74" s="87"/>
      <c r="AQ74" s="87"/>
      <c r="AR74" s="87"/>
      <c r="BC74" s="87"/>
      <c r="BD74" s="87"/>
      <c r="BE74" s="87"/>
      <c r="BF74" s="87"/>
      <c r="BG74" s="87"/>
      <c r="BH74" s="87"/>
      <c r="CE74" s="26"/>
      <c r="CF74" s="26"/>
      <c r="CG74" s="26"/>
      <c r="CH74" s="26" t="str">
        <f>_xll.ReferenceParams(CG74,$CH$6 )</f>
        <v/>
      </c>
      <c r="CI74" s="35" t="str">
        <f>_xll.ReferenceParams(CG74,$CI$6 )</f>
        <v/>
      </c>
      <c r="CJ74" s="35" t="str">
        <f>_xll.ReferenceParams(CG74,$CJ$6)</f>
        <v/>
      </c>
      <c r="CK74" s="26" t="str">
        <f t="shared" si="39"/>
        <v/>
      </c>
      <c r="CL74" s="26"/>
      <c r="DL74" s="1"/>
    </row>
    <row r="75" spans="4:116" x14ac:dyDescent="0.3">
      <c r="D75" s="28">
        <f t="shared" si="38"/>
        <v>45950</v>
      </c>
      <c r="E75" s="86">
        <f>_xll.CbondsClosePrice($B$1,D75,$B$27)</f>
        <v>95.29</v>
      </c>
      <c r="F75" s="131">
        <f t="shared" si="37"/>
        <v>95.29</v>
      </c>
      <c r="O75" s="1"/>
      <c r="W75" s="87"/>
      <c r="X75" s="87"/>
      <c r="Y75" s="87"/>
      <c r="Z75" s="87"/>
      <c r="AA75" s="87"/>
      <c r="AB75" s="87"/>
      <c r="AM75" s="87"/>
      <c r="AN75" s="87"/>
      <c r="AO75" s="87"/>
      <c r="AP75" s="87"/>
      <c r="AQ75" s="87"/>
      <c r="AR75" s="87"/>
      <c r="BC75" s="87"/>
      <c r="BD75" s="87"/>
      <c r="BE75" s="87"/>
      <c r="BF75" s="87"/>
      <c r="BG75" s="87"/>
      <c r="BH75" s="87"/>
      <c r="CE75" s="26"/>
      <c r="CF75" s="26"/>
      <c r="CG75" s="26"/>
      <c r="CH75" s="26" t="str">
        <f>_xll.ReferenceParams(CG75,$CH$6 )</f>
        <v/>
      </c>
      <c r="CI75" s="35" t="str">
        <f>_xll.ReferenceParams(CG75,$CI$6 )</f>
        <v/>
      </c>
      <c r="CJ75" s="35" t="str">
        <f>_xll.ReferenceParams(CG75,$CJ$6)</f>
        <v/>
      </c>
      <c r="CK75" s="26" t="str">
        <f t="shared" si="39"/>
        <v/>
      </c>
      <c r="CL75" s="26"/>
      <c r="DL75" s="1"/>
    </row>
    <row r="76" spans="4:116" x14ac:dyDescent="0.3">
      <c r="D76" s="28">
        <f t="shared" si="38"/>
        <v>45949</v>
      </c>
      <c r="E76" s="86" t="str">
        <f>_xll.CbondsClosePrice($B$1,D76,$B$27)</f>
        <v>Нет данных</v>
      </c>
      <c r="F76" s="131">
        <f t="shared" si="37"/>
        <v>95.43</v>
      </c>
      <c r="O76" s="1"/>
      <c r="W76" s="87"/>
      <c r="X76" s="87"/>
      <c r="Y76" s="87"/>
      <c r="Z76" s="87"/>
      <c r="AA76" s="87"/>
      <c r="AB76" s="87"/>
      <c r="AM76" s="87"/>
      <c r="AN76" s="87"/>
      <c r="AO76" s="87"/>
      <c r="AP76" s="87"/>
      <c r="AQ76" s="87"/>
      <c r="AR76" s="87"/>
      <c r="BC76" s="87"/>
      <c r="BD76" s="87"/>
      <c r="BE76" s="87"/>
      <c r="BF76" s="87"/>
      <c r="BG76" s="87"/>
      <c r="BH76" s="87"/>
      <c r="CE76" s="26"/>
      <c r="CF76" s="26"/>
      <c r="CG76" s="26"/>
      <c r="CH76" s="26" t="str">
        <f>_xll.ReferenceParams(CG76,$CH$6 )</f>
        <v/>
      </c>
      <c r="CI76" s="35" t="str">
        <f>_xll.ReferenceParams(CG76,$CI$6 )</f>
        <v/>
      </c>
      <c r="CJ76" s="35" t="str">
        <f>_xll.ReferenceParams(CG76,$CJ$6)</f>
        <v/>
      </c>
      <c r="CK76" s="26" t="str">
        <f t="shared" si="39"/>
        <v/>
      </c>
      <c r="CL76" s="26"/>
      <c r="DL76" s="1"/>
    </row>
    <row r="77" spans="4:116" x14ac:dyDescent="0.3">
      <c r="D77" s="28">
        <f t="shared" si="38"/>
        <v>45948</v>
      </c>
      <c r="E77" s="86" t="str">
        <f>_xll.CbondsClosePrice($B$1,D77,$B$27)</f>
        <v>Нет данных</v>
      </c>
      <c r="F77" s="131">
        <f t="shared" si="37"/>
        <v>95.43</v>
      </c>
      <c r="O77" s="1"/>
      <c r="W77" s="87"/>
      <c r="X77" s="87"/>
      <c r="Y77" s="87"/>
      <c r="Z77" s="87"/>
      <c r="AA77" s="87"/>
      <c r="AB77" s="87"/>
      <c r="AM77" s="87"/>
      <c r="AN77" s="87"/>
      <c r="AO77" s="87"/>
      <c r="AP77" s="87"/>
      <c r="AQ77" s="87"/>
      <c r="AR77" s="87"/>
      <c r="BC77" s="87"/>
      <c r="BD77" s="87"/>
      <c r="BE77" s="87"/>
      <c r="BF77" s="87"/>
      <c r="BG77" s="87"/>
      <c r="BH77" s="87"/>
      <c r="CE77" s="26"/>
      <c r="CF77" s="26"/>
      <c r="CG77" s="26"/>
      <c r="CH77" s="26" t="str">
        <f>_xll.ReferenceParams(CG77,$CH$6 )</f>
        <v/>
      </c>
      <c r="CI77" s="35" t="str">
        <f>_xll.ReferenceParams(CG77,$CI$6 )</f>
        <v/>
      </c>
      <c r="CJ77" s="35" t="str">
        <f>_xll.ReferenceParams(CG77,$CJ$6)</f>
        <v/>
      </c>
      <c r="CK77" s="26" t="str">
        <f t="shared" si="39"/>
        <v/>
      </c>
      <c r="CL77" s="26"/>
      <c r="DL77" s="1"/>
    </row>
    <row r="78" spans="4:116" x14ac:dyDescent="0.3">
      <c r="D78" s="28">
        <f t="shared" si="38"/>
        <v>45947</v>
      </c>
      <c r="E78" s="86">
        <f>_xll.CbondsClosePrice($B$1,D78,$B$27)</f>
        <v>95.43</v>
      </c>
      <c r="F78" s="131">
        <f t="shared" si="37"/>
        <v>95.43</v>
      </c>
      <c r="O78" s="1"/>
      <c r="W78" s="87"/>
      <c r="X78" s="87"/>
      <c r="Y78" s="87"/>
      <c r="Z78" s="87"/>
      <c r="AA78" s="87"/>
      <c r="AB78" s="87"/>
      <c r="AM78" s="87"/>
      <c r="AN78" s="87"/>
      <c r="AO78" s="87"/>
      <c r="AP78" s="87"/>
      <c r="AQ78" s="87"/>
      <c r="AR78" s="87"/>
      <c r="BC78" s="87"/>
      <c r="BD78" s="87"/>
      <c r="BE78" s="87"/>
      <c r="BF78" s="87"/>
      <c r="BG78" s="87"/>
      <c r="BH78" s="87"/>
      <c r="CE78" s="26"/>
      <c r="CF78" s="26"/>
      <c r="CG78" s="26"/>
      <c r="CH78" s="26" t="str">
        <f>_xll.ReferenceParams(CG78,$CH$6 )</f>
        <v/>
      </c>
      <c r="CI78" s="35" t="str">
        <f>_xll.ReferenceParams(CG78,$CI$6 )</f>
        <v/>
      </c>
      <c r="CJ78" s="35" t="str">
        <f>_xll.ReferenceParams(CG78,$CJ$6)</f>
        <v/>
      </c>
      <c r="CK78" s="26" t="str">
        <f t="shared" si="39"/>
        <v/>
      </c>
      <c r="CL78" s="26"/>
      <c r="DL78" s="1"/>
    </row>
    <row r="79" spans="4:116" x14ac:dyDescent="0.3">
      <c r="D79" s="28">
        <f t="shared" si="38"/>
        <v>45946</v>
      </c>
      <c r="E79" s="86">
        <f>_xll.CbondsClosePrice($B$1,D79,$B$27)</f>
        <v>94.94</v>
      </c>
      <c r="F79" s="131">
        <f t="shared" si="37"/>
        <v>94.94</v>
      </c>
      <c r="O79" s="1"/>
      <c r="W79" s="87"/>
      <c r="X79" s="87"/>
      <c r="Y79" s="87"/>
      <c r="Z79" s="87"/>
      <c r="AA79" s="87"/>
      <c r="AB79" s="87"/>
      <c r="AM79" s="87"/>
      <c r="AN79" s="87"/>
      <c r="AO79" s="87"/>
      <c r="AP79" s="87"/>
      <c r="AQ79" s="87"/>
      <c r="AR79" s="87"/>
      <c r="BC79" s="87"/>
      <c r="BD79" s="87"/>
      <c r="BE79" s="87"/>
      <c r="BF79" s="87"/>
      <c r="BG79" s="87"/>
      <c r="BH79" s="87"/>
      <c r="CE79" s="26"/>
      <c r="CF79" s="26"/>
      <c r="CG79" s="26"/>
      <c r="CH79" s="26" t="str">
        <f>_xll.ReferenceParams(CG79,$CH$6 )</f>
        <v/>
      </c>
      <c r="CI79" s="35" t="str">
        <f>_xll.ReferenceParams(CG79,$CI$6 )</f>
        <v/>
      </c>
      <c r="CJ79" s="35" t="str">
        <f>_xll.ReferenceParams(CG79,$CJ$6)</f>
        <v/>
      </c>
      <c r="CK79" s="26" t="str">
        <f t="shared" si="39"/>
        <v/>
      </c>
      <c r="CL79" s="26"/>
      <c r="DL79" s="1"/>
    </row>
    <row r="80" spans="4:116" x14ac:dyDescent="0.3">
      <c r="D80" s="28">
        <f t="shared" si="38"/>
        <v>45945</v>
      </c>
      <c r="E80" s="86">
        <f>_xll.CbondsClosePrice($B$1,D80,$B$27)</f>
        <v>94.98</v>
      </c>
      <c r="F80" s="131">
        <f t="shared" si="37"/>
        <v>94.98</v>
      </c>
      <c r="O80" s="1"/>
      <c r="W80" s="87"/>
      <c r="X80" s="87"/>
      <c r="Y80" s="87"/>
      <c r="Z80" s="87"/>
      <c r="AA80" s="87"/>
      <c r="AB80" s="87"/>
      <c r="AM80" s="87"/>
      <c r="AN80" s="87"/>
      <c r="AO80" s="87"/>
      <c r="AP80" s="87"/>
      <c r="AQ80" s="87"/>
      <c r="AR80" s="87"/>
      <c r="BC80" s="87"/>
      <c r="BD80" s="87"/>
      <c r="BE80" s="87"/>
      <c r="BF80" s="87"/>
      <c r="BG80" s="87"/>
      <c r="BH80" s="87"/>
      <c r="CE80" s="26"/>
      <c r="CF80" s="26"/>
      <c r="CG80" s="26"/>
      <c r="CH80" s="26" t="str">
        <f>_xll.ReferenceParams(CG80,$CH$6 )</f>
        <v/>
      </c>
      <c r="CI80" s="35" t="str">
        <f>_xll.ReferenceParams(CG80,$CI$6 )</f>
        <v/>
      </c>
      <c r="CJ80" s="35" t="str">
        <f>_xll.ReferenceParams(CG80,$CJ$6)</f>
        <v/>
      </c>
      <c r="CK80" s="26" t="str">
        <f t="shared" si="39"/>
        <v/>
      </c>
      <c r="CL80" s="26"/>
      <c r="DL80" s="1"/>
    </row>
    <row r="81" spans="4:116" x14ac:dyDescent="0.3">
      <c r="D81" s="28">
        <f t="shared" si="38"/>
        <v>45944</v>
      </c>
      <c r="E81" s="86">
        <f>_xll.CbondsClosePrice($B$1,D81,$B$27)</f>
        <v>95.07</v>
      </c>
      <c r="F81" s="131">
        <f t="shared" si="37"/>
        <v>95.07</v>
      </c>
      <c r="O81" s="1"/>
      <c r="W81" s="87"/>
      <c r="X81" s="87"/>
      <c r="Y81" s="87"/>
      <c r="Z81" s="87"/>
      <c r="AA81" s="87"/>
      <c r="AB81" s="87"/>
      <c r="AM81" s="87"/>
      <c r="AN81" s="87"/>
      <c r="AO81" s="87"/>
      <c r="AP81" s="87"/>
      <c r="AQ81" s="87"/>
      <c r="AR81" s="87"/>
      <c r="BC81" s="87"/>
      <c r="BD81" s="87"/>
      <c r="BE81" s="87"/>
      <c r="BF81" s="87"/>
      <c r="BG81" s="87"/>
      <c r="BH81" s="87"/>
      <c r="CE81" s="26"/>
      <c r="CF81" s="26"/>
      <c r="CG81" s="26"/>
      <c r="CH81" s="26" t="str">
        <f>_xll.ReferenceParams(CG81,$CH$6 )</f>
        <v/>
      </c>
      <c r="CI81" s="35" t="str">
        <f>_xll.ReferenceParams(CG81,$CI$6 )</f>
        <v/>
      </c>
      <c r="CJ81" s="35" t="str">
        <f>_xll.ReferenceParams(CG81,$CJ$6)</f>
        <v/>
      </c>
      <c r="CK81" s="26" t="str">
        <f t="shared" si="39"/>
        <v/>
      </c>
      <c r="CL81" s="26"/>
      <c r="DL81" s="1"/>
    </row>
    <row r="82" spans="4:116" x14ac:dyDescent="0.3">
      <c r="D82" s="28">
        <f t="shared" si="38"/>
        <v>45943</v>
      </c>
      <c r="E82" s="86">
        <f>_xll.CbondsClosePrice($B$1,D82,$B$27)</f>
        <v>95.12</v>
      </c>
      <c r="F82" s="131">
        <f t="shared" si="37"/>
        <v>95.12</v>
      </c>
      <c r="O82" s="1"/>
      <c r="W82" s="87"/>
      <c r="X82" s="87"/>
      <c r="Y82" s="87"/>
      <c r="Z82" s="87"/>
      <c r="AA82" s="87"/>
      <c r="AB82" s="87"/>
      <c r="AM82" s="87"/>
      <c r="AN82" s="87"/>
      <c r="AO82" s="87"/>
      <c r="AP82" s="87"/>
      <c r="AQ82" s="87"/>
      <c r="AR82" s="87"/>
      <c r="BC82" s="87"/>
      <c r="BD82" s="87"/>
      <c r="BE82" s="87"/>
      <c r="BF82" s="87"/>
      <c r="BG82" s="87"/>
      <c r="BH82" s="87"/>
      <c r="CE82" s="26"/>
      <c r="CF82" s="26"/>
      <c r="CG82" s="26"/>
      <c r="CH82" s="26" t="str">
        <f>_xll.ReferenceParams(CG82,$CH$6 )</f>
        <v/>
      </c>
      <c r="CI82" s="35" t="str">
        <f>_xll.ReferenceParams(CG82,$CI$6 )</f>
        <v/>
      </c>
      <c r="CJ82" s="35" t="str">
        <f>_xll.ReferenceParams(CG82,$CJ$6)</f>
        <v/>
      </c>
      <c r="CK82" s="26" t="str">
        <f t="shared" si="39"/>
        <v/>
      </c>
      <c r="CL82" s="26"/>
      <c r="DL82" s="1"/>
    </row>
    <row r="83" spans="4:116" x14ac:dyDescent="0.3">
      <c r="D83" s="28">
        <f t="shared" si="38"/>
        <v>45942</v>
      </c>
      <c r="E83" s="86" t="str">
        <f>_xll.CbondsClosePrice($B$1,D83,$B$27)</f>
        <v>Нет данных</v>
      </c>
      <c r="F83" s="131">
        <f t="shared" si="37"/>
        <v>95.14</v>
      </c>
      <c r="O83" s="1"/>
      <c r="W83" s="87"/>
      <c r="X83" s="87"/>
      <c r="Y83" s="87"/>
      <c r="Z83" s="87"/>
      <c r="AA83" s="87"/>
      <c r="AB83" s="87"/>
      <c r="AM83" s="87"/>
      <c r="AN83" s="87"/>
      <c r="AO83" s="87"/>
      <c r="AP83" s="87"/>
      <c r="AQ83" s="87"/>
      <c r="AR83" s="87"/>
      <c r="BC83" s="87"/>
      <c r="BD83" s="87"/>
      <c r="BE83" s="87"/>
      <c r="BF83" s="87"/>
      <c r="BG83" s="87"/>
      <c r="BH83" s="87"/>
      <c r="CE83" s="26"/>
      <c r="CF83" s="26"/>
      <c r="CG83" s="26"/>
      <c r="CH83" s="26" t="str">
        <f>_xll.ReferenceParams(CG83,$CH$6 )</f>
        <v/>
      </c>
      <c r="CI83" s="35" t="str">
        <f>_xll.ReferenceParams(CG83,$CI$6 )</f>
        <v/>
      </c>
      <c r="CJ83" s="35" t="str">
        <f>_xll.ReferenceParams(CG83,$CJ$6)</f>
        <v/>
      </c>
      <c r="CK83" s="26" t="str">
        <f t="shared" si="39"/>
        <v/>
      </c>
      <c r="CL83" s="26"/>
      <c r="DL83" s="1"/>
    </row>
    <row r="84" spans="4:116" x14ac:dyDescent="0.3">
      <c r="D84" s="28">
        <f t="shared" si="38"/>
        <v>45941</v>
      </c>
      <c r="E84" s="86" t="str">
        <f>_xll.CbondsClosePrice($B$1,D84,$B$27)</f>
        <v>Нет данных</v>
      </c>
      <c r="F84" s="131">
        <f t="shared" si="37"/>
        <v>95.14</v>
      </c>
      <c r="O84" s="1"/>
      <c r="W84" s="87"/>
      <c r="X84" s="87"/>
      <c r="Y84" s="87"/>
      <c r="Z84" s="87"/>
      <c r="AA84" s="87"/>
      <c r="AB84" s="87"/>
      <c r="AM84" s="87"/>
      <c r="AN84" s="87"/>
      <c r="AO84" s="87"/>
      <c r="AP84" s="87"/>
      <c r="AQ84" s="87"/>
      <c r="AR84" s="87"/>
      <c r="BC84" s="87"/>
      <c r="BD84" s="87"/>
      <c r="BE84" s="87"/>
      <c r="BF84" s="87"/>
      <c r="BG84" s="87"/>
      <c r="BH84" s="87"/>
      <c r="CE84" s="26"/>
      <c r="CF84" s="26"/>
      <c r="CG84" s="26"/>
      <c r="CH84" s="26" t="str">
        <f>_xll.ReferenceParams(CG84,$CH$6 )</f>
        <v/>
      </c>
      <c r="CI84" s="35" t="str">
        <f>_xll.ReferenceParams(CG84,$CI$6 )</f>
        <v/>
      </c>
      <c r="CJ84" s="35" t="str">
        <f>_xll.ReferenceParams(CG84,$CJ$6)</f>
        <v/>
      </c>
      <c r="CK84" s="26" t="str">
        <f t="shared" si="39"/>
        <v/>
      </c>
      <c r="CL84" s="26"/>
      <c r="DL84" s="1"/>
    </row>
    <row r="85" spans="4:116" x14ac:dyDescent="0.3">
      <c r="D85" s="28">
        <f t="shared" si="38"/>
        <v>45940</v>
      </c>
      <c r="E85" s="86">
        <f>_xll.CbondsClosePrice($B$1,D85,$B$27)</f>
        <v>95.14</v>
      </c>
      <c r="F85" s="131">
        <f t="shared" si="37"/>
        <v>95.14</v>
      </c>
      <c r="O85" s="1"/>
      <c r="W85" s="87"/>
      <c r="X85" s="87"/>
      <c r="Y85" s="87"/>
      <c r="Z85" s="87"/>
      <c r="AA85" s="87"/>
      <c r="AB85" s="87"/>
      <c r="AM85" s="87"/>
      <c r="AN85" s="87"/>
      <c r="AO85" s="87"/>
      <c r="AP85" s="87"/>
      <c r="AQ85" s="87"/>
      <c r="AR85" s="87"/>
      <c r="BC85" s="87"/>
      <c r="BD85" s="87"/>
      <c r="BE85" s="87"/>
      <c r="BF85" s="87"/>
      <c r="BG85" s="87"/>
      <c r="BH85" s="87"/>
      <c r="CE85" s="26"/>
      <c r="CF85" s="26"/>
      <c r="CG85" s="26"/>
      <c r="CH85" s="26" t="str">
        <f>_xll.ReferenceParams(CG85,$CH$6 )</f>
        <v/>
      </c>
      <c r="CI85" s="35" t="str">
        <f>_xll.ReferenceParams(CG85,$CI$6 )</f>
        <v/>
      </c>
      <c r="CJ85" s="35" t="str">
        <f>_xll.ReferenceParams(CG85,$CJ$6)</f>
        <v/>
      </c>
      <c r="CK85" s="26" t="str">
        <f t="shared" si="39"/>
        <v/>
      </c>
      <c r="CL85" s="26"/>
      <c r="DL85" s="1"/>
    </row>
    <row r="86" spans="4:116" x14ac:dyDescent="0.3">
      <c r="D86" s="28">
        <f t="shared" si="38"/>
        <v>45939</v>
      </c>
      <c r="E86" s="86">
        <f>_xll.CbondsClosePrice($B$1,D86,$B$27)</f>
        <v>94.94</v>
      </c>
      <c r="F86" s="131">
        <f t="shared" si="37"/>
        <v>94.94</v>
      </c>
      <c r="O86" s="1"/>
      <c r="W86" s="87"/>
      <c r="X86" s="87"/>
      <c r="Y86" s="87"/>
      <c r="Z86" s="87"/>
      <c r="AA86" s="87"/>
      <c r="AB86" s="87"/>
      <c r="AM86" s="87"/>
      <c r="AN86" s="87"/>
      <c r="AO86" s="87"/>
      <c r="AP86" s="87"/>
      <c r="AQ86" s="87"/>
      <c r="AR86" s="87"/>
      <c r="BC86" s="87"/>
      <c r="BD86" s="87"/>
      <c r="BE86" s="87"/>
      <c r="BF86" s="87"/>
      <c r="BG86" s="87"/>
      <c r="BH86" s="87"/>
      <c r="CE86" s="26"/>
      <c r="CF86" s="26"/>
      <c r="CG86" s="26"/>
      <c r="CH86" s="26" t="str">
        <f>_xll.ReferenceParams(CG86,$CH$6 )</f>
        <v/>
      </c>
      <c r="CI86" s="35" t="str">
        <f>_xll.ReferenceParams(CG86,$CI$6 )</f>
        <v/>
      </c>
      <c r="CJ86" s="35" t="str">
        <f>_xll.ReferenceParams(CG86,$CJ$6)</f>
        <v/>
      </c>
      <c r="CK86" s="26" t="str">
        <f t="shared" si="39"/>
        <v/>
      </c>
      <c r="CL86" s="26"/>
      <c r="DL86" s="1"/>
    </row>
    <row r="87" spans="4:116" x14ac:dyDescent="0.3">
      <c r="D87" s="28">
        <f t="shared" si="38"/>
        <v>45938</v>
      </c>
      <c r="E87" s="86">
        <f>_xll.CbondsClosePrice($B$1,D87,$B$27)</f>
        <v>94.84</v>
      </c>
      <c r="F87" s="131">
        <f t="shared" si="37"/>
        <v>94.84</v>
      </c>
      <c r="O87" s="1"/>
      <c r="W87" s="87"/>
      <c r="X87" s="87"/>
      <c r="Y87" s="87"/>
      <c r="Z87" s="87"/>
      <c r="AA87" s="87"/>
      <c r="AB87" s="87"/>
      <c r="AM87" s="87"/>
      <c r="AN87" s="87"/>
      <c r="AO87" s="87"/>
      <c r="AP87" s="87"/>
      <c r="AQ87" s="87"/>
      <c r="AR87" s="87"/>
      <c r="BC87" s="87"/>
      <c r="BD87" s="87"/>
      <c r="BE87" s="87"/>
      <c r="BF87" s="87"/>
      <c r="BG87" s="87"/>
      <c r="BH87" s="87"/>
      <c r="CE87" s="26"/>
      <c r="CF87" s="26"/>
      <c r="CG87" s="26"/>
      <c r="CH87" s="26" t="str">
        <f>_xll.ReferenceParams(CG87,$CH$6 )</f>
        <v/>
      </c>
      <c r="CI87" s="35" t="str">
        <f>_xll.ReferenceParams(CG87,$CI$6 )</f>
        <v/>
      </c>
      <c r="CJ87" s="35" t="str">
        <f>_xll.ReferenceParams(CG87,$CJ$6)</f>
        <v/>
      </c>
      <c r="CK87" s="26" t="str">
        <f t="shared" si="39"/>
        <v/>
      </c>
      <c r="CL87" s="26"/>
      <c r="DL87" s="1"/>
    </row>
    <row r="88" spans="4:116" x14ac:dyDescent="0.3">
      <c r="D88" s="28">
        <f t="shared" si="38"/>
        <v>45937</v>
      </c>
      <c r="E88" s="86">
        <f>_xll.CbondsClosePrice($B$1,D88,$B$27)</f>
        <v>95.02</v>
      </c>
      <c r="F88" s="131">
        <f t="shared" si="37"/>
        <v>95.02</v>
      </c>
      <c r="O88" s="1"/>
      <c r="W88" s="87"/>
      <c r="X88" s="87"/>
      <c r="Y88" s="87"/>
      <c r="Z88" s="87"/>
      <c r="AA88" s="87"/>
      <c r="AB88" s="87"/>
      <c r="AM88" s="87"/>
      <c r="AN88" s="87"/>
      <c r="AO88" s="87"/>
      <c r="AP88" s="87"/>
      <c r="AQ88" s="87"/>
      <c r="AR88" s="87"/>
      <c r="BC88" s="87"/>
      <c r="BD88" s="87"/>
      <c r="BE88" s="87"/>
      <c r="BF88" s="87"/>
      <c r="BG88" s="87"/>
      <c r="BH88" s="87"/>
      <c r="CE88" s="26"/>
      <c r="CF88" s="26"/>
      <c r="CG88" s="26"/>
      <c r="CH88" s="26" t="str">
        <f>_xll.ReferenceParams(CG88,$CH$6 )</f>
        <v/>
      </c>
      <c r="CI88" s="35" t="str">
        <f>_xll.ReferenceParams(CG88,$CI$6 )</f>
        <v/>
      </c>
      <c r="CJ88" s="35" t="str">
        <f>_xll.ReferenceParams(CG88,$CJ$6)</f>
        <v/>
      </c>
      <c r="CK88" s="26" t="str">
        <f t="shared" si="39"/>
        <v/>
      </c>
      <c r="CL88" s="26"/>
      <c r="DL88" s="1"/>
    </row>
    <row r="89" spans="4:116" x14ac:dyDescent="0.3">
      <c r="D89" s="28">
        <f t="shared" si="38"/>
        <v>45936</v>
      </c>
      <c r="E89" s="86">
        <f>_xll.CbondsClosePrice($B$1,D89,$B$27)</f>
        <v>95.02</v>
      </c>
      <c r="F89" s="131">
        <f t="shared" si="37"/>
        <v>95.02</v>
      </c>
      <c r="O89" s="1"/>
      <c r="W89" s="87"/>
      <c r="X89" s="87"/>
      <c r="Y89" s="87"/>
      <c r="Z89" s="87"/>
      <c r="AA89" s="87"/>
      <c r="AB89" s="87"/>
      <c r="AM89" s="87"/>
      <c r="AN89" s="87"/>
      <c r="AO89" s="87"/>
      <c r="AP89" s="87"/>
      <c r="AQ89" s="87"/>
      <c r="AR89" s="87"/>
      <c r="BC89" s="87"/>
      <c r="BD89" s="87"/>
      <c r="BE89" s="87"/>
      <c r="BF89" s="87"/>
      <c r="BG89" s="87"/>
      <c r="BH89" s="87"/>
      <c r="CE89" s="26"/>
      <c r="CF89" s="26"/>
      <c r="CG89" s="26"/>
      <c r="CH89" s="26" t="str">
        <f>_xll.ReferenceParams(CG89,$CH$6 )</f>
        <v/>
      </c>
      <c r="CI89" s="35" t="str">
        <f>_xll.ReferenceParams(CG89,$CI$6 )</f>
        <v/>
      </c>
      <c r="CJ89" s="35" t="str">
        <f>_xll.ReferenceParams(CG89,$CJ$6)</f>
        <v/>
      </c>
      <c r="CK89" s="26" t="str">
        <f t="shared" si="39"/>
        <v/>
      </c>
      <c r="CL89" s="26"/>
      <c r="DL89" s="1"/>
    </row>
    <row r="90" spans="4:116" x14ac:dyDescent="0.3">
      <c r="D90" s="28">
        <f t="shared" si="38"/>
        <v>45935</v>
      </c>
      <c r="E90" s="86" t="str">
        <f>_xll.CbondsClosePrice($B$1,D90,$B$27)</f>
        <v>Нет данных</v>
      </c>
      <c r="F90" s="131">
        <f t="shared" si="37"/>
        <v>94.98</v>
      </c>
      <c r="O90" s="1"/>
      <c r="W90" s="87"/>
      <c r="X90" s="87"/>
      <c r="Y90" s="87"/>
      <c r="Z90" s="87"/>
      <c r="AA90" s="87"/>
      <c r="AB90" s="87"/>
      <c r="AM90" s="87"/>
      <c r="AN90" s="87"/>
      <c r="AO90" s="87"/>
      <c r="AP90" s="87"/>
      <c r="AQ90" s="87"/>
      <c r="AR90" s="87"/>
      <c r="BC90" s="87"/>
      <c r="BD90" s="87"/>
      <c r="BE90" s="87"/>
      <c r="BF90" s="87"/>
      <c r="BG90" s="87"/>
      <c r="BH90" s="87"/>
      <c r="CE90" s="26"/>
      <c r="CF90" s="26"/>
      <c r="CG90" s="26"/>
      <c r="CH90" s="26" t="str">
        <f>_xll.ReferenceParams(CG90,$CH$6 )</f>
        <v/>
      </c>
      <c r="CI90" s="35" t="str">
        <f>_xll.ReferenceParams(CG90,$CI$6 )</f>
        <v/>
      </c>
      <c r="CJ90" s="35" t="str">
        <f>_xll.ReferenceParams(CG90,$CJ$6)</f>
        <v/>
      </c>
      <c r="CK90" s="26" t="str">
        <f t="shared" si="39"/>
        <v/>
      </c>
      <c r="CL90" s="26"/>
      <c r="DL90" s="1"/>
    </row>
    <row r="91" spans="4:116" x14ac:dyDescent="0.3">
      <c r="D91" s="28">
        <f t="shared" si="38"/>
        <v>45934</v>
      </c>
      <c r="E91" s="86" t="str">
        <f>_xll.CbondsClosePrice($B$1,D91,$B$27)</f>
        <v>Нет данных</v>
      </c>
      <c r="F91" s="131">
        <f t="shared" si="37"/>
        <v>94.98</v>
      </c>
      <c r="O91" s="1"/>
      <c r="W91" s="87"/>
      <c r="X91" s="87"/>
      <c r="Y91" s="87"/>
      <c r="Z91" s="87"/>
      <c r="AA91" s="87"/>
      <c r="AB91" s="87"/>
      <c r="AM91" s="87"/>
      <c r="AN91" s="87"/>
      <c r="AO91" s="87"/>
      <c r="AP91" s="87"/>
      <c r="AQ91" s="87"/>
      <c r="AR91" s="87"/>
      <c r="BC91" s="87"/>
      <c r="BD91" s="87"/>
      <c r="BE91" s="87"/>
      <c r="BF91" s="87"/>
      <c r="BG91" s="87"/>
      <c r="BH91" s="87"/>
      <c r="CE91" s="26"/>
      <c r="CF91" s="26"/>
      <c r="CG91" s="26"/>
      <c r="CH91" s="26" t="str">
        <f>_xll.ReferenceParams(CG91,$CH$6 )</f>
        <v/>
      </c>
      <c r="CI91" s="35" t="str">
        <f>_xll.ReferenceParams(CG91,$CI$6 )</f>
        <v/>
      </c>
      <c r="CJ91" s="35" t="str">
        <f>_xll.ReferenceParams(CG91,$CJ$6)</f>
        <v/>
      </c>
      <c r="CK91" s="26" t="str">
        <f t="shared" si="39"/>
        <v/>
      </c>
      <c r="CL91" s="26"/>
      <c r="DL91" s="1"/>
    </row>
    <row r="92" spans="4:116" x14ac:dyDescent="0.3">
      <c r="D92" s="28">
        <f t="shared" si="38"/>
        <v>45933</v>
      </c>
      <c r="E92" s="86">
        <f>_xll.CbondsClosePrice($B$1,D92,$B$27)</f>
        <v>94.98</v>
      </c>
      <c r="F92" s="131">
        <f t="shared" si="37"/>
        <v>94.98</v>
      </c>
      <c r="O92" s="1"/>
      <c r="W92" s="87"/>
      <c r="X92" s="87"/>
      <c r="Y92" s="87"/>
      <c r="Z92" s="87"/>
      <c r="AA92" s="87"/>
      <c r="AB92" s="87"/>
      <c r="AM92" s="87"/>
      <c r="AN92" s="87"/>
      <c r="AO92" s="87"/>
      <c r="AP92" s="87"/>
      <c r="AQ92" s="87"/>
      <c r="AR92" s="87"/>
      <c r="BC92" s="87"/>
      <c r="BD92" s="87"/>
      <c r="BE92" s="87"/>
      <c r="BF92" s="87"/>
      <c r="BG92" s="87"/>
      <c r="BH92" s="87"/>
      <c r="CE92" s="26"/>
      <c r="CF92" s="26"/>
      <c r="CG92" s="26"/>
      <c r="CH92" s="26" t="str">
        <f>_xll.ReferenceParams(CG92,$CH$6 )</f>
        <v/>
      </c>
      <c r="CI92" s="35" t="str">
        <f>_xll.ReferenceParams(CG92,$CI$6 )</f>
        <v/>
      </c>
      <c r="CJ92" s="35" t="str">
        <f>_xll.ReferenceParams(CG92,$CJ$6)</f>
        <v/>
      </c>
      <c r="CK92" s="26" t="str">
        <f t="shared" si="39"/>
        <v/>
      </c>
      <c r="CL92" s="26"/>
      <c r="DL92" s="1"/>
    </row>
    <row r="93" spans="4:116" x14ac:dyDescent="0.3">
      <c r="D93" s="28">
        <f t="shared" si="38"/>
        <v>45932</v>
      </c>
      <c r="E93" s="86">
        <f>_xll.CbondsClosePrice($B$1,D93,$B$27)</f>
        <v>95.03</v>
      </c>
      <c r="F93" s="131">
        <f t="shared" si="37"/>
        <v>95.03</v>
      </c>
      <c r="O93" s="1"/>
      <c r="W93" s="87"/>
      <c r="X93" s="87"/>
      <c r="Y93" s="87"/>
      <c r="Z93" s="87"/>
      <c r="AA93" s="87"/>
      <c r="AB93" s="87"/>
      <c r="AM93" s="87"/>
      <c r="AN93" s="87"/>
      <c r="AO93" s="87"/>
      <c r="AP93" s="87"/>
      <c r="AQ93" s="87"/>
      <c r="AR93" s="87"/>
      <c r="BC93" s="87"/>
      <c r="BD93" s="87"/>
      <c r="BE93" s="87"/>
      <c r="BF93" s="87"/>
      <c r="BG93" s="87"/>
      <c r="BH93" s="87"/>
      <c r="CE93" s="26"/>
      <c r="CF93" s="26"/>
      <c r="CG93" s="26"/>
      <c r="CH93" s="26" t="str">
        <f>_xll.ReferenceParams(CG93,$CH$6 )</f>
        <v/>
      </c>
      <c r="CI93" s="35" t="str">
        <f>_xll.ReferenceParams(CG93,$CI$6 )</f>
        <v/>
      </c>
      <c r="CJ93" s="35" t="str">
        <f>_xll.ReferenceParams(CG93,$CJ$6)</f>
        <v/>
      </c>
      <c r="CK93" s="26" t="str">
        <f t="shared" si="39"/>
        <v/>
      </c>
      <c r="CL93" s="26"/>
      <c r="DL93" s="1"/>
    </row>
    <row r="94" spans="4:116" x14ac:dyDescent="0.3">
      <c r="D94" s="28">
        <f t="shared" si="38"/>
        <v>45931</v>
      </c>
      <c r="E94" s="86">
        <f>_xll.CbondsClosePrice($B$1,D94,$B$27)</f>
        <v>94.58</v>
      </c>
      <c r="F94" s="131">
        <f t="shared" si="37"/>
        <v>94.58</v>
      </c>
      <c r="O94" s="1"/>
      <c r="W94" s="87"/>
      <c r="X94" s="87"/>
      <c r="Y94" s="87"/>
      <c r="Z94" s="87"/>
      <c r="AA94" s="87"/>
      <c r="AB94" s="87"/>
      <c r="AM94" s="87"/>
      <c r="AN94" s="87"/>
      <c r="AO94" s="87"/>
      <c r="AP94" s="87"/>
      <c r="AQ94" s="87"/>
      <c r="AR94" s="87"/>
      <c r="BC94" s="87"/>
      <c r="BD94" s="87"/>
      <c r="BE94" s="87"/>
      <c r="BF94" s="87"/>
      <c r="BG94" s="87"/>
      <c r="BH94" s="87"/>
      <c r="CE94" s="26"/>
      <c r="CF94" s="26"/>
      <c r="CG94" s="26"/>
      <c r="CH94" s="26" t="str">
        <f>_xll.ReferenceParams(CG94,$CH$6 )</f>
        <v/>
      </c>
      <c r="CI94" s="35" t="str">
        <f>_xll.ReferenceParams(CG94,$CI$6 )</f>
        <v/>
      </c>
      <c r="CJ94" s="35" t="str">
        <f>_xll.ReferenceParams(CG94,$CJ$6)</f>
        <v/>
      </c>
      <c r="CK94" s="26" t="str">
        <f t="shared" si="39"/>
        <v/>
      </c>
      <c r="CL94" s="26"/>
      <c r="DL94" s="1"/>
    </row>
    <row r="95" spans="4:116" x14ac:dyDescent="0.3">
      <c r="D95" s="28">
        <f t="shared" si="38"/>
        <v>45930</v>
      </c>
      <c r="E95" s="86">
        <f>_xll.CbondsClosePrice($B$1,D95,$B$27)</f>
        <v>94.65</v>
      </c>
      <c r="F95" s="131">
        <f t="shared" si="37"/>
        <v>94.65</v>
      </c>
      <c r="O95" s="1"/>
      <c r="W95" s="87"/>
      <c r="X95" s="87"/>
      <c r="Y95" s="87"/>
      <c r="Z95" s="87"/>
      <c r="AA95" s="87"/>
      <c r="AB95" s="87"/>
      <c r="AM95" s="87"/>
      <c r="AN95" s="87"/>
      <c r="AO95" s="87"/>
      <c r="AP95" s="87"/>
      <c r="AQ95" s="87"/>
      <c r="AR95" s="87"/>
      <c r="BC95" s="87"/>
      <c r="BD95" s="87"/>
      <c r="BE95" s="87"/>
      <c r="BF95" s="87"/>
      <c r="BG95" s="87"/>
      <c r="BH95" s="87"/>
      <c r="CE95" s="26"/>
      <c r="CF95" s="26"/>
      <c r="CG95" s="26"/>
      <c r="CH95" s="26" t="str">
        <f>_xll.ReferenceParams(CG95,$CH$6 )</f>
        <v/>
      </c>
      <c r="CI95" s="35" t="str">
        <f>_xll.ReferenceParams(CG95,$CI$6 )</f>
        <v/>
      </c>
      <c r="CJ95" s="35" t="str">
        <f>_xll.ReferenceParams(CG95,$CJ$6)</f>
        <v/>
      </c>
      <c r="CK95" s="26" t="str">
        <f t="shared" si="39"/>
        <v/>
      </c>
      <c r="CL95" s="26"/>
      <c r="DL95" s="1"/>
    </row>
    <row r="96" spans="4:116" x14ac:dyDescent="0.3">
      <c r="D96" s="28">
        <f t="shared" si="38"/>
        <v>45929</v>
      </c>
      <c r="E96" s="86">
        <f>_xll.CbondsClosePrice($B$1,D96,$B$27)</f>
        <v>94.92</v>
      </c>
      <c r="F96" s="131">
        <f t="shared" si="37"/>
        <v>94.92</v>
      </c>
      <c r="O96" s="1"/>
      <c r="W96" s="87"/>
      <c r="X96" s="87"/>
      <c r="Y96" s="87"/>
      <c r="Z96" s="87"/>
      <c r="AA96" s="87"/>
      <c r="AB96" s="87"/>
      <c r="AM96" s="87"/>
      <c r="AN96" s="87"/>
      <c r="AO96" s="87"/>
      <c r="AP96" s="87"/>
      <c r="AQ96" s="87"/>
      <c r="AR96" s="87"/>
      <c r="BC96" s="87"/>
      <c r="BD96" s="87"/>
      <c r="BE96" s="87"/>
      <c r="BF96" s="87"/>
      <c r="BG96" s="87"/>
      <c r="BH96" s="87"/>
      <c r="CE96" s="26"/>
      <c r="CF96" s="26"/>
      <c r="CG96" s="26"/>
      <c r="CH96" s="26" t="str">
        <f>_xll.ReferenceParams(CG96,$CH$6 )</f>
        <v/>
      </c>
      <c r="CI96" s="35" t="str">
        <f>_xll.ReferenceParams(CG96,$CI$6 )</f>
        <v/>
      </c>
      <c r="CJ96" s="35" t="str">
        <f>_xll.ReferenceParams(CG96,$CJ$6)</f>
        <v/>
      </c>
      <c r="CK96" s="26" t="str">
        <f t="shared" si="39"/>
        <v/>
      </c>
      <c r="CL96" s="26"/>
      <c r="DL96" s="1"/>
    </row>
    <row r="97" spans="4:116" x14ac:dyDescent="0.3">
      <c r="D97" s="28">
        <f t="shared" si="38"/>
        <v>45928</v>
      </c>
      <c r="E97" s="86" t="str">
        <f>_xll.CbondsClosePrice($B$1,D97,$B$27)</f>
        <v>Нет данных</v>
      </c>
      <c r="F97" s="131">
        <f t="shared" si="37"/>
        <v>94.89</v>
      </c>
      <c r="O97" s="1"/>
      <c r="W97" s="87"/>
      <c r="X97" s="87"/>
      <c r="Y97" s="87"/>
      <c r="Z97" s="87"/>
      <c r="AA97" s="87"/>
      <c r="AB97" s="87"/>
      <c r="AM97" s="87"/>
      <c r="AN97" s="87"/>
      <c r="AO97" s="87"/>
      <c r="AP97" s="87"/>
      <c r="AQ97" s="87"/>
      <c r="AR97" s="87"/>
      <c r="BC97" s="87"/>
      <c r="BD97" s="87"/>
      <c r="BE97" s="87"/>
      <c r="BF97" s="87"/>
      <c r="BG97" s="87"/>
      <c r="BH97" s="87"/>
      <c r="CE97" s="26"/>
      <c r="CF97" s="26"/>
      <c r="CG97" s="26"/>
      <c r="CH97" s="26" t="str">
        <f>_xll.ReferenceParams(CG97,$CH$6 )</f>
        <v/>
      </c>
      <c r="CI97" s="35" t="str">
        <f>_xll.ReferenceParams(CG97,$CI$6 )</f>
        <v/>
      </c>
      <c r="CJ97" s="35" t="str">
        <f>_xll.ReferenceParams(CG97,$CJ$6)</f>
        <v/>
      </c>
      <c r="CK97" s="26" t="str">
        <f t="shared" si="39"/>
        <v/>
      </c>
      <c r="CL97" s="26"/>
      <c r="DL97" s="1"/>
    </row>
    <row r="98" spans="4:116" x14ac:dyDescent="0.3">
      <c r="D98" s="28">
        <f t="shared" si="38"/>
        <v>45927</v>
      </c>
      <c r="E98" s="86" t="str">
        <f>_xll.CbondsClosePrice($B$1,D98,$B$27)</f>
        <v>Нет данных</v>
      </c>
      <c r="F98" s="131">
        <f t="shared" si="37"/>
        <v>94.89</v>
      </c>
      <c r="O98" s="1"/>
      <c r="W98" s="87"/>
      <c r="X98" s="87"/>
      <c r="Y98" s="87"/>
      <c r="Z98" s="87"/>
      <c r="AA98" s="87"/>
      <c r="AB98" s="87"/>
      <c r="AM98" s="87"/>
      <c r="AN98" s="87"/>
      <c r="AO98" s="87"/>
      <c r="AP98" s="87"/>
      <c r="AQ98" s="87"/>
      <c r="AR98" s="87"/>
      <c r="BC98" s="87"/>
      <c r="BD98" s="87"/>
      <c r="BE98" s="87"/>
      <c r="BF98" s="87"/>
      <c r="BG98" s="87"/>
      <c r="BH98" s="87"/>
      <c r="CE98" s="26"/>
      <c r="CF98" s="26"/>
      <c r="CG98" s="26"/>
      <c r="CH98" s="26" t="str">
        <f>_xll.ReferenceParams(CG98,$CH$6 )</f>
        <v/>
      </c>
      <c r="CI98" s="35" t="str">
        <f>_xll.ReferenceParams(CG98,$CI$6 )</f>
        <v/>
      </c>
      <c r="CJ98" s="35" t="str">
        <f>_xll.ReferenceParams(CG98,$CJ$6)</f>
        <v/>
      </c>
      <c r="CK98" s="26" t="str">
        <f t="shared" si="39"/>
        <v/>
      </c>
      <c r="CL98" s="26"/>
      <c r="DL98" s="1"/>
    </row>
    <row r="99" spans="4:116" x14ac:dyDescent="0.3">
      <c r="D99" s="28">
        <f t="shared" si="38"/>
        <v>45926</v>
      </c>
      <c r="E99" s="86">
        <f>_xll.CbondsClosePrice($B$1,D99,$B$27)</f>
        <v>94.89</v>
      </c>
      <c r="F99" s="131">
        <f t="shared" si="37"/>
        <v>94.89</v>
      </c>
      <c r="O99" s="1"/>
      <c r="W99" s="87"/>
      <c r="X99" s="87"/>
      <c r="Y99" s="87"/>
      <c r="Z99" s="87"/>
      <c r="AA99" s="87"/>
      <c r="AB99" s="87"/>
      <c r="AM99" s="87"/>
      <c r="AN99" s="87"/>
      <c r="AO99" s="87"/>
      <c r="AP99" s="87"/>
      <c r="AQ99" s="87"/>
      <c r="AR99" s="87"/>
      <c r="BC99" s="87"/>
      <c r="BD99" s="87"/>
      <c r="BE99" s="87"/>
      <c r="BF99" s="87"/>
      <c r="BG99" s="87"/>
      <c r="BH99" s="87"/>
      <c r="CE99" s="26"/>
      <c r="CF99" s="26"/>
      <c r="CG99" s="26"/>
      <c r="CH99" s="26" t="str">
        <f>_xll.ReferenceParams(CG99,$CH$6 )</f>
        <v/>
      </c>
      <c r="CI99" s="35" t="str">
        <f>_xll.ReferenceParams(CG99,$CI$6 )</f>
        <v/>
      </c>
      <c r="CJ99" s="35" t="str">
        <f>_xll.ReferenceParams(CG99,$CJ$6)</f>
        <v/>
      </c>
      <c r="CK99" s="26" t="str">
        <f t="shared" si="39"/>
        <v/>
      </c>
      <c r="CL99" s="26"/>
      <c r="DL99" s="1"/>
    </row>
    <row r="100" spans="4:116" x14ac:dyDescent="0.3">
      <c r="D100" s="28">
        <f t="shared" si="38"/>
        <v>45925</v>
      </c>
      <c r="E100" s="86">
        <f>_xll.CbondsClosePrice($B$1,D100,$B$27)</f>
        <v>94.72</v>
      </c>
      <c r="F100" s="131">
        <f>IF(IF(AND(E100="",D100=""),"",IF(AND(E100="Нет данных",D100&lt;&gt;""),F101,E100)) = 0,"",IF(AND(E100="",D100=""),"",IF(AND(E100="Нет данных",D100&lt;&gt;""),F101,E100)))</f>
        <v>94.72</v>
      </c>
      <c r="O100" s="1"/>
      <c r="W100" s="87"/>
      <c r="X100" s="87"/>
      <c r="Y100" s="87"/>
      <c r="Z100" s="87"/>
      <c r="AA100" s="87"/>
      <c r="AB100" s="87"/>
      <c r="AM100" s="87"/>
      <c r="AN100" s="87"/>
      <c r="AO100" s="87"/>
      <c r="AP100" s="87"/>
      <c r="AQ100" s="87"/>
      <c r="AR100" s="87"/>
      <c r="BC100" s="87"/>
      <c r="BD100" s="87"/>
      <c r="BE100" s="87"/>
      <c r="BF100" s="87"/>
      <c r="BG100" s="87"/>
      <c r="BH100" s="87"/>
      <c r="CE100" s="26"/>
      <c r="CF100" s="26"/>
      <c r="CG100" s="26"/>
      <c r="CH100" s="26" t="str">
        <f>_xll.ReferenceParams(CG100,$CH$6 )</f>
        <v/>
      </c>
      <c r="CI100" s="35" t="str">
        <f>_xll.ReferenceParams(CG100,$CI$6 )</f>
        <v/>
      </c>
      <c r="CJ100" s="35" t="str">
        <f>_xll.ReferenceParams(CG100,$CJ$6)</f>
        <v/>
      </c>
      <c r="CK100" s="26" t="str">
        <f t="shared" si="39"/>
        <v/>
      </c>
      <c r="CL100" s="26"/>
      <c r="DL100" s="1"/>
    </row>
    <row r="101" spans="4:116" x14ac:dyDescent="0.3">
      <c r="D101" s="28">
        <f t="shared" si="38"/>
        <v>45924</v>
      </c>
      <c r="E101" s="86">
        <f>_xll.CbondsClosePrice($B$1,D101,$B$27)</f>
        <v>94.78</v>
      </c>
      <c r="F101" s="131">
        <f t="shared" si="37"/>
        <v>94.78</v>
      </c>
      <c r="O101" s="1"/>
      <c r="W101" s="87"/>
      <c r="X101" s="87"/>
      <c r="Y101" s="87"/>
      <c r="Z101" s="87"/>
      <c r="AA101" s="87"/>
      <c r="AB101" s="87"/>
      <c r="AM101" s="87"/>
      <c r="AN101" s="87"/>
      <c r="AO101" s="87"/>
      <c r="AP101" s="87"/>
      <c r="AQ101" s="87"/>
      <c r="AR101" s="87"/>
      <c r="BC101" s="87"/>
      <c r="BD101" s="87"/>
      <c r="BE101" s="87"/>
      <c r="BF101" s="87"/>
      <c r="BG101" s="87"/>
      <c r="BH101" s="87"/>
      <c r="CE101" s="26"/>
      <c r="CF101" s="26"/>
      <c r="CG101" s="26"/>
      <c r="CH101" s="26" t="str">
        <f>_xll.ReferenceParams(CG101,$CH$6 )</f>
        <v/>
      </c>
      <c r="CI101" s="35" t="str">
        <f>_xll.ReferenceParams(CG101,$CI$6 )</f>
        <v/>
      </c>
      <c r="CJ101" s="35" t="str">
        <f>_xll.ReferenceParams(CG101,$CJ$6)</f>
        <v/>
      </c>
      <c r="CK101" s="26" t="str">
        <f t="shared" si="39"/>
        <v/>
      </c>
      <c r="CL101" s="26"/>
      <c r="DL101" s="1"/>
    </row>
    <row r="102" spans="4:116" x14ac:dyDescent="0.3">
      <c r="D102" s="28">
        <f t="shared" si="38"/>
        <v>45923</v>
      </c>
      <c r="E102" s="86">
        <f>_xll.CbondsClosePrice($B$1,D102,$B$27)</f>
        <v>94.91</v>
      </c>
      <c r="F102" s="131">
        <f t="shared" si="37"/>
        <v>94.91</v>
      </c>
      <c r="O102" s="1"/>
      <c r="W102" s="87"/>
      <c r="X102" s="87"/>
      <c r="Y102" s="87"/>
      <c r="Z102" s="87"/>
      <c r="AA102" s="87"/>
      <c r="AB102" s="87"/>
      <c r="AM102" s="87"/>
      <c r="AN102" s="87"/>
      <c r="AO102" s="87"/>
      <c r="AP102" s="87"/>
      <c r="AQ102" s="87"/>
      <c r="AR102" s="87"/>
      <c r="BC102" s="87"/>
      <c r="BD102" s="87"/>
      <c r="BE102" s="87"/>
      <c r="BF102" s="87"/>
      <c r="BG102" s="87"/>
      <c r="BH102" s="87"/>
      <c r="CE102" s="26"/>
      <c r="CF102" s="26"/>
      <c r="CG102" s="26"/>
      <c r="CH102" s="26" t="str">
        <f>_xll.ReferenceParams(CG102,$CH$6 )</f>
        <v/>
      </c>
      <c r="CI102" s="35" t="str">
        <f>_xll.ReferenceParams(CG102,$CI$6 )</f>
        <v/>
      </c>
      <c r="CJ102" s="35" t="str">
        <f>_xll.ReferenceParams(CG102,$CJ$6)</f>
        <v/>
      </c>
      <c r="CK102" s="26" t="str">
        <f t="shared" si="39"/>
        <v/>
      </c>
      <c r="CL102" s="26"/>
      <c r="DL102" s="1"/>
    </row>
    <row r="103" spans="4:116" x14ac:dyDescent="0.3">
      <c r="D103" s="28">
        <f t="shared" si="38"/>
        <v>45922</v>
      </c>
      <c r="E103" s="86">
        <f>_xll.CbondsClosePrice($B$1,D103,$B$27)</f>
        <v>94.94</v>
      </c>
      <c r="F103" s="131">
        <f t="shared" si="37"/>
        <v>94.94</v>
      </c>
      <c r="O103" s="1"/>
      <c r="W103" s="87"/>
      <c r="X103" s="87"/>
      <c r="Y103" s="87"/>
      <c r="Z103" s="87"/>
      <c r="AA103" s="87"/>
      <c r="AB103" s="87"/>
      <c r="AM103" s="87"/>
      <c r="AN103" s="87"/>
      <c r="AO103" s="87"/>
      <c r="AP103" s="87"/>
      <c r="AQ103" s="87"/>
      <c r="AR103" s="87"/>
      <c r="BC103" s="87"/>
      <c r="BD103" s="87"/>
      <c r="BE103" s="87"/>
      <c r="BF103" s="87"/>
      <c r="BG103" s="87"/>
      <c r="BH103" s="87"/>
      <c r="CE103" s="26"/>
      <c r="CF103" s="26"/>
      <c r="CG103" s="26"/>
      <c r="CH103" s="26" t="str">
        <f>_xll.ReferenceParams(CG103,$CH$6 )</f>
        <v/>
      </c>
      <c r="CI103" s="35" t="str">
        <f>_xll.ReferenceParams(CG103,$CI$6 )</f>
        <v/>
      </c>
      <c r="CJ103" s="35" t="str">
        <f>_xll.ReferenceParams(CG103,$CJ$6)</f>
        <v/>
      </c>
      <c r="CK103" s="26" t="str">
        <f t="shared" ref="CK103:CK134" si="40">IF(CG103 = "","",IF(AND(CH103="В обращении",CI103&lt;=$B$2,CJ103 = "Облигация"),1,0))</f>
        <v/>
      </c>
      <c r="CL103" s="26"/>
      <c r="DL103" s="1"/>
    </row>
    <row r="104" spans="4:116" x14ac:dyDescent="0.3">
      <c r="D104" s="28">
        <f t="shared" si="38"/>
        <v>45921</v>
      </c>
      <c r="E104" s="86" t="str">
        <f>_xll.CbondsClosePrice($B$1,D104,$B$27)</f>
        <v>Нет данных</v>
      </c>
      <c r="F104" s="131">
        <f t="shared" si="37"/>
        <v>94.82</v>
      </c>
      <c r="O104" s="1"/>
      <c r="W104" s="87"/>
      <c r="X104" s="87"/>
      <c r="Y104" s="87"/>
      <c r="Z104" s="87"/>
      <c r="AA104" s="87"/>
      <c r="AB104" s="87"/>
      <c r="AM104" s="87"/>
      <c r="AN104" s="87"/>
      <c r="AO104" s="87"/>
      <c r="AP104" s="87"/>
      <c r="AQ104" s="87"/>
      <c r="AR104" s="87"/>
      <c r="BC104" s="87"/>
      <c r="BD104" s="87"/>
      <c r="BE104" s="87"/>
      <c r="BF104" s="87"/>
      <c r="BG104" s="87"/>
      <c r="BH104" s="87"/>
      <c r="CE104" s="26"/>
      <c r="CF104" s="26"/>
      <c r="CG104" s="26"/>
      <c r="CH104" s="26" t="str">
        <f>_xll.ReferenceParams(CG104,$CH$6 )</f>
        <v/>
      </c>
      <c r="CI104" s="35" t="str">
        <f>_xll.ReferenceParams(CG104,$CI$6 )</f>
        <v/>
      </c>
      <c r="CJ104" s="35" t="str">
        <f>_xll.ReferenceParams(CG104,$CJ$6)</f>
        <v/>
      </c>
      <c r="CK104" s="26" t="str">
        <f t="shared" si="40"/>
        <v/>
      </c>
      <c r="CL104" s="26"/>
      <c r="DL104" s="1"/>
    </row>
    <row r="105" spans="4:116" x14ac:dyDescent="0.3">
      <c r="D105" s="28">
        <f t="shared" si="38"/>
        <v>45920</v>
      </c>
      <c r="E105" s="86" t="str">
        <f>_xll.CbondsClosePrice($B$1,D105,$B$27)</f>
        <v>Нет данных</v>
      </c>
      <c r="F105" s="131">
        <f t="shared" si="37"/>
        <v>94.82</v>
      </c>
      <c r="O105" s="1"/>
      <c r="W105" s="87"/>
      <c r="X105" s="87"/>
      <c r="Y105" s="87"/>
      <c r="Z105" s="87"/>
      <c r="AA105" s="87"/>
      <c r="AB105" s="87"/>
      <c r="AM105" s="87"/>
      <c r="AN105" s="87"/>
      <c r="AO105" s="87"/>
      <c r="AP105" s="87"/>
      <c r="AQ105" s="87"/>
      <c r="AR105" s="87"/>
      <c r="BC105" s="87"/>
      <c r="BD105" s="87"/>
      <c r="BE105" s="87"/>
      <c r="BF105" s="87"/>
      <c r="BG105" s="87"/>
      <c r="BH105" s="87"/>
      <c r="CE105" s="26"/>
      <c r="CF105" s="26"/>
      <c r="CG105" s="26"/>
      <c r="CH105" s="26" t="str">
        <f>_xll.ReferenceParams(CG105,$CH$6 )</f>
        <v/>
      </c>
      <c r="CI105" s="35" t="str">
        <f>_xll.ReferenceParams(CG105,$CI$6 )</f>
        <v/>
      </c>
      <c r="CJ105" s="35" t="str">
        <f>_xll.ReferenceParams(CG105,$CJ$6)</f>
        <v/>
      </c>
      <c r="CK105" s="26" t="str">
        <f t="shared" si="40"/>
        <v/>
      </c>
      <c r="CL105" s="26"/>
      <c r="DL105" s="1"/>
    </row>
    <row r="106" spans="4:116" x14ac:dyDescent="0.3">
      <c r="D106" s="28">
        <f t="shared" si="38"/>
        <v>45919</v>
      </c>
      <c r="E106" s="86">
        <f>_xll.CbondsClosePrice($B$1,D106,$B$27)</f>
        <v>94.82</v>
      </c>
      <c r="F106" s="131">
        <f t="shared" si="37"/>
        <v>94.82</v>
      </c>
      <c r="O106" s="1"/>
      <c r="W106" s="87"/>
      <c r="X106" s="87"/>
      <c r="Y106" s="87"/>
      <c r="Z106" s="87"/>
      <c r="AA106" s="87"/>
      <c r="AB106" s="87"/>
      <c r="AM106" s="87"/>
      <c r="AN106" s="87"/>
      <c r="AO106" s="87"/>
      <c r="AP106" s="87"/>
      <c r="AQ106" s="87"/>
      <c r="AR106" s="87"/>
      <c r="BC106" s="87"/>
      <c r="BD106" s="87"/>
      <c r="BE106" s="87"/>
      <c r="BF106" s="87"/>
      <c r="BG106" s="87"/>
      <c r="BH106" s="87"/>
      <c r="CE106" s="26"/>
      <c r="CF106" s="26"/>
      <c r="CG106" s="26"/>
      <c r="CH106" s="26" t="str">
        <f>_xll.ReferenceParams(CG106,$CH$6 )</f>
        <v/>
      </c>
      <c r="CI106" s="35" t="str">
        <f>_xll.ReferenceParams(CG106,$CI$6 )</f>
        <v/>
      </c>
      <c r="CJ106" s="35" t="str">
        <f>_xll.ReferenceParams(CG106,$CJ$6)</f>
        <v/>
      </c>
      <c r="CK106" s="26" t="str">
        <f t="shared" si="40"/>
        <v/>
      </c>
      <c r="CL106" s="26"/>
      <c r="DL106" s="1"/>
    </row>
    <row r="107" spans="4:116" x14ac:dyDescent="0.3">
      <c r="D107" s="28">
        <f t="shared" si="38"/>
        <v>45918</v>
      </c>
      <c r="E107" s="86">
        <f>_xll.CbondsClosePrice($B$1,D107,$B$27)</f>
        <v>94.91</v>
      </c>
      <c r="F107" s="131">
        <f t="shared" si="37"/>
        <v>94.91</v>
      </c>
      <c r="O107" s="1"/>
      <c r="W107" s="87"/>
      <c r="X107" s="87"/>
      <c r="Y107" s="87"/>
      <c r="Z107" s="87"/>
      <c r="AA107" s="87"/>
      <c r="AB107" s="87"/>
      <c r="AM107" s="87"/>
      <c r="AN107" s="87"/>
      <c r="AO107" s="87"/>
      <c r="AP107" s="87"/>
      <c r="AQ107" s="87"/>
      <c r="AR107" s="87"/>
      <c r="BC107" s="87"/>
      <c r="BD107" s="87"/>
      <c r="BE107" s="87"/>
      <c r="BF107" s="87"/>
      <c r="BG107" s="87"/>
      <c r="BH107" s="87"/>
      <c r="CE107" s="26"/>
      <c r="CF107" s="26"/>
      <c r="CG107" s="26"/>
      <c r="CH107" s="26" t="str">
        <f>_xll.ReferenceParams(CG107,$CH$6 )</f>
        <v/>
      </c>
      <c r="CI107" s="35" t="str">
        <f>_xll.ReferenceParams(CG107,$CI$6 )</f>
        <v/>
      </c>
      <c r="CJ107" s="35" t="str">
        <f>_xll.ReferenceParams(CG107,$CJ$6)</f>
        <v/>
      </c>
      <c r="CK107" s="26" t="str">
        <f t="shared" si="40"/>
        <v/>
      </c>
      <c r="CL107" s="26"/>
      <c r="DL107" s="1"/>
    </row>
    <row r="108" spans="4:116" x14ac:dyDescent="0.3">
      <c r="D108" s="28">
        <f t="shared" si="38"/>
        <v>45917</v>
      </c>
      <c r="E108" s="86">
        <f>_xll.CbondsClosePrice($B$1,D108,$B$27)</f>
        <v>94.96</v>
      </c>
      <c r="F108" s="131">
        <f t="shared" si="37"/>
        <v>94.96</v>
      </c>
      <c r="O108" s="1"/>
      <c r="W108" s="87"/>
      <c r="X108" s="87"/>
      <c r="Y108" s="87"/>
      <c r="Z108" s="87"/>
      <c r="AA108" s="87"/>
      <c r="AB108" s="87"/>
      <c r="AM108" s="87"/>
      <c r="AN108" s="87"/>
      <c r="AO108" s="87"/>
      <c r="AP108" s="87"/>
      <c r="AQ108" s="87"/>
      <c r="AR108" s="87"/>
      <c r="BC108" s="87"/>
      <c r="BD108" s="87"/>
      <c r="BE108" s="87"/>
      <c r="BF108" s="87"/>
      <c r="BG108" s="87"/>
      <c r="BH108" s="87"/>
      <c r="CE108" s="26"/>
      <c r="CF108" s="26"/>
      <c r="CG108" s="26"/>
      <c r="CH108" s="26" t="str">
        <f>_xll.ReferenceParams(CG108,$CH$6 )</f>
        <v/>
      </c>
      <c r="CI108" s="35" t="str">
        <f>_xll.ReferenceParams(CG108,$CI$6 )</f>
        <v/>
      </c>
      <c r="CJ108" s="35" t="str">
        <f>_xll.ReferenceParams(CG108,$CJ$6)</f>
        <v/>
      </c>
      <c r="CK108" s="26" t="str">
        <f t="shared" si="40"/>
        <v/>
      </c>
      <c r="CL108" s="26"/>
      <c r="DL108" s="1"/>
    </row>
    <row r="109" spans="4:116" x14ac:dyDescent="0.3">
      <c r="D109" s="28">
        <f t="shared" si="38"/>
        <v>45916</v>
      </c>
      <c r="E109" s="86">
        <f>_xll.CbondsClosePrice($B$1,D109,$B$27)</f>
        <v>95</v>
      </c>
      <c r="F109" s="131">
        <f t="shared" si="37"/>
        <v>95</v>
      </c>
      <c r="O109" s="1"/>
      <c r="W109" s="87"/>
      <c r="X109" s="87"/>
      <c r="Y109" s="87"/>
      <c r="Z109" s="87"/>
      <c r="AA109" s="87"/>
      <c r="AB109" s="87"/>
      <c r="AM109" s="87"/>
      <c r="AN109" s="87"/>
      <c r="AO109" s="87"/>
      <c r="AP109" s="87"/>
      <c r="AQ109" s="87"/>
      <c r="AR109" s="87"/>
      <c r="BC109" s="87"/>
      <c r="BD109" s="87"/>
      <c r="BE109" s="87"/>
      <c r="BF109" s="87"/>
      <c r="BG109" s="87"/>
      <c r="BH109" s="87"/>
      <c r="CE109" s="26"/>
      <c r="CF109" s="26"/>
      <c r="CG109" s="26"/>
      <c r="CH109" s="26" t="str">
        <f>_xll.ReferenceParams(CG109,$CH$6 )</f>
        <v/>
      </c>
      <c r="CI109" s="35" t="str">
        <f>_xll.ReferenceParams(CG109,$CI$6 )</f>
        <v/>
      </c>
      <c r="CJ109" s="35" t="str">
        <f>_xll.ReferenceParams(CG109,$CJ$6)</f>
        <v/>
      </c>
      <c r="CK109" s="26" t="str">
        <f t="shared" si="40"/>
        <v/>
      </c>
      <c r="CL109" s="26"/>
      <c r="DL109" s="1"/>
    </row>
    <row r="110" spans="4:116" x14ac:dyDescent="0.3">
      <c r="D110" s="28">
        <f t="shared" si="38"/>
        <v>45915</v>
      </c>
      <c r="E110" s="86">
        <f>_xll.CbondsClosePrice($B$1,D110,$B$27)</f>
        <v>94.98</v>
      </c>
      <c r="F110" s="131">
        <f t="shared" si="37"/>
        <v>94.98</v>
      </c>
      <c r="O110" s="1"/>
      <c r="W110" s="87"/>
      <c r="X110" s="87"/>
      <c r="Y110" s="87"/>
      <c r="Z110" s="87"/>
      <c r="AA110" s="87"/>
      <c r="AB110" s="87"/>
      <c r="AM110" s="87"/>
      <c r="AN110" s="87"/>
      <c r="AO110" s="87"/>
      <c r="AP110" s="87"/>
      <c r="AQ110" s="87"/>
      <c r="AR110" s="87"/>
      <c r="BC110" s="87"/>
      <c r="BD110" s="87"/>
      <c r="BE110" s="87"/>
      <c r="BF110" s="87"/>
      <c r="BG110" s="87"/>
      <c r="BH110" s="87"/>
      <c r="CE110" s="26"/>
      <c r="CF110" s="26"/>
      <c r="CG110" s="26"/>
      <c r="CH110" s="26" t="str">
        <f>_xll.ReferenceParams(CG110,$CH$6 )</f>
        <v/>
      </c>
      <c r="CI110" s="35" t="str">
        <f>_xll.ReferenceParams(CG110,$CI$6 )</f>
        <v/>
      </c>
      <c r="CJ110" s="35" t="str">
        <f>_xll.ReferenceParams(CG110,$CJ$6)</f>
        <v/>
      </c>
      <c r="CK110" s="26" t="str">
        <f t="shared" si="40"/>
        <v/>
      </c>
      <c r="CL110" s="26"/>
      <c r="DL110" s="1"/>
    </row>
    <row r="111" spans="4:116" x14ac:dyDescent="0.3">
      <c r="D111" s="28">
        <f t="shared" si="38"/>
        <v>45914</v>
      </c>
      <c r="E111" s="86" t="str">
        <f>_xll.CbondsClosePrice($B$1,D111,$B$27)</f>
        <v>Нет данных</v>
      </c>
      <c r="F111" s="131">
        <f t="shared" si="37"/>
        <v>95.15</v>
      </c>
      <c r="O111" s="1"/>
      <c r="W111" s="87"/>
      <c r="X111" s="87"/>
      <c r="Y111" s="87"/>
      <c r="Z111" s="87"/>
      <c r="AA111" s="87"/>
      <c r="AB111" s="87"/>
      <c r="AM111" s="87"/>
      <c r="AN111" s="87"/>
      <c r="AO111" s="87"/>
      <c r="AP111" s="87"/>
      <c r="AQ111" s="87"/>
      <c r="AR111" s="87"/>
      <c r="BC111" s="87"/>
      <c r="BD111" s="87"/>
      <c r="BE111" s="87"/>
      <c r="BF111" s="87"/>
      <c r="BG111" s="87"/>
      <c r="BH111" s="87"/>
      <c r="CE111" s="26"/>
      <c r="CF111" s="26"/>
      <c r="CG111" s="26"/>
      <c r="CH111" s="26" t="str">
        <f>_xll.ReferenceParams(CG111,$CH$6 )</f>
        <v/>
      </c>
      <c r="CI111" s="35" t="str">
        <f>_xll.ReferenceParams(CG111,$CI$6 )</f>
        <v/>
      </c>
      <c r="CJ111" s="35" t="str">
        <f>_xll.ReferenceParams(CG111,$CJ$6)</f>
        <v/>
      </c>
      <c r="CK111" s="26" t="str">
        <f t="shared" si="40"/>
        <v/>
      </c>
      <c r="CL111" s="26"/>
      <c r="DL111" s="1"/>
    </row>
    <row r="112" spans="4:116" x14ac:dyDescent="0.3">
      <c r="D112" s="28">
        <f t="shared" si="38"/>
        <v>45913</v>
      </c>
      <c r="E112" s="86" t="str">
        <f>_xll.CbondsClosePrice($B$1,D112,$B$27)</f>
        <v>Нет данных</v>
      </c>
      <c r="F112" s="131">
        <f t="shared" si="37"/>
        <v>95.15</v>
      </c>
      <c r="O112" s="1"/>
      <c r="W112" s="87"/>
      <c r="X112" s="87"/>
      <c r="Y112" s="87"/>
      <c r="Z112" s="87"/>
      <c r="AA112" s="87"/>
      <c r="AB112" s="87"/>
      <c r="AM112" s="87"/>
      <c r="AN112" s="87"/>
      <c r="AO112" s="87"/>
      <c r="AP112" s="87"/>
      <c r="AQ112" s="87"/>
      <c r="AR112" s="87"/>
      <c r="BC112" s="87"/>
      <c r="BD112" s="87"/>
      <c r="BE112" s="87"/>
      <c r="BF112" s="87"/>
      <c r="BG112" s="87"/>
      <c r="BH112" s="87"/>
      <c r="CE112" s="26"/>
      <c r="CF112" s="26"/>
      <c r="CG112" s="26"/>
      <c r="CH112" s="26" t="str">
        <f>_xll.ReferenceParams(CG112,$CH$6 )</f>
        <v/>
      </c>
      <c r="CI112" s="35" t="str">
        <f>_xll.ReferenceParams(CG112,$CI$6 )</f>
        <v/>
      </c>
      <c r="CJ112" s="35" t="str">
        <f>_xll.ReferenceParams(CG112,$CJ$6)</f>
        <v/>
      </c>
      <c r="CK112" s="26" t="str">
        <f t="shared" si="40"/>
        <v/>
      </c>
      <c r="CL112" s="26"/>
      <c r="DL112" s="1"/>
    </row>
    <row r="113" spans="4:116" x14ac:dyDescent="0.3">
      <c r="D113" s="28">
        <f t="shared" si="38"/>
        <v>45912</v>
      </c>
      <c r="E113" s="86">
        <f>_xll.CbondsClosePrice($B$1,D113,$B$27)</f>
        <v>95.15</v>
      </c>
      <c r="F113" s="131">
        <f t="shared" si="37"/>
        <v>95.15</v>
      </c>
      <c r="O113" s="1"/>
      <c r="W113" s="87"/>
      <c r="X113" s="87"/>
      <c r="Y113" s="87"/>
      <c r="Z113" s="87"/>
      <c r="AA113" s="87"/>
      <c r="AB113" s="87"/>
      <c r="AM113" s="87"/>
      <c r="AN113" s="87"/>
      <c r="AO113" s="87"/>
      <c r="AP113" s="87"/>
      <c r="AQ113" s="87"/>
      <c r="AR113" s="87"/>
      <c r="BC113" s="87"/>
      <c r="BD113" s="87"/>
      <c r="BE113" s="87"/>
      <c r="BF113" s="87"/>
      <c r="BG113" s="87"/>
      <c r="BH113" s="87"/>
      <c r="CE113" s="26"/>
      <c r="CF113" s="26"/>
      <c r="CG113" s="26"/>
      <c r="CH113" s="26" t="str">
        <f>_xll.ReferenceParams(CG113,$CH$6 )</f>
        <v/>
      </c>
      <c r="CI113" s="35" t="str">
        <f>_xll.ReferenceParams(CG113,$CI$6 )</f>
        <v/>
      </c>
      <c r="CJ113" s="35" t="str">
        <f>_xll.ReferenceParams(CG113,$CJ$6)</f>
        <v/>
      </c>
      <c r="CK113" s="26" t="str">
        <f t="shared" si="40"/>
        <v/>
      </c>
      <c r="CL113" s="26"/>
      <c r="DL113" s="1"/>
    </row>
    <row r="114" spans="4:116" x14ac:dyDescent="0.3">
      <c r="D114" s="28">
        <f t="shared" si="38"/>
        <v>45911</v>
      </c>
      <c r="E114" s="86">
        <f>_xll.CbondsClosePrice($B$1,D114,$B$27)</f>
        <v>95.19</v>
      </c>
      <c r="F114" s="131">
        <f t="shared" si="37"/>
        <v>95.19</v>
      </c>
      <c r="O114" s="1"/>
      <c r="W114" s="87"/>
      <c r="X114" s="87"/>
      <c r="Y114" s="87"/>
      <c r="Z114" s="87"/>
      <c r="AA114" s="87"/>
      <c r="AB114" s="87"/>
      <c r="AM114" s="87"/>
      <c r="AN114" s="87"/>
      <c r="AO114" s="87"/>
      <c r="AP114" s="87"/>
      <c r="AQ114" s="87"/>
      <c r="AR114" s="87"/>
      <c r="BC114" s="87"/>
      <c r="BD114" s="87"/>
      <c r="BE114" s="87"/>
      <c r="BF114" s="87"/>
      <c r="BG114" s="87"/>
      <c r="BH114" s="87"/>
      <c r="CE114" s="26"/>
      <c r="CF114" s="26"/>
      <c r="CG114" s="26"/>
      <c r="CH114" s="26" t="str">
        <f>_xll.ReferenceParams(CG114,$CH$6 )</f>
        <v/>
      </c>
      <c r="CI114" s="35" t="str">
        <f>_xll.ReferenceParams(CG114,$CI$6 )</f>
        <v/>
      </c>
      <c r="CJ114" s="35" t="str">
        <f>_xll.ReferenceParams(CG114,$CJ$6)</f>
        <v/>
      </c>
      <c r="CK114" s="26" t="str">
        <f t="shared" si="40"/>
        <v/>
      </c>
      <c r="CL114" s="26"/>
      <c r="DL114" s="1"/>
    </row>
    <row r="115" spans="4:116" x14ac:dyDescent="0.3">
      <c r="D115" s="28">
        <f t="shared" si="38"/>
        <v>45910</v>
      </c>
      <c r="E115" s="86">
        <f>_xll.CbondsClosePrice($B$1,D115,$B$27)</f>
        <v>95.19</v>
      </c>
      <c r="F115" s="131">
        <f t="shared" si="37"/>
        <v>95.19</v>
      </c>
      <c r="O115" s="1"/>
      <c r="W115" s="87"/>
      <c r="X115" s="87"/>
      <c r="Y115" s="87"/>
      <c r="Z115" s="87"/>
      <c r="AA115" s="87"/>
      <c r="AB115" s="87"/>
      <c r="AM115" s="87"/>
      <c r="AN115" s="87"/>
      <c r="AO115" s="87"/>
      <c r="AP115" s="87"/>
      <c r="AQ115" s="87"/>
      <c r="AR115" s="87"/>
      <c r="BC115" s="87"/>
      <c r="BD115" s="87"/>
      <c r="BE115" s="87"/>
      <c r="BF115" s="87"/>
      <c r="BG115" s="87"/>
      <c r="BH115" s="87"/>
      <c r="CE115" s="26"/>
      <c r="CF115" s="26"/>
      <c r="CG115" s="26"/>
      <c r="CH115" s="26" t="str">
        <f>_xll.ReferenceParams(CG115,$CH$6 )</f>
        <v/>
      </c>
      <c r="CI115" s="35" t="str">
        <f>_xll.ReferenceParams(CG115,$CI$6 )</f>
        <v/>
      </c>
      <c r="CJ115" s="35" t="str">
        <f>_xll.ReferenceParams(CG115,$CJ$6)</f>
        <v/>
      </c>
      <c r="CK115" s="26" t="str">
        <f t="shared" si="40"/>
        <v/>
      </c>
      <c r="CL115" s="26"/>
      <c r="DL115" s="1"/>
    </row>
    <row r="116" spans="4:116" x14ac:dyDescent="0.3">
      <c r="D116" s="28">
        <f t="shared" si="38"/>
        <v>45909</v>
      </c>
      <c r="E116" s="86">
        <f>_xll.CbondsClosePrice($B$1,D116,$B$27)</f>
        <v>95.2</v>
      </c>
      <c r="F116" s="131">
        <f t="shared" si="37"/>
        <v>95.2</v>
      </c>
      <c r="O116" s="1"/>
      <c r="W116" s="87"/>
      <c r="X116" s="87"/>
      <c r="Y116" s="87"/>
      <c r="Z116" s="87"/>
      <c r="AA116" s="87"/>
      <c r="AB116" s="87"/>
      <c r="AM116" s="87"/>
      <c r="AN116" s="87"/>
      <c r="AO116" s="87"/>
      <c r="AP116" s="87"/>
      <c r="AQ116" s="87"/>
      <c r="AR116" s="87"/>
      <c r="BC116" s="87"/>
      <c r="BD116" s="87"/>
      <c r="BE116" s="87"/>
      <c r="BF116" s="87"/>
      <c r="BG116" s="87"/>
      <c r="BH116" s="87"/>
      <c r="CE116" s="26"/>
      <c r="CF116" s="26"/>
      <c r="CG116" s="26"/>
      <c r="CH116" s="26" t="str">
        <f>_xll.ReferenceParams(CG116,$CH$6 )</f>
        <v/>
      </c>
      <c r="CI116" s="35" t="str">
        <f>_xll.ReferenceParams(CG116,$CI$6 )</f>
        <v/>
      </c>
      <c r="CJ116" s="35" t="str">
        <f>_xll.ReferenceParams(CG116,$CJ$6)</f>
        <v/>
      </c>
      <c r="CK116" s="26" t="str">
        <f t="shared" si="40"/>
        <v/>
      </c>
      <c r="CL116" s="26"/>
      <c r="DL116" s="1"/>
    </row>
    <row r="117" spans="4:116" x14ac:dyDescent="0.3">
      <c r="D117" s="28">
        <f t="shared" si="38"/>
        <v>45908</v>
      </c>
      <c r="E117" s="86">
        <f>_xll.CbondsClosePrice($B$1,D117,$B$27)</f>
        <v>94.98</v>
      </c>
      <c r="F117" s="131">
        <f t="shared" si="37"/>
        <v>94.98</v>
      </c>
      <c r="O117" s="1"/>
      <c r="W117" s="87"/>
      <c r="X117" s="87"/>
      <c r="Y117" s="87"/>
      <c r="Z117" s="87"/>
      <c r="AA117" s="87"/>
      <c r="AB117" s="87"/>
      <c r="AM117" s="87"/>
      <c r="AN117" s="87"/>
      <c r="AO117" s="87"/>
      <c r="AP117" s="87"/>
      <c r="AQ117" s="87"/>
      <c r="AR117" s="87"/>
      <c r="BC117" s="87"/>
      <c r="BD117" s="87"/>
      <c r="BE117" s="87"/>
      <c r="BF117" s="87"/>
      <c r="BG117" s="87"/>
      <c r="BH117" s="87"/>
      <c r="CE117" s="26"/>
      <c r="CF117" s="26"/>
      <c r="CG117" s="26"/>
      <c r="CH117" s="26" t="str">
        <f>_xll.ReferenceParams(CG117,$CH$6 )</f>
        <v/>
      </c>
      <c r="CI117" s="35" t="str">
        <f>_xll.ReferenceParams(CG117,$CI$6 )</f>
        <v/>
      </c>
      <c r="CJ117" s="35" t="str">
        <f>_xll.ReferenceParams(CG117,$CJ$6)</f>
        <v/>
      </c>
      <c r="CK117" s="26" t="str">
        <f t="shared" si="40"/>
        <v/>
      </c>
      <c r="CL117" s="26"/>
      <c r="DL117" s="1"/>
    </row>
    <row r="118" spans="4:116" x14ac:dyDescent="0.3">
      <c r="D118" s="28">
        <f t="shared" si="38"/>
        <v>45907</v>
      </c>
      <c r="E118" s="86" t="str">
        <f>_xll.CbondsClosePrice($B$1,D118,$B$27)</f>
        <v>Нет данных</v>
      </c>
      <c r="F118" s="131">
        <f t="shared" si="37"/>
        <v>95.09</v>
      </c>
      <c r="O118" s="1"/>
      <c r="W118" s="87"/>
      <c r="X118" s="87"/>
      <c r="Y118" s="87"/>
      <c r="Z118" s="87"/>
      <c r="AA118" s="87"/>
      <c r="AB118" s="87"/>
      <c r="AM118" s="87"/>
      <c r="AN118" s="87"/>
      <c r="AO118" s="87"/>
      <c r="AP118" s="87"/>
      <c r="AQ118" s="87"/>
      <c r="AR118" s="87"/>
      <c r="BC118" s="87"/>
      <c r="BD118" s="87"/>
      <c r="BE118" s="87"/>
      <c r="BF118" s="87"/>
      <c r="BG118" s="87"/>
      <c r="BH118" s="87"/>
      <c r="CE118" s="26"/>
      <c r="CF118" s="26"/>
      <c r="CG118" s="26"/>
      <c r="CH118" s="26" t="str">
        <f>_xll.ReferenceParams(CG118,$CH$6 )</f>
        <v/>
      </c>
      <c r="CI118" s="35" t="str">
        <f>_xll.ReferenceParams(CG118,$CI$6 )</f>
        <v/>
      </c>
      <c r="CJ118" s="35" t="str">
        <f>_xll.ReferenceParams(CG118,$CJ$6)</f>
        <v/>
      </c>
      <c r="CK118" s="26" t="str">
        <f t="shared" si="40"/>
        <v/>
      </c>
      <c r="CL118" s="26"/>
      <c r="DL118" s="1"/>
    </row>
    <row r="119" spans="4:116" x14ac:dyDescent="0.3">
      <c r="D119" s="28">
        <f t="shared" si="38"/>
        <v>45906</v>
      </c>
      <c r="E119" s="86" t="str">
        <f>_xll.CbondsClosePrice($B$1,D119,$B$27)</f>
        <v>Нет данных</v>
      </c>
      <c r="F119" s="131">
        <f t="shared" si="37"/>
        <v>95.09</v>
      </c>
      <c r="O119" s="1"/>
      <c r="W119" s="87"/>
      <c r="X119" s="87"/>
      <c r="Y119" s="87"/>
      <c r="Z119" s="87"/>
      <c r="AA119" s="87"/>
      <c r="AB119" s="87"/>
      <c r="AM119" s="87"/>
      <c r="AN119" s="87"/>
      <c r="AO119" s="87"/>
      <c r="AP119" s="87"/>
      <c r="AQ119" s="87"/>
      <c r="AR119" s="87"/>
      <c r="BC119" s="87"/>
      <c r="BD119" s="87"/>
      <c r="BE119" s="87"/>
      <c r="BF119" s="87"/>
      <c r="BG119" s="87"/>
      <c r="BH119" s="87"/>
      <c r="CE119" s="26"/>
      <c r="CF119" s="26"/>
      <c r="CG119" s="26"/>
      <c r="CH119" s="26" t="str">
        <f>_xll.ReferenceParams(CG119,$CH$6 )</f>
        <v/>
      </c>
      <c r="CI119" s="35" t="str">
        <f>_xll.ReferenceParams(CG119,$CI$6 )</f>
        <v/>
      </c>
      <c r="CJ119" s="35" t="str">
        <f>_xll.ReferenceParams(CG119,$CJ$6)</f>
        <v/>
      </c>
      <c r="CK119" s="26" t="str">
        <f t="shared" si="40"/>
        <v/>
      </c>
      <c r="CL119" s="26"/>
      <c r="DL119" s="1"/>
    </row>
    <row r="120" spans="4:116" x14ac:dyDescent="0.3">
      <c r="D120" s="28">
        <f t="shared" si="38"/>
        <v>45905</v>
      </c>
      <c r="E120" s="86">
        <f>_xll.CbondsClosePrice($B$1,D120,$B$27)</f>
        <v>95.09</v>
      </c>
      <c r="F120" s="131">
        <f t="shared" si="37"/>
        <v>95.09</v>
      </c>
      <c r="O120" s="1"/>
      <c r="W120" s="87"/>
      <c r="X120" s="87"/>
      <c r="Y120" s="87"/>
      <c r="Z120" s="87"/>
      <c r="AA120" s="87"/>
      <c r="AB120" s="87"/>
      <c r="AM120" s="87"/>
      <c r="AN120" s="87"/>
      <c r="AO120" s="87"/>
      <c r="AP120" s="87"/>
      <c r="AQ120" s="87"/>
      <c r="AR120" s="87"/>
      <c r="BC120" s="87"/>
      <c r="BD120" s="87"/>
      <c r="BE120" s="87"/>
      <c r="BF120" s="87"/>
      <c r="BG120" s="87"/>
      <c r="BH120" s="87"/>
      <c r="CE120" s="26"/>
      <c r="CF120" s="26"/>
      <c r="CG120" s="26"/>
      <c r="CH120" s="26" t="str">
        <f>_xll.ReferenceParams(CG120,$CH$6 )</f>
        <v/>
      </c>
      <c r="CI120" s="35" t="str">
        <f>_xll.ReferenceParams(CG120,$CI$6 )</f>
        <v/>
      </c>
      <c r="CJ120" s="35" t="str">
        <f>_xll.ReferenceParams(CG120,$CJ$6)</f>
        <v/>
      </c>
      <c r="CK120" s="26" t="str">
        <f t="shared" si="40"/>
        <v/>
      </c>
      <c r="CL120" s="26"/>
      <c r="DL120" s="1"/>
    </row>
    <row r="121" spans="4:116" x14ac:dyDescent="0.3">
      <c r="D121" s="28">
        <f t="shared" si="38"/>
        <v>45904</v>
      </c>
      <c r="E121" s="86">
        <f>_xll.CbondsClosePrice($B$1,D121,$B$27)</f>
        <v>95.05</v>
      </c>
      <c r="F121" s="131">
        <f t="shared" si="37"/>
        <v>95.05</v>
      </c>
      <c r="O121" s="1"/>
      <c r="W121" s="87"/>
      <c r="X121" s="87"/>
      <c r="Y121" s="87"/>
      <c r="Z121" s="87"/>
      <c r="AA121" s="87"/>
      <c r="AB121" s="87"/>
      <c r="AM121" s="87"/>
      <c r="AN121" s="87"/>
      <c r="AO121" s="87"/>
      <c r="AP121" s="87"/>
      <c r="AQ121" s="87"/>
      <c r="AR121" s="87"/>
      <c r="BC121" s="87"/>
      <c r="BD121" s="87"/>
      <c r="BE121" s="87"/>
      <c r="BF121" s="87"/>
      <c r="BG121" s="87"/>
      <c r="BH121" s="87"/>
      <c r="CE121" s="26"/>
      <c r="CF121" s="26"/>
      <c r="CG121" s="26"/>
      <c r="CH121" s="26" t="str">
        <f>_xll.ReferenceParams(CG121,$CH$6 )</f>
        <v/>
      </c>
      <c r="CI121" s="35" t="str">
        <f>_xll.ReferenceParams(CG121,$CI$6 )</f>
        <v/>
      </c>
      <c r="CJ121" s="35" t="str">
        <f>_xll.ReferenceParams(CG121,$CJ$6)</f>
        <v/>
      </c>
      <c r="CK121" s="26" t="str">
        <f t="shared" si="40"/>
        <v/>
      </c>
      <c r="CL121" s="26"/>
      <c r="DL121" s="1"/>
    </row>
    <row r="122" spans="4:116" x14ac:dyDescent="0.3">
      <c r="D122" s="28">
        <f t="shared" si="38"/>
        <v>45903</v>
      </c>
      <c r="E122" s="86">
        <f>_xll.CbondsClosePrice($B$1,D122,$B$27)</f>
        <v>95.09</v>
      </c>
      <c r="F122" s="131">
        <f t="shared" si="37"/>
        <v>95.09</v>
      </c>
      <c r="O122" s="1"/>
      <c r="W122" s="87"/>
      <c r="X122" s="87"/>
      <c r="Y122" s="87"/>
      <c r="Z122" s="87"/>
      <c r="AA122" s="87"/>
      <c r="AB122" s="87"/>
      <c r="AM122" s="87"/>
      <c r="AN122" s="87"/>
      <c r="AO122" s="87"/>
      <c r="AP122" s="87"/>
      <c r="AQ122" s="87"/>
      <c r="AR122" s="87"/>
      <c r="BC122" s="87"/>
      <c r="BD122" s="87"/>
      <c r="BE122" s="87"/>
      <c r="BF122" s="87"/>
      <c r="BG122" s="87"/>
      <c r="BH122" s="87"/>
      <c r="CE122" s="26"/>
      <c r="CF122" s="26"/>
      <c r="CG122" s="26"/>
      <c r="CH122" s="26" t="str">
        <f>_xll.ReferenceParams(CG122,$CH$6 )</f>
        <v/>
      </c>
      <c r="CI122" s="35" t="str">
        <f>_xll.ReferenceParams(CG122,$CI$6 )</f>
        <v/>
      </c>
      <c r="CJ122" s="35" t="str">
        <f>_xll.ReferenceParams(CG122,$CJ$6)</f>
        <v/>
      </c>
      <c r="CK122" s="26" t="str">
        <f t="shared" si="40"/>
        <v/>
      </c>
      <c r="CL122" s="26"/>
      <c r="DL122" s="1"/>
    </row>
    <row r="123" spans="4:116" x14ac:dyDescent="0.3">
      <c r="D123" s="28">
        <f t="shared" si="38"/>
        <v>45902</v>
      </c>
      <c r="E123" s="86">
        <f>_xll.CbondsClosePrice($B$1,D123,$B$27)</f>
        <v>95.13</v>
      </c>
      <c r="F123" s="131">
        <f t="shared" si="37"/>
        <v>95.13</v>
      </c>
      <c r="O123" s="1"/>
      <c r="W123" s="87"/>
      <c r="X123" s="87"/>
      <c r="Y123" s="87"/>
      <c r="Z123" s="87"/>
      <c r="AA123" s="87"/>
      <c r="AB123" s="87"/>
      <c r="AM123" s="87"/>
      <c r="AN123" s="87"/>
      <c r="AO123" s="87"/>
      <c r="AP123" s="87"/>
      <c r="AQ123" s="87"/>
      <c r="AR123" s="87"/>
      <c r="BC123" s="87"/>
      <c r="BD123" s="87"/>
      <c r="BE123" s="87"/>
      <c r="BF123" s="87"/>
      <c r="BG123" s="87"/>
      <c r="BH123" s="87"/>
      <c r="CE123" s="26"/>
      <c r="CF123" s="26"/>
      <c r="CG123" s="26"/>
      <c r="CH123" s="26" t="str">
        <f>_xll.ReferenceParams(CG123,$CH$6 )</f>
        <v/>
      </c>
      <c r="CI123" s="35" t="str">
        <f>_xll.ReferenceParams(CG123,$CI$6 )</f>
        <v/>
      </c>
      <c r="CJ123" s="35" t="str">
        <f>_xll.ReferenceParams(CG123,$CJ$6)</f>
        <v/>
      </c>
      <c r="CK123" s="26" t="str">
        <f t="shared" si="40"/>
        <v/>
      </c>
      <c r="CL123" s="26"/>
      <c r="DL123" s="1"/>
    </row>
    <row r="124" spans="4:116" x14ac:dyDescent="0.3">
      <c r="D124" s="28">
        <f t="shared" si="38"/>
        <v>45901</v>
      </c>
      <c r="E124" s="86">
        <f>_xll.CbondsClosePrice($B$1,D124,$B$27)</f>
        <v>95.2</v>
      </c>
      <c r="F124" s="131">
        <f t="shared" si="37"/>
        <v>95.2</v>
      </c>
      <c r="O124" s="1"/>
      <c r="W124" s="87"/>
      <c r="X124" s="87"/>
      <c r="Y124" s="87"/>
      <c r="Z124" s="87"/>
      <c r="AA124" s="87"/>
      <c r="AB124" s="87"/>
      <c r="AM124" s="87"/>
      <c r="AN124" s="87"/>
      <c r="AO124" s="87"/>
      <c r="AP124" s="87"/>
      <c r="AQ124" s="87"/>
      <c r="AR124" s="87"/>
      <c r="BC124" s="87"/>
      <c r="BD124" s="87"/>
      <c r="BE124" s="87"/>
      <c r="BF124" s="87"/>
      <c r="BG124" s="87"/>
      <c r="BH124" s="87"/>
      <c r="CE124" s="26"/>
      <c r="CF124" s="26"/>
      <c r="CG124" s="26"/>
      <c r="CH124" s="26" t="str">
        <f>_xll.ReferenceParams(CG124,$CH$6 )</f>
        <v/>
      </c>
      <c r="CI124" s="35" t="str">
        <f>_xll.ReferenceParams(CG124,$CI$6 )</f>
        <v/>
      </c>
      <c r="CJ124" s="35" t="str">
        <f>_xll.ReferenceParams(CG124,$CJ$6)</f>
        <v/>
      </c>
      <c r="CK124" s="26" t="str">
        <f t="shared" si="40"/>
        <v/>
      </c>
      <c r="CL124" s="26"/>
      <c r="DL124" s="1"/>
    </row>
    <row r="125" spans="4:116" x14ac:dyDescent="0.3">
      <c r="D125" s="28">
        <f t="shared" si="38"/>
        <v>45900</v>
      </c>
      <c r="E125" s="86" t="str">
        <f>_xll.CbondsClosePrice($B$1,D125,$B$27)</f>
        <v>Нет данных</v>
      </c>
      <c r="F125" s="131">
        <f t="shared" si="37"/>
        <v>95.44</v>
      </c>
      <c r="O125" s="1"/>
      <c r="W125" s="87"/>
      <c r="X125" s="87"/>
      <c r="Y125" s="87"/>
      <c r="Z125" s="87"/>
      <c r="AA125" s="87"/>
      <c r="AB125" s="87"/>
      <c r="AM125" s="87"/>
      <c r="AN125" s="87"/>
      <c r="AO125" s="87"/>
      <c r="AP125" s="87"/>
      <c r="AQ125" s="87"/>
      <c r="AR125" s="87"/>
      <c r="BC125" s="87"/>
      <c r="BD125" s="87"/>
      <c r="BE125" s="87"/>
      <c r="BF125" s="87"/>
      <c r="BG125" s="87"/>
      <c r="BH125" s="87"/>
      <c r="CE125" s="26"/>
      <c r="CF125" s="26"/>
      <c r="CG125" s="26"/>
      <c r="CH125" s="26" t="str">
        <f>_xll.ReferenceParams(CG125,$CH$6 )</f>
        <v/>
      </c>
      <c r="CI125" s="35" t="str">
        <f>_xll.ReferenceParams(CG125,$CI$6 )</f>
        <v/>
      </c>
      <c r="CJ125" s="35" t="str">
        <f>_xll.ReferenceParams(CG125,$CJ$6)</f>
        <v/>
      </c>
      <c r="CK125" s="26" t="str">
        <f t="shared" si="40"/>
        <v/>
      </c>
      <c r="CL125" s="26"/>
      <c r="DL125" s="1"/>
    </row>
    <row r="126" spans="4:116" x14ac:dyDescent="0.3">
      <c r="D126" s="28">
        <f t="shared" si="38"/>
        <v>45899</v>
      </c>
      <c r="E126" s="86" t="str">
        <f>_xll.CbondsClosePrice($B$1,D126,$B$27)</f>
        <v>Нет данных</v>
      </c>
      <c r="F126" s="131">
        <f t="shared" si="37"/>
        <v>95.44</v>
      </c>
      <c r="O126" s="1"/>
      <c r="W126" s="87"/>
      <c r="X126" s="87"/>
      <c r="Y126" s="87"/>
      <c r="Z126" s="87"/>
      <c r="AA126" s="87"/>
      <c r="AB126" s="87"/>
      <c r="AM126" s="87"/>
      <c r="AN126" s="87"/>
      <c r="AO126" s="87"/>
      <c r="AP126" s="87"/>
      <c r="AQ126" s="87"/>
      <c r="AR126" s="87"/>
      <c r="BC126" s="87"/>
      <c r="BD126" s="87"/>
      <c r="BE126" s="87"/>
      <c r="BF126" s="87"/>
      <c r="BG126" s="87"/>
      <c r="BH126" s="87"/>
      <c r="CE126" s="26"/>
      <c r="CF126" s="26"/>
      <c r="CG126" s="26"/>
      <c r="CH126" s="26" t="str">
        <f>_xll.ReferenceParams(CG126,$CH$6 )</f>
        <v/>
      </c>
      <c r="CI126" s="35" t="str">
        <f>_xll.ReferenceParams(CG126,$CI$6 )</f>
        <v/>
      </c>
      <c r="CJ126" s="35" t="str">
        <f>_xll.ReferenceParams(CG126,$CJ$6)</f>
        <v/>
      </c>
      <c r="CK126" s="26" t="str">
        <f t="shared" si="40"/>
        <v/>
      </c>
      <c r="CL126" s="26"/>
      <c r="DL126" s="1"/>
    </row>
    <row r="127" spans="4:116" x14ac:dyDescent="0.3">
      <c r="D127" s="28">
        <f t="shared" si="38"/>
        <v>45898</v>
      </c>
      <c r="E127" s="86">
        <f>_xll.CbondsClosePrice($B$1,D127,$B$27)</f>
        <v>95.44</v>
      </c>
      <c r="F127" s="131">
        <f t="shared" si="37"/>
        <v>95.44</v>
      </c>
      <c r="O127" s="1"/>
      <c r="W127" s="87"/>
      <c r="X127" s="87"/>
      <c r="Y127" s="87"/>
      <c r="Z127" s="87"/>
      <c r="AA127" s="87"/>
      <c r="AB127" s="87"/>
      <c r="AM127" s="87"/>
      <c r="AN127" s="87"/>
      <c r="AO127" s="87"/>
      <c r="AP127" s="87"/>
      <c r="AQ127" s="87"/>
      <c r="AR127" s="87"/>
      <c r="BC127" s="87"/>
      <c r="BD127" s="87"/>
      <c r="BE127" s="87"/>
      <c r="BF127" s="87"/>
      <c r="BG127" s="87"/>
      <c r="BH127" s="87"/>
      <c r="CE127" s="26"/>
      <c r="CF127" s="26"/>
      <c r="CG127" s="26"/>
      <c r="CH127" s="26" t="str">
        <f>_xll.ReferenceParams(CG127,$CH$6 )</f>
        <v/>
      </c>
      <c r="CI127" s="35" t="str">
        <f>_xll.ReferenceParams(CG127,$CI$6 )</f>
        <v/>
      </c>
      <c r="CJ127" s="35" t="str">
        <f>_xll.ReferenceParams(CG127,$CJ$6)</f>
        <v/>
      </c>
      <c r="CK127" s="26" t="str">
        <f t="shared" si="40"/>
        <v/>
      </c>
      <c r="CL127" s="26"/>
      <c r="DL127" s="1"/>
    </row>
    <row r="128" spans="4:116" x14ac:dyDescent="0.3">
      <c r="D128" s="28">
        <f t="shared" si="38"/>
        <v>45897</v>
      </c>
      <c r="E128" s="86">
        <f>_xll.CbondsClosePrice($B$1,D128,$B$27)</f>
        <v>95.4</v>
      </c>
      <c r="F128" s="131">
        <f t="shared" si="37"/>
        <v>95.4</v>
      </c>
      <c r="O128" s="1"/>
      <c r="W128" s="87"/>
      <c r="X128" s="87"/>
      <c r="Y128" s="87"/>
      <c r="Z128" s="87"/>
      <c r="AA128" s="87"/>
      <c r="AB128" s="87"/>
      <c r="AM128" s="87"/>
      <c r="AN128" s="87"/>
      <c r="AO128" s="87"/>
      <c r="AP128" s="87"/>
      <c r="AQ128" s="87"/>
      <c r="AR128" s="87"/>
      <c r="BC128" s="87"/>
      <c r="BD128" s="87"/>
      <c r="BE128" s="87"/>
      <c r="BF128" s="87"/>
      <c r="BG128" s="87"/>
      <c r="BH128" s="87"/>
      <c r="CE128" s="26"/>
      <c r="CF128" s="26"/>
      <c r="CG128" s="26"/>
      <c r="CH128" s="26" t="str">
        <f>_xll.ReferenceParams(CG128,$CH$6 )</f>
        <v/>
      </c>
      <c r="CI128" s="35" t="str">
        <f>_xll.ReferenceParams(CG128,$CI$6 )</f>
        <v/>
      </c>
      <c r="CJ128" s="35" t="str">
        <f>_xll.ReferenceParams(CG128,$CJ$6)</f>
        <v/>
      </c>
      <c r="CK128" s="26" t="str">
        <f t="shared" si="40"/>
        <v/>
      </c>
      <c r="CL128" s="26"/>
      <c r="DL128" s="1"/>
    </row>
    <row r="129" spans="4:116" x14ac:dyDescent="0.3">
      <c r="D129" s="28">
        <f t="shared" si="38"/>
        <v>45896</v>
      </c>
      <c r="E129" s="86">
        <f>_xll.CbondsClosePrice($B$1,D129,$B$27)</f>
        <v>95.19</v>
      </c>
      <c r="F129" s="131">
        <f t="shared" si="37"/>
        <v>95.19</v>
      </c>
      <c r="O129" s="1"/>
      <c r="W129" s="87"/>
      <c r="X129" s="87"/>
      <c r="Y129" s="87"/>
      <c r="Z129" s="87"/>
      <c r="AA129" s="87"/>
      <c r="AB129" s="87"/>
      <c r="AM129" s="87"/>
      <c r="AN129" s="87"/>
      <c r="AO129" s="87"/>
      <c r="AP129" s="87"/>
      <c r="AQ129" s="87"/>
      <c r="AR129" s="87"/>
      <c r="BC129" s="87"/>
      <c r="BD129" s="87"/>
      <c r="BE129" s="87"/>
      <c r="BF129" s="87"/>
      <c r="BG129" s="87"/>
      <c r="BH129" s="87"/>
      <c r="CE129" s="26"/>
      <c r="CF129" s="26"/>
      <c r="CG129" s="26"/>
      <c r="CH129" s="26" t="str">
        <f>_xll.ReferenceParams(CG129,$CH$6 )</f>
        <v/>
      </c>
      <c r="CI129" s="35" t="str">
        <f>_xll.ReferenceParams(CG129,$CI$6 )</f>
        <v/>
      </c>
      <c r="CJ129" s="35" t="str">
        <f>_xll.ReferenceParams(CG129,$CJ$6)</f>
        <v/>
      </c>
      <c r="CK129" s="26" t="str">
        <f t="shared" si="40"/>
        <v/>
      </c>
      <c r="CL129" s="26"/>
      <c r="DL129" s="1"/>
    </row>
    <row r="130" spans="4:116" x14ac:dyDescent="0.3">
      <c r="D130" s="28">
        <f t="shared" si="38"/>
        <v>45895</v>
      </c>
      <c r="E130" s="86">
        <f>_xll.CbondsClosePrice($B$1,D130,$B$27)</f>
        <v>94.83</v>
      </c>
      <c r="F130" s="131">
        <f t="shared" si="37"/>
        <v>94.83</v>
      </c>
      <c r="O130" s="1"/>
      <c r="W130" s="87"/>
      <c r="X130" s="87"/>
      <c r="Y130" s="87"/>
      <c r="Z130" s="87"/>
      <c r="AA130" s="87"/>
      <c r="AB130" s="87"/>
      <c r="AM130" s="87"/>
      <c r="AN130" s="87"/>
      <c r="AO130" s="87"/>
      <c r="AP130" s="87"/>
      <c r="AQ130" s="87"/>
      <c r="AR130" s="87"/>
      <c r="BC130" s="87"/>
      <c r="BD130" s="87"/>
      <c r="BE130" s="87"/>
      <c r="BF130" s="87"/>
      <c r="BG130" s="87"/>
      <c r="BH130" s="87"/>
      <c r="CE130" s="26"/>
      <c r="CF130" s="26"/>
      <c r="CG130" s="26"/>
      <c r="CH130" s="26" t="str">
        <f>_xll.ReferenceParams(CG130,$CH$6 )</f>
        <v/>
      </c>
      <c r="CI130" s="35" t="str">
        <f>_xll.ReferenceParams(CG130,$CI$6 )</f>
        <v/>
      </c>
      <c r="CJ130" s="35" t="str">
        <f>_xll.ReferenceParams(CG130,$CJ$6)</f>
        <v/>
      </c>
      <c r="CK130" s="26" t="str">
        <f t="shared" si="40"/>
        <v/>
      </c>
      <c r="CL130" s="26"/>
      <c r="DL130" s="1"/>
    </row>
    <row r="131" spans="4:116" x14ac:dyDescent="0.3">
      <c r="D131" s="28">
        <f t="shared" si="38"/>
        <v>45894</v>
      </c>
      <c r="E131" s="86">
        <f>_xll.CbondsClosePrice($B$1,D131,$B$27)</f>
        <v>94.88</v>
      </c>
      <c r="F131" s="131">
        <f t="shared" ref="F131:F194" si="41">IF(IF(AND(E131="",D131=""),"",IF(AND(E131="Нет данных",D131&lt;&gt;""),F132,E131)) = 0,"",IF(AND(E131="",D131=""),"",IF(AND(E131="Нет данных",D131&lt;&gt;""),F132,E131)))</f>
        <v>94.88</v>
      </c>
      <c r="O131" s="1"/>
      <c r="W131" s="87"/>
      <c r="X131" s="87"/>
      <c r="Y131" s="87"/>
      <c r="Z131" s="87"/>
      <c r="AA131" s="87"/>
      <c r="AB131" s="87"/>
      <c r="AM131" s="87"/>
      <c r="AN131" s="87"/>
      <c r="AO131" s="87"/>
      <c r="AP131" s="87"/>
      <c r="AQ131" s="87"/>
      <c r="AR131" s="87"/>
      <c r="BC131" s="87"/>
      <c r="BD131" s="87"/>
      <c r="BE131" s="87"/>
      <c r="BF131" s="87"/>
      <c r="BG131" s="87"/>
      <c r="BH131" s="87"/>
      <c r="CE131" s="26"/>
      <c r="CF131" s="26"/>
      <c r="CG131" s="26"/>
      <c r="CH131" s="26" t="str">
        <f>_xll.ReferenceParams(CG131,$CH$6 )</f>
        <v/>
      </c>
      <c r="CI131" s="35" t="str">
        <f>_xll.ReferenceParams(CG131,$CI$6 )</f>
        <v/>
      </c>
      <c r="CJ131" s="35" t="str">
        <f>_xll.ReferenceParams(CG131,$CJ$6)</f>
        <v/>
      </c>
      <c r="CK131" s="26" t="str">
        <f t="shared" si="40"/>
        <v/>
      </c>
      <c r="CL131" s="26"/>
      <c r="DL131" s="1"/>
    </row>
    <row r="132" spans="4:116" x14ac:dyDescent="0.3">
      <c r="D132" s="28">
        <f t="shared" ref="D132:D195" si="42">D131-1</f>
        <v>45893</v>
      </c>
      <c r="E132" s="86" t="str">
        <f>_xll.CbondsClosePrice($B$1,D132,$B$27)</f>
        <v>Нет данных</v>
      </c>
      <c r="F132" s="131">
        <f t="shared" si="41"/>
        <v>95.1</v>
      </c>
      <c r="O132" s="1"/>
      <c r="W132" s="87"/>
      <c r="X132" s="87"/>
      <c r="Y132" s="87"/>
      <c r="Z132" s="87"/>
      <c r="AA132" s="87"/>
      <c r="AB132" s="87"/>
      <c r="AM132" s="87"/>
      <c r="AN132" s="87"/>
      <c r="AO132" s="87"/>
      <c r="AP132" s="87"/>
      <c r="AQ132" s="87"/>
      <c r="AR132" s="87"/>
      <c r="BC132" s="87"/>
      <c r="BD132" s="87"/>
      <c r="BE132" s="87"/>
      <c r="BF132" s="87"/>
      <c r="BG132" s="87"/>
      <c r="BH132" s="87"/>
      <c r="CE132" s="26"/>
      <c r="CF132" s="26"/>
      <c r="CG132" s="26"/>
      <c r="CH132" s="26" t="str">
        <f>_xll.ReferenceParams(CG132,$CH$6 )</f>
        <v/>
      </c>
      <c r="CI132" s="35" t="str">
        <f>_xll.ReferenceParams(CG132,$CI$6 )</f>
        <v/>
      </c>
      <c r="CJ132" s="35" t="str">
        <f>_xll.ReferenceParams(CG132,$CJ$6)</f>
        <v/>
      </c>
      <c r="CK132" s="26" t="str">
        <f t="shared" si="40"/>
        <v/>
      </c>
      <c r="CL132" s="26"/>
      <c r="DL132" s="1"/>
    </row>
    <row r="133" spans="4:116" x14ac:dyDescent="0.3">
      <c r="D133" s="28">
        <f t="shared" si="42"/>
        <v>45892</v>
      </c>
      <c r="E133" s="86" t="str">
        <f>_xll.CbondsClosePrice($B$1,D133,$B$27)</f>
        <v>Нет данных</v>
      </c>
      <c r="F133" s="131">
        <f t="shared" si="41"/>
        <v>95.1</v>
      </c>
      <c r="O133" s="1"/>
      <c r="W133" s="87"/>
      <c r="X133" s="87"/>
      <c r="Y133" s="87"/>
      <c r="Z133" s="87"/>
      <c r="AA133" s="87"/>
      <c r="AB133" s="87"/>
      <c r="AM133" s="87"/>
      <c r="AN133" s="87"/>
      <c r="AO133" s="87"/>
      <c r="AP133" s="87"/>
      <c r="AQ133" s="87"/>
      <c r="AR133" s="87"/>
      <c r="BC133" s="87"/>
      <c r="BD133" s="87"/>
      <c r="BE133" s="87"/>
      <c r="BF133" s="87"/>
      <c r="BG133" s="87"/>
      <c r="BH133" s="87"/>
      <c r="CE133" s="26"/>
      <c r="CF133" s="26"/>
      <c r="CG133" s="26"/>
      <c r="CH133" s="26" t="str">
        <f>_xll.ReferenceParams(CG133,$CH$6 )</f>
        <v/>
      </c>
      <c r="CI133" s="35" t="str">
        <f>_xll.ReferenceParams(CG133,$CI$6 )</f>
        <v/>
      </c>
      <c r="CJ133" s="35" t="str">
        <f>_xll.ReferenceParams(CG133,$CJ$6)</f>
        <v/>
      </c>
      <c r="CK133" s="26" t="str">
        <f t="shared" si="40"/>
        <v/>
      </c>
      <c r="CL133" s="26"/>
      <c r="DL133" s="1"/>
    </row>
    <row r="134" spans="4:116" x14ac:dyDescent="0.3">
      <c r="D134" s="28">
        <f t="shared" si="42"/>
        <v>45891</v>
      </c>
      <c r="E134" s="86">
        <f>_xll.CbondsClosePrice($B$1,D134,$B$27)</f>
        <v>95.1</v>
      </c>
      <c r="F134" s="131">
        <f t="shared" si="41"/>
        <v>95.1</v>
      </c>
      <c r="O134" s="1"/>
      <c r="W134" s="87"/>
      <c r="X134" s="87"/>
      <c r="Y134" s="87"/>
      <c r="Z134" s="87"/>
      <c r="AA134" s="87"/>
      <c r="AB134" s="87"/>
      <c r="AM134" s="87"/>
      <c r="AN134" s="87"/>
      <c r="AO134" s="87"/>
      <c r="AP134" s="87"/>
      <c r="AQ134" s="87"/>
      <c r="AR134" s="87"/>
      <c r="BC134" s="87"/>
      <c r="BD134" s="87"/>
      <c r="BE134" s="87"/>
      <c r="BF134" s="87"/>
      <c r="BG134" s="87"/>
      <c r="BH134" s="87"/>
      <c r="CE134" s="26"/>
      <c r="CF134" s="26"/>
      <c r="CG134" s="26"/>
      <c r="CH134" s="26" t="str">
        <f>_xll.ReferenceParams(CG134,$CH$6 )</f>
        <v/>
      </c>
      <c r="CI134" s="35" t="str">
        <f>_xll.ReferenceParams(CG134,$CI$6 )</f>
        <v/>
      </c>
      <c r="CJ134" s="35" t="str">
        <f>_xll.ReferenceParams(CG134,$CJ$6)</f>
        <v/>
      </c>
      <c r="CK134" s="26" t="str">
        <f t="shared" si="40"/>
        <v/>
      </c>
      <c r="CL134" s="26"/>
      <c r="DL134" s="1"/>
    </row>
    <row r="135" spans="4:116" x14ac:dyDescent="0.3">
      <c r="D135" s="28">
        <f t="shared" si="42"/>
        <v>45890</v>
      </c>
      <c r="E135" s="86">
        <f>_xll.CbondsClosePrice($B$1,D135,$B$27)</f>
        <v>94.71</v>
      </c>
      <c r="F135" s="131">
        <f t="shared" si="41"/>
        <v>94.71</v>
      </c>
      <c r="O135" s="1"/>
      <c r="W135" s="87"/>
      <c r="X135" s="87"/>
      <c r="Y135" s="87"/>
      <c r="Z135" s="87"/>
      <c r="AA135" s="87"/>
      <c r="AB135" s="87"/>
      <c r="AM135" s="87"/>
      <c r="AN135" s="87"/>
      <c r="AO135" s="87"/>
      <c r="AP135" s="87"/>
      <c r="AQ135" s="87"/>
      <c r="AR135" s="87"/>
      <c r="BC135" s="87"/>
      <c r="BD135" s="87"/>
      <c r="BE135" s="87"/>
      <c r="BF135" s="87"/>
      <c r="BG135" s="87"/>
      <c r="BH135" s="87"/>
      <c r="CE135" s="26"/>
      <c r="CF135" s="26"/>
      <c r="CG135" s="26"/>
      <c r="CH135" s="26" t="str">
        <f>_xll.ReferenceParams(CG135,$CH$6 )</f>
        <v/>
      </c>
      <c r="CI135" s="35" t="str">
        <f>_xll.ReferenceParams(CG135,$CI$6 )</f>
        <v/>
      </c>
      <c r="CJ135" s="35" t="str">
        <f>_xll.ReferenceParams(CG135,$CJ$6)</f>
        <v/>
      </c>
      <c r="CK135" s="26" t="str">
        <f t="shared" ref="CK135:CK166" si="43">IF(CG135 = "","",IF(AND(CH135="В обращении",CI135&lt;=$B$2,CJ135 = "Облигация"),1,0))</f>
        <v/>
      </c>
      <c r="CL135" s="26"/>
      <c r="DL135" s="1"/>
    </row>
    <row r="136" spans="4:116" x14ac:dyDescent="0.3">
      <c r="D136" s="28">
        <f t="shared" si="42"/>
        <v>45889</v>
      </c>
      <c r="E136" s="86">
        <f>_xll.CbondsClosePrice($B$1,D136,$B$27)</f>
        <v>95.27</v>
      </c>
      <c r="F136" s="131">
        <f t="shared" si="41"/>
        <v>95.27</v>
      </c>
      <c r="O136" s="1"/>
      <c r="W136" s="87"/>
      <c r="X136" s="87"/>
      <c r="Y136" s="87"/>
      <c r="Z136" s="87"/>
      <c r="AA136" s="87"/>
      <c r="AB136" s="87"/>
      <c r="AM136" s="87"/>
      <c r="AN136" s="87"/>
      <c r="AO136" s="87"/>
      <c r="AP136" s="87"/>
      <c r="AQ136" s="87"/>
      <c r="AR136" s="87"/>
      <c r="BC136" s="87"/>
      <c r="BD136" s="87"/>
      <c r="BE136" s="87"/>
      <c r="BF136" s="87"/>
      <c r="BG136" s="87"/>
      <c r="BH136" s="87"/>
      <c r="CE136" s="26"/>
      <c r="CF136" s="26"/>
      <c r="CG136" s="26"/>
      <c r="CH136" s="26" t="str">
        <f>_xll.ReferenceParams(CG136,$CH$6 )</f>
        <v/>
      </c>
      <c r="CI136" s="35" t="str">
        <f>_xll.ReferenceParams(CG136,$CI$6 )</f>
        <v/>
      </c>
      <c r="CJ136" s="35" t="str">
        <f>_xll.ReferenceParams(CG136,$CJ$6)</f>
        <v/>
      </c>
      <c r="CK136" s="26" t="str">
        <f t="shared" si="43"/>
        <v/>
      </c>
      <c r="CL136" s="26"/>
      <c r="DL136" s="1"/>
    </row>
    <row r="137" spans="4:116" x14ac:dyDescent="0.3">
      <c r="D137" s="28">
        <f t="shared" si="42"/>
        <v>45888</v>
      </c>
      <c r="E137" s="86">
        <f>_xll.CbondsClosePrice($B$1,D137,$B$27)</f>
        <v>95.1</v>
      </c>
      <c r="F137" s="131">
        <f t="shared" si="41"/>
        <v>95.1</v>
      </c>
      <c r="O137" s="1"/>
      <c r="W137" s="87"/>
      <c r="X137" s="87"/>
      <c r="Y137" s="87"/>
      <c r="Z137" s="87"/>
      <c r="AA137" s="87"/>
      <c r="AB137" s="87"/>
      <c r="AM137" s="87"/>
      <c r="AN137" s="87"/>
      <c r="AO137" s="87"/>
      <c r="AP137" s="87"/>
      <c r="AQ137" s="87"/>
      <c r="AR137" s="87"/>
      <c r="BC137" s="87"/>
      <c r="BD137" s="87"/>
      <c r="BE137" s="87"/>
      <c r="BF137" s="87"/>
      <c r="BG137" s="87"/>
      <c r="BH137" s="87"/>
      <c r="CE137" s="26"/>
      <c r="CF137" s="26"/>
      <c r="CG137" s="26"/>
      <c r="CH137" s="26" t="str">
        <f>_xll.ReferenceParams(CG137,$CH$6 )</f>
        <v/>
      </c>
      <c r="CI137" s="35" t="str">
        <f>_xll.ReferenceParams(CG137,$CI$6 )</f>
        <v/>
      </c>
      <c r="CJ137" s="35" t="str">
        <f>_xll.ReferenceParams(CG137,$CJ$6)</f>
        <v/>
      </c>
      <c r="CK137" s="26" t="str">
        <f t="shared" si="43"/>
        <v/>
      </c>
      <c r="CL137" s="26"/>
      <c r="DL137" s="1"/>
    </row>
    <row r="138" spans="4:116" x14ac:dyDescent="0.3">
      <c r="D138" s="28">
        <f t="shared" si="42"/>
        <v>45887</v>
      </c>
      <c r="E138" s="86">
        <f>_xll.CbondsClosePrice($B$1,D138,$B$27)</f>
        <v>94.77</v>
      </c>
      <c r="F138" s="131">
        <f t="shared" si="41"/>
        <v>94.77</v>
      </c>
      <c r="O138" s="1"/>
      <c r="W138" s="87"/>
      <c r="X138" s="87"/>
      <c r="Y138" s="87"/>
      <c r="Z138" s="87"/>
      <c r="AA138" s="87"/>
      <c r="AB138" s="87"/>
      <c r="AM138" s="87"/>
      <c r="AN138" s="87"/>
      <c r="AO138" s="87"/>
      <c r="AP138" s="87"/>
      <c r="AQ138" s="87"/>
      <c r="AR138" s="87"/>
      <c r="BC138" s="87"/>
      <c r="BD138" s="87"/>
      <c r="BE138" s="87"/>
      <c r="BF138" s="87"/>
      <c r="BG138" s="87"/>
      <c r="BH138" s="87"/>
      <c r="CE138" s="26"/>
      <c r="CF138" s="26"/>
      <c r="CG138" s="26"/>
      <c r="CH138" s="26" t="str">
        <f>_xll.ReferenceParams(CG138,$CH$6 )</f>
        <v/>
      </c>
      <c r="CI138" s="35" t="str">
        <f>_xll.ReferenceParams(CG138,$CI$6 )</f>
        <v/>
      </c>
      <c r="CJ138" s="35" t="str">
        <f>_xll.ReferenceParams(CG138,$CJ$6)</f>
        <v/>
      </c>
      <c r="CK138" s="26" t="str">
        <f t="shared" si="43"/>
        <v/>
      </c>
      <c r="CL138" s="26"/>
      <c r="DL138" s="1"/>
    </row>
    <row r="139" spans="4:116" x14ac:dyDescent="0.3">
      <c r="D139" s="28">
        <f t="shared" si="42"/>
        <v>45886</v>
      </c>
      <c r="E139" s="86" t="str">
        <f>_xll.CbondsClosePrice($B$1,D139,$B$27)</f>
        <v>Нет данных</v>
      </c>
      <c r="F139" s="131">
        <f t="shared" si="41"/>
        <v>94.53</v>
      </c>
      <c r="O139" s="1"/>
      <c r="W139" s="87"/>
      <c r="X139" s="87"/>
      <c r="Y139" s="87"/>
      <c r="Z139" s="87"/>
      <c r="AA139" s="87"/>
      <c r="AB139" s="87"/>
      <c r="AM139" s="87"/>
      <c r="AN139" s="87"/>
      <c r="AO139" s="87"/>
      <c r="AP139" s="87"/>
      <c r="AQ139" s="87"/>
      <c r="AR139" s="87"/>
      <c r="BC139" s="87"/>
      <c r="BD139" s="87"/>
      <c r="BE139" s="87"/>
      <c r="BF139" s="87"/>
      <c r="BG139" s="87"/>
      <c r="BH139" s="87"/>
      <c r="CE139" s="26"/>
      <c r="CF139" s="26"/>
      <c r="CG139" s="26"/>
      <c r="CH139" s="26" t="str">
        <f>_xll.ReferenceParams(CG139,$CH$6 )</f>
        <v/>
      </c>
      <c r="CI139" s="35" t="str">
        <f>_xll.ReferenceParams(CG139,$CI$6 )</f>
        <v/>
      </c>
      <c r="CJ139" s="35" t="str">
        <f>_xll.ReferenceParams(CG139,$CJ$6)</f>
        <v/>
      </c>
      <c r="CK139" s="26" t="str">
        <f t="shared" si="43"/>
        <v/>
      </c>
      <c r="CL139" s="26"/>
      <c r="DL139" s="1"/>
    </row>
    <row r="140" spans="4:116" x14ac:dyDescent="0.3">
      <c r="D140" s="28">
        <f t="shared" si="42"/>
        <v>45885</v>
      </c>
      <c r="E140" s="86" t="str">
        <f>_xll.CbondsClosePrice($B$1,D140,$B$27)</f>
        <v>Нет данных</v>
      </c>
      <c r="F140" s="131">
        <f t="shared" si="41"/>
        <v>94.53</v>
      </c>
      <c r="O140" s="1"/>
      <c r="W140" s="87"/>
      <c r="X140" s="87"/>
      <c r="Y140" s="87"/>
      <c r="Z140" s="87"/>
      <c r="AA140" s="87"/>
      <c r="AB140" s="87"/>
      <c r="AM140" s="87"/>
      <c r="AN140" s="87"/>
      <c r="AO140" s="87"/>
      <c r="AP140" s="87"/>
      <c r="AQ140" s="87"/>
      <c r="AR140" s="87"/>
      <c r="BC140" s="87"/>
      <c r="BD140" s="87"/>
      <c r="BE140" s="87"/>
      <c r="BF140" s="87"/>
      <c r="BG140" s="87"/>
      <c r="BH140" s="87"/>
      <c r="CE140" s="26"/>
      <c r="CF140" s="26"/>
      <c r="CG140" s="26"/>
      <c r="CH140" s="26" t="str">
        <f>_xll.ReferenceParams(CG140,$CH$6 )</f>
        <v/>
      </c>
      <c r="CI140" s="35" t="str">
        <f>_xll.ReferenceParams(CG140,$CI$6 )</f>
        <v/>
      </c>
      <c r="CJ140" s="35" t="str">
        <f>_xll.ReferenceParams(CG140,$CJ$6)</f>
        <v/>
      </c>
      <c r="CK140" s="26" t="str">
        <f t="shared" si="43"/>
        <v/>
      </c>
      <c r="CL140" s="26"/>
      <c r="DL140" s="1"/>
    </row>
    <row r="141" spans="4:116" x14ac:dyDescent="0.3">
      <c r="D141" s="28">
        <f t="shared" si="42"/>
        <v>45884</v>
      </c>
      <c r="E141" s="86">
        <f>_xll.CbondsClosePrice($B$1,D141,$B$27)</f>
        <v>94.53</v>
      </c>
      <c r="F141" s="131">
        <f t="shared" si="41"/>
        <v>94.53</v>
      </c>
      <c r="O141" s="1"/>
      <c r="W141" s="87"/>
      <c r="X141" s="87"/>
      <c r="Y141" s="87"/>
      <c r="Z141" s="87"/>
      <c r="AA141" s="87"/>
      <c r="AB141" s="87"/>
      <c r="AM141" s="87"/>
      <c r="AN141" s="87"/>
      <c r="AO141" s="87"/>
      <c r="AP141" s="87"/>
      <c r="AQ141" s="87"/>
      <c r="AR141" s="87"/>
      <c r="BC141" s="87"/>
      <c r="BD141" s="87"/>
      <c r="BE141" s="87"/>
      <c r="BF141" s="87"/>
      <c r="BG141" s="87"/>
      <c r="BH141" s="87"/>
      <c r="CE141" s="26"/>
      <c r="CF141" s="26"/>
      <c r="CG141" s="26"/>
      <c r="CH141" s="26" t="str">
        <f>_xll.ReferenceParams(CG141,$CH$6 )</f>
        <v/>
      </c>
      <c r="CI141" s="35" t="str">
        <f>_xll.ReferenceParams(CG141,$CI$6 )</f>
        <v/>
      </c>
      <c r="CJ141" s="35" t="str">
        <f>_xll.ReferenceParams(CG141,$CJ$6)</f>
        <v/>
      </c>
      <c r="CK141" s="26" t="str">
        <f t="shared" si="43"/>
        <v/>
      </c>
      <c r="CL141" s="26"/>
      <c r="DL141" s="1"/>
    </row>
    <row r="142" spans="4:116" x14ac:dyDescent="0.3">
      <c r="D142" s="28">
        <f t="shared" si="42"/>
        <v>45883</v>
      </c>
      <c r="E142" s="86">
        <f>_xll.CbondsClosePrice($B$1,D142,$B$27)</f>
        <v>94.39</v>
      </c>
      <c r="F142" s="131">
        <f t="shared" si="41"/>
        <v>94.39</v>
      </c>
      <c r="O142" s="1"/>
      <c r="W142" s="87"/>
      <c r="X142" s="87"/>
      <c r="Y142" s="87"/>
      <c r="Z142" s="87"/>
      <c r="AA142" s="87"/>
      <c r="AB142" s="87"/>
      <c r="AM142" s="87"/>
      <c r="AN142" s="87"/>
      <c r="AO142" s="87"/>
      <c r="AP142" s="87"/>
      <c r="AQ142" s="87"/>
      <c r="AR142" s="87"/>
      <c r="BC142" s="87"/>
      <c r="BD142" s="87"/>
      <c r="BE142" s="87"/>
      <c r="BF142" s="87"/>
      <c r="BG142" s="87"/>
      <c r="BH142" s="87"/>
      <c r="CE142" s="26"/>
      <c r="CF142" s="26"/>
      <c r="CG142" s="26"/>
      <c r="CH142" s="26" t="str">
        <f>_xll.ReferenceParams(CG142,$CH$6 )</f>
        <v/>
      </c>
      <c r="CI142" s="35" t="str">
        <f>_xll.ReferenceParams(CG142,$CI$6 )</f>
        <v/>
      </c>
      <c r="CJ142" s="35" t="str">
        <f>_xll.ReferenceParams(CG142,$CJ$6)</f>
        <v/>
      </c>
      <c r="CK142" s="26" t="str">
        <f t="shared" si="43"/>
        <v/>
      </c>
      <c r="CL142" s="26"/>
      <c r="DL142" s="1"/>
    </row>
    <row r="143" spans="4:116" x14ac:dyDescent="0.3">
      <c r="D143" s="28">
        <f t="shared" si="42"/>
        <v>45882</v>
      </c>
      <c r="E143" s="86">
        <f>_xll.CbondsClosePrice($B$1,D143,$B$27)</f>
        <v>94.21</v>
      </c>
      <c r="F143" s="131">
        <f t="shared" si="41"/>
        <v>94.21</v>
      </c>
      <c r="O143" s="1"/>
      <c r="W143" s="87"/>
      <c r="X143" s="87"/>
      <c r="Y143" s="87"/>
      <c r="Z143" s="87"/>
      <c r="AA143" s="87"/>
      <c r="AB143" s="87"/>
      <c r="AM143" s="87"/>
      <c r="AN143" s="87"/>
      <c r="AO143" s="87"/>
      <c r="AP143" s="87"/>
      <c r="AQ143" s="87"/>
      <c r="AR143" s="87"/>
      <c r="BC143" s="87"/>
      <c r="BD143" s="87"/>
      <c r="BE143" s="87"/>
      <c r="BF143" s="87"/>
      <c r="BG143" s="87"/>
      <c r="BH143" s="87"/>
      <c r="CE143" s="26"/>
      <c r="CF143" s="26"/>
      <c r="CG143" s="26"/>
      <c r="CH143" s="26" t="str">
        <f>_xll.ReferenceParams(CG143,$CH$6 )</f>
        <v/>
      </c>
      <c r="CI143" s="35" t="str">
        <f>_xll.ReferenceParams(CG143,$CI$6 )</f>
        <v/>
      </c>
      <c r="CJ143" s="35" t="str">
        <f>_xll.ReferenceParams(CG143,$CJ$6)</f>
        <v/>
      </c>
      <c r="CK143" s="26" t="str">
        <f t="shared" si="43"/>
        <v/>
      </c>
      <c r="CL143" s="26"/>
      <c r="DL143" s="1"/>
    </row>
    <row r="144" spans="4:116" x14ac:dyDescent="0.3">
      <c r="D144" s="28">
        <f t="shared" si="42"/>
        <v>45881</v>
      </c>
      <c r="E144" s="86">
        <f>_xll.CbondsClosePrice($B$1,D144,$B$27)</f>
        <v>94.21</v>
      </c>
      <c r="F144" s="131">
        <f t="shared" si="41"/>
        <v>94.21</v>
      </c>
      <c r="O144" s="1"/>
      <c r="W144" s="87"/>
      <c r="X144" s="87"/>
      <c r="Y144" s="87"/>
      <c r="Z144" s="87"/>
      <c r="AA144" s="87"/>
      <c r="AB144" s="87"/>
      <c r="AM144" s="87"/>
      <c r="AN144" s="87"/>
      <c r="AO144" s="87"/>
      <c r="AP144" s="87"/>
      <c r="AQ144" s="87"/>
      <c r="AR144" s="87"/>
      <c r="BC144" s="87"/>
      <c r="BD144" s="87"/>
      <c r="BE144" s="87"/>
      <c r="BF144" s="87"/>
      <c r="BG144" s="87"/>
      <c r="BH144" s="87"/>
      <c r="CE144" s="26"/>
      <c r="CF144" s="26"/>
      <c r="CG144" s="26"/>
      <c r="CH144" s="26" t="str">
        <f>_xll.ReferenceParams(CG144,$CH$6 )</f>
        <v/>
      </c>
      <c r="CI144" s="35" t="str">
        <f>_xll.ReferenceParams(CG144,$CI$6 )</f>
        <v/>
      </c>
      <c r="CJ144" s="35" t="str">
        <f>_xll.ReferenceParams(CG144,$CJ$6)</f>
        <v/>
      </c>
      <c r="CK144" s="26" t="str">
        <f t="shared" si="43"/>
        <v/>
      </c>
      <c r="CL144" s="26"/>
      <c r="DL144" s="1"/>
    </row>
    <row r="145" spans="4:116" x14ac:dyDescent="0.3">
      <c r="D145" s="28">
        <f t="shared" si="42"/>
        <v>45880</v>
      </c>
      <c r="E145" s="86">
        <f>_xll.CbondsClosePrice($B$1,D145,$B$27)</f>
        <v>94.23</v>
      </c>
      <c r="F145" s="131">
        <f t="shared" si="41"/>
        <v>94.23</v>
      </c>
      <c r="O145" s="1"/>
      <c r="W145" s="87"/>
      <c r="X145" s="87"/>
      <c r="Y145" s="87"/>
      <c r="Z145" s="87"/>
      <c r="AA145" s="87"/>
      <c r="AB145" s="87"/>
      <c r="AM145" s="87"/>
      <c r="AN145" s="87"/>
      <c r="AO145" s="87"/>
      <c r="AP145" s="87"/>
      <c r="AQ145" s="87"/>
      <c r="AR145" s="87"/>
      <c r="BC145" s="87"/>
      <c r="BD145" s="87"/>
      <c r="BE145" s="87"/>
      <c r="BF145" s="87"/>
      <c r="BG145" s="87"/>
      <c r="BH145" s="87"/>
      <c r="CE145" s="26"/>
      <c r="CF145" s="26"/>
      <c r="CG145" s="26"/>
      <c r="CH145" s="26" t="str">
        <f>_xll.ReferenceParams(CG145,$CH$6 )</f>
        <v/>
      </c>
      <c r="CI145" s="35" t="str">
        <f>_xll.ReferenceParams(CG145,$CI$6 )</f>
        <v/>
      </c>
      <c r="CJ145" s="35" t="str">
        <f>_xll.ReferenceParams(CG145,$CJ$6)</f>
        <v/>
      </c>
      <c r="CK145" s="26" t="str">
        <f t="shared" si="43"/>
        <v/>
      </c>
      <c r="CL145" s="26"/>
      <c r="DL145" s="1"/>
    </row>
    <row r="146" spans="4:116" x14ac:dyDescent="0.3">
      <c r="D146" s="28">
        <f t="shared" si="42"/>
        <v>45879</v>
      </c>
      <c r="E146" s="86" t="str">
        <f>_xll.CbondsClosePrice($B$1,D146,$B$27)</f>
        <v>Нет данных</v>
      </c>
      <c r="F146" s="131">
        <f t="shared" si="41"/>
        <v>94.48</v>
      </c>
      <c r="O146" s="1"/>
      <c r="W146" s="87"/>
      <c r="X146" s="87"/>
      <c r="Y146" s="87"/>
      <c r="Z146" s="87"/>
      <c r="AA146" s="87"/>
      <c r="AB146" s="87"/>
      <c r="AM146" s="87"/>
      <c r="AN146" s="87"/>
      <c r="AO146" s="87"/>
      <c r="AP146" s="87"/>
      <c r="AQ146" s="87"/>
      <c r="AR146" s="87"/>
      <c r="BC146" s="87"/>
      <c r="BD146" s="87"/>
      <c r="BE146" s="87"/>
      <c r="BF146" s="87"/>
      <c r="BG146" s="87"/>
      <c r="BH146" s="87"/>
      <c r="CE146" s="26"/>
      <c r="CF146" s="26"/>
      <c r="CG146" s="26"/>
      <c r="CH146" s="26" t="str">
        <f>_xll.ReferenceParams(CG146,$CH$6 )</f>
        <v/>
      </c>
      <c r="CI146" s="35" t="str">
        <f>_xll.ReferenceParams(CG146,$CI$6 )</f>
        <v/>
      </c>
      <c r="CJ146" s="35" t="str">
        <f>_xll.ReferenceParams(CG146,$CJ$6)</f>
        <v/>
      </c>
      <c r="CK146" s="26" t="str">
        <f t="shared" si="43"/>
        <v/>
      </c>
      <c r="CL146" s="26"/>
      <c r="DL146" s="1"/>
    </row>
    <row r="147" spans="4:116" x14ac:dyDescent="0.3">
      <c r="D147" s="28">
        <f t="shared" si="42"/>
        <v>45878</v>
      </c>
      <c r="E147" s="86" t="str">
        <f>_xll.CbondsClosePrice($B$1,D147,$B$27)</f>
        <v>Нет данных</v>
      </c>
      <c r="F147" s="131">
        <f t="shared" si="41"/>
        <v>94.48</v>
      </c>
      <c r="O147" s="1"/>
      <c r="W147" s="87"/>
      <c r="X147" s="87"/>
      <c r="Y147" s="87"/>
      <c r="Z147" s="87"/>
      <c r="AA147" s="87"/>
      <c r="AB147" s="87"/>
      <c r="AM147" s="87"/>
      <c r="AN147" s="87"/>
      <c r="AO147" s="87"/>
      <c r="AP147" s="87"/>
      <c r="AQ147" s="87"/>
      <c r="AR147" s="87"/>
      <c r="BC147" s="87"/>
      <c r="BD147" s="87"/>
      <c r="BE147" s="87"/>
      <c r="BF147" s="87"/>
      <c r="BG147" s="87"/>
      <c r="BH147" s="87"/>
      <c r="CE147" s="26"/>
      <c r="CF147" s="26"/>
      <c r="CG147" s="26"/>
      <c r="CH147" s="26" t="str">
        <f>_xll.ReferenceParams(CG147,$CH$6 )</f>
        <v/>
      </c>
      <c r="CI147" s="35" t="str">
        <f>_xll.ReferenceParams(CG147,$CI$6 )</f>
        <v/>
      </c>
      <c r="CJ147" s="35" t="str">
        <f>_xll.ReferenceParams(CG147,$CJ$6)</f>
        <v/>
      </c>
      <c r="CK147" s="26" t="str">
        <f t="shared" si="43"/>
        <v/>
      </c>
      <c r="CL147" s="26"/>
      <c r="DL147" s="1"/>
    </row>
    <row r="148" spans="4:116" x14ac:dyDescent="0.3">
      <c r="D148" s="28">
        <f t="shared" si="42"/>
        <v>45877</v>
      </c>
      <c r="E148" s="86">
        <f>_xll.CbondsClosePrice($B$1,D148,$B$27)</f>
        <v>94.48</v>
      </c>
      <c r="F148" s="131">
        <f t="shared" si="41"/>
        <v>94.48</v>
      </c>
      <c r="O148" s="1"/>
      <c r="W148" s="87"/>
      <c r="X148" s="87"/>
      <c r="Y148" s="87"/>
      <c r="Z148" s="87"/>
      <c r="AA148" s="87"/>
      <c r="AB148" s="87"/>
      <c r="AM148" s="87"/>
      <c r="AN148" s="87"/>
      <c r="AO148" s="87"/>
      <c r="AP148" s="87"/>
      <c r="AQ148" s="87"/>
      <c r="AR148" s="87"/>
      <c r="BC148" s="87"/>
      <c r="BD148" s="87"/>
      <c r="BE148" s="87"/>
      <c r="BF148" s="87"/>
      <c r="BG148" s="87"/>
      <c r="BH148" s="87"/>
      <c r="CE148" s="26"/>
      <c r="CF148" s="26"/>
      <c r="CG148" s="26"/>
      <c r="CH148" s="26" t="str">
        <f>_xll.ReferenceParams(CG148,$CH$6 )</f>
        <v/>
      </c>
      <c r="CI148" s="35" t="str">
        <f>_xll.ReferenceParams(CG148,$CI$6 )</f>
        <v/>
      </c>
      <c r="CJ148" s="35" t="str">
        <f>_xll.ReferenceParams(CG148,$CJ$6)</f>
        <v/>
      </c>
      <c r="CK148" s="26" t="str">
        <f t="shared" si="43"/>
        <v/>
      </c>
      <c r="CL148" s="26"/>
      <c r="DL148" s="1"/>
    </row>
    <row r="149" spans="4:116" x14ac:dyDescent="0.3">
      <c r="D149" s="28">
        <f t="shared" si="42"/>
        <v>45876</v>
      </c>
      <c r="E149" s="86">
        <f>_xll.CbondsClosePrice($B$1,D149,$B$27)</f>
        <v>94.5</v>
      </c>
      <c r="F149" s="131">
        <f t="shared" si="41"/>
        <v>94.5</v>
      </c>
      <c r="O149" s="1"/>
      <c r="W149" s="87"/>
      <c r="X149" s="87"/>
      <c r="Y149" s="87"/>
      <c r="Z149" s="87"/>
      <c r="AA149" s="87"/>
      <c r="AB149" s="87"/>
      <c r="AM149" s="87"/>
      <c r="AN149" s="87"/>
      <c r="AO149" s="87"/>
      <c r="AP149" s="87"/>
      <c r="AQ149" s="87"/>
      <c r="AR149" s="87"/>
      <c r="BC149" s="87"/>
      <c r="BD149" s="87"/>
      <c r="BE149" s="87"/>
      <c r="BF149" s="87"/>
      <c r="BG149" s="87"/>
      <c r="BH149" s="87"/>
      <c r="CE149" s="26"/>
      <c r="CF149" s="26"/>
      <c r="CG149" s="26"/>
      <c r="CH149" s="26" t="str">
        <f>_xll.ReferenceParams(CG149,$CH$6 )</f>
        <v/>
      </c>
      <c r="CI149" s="35" t="str">
        <f>_xll.ReferenceParams(CG149,$CI$6 )</f>
        <v/>
      </c>
      <c r="CJ149" s="35" t="str">
        <f>_xll.ReferenceParams(CG149,$CJ$6)</f>
        <v/>
      </c>
      <c r="CK149" s="26" t="str">
        <f t="shared" si="43"/>
        <v/>
      </c>
      <c r="CL149" s="26"/>
      <c r="DL149" s="1"/>
    </row>
    <row r="150" spans="4:116" x14ac:dyDescent="0.3">
      <c r="D150" s="28">
        <f t="shared" si="42"/>
        <v>45875</v>
      </c>
      <c r="E150" s="86">
        <f>_xll.CbondsClosePrice($B$1,D150,$B$27)</f>
        <v>94.57</v>
      </c>
      <c r="F150" s="131">
        <f t="shared" si="41"/>
        <v>94.57</v>
      </c>
      <c r="O150" s="1"/>
      <c r="W150" s="87"/>
      <c r="X150" s="87"/>
      <c r="Y150" s="87"/>
      <c r="Z150" s="87"/>
      <c r="AA150" s="87"/>
      <c r="AB150" s="87"/>
      <c r="AM150" s="87"/>
      <c r="AN150" s="87"/>
      <c r="AO150" s="87"/>
      <c r="AP150" s="87"/>
      <c r="AQ150" s="87"/>
      <c r="AR150" s="87"/>
      <c r="BC150" s="87"/>
      <c r="BD150" s="87"/>
      <c r="BE150" s="87"/>
      <c r="BF150" s="87"/>
      <c r="BG150" s="87"/>
      <c r="BH150" s="87"/>
      <c r="CE150" s="26"/>
      <c r="CF150" s="26"/>
      <c r="CG150" s="26"/>
      <c r="CH150" s="26" t="str">
        <f>_xll.ReferenceParams(CG150,$CH$6 )</f>
        <v/>
      </c>
      <c r="CI150" s="35" t="str">
        <f>_xll.ReferenceParams(CG150,$CI$6 )</f>
        <v/>
      </c>
      <c r="CJ150" s="35" t="str">
        <f>_xll.ReferenceParams(CG150,$CJ$6)</f>
        <v/>
      </c>
      <c r="CK150" s="26" t="str">
        <f t="shared" si="43"/>
        <v/>
      </c>
      <c r="CL150" s="26"/>
      <c r="DL150" s="1"/>
    </row>
    <row r="151" spans="4:116" x14ac:dyDescent="0.3">
      <c r="D151" s="28">
        <f t="shared" si="42"/>
        <v>45874</v>
      </c>
      <c r="E151" s="86">
        <f>_xll.CbondsClosePrice($B$1,D151,$B$27)</f>
        <v>94.51</v>
      </c>
      <c r="F151" s="131">
        <f t="shared" si="41"/>
        <v>94.51</v>
      </c>
      <c r="O151" s="1"/>
      <c r="W151" s="87"/>
      <c r="X151" s="87"/>
      <c r="Y151" s="87"/>
      <c r="Z151" s="87"/>
      <c r="AA151" s="87"/>
      <c r="AB151" s="87"/>
      <c r="AM151" s="87"/>
      <c r="AN151" s="87"/>
      <c r="AO151" s="87"/>
      <c r="AP151" s="87"/>
      <c r="AQ151" s="87"/>
      <c r="AR151" s="87"/>
      <c r="BC151" s="87"/>
      <c r="BD151" s="87"/>
      <c r="BE151" s="87"/>
      <c r="BF151" s="87"/>
      <c r="BG151" s="87"/>
      <c r="BH151" s="87"/>
      <c r="CE151" s="26"/>
      <c r="CF151" s="26"/>
      <c r="CG151" s="26"/>
      <c r="CH151" s="26" t="str">
        <f>_xll.ReferenceParams(CG151,$CH$6 )</f>
        <v/>
      </c>
      <c r="CI151" s="35" t="str">
        <f>_xll.ReferenceParams(CG151,$CI$6 )</f>
        <v/>
      </c>
      <c r="CJ151" s="35" t="str">
        <f>_xll.ReferenceParams(CG151,$CJ$6)</f>
        <v/>
      </c>
      <c r="CK151" s="26" t="str">
        <f t="shared" si="43"/>
        <v/>
      </c>
      <c r="CL151" s="26"/>
      <c r="DL151" s="1"/>
    </row>
    <row r="152" spans="4:116" x14ac:dyDescent="0.3">
      <c r="D152" s="28">
        <f t="shared" si="42"/>
        <v>45873</v>
      </c>
      <c r="E152" s="86">
        <f>_xll.CbondsClosePrice($B$1,D152,$B$27)</f>
        <v>94.47</v>
      </c>
      <c r="F152" s="131">
        <f t="shared" si="41"/>
        <v>94.47</v>
      </c>
      <c r="O152" s="1"/>
      <c r="W152" s="87"/>
      <c r="X152" s="87"/>
      <c r="Y152" s="87"/>
      <c r="Z152" s="87"/>
      <c r="AA152" s="87"/>
      <c r="AB152" s="87"/>
      <c r="AM152" s="87"/>
      <c r="AN152" s="87"/>
      <c r="AO152" s="87"/>
      <c r="AP152" s="87"/>
      <c r="AQ152" s="87"/>
      <c r="AR152" s="87"/>
      <c r="BC152" s="87"/>
      <c r="BD152" s="87"/>
      <c r="BE152" s="87"/>
      <c r="BF152" s="87"/>
      <c r="BG152" s="87"/>
      <c r="BH152" s="87"/>
      <c r="CE152" s="26"/>
      <c r="CF152" s="26"/>
      <c r="CG152" s="26"/>
      <c r="CH152" s="26" t="str">
        <f>_xll.ReferenceParams(CG152,$CH$6 )</f>
        <v/>
      </c>
      <c r="CI152" s="35" t="str">
        <f>_xll.ReferenceParams(CG152,$CI$6 )</f>
        <v/>
      </c>
      <c r="CJ152" s="35" t="str">
        <f>_xll.ReferenceParams(CG152,$CJ$6)</f>
        <v/>
      </c>
      <c r="CK152" s="26" t="str">
        <f t="shared" si="43"/>
        <v/>
      </c>
      <c r="CL152" s="26"/>
      <c r="DL152" s="1"/>
    </row>
    <row r="153" spans="4:116" x14ac:dyDescent="0.3">
      <c r="D153" s="28">
        <f t="shared" si="42"/>
        <v>45872</v>
      </c>
      <c r="E153" s="86" t="str">
        <f>_xll.CbondsClosePrice($B$1,D153,$B$27)</f>
        <v>Нет данных</v>
      </c>
      <c r="F153" s="131">
        <f t="shared" si="41"/>
        <v>94.46</v>
      </c>
      <c r="O153" s="1"/>
      <c r="W153" s="87"/>
      <c r="X153" s="87"/>
      <c r="Y153" s="87"/>
      <c r="Z153" s="87"/>
      <c r="AA153" s="87"/>
      <c r="AB153" s="87"/>
      <c r="AM153" s="87"/>
      <c r="AN153" s="87"/>
      <c r="AO153" s="87"/>
      <c r="AP153" s="87"/>
      <c r="AQ153" s="87"/>
      <c r="AR153" s="87"/>
      <c r="BC153" s="87"/>
      <c r="BD153" s="87"/>
      <c r="BE153" s="87"/>
      <c r="BF153" s="87"/>
      <c r="BG153" s="87"/>
      <c r="BH153" s="87"/>
      <c r="CE153" s="26"/>
      <c r="CF153" s="26"/>
      <c r="CG153" s="26"/>
      <c r="CH153" s="26" t="str">
        <f>_xll.ReferenceParams(CG153,$CH$6 )</f>
        <v/>
      </c>
      <c r="CI153" s="35" t="str">
        <f>_xll.ReferenceParams(CG153,$CI$6 )</f>
        <v/>
      </c>
      <c r="CJ153" s="35" t="str">
        <f>_xll.ReferenceParams(CG153,$CJ$6)</f>
        <v/>
      </c>
      <c r="CK153" s="26" t="str">
        <f t="shared" si="43"/>
        <v/>
      </c>
      <c r="CL153" s="26"/>
      <c r="DL153" s="1"/>
    </row>
    <row r="154" spans="4:116" x14ac:dyDescent="0.3">
      <c r="D154" s="28">
        <f t="shared" si="42"/>
        <v>45871</v>
      </c>
      <c r="E154" s="86" t="str">
        <f>_xll.CbondsClosePrice($B$1,D154,$B$27)</f>
        <v>Нет данных</v>
      </c>
      <c r="F154" s="131">
        <f t="shared" si="41"/>
        <v>94.46</v>
      </c>
      <c r="O154" s="1"/>
      <c r="W154" s="87"/>
      <c r="X154" s="87"/>
      <c r="Y154" s="87"/>
      <c r="Z154" s="87"/>
      <c r="AA154" s="87"/>
      <c r="AB154" s="87"/>
      <c r="AM154" s="87"/>
      <c r="AN154" s="87"/>
      <c r="AO154" s="87"/>
      <c r="AP154" s="87"/>
      <c r="AQ154" s="87"/>
      <c r="AR154" s="87"/>
      <c r="BC154" s="87"/>
      <c r="BD154" s="87"/>
      <c r="BE154" s="87"/>
      <c r="BF154" s="87"/>
      <c r="BG154" s="87"/>
      <c r="BH154" s="87"/>
      <c r="CE154" s="26"/>
      <c r="CF154" s="26"/>
      <c r="CG154" s="26"/>
      <c r="CH154" s="26" t="str">
        <f>_xll.ReferenceParams(CG154,$CH$6 )</f>
        <v/>
      </c>
      <c r="CI154" s="35" t="str">
        <f>_xll.ReferenceParams(CG154,$CI$6 )</f>
        <v/>
      </c>
      <c r="CJ154" s="35" t="str">
        <f>_xll.ReferenceParams(CG154,$CJ$6)</f>
        <v/>
      </c>
      <c r="CK154" s="26" t="str">
        <f t="shared" si="43"/>
        <v/>
      </c>
      <c r="CL154" s="26"/>
      <c r="DL154" s="1"/>
    </row>
    <row r="155" spans="4:116" x14ac:dyDescent="0.3">
      <c r="D155" s="28">
        <f t="shared" si="42"/>
        <v>45870</v>
      </c>
      <c r="E155" s="86">
        <f>_xll.CbondsClosePrice($B$1,D155,$B$27)</f>
        <v>94.46</v>
      </c>
      <c r="F155" s="131">
        <f t="shared" si="41"/>
        <v>94.46</v>
      </c>
      <c r="O155" s="1"/>
      <c r="W155" s="87"/>
      <c r="X155" s="87"/>
      <c r="Y155" s="87"/>
      <c r="Z155" s="87"/>
      <c r="AA155" s="87"/>
      <c r="AB155" s="87"/>
      <c r="AM155" s="87"/>
      <c r="AN155" s="87"/>
      <c r="AO155" s="87"/>
      <c r="AP155" s="87"/>
      <c r="AQ155" s="87"/>
      <c r="AR155" s="87"/>
      <c r="BC155" s="87"/>
      <c r="BD155" s="87"/>
      <c r="BE155" s="87"/>
      <c r="BF155" s="87"/>
      <c r="BG155" s="87"/>
      <c r="BH155" s="87"/>
      <c r="CE155" s="26"/>
      <c r="CF155" s="26"/>
      <c r="CG155" s="26"/>
      <c r="CH155" s="26" t="str">
        <f>_xll.ReferenceParams(CG155,$CH$6 )</f>
        <v/>
      </c>
      <c r="CI155" s="35" t="str">
        <f>_xll.ReferenceParams(CG155,$CI$6 )</f>
        <v/>
      </c>
      <c r="CJ155" s="35" t="str">
        <f>_xll.ReferenceParams(CG155,$CJ$6)</f>
        <v/>
      </c>
      <c r="CK155" s="26" t="str">
        <f t="shared" si="43"/>
        <v/>
      </c>
      <c r="CL155" s="26"/>
      <c r="DL155" s="1"/>
    </row>
    <row r="156" spans="4:116" x14ac:dyDescent="0.3">
      <c r="D156" s="28">
        <f t="shared" si="42"/>
        <v>45869</v>
      </c>
      <c r="E156" s="86">
        <f>_xll.CbondsClosePrice($B$1,D156,$B$27)</f>
        <v>94.3</v>
      </c>
      <c r="F156" s="131">
        <f t="shared" si="41"/>
        <v>94.3</v>
      </c>
      <c r="O156" s="1"/>
      <c r="W156" s="87"/>
      <c r="X156" s="87"/>
      <c r="Y156" s="87"/>
      <c r="Z156" s="87"/>
      <c r="AA156" s="87"/>
      <c r="AB156" s="87"/>
      <c r="AM156" s="87"/>
      <c r="AN156" s="87"/>
      <c r="AO156" s="87"/>
      <c r="AP156" s="87"/>
      <c r="AQ156" s="87"/>
      <c r="AR156" s="87"/>
      <c r="BC156" s="87"/>
      <c r="BD156" s="87"/>
      <c r="BE156" s="87"/>
      <c r="BF156" s="87"/>
      <c r="BG156" s="87"/>
      <c r="BH156" s="87"/>
      <c r="CE156" s="26"/>
      <c r="CF156" s="26"/>
      <c r="CG156" s="26"/>
      <c r="CH156" s="26" t="str">
        <f>_xll.ReferenceParams(CG156,$CH$6 )</f>
        <v/>
      </c>
      <c r="CI156" s="35" t="str">
        <f>_xll.ReferenceParams(CG156,$CI$6 )</f>
        <v/>
      </c>
      <c r="CJ156" s="35" t="str">
        <f>_xll.ReferenceParams(CG156,$CJ$6)</f>
        <v/>
      </c>
      <c r="CK156" s="26" t="str">
        <f t="shared" si="43"/>
        <v/>
      </c>
      <c r="CL156" s="26"/>
      <c r="DL156" s="1"/>
    </row>
    <row r="157" spans="4:116" x14ac:dyDescent="0.3">
      <c r="D157" s="28">
        <f t="shared" si="42"/>
        <v>45868</v>
      </c>
      <c r="E157" s="86">
        <f>_xll.CbondsClosePrice($B$1,D157,$B$27)</f>
        <v>93.94</v>
      </c>
      <c r="F157" s="131">
        <f t="shared" si="41"/>
        <v>93.94</v>
      </c>
      <c r="O157" s="1"/>
      <c r="W157" s="87"/>
      <c r="X157" s="87"/>
      <c r="Y157" s="87"/>
      <c r="Z157" s="87"/>
      <c r="AA157" s="87"/>
      <c r="AB157" s="87"/>
      <c r="AM157" s="87"/>
      <c r="AN157" s="87"/>
      <c r="AO157" s="87"/>
      <c r="AP157" s="87"/>
      <c r="AQ157" s="87"/>
      <c r="AR157" s="87"/>
      <c r="BC157" s="87"/>
      <c r="BD157" s="87"/>
      <c r="BE157" s="87"/>
      <c r="BF157" s="87"/>
      <c r="BG157" s="87"/>
      <c r="BH157" s="87"/>
      <c r="CE157" s="26"/>
      <c r="CF157" s="26"/>
      <c r="CG157" s="26"/>
      <c r="CH157" s="26" t="str">
        <f>_xll.ReferenceParams(CG157,$CH$6 )</f>
        <v/>
      </c>
      <c r="CI157" s="35" t="str">
        <f>_xll.ReferenceParams(CG157,$CI$6 )</f>
        <v/>
      </c>
      <c r="CJ157" s="35" t="str">
        <f>_xll.ReferenceParams(CG157,$CJ$6)</f>
        <v/>
      </c>
      <c r="CK157" s="26" t="str">
        <f t="shared" si="43"/>
        <v/>
      </c>
      <c r="CL157" s="26"/>
      <c r="DL157" s="1"/>
    </row>
    <row r="158" spans="4:116" x14ac:dyDescent="0.3">
      <c r="D158" s="28">
        <f t="shared" si="42"/>
        <v>45867</v>
      </c>
      <c r="E158" s="86">
        <f>_xll.CbondsClosePrice($B$1,D158,$B$27)</f>
        <v>94.04</v>
      </c>
      <c r="F158" s="131">
        <f t="shared" si="41"/>
        <v>94.04</v>
      </c>
      <c r="O158" s="1"/>
      <c r="W158" s="87"/>
      <c r="X158" s="87"/>
      <c r="Y158" s="87"/>
      <c r="Z158" s="87"/>
      <c r="AA158" s="87"/>
      <c r="AB158" s="87"/>
      <c r="AM158" s="87"/>
      <c r="AN158" s="87"/>
      <c r="AO158" s="87"/>
      <c r="AP158" s="87"/>
      <c r="AQ158" s="87"/>
      <c r="AR158" s="87"/>
      <c r="BC158" s="87"/>
      <c r="BD158" s="87"/>
      <c r="BE158" s="87"/>
      <c r="BF158" s="87"/>
      <c r="BG158" s="87"/>
      <c r="BH158" s="87"/>
      <c r="CE158" s="26"/>
      <c r="CF158" s="26"/>
      <c r="CG158" s="26"/>
      <c r="CH158" s="26" t="str">
        <f>_xll.ReferenceParams(CG158,$CH$6 )</f>
        <v/>
      </c>
      <c r="CI158" s="35" t="str">
        <f>_xll.ReferenceParams(CG158,$CI$6 )</f>
        <v/>
      </c>
      <c r="CJ158" s="35" t="str">
        <f>_xll.ReferenceParams(CG158,$CJ$6)</f>
        <v/>
      </c>
      <c r="CK158" s="26" t="str">
        <f t="shared" si="43"/>
        <v/>
      </c>
      <c r="CL158" s="26"/>
      <c r="DL158" s="1"/>
    </row>
    <row r="159" spans="4:116" x14ac:dyDescent="0.3">
      <c r="D159" s="28">
        <f t="shared" si="42"/>
        <v>45866</v>
      </c>
      <c r="E159" s="86">
        <f>_xll.CbondsClosePrice($B$1,D159,$B$27)</f>
        <v>93.91</v>
      </c>
      <c r="F159" s="131">
        <f t="shared" si="41"/>
        <v>93.91</v>
      </c>
      <c r="O159" s="1"/>
      <c r="W159" s="87"/>
      <c r="X159" s="87"/>
      <c r="Y159" s="87"/>
      <c r="Z159" s="87"/>
      <c r="AA159" s="87"/>
      <c r="AB159" s="87"/>
      <c r="AM159" s="87"/>
      <c r="AN159" s="87"/>
      <c r="AO159" s="87"/>
      <c r="AP159" s="87"/>
      <c r="AQ159" s="87"/>
      <c r="AR159" s="87"/>
      <c r="BC159" s="87"/>
      <c r="BD159" s="87"/>
      <c r="BE159" s="87"/>
      <c r="BF159" s="87"/>
      <c r="BG159" s="87"/>
      <c r="BH159" s="87"/>
      <c r="CE159" s="26"/>
      <c r="CF159" s="26"/>
      <c r="CG159" s="26"/>
      <c r="CH159" s="26" t="str">
        <f>_xll.ReferenceParams(CG159,$CH$6 )</f>
        <v/>
      </c>
      <c r="CI159" s="35" t="str">
        <f>_xll.ReferenceParams(CG159,$CI$6 )</f>
        <v/>
      </c>
      <c r="CJ159" s="35" t="str">
        <f>_xll.ReferenceParams(CG159,$CJ$6)</f>
        <v/>
      </c>
      <c r="CK159" s="26" t="str">
        <f t="shared" si="43"/>
        <v/>
      </c>
      <c r="CL159" s="26"/>
      <c r="DL159" s="1"/>
    </row>
    <row r="160" spans="4:116" x14ac:dyDescent="0.3">
      <c r="D160" s="28">
        <f t="shared" si="42"/>
        <v>45865</v>
      </c>
      <c r="E160" s="86" t="str">
        <f>_xll.CbondsClosePrice($B$1,D160,$B$27)</f>
        <v>Нет данных</v>
      </c>
      <c r="F160" s="131">
        <f t="shared" si="41"/>
        <v>93.79</v>
      </c>
      <c r="O160" s="1"/>
      <c r="W160" s="87"/>
      <c r="X160" s="87"/>
      <c r="Y160" s="87"/>
      <c r="Z160" s="87"/>
      <c r="AA160" s="87"/>
      <c r="AB160" s="87"/>
      <c r="AM160" s="87"/>
      <c r="AN160" s="87"/>
      <c r="AO160" s="87"/>
      <c r="AP160" s="87"/>
      <c r="AQ160" s="87"/>
      <c r="AR160" s="87"/>
      <c r="BC160" s="87"/>
      <c r="BD160" s="87"/>
      <c r="BE160" s="87"/>
      <c r="BF160" s="87"/>
      <c r="BG160" s="87"/>
      <c r="BH160" s="87"/>
      <c r="CE160" s="26"/>
      <c r="CF160" s="26"/>
      <c r="CG160" s="26"/>
      <c r="CH160" s="26" t="str">
        <f>_xll.ReferenceParams(CG160,$CH$6 )</f>
        <v/>
      </c>
      <c r="CI160" s="35" t="str">
        <f>_xll.ReferenceParams(CG160,$CI$6 )</f>
        <v/>
      </c>
      <c r="CJ160" s="35" t="str">
        <f>_xll.ReferenceParams(CG160,$CJ$6)</f>
        <v/>
      </c>
      <c r="CK160" s="26" t="str">
        <f t="shared" si="43"/>
        <v/>
      </c>
      <c r="CL160" s="26"/>
      <c r="DL160" s="1"/>
    </row>
    <row r="161" spans="4:116" x14ac:dyDescent="0.3">
      <c r="D161" s="28">
        <f t="shared" si="42"/>
        <v>45864</v>
      </c>
      <c r="E161" s="86" t="str">
        <f>_xll.CbondsClosePrice($B$1,D161,$B$27)</f>
        <v>Нет данных</v>
      </c>
      <c r="F161" s="131">
        <f t="shared" si="41"/>
        <v>93.79</v>
      </c>
      <c r="O161" s="1"/>
      <c r="W161" s="87"/>
      <c r="X161" s="87"/>
      <c r="Y161" s="87"/>
      <c r="Z161" s="87"/>
      <c r="AA161" s="87"/>
      <c r="AB161" s="87"/>
      <c r="AM161" s="87"/>
      <c r="AN161" s="87"/>
      <c r="AO161" s="87"/>
      <c r="AP161" s="87"/>
      <c r="AQ161" s="87"/>
      <c r="AR161" s="87"/>
      <c r="BC161" s="87"/>
      <c r="BD161" s="87"/>
      <c r="BE161" s="87"/>
      <c r="BF161" s="87"/>
      <c r="BG161" s="87"/>
      <c r="BH161" s="87"/>
      <c r="CE161" s="26"/>
      <c r="CF161" s="26"/>
      <c r="CG161" s="26"/>
      <c r="CH161" s="26" t="str">
        <f>_xll.ReferenceParams(CG161,$CH$6 )</f>
        <v/>
      </c>
      <c r="CI161" s="35" t="str">
        <f>_xll.ReferenceParams(CG161,$CI$6 )</f>
        <v/>
      </c>
      <c r="CJ161" s="35" t="str">
        <f>_xll.ReferenceParams(CG161,$CJ$6)</f>
        <v/>
      </c>
      <c r="CK161" s="26" t="str">
        <f t="shared" si="43"/>
        <v/>
      </c>
      <c r="CL161" s="26"/>
      <c r="DL161" s="1"/>
    </row>
    <row r="162" spans="4:116" x14ac:dyDescent="0.3">
      <c r="D162" s="28">
        <f t="shared" si="42"/>
        <v>45863</v>
      </c>
      <c r="E162" s="86">
        <f>_xll.CbondsClosePrice($B$1,D162,$B$27)</f>
        <v>93.79</v>
      </c>
      <c r="F162" s="131">
        <f t="shared" si="41"/>
        <v>93.79</v>
      </c>
      <c r="O162" s="1"/>
      <c r="W162" s="87"/>
      <c r="X162" s="87"/>
      <c r="Y162" s="87"/>
      <c r="Z162" s="87"/>
      <c r="AA162" s="87"/>
      <c r="AB162" s="87"/>
      <c r="AM162" s="87"/>
      <c r="AN162" s="87"/>
      <c r="AO162" s="87"/>
      <c r="AP162" s="87"/>
      <c r="AQ162" s="87"/>
      <c r="AR162" s="87"/>
      <c r="BC162" s="87"/>
      <c r="BD162" s="87"/>
      <c r="BE162" s="87"/>
      <c r="BF162" s="87"/>
      <c r="BG162" s="87"/>
      <c r="BH162" s="87"/>
      <c r="CE162" s="26"/>
      <c r="CF162" s="26"/>
      <c r="CG162" s="26"/>
      <c r="CH162" s="26" t="str">
        <f>_xll.ReferenceParams(CG162,$CH$6 )</f>
        <v/>
      </c>
      <c r="CI162" s="35" t="str">
        <f>_xll.ReferenceParams(CG162,$CI$6 )</f>
        <v/>
      </c>
      <c r="CJ162" s="35" t="str">
        <f>_xll.ReferenceParams(CG162,$CJ$6)</f>
        <v/>
      </c>
      <c r="CK162" s="26" t="str">
        <f t="shared" si="43"/>
        <v/>
      </c>
      <c r="CL162" s="26"/>
      <c r="DL162" s="1"/>
    </row>
    <row r="163" spans="4:116" x14ac:dyDescent="0.3">
      <c r="D163" s="28">
        <f t="shared" si="42"/>
        <v>45862</v>
      </c>
      <c r="E163" s="86">
        <f>_xll.CbondsClosePrice($B$1,D163,$B$27)</f>
        <v>93.78</v>
      </c>
      <c r="F163" s="131">
        <f t="shared" si="41"/>
        <v>93.78</v>
      </c>
      <c r="O163" s="1"/>
      <c r="W163" s="87"/>
      <c r="X163" s="87"/>
      <c r="Y163" s="87"/>
      <c r="Z163" s="87"/>
      <c r="AA163" s="87"/>
      <c r="AB163" s="87"/>
      <c r="AM163" s="87"/>
      <c r="AN163" s="87"/>
      <c r="AO163" s="87"/>
      <c r="AP163" s="87"/>
      <c r="AQ163" s="87"/>
      <c r="AR163" s="87"/>
      <c r="BC163" s="87"/>
      <c r="BD163" s="87"/>
      <c r="BE163" s="87"/>
      <c r="BF163" s="87"/>
      <c r="BG163" s="87"/>
      <c r="BH163" s="87"/>
      <c r="CE163" s="26"/>
      <c r="CF163" s="26"/>
      <c r="CG163" s="26"/>
      <c r="CH163" s="26" t="str">
        <f>_xll.ReferenceParams(CG163,$CH$6 )</f>
        <v/>
      </c>
      <c r="CI163" s="35" t="str">
        <f>_xll.ReferenceParams(CG163,$CI$6 )</f>
        <v/>
      </c>
      <c r="CJ163" s="35" t="str">
        <f>_xll.ReferenceParams(CG163,$CJ$6)</f>
        <v/>
      </c>
      <c r="CK163" s="26" t="str">
        <f t="shared" si="43"/>
        <v/>
      </c>
      <c r="CL163" s="26"/>
      <c r="DL163" s="1"/>
    </row>
    <row r="164" spans="4:116" x14ac:dyDescent="0.3">
      <c r="D164" s="28">
        <f t="shared" si="42"/>
        <v>45861</v>
      </c>
      <c r="E164" s="86">
        <f>_xll.CbondsClosePrice($B$1,D164,$B$27)</f>
        <v>93.82</v>
      </c>
      <c r="F164" s="131">
        <f t="shared" si="41"/>
        <v>93.82</v>
      </c>
      <c r="O164" s="1"/>
      <c r="W164" s="87"/>
      <c r="X164" s="87"/>
      <c r="Y164" s="87"/>
      <c r="Z164" s="87"/>
      <c r="AA164" s="87"/>
      <c r="AB164" s="87"/>
      <c r="AM164" s="87"/>
      <c r="AN164" s="87"/>
      <c r="AO164" s="87"/>
      <c r="AP164" s="87"/>
      <c r="AQ164" s="87"/>
      <c r="AR164" s="87"/>
      <c r="BC164" s="87"/>
      <c r="BD164" s="87"/>
      <c r="BE164" s="87"/>
      <c r="BF164" s="87"/>
      <c r="BG164" s="87"/>
      <c r="BH164" s="87"/>
      <c r="CE164" s="26"/>
      <c r="CF164" s="26"/>
      <c r="CG164" s="26"/>
      <c r="CH164" s="26" t="str">
        <f>_xll.ReferenceParams(CG164,$CH$6 )</f>
        <v/>
      </c>
      <c r="CI164" s="35" t="str">
        <f>_xll.ReferenceParams(CG164,$CI$6 )</f>
        <v/>
      </c>
      <c r="CJ164" s="35" t="str">
        <f>_xll.ReferenceParams(CG164,$CJ$6)</f>
        <v/>
      </c>
      <c r="CK164" s="26" t="str">
        <f t="shared" si="43"/>
        <v/>
      </c>
      <c r="CL164" s="26"/>
      <c r="DL164" s="1"/>
    </row>
    <row r="165" spans="4:116" x14ac:dyDescent="0.3">
      <c r="D165" s="28">
        <f t="shared" si="42"/>
        <v>45860</v>
      </c>
      <c r="E165" s="86">
        <f>_xll.CbondsClosePrice($B$1,D165,$B$27)</f>
        <v>93.96</v>
      </c>
      <c r="F165" s="131">
        <f t="shared" si="41"/>
        <v>93.96</v>
      </c>
      <c r="O165" s="1"/>
      <c r="W165" s="87"/>
      <c r="X165" s="87"/>
      <c r="Y165" s="87"/>
      <c r="Z165" s="87"/>
      <c r="AA165" s="87"/>
      <c r="AB165" s="87"/>
      <c r="AM165" s="87"/>
      <c r="AN165" s="87"/>
      <c r="AO165" s="87"/>
      <c r="AP165" s="87"/>
      <c r="AQ165" s="87"/>
      <c r="AR165" s="87"/>
      <c r="BC165" s="87"/>
      <c r="BD165" s="87"/>
      <c r="BE165" s="87"/>
      <c r="BF165" s="87"/>
      <c r="BG165" s="87"/>
      <c r="BH165" s="87"/>
      <c r="CE165" s="26"/>
      <c r="CF165" s="26"/>
      <c r="CG165" s="26"/>
      <c r="CH165" s="26" t="str">
        <f>_xll.ReferenceParams(CG165,$CH$6 )</f>
        <v/>
      </c>
      <c r="CI165" s="35" t="str">
        <f>_xll.ReferenceParams(CG165,$CI$6 )</f>
        <v/>
      </c>
      <c r="CJ165" s="35" t="str">
        <f>_xll.ReferenceParams(CG165,$CJ$6)</f>
        <v/>
      </c>
      <c r="CK165" s="26" t="str">
        <f t="shared" si="43"/>
        <v/>
      </c>
      <c r="CL165" s="26"/>
      <c r="DL165" s="1"/>
    </row>
    <row r="166" spans="4:116" x14ac:dyDescent="0.3">
      <c r="D166" s="28">
        <f t="shared" si="42"/>
        <v>45859</v>
      </c>
      <c r="E166" s="86">
        <f>_xll.CbondsClosePrice($B$1,D166,$B$27)</f>
        <v>93.82</v>
      </c>
      <c r="F166" s="131">
        <f t="shared" si="41"/>
        <v>93.82</v>
      </c>
      <c r="O166" s="1"/>
      <c r="W166" s="87"/>
      <c r="X166" s="87"/>
      <c r="Y166" s="87"/>
      <c r="Z166" s="87"/>
      <c r="AA166" s="87"/>
      <c r="AB166" s="87"/>
      <c r="AM166" s="87"/>
      <c r="AN166" s="87"/>
      <c r="AO166" s="87"/>
      <c r="AP166" s="87"/>
      <c r="AQ166" s="87"/>
      <c r="AR166" s="87"/>
      <c r="BC166" s="87"/>
      <c r="BD166" s="87"/>
      <c r="BE166" s="87"/>
      <c r="BF166" s="87"/>
      <c r="BG166" s="87"/>
      <c r="BH166" s="87"/>
      <c r="CE166" s="26"/>
      <c r="CF166" s="26"/>
      <c r="CG166" s="26"/>
      <c r="CH166" s="26" t="str">
        <f>_xll.ReferenceParams(CG166,$CH$6 )</f>
        <v/>
      </c>
      <c r="CI166" s="35" t="str">
        <f>_xll.ReferenceParams(CG166,$CI$6 )</f>
        <v/>
      </c>
      <c r="CJ166" s="35" t="str">
        <f>_xll.ReferenceParams(CG166,$CJ$6)</f>
        <v/>
      </c>
      <c r="CK166" s="26" t="str">
        <f t="shared" si="43"/>
        <v/>
      </c>
      <c r="CL166" s="26"/>
      <c r="DL166" s="1"/>
    </row>
    <row r="167" spans="4:116" x14ac:dyDescent="0.3">
      <c r="D167" s="28">
        <f t="shared" si="42"/>
        <v>45858</v>
      </c>
      <c r="E167" s="86" t="str">
        <f>_xll.CbondsClosePrice($B$1,D167,$B$27)</f>
        <v>Нет данных</v>
      </c>
      <c r="F167" s="131">
        <f t="shared" si="41"/>
        <v>93.75</v>
      </c>
      <c r="O167" s="1"/>
      <c r="W167" s="87"/>
      <c r="X167" s="87"/>
      <c r="Y167" s="87"/>
      <c r="Z167" s="87"/>
      <c r="AA167" s="87"/>
      <c r="AB167" s="87"/>
      <c r="AC167" s="87"/>
      <c r="AD167" s="87"/>
      <c r="AE167" s="87"/>
      <c r="AF167" s="87"/>
      <c r="AM167" s="87"/>
      <c r="AN167" s="87"/>
      <c r="AO167" s="87"/>
      <c r="AP167" s="87"/>
      <c r="AQ167" s="87"/>
      <c r="AR167" s="87"/>
      <c r="AS167" s="87"/>
      <c r="AT167" s="87"/>
      <c r="AU167" s="87"/>
      <c r="AV167" s="87"/>
      <c r="BC167" s="87"/>
      <c r="BD167" s="87"/>
      <c r="BE167" s="87"/>
      <c r="BF167" s="87"/>
      <c r="BG167" s="87"/>
      <c r="BH167" s="87"/>
      <c r="CE167" s="26"/>
      <c r="CF167" s="26"/>
      <c r="CG167" s="26"/>
      <c r="CH167" s="26" t="str">
        <f>_xll.ReferenceParams(CG167,$CH$6 )</f>
        <v/>
      </c>
      <c r="CI167" s="35" t="str">
        <f>_xll.ReferenceParams(CG167,$CI$6 )</f>
        <v/>
      </c>
      <c r="CJ167" s="35" t="str">
        <f>_xll.ReferenceParams(CG167,$CJ$6)</f>
        <v/>
      </c>
      <c r="CK167" s="26" t="str">
        <f t="shared" ref="CK167:CK198" si="44">IF(CG167 = "","",IF(AND(CH167="В обращении",CI167&lt;=$B$2,CJ167 = "Облигация"),1,0))</f>
        <v/>
      </c>
      <c r="CL167" s="26"/>
      <c r="DL167" s="1"/>
    </row>
    <row r="168" spans="4:116" x14ac:dyDescent="0.3">
      <c r="D168" s="28">
        <f t="shared" si="42"/>
        <v>45857</v>
      </c>
      <c r="E168" s="86" t="str">
        <f>_xll.CbondsClosePrice($B$1,D168,$B$27)</f>
        <v>Нет данных</v>
      </c>
      <c r="F168" s="131">
        <f t="shared" si="41"/>
        <v>93.75</v>
      </c>
      <c r="O168" s="1"/>
      <c r="W168" s="87"/>
      <c r="X168" s="87"/>
      <c r="Y168" s="87"/>
      <c r="Z168" s="87"/>
      <c r="AA168" s="87"/>
      <c r="AB168" s="87"/>
      <c r="AC168" s="87"/>
      <c r="AD168" s="87"/>
      <c r="AE168" s="87"/>
      <c r="AF168" s="87"/>
      <c r="AM168" s="87"/>
      <c r="AN168" s="87"/>
      <c r="AO168" s="87"/>
      <c r="AP168" s="87"/>
      <c r="AQ168" s="87"/>
      <c r="AR168" s="87"/>
      <c r="AS168" s="87"/>
      <c r="AT168" s="87"/>
      <c r="AU168" s="87"/>
      <c r="AV168" s="87"/>
      <c r="BC168" s="87"/>
      <c r="BD168" s="87"/>
      <c r="BE168" s="87"/>
      <c r="BF168" s="87"/>
      <c r="BG168" s="87"/>
      <c r="BH168" s="87"/>
      <c r="CE168" s="26"/>
      <c r="CF168" s="26"/>
      <c r="CG168" s="26"/>
      <c r="CH168" s="26" t="str">
        <f>_xll.ReferenceParams(CG168,$CH$6 )</f>
        <v/>
      </c>
      <c r="CI168" s="35" t="str">
        <f>_xll.ReferenceParams(CG168,$CI$6 )</f>
        <v/>
      </c>
      <c r="CJ168" s="35" t="str">
        <f>_xll.ReferenceParams(CG168,$CJ$6)</f>
        <v/>
      </c>
      <c r="CK168" s="26" t="str">
        <f t="shared" si="44"/>
        <v/>
      </c>
      <c r="CL168" s="26"/>
      <c r="DL168" s="1"/>
    </row>
    <row r="169" spans="4:116" x14ac:dyDescent="0.3">
      <c r="D169" s="28">
        <f t="shared" si="42"/>
        <v>45856</v>
      </c>
      <c r="E169" s="86">
        <f>_xll.CbondsClosePrice($B$1,D169,$B$27)</f>
        <v>93.75</v>
      </c>
      <c r="F169" s="131">
        <f t="shared" si="41"/>
        <v>93.75</v>
      </c>
      <c r="O169" s="1"/>
      <c r="W169" s="87"/>
      <c r="X169" s="87"/>
      <c r="Y169" s="87"/>
      <c r="Z169" s="87"/>
      <c r="AA169" s="87"/>
      <c r="AB169" s="87"/>
      <c r="AC169" s="87"/>
      <c r="AD169" s="87"/>
      <c r="AE169" s="87"/>
      <c r="AF169" s="87"/>
      <c r="AM169" s="87"/>
      <c r="AN169" s="87"/>
      <c r="AO169" s="87"/>
      <c r="AP169" s="87"/>
      <c r="AQ169" s="87"/>
      <c r="AR169" s="87"/>
      <c r="AS169" s="87"/>
      <c r="AT169" s="87"/>
      <c r="AU169" s="87"/>
      <c r="AV169" s="87"/>
      <c r="BC169" s="87"/>
      <c r="BD169" s="87"/>
      <c r="BE169" s="87"/>
      <c r="BF169" s="87"/>
      <c r="BG169" s="87"/>
      <c r="BH169" s="87"/>
      <c r="CE169" s="26"/>
      <c r="CF169" s="26"/>
      <c r="CG169" s="26"/>
      <c r="CH169" s="26" t="str">
        <f>_xll.ReferenceParams(CG169,$CH$6 )</f>
        <v/>
      </c>
      <c r="CI169" s="35" t="str">
        <f>_xll.ReferenceParams(CG169,$CI$6 )</f>
        <v/>
      </c>
      <c r="CJ169" s="35" t="str">
        <f>_xll.ReferenceParams(CG169,$CJ$6)</f>
        <v/>
      </c>
      <c r="CK169" s="26" t="str">
        <f t="shared" si="44"/>
        <v/>
      </c>
      <c r="CL169" s="26"/>
      <c r="DL169" s="1"/>
    </row>
    <row r="170" spans="4:116" x14ac:dyDescent="0.3">
      <c r="D170" s="28">
        <f t="shared" si="42"/>
        <v>45855</v>
      </c>
      <c r="E170" s="86">
        <f>_xll.CbondsClosePrice($B$1,D170,$B$27)</f>
        <v>93.5</v>
      </c>
      <c r="F170" s="131">
        <f t="shared" si="41"/>
        <v>93.5</v>
      </c>
      <c r="O170" s="1"/>
      <c r="W170" s="87"/>
      <c r="X170" s="87"/>
      <c r="Y170" s="87"/>
      <c r="Z170" s="87"/>
      <c r="AA170" s="87"/>
      <c r="AB170" s="87"/>
      <c r="AC170" s="87"/>
      <c r="AD170" s="87"/>
      <c r="AE170" s="87"/>
      <c r="AF170" s="87"/>
      <c r="AM170" s="87"/>
      <c r="AN170" s="87"/>
      <c r="AO170" s="87"/>
      <c r="AP170" s="87"/>
      <c r="AQ170" s="87"/>
      <c r="AR170" s="87"/>
      <c r="AS170" s="87"/>
      <c r="AT170" s="87"/>
      <c r="AU170" s="87"/>
      <c r="AV170" s="87"/>
      <c r="BC170" s="87"/>
      <c r="BD170" s="87"/>
      <c r="BE170" s="87"/>
      <c r="BF170" s="87"/>
      <c r="BG170" s="87"/>
      <c r="BH170" s="87"/>
      <c r="CE170" s="26"/>
      <c r="CF170" s="26"/>
      <c r="CG170" s="26"/>
      <c r="CH170" s="26" t="str">
        <f>_xll.ReferenceParams(CG170,$CH$6 )</f>
        <v/>
      </c>
      <c r="CI170" s="35" t="str">
        <f>_xll.ReferenceParams(CG170,$CI$6 )</f>
        <v/>
      </c>
      <c r="CJ170" s="35" t="str">
        <f>_xll.ReferenceParams(CG170,$CJ$6)</f>
        <v/>
      </c>
      <c r="CK170" s="26" t="str">
        <f t="shared" si="44"/>
        <v/>
      </c>
      <c r="CL170" s="26"/>
      <c r="DL170" s="1"/>
    </row>
    <row r="171" spans="4:116" x14ac:dyDescent="0.3">
      <c r="D171" s="28">
        <f t="shared" si="42"/>
        <v>45854</v>
      </c>
      <c r="E171" s="86">
        <f>_xll.CbondsClosePrice($B$1,D171,$B$27)</f>
        <v>93.77</v>
      </c>
      <c r="F171" s="131">
        <f t="shared" si="41"/>
        <v>93.77</v>
      </c>
      <c r="O171" s="1"/>
      <c r="T171" s="87"/>
      <c r="U171" s="87"/>
      <c r="V171" s="87"/>
      <c r="W171" s="87"/>
      <c r="X171" s="87"/>
      <c r="Y171" s="87"/>
      <c r="Z171" s="87"/>
      <c r="AA171" s="87"/>
      <c r="AB171" s="87"/>
      <c r="AI171" s="87"/>
      <c r="AJ171" s="87"/>
      <c r="AK171" s="87"/>
      <c r="AL171" s="87"/>
      <c r="AM171" s="87"/>
      <c r="AN171" s="87"/>
      <c r="AO171" s="87"/>
      <c r="AP171" s="87"/>
      <c r="AQ171" s="87"/>
      <c r="AR171" s="87"/>
      <c r="BC171" s="87"/>
      <c r="BD171" s="87"/>
      <c r="BE171" s="87"/>
      <c r="BF171" s="87"/>
      <c r="BG171" s="87"/>
      <c r="BH171" s="87"/>
      <c r="CE171" s="26"/>
      <c r="CF171" s="26"/>
      <c r="CG171" s="26"/>
      <c r="CH171" s="26" t="str">
        <f>_xll.ReferenceParams(CG171,$CH$6 )</f>
        <v/>
      </c>
      <c r="CI171" s="35" t="str">
        <f>_xll.ReferenceParams(CG171,$CI$6 )</f>
        <v/>
      </c>
      <c r="CJ171" s="35" t="str">
        <f>_xll.ReferenceParams(CG171,$CJ$6)</f>
        <v/>
      </c>
      <c r="CK171" s="26" t="str">
        <f t="shared" si="44"/>
        <v/>
      </c>
      <c r="CL171" s="26"/>
      <c r="DL171" s="1"/>
    </row>
    <row r="172" spans="4:116" x14ac:dyDescent="0.3">
      <c r="D172" s="28">
        <f t="shared" si="42"/>
        <v>45853</v>
      </c>
      <c r="E172" s="86">
        <f>_xll.CbondsClosePrice($B$1,D172,$B$27)</f>
        <v>93.26</v>
      </c>
      <c r="F172" s="131">
        <f t="shared" si="41"/>
        <v>93.26</v>
      </c>
      <c r="O172" s="1"/>
      <c r="T172" s="87"/>
      <c r="U172" s="87"/>
      <c r="V172" s="87"/>
      <c r="W172" s="87"/>
      <c r="X172" s="87"/>
      <c r="Y172" s="87"/>
      <c r="Z172" s="87"/>
      <c r="AA172" s="87"/>
      <c r="AB172" s="87"/>
      <c r="AI172" s="87"/>
      <c r="AJ172" s="87"/>
      <c r="AK172" s="87"/>
      <c r="AL172" s="87"/>
      <c r="AM172" s="87"/>
      <c r="AN172" s="87"/>
      <c r="AO172" s="87"/>
      <c r="AP172" s="87"/>
      <c r="AQ172" s="87"/>
      <c r="AR172" s="87"/>
      <c r="BC172" s="87"/>
      <c r="BD172" s="87"/>
      <c r="BE172" s="87"/>
      <c r="BF172" s="87"/>
      <c r="BG172" s="87"/>
      <c r="BH172" s="87"/>
      <c r="CE172" s="26"/>
      <c r="CF172" s="26"/>
      <c r="CG172" s="26"/>
      <c r="CH172" s="26" t="str">
        <f>_xll.ReferenceParams(CG172,$CH$6 )</f>
        <v/>
      </c>
      <c r="CI172" s="35" t="str">
        <f>_xll.ReferenceParams(CG172,$CI$6 )</f>
        <v/>
      </c>
      <c r="CJ172" s="35" t="str">
        <f>_xll.ReferenceParams(CG172,$CJ$6)</f>
        <v/>
      </c>
      <c r="CK172" s="26" t="str">
        <f t="shared" si="44"/>
        <v/>
      </c>
      <c r="CL172" s="26"/>
      <c r="DL172" s="1"/>
    </row>
    <row r="173" spans="4:116" x14ac:dyDescent="0.3">
      <c r="D173" s="28">
        <f t="shared" si="42"/>
        <v>45852</v>
      </c>
      <c r="E173" s="86">
        <f>_xll.CbondsClosePrice($B$1,D173,$B$27)</f>
        <v>93</v>
      </c>
      <c r="F173" s="131">
        <f t="shared" si="41"/>
        <v>93</v>
      </c>
      <c r="O173" s="1"/>
      <c r="T173" s="87"/>
      <c r="U173" s="87"/>
      <c r="V173" s="87"/>
      <c r="W173" s="87"/>
      <c r="X173" s="87"/>
      <c r="Y173" s="87"/>
      <c r="Z173" s="87"/>
      <c r="AA173" s="87"/>
      <c r="AB173" s="87"/>
      <c r="AI173" s="87"/>
      <c r="AJ173" s="87"/>
      <c r="AK173" s="87"/>
      <c r="AL173" s="87"/>
      <c r="AM173" s="87"/>
      <c r="AN173" s="87"/>
      <c r="AO173" s="87"/>
      <c r="AP173" s="87"/>
      <c r="AQ173" s="87"/>
      <c r="AR173" s="87"/>
      <c r="BC173" s="87"/>
      <c r="BD173" s="87"/>
      <c r="BE173" s="87"/>
      <c r="BF173" s="87"/>
      <c r="BG173" s="87"/>
      <c r="BH173" s="87"/>
      <c r="CE173" s="26"/>
      <c r="CF173" s="26"/>
      <c r="CG173" s="26"/>
      <c r="CH173" s="26" t="str">
        <f>_xll.ReferenceParams(CG173,$CH$6 )</f>
        <v/>
      </c>
      <c r="CI173" s="35" t="str">
        <f>_xll.ReferenceParams(CG173,$CI$6 )</f>
        <v/>
      </c>
      <c r="CJ173" s="35" t="str">
        <f>_xll.ReferenceParams(CG173,$CJ$6)</f>
        <v/>
      </c>
      <c r="CK173" s="26" t="str">
        <f t="shared" si="44"/>
        <v/>
      </c>
      <c r="CL173" s="26"/>
      <c r="DL173" s="1"/>
    </row>
    <row r="174" spans="4:116" x14ac:dyDescent="0.3">
      <c r="D174" s="28">
        <f t="shared" si="42"/>
        <v>45851</v>
      </c>
      <c r="E174" s="86" t="str">
        <f>_xll.CbondsClosePrice($B$1,D174,$B$27)</f>
        <v>Нет данных</v>
      </c>
      <c r="F174" s="131">
        <f t="shared" si="41"/>
        <v>93.08</v>
      </c>
      <c r="O174" s="1"/>
      <c r="T174" s="87"/>
      <c r="U174" s="87"/>
      <c r="V174" s="87"/>
      <c r="W174" s="87"/>
      <c r="X174" s="87"/>
      <c r="Y174" s="87"/>
      <c r="Z174" s="87"/>
      <c r="AA174" s="87"/>
      <c r="AB174" s="87"/>
      <c r="AI174" s="87"/>
      <c r="AJ174" s="87"/>
      <c r="AK174" s="87"/>
      <c r="AL174" s="87"/>
      <c r="AM174" s="87"/>
      <c r="AN174" s="87"/>
      <c r="AO174" s="87"/>
      <c r="AP174" s="87"/>
      <c r="AQ174" s="87"/>
      <c r="AR174" s="87"/>
      <c r="BC174" s="87"/>
      <c r="BD174" s="87"/>
      <c r="BE174" s="87"/>
      <c r="BF174" s="87"/>
      <c r="BG174" s="87"/>
      <c r="BH174" s="87"/>
      <c r="CE174" s="26"/>
      <c r="CF174" s="26"/>
      <c r="CG174" s="26"/>
      <c r="CH174" s="26" t="str">
        <f>_xll.ReferenceParams(CG174,$CH$6 )</f>
        <v/>
      </c>
      <c r="CI174" s="35" t="str">
        <f>_xll.ReferenceParams(CG174,$CI$6 )</f>
        <v/>
      </c>
      <c r="CJ174" s="35" t="str">
        <f>_xll.ReferenceParams(CG174,$CJ$6)</f>
        <v/>
      </c>
      <c r="CK174" s="26" t="str">
        <f t="shared" si="44"/>
        <v/>
      </c>
      <c r="CL174" s="26"/>
      <c r="DL174" s="1"/>
    </row>
    <row r="175" spans="4:116" x14ac:dyDescent="0.3">
      <c r="D175" s="28">
        <f t="shared" si="42"/>
        <v>45850</v>
      </c>
      <c r="E175" s="86" t="str">
        <f>_xll.CbondsClosePrice($B$1,D175,$B$27)</f>
        <v>Нет данных</v>
      </c>
      <c r="F175" s="131">
        <f t="shared" si="41"/>
        <v>93.08</v>
      </c>
      <c r="O175" s="1"/>
      <c r="T175" s="87"/>
      <c r="U175" s="87"/>
      <c r="V175" s="87"/>
      <c r="W175" s="87"/>
      <c r="X175" s="87"/>
      <c r="Y175" s="87"/>
      <c r="Z175" s="87"/>
      <c r="AA175" s="87"/>
      <c r="AB175" s="87"/>
      <c r="AI175" s="87"/>
      <c r="AJ175" s="87"/>
      <c r="AK175" s="87"/>
      <c r="AL175" s="87"/>
      <c r="AM175" s="87"/>
      <c r="AN175" s="87"/>
      <c r="AO175" s="87"/>
      <c r="AP175" s="87"/>
      <c r="AQ175" s="87"/>
      <c r="AR175" s="87"/>
      <c r="BC175" s="87"/>
      <c r="BD175" s="87"/>
      <c r="BE175" s="87"/>
      <c r="BF175" s="87"/>
      <c r="BG175" s="87"/>
      <c r="BH175" s="87"/>
      <c r="CE175" s="26"/>
      <c r="CF175" s="26"/>
      <c r="CG175" s="26"/>
      <c r="CH175" s="26" t="str">
        <f>_xll.ReferenceParams(CG175,$CH$6 )</f>
        <v/>
      </c>
      <c r="CI175" s="35" t="str">
        <f>_xll.ReferenceParams(CG175,$CI$6 )</f>
        <v/>
      </c>
      <c r="CJ175" s="35" t="str">
        <f>_xll.ReferenceParams(CG175,$CJ$6)</f>
        <v/>
      </c>
      <c r="CK175" s="26" t="str">
        <f t="shared" si="44"/>
        <v/>
      </c>
      <c r="CL175" s="26"/>
      <c r="DL175" s="1"/>
    </row>
    <row r="176" spans="4:116" x14ac:dyDescent="0.3">
      <c r="D176" s="28">
        <f t="shared" si="42"/>
        <v>45849</v>
      </c>
      <c r="E176" s="86">
        <f>_xll.CbondsClosePrice($B$1,D176,$B$27)</f>
        <v>93.08</v>
      </c>
      <c r="F176" s="131">
        <f t="shared" si="41"/>
        <v>93.08</v>
      </c>
      <c r="O176" s="1"/>
      <c r="T176" s="87"/>
      <c r="U176" s="87"/>
      <c r="V176" s="87"/>
      <c r="W176" s="87"/>
      <c r="X176" s="87"/>
      <c r="Y176" s="87"/>
      <c r="Z176" s="87"/>
      <c r="AA176" s="87"/>
      <c r="AB176" s="87"/>
      <c r="AI176" s="87"/>
      <c r="AJ176" s="87"/>
      <c r="AK176" s="87"/>
      <c r="AL176" s="87"/>
      <c r="AM176" s="87"/>
      <c r="AN176" s="87"/>
      <c r="AO176" s="87"/>
      <c r="AP176" s="87"/>
      <c r="AQ176" s="87"/>
      <c r="AR176" s="87"/>
      <c r="BC176" s="87"/>
      <c r="BD176" s="87"/>
      <c r="BE176" s="87"/>
      <c r="BF176" s="87"/>
      <c r="BG176" s="87"/>
      <c r="BH176" s="87"/>
      <c r="CE176" s="26"/>
      <c r="CF176" s="26"/>
      <c r="CG176" s="26"/>
      <c r="CH176" s="26" t="str">
        <f>_xll.ReferenceParams(CG176,$CH$6 )</f>
        <v/>
      </c>
      <c r="CI176" s="35" t="str">
        <f>_xll.ReferenceParams(CG176,$CI$6 )</f>
        <v/>
      </c>
      <c r="CJ176" s="35" t="str">
        <f>_xll.ReferenceParams(CG176,$CJ$6)</f>
        <v/>
      </c>
      <c r="CK176" s="26" t="str">
        <f t="shared" si="44"/>
        <v/>
      </c>
      <c r="CL176" s="26"/>
      <c r="DL176" s="1"/>
    </row>
    <row r="177" spans="4:116" x14ac:dyDescent="0.3">
      <c r="D177" s="28">
        <f t="shared" si="42"/>
        <v>45848</v>
      </c>
      <c r="E177" s="86">
        <f>_xll.CbondsClosePrice($B$1,D177,$B$27)</f>
        <v>92.82</v>
      </c>
      <c r="F177" s="131">
        <f t="shared" si="41"/>
        <v>92.82</v>
      </c>
      <c r="O177" s="1"/>
      <c r="T177" s="87"/>
      <c r="U177" s="87"/>
      <c r="V177" s="87"/>
      <c r="W177" s="87"/>
      <c r="X177" s="87"/>
      <c r="Y177" s="87"/>
      <c r="Z177" s="87"/>
      <c r="AA177" s="87"/>
      <c r="AB177" s="87"/>
      <c r="AI177" s="87"/>
      <c r="AJ177" s="87"/>
      <c r="AK177" s="87"/>
      <c r="AL177" s="87"/>
      <c r="AM177" s="87"/>
      <c r="AN177" s="87"/>
      <c r="AO177" s="87"/>
      <c r="AP177" s="87"/>
      <c r="AQ177" s="87"/>
      <c r="AR177" s="87"/>
      <c r="BC177" s="87"/>
      <c r="BD177" s="87"/>
      <c r="BE177" s="87"/>
      <c r="BF177" s="87"/>
      <c r="BG177" s="87"/>
      <c r="BH177" s="87"/>
      <c r="CE177" s="26"/>
      <c r="CF177" s="26"/>
      <c r="CG177" s="26"/>
      <c r="CH177" s="26" t="str">
        <f>_xll.ReferenceParams(CG177,$CH$6 )</f>
        <v/>
      </c>
      <c r="CI177" s="35" t="str">
        <f>_xll.ReferenceParams(CG177,$CI$6 )</f>
        <v/>
      </c>
      <c r="CJ177" s="35" t="str">
        <f>_xll.ReferenceParams(CG177,$CJ$6)</f>
        <v/>
      </c>
      <c r="CK177" s="26" t="str">
        <f t="shared" si="44"/>
        <v/>
      </c>
      <c r="CL177" s="26"/>
      <c r="DL177" s="1"/>
    </row>
    <row r="178" spans="4:116" x14ac:dyDescent="0.3">
      <c r="D178" s="28">
        <f t="shared" si="42"/>
        <v>45847</v>
      </c>
      <c r="E178" s="86">
        <f>_xll.CbondsClosePrice($B$1,D178,$B$27)</f>
        <v>92.5</v>
      </c>
      <c r="F178" s="131">
        <f t="shared" si="41"/>
        <v>92.5</v>
      </c>
      <c r="O178" s="1"/>
      <c r="T178" s="87"/>
      <c r="U178" s="87"/>
      <c r="V178" s="87"/>
      <c r="W178" s="87"/>
      <c r="X178" s="87"/>
      <c r="Y178" s="87"/>
      <c r="Z178" s="87"/>
      <c r="AA178" s="87"/>
      <c r="AB178" s="87"/>
      <c r="AI178" s="87"/>
      <c r="AJ178" s="87"/>
      <c r="AK178" s="87"/>
      <c r="AL178" s="87"/>
      <c r="AM178" s="87"/>
      <c r="AN178" s="87"/>
      <c r="AO178" s="87"/>
      <c r="AP178" s="87"/>
      <c r="AQ178" s="87"/>
      <c r="AR178" s="87"/>
      <c r="BC178" s="87"/>
      <c r="BD178" s="87"/>
      <c r="BE178" s="87"/>
      <c r="BF178" s="87"/>
      <c r="BG178" s="87"/>
      <c r="BH178" s="87"/>
      <c r="CE178" s="26"/>
      <c r="CF178" s="26"/>
      <c r="CG178" s="26"/>
      <c r="CH178" s="26" t="str">
        <f>_xll.ReferenceParams(CG178,$CH$6 )</f>
        <v/>
      </c>
      <c r="CI178" s="35" t="str">
        <f>_xll.ReferenceParams(CG178,$CI$6 )</f>
        <v/>
      </c>
      <c r="CJ178" s="35" t="str">
        <f>_xll.ReferenceParams(CG178,$CJ$6)</f>
        <v/>
      </c>
      <c r="CK178" s="26" t="str">
        <f t="shared" si="44"/>
        <v/>
      </c>
      <c r="CL178" s="26"/>
      <c r="DL178" s="1"/>
    </row>
    <row r="179" spans="4:116" x14ac:dyDescent="0.3">
      <c r="D179" s="28">
        <f t="shared" si="42"/>
        <v>45846</v>
      </c>
      <c r="E179" s="86">
        <f>_xll.CbondsClosePrice($B$1,D179,$B$27)</f>
        <v>92.61</v>
      </c>
      <c r="F179" s="131">
        <f t="shared" si="41"/>
        <v>92.61</v>
      </c>
      <c r="O179" s="1"/>
      <c r="T179" s="87"/>
      <c r="U179" s="87"/>
      <c r="V179" s="87"/>
      <c r="W179" s="87"/>
      <c r="X179" s="87"/>
      <c r="Y179" s="87"/>
      <c r="Z179" s="87"/>
      <c r="AA179" s="87"/>
      <c r="AB179" s="87"/>
      <c r="AI179" s="87"/>
      <c r="AJ179" s="87"/>
      <c r="AK179" s="87"/>
      <c r="AL179" s="87"/>
      <c r="AM179" s="87"/>
      <c r="AN179" s="87"/>
      <c r="AO179" s="87"/>
      <c r="AP179" s="87"/>
      <c r="AQ179" s="87"/>
      <c r="AR179" s="87"/>
      <c r="BC179" s="87"/>
      <c r="BD179" s="87"/>
      <c r="BE179" s="87"/>
      <c r="BF179" s="87"/>
      <c r="BG179" s="87"/>
      <c r="BH179" s="87"/>
      <c r="CE179" s="26"/>
      <c r="CF179" s="26"/>
      <c r="CG179" s="26"/>
      <c r="CH179" s="26" t="str">
        <f>_xll.ReferenceParams(CG179,$CH$6 )</f>
        <v/>
      </c>
      <c r="CI179" s="35" t="str">
        <f>_xll.ReferenceParams(CG179,$CI$6 )</f>
        <v/>
      </c>
      <c r="CJ179" s="35" t="str">
        <f>_xll.ReferenceParams(CG179,$CJ$6)</f>
        <v/>
      </c>
      <c r="CK179" s="26" t="str">
        <f t="shared" si="44"/>
        <v/>
      </c>
      <c r="CL179" s="26"/>
      <c r="DL179" s="1"/>
    </row>
    <row r="180" spans="4:116" x14ac:dyDescent="0.3">
      <c r="D180" s="28">
        <f t="shared" si="42"/>
        <v>45845</v>
      </c>
      <c r="E180" s="86">
        <f>_xll.CbondsClosePrice($B$1,D180,$B$27)</f>
        <v>92.46</v>
      </c>
      <c r="F180" s="131">
        <f t="shared" si="41"/>
        <v>92.46</v>
      </c>
      <c r="O180" s="1"/>
      <c r="T180" s="87"/>
      <c r="U180" s="87"/>
      <c r="V180" s="87"/>
      <c r="W180" s="87"/>
      <c r="X180" s="87"/>
      <c r="Y180" s="87"/>
      <c r="Z180" s="87"/>
      <c r="AA180" s="87"/>
      <c r="AB180" s="87"/>
      <c r="AI180" s="87"/>
      <c r="AJ180" s="87"/>
      <c r="AK180" s="87"/>
      <c r="AL180" s="87"/>
      <c r="AM180" s="87"/>
      <c r="AN180" s="87"/>
      <c r="AO180" s="87"/>
      <c r="AP180" s="87"/>
      <c r="AQ180" s="87"/>
      <c r="AR180" s="87"/>
      <c r="BC180" s="87"/>
      <c r="BD180" s="87"/>
      <c r="BE180" s="87"/>
      <c r="BF180" s="87"/>
      <c r="BG180" s="87"/>
      <c r="BH180" s="87"/>
      <c r="CE180" s="26"/>
      <c r="CF180" s="26"/>
      <c r="CG180" s="26"/>
      <c r="CH180" s="26" t="str">
        <f>_xll.ReferenceParams(CG180,$CH$6 )</f>
        <v/>
      </c>
      <c r="CI180" s="35" t="str">
        <f>_xll.ReferenceParams(CG180,$CI$6 )</f>
        <v/>
      </c>
      <c r="CJ180" s="35" t="str">
        <f>_xll.ReferenceParams(CG180,$CJ$6)</f>
        <v/>
      </c>
      <c r="CK180" s="26" t="str">
        <f t="shared" si="44"/>
        <v/>
      </c>
      <c r="CL180" s="26"/>
      <c r="DL180" s="1"/>
    </row>
    <row r="181" spans="4:116" x14ac:dyDescent="0.3">
      <c r="D181" s="28">
        <f t="shared" si="42"/>
        <v>45844</v>
      </c>
      <c r="E181" s="86" t="str">
        <f>_xll.CbondsClosePrice($B$1,D181,$B$27)</f>
        <v>Нет данных</v>
      </c>
      <c r="F181" s="131">
        <f t="shared" si="41"/>
        <v>92.51</v>
      </c>
      <c r="O181" s="1"/>
      <c r="T181" s="87"/>
      <c r="U181" s="87"/>
      <c r="V181" s="87"/>
      <c r="W181" s="87"/>
      <c r="X181" s="87"/>
      <c r="Y181" s="87"/>
      <c r="Z181" s="87"/>
      <c r="AA181" s="87"/>
      <c r="AB181" s="87"/>
      <c r="AI181" s="87"/>
      <c r="AJ181" s="87"/>
      <c r="AK181" s="87"/>
      <c r="AL181" s="87"/>
      <c r="AM181" s="87"/>
      <c r="AN181" s="87"/>
      <c r="AO181" s="87"/>
      <c r="AP181" s="87"/>
      <c r="AQ181" s="87"/>
      <c r="AR181" s="87"/>
      <c r="BC181" s="87"/>
      <c r="BD181" s="87"/>
      <c r="BE181" s="87"/>
      <c r="BF181" s="87"/>
      <c r="BG181" s="87"/>
      <c r="BH181" s="87"/>
      <c r="CE181" s="26"/>
      <c r="CF181" s="26"/>
      <c r="CG181" s="26"/>
      <c r="CH181" s="26" t="str">
        <f>_xll.ReferenceParams(CG181,$CH$6 )</f>
        <v/>
      </c>
      <c r="CI181" s="35" t="str">
        <f>_xll.ReferenceParams(CG181,$CI$6 )</f>
        <v/>
      </c>
      <c r="CJ181" s="35" t="str">
        <f>_xll.ReferenceParams(CG181,$CJ$6)</f>
        <v/>
      </c>
      <c r="CK181" s="26" t="str">
        <f t="shared" si="44"/>
        <v/>
      </c>
      <c r="CL181" s="26"/>
      <c r="DL181" s="1"/>
    </row>
    <row r="182" spans="4:116" x14ac:dyDescent="0.3">
      <c r="D182" s="28">
        <f t="shared" si="42"/>
        <v>45843</v>
      </c>
      <c r="E182" s="86" t="str">
        <f>_xll.CbondsClosePrice($B$1,D182,$B$27)</f>
        <v>Нет данных</v>
      </c>
      <c r="F182" s="131">
        <f t="shared" si="41"/>
        <v>92.51</v>
      </c>
      <c r="O182" s="1"/>
      <c r="T182" s="87"/>
      <c r="U182" s="87"/>
      <c r="V182" s="87"/>
      <c r="W182" s="87"/>
      <c r="X182" s="87"/>
      <c r="Y182" s="87"/>
      <c r="Z182" s="87"/>
      <c r="AA182" s="87"/>
      <c r="AB182" s="87"/>
      <c r="AI182" s="87"/>
      <c r="AJ182" s="87"/>
      <c r="AK182" s="87"/>
      <c r="AL182" s="87"/>
      <c r="AM182" s="87"/>
      <c r="AN182" s="87"/>
      <c r="AO182" s="87"/>
      <c r="AP182" s="87"/>
      <c r="AQ182" s="87"/>
      <c r="AR182" s="87"/>
      <c r="BC182" s="87"/>
      <c r="BD182" s="87"/>
      <c r="BE182" s="87"/>
      <c r="BF182" s="87"/>
      <c r="BG182" s="87"/>
      <c r="BH182" s="87"/>
      <c r="CE182" s="26"/>
      <c r="CF182" s="26"/>
      <c r="CG182" s="26"/>
      <c r="CH182" s="26" t="str">
        <f>_xll.ReferenceParams(CG182,$CH$6 )</f>
        <v/>
      </c>
      <c r="CI182" s="35" t="str">
        <f>_xll.ReferenceParams(CG182,$CI$6 )</f>
        <v/>
      </c>
      <c r="CJ182" s="35" t="str">
        <f>_xll.ReferenceParams(CG182,$CJ$6)</f>
        <v/>
      </c>
      <c r="CK182" s="26" t="str">
        <f t="shared" si="44"/>
        <v/>
      </c>
      <c r="CL182" s="26"/>
      <c r="DL182" s="1"/>
    </row>
    <row r="183" spans="4:116" x14ac:dyDescent="0.3">
      <c r="D183" s="28">
        <f t="shared" si="42"/>
        <v>45842</v>
      </c>
      <c r="E183" s="86">
        <f>_xll.CbondsClosePrice($B$1,D183,$B$27)</f>
        <v>92.51</v>
      </c>
      <c r="F183" s="131">
        <f t="shared" si="41"/>
        <v>92.51</v>
      </c>
      <c r="O183" s="1"/>
      <c r="T183" s="87"/>
      <c r="U183" s="87"/>
      <c r="V183" s="87"/>
      <c r="W183" s="87"/>
      <c r="X183" s="87"/>
      <c r="Y183" s="87"/>
      <c r="Z183" s="87"/>
      <c r="AA183" s="87"/>
      <c r="AB183" s="87"/>
      <c r="AI183" s="87"/>
      <c r="AJ183" s="87"/>
      <c r="AK183" s="87"/>
      <c r="AL183" s="87"/>
      <c r="AM183" s="87"/>
      <c r="AN183" s="87"/>
      <c r="AO183" s="87"/>
      <c r="AP183" s="87"/>
      <c r="AQ183" s="87"/>
      <c r="AR183" s="87"/>
      <c r="BC183" s="87"/>
      <c r="BD183" s="87"/>
      <c r="BE183" s="87"/>
      <c r="BF183" s="87"/>
      <c r="BG183" s="87"/>
      <c r="BH183" s="87"/>
      <c r="CE183" s="26"/>
      <c r="CF183" s="26"/>
      <c r="CG183" s="26"/>
      <c r="CH183" s="26" t="str">
        <f>_xll.ReferenceParams(CG183,$CH$6 )</f>
        <v/>
      </c>
      <c r="CI183" s="35" t="str">
        <f>_xll.ReferenceParams(CG183,$CI$6 )</f>
        <v/>
      </c>
      <c r="CJ183" s="35" t="str">
        <f>_xll.ReferenceParams(CG183,$CJ$6)</f>
        <v/>
      </c>
      <c r="CK183" s="26" t="str">
        <f t="shared" si="44"/>
        <v/>
      </c>
      <c r="CL183" s="26"/>
      <c r="DL183" s="1"/>
    </row>
    <row r="184" spans="4:116" x14ac:dyDescent="0.3">
      <c r="D184" s="28">
        <f t="shared" si="42"/>
        <v>45841</v>
      </c>
      <c r="E184" s="86">
        <f>_xll.CbondsClosePrice($B$1,D184,$B$27)</f>
        <v>92.51</v>
      </c>
      <c r="F184" s="131">
        <f t="shared" si="41"/>
        <v>92.51</v>
      </c>
      <c r="O184" s="1"/>
      <c r="T184" s="87"/>
      <c r="U184" s="87"/>
      <c r="V184" s="87"/>
      <c r="W184" s="87"/>
      <c r="X184" s="87"/>
      <c r="Y184" s="87"/>
      <c r="Z184" s="87"/>
      <c r="AA184" s="87"/>
      <c r="AB184" s="87"/>
      <c r="AI184" s="87"/>
      <c r="AJ184" s="87"/>
      <c r="AK184" s="87"/>
      <c r="AL184" s="87"/>
      <c r="AM184" s="87"/>
      <c r="AN184" s="87"/>
      <c r="AO184" s="87"/>
      <c r="AP184" s="87"/>
      <c r="AQ184" s="87"/>
      <c r="AR184" s="87"/>
      <c r="BC184" s="87"/>
      <c r="BD184" s="87"/>
      <c r="BE184" s="87"/>
      <c r="BF184" s="87"/>
      <c r="BG184" s="87"/>
      <c r="BH184" s="87"/>
      <c r="CE184" s="26"/>
      <c r="CF184" s="26"/>
      <c r="CG184" s="26"/>
      <c r="CH184" s="26" t="str">
        <f>_xll.ReferenceParams(CG184,$CH$6 )</f>
        <v/>
      </c>
      <c r="CI184" s="35" t="str">
        <f>_xll.ReferenceParams(CG184,$CI$6 )</f>
        <v/>
      </c>
      <c r="CJ184" s="35" t="str">
        <f>_xll.ReferenceParams(CG184,$CJ$6)</f>
        <v/>
      </c>
      <c r="CK184" s="26" t="str">
        <f t="shared" si="44"/>
        <v/>
      </c>
      <c r="CL184" s="26"/>
      <c r="DL184" s="1"/>
    </row>
    <row r="185" spans="4:116" x14ac:dyDescent="0.3">
      <c r="D185" s="28">
        <f t="shared" si="42"/>
        <v>45840</v>
      </c>
      <c r="E185" s="86">
        <f>_xll.CbondsClosePrice($B$1,D185,$B$27)</f>
        <v>92.1</v>
      </c>
      <c r="F185" s="131">
        <f t="shared" si="41"/>
        <v>92.1</v>
      </c>
      <c r="O185" s="1"/>
      <c r="T185" s="87"/>
      <c r="U185" s="87"/>
      <c r="V185" s="87"/>
      <c r="W185" s="87"/>
      <c r="X185" s="87"/>
      <c r="Y185" s="87"/>
      <c r="Z185" s="87"/>
      <c r="AA185" s="87"/>
      <c r="AB185" s="87"/>
      <c r="AI185" s="87"/>
      <c r="AJ185" s="87"/>
      <c r="AK185" s="87"/>
      <c r="AL185" s="87"/>
      <c r="AM185" s="87"/>
      <c r="AN185" s="87"/>
      <c r="AO185" s="87"/>
      <c r="AP185" s="87"/>
      <c r="AQ185" s="87"/>
      <c r="AR185" s="87"/>
      <c r="BC185" s="87"/>
      <c r="BD185" s="87"/>
      <c r="BE185" s="87"/>
      <c r="BF185" s="87"/>
      <c r="BG185" s="87"/>
      <c r="BH185" s="87"/>
      <c r="CE185" s="26"/>
      <c r="CF185" s="26"/>
      <c r="CG185" s="26"/>
      <c r="CH185" s="26" t="str">
        <f>_xll.ReferenceParams(CG185,$CH$6 )</f>
        <v/>
      </c>
      <c r="CI185" s="35" t="str">
        <f>_xll.ReferenceParams(CG185,$CI$6 )</f>
        <v/>
      </c>
      <c r="CJ185" s="35" t="str">
        <f>_xll.ReferenceParams(CG185,$CJ$6)</f>
        <v/>
      </c>
      <c r="CK185" s="26" t="str">
        <f t="shared" si="44"/>
        <v/>
      </c>
      <c r="CL185" s="26"/>
      <c r="DL185" s="1"/>
    </row>
    <row r="186" spans="4:116" x14ac:dyDescent="0.3">
      <c r="D186" s="28">
        <f t="shared" si="42"/>
        <v>45839</v>
      </c>
      <c r="E186" s="86">
        <f>_xll.CbondsClosePrice($B$1,D186,$B$27)</f>
        <v>92.1</v>
      </c>
      <c r="F186" s="131">
        <f t="shared" si="41"/>
        <v>92.1</v>
      </c>
      <c r="O186" s="1"/>
      <c r="T186" s="87"/>
      <c r="U186" s="87"/>
      <c r="V186" s="87"/>
      <c r="W186" s="87"/>
      <c r="X186" s="87"/>
      <c r="Y186" s="87"/>
      <c r="Z186" s="87"/>
      <c r="AA186" s="87"/>
      <c r="AB186" s="87"/>
      <c r="AI186" s="87"/>
      <c r="AJ186" s="87"/>
      <c r="AK186" s="87"/>
      <c r="AL186" s="87"/>
      <c r="AM186" s="87"/>
      <c r="AN186" s="87"/>
      <c r="AO186" s="87"/>
      <c r="AP186" s="87"/>
      <c r="AQ186" s="87"/>
      <c r="AR186" s="87"/>
      <c r="BC186" s="87"/>
      <c r="BD186" s="87"/>
      <c r="BE186" s="87"/>
      <c r="BF186" s="87"/>
      <c r="BG186" s="87"/>
      <c r="BH186" s="87"/>
      <c r="CE186" s="26"/>
      <c r="CF186" s="26"/>
      <c r="CG186" s="26"/>
      <c r="CH186" s="26" t="str">
        <f>_xll.ReferenceParams(CG186,$CH$6 )</f>
        <v/>
      </c>
      <c r="CI186" s="35" t="str">
        <f>_xll.ReferenceParams(CG186,$CI$6 )</f>
        <v/>
      </c>
      <c r="CJ186" s="35" t="str">
        <f>_xll.ReferenceParams(CG186,$CJ$6)</f>
        <v/>
      </c>
      <c r="CK186" s="26" t="str">
        <f t="shared" si="44"/>
        <v/>
      </c>
      <c r="CL186" s="26"/>
      <c r="DL186" s="1"/>
    </row>
    <row r="187" spans="4:116" x14ac:dyDescent="0.3">
      <c r="D187" s="28">
        <f t="shared" si="42"/>
        <v>45838</v>
      </c>
      <c r="E187" s="86">
        <f>_xll.CbondsClosePrice($B$1,D187,$B$27)</f>
        <v>91.86</v>
      </c>
      <c r="F187" s="131">
        <f t="shared" si="41"/>
        <v>91.86</v>
      </c>
      <c r="O187" s="1"/>
      <c r="T187" s="87"/>
      <c r="U187" s="87"/>
      <c r="V187" s="87"/>
      <c r="W187" s="87"/>
      <c r="X187" s="87"/>
      <c r="Y187" s="87"/>
      <c r="Z187" s="87"/>
      <c r="AA187" s="87"/>
      <c r="AB187" s="87"/>
      <c r="AI187" s="87"/>
      <c r="AJ187" s="87"/>
      <c r="AK187" s="87"/>
      <c r="AL187" s="87"/>
      <c r="AM187" s="87"/>
      <c r="AN187" s="87"/>
      <c r="AO187" s="87"/>
      <c r="AP187" s="87"/>
      <c r="AQ187" s="87"/>
      <c r="AR187" s="87"/>
      <c r="BC187" s="87"/>
      <c r="BD187" s="87"/>
      <c r="BE187" s="87"/>
      <c r="BF187" s="87"/>
      <c r="BG187" s="87"/>
      <c r="BH187" s="87"/>
      <c r="CE187" s="26"/>
      <c r="CF187" s="26"/>
      <c r="CG187" s="26"/>
      <c r="CH187" s="26" t="str">
        <f>_xll.ReferenceParams(CG187,$CH$6 )</f>
        <v/>
      </c>
      <c r="CI187" s="35" t="str">
        <f>_xll.ReferenceParams(CG187,$CI$6 )</f>
        <v/>
      </c>
      <c r="CJ187" s="35" t="str">
        <f>_xll.ReferenceParams(CG187,$CJ$6)</f>
        <v/>
      </c>
      <c r="CK187" s="26" t="str">
        <f t="shared" si="44"/>
        <v/>
      </c>
      <c r="CL187" s="26"/>
      <c r="DL187" s="1"/>
    </row>
    <row r="188" spans="4:116" x14ac:dyDescent="0.3">
      <c r="D188" s="28">
        <f t="shared" si="42"/>
        <v>45837</v>
      </c>
      <c r="E188" s="86" t="str">
        <f>_xll.CbondsClosePrice($B$1,D188,$B$27)</f>
        <v>Нет данных</v>
      </c>
      <c r="F188" s="131">
        <f t="shared" si="41"/>
        <v>91.71</v>
      </c>
      <c r="O188" s="1"/>
      <c r="T188" s="87"/>
      <c r="U188" s="87"/>
      <c r="V188" s="87"/>
      <c r="W188" s="87"/>
      <c r="X188" s="87"/>
      <c r="Y188" s="87"/>
      <c r="Z188" s="87"/>
      <c r="AA188" s="87"/>
      <c r="AB188" s="87"/>
      <c r="AI188" s="87"/>
      <c r="AJ188" s="87"/>
      <c r="AK188" s="87"/>
      <c r="AL188" s="87"/>
      <c r="AM188" s="87"/>
      <c r="AN188" s="87"/>
      <c r="AO188" s="87"/>
      <c r="AP188" s="87"/>
      <c r="AQ188" s="87"/>
      <c r="AR188" s="87"/>
      <c r="BC188" s="87"/>
      <c r="BD188" s="87"/>
      <c r="BE188" s="87"/>
      <c r="BF188" s="87"/>
      <c r="BG188" s="87"/>
      <c r="BH188" s="87"/>
      <c r="CE188" s="26"/>
      <c r="CF188" s="26"/>
      <c r="CG188" s="26"/>
      <c r="CH188" s="26" t="str">
        <f>_xll.ReferenceParams(CG188,$CH$6 )</f>
        <v/>
      </c>
      <c r="CI188" s="35" t="str">
        <f>_xll.ReferenceParams(CG188,$CI$6 )</f>
        <v/>
      </c>
      <c r="CJ188" s="35" t="str">
        <f>_xll.ReferenceParams(CG188,$CJ$6)</f>
        <v/>
      </c>
      <c r="CK188" s="26" t="str">
        <f t="shared" si="44"/>
        <v/>
      </c>
      <c r="CL188" s="26"/>
      <c r="DL188" s="1"/>
    </row>
    <row r="189" spans="4:116" x14ac:dyDescent="0.3">
      <c r="D189" s="28">
        <f t="shared" si="42"/>
        <v>45836</v>
      </c>
      <c r="E189" s="86" t="str">
        <f>_xll.CbondsClosePrice($B$1,D189,$B$27)</f>
        <v>Нет данных</v>
      </c>
      <c r="F189" s="131">
        <f t="shared" si="41"/>
        <v>91.71</v>
      </c>
      <c r="O189" s="1"/>
      <c r="T189" s="87"/>
      <c r="U189" s="87"/>
      <c r="V189" s="87"/>
      <c r="W189" s="87"/>
      <c r="X189" s="87"/>
      <c r="Y189" s="87"/>
      <c r="Z189" s="87"/>
      <c r="AA189" s="87"/>
      <c r="AB189" s="87"/>
      <c r="AI189" s="87"/>
      <c r="AJ189" s="87"/>
      <c r="AK189" s="87"/>
      <c r="AL189" s="87"/>
      <c r="AM189" s="87"/>
      <c r="AN189" s="87"/>
      <c r="AO189" s="87"/>
      <c r="AP189" s="87"/>
      <c r="AQ189" s="87"/>
      <c r="AR189" s="87"/>
      <c r="BC189" s="87"/>
      <c r="BD189" s="87"/>
      <c r="BE189" s="87"/>
      <c r="BF189" s="87"/>
      <c r="BG189" s="87"/>
      <c r="BH189" s="87"/>
      <c r="CE189" s="26"/>
      <c r="CF189" s="26"/>
      <c r="CG189" s="26"/>
      <c r="CH189" s="26" t="str">
        <f>_xll.ReferenceParams(CG189,$CH$6 )</f>
        <v/>
      </c>
      <c r="CI189" s="35" t="str">
        <f>_xll.ReferenceParams(CG189,$CI$6 )</f>
        <v/>
      </c>
      <c r="CJ189" s="35" t="str">
        <f>_xll.ReferenceParams(CG189,$CJ$6)</f>
        <v/>
      </c>
      <c r="CK189" s="26" t="str">
        <f t="shared" si="44"/>
        <v/>
      </c>
      <c r="CL189" s="26"/>
      <c r="DL189" s="1"/>
    </row>
    <row r="190" spans="4:116" x14ac:dyDescent="0.3">
      <c r="D190" s="28">
        <f t="shared" si="42"/>
        <v>45835</v>
      </c>
      <c r="E190" s="86">
        <f>_xll.CbondsClosePrice($B$1,D190,$B$27)</f>
        <v>91.71</v>
      </c>
      <c r="F190" s="131">
        <f t="shared" si="41"/>
        <v>91.71</v>
      </c>
      <c r="O190" s="1"/>
      <c r="T190" s="87"/>
      <c r="U190" s="87"/>
      <c r="V190" s="87"/>
      <c r="W190" s="87"/>
      <c r="X190" s="87"/>
      <c r="Y190" s="87"/>
      <c r="Z190" s="87"/>
      <c r="AA190" s="87"/>
      <c r="AB190" s="87"/>
      <c r="AI190" s="87"/>
      <c r="AJ190" s="87"/>
      <c r="AK190" s="87"/>
      <c r="AL190" s="87"/>
      <c r="AM190" s="87"/>
      <c r="AN190" s="87"/>
      <c r="AO190" s="87"/>
      <c r="AP190" s="87"/>
      <c r="AQ190" s="87"/>
      <c r="AR190" s="87"/>
      <c r="BC190" s="87"/>
      <c r="BD190" s="87"/>
      <c r="BE190" s="87"/>
      <c r="BF190" s="87"/>
      <c r="BG190" s="87"/>
      <c r="BH190" s="87"/>
      <c r="CE190" s="26"/>
      <c r="CF190" s="26"/>
      <c r="CG190" s="26"/>
      <c r="CH190" s="26" t="str">
        <f>_xll.ReferenceParams(CG190,$CH$6 )</f>
        <v/>
      </c>
      <c r="CI190" s="35" t="str">
        <f>_xll.ReferenceParams(CG190,$CI$6 )</f>
        <v/>
      </c>
      <c r="CJ190" s="35" t="str">
        <f>_xll.ReferenceParams(CG190,$CJ$6)</f>
        <v/>
      </c>
      <c r="CK190" s="26" t="str">
        <f t="shared" si="44"/>
        <v/>
      </c>
      <c r="CL190" s="26"/>
      <c r="DL190" s="1"/>
    </row>
    <row r="191" spans="4:116" x14ac:dyDescent="0.3">
      <c r="D191" s="28">
        <f t="shared" si="42"/>
        <v>45834</v>
      </c>
      <c r="E191" s="86">
        <f>_xll.CbondsClosePrice($B$1,D191,$B$27)</f>
        <v>91.6</v>
      </c>
      <c r="F191" s="131">
        <f t="shared" si="41"/>
        <v>91.6</v>
      </c>
      <c r="O191" s="1"/>
      <c r="T191" s="87"/>
      <c r="U191" s="87"/>
      <c r="V191" s="87"/>
      <c r="W191" s="87"/>
      <c r="X191" s="87"/>
      <c r="Y191" s="87"/>
      <c r="Z191" s="87"/>
      <c r="AA191" s="87"/>
      <c r="AB191" s="87"/>
      <c r="AI191" s="87"/>
      <c r="AJ191" s="87"/>
      <c r="AK191" s="87"/>
      <c r="AL191" s="87"/>
      <c r="AM191" s="87"/>
      <c r="AN191" s="87"/>
      <c r="AO191" s="87"/>
      <c r="AP191" s="87"/>
      <c r="AQ191" s="87"/>
      <c r="AR191" s="87"/>
      <c r="BC191" s="87"/>
      <c r="BD191" s="87"/>
      <c r="BE191" s="87"/>
      <c r="BF191" s="87"/>
      <c r="BG191" s="87"/>
      <c r="BH191" s="87"/>
      <c r="CE191" s="26"/>
      <c r="CF191" s="26"/>
      <c r="CG191" s="26"/>
      <c r="CH191" s="26" t="str">
        <f>_xll.ReferenceParams(CG191,$CH$6 )</f>
        <v/>
      </c>
      <c r="CI191" s="35" t="str">
        <f>_xll.ReferenceParams(CG191,$CI$6 )</f>
        <v/>
      </c>
      <c r="CJ191" s="35" t="str">
        <f>_xll.ReferenceParams(CG191,$CJ$6)</f>
        <v/>
      </c>
      <c r="CK191" s="26" t="str">
        <f t="shared" si="44"/>
        <v/>
      </c>
      <c r="CL191" s="26"/>
      <c r="DL191" s="1"/>
    </row>
    <row r="192" spans="4:116" x14ac:dyDescent="0.3">
      <c r="D192" s="28">
        <f t="shared" si="42"/>
        <v>45833</v>
      </c>
      <c r="E192" s="86">
        <f>_xll.CbondsClosePrice($B$1,D192,$B$27)</f>
        <v>91.58</v>
      </c>
      <c r="F192" s="131">
        <f t="shared" si="41"/>
        <v>91.58</v>
      </c>
      <c r="O192" s="1"/>
      <c r="T192" s="87"/>
      <c r="U192" s="87"/>
      <c r="V192" s="87"/>
      <c r="W192" s="87"/>
      <c r="X192" s="87"/>
      <c r="Y192" s="87"/>
      <c r="Z192" s="87"/>
      <c r="AA192" s="87"/>
      <c r="AB192" s="87"/>
      <c r="AI192" s="87"/>
      <c r="AJ192" s="87"/>
      <c r="AK192" s="87"/>
      <c r="AL192" s="87"/>
      <c r="AM192" s="87"/>
      <c r="AN192" s="87"/>
      <c r="AO192" s="87"/>
      <c r="AP192" s="87"/>
      <c r="AQ192" s="87"/>
      <c r="AR192" s="87"/>
      <c r="BC192" s="87"/>
      <c r="BD192" s="87"/>
      <c r="BE192" s="87"/>
      <c r="BF192" s="87"/>
      <c r="BG192" s="87"/>
      <c r="BH192" s="87"/>
      <c r="CE192" s="26"/>
      <c r="CF192" s="26"/>
      <c r="CG192" s="26"/>
      <c r="CH192" s="26" t="str">
        <f>_xll.ReferenceParams(CG192,$CH$6 )</f>
        <v/>
      </c>
      <c r="CI192" s="35" t="str">
        <f>_xll.ReferenceParams(CG192,$CI$6 )</f>
        <v/>
      </c>
      <c r="CJ192" s="35" t="str">
        <f>_xll.ReferenceParams(CG192,$CJ$6)</f>
        <v/>
      </c>
      <c r="CK192" s="26" t="str">
        <f t="shared" si="44"/>
        <v/>
      </c>
      <c r="CL192" s="26"/>
      <c r="DL192" s="1"/>
    </row>
    <row r="193" spans="4:116" x14ac:dyDescent="0.3">
      <c r="D193" s="28">
        <f t="shared" si="42"/>
        <v>45832</v>
      </c>
      <c r="E193" s="86">
        <f>_xll.CbondsClosePrice($B$1,D193,$B$27)</f>
        <v>91.37</v>
      </c>
      <c r="F193" s="131">
        <f t="shared" si="41"/>
        <v>91.37</v>
      </c>
      <c r="O193" s="1"/>
      <c r="T193" s="87"/>
      <c r="U193" s="87"/>
      <c r="V193" s="87"/>
      <c r="W193" s="87"/>
      <c r="X193" s="87"/>
      <c r="Y193" s="87"/>
      <c r="Z193" s="87"/>
      <c r="AA193" s="87"/>
      <c r="AB193" s="87"/>
      <c r="AI193" s="87"/>
      <c r="AJ193" s="87"/>
      <c r="AK193" s="87"/>
      <c r="AL193" s="87"/>
      <c r="AM193" s="87"/>
      <c r="AN193" s="87"/>
      <c r="AO193" s="87"/>
      <c r="AP193" s="87"/>
      <c r="AQ193" s="87"/>
      <c r="AR193" s="87"/>
      <c r="BC193" s="87"/>
      <c r="BD193" s="87"/>
      <c r="BE193" s="87"/>
      <c r="BF193" s="87"/>
      <c r="BG193" s="87"/>
      <c r="BH193" s="87"/>
      <c r="CE193" s="26"/>
      <c r="CF193" s="26"/>
      <c r="CG193" s="26"/>
      <c r="CH193" s="26" t="str">
        <f>_xll.ReferenceParams(CG193,$CH$6 )</f>
        <v/>
      </c>
      <c r="CI193" s="35" t="str">
        <f>_xll.ReferenceParams(CG193,$CI$6 )</f>
        <v/>
      </c>
      <c r="CJ193" s="35" t="str">
        <f>_xll.ReferenceParams(CG193,$CJ$6)</f>
        <v/>
      </c>
      <c r="CK193" s="26" t="str">
        <f t="shared" si="44"/>
        <v/>
      </c>
      <c r="CL193" s="26"/>
      <c r="DL193" s="1"/>
    </row>
    <row r="194" spans="4:116" x14ac:dyDescent="0.3">
      <c r="D194" s="28">
        <f t="shared" si="42"/>
        <v>45831</v>
      </c>
      <c r="E194" s="86">
        <f>_xll.CbondsClosePrice($B$1,D194,$B$27)</f>
        <v>91.29</v>
      </c>
      <c r="F194" s="131">
        <f t="shared" si="41"/>
        <v>91.29</v>
      </c>
      <c r="O194" s="1"/>
      <c r="T194" s="87"/>
      <c r="U194" s="87"/>
      <c r="V194" s="87"/>
      <c r="W194" s="87"/>
      <c r="X194" s="87"/>
      <c r="Y194" s="87"/>
      <c r="Z194" s="87"/>
      <c r="AA194" s="87"/>
      <c r="AB194" s="87"/>
      <c r="AI194" s="87"/>
      <c r="AJ194" s="87"/>
      <c r="AK194" s="87"/>
      <c r="AL194" s="87"/>
      <c r="AM194" s="87"/>
      <c r="AN194" s="87"/>
      <c r="AO194" s="87"/>
      <c r="AP194" s="87"/>
      <c r="AQ194" s="87"/>
      <c r="AR194" s="87"/>
      <c r="BC194" s="87"/>
      <c r="BD194" s="87"/>
      <c r="BE194" s="87"/>
      <c r="BF194" s="87"/>
      <c r="BG194" s="87"/>
      <c r="BH194" s="87"/>
      <c r="CE194" s="26"/>
      <c r="CF194" s="26"/>
      <c r="CG194" s="26"/>
      <c r="CH194" s="26" t="str">
        <f>_xll.ReferenceParams(CG194,$CH$6 )</f>
        <v/>
      </c>
      <c r="CI194" s="35" t="str">
        <f>_xll.ReferenceParams(CG194,$CI$6 )</f>
        <v/>
      </c>
      <c r="CJ194" s="35" t="str">
        <f>_xll.ReferenceParams(CG194,$CJ$6)</f>
        <v/>
      </c>
      <c r="CK194" s="26" t="str">
        <f t="shared" si="44"/>
        <v/>
      </c>
      <c r="CL194" s="26"/>
      <c r="DL194" s="1"/>
    </row>
    <row r="195" spans="4:116" x14ac:dyDescent="0.3">
      <c r="D195" s="28">
        <f t="shared" si="42"/>
        <v>45830</v>
      </c>
      <c r="E195" s="86" t="str">
        <f>_xll.CbondsClosePrice($B$1,D195,$B$27)</f>
        <v>Нет данных</v>
      </c>
      <c r="F195" s="131">
        <f t="shared" ref="F195:F258" si="45">IF(IF(AND(E195="",D195=""),"",IF(AND(E195="Нет данных",D195&lt;&gt;""),F196,E195)) = 0,"",IF(AND(E195="",D195=""),"",IF(AND(E195="Нет данных",D195&lt;&gt;""),F196,E195)))</f>
        <v>91.27</v>
      </c>
      <c r="O195" s="1"/>
      <c r="T195" s="87"/>
      <c r="U195" s="87"/>
      <c r="V195" s="87"/>
      <c r="W195" s="87"/>
      <c r="X195" s="87"/>
      <c r="Y195" s="87"/>
      <c r="Z195" s="87"/>
      <c r="AA195" s="87"/>
      <c r="AB195" s="87"/>
      <c r="AI195" s="87"/>
      <c r="AJ195" s="87"/>
      <c r="AK195" s="87"/>
      <c r="AL195" s="87"/>
      <c r="AM195" s="87"/>
      <c r="AN195" s="87"/>
      <c r="AO195" s="87"/>
      <c r="AP195" s="87"/>
      <c r="AQ195" s="87"/>
      <c r="AR195" s="87"/>
      <c r="BC195" s="87"/>
      <c r="BD195" s="87"/>
      <c r="BE195" s="87"/>
      <c r="BF195" s="87"/>
      <c r="BG195" s="87"/>
      <c r="BH195" s="87"/>
      <c r="CE195" s="26"/>
      <c r="CF195" s="26"/>
      <c r="CG195" s="26"/>
      <c r="CH195" s="26" t="str">
        <f>_xll.ReferenceParams(CG195,$CH$6 )</f>
        <v/>
      </c>
      <c r="CI195" s="35" t="str">
        <f>_xll.ReferenceParams(CG195,$CI$6 )</f>
        <v/>
      </c>
      <c r="CJ195" s="35" t="str">
        <f>_xll.ReferenceParams(CG195,$CJ$6)</f>
        <v/>
      </c>
      <c r="CK195" s="26" t="str">
        <f t="shared" si="44"/>
        <v/>
      </c>
      <c r="CL195" s="26"/>
      <c r="DL195" s="1"/>
    </row>
    <row r="196" spans="4:116" x14ac:dyDescent="0.3">
      <c r="D196" s="28">
        <f t="shared" ref="D196:D259" si="46">D195-1</f>
        <v>45829</v>
      </c>
      <c r="E196" s="86" t="str">
        <f>_xll.CbondsClosePrice($B$1,D196,$B$27)</f>
        <v>Нет данных</v>
      </c>
      <c r="F196" s="131">
        <f t="shared" si="45"/>
        <v>91.27</v>
      </c>
      <c r="O196" s="1"/>
      <c r="T196" s="87"/>
      <c r="U196" s="87"/>
      <c r="V196" s="87"/>
      <c r="W196" s="87"/>
      <c r="X196" s="87"/>
      <c r="Y196" s="87"/>
      <c r="Z196" s="87"/>
      <c r="AA196" s="87"/>
      <c r="AB196" s="87"/>
      <c r="AI196" s="87"/>
      <c r="AJ196" s="87"/>
      <c r="AK196" s="87"/>
      <c r="AL196" s="87"/>
      <c r="AM196" s="87"/>
      <c r="AN196" s="87"/>
      <c r="AO196" s="87"/>
      <c r="AP196" s="87"/>
      <c r="AQ196" s="87"/>
      <c r="AR196" s="87"/>
      <c r="BC196" s="87"/>
      <c r="BD196" s="87"/>
      <c r="BE196" s="87"/>
      <c r="BF196" s="87"/>
      <c r="BG196" s="87"/>
      <c r="BH196" s="87"/>
      <c r="CE196" s="26"/>
      <c r="CF196" s="26"/>
      <c r="CG196" s="26"/>
      <c r="CH196" s="26" t="str">
        <f>_xll.ReferenceParams(CG196,$CH$6 )</f>
        <v/>
      </c>
      <c r="CI196" s="35" t="str">
        <f>_xll.ReferenceParams(CG196,$CI$6 )</f>
        <v/>
      </c>
      <c r="CJ196" s="35" t="str">
        <f>_xll.ReferenceParams(CG196,$CJ$6)</f>
        <v/>
      </c>
      <c r="CK196" s="26" t="str">
        <f t="shared" si="44"/>
        <v/>
      </c>
      <c r="CL196" s="26"/>
      <c r="DL196" s="1"/>
    </row>
    <row r="197" spans="4:116" x14ac:dyDescent="0.3">
      <c r="D197" s="28">
        <f t="shared" si="46"/>
        <v>45828</v>
      </c>
      <c r="E197" s="86">
        <f>_xll.CbondsClosePrice($B$1,D197,$B$27)</f>
        <v>91.27</v>
      </c>
      <c r="F197" s="131">
        <f t="shared" si="45"/>
        <v>91.27</v>
      </c>
      <c r="O197" s="1"/>
      <c r="T197" s="87"/>
      <c r="U197" s="87"/>
      <c r="V197" s="87"/>
      <c r="W197" s="87"/>
      <c r="X197" s="87"/>
      <c r="Y197" s="87"/>
      <c r="Z197" s="87"/>
      <c r="AA197" s="87"/>
      <c r="AB197" s="87"/>
      <c r="AI197" s="87"/>
      <c r="AJ197" s="87"/>
      <c r="AK197" s="87"/>
      <c r="AL197" s="87"/>
      <c r="AM197" s="87"/>
      <c r="AN197" s="87"/>
      <c r="AO197" s="87"/>
      <c r="AP197" s="87"/>
      <c r="AQ197" s="87"/>
      <c r="AR197" s="87"/>
      <c r="BC197" s="87"/>
      <c r="BD197" s="87"/>
      <c r="BE197" s="87"/>
      <c r="BF197" s="87"/>
      <c r="BG197" s="87"/>
      <c r="BH197" s="87"/>
      <c r="CE197" s="26"/>
      <c r="CF197" s="26"/>
      <c r="CG197" s="26"/>
      <c r="CH197" s="26" t="str">
        <f>_xll.ReferenceParams(CG197,$CH$6 )</f>
        <v/>
      </c>
      <c r="CI197" s="35" t="str">
        <f>_xll.ReferenceParams(CG197,$CI$6 )</f>
        <v/>
      </c>
      <c r="CJ197" s="35" t="str">
        <f>_xll.ReferenceParams(CG197,$CJ$6)</f>
        <v/>
      </c>
      <c r="CK197" s="26" t="str">
        <f t="shared" si="44"/>
        <v/>
      </c>
      <c r="CL197" s="26"/>
      <c r="DL197" s="1"/>
    </row>
    <row r="198" spans="4:116" x14ac:dyDescent="0.3">
      <c r="D198" s="28">
        <f t="shared" si="46"/>
        <v>45827</v>
      </c>
      <c r="E198" s="86">
        <f>_xll.CbondsClosePrice($B$1,D198,$B$27)</f>
        <v>91.38</v>
      </c>
      <c r="F198" s="131">
        <f t="shared" si="45"/>
        <v>91.38</v>
      </c>
      <c r="O198" s="1"/>
      <c r="T198" s="87"/>
      <c r="U198" s="87"/>
      <c r="V198" s="87"/>
      <c r="W198" s="87"/>
      <c r="X198" s="87"/>
      <c r="Y198" s="87"/>
      <c r="Z198" s="87"/>
      <c r="AA198" s="87"/>
      <c r="AB198" s="87"/>
      <c r="AI198" s="87"/>
      <c r="AJ198" s="87"/>
      <c r="AK198" s="87"/>
      <c r="AL198" s="87"/>
      <c r="AM198" s="87"/>
      <c r="AN198" s="87"/>
      <c r="AO198" s="87"/>
      <c r="AP198" s="87"/>
      <c r="AQ198" s="87"/>
      <c r="AR198" s="87"/>
      <c r="BC198" s="87"/>
      <c r="BD198" s="87"/>
      <c r="BE198" s="87"/>
      <c r="BF198" s="87"/>
      <c r="BG198" s="87"/>
      <c r="BH198" s="87"/>
      <c r="CE198" s="26"/>
      <c r="CF198" s="26"/>
      <c r="CG198" s="26"/>
      <c r="CH198" s="26" t="str">
        <f>_xll.ReferenceParams(CG198,$CH$6 )</f>
        <v/>
      </c>
      <c r="CI198" s="35" t="str">
        <f>_xll.ReferenceParams(CG198,$CI$6 )</f>
        <v/>
      </c>
      <c r="CJ198" s="35" t="str">
        <f>_xll.ReferenceParams(CG198,$CJ$6)</f>
        <v/>
      </c>
      <c r="CK198" s="26" t="str">
        <f t="shared" si="44"/>
        <v/>
      </c>
      <c r="CL198" s="26"/>
      <c r="DL198" s="1"/>
    </row>
    <row r="199" spans="4:116" x14ac:dyDescent="0.3">
      <c r="D199" s="28">
        <f t="shared" si="46"/>
        <v>45826</v>
      </c>
      <c r="E199" s="86">
        <f>_xll.CbondsClosePrice($B$1,D199,$B$27)</f>
        <v>91.34</v>
      </c>
      <c r="F199" s="131">
        <f t="shared" si="45"/>
        <v>91.34</v>
      </c>
      <c r="O199" s="1"/>
      <c r="T199" s="87"/>
      <c r="U199" s="87"/>
      <c r="V199" s="87"/>
      <c r="W199" s="87"/>
      <c r="X199" s="87"/>
      <c r="Y199" s="87"/>
      <c r="Z199" s="87"/>
      <c r="AA199" s="87"/>
      <c r="AB199" s="87"/>
      <c r="AI199" s="87"/>
      <c r="AJ199" s="87"/>
      <c r="AK199" s="87"/>
      <c r="AL199" s="87"/>
      <c r="AM199" s="87"/>
      <c r="AN199" s="87"/>
      <c r="AO199" s="87"/>
      <c r="AP199" s="87"/>
      <c r="AQ199" s="87"/>
      <c r="AR199" s="87"/>
      <c r="BC199" s="87"/>
      <c r="BD199" s="87"/>
      <c r="BE199" s="87"/>
      <c r="BF199" s="87"/>
      <c r="BG199" s="87"/>
      <c r="BH199" s="87"/>
      <c r="CE199" s="26"/>
      <c r="CF199" s="26"/>
      <c r="CG199" s="26"/>
      <c r="CH199" s="26" t="str">
        <f>_xll.ReferenceParams(CG199,$CH$6 )</f>
        <v/>
      </c>
      <c r="CI199" s="35" t="str">
        <f>_xll.ReferenceParams(CG199,$CI$6 )</f>
        <v/>
      </c>
      <c r="CJ199" s="35" t="str">
        <f>_xll.ReferenceParams(CG199,$CJ$6)</f>
        <v/>
      </c>
      <c r="CK199" s="26" t="str">
        <f t="shared" ref="CK199:CK203" si="47">IF(CG199 = "","",IF(AND(CH199="В обращении",CI199&lt;=$B$2,CJ199 = "Облигация"),1,0))</f>
        <v/>
      </c>
      <c r="CL199" s="26"/>
      <c r="DL199" s="1"/>
    </row>
    <row r="200" spans="4:116" x14ac:dyDescent="0.3">
      <c r="D200" s="28">
        <f t="shared" si="46"/>
        <v>45825</v>
      </c>
      <c r="E200" s="86">
        <f>_xll.CbondsClosePrice($B$1,D200,$B$27)</f>
        <v>91.35</v>
      </c>
      <c r="F200" s="131">
        <f t="shared" si="45"/>
        <v>91.35</v>
      </c>
      <c r="O200" s="1"/>
      <c r="T200" s="87"/>
      <c r="U200" s="87"/>
      <c r="V200" s="87"/>
      <c r="W200" s="87"/>
      <c r="X200" s="87"/>
      <c r="Y200" s="87"/>
      <c r="Z200" s="87"/>
      <c r="AA200" s="87"/>
      <c r="AB200" s="87"/>
      <c r="AI200" s="87"/>
      <c r="AJ200" s="87"/>
      <c r="AK200" s="87"/>
      <c r="AL200" s="87"/>
      <c r="AM200" s="87"/>
      <c r="AN200" s="87"/>
      <c r="AO200" s="87"/>
      <c r="AP200" s="87"/>
      <c r="AQ200" s="87"/>
      <c r="AR200" s="87"/>
      <c r="BC200" s="87"/>
      <c r="BD200" s="87"/>
      <c r="BE200" s="87"/>
      <c r="BF200" s="87"/>
      <c r="BG200" s="87"/>
      <c r="BH200" s="87"/>
      <c r="CE200" s="26"/>
      <c r="CF200" s="26"/>
      <c r="CG200" s="26"/>
      <c r="CH200" s="26" t="str">
        <f>_xll.ReferenceParams(CG200,$CH$6 )</f>
        <v/>
      </c>
      <c r="CI200" s="35" t="str">
        <f>_xll.ReferenceParams(CG200,$CI$6 )</f>
        <v/>
      </c>
      <c r="CJ200" s="35" t="str">
        <f>_xll.ReferenceParams(CG200,$CJ$6)</f>
        <v/>
      </c>
      <c r="CK200" s="26" t="str">
        <f t="shared" si="47"/>
        <v/>
      </c>
      <c r="CL200" s="26"/>
      <c r="DL200" s="1"/>
    </row>
    <row r="201" spans="4:116" x14ac:dyDescent="0.3">
      <c r="D201" s="28">
        <f t="shared" si="46"/>
        <v>45824</v>
      </c>
      <c r="E201" s="86">
        <f>_xll.CbondsClosePrice($B$1,D201,$B$27)</f>
        <v>91.3</v>
      </c>
      <c r="F201" s="131">
        <f t="shared" si="45"/>
        <v>91.3</v>
      </c>
      <c r="O201" s="1"/>
      <c r="T201" s="87"/>
      <c r="U201" s="87"/>
      <c r="V201" s="87"/>
      <c r="W201" s="87"/>
      <c r="X201" s="87"/>
      <c r="Y201" s="87"/>
      <c r="Z201" s="87"/>
      <c r="AA201" s="87"/>
      <c r="AB201" s="87"/>
      <c r="AI201" s="87"/>
      <c r="AJ201" s="87"/>
      <c r="AK201" s="87"/>
      <c r="AL201" s="87"/>
      <c r="AM201" s="87"/>
      <c r="AN201" s="87"/>
      <c r="AO201" s="87"/>
      <c r="AP201" s="87"/>
      <c r="AQ201" s="87"/>
      <c r="AR201" s="87"/>
      <c r="BC201" s="87"/>
      <c r="BD201" s="87"/>
      <c r="BE201" s="87"/>
      <c r="BF201" s="87"/>
      <c r="BG201" s="87"/>
      <c r="BH201" s="87"/>
      <c r="CE201" s="26"/>
      <c r="CF201" s="26"/>
      <c r="CG201" s="26"/>
      <c r="CH201" s="26" t="str">
        <f>_xll.ReferenceParams(CG201,$CH$6 )</f>
        <v/>
      </c>
      <c r="CI201" s="35" t="str">
        <f>_xll.ReferenceParams(CG201,$CI$6 )</f>
        <v/>
      </c>
      <c r="CJ201" s="35" t="str">
        <f>_xll.ReferenceParams(CG201,$CJ$6)</f>
        <v/>
      </c>
      <c r="CK201" s="26" t="str">
        <f t="shared" si="47"/>
        <v/>
      </c>
      <c r="CL201" s="26"/>
      <c r="DL201" s="1"/>
    </row>
    <row r="202" spans="4:116" x14ac:dyDescent="0.3">
      <c r="D202" s="28">
        <f t="shared" si="46"/>
        <v>45823</v>
      </c>
      <c r="E202" s="86" t="str">
        <f>_xll.CbondsClosePrice($B$1,D202,$B$27)</f>
        <v>Нет данных</v>
      </c>
      <c r="F202" s="131">
        <f t="shared" si="45"/>
        <v>91.6</v>
      </c>
      <c r="O202" s="1"/>
      <c r="T202" s="87"/>
      <c r="U202" s="87"/>
      <c r="V202" s="87"/>
      <c r="W202" s="87"/>
      <c r="X202" s="87"/>
      <c r="Y202" s="87"/>
      <c r="Z202" s="87"/>
      <c r="AA202" s="87"/>
      <c r="AB202" s="87"/>
      <c r="AI202" s="87"/>
      <c r="AJ202" s="87"/>
      <c r="AK202" s="87"/>
      <c r="AL202" s="87"/>
      <c r="AM202" s="87"/>
      <c r="AN202" s="87"/>
      <c r="AO202" s="87"/>
      <c r="AP202" s="87"/>
      <c r="AQ202" s="87"/>
      <c r="AR202" s="87"/>
      <c r="BC202" s="87"/>
      <c r="BD202" s="87"/>
      <c r="BE202" s="87"/>
      <c r="BF202" s="87"/>
      <c r="BG202" s="87"/>
      <c r="BH202" s="87"/>
      <c r="CE202" s="26"/>
      <c r="CF202" s="26"/>
      <c r="CG202" s="26"/>
      <c r="CH202" s="26" t="str">
        <f>_xll.ReferenceParams(CG202,$CH$6 )</f>
        <v/>
      </c>
      <c r="CI202" s="35" t="str">
        <f>_xll.ReferenceParams(CG202,$CI$6 )</f>
        <v/>
      </c>
      <c r="CJ202" s="35" t="str">
        <f>_xll.ReferenceParams(CG202,$CJ$6)</f>
        <v/>
      </c>
      <c r="CK202" s="26" t="str">
        <f t="shared" si="47"/>
        <v/>
      </c>
      <c r="CL202" s="26"/>
      <c r="DL202" s="1"/>
    </row>
    <row r="203" spans="4:116" x14ac:dyDescent="0.3">
      <c r="D203" s="28">
        <f t="shared" si="46"/>
        <v>45822</v>
      </c>
      <c r="E203" s="86" t="str">
        <f>_xll.CbondsClosePrice($B$1,D203,$B$27)</f>
        <v>Нет данных</v>
      </c>
      <c r="F203" s="131">
        <f t="shared" si="45"/>
        <v>91.6</v>
      </c>
      <c r="O203" s="1"/>
      <c r="T203" s="87"/>
      <c r="U203" s="87"/>
      <c r="V203" s="87"/>
      <c r="W203" s="87"/>
      <c r="X203" s="87"/>
      <c r="Y203" s="87"/>
      <c r="Z203" s="87"/>
      <c r="AA203" s="87"/>
      <c r="AB203" s="87"/>
      <c r="AI203" s="87"/>
      <c r="AJ203" s="87"/>
      <c r="AK203" s="87"/>
      <c r="AL203" s="87"/>
      <c r="AM203" s="87"/>
      <c r="AN203" s="87"/>
      <c r="AO203" s="87"/>
      <c r="AP203" s="87"/>
      <c r="AQ203" s="87"/>
      <c r="AR203" s="87"/>
      <c r="BC203" s="87"/>
      <c r="BD203" s="87"/>
      <c r="BE203" s="87"/>
      <c r="BF203" s="87"/>
      <c r="BG203" s="87"/>
      <c r="BH203" s="87"/>
      <c r="CE203" s="26"/>
      <c r="CF203" s="26"/>
      <c r="CG203" s="26"/>
      <c r="CH203" s="26" t="str">
        <f>_xll.ReferenceParams(CG203,$CH$6 )</f>
        <v/>
      </c>
      <c r="CI203" s="35" t="str">
        <f>_xll.ReferenceParams(CG203,$CI$6 )</f>
        <v/>
      </c>
      <c r="CJ203" s="35" t="str">
        <f>_xll.ReferenceParams(CG203,$CJ$6)</f>
        <v/>
      </c>
      <c r="CK203" s="26" t="str">
        <f t="shared" si="47"/>
        <v/>
      </c>
      <c r="CL203" s="26"/>
      <c r="DL203" s="1"/>
    </row>
    <row r="204" spans="4:116" x14ac:dyDescent="0.3">
      <c r="D204" s="28">
        <f t="shared" si="46"/>
        <v>45821</v>
      </c>
      <c r="E204" s="86">
        <f>_xll.CbondsClosePrice($B$1,D204,$B$27)</f>
        <v>91.6</v>
      </c>
      <c r="F204" s="131">
        <f t="shared" si="45"/>
        <v>91.6</v>
      </c>
      <c r="O204" s="1"/>
      <c r="T204" s="87"/>
      <c r="U204" s="87"/>
      <c r="V204" s="87"/>
      <c r="W204" s="87"/>
      <c r="X204" s="87"/>
      <c r="Y204" s="87"/>
      <c r="Z204" s="87"/>
      <c r="AA204" s="87"/>
      <c r="AB204" s="87"/>
      <c r="AI204" s="87"/>
      <c r="AJ204" s="87"/>
      <c r="AK204" s="87"/>
      <c r="AL204" s="87"/>
      <c r="AM204" s="87"/>
      <c r="AN204" s="87"/>
      <c r="AO204" s="87"/>
      <c r="AP204" s="87"/>
      <c r="AQ204" s="87"/>
      <c r="AR204" s="87"/>
      <c r="BC204" s="87"/>
      <c r="BD204" s="87"/>
      <c r="BE204" s="87"/>
      <c r="BF204" s="87"/>
      <c r="BG204" s="87"/>
      <c r="BH204" s="87"/>
      <c r="DL204" s="1"/>
    </row>
    <row r="205" spans="4:116" x14ac:dyDescent="0.3">
      <c r="D205" s="28">
        <f t="shared" si="46"/>
        <v>45820</v>
      </c>
      <c r="E205" s="86" t="str">
        <f>_xll.CbondsClosePrice($B$1,D205,$B$27)</f>
        <v>Нет данных</v>
      </c>
      <c r="F205" s="131">
        <f t="shared" si="45"/>
        <v>91.5</v>
      </c>
      <c r="O205" s="1"/>
      <c r="T205" s="87"/>
      <c r="U205" s="87"/>
      <c r="V205" s="87"/>
      <c r="W205" s="87"/>
      <c r="X205" s="87"/>
      <c r="Y205" s="87"/>
      <c r="Z205" s="87"/>
      <c r="AA205" s="87"/>
      <c r="AB205" s="87"/>
      <c r="AI205" s="87"/>
      <c r="AJ205" s="87"/>
      <c r="AK205" s="87"/>
      <c r="AL205" s="87"/>
      <c r="AM205" s="87"/>
      <c r="AN205" s="87"/>
      <c r="AO205" s="87"/>
      <c r="AP205" s="87"/>
      <c r="AQ205" s="87"/>
      <c r="AR205" s="87"/>
      <c r="BC205" s="87"/>
      <c r="BD205" s="87"/>
      <c r="BE205" s="87"/>
      <c r="BF205" s="87"/>
      <c r="BG205" s="87"/>
      <c r="BH205" s="87"/>
      <c r="DL205" s="1"/>
    </row>
    <row r="206" spans="4:116" x14ac:dyDescent="0.3">
      <c r="D206" s="28">
        <f t="shared" si="46"/>
        <v>45819</v>
      </c>
      <c r="E206" s="86">
        <f>_xll.CbondsClosePrice($B$1,D206,$B$27)</f>
        <v>91.5</v>
      </c>
      <c r="F206" s="131">
        <f t="shared" si="45"/>
        <v>91.5</v>
      </c>
      <c r="O206" s="1"/>
      <c r="T206" s="87"/>
      <c r="U206" s="87"/>
      <c r="V206" s="87"/>
      <c r="W206" s="87"/>
      <c r="X206" s="87"/>
      <c r="Y206" s="87"/>
      <c r="Z206" s="87"/>
      <c r="AA206" s="87"/>
      <c r="AB206" s="87"/>
      <c r="AI206" s="87"/>
      <c r="AJ206" s="87"/>
      <c r="AK206" s="87"/>
      <c r="AL206" s="87"/>
      <c r="AM206" s="87"/>
      <c r="AN206" s="87"/>
      <c r="AO206" s="87"/>
      <c r="AP206" s="87"/>
      <c r="AQ206" s="87"/>
      <c r="AR206" s="87"/>
      <c r="BC206" s="87"/>
      <c r="BD206" s="87"/>
      <c r="BE206" s="87"/>
      <c r="BF206" s="87"/>
      <c r="BG206" s="87"/>
      <c r="BH206" s="87"/>
      <c r="DL206" s="1"/>
    </row>
    <row r="207" spans="4:116" x14ac:dyDescent="0.3">
      <c r="D207" s="28">
        <f t="shared" si="46"/>
        <v>45818</v>
      </c>
      <c r="E207" s="86">
        <f>_xll.CbondsClosePrice($B$1,D207,$B$27)</f>
        <v>91.28</v>
      </c>
      <c r="F207" s="131">
        <f t="shared" si="45"/>
        <v>91.28</v>
      </c>
      <c r="O207" s="1"/>
      <c r="T207" s="87"/>
      <c r="U207" s="87"/>
      <c r="V207" s="87"/>
      <c r="W207" s="87"/>
      <c r="X207" s="87"/>
      <c r="Y207" s="87"/>
      <c r="Z207" s="87"/>
      <c r="AA207" s="87"/>
      <c r="AB207" s="87"/>
      <c r="AI207" s="87"/>
      <c r="AJ207" s="87"/>
      <c r="AK207" s="87"/>
      <c r="AL207" s="87"/>
      <c r="AM207" s="87"/>
      <c r="AN207" s="87"/>
      <c r="AO207" s="87"/>
      <c r="AP207" s="87"/>
      <c r="AQ207" s="87"/>
      <c r="AR207" s="87"/>
      <c r="BC207" s="87"/>
      <c r="BD207" s="87"/>
      <c r="BE207" s="87"/>
      <c r="BF207" s="87"/>
      <c r="BG207" s="87"/>
      <c r="BH207" s="87"/>
      <c r="DL207" s="1"/>
    </row>
    <row r="208" spans="4:116" x14ac:dyDescent="0.3">
      <c r="D208" s="28">
        <f t="shared" si="46"/>
        <v>45817</v>
      </c>
      <c r="E208" s="86">
        <f>_xll.CbondsClosePrice($B$1,D208,$B$27)</f>
        <v>90.9</v>
      </c>
      <c r="F208" s="131">
        <f t="shared" si="45"/>
        <v>90.9</v>
      </c>
      <c r="O208" s="1"/>
      <c r="T208" s="87"/>
      <c r="U208" s="87"/>
      <c r="V208" s="87"/>
      <c r="W208" s="87"/>
      <c r="X208" s="87"/>
      <c r="Y208" s="87"/>
      <c r="Z208" s="87"/>
      <c r="AA208" s="87"/>
      <c r="AB208" s="87"/>
      <c r="AI208" s="87"/>
      <c r="AJ208" s="87"/>
      <c r="AK208" s="87"/>
      <c r="AL208" s="87"/>
      <c r="AM208" s="87"/>
      <c r="AN208" s="87"/>
      <c r="AO208" s="87"/>
      <c r="AP208" s="87"/>
      <c r="AQ208" s="87"/>
      <c r="AR208" s="87"/>
      <c r="BC208" s="87"/>
      <c r="BD208" s="87"/>
      <c r="BE208" s="87"/>
      <c r="BF208" s="87"/>
      <c r="BG208" s="87"/>
      <c r="BH208" s="87"/>
      <c r="DL208" s="1"/>
    </row>
    <row r="209" spans="4:116" x14ac:dyDescent="0.3">
      <c r="D209" s="28">
        <f t="shared" si="46"/>
        <v>45816</v>
      </c>
      <c r="E209" s="86" t="str">
        <f>_xll.CbondsClosePrice($B$1,D209,$B$27)</f>
        <v>Нет данных</v>
      </c>
      <c r="F209" s="131">
        <f t="shared" si="45"/>
        <v>91.31</v>
      </c>
      <c r="O209" s="1"/>
      <c r="T209" s="87"/>
      <c r="U209" s="87"/>
      <c r="V209" s="87"/>
      <c r="W209" s="87"/>
      <c r="X209" s="87"/>
      <c r="Y209" s="87"/>
      <c r="Z209" s="87"/>
      <c r="AA209" s="87"/>
      <c r="AB209" s="87"/>
      <c r="AI209" s="87"/>
      <c r="AJ209" s="87"/>
      <c r="AK209" s="87"/>
      <c r="AL209" s="87"/>
      <c r="AM209" s="87"/>
      <c r="AN209" s="87"/>
      <c r="AO209" s="87"/>
      <c r="AP209" s="87"/>
      <c r="AQ209" s="87"/>
      <c r="AR209" s="87"/>
      <c r="BC209" s="87"/>
      <c r="BD209" s="87"/>
      <c r="BE209" s="87"/>
      <c r="BF209" s="87"/>
      <c r="BG209" s="87"/>
      <c r="BH209" s="87"/>
      <c r="DL209" s="1"/>
    </row>
    <row r="210" spans="4:116" x14ac:dyDescent="0.3">
      <c r="D210" s="28">
        <f t="shared" si="46"/>
        <v>45815</v>
      </c>
      <c r="E210" s="86" t="str">
        <f>_xll.CbondsClosePrice($B$1,D210,$B$27)</f>
        <v>Нет данных</v>
      </c>
      <c r="F210" s="131">
        <f t="shared" si="45"/>
        <v>91.31</v>
      </c>
      <c r="O210" s="1"/>
      <c r="T210" s="87"/>
      <c r="U210" s="87"/>
      <c r="V210" s="87"/>
      <c r="W210" s="87"/>
      <c r="X210" s="87"/>
      <c r="Y210" s="87"/>
      <c r="Z210" s="87"/>
      <c r="AA210" s="87"/>
      <c r="AB210" s="87"/>
      <c r="AI210" s="87"/>
      <c r="AJ210" s="87"/>
      <c r="AK210" s="87"/>
      <c r="AL210" s="87"/>
      <c r="AM210" s="87"/>
      <c r="AN210" s="87"/>
      <c r="AO210" s="87"/>
      <c r="AP210" s="87"/>
      <c r="AQ210" s="87"/>
      <c r="AR210" s="87"/>
      <c r="BC210" s="87"/>
      <c r="BD210" s="87"/>
      <c r="BE210" s="87"/>
      <c r="BF210" s="87"/>
      <c r="BG210" s="87"/>
      <c r="BH210" s="87"/>
      <c r="DL210" s="1"/>
    </row>
    <row r="211" spans="4:116" x14ac:dyDescent="0.3">
      <c r="D211" s="28">
        <f t="shared" si="46"/>
        <v>45814</v>
      </c>
      <c r="E211" s="86">
        <f>_xll.CbondsClosePrice($B$1,D211,$B$27)</f>
        <v>91.31</v>
      </c>
      <c r="F211" s="131">
        <f t="shared" si="45"/>
        <v>91.31</v>
      </c>
      <c r="O211" s="1"/>
      <c r="T211" s="87"/>
      <c r="U211" s="87"/>
      <c r="V211" s="87"/>
      <c r="W211" s="87"/>
      <c r="X211" s="87"/>
      <c r="Y211" s="87"/>
      <c r="Z211" s="87"/>
      <c r="AA211" s="87"/>
      <c r="AB211" s="87"/>
      <c r="AI211" s="87"/>
      <c r="AJ211" s="87"/>
      <c r="AK211" s="87"/>
      <c r="AL211" s="87"/>
      <c r="AM211" s="87"/>
      <c r="AN211" s="87"/>
      <c r="AO211" s="87"/>
      <c r="AP211" s="87"/>
      <c r="AQ211" s="87"/>
      <c r="AR211" s="87"/>
      <c r="BC211" s="87"/>
      <c r="BD211" s="87"/>
      <c r="BE211" s="87"/>
      <c r="BF211" s="87"/>
      <c r="BG211" s="87"/>
      <c r="BH211" s="87"/>
      <c r="DL211" s="1"/>
    </row>
    <row r="212" spans="4:116" x14ac:dyDescent="0.3">
      <c r="D212" s="28">
        <f t="shared" si="46"/>
        <v>45813</v>
      </c>
      <c r="E212" s="86">
        <f>_xll.CbondsClosePrice($B$1,D212,$B$27)</f>
        <v>91.5</v>
      </c>
      <c r="F212" s="131">
        <f t="shared" si="45"/>
        <v>91.5</v>
      </c>
      <c r="O212" s="1"/>
      <c r="T212" s="87"/>
      <c r="U212" s="87"/>
      <c r="V212" s="87"/>
      <c r="W212" s="87"/>
      <c r="X212" s="87"/>
      <c r="Y212" s="87"/>
      <c r="Z212" s="87"/>
      <c r="AA212" s="87"/>
      <c r="AB212" s="87"/>
      <c r="AI212" s="87"/>
      <c r="AJ212" s="87"/>
      <c r="AK212" s="87"/>
      <c r="AL212" s="87"/>
      <c r="AM212" s="87"/>
      <c r="AN212" s="87"/>
      <c r="AO212" s="87"/>
      <c r="AP212" s="87"/>
      <c r="AQ212" s="87"/>
      <c r="AR212" s="87"/>
      <c r="BC212" s="87"/>
      <c r="BD212" s="87"/>
      <c r="BE212" s="87"/>
      <c r="BF212" s="87"/>
      <c r="BG212" s="87"/>
      <c r="BH212" s="87"/>
      <c r="DL212" s="1"/>
    </row>
    <row r="213" spans="4:116" x14ac:dyDescent="0.3">
      <c r="D213" s="28">
        <f t="shared" si="46"/>
        <v>45812</v>
      </c>
      <c r="E213" s="86">
        <f>_xll.CbondsClosePrice($B$1,D213,$B$27)</f>
        <v>91.2</v>
      </c>
      <c r="F213" s="131">
        <f t="shared" si="45"/>
        <v>91.2</v>
      </c>
      <c r="O213" s="1"/>
      <c r="T213" s="87"/>
      <c r="U213" s="87"/>
      <c r="V213" s="87"/>
      <c r="W213" s="87"/>
      <c r="X213" s="87"/>
      <c r="Y213" s="87"/>
      <c r="Z213" s="87"/>
      <c r="AA213" s="87"/>
      <c r="AB213" s="87"/>
      <c r="AI213" s="87"/>
      <c r="AJ213" s="87"/>
      <c r="AK213" s="87"/>
      <c r="AL213" s="87"/>
      <c r="AM213" s="87"/>
      <c r="AN213" s="87"/>
      <c r="AO213" s="87"/>
      <c r="AP213" s="87"/>
      <c r="AQ213" s="87"/>
      <c r="AR213" s="87"/>
      <c r="BC213" s="87"/>
      <c r="BD213" s="87"/>
      <c r="BE213" s="87"/>
      <c r="BF213" s="87"/>
      <c r="BG213" s="87"/>
      <c r="BH213" s="87"/>
      <c r="DL213" s="1"/>
    </row>
    <row r="214" spans="4:116" x14ac:dyDescent="0.3">
      <c r="D214" s="28">
        <f t="shared" si="46"/>
        <v>45811</v>
      </c>
      <c r="E214" s="86">
        <f>_xll.CbondsClosePrice($B$1,D214,$B$27)</f>
        <v>90.81</v>
      </c>
      <c r="F214" s="131">
        <f t="shared" si="45"/>
        <v>90.81</v>
      </c>
      <c r="O214" s="1"/>
      <c r="T214" s="87"/>
      <c r="U214" s="87"/>
      <c r="V214" s="87"/>
      <c r="W214" s="87"/>
      <c r="X214" s="87"/>
      <c r="Y214" s="87"/>
      <c r="Z214" s="87"/>
      <c r="AA214" s="87"/>
      <c r="AB214" s="87"/>
      <c r="AI214" s="87"/>
      <c r="AJ214" s="87"/>
      <c r="AK214" s="87"/>
      <c r="AL214" s="87"/>
      <c r="AM214" s="87"/>
      <c r="AN214" s="87"/>
      <c r="AO214" s="87"/>
      <c r="AP214" s="87"/>
      <c r="AQ214" s="87"/>
      <c r="AR214" s="87"/>
      <c r="BC214" s="87"/>
      <c r="BD214" s="87"/>
      <c r="BE214" s="87"/>
      <c r="BF214" s="87"/>
      <c r="BG214" s="87"/>
      <c r="BH214" s="87"/>
      <c r="DL214" s="1"/>
    </row>
    <row r="215" spans="4:116" x14ac:dyDescent="0.3">
      <c r="D215" s="28">
        <f t="shared" si="46"/>
        <v>45810</v>
      </c>
      <c r="E215" s="86">
        <f>_xll.CbondsClosePrice($B$1,D215,$B$27)</f>
        <v>91.22</v>
      </c>
      <c r="F215" s="131">
        <f t="shared" si="45"/>
        <v>91.22</v>
      </c>
      <c r="O215" s="1"/>
      <c r="T215" s="87"/>
      <c r="U215" s="87"/>
      <c r="V215" s="87"/>
      <c r="W215" s="87"/>
      <c r="X215" s="87"/>
      <c r="Y215" s="87"/>
      <c r="Z215" s="87"/>
      <c r="AA215" s="87"/>
      <c r="AB215" s="87"/>
      <c r="AI215" s="87"/>
      <c r="AJ215" s="87"/>
      <c r="AK215" s="87"/>
      <c r="AL215" s="87"/>
      <c r="AM215" s="87"/>
      <c r="AN215" s="87"/>
      <c r="AO215" s="87"/>
      <c r="AP215" s="87"/>
      <c r="AQ215" s="87"/>
      <c r="AR215" s="87"/>
      <c r="BC215" s="87"/>
      <c r="BD215" s="87"/>
      <c r="BE215" s="87"/>
      <c r="BF215" s="87"/>
      <c r="BG215" s="87"/>
      <c r="BH215" s="87"/>
      <c r="DL215" s="1"/>
    </row>
    <row r="216" spans="4:116" x14ac:dyDescent="0.3">
      <c r="D216" s="28">
        <f t="shared" si="46"/>
        <v>45809</v>
      </c>
      <c r="E216" s="86" t="str">
        <f>_xll.CbondsClosePrice($B$1,D216,$B$27)</f>
        <v>Нет данных</v>
      </c>
      <c r="F216" s="131">
        <f t="shared" si="45"/>
        <v>91.1</v>
      </c>
      <c r="O216" s="1"/>
      <c r="T216" s="87"/>
      <c r="U216" s="87"/>
      <c r="V216" s="87"/>
      <c r="W216" s="87"/>
      <c r="X216" s="87"/>
      <c r="Y216" s="87"/>
      <c r="Z216" s="87"/>
      <c r="AA216" s="87"/>
      <c r="AB216" s="87"/>
      <c r="AI216" s="87"/>
      <c r="AJ216" s="87"/>
      <c r="AK216" s="87"/>
      <c r="AL216" s="87"/>
      <c r="AM216" s="87"/>
      <c r="AN216" s="87"/>
      <c r="AO216" s="87"/>
      <c r="AP216" s="87"/>
      <c r="AQ216" s="87"/>
      <c r="AR216" s="87"/>
      <c r="BC216" s="87"/>
      <c r="BD216" s="87"/>
      <c r="BE216" s="87"/>
      <c r="BF216" s="87"/>
      <c r="BG216" s="87"/>
      <c r="BH216" s="87"/>
      <c r="DL216" s="1"/>
    </row>
    <row r="217" spans="4:116" x14ac:dyDescent="0.3">
      <c r="D217" s="28">
        <f t="shared" si="46"/>
        <v>45808</v>
      </c>
      <c r="E217" s="86" t="str">
        <f>_xll.CbondsClosePrice($B$1,D217,$B$27)</f>
        <v>Нет данных</v>
      </c>
      <c r="F217" s="131">
        <f t="shared" si="45"/>
        <v>91.1</v>
      </c>
      <c r="O217" s="1"/>
      <c r="T217" s="87"/>
      <c r="U217" s="87"/>
      <c r="V217" s="87"/>
      <c r="W217" s="87"/>
      <c r="X217" s="87"/>
      <c r="Y217" s="87"/>
      <c r="Z217" s="87"/>
      <c r="AA217" s="87"/>
      <c r="AB217" s="87"/>
      <c r="AI217" s="87"/>
      <c r="AJ217" s="87"/>
      <c r="AK217" s="87"/>
      <c r="AL217" s="87"/>
      <c r="AM217" s="87"/>
      <c r="AN217" s="87"/>
      <c r="AO217" s="87"/>
      <c r="AP217" s="87"/>
      <c r="AQ217" s="87"/>
      <c r="AR217" s="87"/>
      <c r="BC217" s="87"/>
      <c r="BD217" s="87"/>
      <c r="BE217" s="87"/>
      <c r="BF217" s="87"/>
      <c r="BG217" s="87"/>
      <c r="BH217" s="87"/>
      <c r="DL217" s="1"/>
    </row>
    <row r="218" spans="4:116" x14ac:dyDescent="0.3">
      <c r="D218" s="28">
        <f t="shared" si="46"/>
        <v>45807</v>
      </c>
      <c r="E218" s="86">
        <f>_xll.CbondsClosePrice($B$1,D218,$B$27)</f>
        <v>91.1</v>
      </c>
      <c r="F218" s="131">
        <f t="shared" si="45"/>
        <v>91.1</v>
      </c>
      <c r="O218" s="1"/>
      <c r="T218" s="87"/>
      <c r="U218" s="87"/>
      <c r="V218" s="87"/>
      <c r="W218" s="87"/>
      <c r="X218" s="87"/>
      <c r="Y218" s="87"/>
      <c r="Z218" s="87"/>
      <c r="AA218" s="87"/>
      <c r="AB218" s="87"/>
      <c r="AI218" s="87"/>
      <c r="AJ218" s="87"/>
      <c r="AK218" s="87"/>
      <c r="AL218" s="87"/>
      <c r="AM218" s="87"/>
      <c r="AN218" s="87"/>
      <c r="AO218" s="87"/>
      <c r="AP218" s="87"/>
      <c r="AQ218" s="87"/>
      <c r="AR218" s="87"/>
      <c r="BC218" s="87"/>
      <c r="BD218" s="87"/>
      <c r="BE218" s="87"/>
      <c r="BF218" s="87"/>
      <c r="BG218" s="87"/>
      <c r="BH218" s="87"/>
      <c r="DL218" s="1"/>
    </row>
    <row r="219" spans="4:116" x14ac:dyDescent="0.3">
      <c r="D219" s="28">
        <f t="shared" si="46"/>
        <v>45806</v>
      </c>
      <c r="E219" s="86">
        <f>_xll.CbondsClosePrice($B$1,D219,$B$27)</f>
        <v>90.47</v>
      </c>
      <c r="F219" s="131">
        <f t="shared" si="45"/>
        <v>90.47</v>
      </c>
      <c r="O219" s="1"/>
      <c r="T219" s="87"/>
      <c r="U219" s="87"/>
      <c r="V219" s="87"/>
      <c r="W219" s="87"/>
      <c r="X219" s="87"/>
      <c r="Y219" s="87"/>
      <c r="Z219" s="87"/>
      <c r="AA219" s="87"/>
      <c r="AB219" s="87"/>
      <c r="AI219" s="87"/>
      <c r="AJ219" s="87"/>
      <c r="AK219" s="87"/>
      <c r="AL219" s="87"/>
      <c r="AM219" s="87"/>
      <c r="AN219" s="87"/>
      <c r="AO219" s="87"/>
      <c r="AP219" s="87"/>
      <c r="AQ219" s="87"/>
      <c r="AR219" s="87"/>
      <c r="BC219" s="87"/>
      <c r="BD219" s="87"/>
      <c r="BE219" s="87"/>
      <c r="BF219" s="87"/>
      <c r="BG219" s="87"/>
      <c r="BH219" s="87"/>
      <c r="DL219" s="1"/>
    </row>
    <row r="220" spans="4:116" x14ac:dyDescent="0.3">
      <c r="D220" s="28">
        <f t="shared" si="46"/>
        <v>45805</v>
      </c>
      <c r="E220" s="86">
        <f>_xll.CbondsClosePrice($B$1,D220,$B$27)</f>
        <v>90.16</v>
      </c>
      <c r="F220" s="131">
        <f t="shared" si="45"/>
        <v>90.16</v>
      </c>
      <c r="O220" s="1"/>
      <c r="T220" s="87"/>
      <c r="U220" s="87"/>
      <c r="V220" s="87"/>
      <c r="W220" s="87"/>
      <c r="X220" s="87"/>
      <c r="Y220" s="87"/>
      <c r="Z220" s="87"/>
      <c r="AA220" s="87"/>
      <c r="AB220" s="87"/>
      <c r="AI220" s="87"/>
      <c r="AJ220" s="87"/>
      <c r="AK220" s="87"/>
      <c r="AL220" s="87"/>
      <c r="AM220" s="87"/>
      <c r="AN220" s="87"/>
      <c r="AO220" s="87"/>
      <c r="AP220" s="87"/>
      <c r="AQ220" s="87"/>
      <c r="AR220" s="87"/>
      <c r="BC220" s="87"/>
      <c r="BD220" s="87"/>
      <c r="BE220" s="87"/>
      <c r="BF220" s="87"/>
      <c r="BG220" s="87"/>
      <c r="BH220" s="87"/>
      <c r="DL220" s="1"/>
    </row>
    <row r="221" spans="4:116" x14ac:dyDescent="0.3">
      <c r="D221" s="28">
        <f t="shared" si="46"/>
        <v>45804</v>
      </c>
      <c r="E221" s="86">
        <f>_xll.CbondsClosePrice($B$1,D221,$B$27)</f>
        <v>89.87</v>
      </c>
      <c r="F221" s="131">
        <f t="shared" si="45"/>
        <v>89.87</v>
      </c>
      <c r="O221" s="1"/>
      <c r="T221" s="87"/>
      <c r="U221" s="87"/>
      <c r="V221" s="87"/>
      <c r="W221" s="87"/>
      <c r="X221" s="87"/>
      <c r="Y221" s="87"/>
      <c r="Z221" s="87"/>
      <c r="AA221" s="87"/>
      <c r="AB221" s="87"/>
      <c r="AI221" s="87"/>
      <c r="AJ221" s="87"/>
      <c r="AK221" s="87"/>
      <c r="AL221" s="87"/>
      <c r="AM221" s="87"/>
      <c r="AN221" s="87"/>
      <c r="AO221" s="87"/>
      <c r="AP221" s="87"/>
      <c r="AQ221" s="87"/>
      <c r="AR221" s="87"/>
      <c r="BC221" s="87"/>
      <c r="BD221" s="87"/>
      <c r="BE221" s="87"/>
      <c r="BF221" s="87"/>
      <c r="BG221" s="87"/>
      <c r="BH221" s="87"/>
      <c r="DL221" s="1"/>
    </row>
    <row r="222" spans="4:116" x14ac:dyDescent="0.3">
      <c r="D222" s="28">
        <f t="shared" si="46"/>
        <v>45803</v>
      </c>
      <c r="E222" s="86">
        <f>_xll.CbondsClosePrice($B$1,D222,$B$27)</f>
        <v>89.89</v>
      </c>
      <c r="F222" s="131">
        <f t="shared" si="45"/>
        <v>89.89</v>
      </c>
      <c r="O222" s="1"/>
      <c r="T222" s="87"/>
      <c r="U222" s="87"/>
      <c r="V222" s="87"/>
      <c r="W222" s="87"/>
      <c r="X222" s="87"/>
      <c r="Y222" s="87"/>
      <c r="Z222" s="87"/>
      <c r="AA222" s="87"/>
      <c r="AB222" s="87"/>
      <c r="AI222" s="87"/>
      <c r="AJ222" s="87"/>
      <c r="AK222" s="87"/>
      <c r="AL222" s="87"/>
      <c r="AM222" s="87"/>
      <c r="AN222" s="87"/>
      <c r="AO222" s="87"/>
      <c r="AP222" s="87"/>
      <c r="AQ222" s="87"/>
      <c r="AR222" s="87"/>
      <c r="BC222" s="87"/>
      <c r="BD222" s="87"/>
      <c r="BE222" s="87"/>
      <c r="BF222" s="87"/>
      <c r="BG222" s="87"/>
      <c r="BH222" s="87"/>
      <c r="DL222" s="1"/>
    </row>
    <row r="223" spans="4:116" x14ac:dyDescent="0.3">
      <c r="D223" s="28">
        <f t="shared" si="46"/>
        <v>45802</v>
      </c>
      <c r="E223" s="86" t="str">
        <f>_xll.CbondsClosePrice($B$1,D223,$B$27)</f>
        <v>Нет данных</v>
      </c>
      <c r="F223" s="131">
        <f t="shared" si="45"/>
        <v>89.84</v>
      </c>
      <c r="O223" s="1"/>
      <c r="T223" s="87"/>
      <c r="U223" s="87"/>
      <c r="V223" s="87"/>
      <c r="W223" s="87"/>
      <c r="X223" s="87"/>
      <c r="Y223" s="87"/>
      <c r="Z223" s="87"/>
      <c r="AA223" s="87"/>
      <c r="AB223" s="87"/>
      <c r="AI223" s="87"/>
      <c r="AJ223" s="87"/>
      <c r="AK223" s="87"/>
      <c r="AL223" s="87"/>
      <c r="AM223" s="87"/>
      <c r="AN223" s="87"/>
      <c r="AO223" s="87"/>
      <c r="AP223" s="87"/>
      <c r="AQ223" s="87"/>
      <c r="AR223" s="87"/>
      <c r="BC223" s="87"/>
      <c r="BD223" s="87"/>
      <c r="BE223" s="87"/>
      <c r="BF223" s="87"/>
      <c r="BG223" s="87"/>
      <c r="BH223" s="87"/>
      <c r="DL223" s="1"/>
    </row>
    <row r="224" spans="4:116" x14ac:dyDescent="0.3">
      <c r="D224" s="28">
        <f t="shared" si="46"/>
        <v>45801</v>
      </c>
      <c r="E224" s="86" t="str">
        <f>_xll.CbondsClosePrice($B$1,D224,$B$27)</f>
        <v>Нет данных</v>
      </c>
      <c r="F224" s="131">
        <f t="shared" si="45"/>
        <v>89.84</v>
      </c>
      <c r="O224" s="1"/>
      <c r="T224" s="87"/>
      <c r="U224" s="87"/>
      <c r="V224" s="87"/>
      <c r="W224" s="87"/>
      <c r="X224" s="87"/>
      <c r="Y224" s="87"/>
      <c r="Z224" s="87"/>
      <c r="AA224" s="87"/>
      <c r="AB224" s="87"/>
      <c r="AI224" s="87"/>
      <c r="AJ224" s="87"/>
      <c r="AK224" s="87"/>
      <c r="AL224" s="87"/>
      <c r="AM224" s="87"/>
      <c r="AN224" s="87"/>
      <c r="AO224" s="87"/>
      <c r="AP224" s="87"/>
      <c r="AQ224" s="87"/>
      <c r="AR224" s="87"/>
      <c r="BC224" s="87"/>
      <c r="BD224" s="87"/>
      <c r="BE224" s="87"/>
      <c r="BF224" s="87"/>
      <c r="BG224" s="87"/>
      <c r="BH224" s="87"/>
      <c r="DL224" s="1"/>
    </row>
    <row r="225" spans="4:116" x14ac:dyDescent="0.3">
      <c r="D225" s="28">
        <f t="shared" si="46"/>
        <v>45800</v>
      </c>
      <c r="E225" s="86">
        <f>_xll.CbondsClosePrice($B$1,D225,$B$27)</f>
        <v>89.84</v>
      </c>
      <c r="F225" s="131">
        <f t="shared" si="45"/>
        <v>89.84</v>
      </c>
      <c r="O225" s="1"/>
      <c r="T225" s="87"/>
      <c r="U225" s="87"/>
      <c r="V225" s="87"/>
      <c r="W225" s="87"/>
      <c r="X225" s="87"/>
      <c r="Y225" s="87"/>
      <c r="Z225" s="87"/>
      <c r="AA225" s="87"/>
      <c r="AB225" s="87"/>
      <c r="AI225" s="87"/>
      <c r="AJ225" s="87"/>
      <c r="AK225" s="87"/>
      <c r="AL225" s="87"/>
      <c r="AM225" s="87"/>
      <c r="AN225" s="87"/>
      <c r="AO225" s="87"/>
      <c r="AP225" s="87"/>
      <c r="AQ225" s="87"/>
      <c r="AR225" s="87"/>
      <c r="BC225" s="87"/>
      <c r="BD225" s="87"/>
      <c r="BE225" s="87"/>
      <c r="BF225" s="87"/>
      <c r="BG225" s="87"/>
      <c r="BH225" s="87"/>
      <c r="DL225" s="1"/>
    </row>
    <row r="226" spans="4:116" x14ac:dyDescent="0.3">
      <c r="D226" s="28">
        <f t="shared" si="46"/>
        <v>45799</v>
      </c>
      <c r="E226" s="86">
        <f>_xll.CbondsClosePrice($B$1,D226,$B$27)</f>
        <v>89.98</v>
      </c>
      <c r="F226" s="131">
        <f t="shared" si="45"/>
        <v>89.98</v>
      </c>
      <c r="O226" s="1"/>
      <c r="T226" s="87"/>
      <c r="U226" s="87"/>
      <c r="V226" s="87"/>
      <c r="W226" s="87"/>
      <c r="X226" s="87"/>
      <c r="Y226" s="87"/>
      <c r="Z226" s="87"/>
      <c r="AA226" s="87"/>
      <c r="AB226" s="87"/>
      <c r="AI226" s="87"/>
      <c r="AJ226" s="87"/>
      <c r="AK226" s="87"/>
      <c r="AL226" s="87"/>
      <c r="AM226" s="87"/>
      <c r="AN226" s="87"/>
      <c r="AO226" s="87"/>
      <c r="AP226" s="87"/>
      <c r="AQ226" s="87"/>
      <c r="AR226" s="87"/>
      <c r="BC226" s="87"/>
      <c r="BD226" s="87"/>
      <c r="BE226" s="87"/>
      <c r="BF226" s="87"/>
      <c r="BG226" s="87"/>
      <c r="BH226" s="87"/>
      <c r="DL226" s="1"/>
    </row>
    <row r="227" spans="4:116" x14ac:dyDescent="0.3">
      <c r="D227" s="28">
        <f t="shared" si="46"/>
        <v>45798</v>
      </c>
      <c r="E227" s="86">
        <f>_xll.CbondsClosePrice($B$1,D227,$B$27)</f>
        <v>89.73</v>
      </c>
      <c r="F227" s="131">
        <f t="shared" si="45"/>
        <v>89.73</v>
      </c>
      <c r="O227" s="1"/>
      <c r="T227" s="87"/>
      <c r="U227" s="87"/>
      <c r="V227" s="87"/>
      <c r="W227" s="87"/>
      <c r="X227" s="87"/>
      <c r="Y227" s="87"/>
      <c r="Z227" s="87"/>
      <c r="AA227" s="87"/>
      <c r="AB227" s="87"/>
      <c r="AI227" s="87"/>
      <c r="AJ227" s="87"/>
      <c r="AK227" s="87"/>
      <c r="AL227" s="87"/>
      <c r="AM227" s="87"/>
      <c r="AN227" s="87"/>
      <c r="AO227" s="87"/>
      <c r="AP227" s="87"/>
      <c r="AQ227" s="87"/>
      <c r="AR227" s="87"/>
      <c r="BC227" s="87"/>
      <c r="BD227" s="87"/>
      <c r="BE227" s="87"/>
      <c r="BF227" s="87"/>
      <c r="BG227" s="87"/>
      <c r="BH227" s="87"/>
      <c r="DL227" s="1"/>
    </row>
    <row r="228" spans="4:116" x14ac:dyDescent="0.3">
      <c r="D228" s="28">
        <f t="shared" si="46"/>
        <v>45797</v>
      </c>
      <c r="E228" s="86">
        <f>_xll.CbondsClosePrice($B$1,D228,$B$27)</f>
        <v>89.8</v>
      </c>
      <c r="F228" s="131">
        <f t="shared" si="45"/>
        <v>89.8</v>
      </c>
      <c r="O228" s="1"/>
      <c r="T228" s="87"/>
      <c r="U228" s="87"/>
      <c r="V228" s="87"/>
      <c r="W228" s="87"/>
      <c r="X228" s="87"/>
      <c r="Y228" s="87"/>
      <c r="Z228" s="87"/>
      <c r="AA228" s="87"/>
      <c r="AB228" s="87"/>
      <c r="AI228" s="87"/>
      <c r="AJ228" s="87"/>
      <c r="AK228" s="87"/>
      <c r="AL228" s="87"/>
      <c r="AM228" s="87"/>
      <c r="AN228" s="87"/>
      <c r="AO228" s="87"/>
      <c r="AP228" s="87"/>
      <c r="AQ228" s="87"/>
      <c r="AR228" s="87"/>
      <c r="BC228" s="87"/>
      <c r="BD228" s="87"/>
      <c r="BE228" s="87"/>
      <c r="BF228" s="87"/>
      <c r="BG228" s="87"/>
      <c r="BH228" s="87"/>
      <c r="DL228" s="1"/>
    </row>
    <row r="229" spans="4:116" x14ac:dyDescent="0.3">
      <c r="D229" s="28">
        <f t="shared" si="46"/>
        <v>45796</v>
      </c>
      <c r="E229" s="86">
        <f>_xll.CbondsClosePrice($B$1,D229,$B$27)</f>
        <v>89.86</v>
      </c>
      <c r="F229" s="131">
        <f t="shared" si="45"/>
        <v>89.86</v>
      </c>
      <c r="O229" s="1"/>
      <c r="T229" s="87"/>
      <c r="U229" s="87"/>
      <c r="V229" s="87"/>
      <c r="W229" s="87"/>
      <c r="X229" s="87"/>
      <c r="Y229" s="87"/>
      <c r="Z229" s="87"/>
      <c r="AA229" s="87"/>
      <c r="AB229" s="87"/>
      <c r="AI229" s="87"/>
      <c r="AJ229" s="87"/>
      <c r="AK229" s="87"/>
      <c r="AL229" s="87"/>
      <c r="AM229" s="87"/>
      <c r="AN229" s="87"/>
      <c r="AO229" s="87"/>
      <c r="AP229" s="87"/>
      <c r="AQ229" s="87"/>
      <c r="AR229" s="87"/>
      <c r="BC229" s="87"/>
      <c r="BD229" s="87"/>
      <c r="BE229" s="87"/>
      <c r="BF229" s="87"/>
      <c r="BG229" s="87"/>
      <c r="BH229" s="87"/>
      <c r="DL229" s="1"/>
    </row>
    <row r="230" spans="4:116" x14ac:dyDescent="0.3">
      <c r="D230" s="28">
        <f t="shared" si="46"/>
        <v>45795</v>
      </c>
      <c r="E230" s="86" t="str">
        <f>_xll.CbondsClosePrice($B$1,D230,$B$27)</f>
        <v>Нет данных</v>
      </c>
      <c r="F230" s="131">
        <f t="shared" si="45"/>
        <v>89.87</v>
      </c>
      <c r="O230" s="1"/>
      <c r="T230" s="87"/>
      <c r="U230" s="87"/>
      <c r="V230" s="87"/>
      <c r="W230" s="87"/>
      <c r="X230" s="87"/>
      <c r="Y230" s="87"/>
      <c r="Z230" s="87"/>
      <c r="AA230" s="87"/>
      <c r="AB230" s="87"/>
      <c r="AI230" s="87"/>
      <c r="AJ230" s="87"/>
      <c r="AK230" s="87"/>
      <c r="AL230" s="87"/>
      <c r="AM230" s="87"/>
      <c r="AN230" s="87"/>
      <c r="AO230" s="87"/>
      <c r="AP230" s="87"/>
      <c r="AQ230" s="87"/>
      <c r="AR230" s="87"/>
      <c r="BC230" s="87"/>
      <c r="BD230" s="87"/>
      <c r="BE230" s="87"/>
      <c r="BF230" s="87"/>
      <c r="BG230" s="87"/>
      <c r="BH230" s="87"/>
      <c r="DL230" s="1"/>
    </row>
    <row r="231" spans="4:116" x14ac:dyDescent="0.3">
      <c r="D231" s="28">
        <f t="shared" si="46"/>
        <v>45794</v>
      </c>
      <c r="E231" s="86" t="str">
        <f>_xll.CbondsClosePrice($B$1,D231,$B$27)</f>
        <v>Нет данных</v>
      </c>
      <c r="F231" s="131">
        <f t="shared" si="45"/>
        <v>89.87</v>
      </c>
      <c r="O231" s="1"/>
      <c r="T231" s="87"/>
      <c r="U231" s="87"/>
      <c r="V231" s="87"/>
      <c r="W231" s="87"/>
      <c r="X231" s="87"/>
      <c r="Y231" s="87"/>
      <c r="Z231" s="87"/>
      <c r="AA231" s="87"/>
      <c r="AB231" s="87"/>
      <c r="AI231" s="87"/>
      <c r="AJ231" s="87"/>
      <c r="AK231" s="87"/>
      <c r="AL231" s="87"/>
      <c r="AM231" s="87"/>
      <c r="AN231" s="87"/>
      <c r="AO231" s="87"/>
      <c r="AP231" s="87"/>
      <c r="AQ231" s="87"/>
      <c r="AR231" s="87"/>
      <c r="BC231" s="87"/>
      <c r="BD231" s="87"/>
      <c r="BE231" s="87"/>
      <c r="BF231" s="87"/>
      <c r="BG231" s="87"/>
      <c r="BH231" s="87"/>
      <c r="DL231" s="1"/>
    </row>
    <row r="232" spans="4:116" x14ac:dyDescent="0.3">
      <c r="D232" s="28">
        <f t="shared" si="46"/>
        <v>45793</v>
      </c>
      <c r="E232" s="86">
        <f>_xll.CbondsClosePrice($B$1,D232,$B$27)</f>
        <v>89.87</v>
      </c>
      <c r="F232" s="131">
        <f t="shared" si="45"/>
        <v>89.87</v>
      </c>
      <c r="O232" s="1"/>
      <c r="T232" s="87"/>
      <c r="U232" s="87"/>
      <c r="V232" s="87"/>
      <c r="W232" s="87"/>
      <c r="X232" s="87"/>
      <c r="Y232" s="87"/>
      <c r="Z232" s="87"/>
      <c r="AA232" s="87"/>
      <c r="AB232" s="87"/>
      <c r="AI232" s="87"/>
      <c r="AJ232" s="87"/>
      <c r="AK232" s="87"/>
      <c r="AL232" s="87"/>
      <c r="AM232" s="87"/>
      <c r="AN232" s="87"/>
      <c r="AO232" s="87"/>
      <c r="AP232" s="87"/>
      <c r="AQ232" s="87"/>
      <c r="AR232" s="87"/>
      <c r="BC232" s="87"/>
      <c r="BD232" s="87"/>
      <c r="BE232" s="87"/>
      <c r="BF232" s="87"/>
      <c r="BG232" s="87"/>
      <c r="BH232" s="87"/>
      <c r="DL232" s="1"/>
    </row>
    <row r="233" spans="4:116" x14ac:dyDescent="0.3">
      <c r="D233" s="28">
        <f t="shared" si="46"/>
        <v>45792</v>
      </c>
      <c r="E233" s="86">
        <f>_xll.CbondsClosePrice($B$1,D233,$B$27)</f>
        <v>90.08</v>
      </c>
      <c r="F233" s="131">
        <f t="shared" si="45"/>
        <v>90.08</v>
      </c>
      <c r="O233" s="1"/>
      <c r="T233" s="87"/>
      <c r="U233" s="87"/>
      <c r="V233" s="87"/>
      <c r="W233" s="87"/>
      <c r="X233" s="87"/>
      <c r="Y233" s="87"/>
      <c r="Z233" s="87"/>
      <c r="AA233" s="87"/>
      <c r="AB233" s="87"/>
      <c r="AI233" s="87"/>
      <c r="AJ233" s="87"/>
      <c r="AK233" s="87"/>
      <c r="AL233" s="87"/>
      <c r="AM233" s="87"/>
      <c r="AN233" s="87"/>
      <c r="AO233" s="87"/>
      <c r="AP233" s="87"/>
      <c r="AQ233" s="87"/>
      <c r="AR233" s="87"/>
      <c r="BC233" s="87"/>
      <c r="BD233" s="87"/>
      <c r="BE233" s="87"/>
      <c r="BF233" s="87"/>
      <c r="BG233" s="87"/>
      <c r="BH233" s="87"/>
      <c r="DL233" s="1"/>
    </row>
    <row r="234" spans="4:116" x14ac:dyDescent="0.3">
      <c r="D234" s="28">
        <f t="shared" si="46"/>
        <v>45791</v>
      </c>
      <c r="E234" s="86">
        <f>_xll.CbondsClosePrice($B$1,D234,$B$27)</f>
        <v>90.04</v>
      </c>
      <c r="F234" s="131">
        <f t="shared" si="45"/>
        <v>90.04</v>
      </c>
      <c r="O234" s="1"/>
      <c r="T234" s="87"/>
      <c r="U234" s="87"/>
      <c r="V234" s="87"/>
      <c r="W234" s="87"/>
      <c r="X234" s="87"/>
      <c r="Y234" s="87"/>
      <c r="Z234" s="87"/>
      <c r="AA234" s="87"/>
      <c r="AB234" s="87"/>
      <c r="AI234" s="87"/>
      <c r="AJ234" s="87"/>
      <c r="AK234" s="87"/>
      <c r="AL234" s="87"/>
      <c r="AM234" s="87"/>
      <c r="AN234" s="87"/>
      <c r="AO234" s="87"/>
      <c r="AP234" s="87"/>
      <c r="AQ234" s="87"/>
      <c r="AR234" s="87"/>
      <c r="BC234" s="87"/>
      <c r="BD234" s="87"/>
      <c r="BE234" s="87"/>
      <c r="BF234" s="87"/>
      <c r="BG234" s="87"/>
      <c r="BH234" s="87"/>
      <c r="DL234" s="1"/>
    </row>
    <row r="235" spans="4:116" x14ac:dyDescent="0.3">
      <c r="D235" s="28">
        <f t="shared" si="46"/>
        <v>45790</v>
      </c>
      <c r="E235" s="86">
        <f>_xll.CbondsClosePrice($B$1,D235,$B$27)</f>
        <v>89.98</v>
      </c>
      <c r="F235" s="131">
        <f t="shared" si="45"/>
        <v>89.98</v>
      </c>
      <c r="T235" s="87"/>
      <c r="U235" s="87"/>
      <c r="V235" s="87"/>
      <c r="W235" s="87"/>
      <c r="X235" s="87"/>
      <c r="Y235" s="87"/>
      <c r="Z235" s="87"/>
      <c r="AA235" s="87"/>
      <c r="AB235" s="87"/>
      <c r="AI235" s="87"/>
      <c r="AJ235" s="87"/>
      <c r="AK235" s="87"/>
      <c r="AL235" s="87"/>
      <c r="AM235" s="87"/>
      <c r="AN235" s="87"/>
      <c r="AO235" s="87"/>
      <c r="AP235" s="87"/>
      <c r="AQ235" s="87"/>
      <c r="AR235" s="87"/>
      <c r="BC235" s="87"/>
      <c r="BD235" s="87"/>
      <c r="BE235" s="87"/>
      <c r="BF235" s="87"/>
      <c r="BG235" s="87"/>
      <c r="BH235" s="87"/>
      <c r="DL235" s="1"/>
    </row>
    <row r="236" spans="4:116" x14ac:dyDescent="0.3">
      <c r="D236" s="28">
        <f t="shared" si="46"/>
        <v>45789</v>
      </c>
      <c r="E236" s="86">
        <f>_xll.CbondsClosePrice($B$1,D236,$B$27)</f>
        <v>90.18</v>
      </c>
      <c r="F236" s="131">
        <f t="shared" si="45"/>
        <v>90.18</v>
      </c>
      <c r="T236" s="87"/>
      <c r="U236" s="87"/>
      <c r="V236" s="87"/>
      <c r="W236" s="87"/>
      <c r="X236" s="87"/>
      <c r="Y236" s="87"/>
      <c r="Z236" s="87"/>
      <c r="AA236" s="87"/>
      <c r="AB236" s="87"/>
      <c r="AI236" s="87"/>
      <c r="AJ236" s="87"/>
      <c r="AK236" s="87"/>
      <c r="AL236" s="87"/>
      <c r="AM236" s="87"/>
      <c r="AN236" s="87"/>
      <c r="AO236" s="87"/>
      <c r="AP236" s="87"/>
      <c r="AQ236" s="87"/>
      <c r="AR236" s="87"/>
      <c r="BC236" s="87"/>
      <c r="BD236" s="87"/>
      <c r="BE236" s="87"/>
      <c r="BF236" s="87"/>
      <c r="BG236" s="87"/>
      <c r="BH236" s="87"/>
      <c r="DL236" s="1"/>
    </row>
    <row r="237" spans="4:116" x14ac:dyDescent="0.3">
      <c r="D237" s="28">
        <f t="shared" si="46"/>
        <v>45788</v>
      </c>
      <c r="E237" s="86" t="str">
        <f>_xll.CbondsClosePrice($B$1,D237,$B$27)</f>
        <v>Нет данных</v>
      </c>
      <c r="F237" s="131">
        <f t="shared" si="45"/>
        <v>89.82</v>
      </c>
      <c r="T237" s="87"/>
      <c r="U237" s="87"/>
      <c r="V237" s="87"/>
      <c r="W237" s="87"/>
      <c r="X237" s="87"/>
      <c r="Y237" s="87"/>
      <c r="Z237" s="87"/>
      <c r="AA237" s="87"/>
      <c r="AB237" s="87"/>
      <c r="AI237" s="87"/>
      <c r="AJ237" s="87"/>
      <c r="AK237" s="87"/>
      <c r="AL237" s="87"/>
      <c r="AM237" s="87"/>
      <c r="AN237" s="87"/>
      <c r="AO237" s="87"/>
      <c r="AP237" s="87"/>
      <c r="AQ237" s="87"/>
      <c r="AR237" s="87"/>
      <c r="BC237" s="87"/>
      <c r="BD237" s="87"/>
      <c r="BE237" s="87"/>
      <c r="BF237" s="87"/>
      <c r="BG237" s="87"/>
      <c r="BH237" s="87"/>
      <c r="DL237" s="1"/>
    </row>
    <row r="238" spans="4:116" x14ac:dyDescent="0.3">
      <c r="D238" s="28">
        <f t="shared" si="46"/>
        <v>45787</v>
      </c>
      <c r="E238" s="86" t="str">
        <f>_xll.CbondsClosePrice($B$1,D238,$B$27)</f>
        <v>Нет данных</v>
      </c>
      <c r="F238" s="131">
        <f t="shared" si="45"/>
        <v>89.82</v>
      </c>
      <c r="T238" s="87"/>
      <c r="U238" s="87"/>
      <c r="V238" s="87"/>
      <c r="W238" s="87"/>
      <c r="X238" s="87"/>
      <c r="Y238" s="87"/>
      <c r="Z238" s="87"/>
      <c r="AA238" s="87"/>
      <c r="AB238" s="87"/>
      <c r="AI238" s="87"/>
      <c r="AJ238" s="87"/>
      <c r="AK238" s="87"/>
      <c r="AL238" s="87"/>
      <c r="AM238" s="87"/>
      <c r="AN238" s="87"/>
      <c r="AO238" s="87"/>
      <c r="AP238" s="87"/>
      <c r="AQ238" s="87"/>
      <c r="AR238" s="87"/>
      <c r="BC238" s="87"/>
      <c r="BD238" s="87"/>
      <c r="BE238" s="87"/>
      <c r="BF238" s="87"/>
      <c r="BG238" s="87"/>
      <c r="BH238" s="87"/>
      <c r="DL238" s="1"/>
    </row>
    <row r="239" spans="4:116" x14ac:dyDescent="0.3">
      <c r="D239" s="28">
        <f t="shared" si="46"/>
        <v>45786</v>
      </c>
      <c r="E239" s="86" t="str">
        <f>_xll.CbondsClosePrice($B$1,D239,$B$27)</f>
        <v>Нет данных</v>
      </c>
      <c r="F239" s="131">
        <f t="shared" si="45"/>
        <v>89.82</v>
      </c>
      <c r="T239" s="87"/>
      <c r="U239" s="87"/>
      <c r="V239" s="87"/>
      <c r="W239" s="87"/>
      <c r="X239" s="87"/>
      <c r="Y239" s="87"/>
      <c r="Z239" s="87"/>
      <c r="AA239" s="87"/>
      <c r="AB239" s="87"/>
      <c r="AI239" s="87"/>
      <c r="AJ239" s="87"/>
      <c r="AK239" s="87"/>
      <c r="AL239" s="87"/>
      <c r="AM239" s="87"/>
      <c r="AN239" s="87"/>
      <c r="AO239" s="87"/>
      <c r="AP239" s="87"/>
      <c r="AQ239" s="87"/>
      <c r="AR239" s="87"/>
      <c r="BC239" s="87"/>
      <c r="BD239" s="87"/>
      <c r="BE239" s="87"/>
      <c r="BF239" s="87"/>
      <c r="BG239" s="87"/>
      <c r="BH239" s="87"/>
      <c r="DL239" s="1"/>
    </row>
    <row r="240" spans="4:116" x14ac:dyDescent="0.3">
      <c r="D240" s="28">
        <f t="shared" si="46"/>
        <v>45785</v>
      </c>
      <c r="E240" s="86">
        <f>_xll.CbondsClosePrice($B$1,D240,$B$27)</f>
        <v>89.82</v>
      </c>
      <c r="F240" s="131">
        <f t="shared" si="45"/>
        <v>89.82</v>
      </c>
      <c r="T240" s="87"/>
      <c r="U240" s="87"/>
      <c r="V240" s="87"/>
      <c r="W240" s="87"/>
      <c r="X240" s="87"/>
      <c r="Y240" s="87"/>
      <c r="Z240" s="87"/>
      <c r="AA240" s="87"/>
      <c r="AB240" s="87"/>
      <c r="AI240" s="87"/>
      <c r="AJ240" s="87"/>
      <c r="AK240" s="87"/>
      <c r="AL240" s="87"/>
      <c r="AM240" s="87"/>
      <c r="AN240" s="87"/>
      <c r="AO240" s="87"/>
      <c r="AP240" s="87"/>
      <c r="AQ240" s="87"/>
      <c r="AR240" s="87"/>
      <c r="BC240" s="87"/>
      <c r="BD240" s="87"/>
      <c r="BE240" s="87"/>
      <c r="BF240" s="87"/>
      <c r="BG240" s="87"/>
      <c r="BH240" s="87"/>
      <c r="DL240" s="1"/>
    </row>
    <row r="241" spans="4:116" x14ac:dyDescent="0.3">
      <c r="D241" s="28">
        <f t="shared" si="46"/>
        <v>45784</v>
      </c>
      <c r="E241" s="86">
        <f>_xll.CbondsClosePrice($B$1,D241,$B$27)</f>
        <v>89.78</v>
      </c>
      <c r="F241" s="131">
        <f t="shared" si="45"/>
        <v>89.78</v>
      </c>
      <c r="T241" s="87"/>
      <c r="U241" s="87"/>
      <c r="V241" s="87"/>
      <c r="W241" s="87"/>
      <c r="X241" s="87"/>
      <c r="Y241" s="87"/>
      <c r="Z241" s="87"/>
      <c r="AA241" s="87"/>
      <c r="AB241" s="87"/>
      <c r="AI241" s="87"/>
      <c r="AJ241" s="87"/>
      <c r="AK241" s="87"/>
      <c r="AL241" s="87"/>
      <c r="AM241" s="87"/>
      <c r="AN241" s="87"/>
      <c r="AO241" s="87"/>
      <c r="AP241" s="87"/>
      <c r="AQ241" s="87"/>
      <c r="AR241" s="87"/>
      <c r="BC241" s="87"/>
      <c r="BD241" s="87"/>
      <c r="BE241" s="87"/>
      <c r="BF241" s="87"/>
      <c r="BG241" s="87"/>
      <c r="BH241" s="87"/>
      <c r="DL241" s="1"/>
    </row>
    <row r="242" spans="4:116" x14ac:dyDescent="0.3">
      <c r="D242" s="28">
        <f t="shared" si="46"/>
        <v>45783</v>
      </c>
      <c r="E242" s="86">
        <f>_xll.CbondsClosePrice($B$1,D242,$B$27)</f>
        <v>89.42</v>
      </c>
      <c r="F242" s="131">
        <f t="shared" si="45"/>
        <v>89.42</v>
      </c>
      <c r="T242" s="87"/>
      <c r="U242" s="87"/>
      <c r="V242" s="87"/>
      <c r="W242" s="87"/>
      <c r="X242" s="87"/>
      <c r="Y242" s="87"/>
      <c r="Z242" s="87"/>
      <c r="AA242" s="87"/>
      <c r="AB242" s="87"/>
      <c r="AI242" s="87"/>
      <c r="AJ242" s="87"/>
      <c r="AK242" s="87"/>
      <c r="AL242" s="87"/>
      <c r="AM242" s="87"/>
      <c r="AN242" s="87"/>
      <c r="AO242" s="87"/>
      <c r="AP242" s="87"/>
      <c r="AQ242" s="87"/>
      <c r="AR242" s="87"/>
      <c r="BC242" s="87"/>
      <c r="BD242" s="87"/>
      <c r="BE242" s="87"/>
      <c r="BF242" s="87"/>
      <c r="BG242" s="87"/>
      <c r="BH242" s="87"/>
      <c r="DL242" s="1"/>
    </row>
    <row r="243" spans="4:116" x14ac:dyDescent="0.3">
      <c r="D243" s="28">
        <f t="shared" si="46"/>
        <v>45782</v>
      </c>
      <c r="E243" s="86">
        <f>_xll.CbondsClosePrice($B$1,D243,$B$27)</f>
        <v>89.28</v>
      </c>
      <c r="F243" s="131">
        <f t="shared" si="45"/>
        <v>89.28</v>
      </c>
      <c r="T243" s="87"/>
      <c r="U243" s="87"/>
      <c r="V243" s="87"/>
      <c r="W243" s="87"/>
      <c r="X243" s="87"/>
      <c r="Y243" s="87"/>
      <c r="Z243" s="87"/>
      <c r="AA243" s="87"/>
      <c r="AB243" s="87"/>
      <c r="AI243" s="87"/>
      <c r="AJ243" s="87"/>
      <c r="AK243" s="87"/>
      <c r="AL243" s="87"/>
      <c r="AM243" s="87"/>
      <c r="AN243" s="87"/>
      <c r="AO243" s="87"/>
      <c r="AP243" s="87"/>
      <c r="AQ243" s="87"/>
      <c r="AR243" s="87"/>
      <c r="BC243" s="87"/>
      <c r="BD243" s="87"/>
      <c r="BE243" s="87"/>
      <c r="BF243" s="87"/>
      <c r="BG243" s="87"/>
      <c r="BH243" s="87"/>
      <c r="DL243" s="1"/>
    </row>
    <row r="244" spans="4:116" x14ac:dyDescent="0.3">
      <c r="D244" s="28">
        <f t="shared" si="46"/>
        <v>45781</v>
      </c>
      <c r="E244" s="86" t="str">
        <f>_xll.CbondsClosePrice($B$1,D244,$B$27)</f>
        <v>Нет данных</v>
      </c>
      <c r="F244" s="131">
        <f t="shared" si="45"/>
        <v>89.44</v>
      </c>
      <c r="T244" s="87"/>
      <c r="U244" s="87"/>
      <c r="V244" s="87"/>
      <c r="W244" s="87"/>
      <c r="X244" s="87"/>
      <c r="Y244" s="87"/>
      <c r="Z244" s="87"/>
      <c r="AA244" s="87"/>
      <c r="AB244" s="87"/>
      <c r="AI244" s="87"/>
      <c r="AJ244" s="87"/>
      <c r="AK244" s="87"/>
      <c r="AL244" s="87"/>
      <c r="AM244" s="87"/>
      <c r="AN244" s="87"/>
      <c r="AO244" s="87"/>
      <c r="AP244" s="87"/>
      <c r="AQ244" s="87"/>
      <c r="AR244" s="87"/>
      <c r="BC244" s="87"/>
      <c r="BD244" s="87"/>
      <c r="BE244" s="87"/>
      <c r="BF244" s="87"/>
      <c r="BG244" s="87"/>
      <c r="BH244" s="87"/>
      <c r="DL244" s="1"/>
    </row>
    <row r="245" spans="4:116" x14ac:dyDescent="0.3">
      <c r="D245" s="28">
        <f t="shared" si="46"/>
        <v>45780</v>
      </c>
      <c r="E245" s="86" t="str">
        <f>_xll.CbondsClosePrice($B$1,D245,$B$27)</f>
        <v>Нет данных</v>
      </c>
      <c r="F245" s="131">
        <f t="shared" si="45"/>
        <v>89.44</v>
      </c>
      <c r="T245" s="87"/>
      <c r="U245" s="87"/>
      <c r="V245" s="87"/>
      <c r="W245" s="87"/>
      <c r="X245" s="87"/>
      <c r="Y245" s="87"/>
      <c r="Z245" s="87"/>
      <c r="AA245" s="87"/>
      <c r="AB245" s="87"/>
      <c r="AI245" s="87"/>
      <c r="AJ245" s="87"/>
      <c r="AK245" s="87"/>
      <c r="AL245" s="87"/>
      <c r="AM245" s="87"/>
      <c r="AN245" s="87"/>
      <c r="AO245" s="87"/>
      <c r="AP245" s="87"/>
      <c r="AQ245" s="87"/>
      <c r="AR245" s="87"/>
      <c r="BC245" s="87"/>
      <c r="BD245" s="87"/>
      <c r="BE245" s="87"/>
      <c r="BF245" s="87"/>
      <c r="BG245" s="87"/>
      <c r="BH245" s="87"/>
      <c r="DL245" s="1"/>
    </row>
    <row r="246" spans="4:116" x14ac:dyDescent="0.3">
      <c r="D246" s="28">
        <f t="shared" si="46"/>
        <v>45779</v>
      </c>
      <c r="E246" s="86">
        <f>_xll.CbondsClosePrice($B$1,D246,$B$27)</f>
        <v>89.44</v>
      </c>
      <c r="F246" s="131">
        <f t="shared" si="45"/>
        <v>89.44</v>
      </c>
      <c r="T246" s="87"/>
      <c r="U246" s="87"/>
      <c r="V246" s="87"/>
      <c r="W246" s="87"/>
      <c r="X246" s="87"/>
      <c r="Y246" s="87"/>
      <c r="Z246" s="87"/>
      <c r="AA246" s="87"/>
      <c r="AB246" s="87"/>
      <c r="AI246" s="87"/>
      <c r="AJ246" s="87"/>
      <c r="AK246" s="87"/>
      <c r="AL246" s="87"/>
      <c r="AM246" s="87"/>
      <c r="AN246" s="87"/>
      <c r="AO246" s="87"/>
      <c r="AP246" s="87"/>
      <c r="AQ246" s="87"/>
      <c r="AR246" s="87"/>
      <c r="BC246" s="87"/>
      <c r="BD246" s="87"/>
      <c r="BE246" s="87"/>
      <c r="BF246" s="87"/>
      <c r="BG246" s="87"/>
      <c r="BH246" s="87"/>
      <c r="DL246" s="1"/>
    </row>
    <row r="247" spans="4:116" x14ac:dyDescent="0.3">
      <c r="D247" s="28">
        <f t="shared" si="46"/>
        <v>45778</v>
      </c>
      <c r="E247" s="86" t="str">
        <f>_xll.CbondsClosePrice($B$1,D247,$B$27)</f>
        <v>Нет данных</v>
      </c>
      <c r="F247" s="131">
        <f t="shared" si="45"/>
        <v>89.38</v>
      </c>
      <c r="T247" s="87"/>
      <c r="U247" s="87"/>
      <c r="V247" s="87"/>
      <c r="W247" s="87"/>
      <c r="X247" s="87"/>
      <c r="Y247" s="87"/>
      <c r="Z247" s="87"/>
      <c r="AA247" s="87"/>
      <c r="AB247" s="87"/>
      <c r="AI247" s="87"/>
      <c r="AJ247" s="87"/>
      <c r="AK247" s="87"/>
      <c r="AL247" s="87"/>
      <c r="AM247" s="87"/>
      <c r="AN247" s="87"/>
      <c r="AO247" s="87"/>
      <c r="AP247" s="87"/>
      <c r="AQ247" s="87"/>
      <c r="AR247" s="87"/>
      <c r="BC247" s="87"/>
      <c r="BD247" s="87"/>
      <c r="BE247" s="87"/>
      <c r="BF247" s="87"/>
      <c r="BG247" s="87"/>
      <c r="BH247" s="87"/>
      <c r="DL247" s="1"/>
    </row>
    <row r="248" spans="4:116" x14ac:dyDescent="0.3">
      <c r="D248" s="28">
        <f t="shared" si="46"/>
        <v>45777</v>
      </c>
      <c r="E248" s="86">
        <f>_xll.CbondsClosePrice($B$1,D248,$B$27)</f>
        <v>89.38</v>
      </c>
      <c r="F248" s="131">
        <f t="shared" si="45"/>
        <v>89.38</v>
      </c>
      <c r="T248" s="87"/>
      <c r="U248" s="87"/>
      <c r="V248" s="87"/>
      <c r="W248" s="87"/>
      <c r="X248" s="87"/>
      <c r="Y248" s="87"/>
      <c r="Z248" s="87"/>
      <c r="AA248" s="87"/>
      <c r="AB248" s="87"/>
      <c r="AI248" s="87"/>
      <c r="AJ248" s="87"/>
      <c r="AK248" s="87"/>
      <c r="AL248" s="87"/>
      <c r="AM248" s="87"/>
      <c r="AN248" s="87"/>
      <c r="AO248" s="87"/>
      <c r="AP248" s="87"/>
      <c r="AQ248" s="87"/>
      <c r="AR248" s="87"/>
      <c r="BC248" s="87"/>
      <c r="BD248" s="87"/>
      <c r="BE248" s="87"/>
      <c r="BF248" s="87"/>
      <c r="BG248" s="87"/>
      <c r="BH248" s="87"/>
      <c r="DL248" s="1"/>
    </row>
    <row r="249" spans="4:116" x14ac:dyDescent="0.3">
      <c r="D249" s="28">
        <f t="shared" si="46"/>
        <v>45776</v>
      </c>
      <c r="E249" s="86">
        <f>_xll.CbondsClosePrice($B$1,D249,$B$27)</f>
        <v>89.33</v>
      </c>
      <c r="F249" s="131">
        <f t="shared" si="45"/>
        <v>89.33</v>
      </c>
      <c r="T249" s="87"/>
      <c r="U249" s="87"/>
      <c r="V249" s="87"/>
      <c r="W249" s="87"/>
      <c r="X249" s="87"/>
      <c r="Y249" s="87"/>
      <c r="Z249" s="87"/>
      <c r="AA249" s="87"/>
      <c r="AB249" s="87"/>
      <c r="AI249" s="87"/>
      <c r="AJ249" s="87"/>
      <c r="AK249" s="87"/>
      <c r="AL249" s="87"/>
      <c r="AM249" s="87"/>
      <c r="AN249" s="87"/>
      <c r="AO249" s="87"/>
      <c r="AP249" s="87"/>
      <c r="AQ249" s="87"/>
      <c r="AR249" s="87"/>
      <c r="BC249" s="87"/>
      <c r="BD249" s="87"/>
      <c r="BE249" s="87"/>
      <c r="BF249" s="87"/>
      <c r="BG249" s="87"/>
      <c r="BH249" s="87"/>
      <c r="DL249" s="1"/>
    </row>
    <row r="250" spans="4:116" x14ac:dyDescent="0.3">
      <c r="D250" s="28">
        <f t="shared" si="46"/>
        <v>45775</v>
      </c>
      <c r="E250" s="86">
        <f>_xll.CbondsClosePrice($B$1,D250,$B$27)</f>
        <v>89.13</v>
      </c>
      <c r="F250" s="131">
        <f t="shared" si="45"/>
        <v>89.13</v>
      </c>
      <c r="T250" s="87"/>
      <c r="U250" s="87"/>
      <c r="V250" s="87"/>
      <c r="W250" s="87"/>
      <c r="X250" s="87"/>
      <c r="Y250" s="87"/>
      <c r="Z250" s="87"/>
      <c r="AA250" s="87"/>
      <c r="AB250" s="87"/>
      <c r="AI250" s="87"/>
      <c r="AJ250" s="87"/>
      <c r="AK250" s="87"/>
      <c r="AL250" s="87"/>
      <c r="AM250" s="87"/>
      <c r="AN250" s="87"/>
      <c r="AO250" s="87"/>
      <c r="AP250" s="87"/>
      <c r="AQ250" s="87"/>
      <c r="AR250" s="87"/>
      <c r="BC250" s="87"/>
      <c r="BD250" s="87"/>
      <c r="BE250" s="87"/>
      <c r="BF250" s="87"/>
      <c r="BG250" s="87"/>
      <c r="BH250" s="87"/>
      <c r="DL250" s="1"/>
    </row>
    <row r="251" spans="4:116" x14ac:dyDescent="0.3">
      <c r="D251" s="28">
        <f t="shared" si="46"/>
        <v>45774</v>
      </c>
      <c r="E251" s="86" t="str">
        <f>_xll.CbondsClosePrice($B$1,D251,$B$27)</f>
        <v>Нет данных</v>
      </c>
      <c r="F251" s="131">
        <f t="shared" si="45"/>
        <v>88.98</v>
      </c>
      <c r="T251" s="87"/>
      <c r="U251" s="87"/>
      <c r="V251" s="87"/>
      <c r="W251" s="87"/>
      <c r="X251" s="87"/>
      <c r="Y251" s="87"/>
      <c r="Z251" s="87"/>
      <c r="AA251" s="87"/>
      <c r="AB251" s="87"/>
      <c r="AI251" s="87"/>
      <c r="AJ251" s="87"/>
      <c r="AK251" s="87"/>
      <c r="AL251" s="87"/>
      <c r="AM251" s="87"/>
      <c r="AN251" s="87"/>
      <c r="AO251" s="87"/>
      <c r="AP251" s="87"/>
      <c r="AQ251" s="87"/>
      <c r="AR251" s="87"/>
      <c r="BC251" s="87"/>
      <c r="BD251" s="87"/>
      <c r="BE251" s="87"/>
      <c r="BF251" s="87"/>
      <c r="BG251" s="87"/>
      <c r="BH251" s="87"/>
      <c r="DL251" s="1"/>
    </row>
    <row r="252" spans="4:116" x14ac:dyDescent="0.3">
      <c r="D252" s="28">
        <f t="shared" si="46"/>
        <v>45773</v>
      </c>
      <c r="E252" s="86" t="str">
        <f>_xll.CbondsClosePrice($B$1,D252,$B$27)</f>
        <v>Нет данных</v>
      </c>
      <c r="F252" s="131">
        <f t="shared" si="45"/>
        <v>88.98</v>
      </c>
      <c r="T252" s="87"/>
      <c r="U252" s="87"/>
      <c r="V252" s="87"/>
      <c r="W252" s="87"/>
      <c r="X252" s="87"/>
      <c r="Y252" s="87"/>
      <c r="Z252" s="87"/>
      <c r="AA252" s="87"/>
      <c r="AB252" s="87"/>
      <c r="AI252" s="87"/>
      <c r="AJ252" s="87"/>
      <c r="AK252" s="87"/>
      <c r="AL252" s="87"/>
      <c r="AM252" s="87"/>
      <c r="AN252" s="87"/>
      <c r="AO252" s="87"/>
      <c r="AP252" s="87"/>
      <c r="AQ252" s="87"/>
      <c r="AR252" s="87"/>
      <c r="BC252" s="87"/>
      <c r="BD252" s="87"/>
      <c r="BE252" s="87"/>
      <c r="BF252" s="87"/>
      <c r="BG252" s="87"/>
      <c r="BH252" s="87"/>
      <c r="DL252" s="1"/>
    </row>
    <row r="253" spans="4:116" x14ac:dyDescent="0.3">
      <c r="D253" s="28">
        <f t="shared" si="46"/>
        <v>45772</v>
      </c>
      <c r="E253" s="86">
        <f>_xll.CbondsClosePrice($B$1,D253,$B$27)</f>
        <v>88.98</v>
      </c>
      <c r="F253" s="131">
        <f t="shared" si="45"/>
        <v>88.98</v>
      </c>
      <c r="T253" s="87"/>
      <c r="U253" s="87"/>
      <c r="V253" s="87"/>
      <c r="W253" s="87"/>
      <c r="X253" s="87"/>
      <c r="Y253" s="87"/>
      <c r="Z253" s="87"/>
      <c r="AA253" s="87"/>
      <c r="AB253" s="87"/>
      <c r="AI253" s="87"/>
      <c r="AJ253" s="87"/>
      <c r="AK253" s="87"/>
      <c r="AL253" s="87"/>
      <c r="AM253" s="87"/>
      <c r="AN253" s="87"/>
      <c r="AO253" s="87"/>
      <c r="AP253" s="87"/>
      <c r="AQ253" s="87"/>
      <c r="AR253" s="87"/>
      <c r="BC253" s="87"/>
      <c r="BD253" s="87"/>
      <c r="BE253" s="87"/>
      <c r="BF253" s="87"/>
      <c r="BG253" s="87"/>
      <c r="BH253" s="87"/>
      <c r="DL253" s="1"/>
    </row>
    <row r="254" spans="4:116" x14ac:dyDescent="0.3">
      <c r="D254" s="28">
        <f t="shared" si="46"/>
        <v>45771</v>
      </c>
      <c r="E254" s="86">
        <f>_xll.CbondsClosePrice($B$1,D254,$B$27)</f>
        <v>88.94</v>
      </c>
      <c r="F254" s="131">
        <f t="shared" si="45"/>
        <v>88.94</v>
      </c>
      <c r="T254" s="87"/>
      <c r="U254" s="87"/>
      <c r="V254" s="87"/>
      <c r="W254" s="87"/>
      <c r="X254" s="87"/>
      <c r="Y254" s="87"/>
      <c r="Z254" s="87"/>
      <c r="AA254" s="87"/>
      <c r="AB254" s="87"/>
      <c r="AI254" s="87"/>
      <c r="AJ254" s="87"/>
      <c r="AK254" s="87"/>
      <c r="AL254" s="87"/>
      <c r="AM254" s="87"/>
      <c r="AN254" s="87"/>
      <c r="AO254" s="87"/>
      <c r="AP254" s="87"/>
      <c r="AQ254" s="87"/>
      <c r="AR254" s="87"/>
      <c r="BC254" s="87"/>
      <c r="BD254" s="87"/>
      <c r="BE254" s="87"/>
      <c r="BF254" s="87"/>
      <c r="BG254" s="87"/>
      <c r="BH254" s="87"/>
      <c r="DL254" s="1"/>
    </row>
    <row r="255" spans="4:116" x14ac:dyDescent="0.3">
      <c r="D255" s="28">
        <f t="shared" si="46"/>
        <v>45770</v>
      </c>
      <c r="E255" s="86">
        <f>_xll.CbondsClosePrice($B$1,D255,$B$27)</f>
        <v>89.2</v>
      </c>
      <c r="F255" s="131">
        <f t="shared" si="45"/>
        <v>89.2</v>
      </c>
      <c r="T255" s="87"/>
      <c r="U255" s="87"/>
      <c r="V255" s="87"/>
      <c r="W255" s="87"/>
      <c r="X255" s="87"/>
      <c r="Y255" s="87"/>
      <c r="Z255" s="87"/>
      <c r="AA255" s="87"/>
      <c r="AB255" s="87"/>
      <c r="AI255" s="87"/>
      <c r="AJ255" s="87"/>
      <c r="AK255" s="87"/>
      <c r="AL255" s="87"/>
      <c r="AM255" s="87"/>
      <c r="AN255" s="87"/>
      <c r="AO255" s="87"/>
      <c r="AP255" s="87"/>
      <c r="AQ255" s="87"/>
      <c r="AR255" s="87"/>
      <c r="BC255" s="87"/>
      <c r="BD255" s="87"/>
      <c r="BE255" s="87"/>
      <c r="BF255" s="87"/>
      <c r="BG255" s="87"/>
      <c r="BH255" s="87"/>
      <c r="DL255" s="1"/>
    </row>
    <row r="256" spans="4:116" x14ac:dyDescent="0.3">
      <c r="D256" s="28">
        <f t="shared" si="46"/>
        <v>45769</v>
      </c>
      <c r="E256" s="86">
        <f>_xll.CbondsClosePrice($B$1,D256,$B$27)</f>
        <v>88.74</v>
      </c>
      <c r="F256" s="131">
        <f t="shared" si="45"/>
        <v>88.74</v>
      </c>
      <c r="T256" s="87"/>
      <c r="U256" s="87"/>
      <c r="V256" s="87"/>
      <c r="W256" s="87"/>
      <c r="X256" s="87"/>
      <c r="Y256" s="87"/>
      <c r="Z256" s="87"/>
      <c r="AA256" s="87"/>
      <c r="AB256" s="87"/>
      <c r="AI256" s="87"/>
      <c r="AJ256" s="87"/>
      <c r="AK256" s="87"/>
      <c r="AL256" s="87"/>
      <c r="AM256" s="87"/>
      <c r="AN256" s="87"/>
      <c r="AO256" s="87"/>
      <c r="AP256" s="87"/>
      <c r="AQ256" s="87"/>
      <c r="AR256" s="87"/>
      <c r="BC256" s="87"/>
      <c r="BD256" s="87"/>
      <c r="BE256" s="87"/>
      <c r="BF256" s="87"/>
      <c r="BG256" s="87"/>
      <c r="BH256" s="87"/>
      <c r="DL256" s="1"/>
    </row>
    <row r="257" spans="4:116" x14ac:dyDescent="0.3">
      <c r="D257" s="28">
        <f t="shared" si="46"/>
        <v>45768</v>
      </c>
      <c r="E257" s="86">
        <f>_xll.CbondsClosePrice($B$1,D257,$B$27)</f>
        <v>88.63</v>
      </c>
      <c r="F257" s="131">
        <f t="shared" si="45"/>
        <v>88.63</v>
      </c>
      <c r="T257" s="87"/>
      <c r="U257" s="87"/>
      <c r="V257" s="87"/>
      <c r="W257" s="87"/>
      <c r="X257" s="87"/>
      <c r="Y257" s="87"/>
      <c r="Z257" s="87"/>
      <c r="AA257" s="87"/>
      <c r="AB257" s="87"/>
      <c r="AI257" s="87"/>
      <c r="AJ257" s="87"/>
      <c r="AK257" s="87"/>
      <c r="AL257" s="87"/>
      <c r="AM257" s="87"/>
      <c r="AN257" s="87"/>
      <c r="AO257" s="87"/>
      <c r="AP257" s="87"/>
      <c r="AQ257" s="87"/>
      <c r="AR257" s="87"/>
      <c r="BC257" s="87"/>
      <c r="BD257" s="87"/>
      <c r="BE257" s="87"/>
      <c r="BF257" s="87"/>
      <c r="BG257" s="87"/>
      <c r="BH257" s="87"/>
      <c r="DL257" s="1"/>
    </row>
    <row r="258" spans="4:116" x14ac:dyDescent="0.3">
      <c r="D258" s="28">
        <f t="shared" si="46"/>
        <v>45767</v>
      </c>
      <c r="E258" s="86" t="str">
        <f>_xll.CbondsClosePrice($B$1,D258,$B$27)</f>
        <v>Нет данных</v>
      </c>
      <c r="F258" s="131">
        <f t="shared" si="45"/>
        <v>88.11</v>
      </c>
      <c r="T258" s="87"/>
      <c r="U258" s="87"/>
      <c r="V258" s="87"/>
      <c r="W258" s="87"/>
      <c r="X258" s="87"/>
      <c r="Y258" s="87"/>
      <c r="Z258" s="87"/>
      <c r="AA258" s="87"/>
      <c r="AB258" s="87"/>
      <c r="AI258" s="87"/>
      <c r="AJ258" s="87"/>
      <c r="AK258" s="87"/>
      <c r="AL258" s="87"/>
      <c r="AM258" s="87"/>
      <c r="AN258" s="87"/>
      <c r="AO258" s="87"/>
      <c r="AP258" s="87"/>
      <c r="AQ258" s="87"/>
      <c r="AR258" s="87"/>
      <c r="BC258" s="87"/>
      <c r="BD258" s="87"/>
      <c r="BE258" s="87"/>
      <c r="BF258" s="87"/>
      <c r="BG258" s="87"/>
      <c r="BH258" s="87"/>
      <c r="DL258" s="1"/>
    </row>
    <row r="259" spans="4:116" x14ac:dyDescent="0.3">
      <c r="D259" s="28">
        <f t="shared" si="46"/>
        <v>45766</v>
      </c>
      <c r="E259" s="86" t="str">
        <f>_xll.CbondsClosePrice($B$1,D259,$B$27)</f>
        <v>Нет данных</v>
      </c>
      <c r="F259" s="131">
        <f t="shared" ref="F259:F322" si="48">IF(IF(AND(E259="",D259=""),"",IF(AND(E259="Нет данных",D259&lt;&gt;""),F260,E259)) = 0,"",IF(AND(E259="",D259=""),"",IF(AND(E259="Нет данных",D259&lt;&gt;""),F260,E259)))</f>
        <v>88.11</v>
      </c>
      <c r="T259" s="87"/>
      <c r="U259" s="87"/>
      <c r="V259" s="87"/>
      <c r="W259" s="87"/>
      <c r="X259" s="87"/>
      <c r="Y259" s="87"/>
      <c r="Z259" s="87"/>
      <c r="AA259" s="87"/>
      <c r="AB259" s="87"/>
      <c r="AI259" s="87"/>
      <c r="AJ259" s="87"/>
      <c r="AK259" s="87"/>
      <c r="AL259" s="87"/>
      <c r="AM259" s="87"/>
      <c r="AN259" s="87"/>
      <c r="AO259" s="87"/>
      <c r="AP259" s="87"/>
      <c r="AQ259" s="87"/>
      <c r="AR259" s="87"/>
      <c r="BC259" s="87"/>
      <c r="BD259" s="87"/>
      <c r="BE259" s="87"/>
      <c r="BF259" s="87"/>
      <c r="BG259" s="87"/>
      <c r="BH259" s="87"/>
      <c r="DL259" s="1"/>
    </row>
    <row r="260" spans="4:116" x14ac:dyDescent="0.3">
      <c r="D260" s="28">
        <f t="shared" ref="D260:D323" si="49">D259-1</f>
        <v>45765</v>
      </c>
      <c r="E260" s="86">
        <f>_xll.CbondsClosePrice($B$1,D260,$B$27)</f>
        <v>88.11</v>
      </c>
      <c r="F260" s="131">
        <f t="shared" si="48"/>
        <v>88.11</v>
      </c>
      <c r="T260" s="87"/>
      <c r="U260" s="87"/>
      <c r="V260" s="87"/>
      <c r="W260" s="87"/>
      <c r="X260" s="87"/>
      <c r="Y260" s="87"/>
      <c r="Z260" s="87"/>
      <c r="AA260" s="87"/>
      <c r="AB260" s="87"/>
      <c r="AI260" s="87"/>
      <c r="AJ260" s="87"/>
      <c r="AK260" s="87"/>
      <c r="AL260" s="87"/>
      <c r="AM260" s="87"/>
      <c r="AN260" s="87"/>
      <c r="AO260" s="87"/>
      <c r="AP260" s="87"/>
      <c r="AQ260" s="87"/>
      <c r="AR260" s="87"/>
      <c r="BC260" s="87"/>
      <c r="BD260" s="87"/>
      <c r="BE260" s="87"/>
      <c r="BF260" s="87"/>
      <c r="BG260" s="87"/>
      <c r="BH260" s="87"/>
      <c r="DL260" s="1"/>
    </row>
    <row r="261" spans="4:116" x14ac:dyDescent="0.3">
      <c r="D261" s="28">
        <f t="shared" si="49"/>
        <v>45764</v>
      </c>
      <c r="E261" s="86">
        <f>_xll.CbondsClosePrice($B$1,D261,$B$27)</f>
        <v>88.08</v>
      </c>
      <c r="F261" s="131">
        <f t="shared" si="48"/>
        <v>88.08</v>
      </c>
      <c r="T261" s="87"/>
      <c r="U261" s="87"/>
      <c r="V261" s="87"/>
      <c r="W261" s="87"/>
      <c r="X261" s="87"/>
      <c r="Y261" s="87"/>
      <c r="Z261" s="87"/>
      <c r="AA261" s="87"/>
      <c r="AB261" s="87"/>
      <c r="AI261" s="87"/>
      <c r="AJ261" s="87"/>
      <c r="AK261" s="87"/>
      <c r="AL261" s="87"/>
      <c r="AM261" s="87"/>
      <c r="AN261" s="87"/>
      <c r="AO261" s="87"/>
      <c r="AP261" s="87"/>
      <c r="AQ261" s="87"/>
      <c r="AR261" s="87"/>
      <c r="BC261" s="87"/>
      <c r="BD261" s="87"/>
      <c r="BE261" s="87"/>
      <c r="BF261" s="87"/>
      <c r="BG261" s="87"/>
      <c r="BH261" s="87"/>
      <c r="DL261" s="1"/>
    </row>
    <row r="262" spans="4:116" x14ac:dyDescent="0.3">
      <c r="D262" s="28">
        <f t="shared" si="49"/>
        <v>45763</v>
      </c>
      <c r="E262" s="86">
        <f>_xll.CbondsClosePrice($B$1,D262,$B$27)</f>
        <v>88.15</v>
      </c>
      <c r="F262" s="131">
        <f t="shared" si="48"/>
        <v>88.15</v>
      </c>
      <c r="T262" s="87"/>
      <c r="U262" s="87"/>
      <c r="V262" s="87"/>
      <c r="W262" s="87"/>
      <c r="X262" s="87"/>
      <c r="Y262" s="87"/>
      <c r="Z262" s="87"/>
      <c r="AA262" s="87"/>
      <c r="AB262" s="87"/>
      <c r="AI262" s="87"/>
      <c r="AJ262" s="87"/>
      <c r="AK262" s="87"/>
      <c r="AL262" s="87"/>
      <c r="AM262" s="87"/>
      <c r="AN262" s="87"/>
      <c r="AO262" s="87"/>
      <c r="AP262" s="87"/>
      <c r="AQ262" s="87"/>
      <c r="AR262" s="87"/>
      <c r="BC262" s="87"/>
      <c r="BD262" s="87"/>
      <c r="BE262" s="87"/>
      <c r="BF262" s="87"/>
      <c r="BG262" s="87"/>
      <c r="BH262" s="87"/>
      <c r="DL262" s="1"/>
    </row>
    <row r="263" spans="4:116" x14ac:dyDescent="0.3">
      <c r="D263" s="28">
        <f t="shared" si="49"/>
        <v>45762</v>
      </c>
      <c r="E263" s="86">
        <f>_xll.CbondsClosePrice($B$1,D263,$B$27)</f>
        <v>88.3</v>
      </c>
      <c r="F263" s="131">
        <f t="shared" si="48"/>
        <v>88.3</v>
      </c>
      <c r="T263" s="87"/>
      <c r="U263" s="87"/>
      <c r="V263" s="87"/>
      <c r="W263" s="87"/>
      <c r="X263" s="87"/>
      <c r="Y263" s="87"/>
      <c r="Z263" s="87"/>
      <c r="AA263" s="87"/>
      <c r="AB263" s="87"/>
      <c r="AI263" s="87"/>
      <c r="AJ263" s="87"/>
      <c r="AK263" s="87"/>
      <c r="AL263" s="87"/>
      <c r="AM263" s="87"/>
      <c r="AN263" s="87"/>
      <c r="AO263" s="87"/>
      <c r="AP263" s="87"/>
      <c r="AQ263" s="87"/>
      <c r="AR263" s="87"/>
      <c r="BC263" s="87"/>
      <c r="BD263" s="87"/>
      <c r="BE263" s="87"/>
      <c r="BF263" s="87"/>
      <c r="BG263" s="87"/>
      <c r="BH263" s="87"/>
      <c r="DL263" s="1"/>
    </row>
    <row r="264" spans="4:116" x14ac:dyDescent="0.3">
      <c r="D264" s="28">
        <f t="shared" si="49"/>
        <v>45761</v>
      </c>
      <c r="E264" s="86">
        <f>_xll.CbondsClosePrice($B$1,D264,$B$27)</f>
        <v>88.18</v>
      </c>
      <c r="F264" s="131">
        <f t="shared" si="48"/>
        <v>88.18</v>
      </c>
      <c r="T264" s="87"/>
      <c r="U264" s="87"/>
      <c r="V264" s="87"/>
      <c r="W264" s="87"/>
      <c r="X264" s="87"/>
      <c r="Y264" s="87"/>
      <c r="Z264" s="87"/>
      <c r="AA264" s="87"/>
      <c r="AB264" s="87"/>
      <c r="AI264" s="87"/>
      <c r="AJ264" s="87"/>
      <c r="AK264" s="87"/>
      <c r="AL264" s="87"/>
      <c r="AM264" s="87"/>
      <c r="AN264" s="87"/>
      <c r="AO264" s="87"/>
      <c r="AP264" s="87"/>
      <c r="AQ264" s="87"/>
      <c r="AR264" s="87"/>
      <c r="BC264" s="87"/>
      <c r="BD264" s="87"/>
      <c r="BE264" s="87"/>
      <c r="BF264" s="87"/>
      <c r="BG264" s="87"/>
      <c r="BH264" s="87"/>
      <c r="DL264" s="1"/>
    </row>
    <row r="265" spans="4:116" x14ac:dyDescent="0.3">
      <c r="D265" s="28">
        <f t="shared" si="49"/>
        <v>45760</v>
      </c>
      <c r="E265" s="86" t="str">
        <f>_xll.CbondsClosePrice($B$1,D265,$B$27)</f>
        <v>Нет данных</v>
      </c>
      <c r="F265" s="131">
        <f t="shared" si="48"/>
        <v>88.09</v>
      </c>
      <c r="T265" s="87"/>
      <c r="U265" s="87"/>
      <c r="V265" s="87"/>
      <c r="W265" s="87"/>
      <c r="X265" s="87"/>
      <c r="Y265" s="87"/>
      <c r="Z265" s="87"/>
      <c r="AA265" s="87"/>
      <c r="AB265" s="87"/>
      <c r="AI265" s="87"/>
      <c r="AJ265" s="87"/>
      <c r="AK265" s="87"/>
      <c r="AL265" s="87"/>
      <c r="AM265" s="87"/>
      <c r="AN265" s="87"/>
      <c r="AO265" s="87"/>
      <c r="AP265" s="87"/>
      <c r="AQ265" s="87"/>
      <c r="AR265" s="87"/>
      <c r="BC265" s="87"/>
      <c r="BD265" s="87"/>
      <c r="BE265" s="87"/>
      <c r="BF265" s="87"/>
      <c r="BG265" s="87"/>
      <c r="BH265" s="87"/>
      <c r="DL265" s="1"/>
    </row>
    <row r="266" spans="4:116" x14ac:dyDescent="0.3">
      <c r="D266" s="28">
        <f t="shared" si="49"/>
        <v>45759</v>
      </c>
      <c r="E266" s="86" t="str">
        <f>_xll.CbondsClosePrice($B$1,D266,$B$27)</f>
        <v>Нет данных</v>
      </c>
      <c r="F266" s="131">
        <f t="shared" si="48"/>
        <v>88.09</v>
      </c>
      <c r="T266" s="87"/>
      <c r="U266" s="87"/>
      <c r="V266" s="87"/>
      <c r="W266" s="87"/>
      <c r="X266" s="87"/>
      <c r="Y266" s="87"/>
      <c r="Z266" s="87"/>
      <c r="AA266" s="87"/>
      <c r="AB266" s="87"/>
      <c r="AI266" s="87"/>
      <c r="AJ266" s="87"/>
      <c r="AK266" s="87"/>
      <c r="AL266" s="87"/>
      <c r="AM266" s="87"/>
      <c r="AN266" s="87"/>
      <c r="AO266" s="87"/>
      <c r="AP266" s="87"/>
      <c r="AQ266" s="87"/>
      <c r="AR266" s="87"/>
      <c r="BC266" s="87"/>
      <c r="BD266" s="87"/>
      <c r="BE266" s="87"/>
      <c r="BF266" s="87"/>
      <c r="BG266" s="87"/>
      <c r="BH266" s="87"/>
      <c r="DL266" s="1"/>
    </row>
    <row r="267" spans="4:116" x14ac:dyDescent="0.3">
      <c r="D267" s="28">
        <f t="shared" si="49"/>
        <v>45758</v>
      </c>
      <c r="E267" s="86">
        <f>_xll.CbondsClosePrice($B$1,D267,$B$27)</f>
        <v>88.09</v>
      </c>
      <c r="F267" s="131">
        <f t="shared" si="48"/>
        <v>88.09</v>
      </c>
      <c r="T267" s="87"/>
      <c r="U267" s="87"/>
      <c r="V267" s="87"/>
      <c r="W267" s="87"/>
      <c r="X267" s="87"/>
      <c r="Y267" s="87"/>
      <c r="Z267" s="87"/>
      <c r="AA267" s="87"/>
      <c r="AB267" s="87"/>
      <c r="AI267" s="87"/>
      <c r="AJ267" s="87"/>
      <c r="AK267" s="87"/>
      <c r="AL267" s="87"/>
      <c r="AM267" s="87"/>
      <c r="AN267" s="87"/>
      <c r="AO267" s="87"/>
      <c r="AP267" s="87"/>
      <c r="AQ267" s="87"/>
      <c r="AR267" s="87"/>
      <c r="BC267" s="87"/>
      <c r="BD267" s="87"/>
      <c r="BE267" s="87"/>
      <c r="BF267" s="87"/>
      <c r="BG267" s="87"/>
      <c r="BH267" s="87"/>
      <c r="DL267" s="1"/>
    </row>
    <row r="268" spans="4:116" x14ac:dyDescent="0.3">
      <c r="D268" s="28">
        <f t="shared" si="49"/>
        <v>45757</v>
      </c>
      <c r="E268" s="86">
        <f>_xll.CbondsClosePrice($B$1,D268,$B$27)</f>
        <v>87.84</v>
      </c>
      <c r="F268" s="131">
        <f t="shared" si="48"/>
        <v>87.84</v>
      </c>
      <c r="T268" s="87"/>
      <c r="U268" s="87"/>
      <c r="V268" s="87"/>
      <c r="W268" s="87"/>
      <c r="X268" s="87"/>
      <c r="Y268" s="87"/>
      <c r="Z268" s="87"/>
      <c r="AA268" s="87"/>
      <c r="AB268" s="87"/>
      <c r="AI268" s="87"/>
      <c r="AJ268" s="87"/>
      <c r="AK268" s="87"/>
      <c r="AL268" s="87"/>
      <c r="AM268" s="87"/>
      <c r="AN268" s="87"/>
      <c r="AO268" s="87"/>
      <c r="AP268" s="87"/>
      <c r="AQ268" s="87"/>
      <c r="AR268" s="87"/>
      <c r="BC268" s="87"/>
      <c r="BD268" s="87"/>
      <c r="BE268" s="87"/>
      <c r="BF268" s="87"/>
      <c r="BG268" s="87"/>
      <c r="BH268" s="87"/>
      <c r="DL268" s="1"/>
    </row>
    <row r="269" spans="4:116" x14ac:dyDescent="0.3">
      <c r="D269" s="28">
        <f t="shared" si="49"/>
        <v>45756</v>
      </c>
      <c r="E269" s="86">
        <f>_xll.CbondsClosePrice($B$1,D269,$B$27)</f>
        <v>87.2</v>
      </c>
      <c r="F269" s="131">
        <f t="shared" si="48"/>
        <v>87.2</v>
      </c>
      <c r="T269" s="87"/>
      <c r="U269" s="87"/>
      <c r="V269" s="87"/>
      <c r="W269" s="87"/>
      <c r="X269" s="87"/>
      <c r="Y269" s="87"/>
      <c r="Z269" s="87"/>
      <c r="AA269" s="87"/>
      <c r="AB269" s="87"/>
      <c r="AI269" s="87"/>
      <c r="AJ269" s="87"/>
      <c r="AK269" s="87"/>
      <c r="AL269" s="87"/>
      <c r="AM269" s="87"/>
      <c r="AN269" s="87"/>
      <c r="AO269" s="87"/>
      <c r="AP269" s="87"/>
      <c r="AQ269" s="87"/>
      <c r="AR269" s="87"/>
      <c r="BC269" s="87"/>
      <c r="BD269" s="87"/>
      <c r="BE269" s="87"/>
      <c r="BF269" s="87"/>
      <c r="BG269" s="87"/>
      <c r="BH269" s="87"/>
      <c r="DL269" s="1"/>
    </row>
    <row r="270" spans="4:116" x14ac:dyDescent="0.3">
      <c r="D270" s="28">
        <f t="shared" si="49"/>
        <v>45755</v>
      </c>
      <c r="E270" s="86">
        <f>_xll.CbondsClosePrice($B$1,D270,$B$27)</f>
        <v>87.5</v>
      </c>
      <c r="F270" s="131">
        <f t="shared" si="48"/>
        <v>87.5</v>
      </c>
      <c r="T270" s="87"/>
      <c r="U270" s="87"/>
      <c r="V270" s="87"/>
      <c r="W270" s="87"/>
      <c r="X270" s="87"/>
      <c r="Y270" s="87"/>
      <c r="Z270" s="87"/>
      <c r="AA270" s="87"/>
      <c r="AB270" s="87"/>
      <c r="AI270" s="87"/>
      <c r="AJ270" s="87"/>
      <c r="AK270" s="87"/>
      <c r="AL270" s="87"/>
      <c r="AM270" s="87"/>
      <c r="AN270" s="87"/>
      <c r="AO270" s="87"/>
      <c r="AP270" s="87"/>
      <c r="AQ270" s="87"/>
      <c r="AR270" s="87"/>
      <c r="BC270" s="87"/>
      <c r="BD270" s="87"/>
      <c r="BE270" s="87"/>
      <c r="BF270" s="87"/>
      <c r="BG270" s="87"/>
      <c r="BH270" s="87"/>
      <c r="DL270" s="1"/>
    </row>
    <row r="271" spans="4:116" x14ac:dyDescent="0.3">
      <c r="D271" s="28">
        <f t="shared" si="49"/>
        <v>45754</v>
      </c>
      <c r="E271" s="86">
        <f>_xll.CbondsClosePrice($B$1,D271,$B$27)</f>
        <v>86.75</v>
      </c>
      <c r="F271" s="131">
        <f t="shared" si="48"/>
        <v>86.75</v>
      </c>
      <c r="T271" s="87"/>
      <c r="U271" s="87"/>
      <c r="V271" s="87"/>
      <c r="W271" s="87"/>
      <c r="X271" s="87"/>
      <c r="Y271" s="87"/>
      <c r="Z271" s="87"/>
      <c r="AA271" s="87"/>
      <c r="AB271" s="87"/>
      <c r="AI271" s="87"/>
      <c r="AJ271" s="87"/>
      <c r="AK271" s="87"/>
      <c r="AL271" s="87"/>
      <c r="AM271" s="87"/>
      <c r="AN271" s="87"/>
      <c r="AO271" s="87"/>
      <c r="AP271" s="87"/>
      <c r="AQ271" s="87"/>
      <c r="AR271" s="87"/>
      <c r="BC271" s="87"/>
      <c r="BD271" s="87"/>
      <c r="BE271" s="87"/>
      <c r="BF271" s="87"/>
      <c r="BG271" s="87"/>
      <c r="BH271" s="87"/>
      <c r="DL271" s="1"/>
    </row>
    <row r="272" spans="4:116" x14ac:dyDescent="0.3">
      <c r="D272" s="28">
        <f t="shared" si="49"/>
        <v>45753</v>
      </c>
      <c r="E272" s="86" t="str">
        <f>_xll.CbondsClosePrice($B$1,D272,$B$27)</f>
        <v>Нет данных</v>
      </c>
      <c r="F272" s="131">
        <f t="shared" si="48"/>
        <v>87.5</v>
      </c>
      <c r="T272" s="87"/>
      <c r="U272" s="87"/>
      <c r="V272" s="87"/>
      <c r="W272" s="87"/>
      <c r="X272" s="87"/>
      <c r="Y272" s="87"/>
      <c r="Z272" s="87"/>
      <c r="AA272" s="87"/>
      <c r="AB272" s="87"/>
      <c r="AI272" s="87"/>
      <c r="AJ272" s="87"/>
      <c r="AK272" s="87"/>
      <c r="AL272" s="87"/>
      <c r="AM272" s="87"/>
      <c r="AN272" s="87"/>
      <c r="AO272" s="87"/>
      <c r="AP272" s="87"/>
      <c r="AQ272" s="87"/>
      <c r="AR272" s="87"/>
      <c r="BC272" s="87"/>
      <c r="BD272" s="87"/>
      <c r="BE272" s="87"/>
      <c r="BF272" s="87"/>
      <c r="BG272" s="87"/>
      <c r="BH272" s="87"/>
      <c r="DL272" s="1"/>
    </row>
    <row r="273" spans="4:116" x14ac:dyDescent="0.3">
      <c r="D273" s="28">
        <f t="shared" si="49"/>
        <v>45752</v>
      </c>
      <c r="E273" s="86" t="str">
        <f>_xll.CbondsClosePrice($B$1,D273,$B$27)</f>
        <v>Нет данных</v>
      </c>
      <c r="F273" s="131">
        <f t="shared" si="48"/>
        <v>87.5</v>
      </c>
      <c r="T273" s="87"/>
      <c r="U273" s="87"/>
      <c r="V273" s="87"/>
      <c r="W273" s="87"/>
      <c r="X273" s="87"/>
      <c r="Y273" s="87"/>
      <c r="Z273" s="87"/>
      <c r="AA273" s="87"/>
      <c r="AB273" s="87"/>
      <c r="AI273" s="87"/>
      <c r="AJ273" s="87"/>
      <c r="AK273" s="87"/>
      <c r="AL273" s="87"/>
      <c r="AM273" s="87"/>
      <c r="AN273" s="87"/>
      <c r="AO273" s="87"/>
      <c r="AP273" s="87"/>
      <c r="AQ273" s="87"/>
      <c r="AR273" s="87"/>
      <c r="BC273" s="87"/>
      <c r="BD273" s="87"/>
      <c r="BE273" s="87"/>
      <c r="BF273" s="87"/>
      <c r="BG273" s="87"/>
      <c r="BH273" s="87"/>
      <c r="DL273" s="1"/>
    </row>
    <row r="274" spans="4:116" x14ac:dyDescent="0.3">
      <c r="D274" s="28">
        <f t="shared" si="49"/>
        <v>45751</v>
      </c>
      <c r="E274" s="86">
        <f>_xll.CbondsClosePrice($B$1,D274,$B$27)</f>
        <v>87.5</v>
      </c>
      <c r="F274" s="131">
        <f t="shared" si="48"/>
        <v>87.5</v>
      </c>
      <c r="T274" s="87"/>
      <c r="U274" s="87"/>
      <c r="V274" s="87"/>
      <c r="W274" s="87"/>
      <c r="X274" s="87"/>
      <c r="Y274" s="87"/>
      <c r="Z274" s="87"/>
      <c r="AA274" s="87"/>
      <c r="AB274" s="87"/>
      <c r="AI274" s="87"/>
      <c r="AJ274" s="87"/>
      <c r="AK274" s="87"/>
      <c r="AL274" s="87"/>
      <c r="AM274" s="87"/>
      <c r="AN274" s="87"/>
      <c r="AO274" s="87"/>
      <c r="AP274" s="87"/>
      <c r="AQ274" s="87"/>
      <c r="AR274" s="87"/>
      <c r="BC274" s="87"/>
      <c r="BD274" s="87"/>
      <c r="BE274" s="87"/>
      <c r="BF274" s="87"/>
      <c r="BG274" s="87"/>
      <c r="BH274" s="87"/>
      <c r="DL274" s="1"/>
    </row>
    <row r="275" spans="4:116" x14ac:dyDescent="0.3">
      <c r="D275" s="28">
        <f t="shared" si="49"/>
        <v>45750</v>
      </c>
      <c r="E275" s="86">
        <f>_xll.CbondsClosePrice($B$1,D275,$B$27)</f>
        <v>87.78</v>
      </c>
      <c r="F275" s="131">
        <f t="shared" si="48"/>
        <v>87.78</v>
      </c>
      <c r="T275" s="87"/>
      <c r="U275" s="87"/>
      <c r="V275" s="87"/>
      <c r="W275" s="87"/>
      <c r="X275" s="87"/>
      <c r="Y275" s="87"/>
      <c r="Z275" s="87"/>
      <c r="AA275" s="87"/>
      <c r="AB275" s="87"/>
      <c r="AI275" s="87"/>
      <c r="AJ275" s="87"/>
      <c r="AK275" s="87"/>
      <c r="AL275" s="87"/>
      <c r="AM275" s="87"/>
      <c r="AN275" s="87"/>
      <c r="AO275" s="87"/>
      <c r="AP275" s="87"/>
      <c r="AQ275" s="87"/>
      <c r="AR275" s="87"/>
      <c r="BC275" s="87"/>
      <c r="BD275" s="87"/>
      <c r="BE275" s="87"/>
      <c r="BF275" s="87"/>
      <c r="BG275" s="87"/>
      <c r="BH275" s="87"/>
      <c r="DL275" s="1"/>
    </row>
    <row r="276" spans="4:116" x14ac:dyDescent="0.3">
      <c r="D276" s="28">
        <f t="shared" si="49"/>
        <v>45749</v>
      </c>
      <c r="E276" s="86">
        <f>_xll.CbondsClosePrice($B$1,D276,$B$27)</f>
        <v>87.5</v>
      </c>
      <c r="F276" s="131">
        <f t="shared" si="48"/>
        <v>87.5</v>
      </c>
      <c r="T276" s="87"/>
      <c r="U276" s="87"/>
      <c r="V276" s="87"/>
      <c r="W276" s="87"/>
      <c r="X276" s="87"/>
      <c r="Y276" s="87"/>
      <c r="Z276" s="87"/>
      <c r="AA276" s="87"/>
      <c r="AB276" s="87"/>
      <c r="AI276" s="87"/>
      <c r="AJ276" s="87"/>
      <c r="AK276" s="87"/>
      <c r="AL276" s="87"/>
      <c r="AM276" s="87"/>
      <c r="AN276" s="87"/>
      <c r="AO276" s="87"/>
      <c r="AP276" s="87"/>
      <c r="AQ276" s="87"/>
      <c r="AR276" s="87"/>
      <c r="BC276" s="87"/>
      <c r="BD276" s="87"/>
      <c r="BE276" s="87"/>
      <c r="BF276" s="87"/>
      <c r="BG276" s="87"/>
      <c r="BH276" s="87"/>
      <c r="DL276" s="1"/>
    </row>
    <row r="277" spans="4:116" x14ac:dyDescent="0.3">
      <c r="D277" s="28">
        <f t="shared" si="49"/>
        <v>45748</v>
      </c>
      <c r="E277" s="86">
        <f>_xll.CbondsClosePrice($B$1,D277,$B$27)</f>
        <v>87.17</v>
      </c>
      <c r="F277" s="131">
        <f t="shared" si="48"/>
        <v>87.17</v>
      </c>
      <c r="T277" s="87"/>
      <c r="U277" s="87"/>
      <c r="V277" s="87"/>
      <c r="W277" s="87"/>
      <c r="X277" s="87"/>
      <c r="Y277" s="87"/>
      <c r="Z277" s="87"/>
      <c r="AA277" s="87"/>
      <c r="AB277" s="87"/>
      <c r="AI277" s="87"/>
      <c r="AJ277" s="87"/>
      <c r="AK277" s="87"/>
      <c r="AL277" s="87"/>
      <c r="AM277" s="87"/>
      <c r="AN277" s="87"/>
      <c r="AO277" s="87"/>
      <c r="AP277" s="87"/>
      <c r="AQ277" s="87"/>
      <c r="AR277" s="87"/>
      <c r="BC277" s="87"/>
      <c r="BD277" s="87"/>
      <c r="BE277" s="87"/>
      <c r="BF277" s="87"/>
      <c r="BG277" s="87"/>
      <c r="BH277" s="87"/>
      <c r="DL277" s="1"/>
    </row>
    <row r="278" spans="4:116" x14ac:dyDescent="0.3">
      <c r="D278" s="28">
        <f t="shared" si="49"/>
        <v>45747</v>
      </c>
      <c r="E278" s="86">
        <f>_xll.CbondsClosePrice($B$1,D278,$B$27)</f>
        <v>88.25</v>
      </c>
      <c r="F278" s="131">
        <f t="shared" si="48"/>
        <v>88.25</v>
      </c>
      <c r="T278" s="87"/>
      <c r="U278" s="87"/>
      <c r="V278" s="87"/>
      <c r="W278" s="87"/>
      <c r="X278" s="87"/>
      <c r="Y278" s="87"/>
      <c r="Z278" s="87"/>
      <c r="AA278" s="87"/>
      <c r="AB278" s="87"/>
      <c r="AI278" s="87"/>
      <c r="AJ278" s="87"/>
      <c r="AK278" s="87"/>
      <c r="AL278" s="87"/>
      <c r="AM278" s="87"/>
      <c r="AN278" s="87"/>
      <c r="AO278" s="87"/>
      <c r="AP278" s="87"/>
      <c r="AQ278" s="87"/>
      <c r="AR278" s="87"/>
      <c r="BC278" s="87"/>
      <c r="BD278" s="87"/>
      <c r="BE278" s="87"/>
      <c r="BF278" s="87"/>
      <c r="BG278" s="87"/>
      <c r="BH278" s="87"/>
      <c r="DL278" s="1"/>
    </row>
    <row r="279" spans="4:116" x14ac:dyDescent="0.3">
      <c r="D279" s="28">
        <f t="shared" si="49"/>
        <v>45746</v>
      </c>
      <c r="E279" s="86" t="str">
        <f>_xll.CbondsClosePrice($B$1,D279,$B$27)</f>
        <v>Нет данных</v>
      </c>
      <c r="F279" s="131">
        <f t="shared" si="48"/>
        <v>88.44</v>
      </c>
      <c r="T279" s="87"/>
      <c r="U279" s="87"/>
      <c r="V279" s="87"/>
      <c r="W279" s="87"/>
      <c r="X279" s="87"/>
      <c r="Y279" s="87"/>
      <c r="Z279" s="87"/>
      <c r="AA279" s="87"/>
      <c r="AB279" s="87"/>
      <c r="AI279" s="87"/>
      <c r="AJ279" s="87"/>
      <c r="AK279" s="87"/>
      <c r="AL279" s="87"/>
      <c r="AM279" s="87"/>
      <c r="AN279" s="87"/>
      <c r="AO279" s="87"/>
      <c r="AP279" s="87"/>
      <c r="AQ279" s="87"/>
      <c r="AR279" s="87"/>
      <c r="BC279" s="87"/>
      <c r="BD279" s="87"/>
      <c r="BE279" s="87"/>
      <c r="BF279" s="87"/>
      <c r="BG279" s="87"/>
      <c r="BH279" s="87"/>
      <c r="DL279" s="1"/>
    </row>
    <row r="280" spans="4:116" x14ac:dyDescent="0.3">
      <c r="D280" s="28">
        <f t="shared" si="49"/>
        <v>45745</v>
      </c>
      <c r="E280" s="86" t="str">
        <f>_xll.CbondsClosePrice($B$1,D280,$B$27)</f>
        <v>Нет данных</v>
      </c>
      <c r="F280" s="131">
        <f t="shared" si="48"/>
        <v>88.44</v>
      </c>
      <c r="T280" s="87"/>
      <c r="U280" s="87"/>
      <c r="V280" s="87"/>
      <c r="W280" s="87"/>
      <c r="X280" s="87"/>
      <c r="Y280" s="87"/>
      <c r="Z280" s="87"/>
      <c r="AA280" s="87"/>
      <c r="AB280" s="87"/>
      <c r="AI280" s="87"/>
      <c r="AJ280" s="87"/>
      <c r="AK280" s="87"/>
      <c r="AL280" s="87"/>
      <c r="AM280" s="87"/>
      <c r="AN280" s="87"/>
      <c r="AO280" s="87"/>
      <c r="AP280" s="87"/>
      <c r="AQ280" s="87"/>
      <c r="AR280" s="87"/>
      <c r="BC280" s="87"/>
      <c r="BD280" s="87"/>
      <c r="BE280" s="87"/>
      <c r="BF280" s="87"/>
      <c r="BG280" s="87"/>
      <c r="BH280" s="87"/>
    </row>
    <row r="281" spans="4:116" x14ac:dyDescent="0.3">
      <c r="D281" s="28">
        <f t="shared" si="49"/>
        <v>45744</v>
      </c>
      <c r="E281" s="86">
        <f>_xll.CbondsClosePrice($B$1,D281,$B$27)</f>
        <v>88.44</v>
      </c>
      <c r="F281" s="131">
        <f t="shared" si="48"/>
        <v>88.44</v>
      </c>
      <c r="T281" s="87"/>
      <c r="U281" s="87"/>
      <c r="V281" s="87"/>
      <c r="W281" s="87"/>
      <c r="X281" s="87"/>
      <c r="Y281" s="87"/>
      <c r="Z281" s="87"/>
      <c r="AA281" s="87"/>
      <c r="AB281" s="87"/>
      <c r="AI281" s="87"/>
      <c r="AJ281" s="87"/>
      <c r="AK281" s="87"/>
      <c r="AL281" s="87"/>
      <c r="AM281" s="87"/>
      <c r="AN281" s="87"/>
      <c r="AO281" s="87"/>
      <c r="AP281" s="87"/>
      <c r="AQ281" s="87"/>
      <c r="AR281" s="87"/>
      <c r="BC281" s="87"/>
      <c r="BD281" s="87"/>
      <c r="BE281" s="87"/>
      <c r="BF281" s="87"/>
      <c r="BG281" s="87"/>
      <c r="BH281" s="87"/>
    </row>
    <row r="282" spans="4:116" x14ac:dyDescent="0.3">
      <c r="D282" s="28">
        <f t="shared" si="49"/>
        <v>45743</v>
      </c>
      <c r="E282" s="86">
        <f>_xll.CbondsClosePrice($B$1,D282,$B$27)</f>
        <v>88.24</v>
      </c>
      <c r="F282" s="131">
        <f t="shared" si="48"/>
        <v>88.24</v>
      </c>
      <c r="T282" s="87"/>
      <c r="U282" s="87"/>
      <c r="V282" s="87"/>
      <c r="W282" s="87"/>
      <c r="X282" s="87"/>
      <c r="Y282" s="87"/>
      <c r="Z282" s="87"/>
      <c r="AA282" s="87"/>
      <c r="AB282" s="87"/>
      <c r="AI282" s="87"/>
      <c r="AJ282" s="87"/>
      <c r="AK282" s="87"/>
      <c r="AL282" s="87"/>
      <c r="AM282" s="87"/>
      <c r="AN282" s="87"/>
      <c r="AO282" s="87"/>
      <c r="AP282" s="87"/>
      <c r="AQ282" s="87"/>
      <c r="AR282" s="87"/>
      <c r="BC282" s="87"/>
      <c r="BD282" s="87"/>
      <c r="BE282" s="87"/>
      <c r="BF282" s="87"/>
      <c r="BG282" s="87"/>
      <c r="BH282" s="87"/>
    </row>
    <row r="283" spans="4:116" x14ac:dyDescent="0.3">
      <c r="D283" s="28">
        <f t="shared" si="49"/>
        <v>45742</v>
      </c>
      <c r="E283" s="86">
        <f>_xll.CbondsClosePrice($B$1,D283,$B$27)</f>
        <v>88.4</v>
      </c>
      <c r="F283" s="131">
        <f t="shared" si="48"/>
        <v>88.4</v>
      </c>
      <c r="T283" s="87"/>
      <c r="U283" s="87"/>
      <c r="V283" s="87"/>
      <c r="W283" s="87"/>
      <c r="X283" s="87"/>
      <c r="Y283" s="87"/>
      <c r="Z283" s="87"/>
      <c r="AA283" s="87"/>
      <c r="AB283" s="87"/>
      <c r="AI283" s="87"/>
      <c r="AJ283" s="87"/>
      <c r="AK283" s="87"/>
      <c r="AL283" s="87"/>
      <c r="AM283" s="87"/>
      <c r="AN283" s="87"/>
      <c r="AO283" s="87"/>
      <c r="AP283" s="87"/>
      <c r="AQ283" s="87"/>
      <c r="AR283" s="87"/>
      <c r="BC283" s="87"/>
      <c r="BD283" s="87"/>
      <c r="BE283" s="87"/>
      <c r="BF283" s="87"/>
      <c r="BG283" s="87"/>
      <c r="BH283" s="87"/>
    </row>
    <row r="284" spans="4:116" x14ac:dyDescent="0.3">
      <c r="D284" s="28">
        <f t="shared" si="49"/>
        <v>45741</v>
      </c>
      <c r="E284" s="86">
        <f>_xll.CbondsClosePrice($B$1,D284,$B$27)</f>
        <v>88.61</v>
      </c>
      <c r="F284" s="131">
        <f t="shared" si="48"/>
        <v>88.61</v>
      </c>
      <c r="T284" s="87"/>
      <c r="U284" s="87"/>
      <c r="V284" s="87"/>
      <c r="W284" s="87"/>
      <c r="X284" s="87"/>
      <c r="Y284" s="87"/>
      <c r="Z284" s="87"/>
      <c r="AA284" s="87"/>
      <c r="AB284" s="87"/>
      <c r="AI284" s="87"/>
      <c r="AJ284" s="87"/>
      <c r="AK284" s="87"/>
      <c r="AL284" s="87"/>
      <c r="AM284" s="87"/>
      <c r="AN284" s="87"/>
      <c r="AO284" s="87"/>
      <c r="AP284" s="87"/>
      <c r="AQ284" s="87"/>
      <c r="AR284" s="87"/>
      <c r="BC284" s="87"/>
      <c r="BD284" s="87"/>
      <c r="BE284" s="87"/>
      <c r="BF284" s="87"/>
      <c r="BG284" s="87"/>
      <c r="BH284" s="87"/>
    </row>
    <row r="285" spans="4:116" x14ac:dyDescent="0.3">
      <c r="D285" s="28">
        <f t="shared" si="49"/>
        <v>45740</v>
      </c>
      <c r="E285" s="86">
        <f>_xll.CbondsClosePrice($B$1,D285,$B$27)</f>
        <v>88.34</v>
      </c>
      <c r="F285" s="131">
        <f t="shared" si="48"/>
        <v>88.34</v>
      </c>
      <c r="T285" s="87"/>
      <c r="U285" s="87"/>
      <c r="V285" s="87"/>
      <c r="W285" s="87"/>
      <c r="X285" s="87"/>
      <c r="Y285" s="87"/>
      <c r="Z285" s="87"/>
      <c r="AA285" s="87"/>
      <c r="AB285" s="87"/>
      <c r="AI285" s="87"/>
      <c r="AJ285" s="87"/>
      <c r="AK285" s="87"/>
      <c r="AL285" s="87"/>
      <c r="AM285" s="87"/>
      <c r="AN285" s="87"/>
      <c r="AO285" s="87"/>
      <c r="AP285" s="87"/>
      <c r="AQ285" s="87"/>
      <c r="AR285" s="87"/>
      <c r="BC285" s="87"/>
      <c r="BD285" s="87"/>
      <c r="BE285" s="87"/>
      <c r="BF285" s="87"/>
      <c r="BG285" s="87"/>
      <c r="BH285" s="87"/>
    </row>
    <row r="286" spans="4:116" x14ac:dyDescent="0.3">
      <c r="D286" s="28">
        <f t="shared" si="49"/>
        <v>45739</v>
      </c>
      <c r="E286" s="86" t="str">
        <f>_xll.CbondsClosePrice($B$1,D286,$B$27)</f>
        <v>Нет данных</v>
      </c>
      <c r="F286" s="131">
        <f t="shared" si="48"/>
        <v>88.57</v>
      </c>
      <c r="T286" s="87"/>
      <c r="U286" s="87"/>
      <c r="V286" s="87"/>
      <c r="W286" s="87"/>
      <c r="X286" s="87"/>
      <c r="Y286" s="87"/>
      <c r="Z286" s="87"/>
      <c r="AA286" s="87"/>
      <c r="AB286" s="87"/>
      <c r="AI286" s="87"/>
      <c r="AJ286" s="87"/>
      <c r="AK286" s="87"/>
      <c r="AL286" s="87"/>
      <c r="AM286" s="87"/>
      <c r="AN286" s="87"/>
      <c r="AO286" s="87"/>
      <c r="AP286" s="87"/>
      <c r="AQ286" s="87"/>
      <c r="AR286" s="87"/>
      <c r="BC286" s="87"/>
      <c r="BD286" s="87"/>
      <c r="BE286" s="87"/>
      <c r="BF286" s="87"/>
      <c r="BG286" s="87"/>
      <c r="BH286" s="87"/>
    </row>
    <row r="287" spans="4:116" x14ac:dyDescent="0.3">
      <c r="D287" s="28">
        <f t="shared" si="49"/>
        <v>45738</v>
      </c>
      <c r="E287" s="86" t="str">
        <f>_xll.CbondsClosePrice($B$1,D287,$B$27)</f>
        <v>Нет данных</v>
      </c>
      <c r="F287" s="131">
        <f t="shared" si="48"/>
        <v>88.57</v>
      </c>
      <c r="T287" s="87"/>
      <c r="U287" s="87"/>
      <c r="V287" s="87"/>
      <c r="W287" s="87"/>
      <c r="X287" s="87"/>
      <c r="Y287" s="87"/>
      <c r="Z287" s="87"/>
      <c r="AA287" s="87"/>
      <c r="AB287" s="87"/>
      <c r="AI287" s="87"/>
      <c r="AJ287" s="87"/>
      <c r="AK287" s="87"/>
      <c r="AL287" s="87"/>
      <c r="AM287" s="87"/>
      <c r="AN287" s="87"/>
      <c r="AO287" s="87"/>
      <c r="AP287" s="87"/>
      <c r="AQ287" s="87"/>
      <c r="AR287" s="87"/>
      <c r="BC287" s="87"/>
      <c r="BD287" s="87"/>
      <c r="BE287" s="87"/>
      <c r="BF287" s="87"/>
      <c r="BG287" s="87"/>
      <c r="BH287" s="87"/>
    </row>
    <row r="288" spans="4:116" x14ac:dyDescent="0.3">
      <c r="D288" s="28">
        <f t="shared" si="49"/>
        <v>45737</v>
      </c>
      <c r="E288" s="86">
        <f>_xll.CbondsClosePrice($B$1,D288,$B$27)</f>
        <v>88.57</v>
      </c>
      <c r="F288" s="131">
        <f t="shared" si="48"/>
        <v>88.57</v>
      </c>
      <c r="T288" s="87"/>
      <c r="U288" s="87"/>
      <c r="V288" s="87"/>
      <c r="W288" s="87"/>
      <c r="X288" s="87"/>
      <c r="Y288" s="87"/>
      <c r="Z288" s="87"/>
      <c r="AA288" s="87"/>
      <c r="AB288" s="87"/>
      <c r="AI288" s="87"/>
      <c r="AJ288" s="87"/>
      <c r="AK288" s="87"/>
      <c r="AL288" s="87"/>
      <c r="AM288" s="87"/>
      <c r="AN288" s="87"/>
      <c r="AO288" s="87"/>
      <c r="AP288" s="87"/>
      <c r="AQ288" s="87"/>
      <c r="AR288" s="87"/>
      <c r="BC288" s="87"/>
      <c r="BD288" s="87"/>
      <c r="BE288" s="87"/>
      <c r="BF288" s="87"/>
      <c r="BG288" s="87"/>
      <c r="BH288" s="87"/>
    </row>
    <row r="289" spans="4:60" x14ac:dyDescent="0.3">
      <c r="D289" s="28">
        <f t="shared" si="49"/>
        <v>45736</v>
      </c>
      <c r="E289" s="86">
        <f>_xll.CbondsClosePrice($B$1,D289,$B$27)</f>
        <v>88.6</v>
      </c>
      <c r="F289" s="131">
        <f t="shared" si="48"/>
        <v>88.6</v>
      </c>
      <c r="T289" s="87"/>
      <c r="U289" s="87"/>
      <c r="V289" s="87"/>
      <c r="W289" s="87"/>
      <c r="X289" s="87"/>
      <c r="Y289" s="87"/>
      <c r="Z289" s="87"/>
      <c r="AA289" s="87"/>
      <c r="AB289" s="87"/>
      <c r="AI289" s="87"/>
      <c r="AJ289" s="87"/>
      <c r="AK289" s="87"/>
      <c r="AL289" s="87"/>
      <c r="AM289" s="87"/>
      <c r="AN289" s="87"/>
      <c r="AO289" s="87"/>
      <c r="AP289" s="87"/>
      <c r="AQ289" s="87"/>
      <c r="AR289" s="87"/>
      <c r="BC289" s="87"/>
      <c r="BD289" s="87"/>
      <c r="BE289" s="87"/>
      <c r="BF289" s="87"/>
      <c r="BG289" s="87"/>
      <c r="BH289" s="87"/>
    </row>
    <row r="290" spans="4:60" x14ac:dyDescent="0.3">
      <c r="D290" s="28">
        <f t="shared" si="49"/>
        <v>45735</v>
      </c>
      <c r="E290" s="86">
        <f>_xll.CbondsClosePrice($B$1,D290,$B$27)</f>
        <v>88.36</v>
      </c>
      <c r="F290" s="131">
        <f t="shared" si="48"/>
        <v>88.36</v>
      </c>
      <c r="T290" s="87"/>
      <c r="U290" s="87"/>
      <c r="V290" s="87"/>
      <c r="W290" s="87"/>
      <c r="X290" s="87"/>
      <c r="Y290" s="87"/>
      <c r="Z290" s="87"/>
      <c r="AA290" s="87"/>
      <c r="AB290" s="87"/>
      <c r="AI290" s="87"/>
      <c r="AJ290" s="87"/>
      <c r="AK290" s="87"/>
      <c r="AL290" s="87"/>
      <c r="AM290" s="87"/>
      <c r="AN290" s="87"/>
      <c r="AO290" s="87"/>
      <c r="AP290" s="87"/>
      <c r="AQ290" s="87"/>
      <c r="AR290" s="87"/>
      <c r="BC290" s="87"/>
      <c r="BD290" s="87"/>
      <c r="BE290" s="87"/>
      <c r="BF290" s="87"/>
      <c r="BG290" s="87"/>
      <c r="BH290" s="87"/>
    </row>
    <row r="291" spans="4:60" x14ac:dyDescent="0.3">
      <c r="D291" s="28">
        <f t="shared" si="49"/>
        <v>45734</v>
      </c>
      <c r="E291" s="86">
        <f>_xll.CbondsClosePrice($B$1,D291,$B$27)</f>
        <v>88.34</v>
      </c>
      <c r="F291" s="131">
        <f t="shared" si="48"/>
        <v>88.34</v>
      </c>
      <c r="T291" s="87"/>
      <c r="U291" s="87"/>
      <c r="V291" s="87"/>
      <c r="W291" s="87"/>
      <c r="X291" s="87"/>
      <c r="Y291" s="87"/>
      <c r="Z291" s="87"/>
      <c r="AA291" s="87"/>
      <c r="AB291" s="87"/>
      <c r="AI291" s="87"/>
      <c r="AJ291" s="87"/>
      <c r="AK291" s="87"/>
      <c r="AL291" s="87"/>
      <c r="AM291" s="87"/>
      <c r="AN291" s="87"/>
      <c r="AO291" s="87"/>
      <c r="AP291" s="87"/>
      <c r="AQ291" s="87"/>
      <c r="AR291" s="87"/>
      <c r="BC291" s="87"/>
      <c r="BD291" s="87"/>
      <c r="BE291" s="87"/>
      <c r="BF291" s="87"/>
      <c r="BG291" s="87"/>
      <c r="BH291" s="87"/>
    </row>
    <row r="292" spans="4:60" x14ac:dyDescent="0.3">
      <c r="D292" s="28">
        <f t="shared" si="49"/>
        <v>45733</v>
      </c>
      <c r="E292" s="86">
        <f>_xll.CbondsClosePrice($B$1,D292,$B$27)</f>
        <v>88.42</v>
      </c>
      <c r="F292" s="131">
        <f t="shared" si="48"/>
        <v>88.42</v>
      </c>
      <c r="T292" s="87"/>
      <c r="U292" s="87"/>
      <c r="V292" s="87"/>
      <c r="W292" s="87"/>
      <c r="X292" s="87"/>
      <c r="Y292" s="87"/>
      <c r="Z292" s="87"/>
      <c r="AA292" s="87"/>
      <c r="AB292" s="87"/>
      <c r="AI292" s="87"/>
      <c r="AJ292" s="87"/>
      <c r="AK292" s="87"/>
      <c r="AL292" s="87"/>
      <c r="AM292" s="87"/>
      <c r="AN292" s="87"/>
      <c r="AO292" s="87"/>
      <c r="AP292" s="87"/>
      <c r="AQ292" s="87"/>
      <c r="AR292" s="87"/>
      <c r="BC292" s="87"/>
      <c r="BD292" s="87"/>
      <c r="BE292" s="87"/>
      <c r="BF292" s="87"/>
      <c r="BG292" s="87"/>
      <c r="BH292" s="87"/>
    </row>
    <row r="293" spans="4:60" x14ac:dyDescent="0.3">
      <c r="D293" s="28">
        <f t="shared" si="49"/>
        <v>45732</v>
      </c>
      <c r="E293" s="86" t="str">
        <f>_xll.CbondsClosePrice($B$1,D293,$B$27)</f>
        <v>Нет данных</v>
      </c>
      <c r="F293" s="131">
        <f t="shared" si="48"/>
        <v>88.66</v>
      </c>
      <c r="T293" s="87"/>
      <c r="U293" s="87"/>
      <c r="V293" s="87"/>
      <c r="W293" s="87"/>
      <c r="X293" s="87"/>
      <c r="Y293" s="87"/>
      <c r="Z293" s="87"/>
      <c r="AA293" s="87"/>
      <c r="AB293" s="87"/>
      <c r="AI293" s="87"/>
      <c r="AJ293" s="87"/>
      <c r="AK293" s="87"/>
      <c r="AL293" s="87"/>
      <c r="AM293" s="87"/>
      <c r="AN293" s="87"/>
      <c r="AO293" s="87"/>
      <c r="AP293" s="87"/>
      <c r="AQ293" s="87"/>
      <c r="AR293" s="87"/>
      <c r="BC293" s="87"/>
      <c r="BD293" s="87"/>
      <c r="BE293" s="87"/>
      <c r="BF293" s="87"/>
      <c r="BG293" s="87"/>
      <c r="BH293" s="87"/>
    </row>
    <row r="294" spans="4:60" x14ac:dyDescent="0.3">
      <c r="D294" s="28">
        <f t="shared" si="49"/>
        <v>45731</v>
      </c>
      <c r="E294" s="86" t="str">
        <f>_xll.CbondsClosePrice($B$1,D294,$B$27)</f>
        <v>Нет данных</v>
      </c>
      <c r="F294" s="131">
        <f t="shared" si="48"/>
        <v>88.66</v>
      </c>
      <c r="T294" s="87"/>
      <c r="U294" s="87"/>
      <c r="V294" s="87"/>
      <c r="W294" s="87"/>
      <c r="X294" s="87"/>
      <c r="Y294" s="87"/>
      <c r="Z294" s="87"/>
      <c r="AA294" s="87"/>
      <c r="AB294" s="87"/>
      <c r="AI294" s="87"/>
      <c r="AJ294" s="87"/>
      <c r="AK294" s="87"/>
      <c r="AL294" s="87"/>
      <c r="AM294" s="87"/>
      <c r="AN294" s="87"/>
      <c r="AO294" s="87"/>
      <c r="AP294" s="87"/>
      <c r="AQ294" s="87"/>
      <c r="AR294" s="87"/>
      <c r="BC294" s="87"/>
      <c r="BD294" s="87"/>
      <c r="BE294" s="87"/>
      <c r="BF294" s="87"/>
      <c r="BG294" s="87"/>
      <c r="BH294" s="87"/>
    </row>
    <row r="295" spans="4:60" x14ac:dyDescent="0.3">
      <c r="D295" s="28">
        <f t="shared" si="49"/>
        <v>45730</v>
      </c>
      <c r="E295" s="86">
        <f>_xll.CbondsClosePrice($B$1,D295,$B$27)</f>
        <v>88.66</v>
      </c>
      <c r="F295" s="131">
        <f t="shared" si="48"/>
        <v>88.66</v>
      </c>
      <c r="T295" s="87"/>
      <c r="U295" s="87"/>
      <c r="V295" s="87"/>
      <c r="W295" s="87"/>
      <c r="X295" s="87"/>
      <c r="Y295" s="87"/>
      <c r="Z295" s="87"/>
      <c r="AA295" s="87"/>
      <c r="AB295" s="87"/>
      <c r="AI295" s="87"/>
      <c r="AJ295" s="87"/>
      <c r="AK295" s="87"/>
      <c r="AL295" s="87"/>
      <c r="AM295" s="87"/>
      <c r="AN295" s="87"/>
      <c r="AO295" s="87"/>
      <c r="AP295" s="87"/>
      <c r="AQ295" s="87"/>
      <c r="AR295" s="87"/>
      <c r="BC295" s="87"/>
      <c r="BD295" s="87"/>
      <c r="BE295" s="87"/>
      <c r="BF295" s="87"/>
      <c r="BG295" s="87"/>
      <c r="BH295" s="87"/>
    </row>
    <row r="296" spans="4:60" x14ac:dyDescent="0.3">
      <c r="D296" s="28">
        <f t="shared" si="49"/>
        <v>45729</v>
      </c>
      <c r="E296" s="86">
        <f>_xll.CbondsClosePrice($B$1,D296,$B$27)</f>
        <v>88.47</v>
      </c>
      <c r="F296" s="131">
        <f t="shared" si="48"/>
        <v>88.47</v>
      </c>
      <c r="T296" s="87"/>
      <c r="U296" s="87"/>
      <c r="V296" s="87"/>
      <c r="W296" s="87"/>
      <c r="X296" s="87"/>
      <c r="Y296" s="87"/>
      <c r="Z296" s="87"/>
      <c r="AA296" s="87"/>
      <c r="AB296" s="87"/>
      <c r="AI296" s="87"/>
      <c r="AJ296" s="87"/>
      <c r="AK296" s="87"/>
      <c r="AL296" s="87"/>
      <c r="AM296" s="87"/>
      <c r="AN296" s="87"/>
      <c r="AO296" s="87"/>
      <c r="AP296" s="87"/>
      <c r="AQ296" s="87"/>
      <c r="AR296" s="87"/>
      <c r="BC296" s="87"/>
      <c r="BD296" s="87"/>
      <c r="BE296" s="87"/>
      <c r="BF296" s="87"/>
      <c r="BG296" s="87"/>
      <c r="BH296" s="87"/>
    </row>
    <row r="297" spans="4:60" x14ac:dyDescent="0.3">
      <c r="D297" s="28">
        <f t="shared" si="49"/>
        <v>45728</v>
      </c>
      <c r="E297" s="86">
        <f>_xll.CbondsClosePrice($B$1,D297,$B$27)</f>
        <v>88.45</v>
      </c>
      <c r="F297" s="131">
        <f t="shared" si="48"/>
        <v>88.45</v>
      </c>
      <c r="T297" s="87"/>
      <c r="U297" s="87"/>
      <c r="V297" s="87"/>
      <c r="W297" s="87"/>
      <c r="X297" s="87"/>
      <c r="Y297" s="87"/>
      <c r="Z297" s="87"/>
      <c r="AA297" s="87"/>
      <c r="AB297" s="87"/>
      <c r="AI297" s="87"/>
      <c r="AJ297" s="87"/>
      <c r="AK297" s="87"/>
      <c r="AL297" s="87"/>
      <c r="AM297" s="87"/>
      <c r="AN297" s="87"/>
      <c r="AO297" s="87"/>
      <c r="AP297" s="87"/>
      <c r="AQ297" s="87"/>
      <c r="AR297" s="87"/>
      <c r="BC297" s="87"/>
      <c r="BD297" s="87"/>
      <c r="BE297" s="87"/>
      <c r="BF297" s="87"/>
      <c r="BG297" s="87"/>
      <c r="BH297" s="87"/>
    </row>
    <row r="298" spans="4:60" x14ac:dyDescent="0.3">
      <c r="D298" s="28">
        <f t="shared" si="49"/>
        <v>45727</v>
      </c>
      <c r="E298" s="86">
        <f>_xll.CbondsClosePrice($B$1,D298,$B$27)</f>
        <v>88.44</v>
      </c>
      <c r="F298" s="131">
        <f t="shared" si="48"/>
        <v>88.44</v>
      </c>
      <c r="T298" s="87"/>
      <c r="U298" s="87"/>
      <c r="V298" s="87"/>
      <c r="W298" s="87"/>
      <c r="X298" s="87"/>
      <c r="Y298" s="87"/>
      <c r="Z298" s="87"/>
      <c r="AA298" s="87"/>
      <c r="AB298" s="87"/>
      <c r="AI298" s="87"/>
      <c r="AJ298" s="87"/>
      <c r="AK298" s="87"/>
      <c r="AL298" s="87"/>
      <c r="AM298" s="87"/>
      <c r="AN298" s="87"/>
      <c r="AO298" s="87"/>
      <c r="AP298" s="87"/>
      <c r="AQ298" s="87"/>
      <c r="AR298" s="87"/>
      <c r="BC298" s="87"/>
      <c r="BD298" s="87"/>
      <c r="BE298" s="87"/>
      <c r="BF298" s="87"/>
      <c r="BG298" s="87"/>
      <c r="BH298" s="87"/>
    </row>
    <row r="299" spans="4:60" x14ac:dyDescent="0.3">
      <c r="D299" s="28">
        <f t="shared" si="49"/>
        <v>45726</v>
      </c>
      <c r="E299" s="86">
        <f>_xll.CbondsClosePrice($B$1,D299,$B$27)</f>
        <v>88.39</v>
      </c>
      <c r="F299" s="131">
        <f t="shared" si="48"/>
        <v>88.39</v>
      </c>
      <c r="T299" s="87"/>
      <c r="U299" s="87"/>
      <c r="V299" s="87"/>
      <c r="W299" s="87"/>
      <c r="X299" s="87"/>
      <c r="Y299" s="87"/>
      <c r="Z299" s="87"/>
      <c r="AA299" s="87"/>
      <c r="AB299" s="87"/>
      <c r="AI299" s="87"/>
      <c r="AJ299" s="87"/>
      <c r="AK299" s="87"/>
      <c r="AL299" s="87"/>
      <c r="AM299" s="87"/>
      <c r="AN299" s="87"/>
      <c r="AO299" s="87"/>
      <c r="AP299" s="87"/>
      <c r="AQ299" s="87"/>
      <c r="AR299" s="87"/>
      <c r="BC299" s="87"/>
      <c r="BD299" s="87"/>
      <c r="BE299" s="87"/>
      <c r="BF299" s="87"/>
      <c r="BG299" s="87"/>
      <c r="BH299" s="87"/>
    </row>
    <row r="300" spans="4:60" x14ac:dyDescent="0.3">
      <c r="D300" s="28">
        <f t="shared" si="49"/>
        <v>45725</v>
      </c>
      <c r="E300" s="86" t="str">
        <f>_xll.CbondsClosePrice($B$1,D300,$B$27)</f>
        <v>Нет данных</v>
      </c>
      <c r="F300" s="131">
        <f t="shared" si="48"/>
        <v>88.64</v>
      </c>
      <c r="T300" s="87"/>
      <c r="U300" s="87"/>
      <c r="V300" s="87"/>
      <c r="W300" s="87"/>
      <c r="X300" s="87"/>
      <c r="Y300" s="87"/>
      <c r="Z300" s="87"/>
      <c r="AA300" s="87"/>
      <c r="AB300" s="87"/>
      <c r="AI300" s="87"/>
      <c r="AJ300" s="87"/>
      <c r="AK300" s="87"/>
      <c r="AL300" s="87"/>
      <c r="AM300" s="87"/>
      <c r="AN300" s="87"/>
      <c r="AO300" s="87"/>
      <c r="AP300" s="87"/>
      <c r="AQ300" s="87"/>
      <c r="AR300" s="87"/>
      <c r="BC300" s="87"/>
      <c r="BD300" s="87"/>
      <c r="BE300" s="87"/>
      <c r="BF300" s="87"/>
      <c r="BG300" s="87"/>
      <c r="BH300" s="87"/>
    </row>
    <row r="301" spans="4:60" x14ac:dyDescent="0.3">
      <c r="D301" s="28">
        <f t="shared" si="49"/>
        <v>45724</v>
      </c>
      <c r="E301" s="86" t="str">
        <f>_xll.CbondsClosePrice($B$1,D301,$B$27)</f>
        <v>Нет данных</v>
      </c>
      <c r="F301" s="131">
        <f t="shared" si="48"/>
        <v>88.64</v>
      </c>
      <c r="T301" s="87"/>
      <c r="U301" s="87"/>
      <c r="V301" s="87"/>
      <c r="W301" s="87"/>
      <c r="X301" s="87"/>
      <c r="Y301" s="87"/>
      <c r="Z301" s="87"/>
      <c r="AA301" s="87"/>
      <c r="AB301" s="87"/>
      <c r="AI301" s="87"/>
      <c r="AJ301" s="87"/>
      <c r="AK301" s="87"/>
      <c r="AL301" s="87"/>
      <c r="AM301" s="87"/>
      <c r="AN301" s="87"/>
      <c r="AO301" s="87"/>
      <c r="AP301" s="87"/>
      <c r="AQ301" s="87"/>
      <c r="AR301" s="87"/>
      <c r="BC301" s="87"/>
      <c r="BD301" s="87"/>
      <c r="BE301" s="87"/>
      <c r="BF301" s="87"/>
      <c r="BG301" s="87"/>
      <c r="BH301" s="87"/>
    </row>
    <row r="302" spans="4:60" x14ac:dyDescent="0.3">
      <c r="D302" s="28">
        <f t="shared" si="49"/>
        <v>45723</v>
      </c>
      <c r="E302" s="86">
        <f>_xll.CbondsClosePrice($B$1,D302,$B$27)</f>
        <v>88.64</v>
      </c>
      <c r="F302" s="131">
        <f t="shared" si="48"/>
        <v>88.64</v>
      </c>
      <c r="T302" s="87"/>
      <c r="U302" s="87"/>
      <c r="V302" s="87"/>
      <c r="W302" s="87"/>
      <c r="X302" s="87"/>
      <c r="Y302" s="87"/>
      <c r="Z302" s="87"/>
      <c r="AA302" s="87"/>
      <c r="AB302" s="87"/>
      <c r="AI302" s="87"/>
      <c r="AJ302" s="87"/>
      <c r="AK302" s="87"/>
      <c r="AL302" s="87"/>
      <c r="AM302" s="87"/>
      <c r="AN302" s="87"/>
      <c r="AO302" s="87"/>
      <c r="AP302" s="87"/>
      <c r="AQ302" s="87"/>
      <c r="AR302" s="87"/>
      <c r="BC302" s="87"/>
      <c r="BD302" s="87"/>
      <c r="BE302" s="87"/>
      <c r="BF302" s="87"/>
      <c r="BG302" s="87"/>
      <c r="BH302" s="87"/>
    </row>
    <row r="303" spans="4:60" x14ac:dyDescent="0.3">
      <c r="D303" s="28">
        <f t="shared" si="49"/>
        <v>45722</v>
      </c>
      <c r="E303" s="86">
        <f>_xll.CbondsClosePrice($B$1,D303,$B$27)</f>
        <v>88.5</v>
      </c>
      <c r="F303" s="131">
        <f t="shared" si="48"/>
        <v>88.5</v>
      </c>
      <c r="T303" s="87"/>
      <c r="U303" s="87"/>
      <c r="V303" s="87"/>
      <c r="W303" s="87"/>
      <c r="X303" s="87"/>
      <c r="Y303" s="87"/>
      <c r="Z303" s="87"/>
      <c r="AA303" s="87"/>
      <c r="AB303" s="87"/>
      <c r="AI303" s="87"/>
      <c r="AJ303" s="87"/>
      <c r="AK303" s="87"/>
      <c r="AL303" s="87"/>
      <c r="AM303" s="87"/>
      <c r="AN303" s="87"/>
      <c r="AO303" s="87"/>
      <c r="AP303" s="87"/>
      <c r="AQ303" s="87"/>
      <c r="AR303" s="87"/>
      <c r="BC303" s="87"/>
      <c r="BD303" s="87"/>
      <c r="BE303" s="87"/>
      <c r="BF303" s="87"/>
      <c r="BG303" s="87"/>
      <c r="BH303" s="87"/>
    </row>
    <row r="304" spans="4:60" x14ac:dyDescent="0.3">
      <c r="D304" s="28">
        <f t="shared" si="49"/>
        <v>45721</v>
      </c>
      <c r="E304" s="86">
        <f>_xll.CbondsClosePrice($B$1,D304,$B$27)</f>
        <v>88.48</v>
      </c>
      <c r="F304" s="131">
        <f t="shared" si="48"/>
        <v>88.48</v>
      </c>
      <c r="T304" s="87"/>
      <c r="U304" s="87"/>
      <c r="V304" s="87"/>
      <c r="W304" s="87"/>
      <c r="X304" s="87"/>
      <c r="Y304" s="87"/>
      <c r="Z304" s="87"/>
      <c r="AA304" s="87"/>
      <c r="AB304" s="87"/>
      <c r="AI304" s="87"/>
      <c r="AJ304" s="87"/>
      <c r="AK304" s="87"/>
      <c r="AL304" s="87"/>
      <c r="AM304" s="87"/>
      <c r="AN304" s="87"/>
      <c r="AO304" s="87"/>
      <c r="AP304" s="87"/>
      <c r="AQ304" s="87"/>
      <c r="AR304" s="87"/>
      <c r="BC304" s="87"/>
      <c r="BD304" s="87"/>
      <c r="BE304" s="87"/>
      <c r="BF304" s="87"/>
      <c r="BG304" s="87"/>
      <c r="BH304" s="87"/>
    </row>
    <row r="305" spans="4:60" x14ac:dyDescent="0.3">
      <c r="D305" s="28">
        <f t="shared" si="49"/>
        <v>45720</v>
      </c>
      <c r="E305" s="86">
        <f>_xll.CbondsClosePrice($B$1,D305,$B$27)</f>
        <v>88.44</v>
      </c>
      <c r="F305" s="131">
        <f t="shared" si="48"/>
        <v>88.44</v>
      </c>
      <c r="T305" s="87"/>
      <c r="U305" s="87"/>
      <c r="V305" s="87"/>
      <c r="W305" s="87"/>
      <c r="X305" s="87"/>
      <c r="Y305" s="87"/>
      <c r="Z305" s="87"/>
      <c r="AA305" s="87"/>
      <c r="AB305" s="87"/>
      <c r="AI305" s="87"/>
      <c r="AJ305" s="87"/>
      <c r="AK305" s="87"/>
      <c r="AL305" s="87"/>
      <c r="AM305" s="87"/>
      <c r="AN305" s="87"/>
      <c r="AO305" s="87"/>
      <c r="AP305" s="87"/>
      <c r="AQ305" s="87"/>
      <c r="AR305" s="87"/>
      <c r="BC305" s="87"/>
      <c r="BD305" s="87"/>
      <c r="BE305" s="87"/>
      <c r="BF305" s="87"/>
      <c r="BG305" s="87"/>
      <c r="BH305" s="87"/>
    </row>
    <row r="306" spans="4:60" x14ac:dyDescent="0.3">
      <c r="D306" s="28">
        <f t="shared" si="49"/>
        <v>45719</v>
      </c>
      <c r="E306" s="86">
        <f>_xll.CbondsClosePrice($B$1,D306,$B$27)</f>
        <v>88.15</v>
      </c>
      <c r="F306" s="131">
        <f t="shared" si="48"/>
        <v>88.15</v>
      </c>
      <c r="T306" s="87"/>
      <c r="U306" s="87"/>
      <c r="V306" s="87"/>
      <c r="W306" s="87"/>
      <c r="X306" s="87"/>
      <c r="Y306" s="87"/>
      <c r="Z306" s="87"/>
      <c r="AA306" s="87"/>
      <c r="AB306" s="87"/>
      <c r="AI306" s="87"/>
      <c r="AJ306" s="87"/>
      <c r="AK306" s="87"/>
      <c r="AL306" s="87"/>
      <c r="AM306" s="87"/>
      <c r="AN306" s="87"/>
      <c r="AO306" s="87"/>
      <c r="AP306" s="87"/>
      <c r="AQ306" s="87"/>
      <c r="AR306" s="87"/>
      <c r="BC306" s="87"/>
      <c r="BD306" s="87"/>
      <c r="BE306" s="87"/>
      <c r="BF306" s="87"/>
      <c r="BG306" s="87"/>
      <c r="BH306" s="87"/>
    </row>
    <row r="307" spans="4:60" x14ac:dyDescent="0.3">
      <c r="D307" s="28">
        <f t="shared" si="49"/>
        <v>45718</v>
      </c>
      <c r="E307" s="86" t="str">
        <f>_xll.CbondsClosePrice($B$1,D307,$B$27)</f>
        <v>Нет данных</v>
      </c>
      <c r="F307" s="131">
        <f t="shared" si="48"/>
        <v>88.34</v>
      </c>
      <c r="T307" s="87"/>
      <c r="U307" s="87"/>
      <c r="V307" s="87"/>
      <c r="W307" s="87"/>
      <c r="X307" s="87"/>
      <c r="Y307" s="87"/>
      <c r="Z307" s="87"/>
      <c r="AA307" s="87"/>
      <c r="AB307" s="87"/>
      <c r="AI307" s="87"/>
      <c r="AJ307" s="87"/>
      <c r="AK307" s="87"/>
      <c r="AL307" s="87"/>
      <c r="AM307" s="87"/>
      <c r="AN307" s="87"/>
      <c r="AO307" s="87"/>
      <c r="AP307" s="87"/>
      <c r="AQ307" s="87"/>
      <c r="AR307" s="87"/>
      <c r="BC307" s="87"/>
      <c r="BD307" s="87"/>
      <c r="BE307" s="87"/>
      <c r="BF307" s="87"/>
      <c r="BG307" s="87"/>
      <c r="BH307" s="87"/>
    </row>
    <row r="308" spans="4:60" x14ac:dyDescent="0.3">
      <c r="D308" s="28">
        <f t="shared" si="49"/>
        <v>45717</v>
      </c>
      <c r="E308" s="86" t="str">
        <f>_xll.CbondsClosePrice($B$1,D308,$B$27)</f>
        <v>Нет данных</v>
      </c>
      <c r="F308" s="131">
        <f t="shared" si="48"/>
        <v>88.34</v>
      </c>
      <c r="T308" s="87"/>
      <c r="U308" s="87"/>
      <c r="V308" s="87"/>
      <c r="W308" s="87"/>
      <c r="X308" s="87"/>
      <c r="Y308" s="87"/>
      <c r="Z308" s="87"/>
      <c r="AA308" s="87"/>
      <c r="AB308" s="87"/>
      <c r="AI308" s="87"/>
      <c r="AJ308" s="87"/>
      <c r="AK308" s="87"/>
      <c r="AL308" s="87"/>
      <c r="AM308" s="87"/>
      <c r="AN308" s="87"/>
      <c r="AO308" s="87"/>
      <c r="AP308" s="87"/>
      <c r="AQ308" s="87"/>
      <c r="AR308" s="87"/>
      <c r="BC308" s="87"/>
      <c r="BD308" s="87"/>
      <c r="BE308" s="87"/>
      <c r="BF308" s="87"/>
      <c r="BG308" s="87"/>
      <c r="BH308" s="87"/>
    </row>
    <row r="309" spans="4:60" x14ac:dyDescent="0.3">
      <c r="D309" s="28">
        <f t="shared" si="49"/>
        <v>45716</v>
      </c>
      <c r="E309" s="86">
        <f>_xll.CbondsClosePrice($B$1,D309,$B$27)</f>
        <v>88.34</v>
      </c>
      <c r="F309" s="131">
        <f t="shared" si="48"/>
        <v>88.34</v>
      </c>
      <c r="T309" s="87"/>
      <c r="U309" s="87"/>
      <c r="V309" s="87"/>
      <c r="W309" s="87"/>
      <c r="X309" s="87"/>
      <c r="Y309" s="87"/>
      <c r="Z309" s="87"/>
      <c r="AA309" s="87"/>
      <c r="AB309" s="87"/>
      <c r="AI309" s="87"/>
      <c r="AJ309" s="87"/>
      <c r="AK309" s="87"/>
      <c r="AL309" s="87"/>
      <c r="AM309" s="87"/>
      <c r="AN309" s="87"/>
      <c r="AO309" s="87"/>
      <c r="AP309" s="87"/>
      <c r="AQ309" s="87"/>
      <c r="AR309" s="87"/>
      <c r="BC309" s="87"/>
      <c r="BD309" s="87"/>
      <c r="BE309" s="87"/>
      <c r="BF309" s="87"/>
      <c r="BG309" s="87"/>
      <c r="BH309" s="87"/>
    </row>
    <row r="310" spans="4:60" x14ac:dyDescent="0.3">
      <c r="D310" s="28">
        <f t="shared" si="49"/>
        <v>45715</v>
      </c>
      <c r="E310" s="86">
        <f>_xll.CbondsClosePrice($B$1,D310,$B$27)</f>
        <v>87.71</v>
      </c>
      <c r="F310" s="131">
        <f t="shared" si="48"/>
        <v>87.71</v>
      </c>
      <c r="T310" s="87"/>
      <c r="U310" s="87"/>
      <c r="V310" s="87"/>
      <c r="W310" s="87"/>
      <c r="X310" s="87"/>
      <c r="Y310" s="87"/>
      <c r="Z310" s="87"/>
      <c r="AA310" s="87"/>
      <c r="AB310" s="87"/>
      <c r="AI310" s="87"/>
      <c r="AJ310" s="87"/>
      <c r="AK310" s="87"/>
      <c r="AL310" s="87"/>
      <c r="AM310" s="87"/>
      <c r="AN310" s="87"/>
      <c r="AO310" s="87"/>
      <c r="AP310" s="87"/>
      <c r="AQ310" s="87"/>
      <c r="AR310" s="87"/>
      <c r="BC310" s="87"/>
      <c r="BD310" s="87"/>
      <c r="BE310" s="87"/>
      <c r="BF310" s="87"/>
      <c r="BG310" s="87"/>
      <c r="BH310" s="87"/>
    </row>
    <row r="311" spans="4:60" x14ac:dyDescent="0.3">
      <c r="D311" s="28">
        <f t="shared" si="49"/>
        <v>45714</v>
      </c>
      <c r="E311" s="86">
        <f>_xll.CbondsClosePrice($B$1,D311,$B$27)</f>
        <v>87.79</v>
      </c>
      <c r="F311" s="131">
        <f t="shared" si="48"/>
        <v>87.79</v>
      </c>
      <c r="T311" s="87"/>
      <c r="U311" s="87"/>
      <c r="V311" s="87"/>
      <c r="W311" s="87"/>
      <c r="X311" s="87"/>
      <c r="Y311" s="87"/>
      <c r="Z311" s="87"/>
      <c r="AA311" s="87"/>
      <c r="AB311" s="87"/>
      <c r="AI311" s="87"/>
      <c r="AJ311" s="87"/>
      <c r="AK311" s="87"/>
      <c r="AL311" s="87"/>
      <c r="AM311" s="87"/>
      <c r="AN311" s="87"/>
      <c r="AO311" s="87"/>
      <c r="AP311" s="87"/>
      <c r="AQ311" s="87"/>
      <c r="AR311" s="87"/>
      <c r="BC311" s="87"/>
      <c r="BD311" s="87"/>
      <c r="BE311" s="87"/>
      <c r="BF311" s="87"/>
      <c r="BG311" s="87"/>
      <c r="BH311" s="87"/>
    </row>
    <row r="312" spans="4:60" x14ac:dyDescent="0.3">
      <c r="D312" s="28">
        <f t="shared" si="49"/>
        <v>45713</v>
      </c>
      <c r="E312" s="86">
        <f>_xll.CbondsClosePrice($B$1,D312,$B$27)</f>
        <v>87.67</v>
      </c>
      <c r="F312" s="131">
        <f t="shared" si="48"/>
        <v>87.67</v>
      </c>
      <c r="T312" s="87"/>
      <c r="U312" s="87"/>
      <c r="V312" s="87"/>
      <c r="W312" s="87"/>
      <c r="X312" s="87"/>
      <c r="Y312" s="87"/>
      <c r="Z312" s="87"/>
      <c r="AA312" s="87"/>
      <c r="AB312" s="87"/>
      <c r="AI312" s="87"/>
      <c r="AJ312" s="87"/>
      <c r="AK312" s="87"/>
      <c r="AL312" s="87"/>
      <c r="AM312" s="87"/>
      <c r="AN312" s="87"/>
      <c r="AO312" s="87"/>
      <c r="AP312" s="87"/>
      <c r="AQ312" s="87"/>
      <c r="AR312" s="87"/>
      <c r="BC312" s="87"/>
      <c r="BD312" s="87"/>
      <c r="BE312" s="87"/>
      <c r="BF312" s="87"/>
      <c r="BG312" s="87"/>
      <c r="BH312" s="87"/>
    </row>
    <row r="313" spans="4:60" x14ac:dyDescent="0.3">
      <c r="D313" s="28">
        <f t="shared" si="49"/>
        <v>45712</v>
      </c>
      <c r="E313" s="86">
        <f>_xll.CbondsClosePrice($B$1,D313,$B$27)</f>
        <v>87.51</v>
      </c>
      <c r="F313" s="131">
        <f t="shared" si="48"/>
        <v>87.51</v>
      </c>
      <c r="T313" s="87"/>
      <c r="U313" s="87"/>
      <c r="V313" s="87"/>
      <c r="W313" s="87"/>
      <c r="X313" s="87"/>
      <c r="Y313" s="87"/>
      <c r="Z313" s="87"/>
      <c r="AA313" s="87"/>
      <c r="AB313" s="87"/>
      <c r="AI313" s="87"/>
      <c r="AJ313" s="87"/>
      <c r="AK313" s="87"/>
      <c r="AL313" s="87"/>
      <c r="AM313" s="87"/>
      <c r="AN313" s="87"/>
      <c r="AO313" s="87"/>
      <c r="AP313" s="87"/>
      <c r="AQ313" s="87"/>
      <c r="AR313" s="87"/>
      <c r="BC313" s="87"/>
      <c r="BD313" s="87"/>
      <c r="BE313" s="87"/>
      <c r="BF313" s="87"/>
      <c r="BG313" s="87"/>
      <c r="BH313" s="87"/>
    </row>
    <row r="314" spans="4:60" x14ac:dyDescent="0.3">
      <c r="D314" s="28">
        <f t="shared" si="49"/>
        <v>45711</v>
      </c>
      <c r="E314" s="86" t="str">
        <f>_xll.CbondsClosePrice($B$1,D314,$B$27)</f>
        <v>Нет данных</v>
      </c>
      <c r="F314" s="131">
        <f t="shared" si="48"/>
        <v>87.2</v>
      </c>
      <c r="T314" s="87"/>
      <c r="U314" s="87"/>
      <c r="V314" s="87"/>
      <c r="W314" s="87"/>
      <c r="X314" s="87"/>
      <c r="Y314" s="87"/>
      <c r="Z314" s="87"/>
      <c r="AA314" s="87"/>
      <c r="AB314" s="87"/>
      <c r="AI314" s="87"/>
      <c r="AJ314" s="87"/>
      <c r="AK314" s="87"/>
      <c r="AL314" s="87"/>
      <c r="AM314" s="87"/>
      <c r="AN314" s="87"/>
      <c r="AO314" s="87"/>
      <c r="AP314" s="87"/>
      <c r="AQ314" s="87"/>
      <c r="AR314" s="87"/>
      <c r="BC314" s="87"/>
      <c r="BD314" s="87"/>
      <c r="BE314" s="87"/>
      <c r="BF314" s="87"/>
      <c r="BG314" s="87"/>
      <c r="BH314" s="87"/>
    </row>
    <row r="315" spans="4:60" x14ac:dyDescent="0.3">
      <c r="D315" s="28">
        <f t="shared" si="49"/>
        <v>45710</v>
      </c>
      <c r="E315" s="86" t="str">
        <f>_xll.CbondsClosePrice($B$1,D315,$B$27)</f>
        <v>Нет данных</v>
      </c>
      <c r="F315" s="131">
        <f t="shared" si="48"/>
        <v>87.2</v>
      </c>
      <c r="T315" s="87"/>
      <c r="U315" s="87"/>
      <c r="V315" s="87"/>
      <c r="W315" s="87"/>
      <c r="X315" s="87"/>
      <c r="Y315" s="87"/>
      <c r="Z315" s="87"/>
      <c r="AA315" s="87"/>
      <c r="AB315" s="87"/>
      <c r="AI315" s="87"/>
      <c r="AJ315" s="87"/>
      <c r="AK315" s="87"/>
      <c r="AL315" s="87"/>
      <c r="AM315" s="87"/>
      <c r="AN315" s="87"/>
      <c r="AO315" s="87"/>
      <c r="AP315" s="87"/>
      <c r="AQ315" s="87"/>
      <c r="AR315" s="87"/>
      <c r="BC315" s="87"/>
      <c r="BD315" s="87"/>
      <c r="BE315" s="87"/>
      <c r="BF315" s="87"/>
      <c r="BG315" s="87"/>
      <c r="BH315" s="87"/>
    </row>
    <row r="316" spans="4:60" x14ac:dyDescent="0.3">
      <c r="D316" s="28">
        <f t="shared" si="49"/>
        <v>45709</v>
      </c>
      <c r="E316" s="86">
        <f>_xll.CbondsClosePrice($B$1,D316,$B$27)</f>
        <v>87.2</v>
      </c>
      <c r="F316" s="131">
        <f t="shared" si="48"/>
        <v>87.2</v>
      </c>
      <c r="T316" s="87"/>
      <c r="U316" s="87"/>
      <c r="V316" s="87"/>
      <c r="W316" s="87"/>
      <c r="X316" s="87"/>
      <c r="Y316" s="87"/>
      <c r="Z316" s="87"/>
      <c r="AA316" s="87"/>
      <c r="AB316" s="87"/>
      <c r="AI316" s="87"/>
      <c r="AJ316" s="87"/>
      <c r="AK316" s="87"/>
      <c r="AL316" s="87"/>
      <c r="AM316" s="87"/>
      <c r="AN316" s="87"/>
      <c r="AO316" s="87"/>
      <c r="AP316" s="87"/>
      <c r="AQ316" s="87"/>
      <c r="AR316" s="87"/>
      <c r="BC316" s="87"/>
      <c r="BD316" s="87"/>
      <c r="BE316" s="87"/>
      <c r="BF316" s="87"/>
      <c r="BG316" s="87"/>
      <c r="BH316" s="87"/>
    </row>
    <row r="317" spans="4:60" x14ac:dyDescent="0.3">
      <c r="D317" s="28">
        <f t="shared" si="49"/>
        <v>45708</v>
      </c>
      <c r="E317" s="86">
        <f>_xll.CbondsClosePrice($B$1,D317,$B$27)</f>
        <v>87.32</v>
      </c>
      <c r="F317" s="131">
        <f t="shared" si="48"/>
        <v>87.32</v>
      </c>
      <c r="T317" s="87"/>
      <c r="U317" s="87"/>
      <c r="V317" s="87"/>
      <c r="W317" s="87"/>
      <c r="X317" s="87"/>
      <c r="Y317" s="87"/>
      <c r="Z317" s="87"/>
      <c r="AA317" s="87"/>
      <c r="AB317" s="87"/>
      <c r="AI317" s="87"/>
      <c r="AJ317" s="87"/>
      <c r="AK317" s="87"/>
      <c r="AL317" s="87"/>
      <c r="AM317" s="87"/>
      <c r="AN317" s="87"/>
      <c r="AO317" s="87"/>
      <c r="AP317" s="87"/>
      <c r="AQ317" s="87"/>
      <c r="AR317" s="87"/>
      <c r="BC317" s="87"/>
      <c r="BD317" s="87"/>
      <c r="BE317" s="87"/>
      <c r="BF317" s="87"/>
      <c r="BG317" s="87"/>
      <c r="BH317" s="87"/>
    </row>
    <row r="318" spans="4:60" x14ac:dyDescent="0.3">
      <c r="D318" s="28">
        <f t="shared" si="49"/>
        <v>45707</v>
      </c>
      <c r="E318" s="86">
        <f>_xll.CbondsClosePrice($B$1,D318,$B$27)</f>
        <v>87.5</v>
      </c>
      <c r="F318" s="131">
        <f t="shared" si="48"/>
        <v>87.5</v>
      </c>
      <c r="T318" s="87"/>
      <c r="U318" s="87"/>
      <c r="V318" s="87"/>
      <c r="W318" s="87"/>
      <c r="X318" s="87"/>
      <c r="Y318" s="87"/>
      <c r="Z318" s="87"/>
      <c r="AA318" s="87"/>
      <c r="AB318" s="87"/>
      <c r="AI318" s="87"/>
      <c r="AJ318" s="87"/>
      <c r="AK318" s="87"/>
      <c r="AL318" s="87"/>
      <c r="AM318" s="87"/>
      <c r="AN318" s="87"/>
      <c r="AO318" s="87"/>
      <c r="AP318" s="87"/>
      <c r="AQ318" s="87"/>
      <c r="AR318" s="87"/>
      <c r="BC318" s="87"/>
      <c r="BD318" s="87"/>
      <c r="BE318" s="87"/>
      <c r="BF318" s="87"/>
      <c r="BG318" s="87"/>
      <c r="BH318" s="87"/>
    </row>
    <row r="319" spans="4:60" x14ac:dyDescent="0.3">
      <c r="D319" s="28">
        <f t="shared" si="49"/>
        <v>45706</v>
      </c>
      <c r="E319" s="86">
        <f>_xll.CbondsClosePrice($B$1,D319,$B$27)</f>
        <v>87.03</v>
      </c>
      <c r="F319" s="131">
        <f t="shared" si="48"/>
        <v>87.03</v>
      </c>
      <c r="T319" s="87"/>
      <c r="U319" s="87"/>
      <c r="V319" s="87"/>
      <c r="W319" s="87"/>
      <c r="X319" s="87"/>
      <c r="Y319" s="87"/>
      <c r="Z319" s="87"/>
      <c r="AA319" s="87"/>
      <c r="AB319" s="87"/>
      <c r="AI319" s="87"/>
      <c r="AJ319" s="87"/>
      <c r="AK319" s="87"/>
      <c r="AL319" s="87"/>
      <c r="AM319" s="87"/>
      <c r="AN319" s="87"/>
      <c r="AO319" s="87"/>
      <c r="AP319" s="87"/>
      <c r="AQ319" s="87"/>
      <c r="AR319" s="87"/>
      <c r="BC319" s="87"/>
      <c r="BD319" s="87"/>
      <c r="BE319" s="87"/>
      <c r="BF319" s="87"/>
      <c r="BG319" s="87"/>
      <c r="BH319" s="87"/>
    </row>
    <row r="320" spans="4:60" x14ac:dyDescent="0.3">
      <c r="D320" s="28">
        <f t="shared" si="49"/>
        <v>45705</v>
      </c>
      <c r="E320" s="86">
        <f>_xll.CbondsClosePrice($B$1,D320,$B$27)</f>
        <v>87.15</v>
      </c>
      <c r="F320" s="131">
        <f t="shared" si="48"/>
        <v>87.15</v>
      </c>
      <c r="T320" s="87"/>
      <c r="U320" s="87"/>
      <c r="V320" s="87"/>
      <c r="W320" s="87"/>
      <c r="X320" s="87"/>
      <c r="Y320" s="87"/>
      <c r="Z320" s="87"/>
      <c r="AA320" s="87"/>
      <c r="AB320" s="87"/>
      <c r="AI320" s="87"/>
      <c r="AJ320" s="87"/>
      <c r="AK320" s="87"/>
      <c r="AL320" s="87"/>
      <c r="AM320" s="87"/>
      <c r="AN320" s="87"/>
      <c r="AO320" s="87"/>
      <c r="AP320" s="87"/>
      <c r="AQ320" s="87"/>
      <c r="AR320" s="87"/>
      <c r="BC320" s="87"/>
      <c r="BD320" s="87"/>
      <c r="BE320" s="87"/>
      <c r="BF320" s="87"/>
      <c r="BG320" s="87"/>
      <c r="BH320" s="87"/>
    </row>
    <row r="321" spans="4:60" x14ac:dyDescent="0.3">
      <c r="D321" s="28">
        <f t="shared" si="49"/>
        <v>45704</v>
      </c>
      <c r="E321" s="86" t="str">
        <f>_xll.CbondsClosePrice($B$1,D321,$B$27)</f>
        <v>Нет данных</v>
      </c>
      <c r="F321" s="131">
        <f t="shared" si="48"/>
        <v>87.16</v>
      </c>
      <c r="T321" s="87"/>
      <c r="U321" s="87"/>
      <c r="V321" s="87"/>
      <c r="W321" s="87"/>
      <c r="X321" s="87"/>
      <c r="Y321" s="87"/>
      <c r="Z321" s="87"/>
      <c r="AA321" s="87"/>
      <c r="AB321" s="87"/>
      <c r="AI321" s="87"/>
      <c r="AJ321" s="87"/>
      <c r="AK321" s="87"/>
      <c r="AL321" s="87"/>
      <c r="AM321" s="87"/>
      <c r="AN321" s="87"/>
      <c r="AO321" s="87"/>
      <c r="AP321" s="87"/>
      <c r="AQ321" s="87"/>
      <c r="AR321" s="87"/>
      <c r="BC321" s="87"/>
      <c r="BD321" s="87"/>
      <c r="BE321" s="87"/>
      <c r="BF321" s="87"/>
      <c r="BG321" s="87"/>
      <c r="BH321" s="87"/>
    </row>
    <row r="322" spans="4:60" x14ac:dyDescent="0.3">
      <c r="D322" s="28">
        <f t="shared" si="49"/>
        <v>45703</v>
      </c>
      <c r="E322" s="86" t="str">
        <f>_xll.CbondsClosePrice($B$1,D322,$B$27)</f>
        <v>Нет данных</v>
      </c>
      <c r="F322" s="131">
        <f t="shared" si="48"/>
        <v>87.16</v>
      </c>
      <c r="T322" s="87"/>
      <c r="U322" s="87"/>
      <c r="V322" s="87"/>
      <c r="W322" s="87"/>
      <c r="X322" s="87"/>
      <c r="Y322" s="87"/>
      <c r="Z322" s="87"/>
      <c r="AA322" s="87"/>
      <c r="AB322" s="87"/>
      <c r="AI322" s="87"/>
      <c r="AJ322" s="87"/>
      <c r="AK322" s="87"/>
      <c r="AL322" s="87"/>
      <c r="AM322" s="87"/>
      <c r="AN322" s="87"/>
      <c r="AO322" s="87"/>
      <c r="AP322" s="87"/>
      <c r="AQ322" s="87"/>
      <c r="AR322" s="87"/>
      <c r="BC322" s="87"/>
      <c r="BD322" s="87"/>
      <c r="BE322" s="87"/>
      <c r="BF322" s="87"/>
      <c r="BG322" s="87"/>
      <c r="BH322" s="87"/>
    </row>
    <row r="323" spans="4:60" x14ac:dyDescent="0.3">
      <c r="D323" s="28">
        <f t="shared" si="49"/>
        <v>45702</v>
      </c>
      <c r="E323" s="86">
        <f>_xll.CbondsClosePrice($B$1,D323,$B$27)</f>
        <v>87.16</v>
      </c>
      <c r="F323" s="131">
        <f t="shared" ref="F323:F373" si="50">IF(IF(AND(E323="",D323=""),"",IF(AND(E323="Нет данных",D323&lt;&gt;""),F324,E323)) = 0,"",IF(AND(E323="",D323=""),"",IF(AND(E323="Нет данных",D323&lt;&gt;""),F324,E323)))</f>
        <v>87.16</v>
      </c>
      <c r="T323" s="87"/>
      <c r="U323" s="87"/>
      <c r="V323" s="87"/>
      <c r="W323" s="87"/>
      <c r="X323" s="87"/>
      <c r="Y323" s="87"/>
      <c r="Z323" s="87"/>
      <c r="AA323" s="87"/>
      <c r="AB323" s="87"/>
      <c r="AI323" s="87"/>
      <c r="AJ323" s="87"/>
      <c r="AK323" s="87"/>
      <c r="AL323" s="87"/>
      <c r="AM323" s="87"/>
      <c r="AN323" s="87"/>
      <c r="AO323" s="87"/>
      <c r="AP323" s="87"/>
      <c r="AQ323" s="87"/>
      <c r="AR323" s="87"/>
      <c r="BC323" s="87"/>
      <c r="BD323" s="87"/>
      <c r="BE323" s="87"/>
      <c r="BF323" s="87"/>
      <c r="BG323" s="87"/>
      <c r="BH323" s="87"/>
    </row>
    <row r="324" spans="4:60" x14ac:dyDescent="0.3">
      <c r="D324" s="28">
        <f t="shared" ref="D324:D367" si="51">D323-1</f>
        <v>45701</v>
      </c>
      <c r="E324" s="86">
        <f>_xll.CbondsClosePrice($B$1,D324,$B$27)</f>
        <v>86.5</v>
      </c>
      <c r="F324" s="131">
        <f t="shared" si="50"/>
        <v>86.5</v>
      </c>
      <c r="T324" s="87"/>
      <c r="U324" s="87"/>
      <c r="V324" s="87"/>
      <c r="W324" s="87"/>
      <c r="X324" s="87"/>
      <c r="Y324" s="87"/>
      <c r="Z324" s="87"/>
      <c r="AA324" s="87"/>
      <c r="AB324" s="87"/>
      <c r="AI324" s="87"/>
      <c r="AJ324" s="87"/>
      <c r="AK324" s="87"/>
      <c r="AL324" s="87"/>
      <c r="AM324" s="87"/>
      <c r="AN324" s="87"/>
      <c r="AO324" s="87"/>
      <c r="AP324" s="87"/>
      <c r="AQ324" s="87"/>
      <c r="AR324" s="87"/>
      <c r="BC324" s="87"/>
      <c r="BD324" s="87"/>
      <c r="BE324" s="87"/>
      <c r="BF324" s="87"/>
      <c r="BG324" s="87"/>
      <c r="BH324" s="87"/>
    </row>
    <row r="325" spans="4:60" x14ac:dyDescent="0.3">
      <c r="D325" s="28">
        <f t="shared" si="51"/>
        <v>45700</v>
      </c>
      <c r="E325" s="86">
        <f>_xll.CbondsClosePrice($B$1,D325,$B$27)</f>
        <v>86.85</v>
      </c>
      <c r="F325" s="131">
        <f t="shared" si="50"/>
        <v>86.85</v>
      </c>
      <c r="T325" s="87"/>
      <c r="U325" s="87"/>
      <c r="V325" s="87"/>
      <c r="W325" s="87"/>
      <c r="X325" s="87"/>
      <c r="Y325" s="87"/>
      <c r="Z325" s="87"/>
      <c r="AA325" s="87"/>
      <c r="AB325" s="87"/>
      <c r="AI325" s="87"/>
      <c r="AJ325" s="87"/>
      <c r="AK325" s="87"/>
      <c r="AL325" s="87"/>
      <c r="AM325" s="87"/>
      <c r="AN325" s="87"/>
      <c r="AO325" s="87"/>
      <c r="AP325" s="87"/>
      <c r="AQ325" s="87"/>
      <c r="AR325" s="87"/>
      <c r="BC325" s="87"/>
      <c r="BD325" s="87"/>
      <c r="BE325" s="87"/>
      <c r="BF325" s="87"/>
      <c r="BG325" s="87"/>
      <c r="BH325" s="87"/>
    </row>
    <row r="326" spans="4:60" x14ac:dyDescent="0.3">
      <c r="D326" s="28">
        <f t="shared" si="51"/>
        <v>45699</v>
      </c>
      <c r="E326" s="86">
        <f>_xll.CbondsClosePrice($B$1,D326,$B$27)</f>
        <v>86.46</v>
      </c>
      <c r="F326" s="131">
        <f t="shared" si="50"/>
        <v>86.46</v>
      </c>
      <c r="T326" s="87"/>
      <c r="U326" s="87"/>
      <c r="V326" s="87"/>
      <c r="W326" s="87"/>
      <c r="X326" s="87"/>
      <c r="Y326" s="87"/>
      <c r="Z326" s="87"/>
      <c r="AA326" s="87"/>
      <c r="AB326" s="87"/>
      <c r="AI326" s="87"/>
      <c r="AJ326" s="87"/>
      <c r="AK326" s="87"/>
      <c r="AL326" s="87"/>
      <c r="AM326" s="87"/>
      <c r="AN326" s="87"/>
      <c r="AO326" s="87"/>
      <c r="AP326" s="87"/>
      <c r="AQ326" s="87"/>
      <c r="AR326" s="87"/>
      <c r="BC326" s="87"/>
      <c r="BD326" s="87"/>
      <c r="BE326" s="87"/>
      <c r="BF326" s="87"/>
      <c r="BG326" s="87"/>
      <c r="BH326" s="87"/>
    </row>
    <row r="327" spans="4:60" x14ac:dyDescent="0.3">
      <c r="D327" s="28">
        <f t="shared" si="51"/>
        <v>45698</v>
      </c>
      <c r="E327" s="86">
        <f>_xll.CbondsClosePrice($B$1,D327,$B$27)</f>
        <v>86.31</v>
      </c>
      <c r="F327" s="131">
        <f t="shared" si="50"/>
        <v>86.31</v>
      </c>
      <c r="T327" s="87"/>
      <c r="U327" s="87"/>
      <c r="V327" s="87"/>
      <c r="W327" s="87"/>
      <c r="X327" s="87"/>
      <c r="Y327" s="87"/>
      <c r="Z327" s="87"/>
      <c r="AA327" s="87"/>
      <c r="AB327" s="87"/>
      <c r="AI327" s="87"/>
      <c r="AJ327" s="87"/>
      <c r="AK327" s="87"/>
      <c r="AL327" s="87"/>
      <c r="AM327" s="87"/>
      <c r="AN327" s="87"/>
      <c r="AO327" s="87"/>
      <c r="AP327" s="87"/>
      <c r="AQ327" s="87"/>
      <c r="AR327" s="87"/>
      <c r="BC327" s="87"/>
      <c r="BD327" s="87"/>
      <c r="BE327" s="87"/>
      <c r="BF327" s="87"/>
      <c r="BG327" s="87"/>
      <c r="BH327" s="87"/>
    </row>
    <row r="328" spans="4:60" x14ac:dyDescent="0.3">
      <c r="D328" s="28">
        <f t="shared" si="51"/>
        <v>45697</v>
      </c>
      <c r="E328" s="86" t="str">
        <f>_xll.CbondsClosePrice($B$1,D328,$B$27)</f>
        <v>Нет данных</v>
      </c>
      <c r="F328" s="131">
        <f t="shared" si="50"/>
        <v>85.99</v>
      </c>
      <c r="T328" s="87"/>
      <c r="U328" s="87"/>
      <c r="V328" s="87"/>
      <c r="W328" s="87"/>
      <c r="X328" s="87"/>
      <c r="Y328" s="87"/>
      <c r="Z328" s="87"/>
      <c r="AA328" s="87"/>
      <c r="AB328" s="87"/>
      <c r="AI328" s="87"/>
      <c r="AJ328" s="87"/>
      <c r="AK328" s="87"/>
      <c r="AL328" s="87"/>
      <c r="AM328" s="87"/>
      <c r="AN328" s="87"/>
      <c r="AO328" s="87"/>
      <c r="AP328" s="87"/>
      <c r="AQ328" s="87"/>
      <c r="AR328" s="87"/>
      <c r="BC328" s="87"/>
      <c r="BD328" s="87"/>
      <c r="BE328" s="87"/>
      <c r="BF328" s="87"/>
      <c r="BG328" s="87"/>
      <c r="BH328" s="87"/>
    </row>
    <row r="329" spans="4:60" x14ac:dyDescent="0.3">
      <c r="D329" s="28">
        <f t="shared" si="51"/>
        <v>45696</v>
      </c>
      <c r="E329" s="86" t="str">
        <f>_xll.CbondsClosePrice($B$1,D329,$B$27)</f>
        <v>Нет данных</v>
      </c>
      <c r="F329" s="131">
        <f t="shared" si="50"/>
        <v>85.99</v>
      </c>
      <c r="T329" s="87"/>
      <c r="U329" s="87"/>
      <c r="V329" s="87"/>
      <c r="W329" s="87"/>
      <c r="X329" s="87"/>
      <c r="Y329" s="87"/>
      <c r="Z329" s="87"/>
      <c r="AA329" s="87"/>
      <c r="AB329" s="87"/>
      <c r="AI329" s="87"/>
      <c r="AJ329" s="87"/>
      <c r="AK329" s="87"/>
      <c r="AL329" s="87"/>
      <c r="AM329" s="87"/>
      <c r="AN329" s="87"/>
      <c r="AO329" s="87"/>
      <c r="AP329" s="87"/>
      <c r="AQ329" s="87"/>
      <c r="AR329" s="87"/>
      <c r="BC329" s="87"/>
      <c r="BD329" s="87"/>
      <c r="BE329" s="87"/>
      <c r="BF329" s="87"/>
      <c r="BG329" s="87"/>
      <c r="BH329" s="87"/>
    </row>
    <row r="330" spans="4:60" x14ac:dyDescent="0.3">
      <c r="D330" s="28">
        <f t="shared" si="51"/>
        <v>45695</v>
      </c>
      <c r="E330" s="86">
        <f>_xll.CbondsClosePrice($B$1,D330,$B$27)</f>
        <v>85.99</v>
      </c>
      <c r="F330" s="131">
        <f t="shared" si="50"/>
        <v>85.99</v>
      </c>
      <c r="T330" s="87"/>
      <c r="U330" s="87"/>
      <c r="V330" s="87"/>
      <c r="W330" s="87"/>
      <c r="X330" s="87"/>
      <c r="Y330" s="87"/>
      <c r="Z330" s="87"/>
      <c r="AA330" s="87"/>
      <c r="AB330" s="87"/>
      <c r="AI330" s="87"/>
      <c r="AJ330" s="87"/>
      <c r="AK330" s="87"/>
      <c r="AL330" s="87"/>
      <c r="AM330" s="87"/>
      <c r="AN330" s="87"/>
      <c r="AO330" s="87"/>
      <c r="AP330" s="87"/>
      <c r="AQ330" s="87"/>
      <c r="AR330" s="87"/>
      <c r="BC330" s="87"/>
      <c r="BD330" s="87"/>
      <c r="BE330" s="87"/>
      <c r="BF330" s="87"/>
      <c r="BG330" s="87"/>
      <c r="BH330" s="87"/>
    </row>
    <row r="331" spans="4:60" x14ac:dyDescent="0.3">
      <c r="D331" s="28">
        <f t="shared" si="51"/>
        <v>45694</v>
      </c>
      <c r="E331" s="86">
        <f>_xll.CbondsClosePrice($B$1,D331,$B$27)</f>
        <v>86.15</v>
      </c>
      <c r="F331" s="131">
        <f t="shared" si="50"/>
        <v>86.15</v>
      </c>
      <c r="T331" s="87"/>
      <c r="U331" s="87"/>
      <c r="V331" s="87"/>
      <c r="W331" s="87"/>
      <c r="X331" s="87"/>
      <c r="Y331" s="87"/>
      <c r="Z331" s="87"/>
      <c r="AA331" s="87"/>
      <c r="AB331" s="87"/>
      <c r="AI331" s="87"/>
      <c r="AJ331" s="87"/>
      <c r="AK331" s="87"/>
      <c r="AL331" s="87"/>
      <c r="AM331" s="87"/>
      <c r="AN331" s="87"/>
      <c r="AO331" s="87"/>
      <c r="AP331" s="87"/>
      <c r="AQ331" s="87"/>
      <c r="AR331" s="87"/>
      <c r="BC331" s="87"/>
      <c r="BD331" s="87"/>
      <c r="BE331" s="87"/>
      <c r="BF331" s="87"/>
      <c r="BG331" s="87"/>
      <c r="BH331" s="87"/>
    </row>
    <row r="332" spans="4:60" x14ac:dyDescent="0.3">
      <c r="D332" s="28">
        <f t="shared" si="51"/>
        <v>45693</v>
      </c>
      <c r="E332" s="86">
        <f>_xll.CbondsClosePrice($B$1,D332,$B$27)</f>
        <v>85.5</v>
      </c>
      <c r="F332" s="131">
        <f t="shared" si="50"/>
        <v>85.5</v>
      </c>
      <c r="T332" s="87"/>
      <c r="U332" s="87"/>
      <c r="V332" s="87"/>
      <c r="W332" s="87"/>
      <c r="X332" s="87"/>
      <c r="Y332" s="87"/>
      <c r="Z332" s="87"/>
      <c r="AA332" s="87"/>
      <c r="AB332" s="87"/>
      <c r="AI332" s="87"/>
      <c r="AJ332" s="87"/>
      <c r="AK332" s="87"/>
      <c r="AL332" s="87"/>
      <c r="AM332" s="87"/>
      <c r="AN332" s="87"/>
      <c r="AO332" s="87"/>
      <c r="AP332" s="87"/>
      <c r="AQ332" s="87"/>
      <c r="AR332" s="87"/>
      <c r="BC332" s="87"/>
      <c r="BD332" s="87"/>
      <c r="BE332" s="87"/>
      <c r="BF332" s="87"/>
      <c r="BG332" s="87"/>
      <c r="BH332" s="87"/>
    </row>
    <row r="333" spans="4:60" x14ac:dyDescent="0.3">
      <c r="D333" s="28">
        <f t="shared" si="51"/>
        <v>45692</v>
      </c>
      <c r="E333" s="86">
        <f>_xll.CbondsClosePrice($B$1,D333,$B$27)</f>
        <v>85.64</v>
      </c>
      <c r="F333" s="131">
        <f t="shared" si="50"/>
        <v>85.64</v>
      </c>
      <c r="T333" s="87"/>
      <c r="U333" s="87"/>
      <c r="V333" s="87"/>
      <c r="W333" s="87"/>
      <c r="X333" s="87"/>
      <c r="Y333" s="87"/>
      <c r="Z333" s="87"/>
      <c r="AA333" s="87"/>
      <c r="AB333" s="87"/>
      <c r="AI333" s="87"/>
      <c r="AJ333" s="87"/>
      <c r="AK333" s="87"/>
      <c r="AL333" s="87"/>
      <c r="AM333" s="87"/>
      <c r="AN333" s="87"/>
      <c r="AO333" s="87"/>
      <c r="AP333" s="87"/>
      <c r="AQ333" s="87"/>
      <c r="AR333" s="87"/>
      <c r="BC333" s="87"/>
      <c r="BD333" s="87"/>
      <c r="BE333" s="87"/>
      <c r="BF333" s="87"/>
      <c r="BG333" s="87"/>
      <c r="BH333" s="87"/>
    </row>
    <row r="334" spans="4:60" x14ac:dyDescent="0.3">
      <c r="D334" s="28">
        <f t="shared" si="51"/>
        <v>45691</v>
      </c>
      <c r="E334" s="86">
        <f>_xll.CbondsClosePrice($B$1,D334,$B$27)</f>
        <v>85.8</v>
      </c>
      <c r="F334" s="131">
        <f t="shared" si="50"/>
        <v>85.8</v>
      </c>
      <c r="T334" s="87"/>
      <c r="U334" s="87"/>
      <c r="V334" s="87"/>
      <c r="W334" s="87"/>
      <c r="X334" s="87"/>
      <c r="Y334" s="87"/>
      <c r="Z334" s="87"/>
      <c r="AA334" s="87"/>
      <c r="AB334" s="87"/>
      <c r="AI334" s="87"/>
      <c r="AJ334" s="87"/>
      <c r="AK334" s="87"/>
      <c r="AL334" s="87"/>
      <c r="AM334" s="87"/>
      <c r="AN334" s="87"/>
      <c r="AO334" s="87"/>
      <c r="AP334" s="87"/>
      <c r="AQ334" s="87"/>
      <c r="AR334" s="87"/>
      <c r="BC334" s="87"/>
      <c r="BD334" s="87"/>
      <c r="BE334" s="87"/>
      <c r="BF334" s="87"/>
      <c r="BG334" s="87"/>
      <c r="BH334" s="87"/>
    </row>
    <row r="335" spans="4:60" x14ac:dyDescent="0.3">
      <c r="D335" s="28">
        <f t="shared" si="51"/>
        <v>45690</v>
      </c>
      <c r="E335" s="86" t="str">
        <f>_xll.CbondsClosePrice($B$1,D335,$B$27)</f>
        <v>Нет данных</v>
      </c>
      <c r="F335" s="131">
        <f t="shared" si="50"/>
        <v>85.92</v>
      </c>
      <c r="T335" s="87"/>
      <c r="U335" s="87"/>
      <c r="V335" s="87"/>
      <c r="W335" s="87"/>
      <c r="X335" s="87"/>
      <c r="Y335" s="87"/>
      <c r="Z335" s="87"/>
      <c r="AA335" s="87"/>
      <c r="AB335" s="87"/>
      <c r="AI335" s="87"/>
      <c r="AJ335" s="87"/>
      <c r="AK335" s="87"/>
      <c r="AL335" s="87"/>
      <c r="AM335" s="87"/>
      <c r="AN335" s="87"/>
      <c r="AO335" s="87"/>
      <c r="AP335" s="87"/>
      <c r="AQ335" s="87"/>
      <c r="AR335" s="87"/>
      <c r="BC335" s="87"/>
      <c r="BD335" s="87"/>
      <c r="BE335" s="87"/>
      <c r="BF335" s="87"/>
      <c r="BG335" s="87"/>
      <c r="BH335" s="87"/>
    </row>
    <row r="336" spans="4:60" x14ac:dyDescent="0.3">
      <c r="D336" s="28">
        <f t="shared" si="51"/>
        <v>45689</v>
      </c>
      <c r="E336" s="86" t="str">
        <f>_xll.CbondsClosePrice($B$1,D336,$B$27)</f>
        <v>Нет данных</v>
      </c>
      <c r="F336" s="131">
        <f t="shared" si="50"/>
        <v>85.92</v>
      </c>
      <c r="T336" s="87"/>
      <c r="U336" s="87"/>
      <c r="V336" s="87"/>
      <c r="W336" s="87"/>
      <c r="X336" s="87"/>
      <c r="Y336" s="87"/>
      <c r="Z336" s="87"/>
      <c r="AA336" s="87"/>
      <c r="AB336" s="87"/>
      <c r="AI336" s="87"/>
      <c r="AJ336" s="87"/>
      <c r="AK336" s="87"/>
      <c r="AL336" s="87"/>
      <c r="AM336" s="87"/>
      <c r="AN336" s="87"/>
      <c r="AO336" s="87"/>
      <c r="AP336" s="87"/>
      <c r="AQ336" s="87"/>
      <c r="AR336" s="87"/>
      <c r="BC336" s="87"/>
      <c r="BD336" s="87"/>
      <c r="BE336" s="87"/>
      <c r="BF336" s="87"/>
      <c r="BG336" s="87"/>
      <c r="BH336" s="87"/>
    </row>
    <row r="337" spans="4:60" x14ac:dyDescent="0.3">
      <c r="D337" s="28">
        <f t="shared" si="51"/>
        <v>45688</v>
      </c>
      <c r="E337" s="86">
        <f>_xll.CbondsClosePrice($B$1,D337,$B$27)</f>
        <v>85.92</v>
      </c>
      <c r="F337" s="131">
        <f t="shared" si="50"/>
        <v>85.92</v>
      </c>
      <c r="T337" s="87"/>
      <c r="U337" s="87"/>
      <c r="V337" s="87"/>
      <c r="W337" s="87"/>
      <c r="X337" s="87"/>
      <c r="Y337" s="87"/>
      <c r="Z337" s="87"/>
      <c r="AA337" s="87"/>
      <c r="AB337" s="87"/>
      <c r="AI337" s="87"/>
      <c r="AJ337" s="87"/>
      <c r="AK337" s="87"/>
      <c r="AL337" s="87"/>
      <c r="AM337" s="87"/>
      <c r="AN337" s="87"/>
      <c r="AO337" s="87"/>
      <c r="AP337" s="87"/>
      <c r="AQ337" s="87"/>
      <c r="AR337" s="87"/>
      <c r="BC337" s="87"/>
      <c r="BD337" s="87"/>
      <c r="BE337" s="87"/>
      <c r="BF337" s="87"/>
      <c r="BG337" s="87"/>
      <c r="BH337" s="87"/>
    </row>
    <row r="338" spans="4:60" x14ac:dyDescent="0.3">
      <c r="D338" s="28">
        <f t="shared" si="51"/>
        <v>45687</v>
      </c>
      <c r="E338" s="86">
        <f>_xll.CbondsClosePrice($B$1,D338,$B$27)</f>
        <v>85.48</v>
      </c>
      <c r="F338" s="131">
        <f t="shared" si="50"/>
        <v>85.48</v>
      </c>
      <c r="T338" s="87"/>
      <c r="U338" s="87"/>
      <c r="V338" s="87"/>
      <c r="W338" s="87"/>
      <c r="X338" s="87"/>
      <c r="Y338" s="87"/>
      <c r="Z338" s="87"/>
      <c r="AA338" s="87"/>
      <c r="AB338" s="87"/>
      <c r="AI338" s="87"/>
      <c r="AJ338" s="87"/>
      <c r="AK338" s="87"/>
      <c r="AL338" s="87"/>
      <c r="AM338" s="87"/>
      <c r="AN338" s="87"/>
      <c r="AO338" s="87"/>
      <c r="AP338" s="87"/>
      <c r="AQ338" s="87"/>
      <c r="AR338" s="87"/>
      <c r="BC338" s="87"/>
      <c r="BD338" s="87"/>
      <c r="BE338" s="87"/>
      <c r="BF338" s="87"/>
      <c r="BG338" s="87"/>
      <c r="BH338" s="87"/>
    </row>
    <row r="339" spans="4:60" x14ac:dyDescent="0.3">
      <c r="D339" s="28">
        <f t="shared" si="51"/>
        <v>45686</v>
      </c>
      <c r="E339" s="86">
        <f>_xll.CbondsClosePrice($B$1,D339,$B$27)</f>
        <v>85.21</v>
      </c>
      <c r="F339" s="131">
        <f t="shared" si="50"/>
        <v>85.21</v>
      </c>
      <c r="T339" s="87"/>
      <c r="U339" s="87"/>
      <c r="V339" s="87"/>
      <c r="W339" s="87"/>
      <c r="X339" s="87"/>
      <c r="Y339" s="87"/>
      <c r="Z339" s="87"/>
      <c r="AA339" s="87"/>
      <c r="AB339" s="87"/>
      <c r="AI339" s="87"/>
      <c r="AJ339" s="87"/>
      <c r="AK339" s="87"/>
      <c r="AL339" s="87"/>
      <c r="AM339" s="87"/>
      <c r="AN339" s="87"/>
      <c r="AO339" s="87"/>
      <c r="AP339" s="87"/>
      <c r="AQ339" s="87"/>
      <c r="AR339" s="87"/>
      <c r="BC339" s="87"/>
      <c r="BD339" s="87"/>
      <c r="BE339" s="87"/>
      <c r="BF339" s="87"/>
      <c r="BG339" s="87"/>
      <c r="BH339" s="87"/>
    </row>
    <row r="340" spans="4:60" x14ac:dyDescent="0.3">
      <c r="D340" s="28">
        <f t="shared" si="51"/>
        <v>45685</v>
      </c>
      <c r="E340" s="86">
        <f>_xll.CbondsClosePrice($B$1,D340,$B$27)</f>
        <v>85.19</v>
      </c>
      <c r="F340" s="131">
        <f t="shared" si="50"/>
        <v>85.19</v>
      </c>
      <c r="T340" s="87"/>
      <c r="U340" s="87"/>
      <c r="V340" s="87"/>
      <c r="W340" s="87"/>
      <c r="X340" s="87"/>
      <c r="Y340" s="87"/>
      <c r="Z340" s="87"/>
      <c r="AA340" s="87"/>
      <c r="AB340" s="87"/>
      <c r="AI340" s="87"/>
      <c r="AJ340" s="87"/>
      <c r="AK340" s="87"/>
      <c r="AL340" s="87"/>
      <c r="AM340" s="87"/>
      <c r="AN340" s="87"/>
      <c r="AO340" s="87"/>
      <c r="AP340" s="87"/>
      <c r="AQ340" s="87"/>
      <c r="AR340" s="87"/>
      <c r="BC340" s="87"/>
      <c r="BD340" s="87"/>
      <c r="BE340" s="87"/>
      <c r="BF340" s="87"/>
      <c r="BG340" s="87"/>
      <c r="BH340" s="87"/>
    </row>
    <row r="341" spans="4:60" x14ac:dyDescent="0.3">
      <c r="D341" s="28">
        <f t="shared" si="51"/>
        <v>45684</v>
      </c>
      <c r="E341" s="86">
        <f>_xll.CbondsClosePrice($B$1,D341,$B$27)</f>
        <v>85.08</v>
      </c>
      <c r="F341" s="131">
        <f t="shared" si="50"/>
        <v>85.08</v>
      </c>
      <c r="T341" s="87"/>
      <c r="U341" s="87"/>
      <c r="V341" s="87"/>
      <c r="W341" s="87"/>
      <c r="X341" s="87"/>
      <c r="Y341" s="87"/>
      <c r="Z341" s="87"/>
      <c r="AA341" s="87"/>
      <c r="AB341" s="87"/>
      <c r="AI341" s="87"/>
      <c r="AJ341" s="87"/>
      <c r="AK341" s="87"/>
      <c r="AL341" s="87"/>
      <c r="AM341" s="87"/>
      <c r="AN341" s="87"/>
      <c r="AO341" s="87"/>
      <c r="AP341" s="87"/>
      <c r="AQ341" s="87"/>
      <c r="AR341" s="87"/>
      <c r="BC341" s="87"/>
      <c r="BD341" s="87"/>
      <c r="BE341" s="87"/>
      <c r="BF341" s="87"/>
      <c r="BG341" s="87"/>
      <c r="BH341" s="87"/>
    </row>
    <row r="342" spans="4:60" x14ac:dyDescent="0.3">
      <c r="D342" s="28">
        <f t="shared" si="51"/>
        <v>45683</v>
      </c>
      <c r="E342" s="86" t="str">
        <f>_xll.CbondsClosePrice($B$1,D342,$B$27)</f>
        <v>Нет данных</v>
      </c>
      <c r="F342" s="131">
        <f t="shared" si="50"/>
        <v>85.09</v>
      </c>
      <c r="T342" s="87"/>
      <c r="U342" s="87"/>
      <c r="V342" s="87"/>
      <c r="W342" s="87"/>
      <c r="X342" s="87"/>
      <c r="Y342" s="87"/>
      <c r="Z342" s="87"/>
      <c r="AA342" s="87"/>
      <c r="AB342" s="87"/>
      <c r="AI342" s="87"/>
      <c r="AJ342" s="87"/>
      <c r="AK342" s="87"/>
      <c r="AL342" s="87"/>
      <c r="AM342" s="87"/>
      <c r="AN342" s="87"/>
      <c r="AO342" s="87"/>
      <c r="AP342" s="87"/>
      <c r="AQ342" s="87"/>
      <c r="AR342" s="87"/>
      <c r="BC342" s="87"/>
      <c r="BD342" s="87"/>
      <c r="BE342" s="87"/>
      <c r="BF342" s="87"/>
      <c r="BG342" s="87"/>
      <c r="BH342" s="87"/>
    </row>
    <row r="343" spans="4:60" x14ac:dyDescent="0.3">
      <c r="D343" s="28">
        <f t="shared" si="51"/>
        <v>45682</v>
      </c>
      <c r="E343" s="86" t="str">
        <f>_xll.CbondsClosePrice($B$1,D343,$B$27)</f>
        <v>Нет данных</v>
      </c>
      <c r="F343" s="131">
        <f t="shared" si="50"/>
        <v>85.09</v>
      </c>
      <c r="T343" s="87"/>
      <c r="U343" s="87"/>
      <c r="V343" s="87"/>
      <c r="W343" s="87"/>
      <c r="X343" s="87"/>
      <c r="Y343" s="87"/>
      <c r="Z343" s="87"/>
      <c r="AA343" s="87"/>
      <c r="AB343" s="87"/>
      <c r="AI343" s="87"/>
      <c r="AJ343" s="87"/>
      <c r="AK343" s="87"/>
      <c r="AL343" s="87"/>
      <c r="AM343" s="87"/>
      <c r="AN343" s="87"/>
      <c r="AO343" s="87"/>
      <c r="AP343" s="87"/>
      <c r="AQ343" s="87"/>
      <c r="AR343" s="87"/>
      <c r="BC343" s="87"/>
      <c r="BD343" s="87"/>
      <c r="BE343" s="87"/>
      <c r="BF343" s="87"/>
      <c r="BG343" s="87"/>
      <c r="BH343" s="87"/>
    </row>
    <row r="344" spans="4:60" x14ac:dyDescent="0.3">
      <c r="D344" s="28">
        <f t="shared" si="51"/>
        <v>45681</v>
      </c>
      <c r="E344" s="86">
        <f>_xll.CbondsClosePrice($B$1,D344,$B$27)</f>
        <v>85.09</v>
      </c>
      <c r="F344" s="131">
        <f t="shared" si="50"/>
        <v>85.09</v>
      </c>
      <c r="T344" s="87"/>
      <c r="U344" s="87"/>
      <c r="V344" s="87"/>
      <c r="W344" s="87"/>
      <c r="X344" s="87"/>
      <c r="Y344" s="87"/>
      <c r="Z344" s="87"/>
      <c r="AA344" s="87"/>
      <c r="AB344" s="87"/>
      <c r="AI344" s="87"/>
      <c r="AJ344" s="87"/>
      <c r="AK344" s="87"/>
      <c r="AL344" s="87"/>
      <c r="AM344" s="87"/>
      <c r="AN344" s="87"/>
      <c r="AO344" s="87"/>
      <c r="AP344" s="87"/>
      <c r="AQ344" s="87"/>
      <c r="AR344" s="87"/>
      <c r="BC344" s="87"/>
      <c r="BD344" s="87"/>
      <c r="BE344" s="87"/>
      <c r="BF344" s="87"/>
      <c r="BG344" s="87"/>
      <c r="BH344" s="87"/>
    </row>
    <row r="345" spans="4:60" x14ac:dyDescent="0.3">
      <c r="D345" s="28">
        <f t="shared" si="51"/>
        <v>45680</v>
      </c>
      <c r="E345" s="86">
        <f>_xll.CbondsClosePrice($B$1,D345,$B$27)</f>
        <v>84.96</v>
      </c>
      <c r="F345" s="131">
        <f t="shared" si="50"/>
        <v>84.96</v>
      </c>
      <c r="T345" s="87"/>
      <c r="U345" s="87"/>
      <c r="V345" s="87"/>
      <c r="W345" s="87"/>
      <c r="X345" s="87"/>
      <c r="Y345" s="87"/>
      <c r="Z345" s="87"/>
      <c r="AA345" s="87"/>
      <c r="AB345" s="87"/>
      <c r="AI345" s="87"/>
      <c r="AJ345" s="87"/>
      <c r="AK345" s="87"/>
      <c r="AL345" s="87"/>
      <c r="AM345" s="87"/>
      <c r="AN345" s="87"/>
      <c r="AO345" s="87"/>
      <c r="AP345" s="87"/>
      <c r="AQ345" s="87"/>
      <c r="AR345" s="87"/>
      <c r="BC345" s="87"/>
      <c r="BD345" s="87"/>
      <c r="BE345" s="87"/>
      <c r="BF345" s="87"/>
      <c r="BG345" s="87"/>
      <c r="BH345" s="87"/>
    </row>
    <row r="346" spans="4:60" x14ac:dyDescent="0.3">
      <c r="D346" s="28">
        <f t="shared" si="51"/>
        <v>45679</v>
      </c>
      <c r="E346" s="86">
        <f>_xll.CbondsClosePrice($B$1,D346,$B$27)</f>
        <v>84.79</v>
      </c>
      <c r="F346" s="131">
        <f t="shared" si="50"/>
        <v>84.79</v>
      </c>
      <c r="T346" s="87"/>
      <c r="U346" s="87"/>
      <c r="V346" s="87"/>
      <c r="W346" s="87"/>
      <c r="X346" s="87"/>
      <c r="Y346" s="87"/>
      <c r="Z346" s="87"/>
      <c r="AA346" s="87"/>
      <c r="AB346" s="87"/>
      <c r="AI346" s="87"/>
      <c r="AJ346" s="87"/>
      <c r="AK346" s="87"/>
      <c r="AL346" s="87"/>
      <c r="AM346" s="87"/>
      <c r="AN346" s="87"/>
      <c r="AO346" s="87"/>
      <c r="AP346" s="87"/>
      <c r="AQ346" s="87"/>
      <c r="AR346" s="87"/>
      <c r="BC346" s="87"/>
      <c r="BD346" s="87"/>
      <c r="BE346" s="87"/>
      <c r="BF346" s="87"/>
      <c r="BG346" s="87"/>
      <c r="BH346" s="87"/>
    </row>
    <row r="347" spans="4:60" x14ac:dyDescent="0.3">
      <c r="D347" s="28">
        <f t="shared" si="51"/>
        <v>45678</v>
      </c>
      <c r="E347" s="86">
        <f>_xll.CbondsClosePrice($B$1,D347,$B$27)</f>
        <v>84.9</v>
      </c>
      <c r="F347" s="131">
        <f t="shared" si="50"/>
        <v>84.9</v>
      </c>
      <c r="T347" s="87"/>
      <c r="U347" s="87"/>
      <c r="V347" s="87"/>
      <c r="W347" s="87"/>
      <c r="X347" s="87"/>
      <c r="Y347" s="87"/>
      <c r="Z347" s="87"/>
      <c r="AA347" s="87"/>
      <c r="AB347" s="87"/>
      <c r="AI347" s="87"/>
      <c r="AJ347" s="87"/>
      <c r="AK347" s="87"/>
      <c r="AL347" s="87"/>
      <c r="AM347" s="87"/>
      <c r="AN347" s="87"/>
      <c r="AO347" s="87"/>
      <c r="AP347" s="87"/>
      <c r="AQ347" s="87"/>
      <c r="AR347" s="87"/>
      <c r="BC347" s="87"/>
      <c r="BD347" s="87"/>
      <c r="BE347" s="87"/>
      <c r="BF347" s="87"/>
      <c r="BG347" s="87"/>
      <c r="BH347" s="87"/>
    </row>
    <row r="348" spans="4:60" x14ac:dyDescent="0.3">
      <c r="D348" s="28">
        <f t="shared" si="51"/>
        <v>45677</v>
      </c>
      <c r="E348" s="86">
        <f>_xll.CbondsClosePrice($B$1,D348,$B$27)</f>
        <v>85.2</v>
      </c>
      <c r="F348" s="131">
        <f t="shared" si="50"/>
        <v>85.2</v>
      </c>
      <c r="T348" s="87"/>
      <c r="U348" s="87"/>
      <c r="V348" s="87"/>
      <c r="W348" s="87"/>
      <c r="X348" s="87"/>
      <c r="Y348" s="87"/>
      <c r="Z348" s="87"/>
      <c r="AA348" s="87"/>
      <c r="AB348" s="87"/>
      <c r="AI348" s="87"/>
      <c r="AJ348" s="87"/>
      <c r="AK348" s="87"/>
      <c r="AL348" s="87"/>
      <c r="AM348" s="87"/>
      <c r="AN348" s="87"/>
      <c r="AO348" s="87"/>
      <c r="AP348" s="87"/>
      <c r="AQ348" s="87"/>
      <c r="AR348" s="87"/>
      <c r="BC348" s="87"/>
      <c r="BD348" s="87"/>
      <c r="BE348" s="87"/>
      <c r="BF348" s="87"/>
      <c r="BG348" s="87"/>
      <c r="BH348" s="87"/>
    </row>
    <row r="349" spans="4:60" x14ac:dyDescent="0.3">
      <c r="D349" s="28">
        <f t="shared" si="51"/>
        <v>45676</v>
      </c>
      <c r="E349" s="86" t="str">
        <f>_xll.CbondsClosePrice($B$1,D349,$B$27)</f>
        <v>Нет данных</v>
      </c>
      <c r="F349" s="131">
        <f t="shared" si="50"/>
        <v>85</v>
      </c>
      <c r="T349" s="87"/>
      <c r="U349" s="87"/>
      <c r="V349" s="87"/>
      <c r="W349" s="87"/>
      <c r="X349" s="87"/>
      <c r="Y349" s="87"/>
      <c r="Z349" s="87"/>
      <c r="AA349" s="87"/>
      <c r="AB349" s="87"/>
      <c r="AI349" s="87"/>
      <c r="AJ349" s="87"/>
      <c r="AK349" s="87"/>
      <c r="AL349" s="87"/>
      <c r="AM349" s="87"/>
      <c r="AN349" s="87"/>
      <c r="AO349" s="87"/>
      <c r="AP349" s="87"/>
      <c r="AQ349" s="87"/>
      <c r="AR349" s="87"/>
      <c r="BC349" s="87"/>
      <c r="BD349" s="87"/>
      <c r="BE349" s="87"/>
      <c r="BF349" s="87"/>
      <c r="BG349" s="87"/>
      <c r="BH349" s="87"/>
    </row>
    <row r="350" spans="4:60" x14ac:dyDescent="0.3">
      <c r="D350" s="28">
        <f t="shared" si="51"/>
        <v>45675</v>
      </c>
      <c r="E350" s="86" t="str">
        <f>_xll.CbondsClosePrice($B$1,D350,$B$27)</f>
        <v>Нет данных</v>
      </c>
      <c r="F350" s="131">
        <f t="shared" si="50"/>
        <v>85</v>
      </c>
      <c r="T350" s="87"/>
      <c r="U350" s="87"/>
      <c r="V350" s="87"/>
      <c r="W350" s="87"/>
      <c r="X350" s="87"/>
      <c r="Y350" s="87"/>
      <c r="Z350" s="87"/>
      <c r="AA350" s="87"/>
      <c r="AB350" s="87"/>
      <c r="AI350" s="87"/>
      <c r="AJ350" s="87"/>
      <c r="AK350" s="87"/>
      <c r="AL350" s="87"/>
      <c r="AM350" s="87"/>
      <c r="AN350" s="87"/>
      <c r="AO350" s="87"/>
      <c r="AP350" s="87"/>
      <c r="AQ350" s="87"/>
      <c r="AR350" s="87"/>
      <c r="BC350" s="87"/>
      <c r="BD350" s="87"/>
      <c r="BE350" s="87"/>
      <c r="BF350" s="87"/>
      <c r="BG350" s="87"/>
      <c r="BH350" s="87"/>
    </row>
    <row r="351" spans="4:60" x14ac:dyDescent="0.3">
      <c r="D351" s="28">
        <f t="shared" si="51"/>
        <v>45674</v>
      </c>
      <c r="E351" s="86">
        <f>_xll.CbondsClosePrice($B$1,D351,$B$27)</f>
        <v>85</v>
      </c>
      <c r="F351" s="131">
        <f t="shared" si="50"/>
        <v>85</v>
      </c>
      <c r="T351" s="87"/>
      <c r="U351" s="87"/>
      <c r="V351" s="87"/>
      <c r="W351" s="87"/>
      <c r="X351" s="87"/>
      <c r="Y351" s="87"/>
      <c r="Z351" s="87"/>
      <c r="AA351" s="87"/>
      <c r="AB351" s="87"/>
      <c r="AI351" s="87"/>
      <c r="AJ351" s="87"/>
      <c r="AK351" s="87"/>
      <c r="AL351" s="87"/>
      <c r="AM351" s="87"/>
      <c r="AN351" s="87"/>
      <c r="AO351" s="87"/>
      <c r="AP351" s="87"/>
      <c r="AQ351" s="87"/>
      <c r="AR351" s="87"/>
      <c r="BC351" s="87"/>
      <c r="BD351" s="87"/>
      <c r="BE351" s="87"/>
      <c r="BF351" s="87"/>
      <c r="BG351" s="87"/>
      <c r="BH351" s="87"/>
    </row>
    <row r="352" spans="4:60" x14ac:dyDescent="0.3">
      <c r="D352" s="28">
        <f t="shared" si="51"/>
        <v>45673</v>
      </c>
      <c r="E352" s="86">
        <f>_xll.CbondsClosePrice($B$1,D352,$B$27)</f>
        <v>85.35</v>
      </c>
      <c r="F352" s="131">
        <f t="shared" si="50"/>
        <v>85.35</v>
      </c>
      <c r="T352" s="87"/>
      <c r="U352" s="87"/>
      <c r="V352" s="87"/>
      <c r="W352" s="87"/>
      <c r="X352" s="87"/>
      <c r="Y352" s="87"/>
      <c r="Z352" s="87"/>
      <c r="AA352" s="87"/>
      <c r="AB352" s="87"/>
      <c r="AI352" s="87"/>
      <c r="AJ352" s="87"/>
      <c r="AK352" s="87"/>
      <c r="AL352" s="87"/>
      <c r="AM352" s="87"/>
      <c r="AN352" s="87"/>
      <c r="AO352" s="87"/>
      <c r="AP352" s="87"/>
      <c r="AQ352" s="87"/>
      <c r="AR352" s="87"/>
      <c r="BC352" s="87"/>
      <c r="BD352" s="87"/>
      <c r="BE352" s="87"/>
      <c r="BF352" s="87"/>
      <c r="BG352" s="87"/>
      <c r="BH352" s="87"/>
    </row>
    <row r="353" spans="4:60" x14ac:dyDescent="0.3">
      <c r="D353" s="28">
        <f t="shared" si="51"/>
        <v>45672</v>
      </c>
      <c r="E353" s="86">
        <f>_xll.CbondsClosePrice($B$1,D353,$B$27)</f>
        <v>85.53</v>
      </c>
      <c r="F353" s="131">
        <f t="shared" si="50"/>
        <v>85.53</v>
      </c>
      <c r="T353" s="87"/>
      <c r="U353" s="87"/>
      <c r="V353" s="87"/>
      <c r="W353" s="87"/>
      <c r="X353" s="87"/>
      <c r="Y353" s="87"/>
      <c r="Z353" s="87"/>
      <c r="AA353" s="87"/>
      <c r="AB353" s="87"/>
      <c r="AI353" s="87"/>
      <c r="AJ353" s="87"/>
      <c r="AK353" s="87"/>
      <c r="AL353" s="87"/>
      <c r="AM353" s="87"/>
      <c r="AN353" s="87"/>
      <c r="AO353" s="87"/>
      <c r="AP353" s="87"/>
      <c r="AQ353" s="87"/>
      <c r="AR353" s="87"/>
      <c r="BC353" s="87"/>
      <c r="BD353" s="87"/>
      <c r="BE353" s="87"/>
      <c r="BF353" s="87"/>
      <c r="BG353" s="87"/>
      <c r="BH353" s="87"/>
    </row>
    <row r="354" spans="4:60" x14ac:dyDescent="0.3">
      <c r="D354" s="28">
        <f t="shared" si="51"/>
        <v>45671</v>
      </c>
      <c r="E354" s="86">
        <f>_xll.CbondsClosePrice($B$1,D354,$B$27)</f>
        <v>85.3</v>
      </c>
      <c r="F354" s="131">
        <f t="shared" si="50"/>
        <v>85.3</v>
      </c>
      <c r="T354" s="87"/>
      <c r="U354" s="87"/>
      <c r="V354" s="87"/>
      <c r="W354" s="87"/>
      <c r="X354" s="87"/>
      <c r="Y354" s="87"/>
      <c r="Z354" s="87"/>
      <c r="AA354" s="87"/>
      <c r="AB354" s="87"/>
      <c r="AI354" s="87"/>
      <c r="AJ354" s="87"/>
      <c r="AK354" s="87"/>
      <c r="AL354" s="87"/>
      <c r="AM354" s="87"/>
      <c r="AN354" s="87"/>
      <c r="AO354" s="87"/>
      <c r="AP354" s="87"/>
      <c r="AQ354" s="87"/>
      <c r="AR354" s="87"/>
      <c r="BC354" s="87"/>
      <c r="BD354" s="87"/>
      <c r="BE354" s="87"/>
      <c r="BF354" s="87"/>
      <c r="BG354" s="87"/>
      <c r="BH354" s="87"/>
    </row>
    <row r="355" spans="4:60" x14ac:dyDescent="0.3">
      <c r="D355" s="28">
        <f t="shared" si="51"/>
        <v>45670</v>
      </c>
      <c r="E355" s="86">
        <f>_xll.CbondsClosePrice($B$1,D355,$B$27)</f>
        <v>85.77</v>
      </c>
      <c r="F355" s="131">
        <f t="shared" si="50"/>
        <v>85.77</v>
      </c>
      <c r="T355" s="87"/>
      <c r="U355" s="87"/>
      <c r="V355" s="87"/>
      <c r="W355" s="87"/>
      <c r="X355" s="87"/>
      <c r="Y355" s="87"/>
      <c r="Z355" s="87"/>
      <c r="AA355" s="87"/>
      <c r="AB355" s="87"/>
      <c r="AI355" s="87"/>
      <c r="AJ355" s="87"/>
      <c r="AK355" s="87"/>
      <c r="AL355" s="87"/>
      <c r="AM355" s="87"/>
      <c r="AN355" s="87"/>
      <c r="AO355" s="87"/>
      <c r="AP355" s="87"/>
      <c r="AQ355" s="87"/>
      <c r="AR355" s="87"/>
      <c r="BC355" s="87"/>
      <c r="BD355" s="87"/>
      <c r="BE355" s="87"/>
      <c r="BF355" s="87"/>
      <c r="BG355" s="87"/>
      <c r="BH355" s="87"/>
    </row>
    <row r="356" spans="4:60" x14ac:dyDescent="0.3">
      <c r="D356" s="28">
        <f t="shared" si="51"/>
        <v>45669</v>
      </c>
      <c r="E356" s="86" t="str">
        <f>_xll.CbondsClosePrice($B$1,D356,$B$27)</f>
        <v>Нет данных</v>
      </c>
      <c r="F356" s="131">
        <f t="shared" si="50"/>
        <v>85.9</v>
      </c>
      <c r="T356" s="87"/>
      <c r="U356" s="87"/>
      <c r="V356" s="87"/>
      <c r="W356" s="87"/>
      <c r="X356" s="87"/>
      <c r="Y356" s="87"/>
      <c r="Z356" s="87"/>
      <c r="AA356" s="87"/>
      <c r="AB356" s="87"/>
      <c r="AI356" s="87"/>
      <c r="AJ356" s="87"/>
      <c r="AK356" s="87"/>
      <c r="AL356" s="87"/>
      <c r="AM356" s="87"/>
      <c r="AN356" s="87"/>
      <c r="AO356" s="87"/>
      <c r="AP356" s="87"/>
      <c r="AQ356" s="87"/>
      <c r="AR356" s="87"/>
      <c r="BC356" s="87"/>
      <c r="BD356" s="87"/>
      <c r="BE356" s="87"/>
      <c r="BF356" s="87"/>
      <c r="BG356" s="87"/>
      <c r="BH356" s="87"/>
    </row>
    <row r="357" spans="4:60" x14ac:dyDescent="0.3">
      <c r="D357" s="28">
        <f t="shared" si="51"/>
        <v>45668</v>
      </c>
      <c r="E357" s="86" t="str">
        <f>_xll.CbondsClosePrice($B$1,D357,$B$27)</f>
        <v>Нет данных</v>
      </c>
      <c r="F357" s="131">
        <f t="shared" si="50"/>
        <v>85.9</v>
      </c>
      <c r="T357" s="87"/>
      <c r="U357" s="87"/>
      <c r="V357" s="87"/>
      <c r="W357" s="87"/>
      <c r="X357" s="87"/>
      <c r="Y357" s="87"/>
      <c r="Z357" s="87"/>
      <c r="AA357" s="87"/>
      <c r="AB357" s="87"/>
      <c r="AI357" s="87"/>
      <c r="AJ357" s="87"/>
      <c r="AK357" s="87"/>
      <c r="AL357" s="87"/>
      <c r="AM357" s="87"/>
      <c r="AN357" s="87"/>
      <c r="AO357" s="87"/>
      <c r="AP357" s="87"/>
      <c r="AQ357" s="87"/>
      <c r="AR357" s="87"/>
      <c r="BC357" s="87"/>
      <c r="BD357" s="87"/>
      <c r="BE357" s="87"/>
      <c r="BF357" s="87"/>
      <c r="BG357" s="87"/>
      <c r="BH357" s="87"/>
    </row>
    <row r="358" spans="4:60" x14ac:dyDescent="0.3">
      <c r="D358" s="28">
        <f t="shared" si="51"/>
        <v>45667</v>
      </c>
      <c r="E358" s="86">
        <f>_xll.CbondsClosePrice($B$1,D358,$B$27)</f>
        <v>85.9</v>
      </c>
      <c r="F358" s="131">
        <f t="shared" si="50"/>
        <v>85.9</v>
      </c>
      <c r="T358" s="87"/>
      <c r="U358" s="87"/>
      <c r="V358" s="87"/>
      <c r="W358" s="87"/>
      <c r="X358" s="87"/>
      <c r="Y358" s="87"/>
      <c r="Z358" s="87"/>
      <c r="AA358" s="87"/>
      <c r="AB358" s="87"/>
      <c r="AI358" s="87"/>
      <c r="AJ358" s="87"/>
      <c r="AK358" s="87"/>
      <c r="AL358" s="87"/>
      <c r="AM358" s="87"/>
      <c r="AN358" s="87"/>
      <c r="AO358" s="87"/>
      <c r="AP358" s="87"/>
      <c r="AQ358" s="87"/>
      <c r="AR358" s="87"/>
      <c r="BC358" s="87"/>
      <c r="BD358" s="87"/>
      <c r="BE358" s="87"/>
      <c r="BF358" s="87"/>
      <c r="BG358" s="87"/>
      <c r="BH358" s="87"/>
    </row>
    <row r="359" spans="4:60" x14ac:dyDescent="0.3">
      <c r="D359" s="28">
        <f t="shared" si="51"/>
        <v>45666</v>
      </c>
      <c r="E359" s="86">
        <f>_xll.CbondsClosePrice($B$1,D359,$B$27)</f>
        <v>85.25</v>
      </c>
      <c r="F359" s="131">
        <f t="shared" si="50"/>
        <v>85.25</v>
      </c>
      <c r="T359" s="87"/>
      <c r="U359" s="87"/>
      <c r="V359" s="87"/>
      <c r="W359" s="87"/>
      <c r="X359" s="87"/>
      <c r="Y359" s="87"/>
      <c r="Z359" s="87"/>
      <c r="AA359" s="87"/>
      <c r="AB359" s="87"/>
      <c r="AI359" s="87"/>
      <c r="AJ359" s="87"/>
      <c r="AK359" s="87"/>
      <c r="AL359" s="87"/>
      <c r="AM359" s="87"/>
      <c r="AN359" s="87"/>
      <c r="AO359" s="87"/>
      <c r="AP359" s="87"/>
      <c r="AQ359" s="87"/>
      <c r="AR359" s="87"/>
      <c r="BC359" s="87"/>
      <c r="BD359" s="87"/>
      <c r="BE359" s="87"/>
      <c r="BF359" s="87"/>
      <c r="BG359" s="87"/>
      <c r="BH359" s="87"/>
    </row>
    <row r="360" spans="4:60" x14ac:dyDescent="0.3">
      <c r="D360" s="28">
        <f t="shared" si="51"/>
        <v>45665</v>
      </c>
      <c r="E360" s="86">
        <f>_xll.CbondsClosePrice($B$1,D360,$B$27)</f>
        <v>85.16</v>
      </c>
      <c r="F360" s="131">
        <f t="shared" si="50"/>
        <v>85.16</v>
      </c>
      <c r="T360" s="87"/>
      <c r="U360" s="87"/>
      <c r="V360" s="87"/>
      <c r="W360" s="87"/>
      <c r="X360" s="87"/>
      <c r="Y360" s="87"/>
      <c r="Z360" s="87"/>
      <c r="AA360" s="87"/>
      <c r="AB360" s="87"/>
      <c r="AI360" s="87"/>
      <c r="AJ360" s="87"/>
      <c r="AK360" s="87"/>
      <c r="AL360" s="87"/>
      <c r="AM360" s="87"/>
      <c r="AN360" s="87"/>
      <c r="AO360" s="87"/>
      <c r="AP360" s="87"/>
      <c r="AQ360" s="87"/>
      <c r="AR360" s="87"/>
      <c r="BC360" s="87"/>
      <c r="BD360" s="87"/>
      <c r="BE360" s="87"/>
      <c r="BF360" s="87"/>
      <c r="BG360" s="87"/>
      <c r="BH360" s="87"/>
    </row>
    <row r="361" spans="4:60" x14ac:dyDescent="0.3">
      <c r="D361" s="28">
        <f t="shared" si="51"/>
        <v>45664</v>
      </c>
      <c r="E361" s="86" t="str">
        <f>_xll.CbondsClosePrice($B$1,D361,$B$27)</f>
        <v>Нет данных</v>
      </c>
      <c r="F361" s="131">
        <f t="shared" si="50"/>
        <v>84.98</v>
      </c>
      <c r="T361" s="87"/>
      <c r="U361" s="87"/>
      <c r="V361" s="87"/>
      <c r="W361" s="87"/>
      <c r="X361" s="87"/>
      <c r="Y361" s="87"/>
      <c r="Z361" s="87"/>
      <c r="AA361" s="87"/>
      <c r="AB361" s="87"/>
      <c r="AI361" s="87"/>
      <c r="AJ361" s="87"/>
      <c r="AK361" s="87"/>
      <c r="AL361" s="87"/>
      <c r="AM361" s="87"/>
      <c r="AN361" s="87"/>
      <c r="AO361" s="87"/>
      <c r="AP361" s="87"/>
      <c r="AQ361" s="87"/>
      <c r="AR361" s="87"/>
      <c r="BC361" s="87"/>
      <c r="BD361" s="87"/>
      <c r="BE361" s="87"/>
      <c r="BF361" s="87"/>
      <c r="BG361" s="87"/>
      <c r="BH361" s="87"/>
    </row>
    <row r="362" spans="4:60" x14ac:dyDescent="0.3">
      <c r="D362" s="28">
        <f t="shared" si="51"/>
        <v>45663</v>
      </c>
      <c r="E362" s="86">
        <f>_xll.CbondsClosePrice($B$1,D362,$B$27)</f>
        <v>84.98</v>
      </c>
      <c r="F362" s="131">
        <f t="shared" si="50"/>
        <v>84.98</v>
      </c>
      <c r="T362" s="87"/>
      <c r="U362" s="87"/>
      <c r="V362" s="87"/>
      <c r="W362" s="87"/>
      <c r="X362" s="87"/>
      <c r="Y362" s="87"/>
      <c r="Z362" s="87"/>
      <c r="AA362" s="87"/>
      <c r="AB362" s="87"/>
      <c r="AI362" s="87"/>
      <c r="AJ362" s="87"/>
      <c r="AK362" s="87"/>
      <c r="AL362" s="87"/>
      <c r="AM362" s="87"/>
      <c r="AN362" s="87"/>
      <c r="AO362" s="87"/>
      <c r="AP362" s="87"/>
      <c r="AQ362" s="87"/>
      <c r="AR362" s="87"/>
      <c r="BC362" s="87"/>
      <c r="BD362" s="87"/>
      <c r="BE362" s="87"/>
      <c r="BF362" s="87"/>
      <c r="BG362" s="87"/>
      <c r="BH362" s="87"/>
    </row>
    <row r="363" spans="4:60" x14ac:dyDescent="0.3">
      <c r="D363" s="28">
        <f t="shared" si="51"/>
        <v>45662</v>
      </c>
      <c r="E363" s="86" t="str">
        <f>_xll.CbondsClosePrice($B$1,D363,$B$27)</f>
        <v>Нет данных</v>
      </c>
      <c r="F363" s="131">
        <f t="shared" si="50"/>
        <v>84.94</v>
      </c>
      <c r="T363" s="87"/>
      <c r="U363" s="87"/>
      <c r="V363" s="87"/>
      <c r="W363" s="87"/>
      <c r="X363" s="87"/>
      <c r="Y363" s="87"/>
      <c r="Z363" s="87"/>
      <c r="AA363" s="87"/>
      <c r="AB363" s="87"/>
      <c r="AI363" s="87"/>
      <c r="AJ363" s="87"/>
      <c r="AK363" s="87"/>
      <c r="AL363" s="87"/>
      <c r="AM363" s="87"/>
      <c r="AN363" s="87"/>
      <c r="AO363" s="87"/>
      <c r="AP363" s="87"/>
      <c r="AQ363" s="87"/>
      <c r="AR363" s="87"/>
      <c r="BC363" s="87"/>
      <c r="BD363" s="87"/>
      <c r="BE363" s="87"/>
      <c r="BF363" s="87"/>
      <c r="BG363" s="87"/>
      <c r="BH363" s="87"/>
    </row>
    <row r="364" spans="4:60" x14ac:dyDescent="0.3">
      <c r="D364" s="28">
        <f t="shared" si="51"/>
        <v>45661</v>
      </c>
      <c r="E364" s="86" t="str">
        <f>_xll.CbondsClosePrice($B$1,D364,$B$27)</f>
        <v>Нет данных</v>
      </c>
      <c r="F364" s="131">
        <f t="shared" si="50"/>
        <v>84.94</v>
      </c>
      <c r="T364" s="87"/>
      <c r="U364" s="87"/>
      <c r="V364" s="87"/>
      <c r="W364" s="87"/>
      <c r="X364" s="87"/>
      <c r="Y364" s="87"/>
      <c r="Z364" s="87"/>
      <c r="AA364" s="87"/>
      <c r="AB364" s="87"/>
      <c r="AI364" s="87"/>
      <c r="AJ364" s="87"/>
      <c r="AK364" s="87"/>
      <c r="AL364" s="87"/>
      <c r="AM364" s="87"/>
      <c r="AN364" s="87"/>
      <c r="AO364" s="87"/>
      <c r="AP364" s="87"/>
      <c r="AQ364" s="87"/>
      <c r="AR364" s="87"/>
      <c r="BC364" s="87"/>
      <c r="BD364" s="87"/>
      <c r="BE364" s="87"/>
      <c r="BF364" s="87"/>
      <c r="BG364" s="87"/>
      <c r="BH364" s="87"/>
    </row>
    <row r="365" spans="4:60" x14ac:dyDescent="0.3">
      <c r="D365" s="28">
        <f t="shared" si="51"/>
        <v>45660</v>
      </c>
      <c r="E365" s="86">
        <f>_xll.CbondsClosePrice($B$1,D365,$B$27)</f>
        <v>84.94</v>
      </c>
      <c r="F365" s="131">
        <f t="shared" si="50"/>
        <v>84.94</v>
      </c>
      <c r="T365" s="87"/>
      <c r="U365" s="87"/>
      <c r="V365" s="87"/>
      <c r="W365" s="87"/>
      <c r="X365" s="87"/>
      <c r="Y365" s="87"/>
      <c r="Z365" s="87"/>
      <c r="AA365" s="87"/>
      <c r="AB365" s="87"/>
      <c r="AI365" s="87"/>
      <c r="AJ365" s="87"/>
      <c r="AK365" s="87"/>
      <c r="AL365" s="87"/>
      <c r="AM365" s="87"/>
      <c r="AN365" s="87"/>
      <c r="AO365" s="87"/>
      <c r="AP365" s="87"/>
      <c r="AQ365" s="87"/>
      <c r="AR365" s="87"/>
      <c r="BC365" s="87"/>
      <c r="BD365" s="87"/>
      <c r="BE365" s="87"/>
      <c r="BF365" s="87"/>
      <c r="BG365" s="87"/>
      <c r="BH365" s="87"/>
    </row>
    <row r="366" spans="4:60" x14ac:dyDescent="0.3">
      <c r="D366" s="28">
        <f t="shared" si="51"/>
        <v>45659</v>
      </c>
      <c r="E366" s="86" t="str">
        <f>_xll.CbondsClosePrice($B$1,D366,$B$27)</f>
        <v>Нет данных</v>
      </c>
      <c r="F366" s="131">
        <f t="shared" si="50"/>
        <v>85.23</v>
      </c>
      <c r="T366" s="87"/>
      <c r="U366" s="87"/>
      <c r="V366" s="87"/>
      <c r="W366" s="87"/>
      <c r="X366" s="87"/>
      <c r="Y366" s="87"/>
      <c r="Z366" s="87"/>
      <c r="AA366" s="87"/>
      <c r="AB366" s="87"/>
      <c r="AI366" s="87"/>
      <c r="AJ366" s="87"/>
      <c r="AK366" s="87"/>
      <c r="AL366" s="87"/>
      <c r="AM366" s="87"/>
      <c r="AN366" s="87"/>
      <c r="AO366" s="87"/>
      <c r="AP366" s="87"/>
      <c r="AQ366" s="87"/>
      <c r="AR366" s="87"/>
      <c r="BC366" s="87"/>
      <c r="BD366" s="87"/>
      <c r="BE366" s="87"/>
      <c r="BF366" s="87"/>
      <c r="BG366" s="87"/>
      <c r="BH366" s="87"/>
    </row>
    <row r="367" spans="4:60" x14ac:dyDescent="0.3">
      <c r="D367" s="28">
        <f t="shared" si="51"/>
        <v>45658</v>
      </c>
      <c r="E367" s="86" t="str">
        <f>_xll.CbondsClosePrice($B$1,D367,$B$27)</f>
        <v>Нет данных</v>
      </c>
      <c r="F367" s="131">
        <f t="shared" si="50"/>
        <v>85.23</v>
      </c>
      <c r="T367" s="87"/>
      <c r="U367" s="87"/>
      <c r="V367" s="87"/>
      <c r="W367" s="87"/>
      <c r="X367" s="87"/>
      <c r="Y367" s="87"/>
      <c r="Z367" s="87"/>
      <c r="AA367" s="87"/>
      <c r="AB367" s="87"/>
      <c r="AI367" s="87"/>
      <c r="AJ367" s="87"/>
      <c r="AK367" s="87"/>
      <c r="AL367" s="87"/>
      <c r="AM367" s="87"/>
      <c r="AN367" s="87"/>
      <c r="AO367" s="87"/>
      <c r="AP367" s="87"/>
      <c r="AQ367" s="87"/>
      <c r="AR367" s="87"/>
      <c r="BC367" s="87"/>
      <c r="BD367" s="87"/>
      <c r="BE367" s="87"/>
      <c r="BF367" s="87"/>
      <c r="BG367" s="87"/>
      <c r="BH367" s="87"/>
    </row>
    <row r="368" spans="4:60" x14ac:dyDescent="0.3">
      <c r="D368" s="28">
        <f t="shared" ref="D368" si="52">D367-1</f>
        <v>45657</v>
      </c>
      <c r="E368" s="86" t="str">
        <f>_xll.CbondsClosePrice($B$1,D368,$B$27)</f>
        <v>Нет данных</v>
      </c>
      <c r="F368" s="131">
        <f t="shared" si="50"/>
        <v>85.23</v>
      </c>
      <c r="T368" s="87"/>
      <c r="U368" s="87"/>
      <c r="V368" s="87"/>
      <c r="W368" s="87"/>
      <c r="X368" s="87"/>
      <c r="Y368" s="87"/>
      <c r="Z368" s="87"/>
      <c r="AA368" s="87"/>
      <c r="AB368" s="87"/>
      <c r="AI368" s="87"/>
      <c r="AJ368" s="87"/>
      <c r="AK368" s="87"/>
      <c r="AL368" s="87"/>
      <c r="AM368" s="87"/>
      <c r="AN368" s="87"/>
      <c r="AO368" s="87"/>
      <c r="AP368" s="87"/>
      <c r="AQ368" s="87"/>
      <c r="AR368" s="87"/>
      <c r="BC368" s="87"/>
      <c r="BD368" s="87"/>
      <c r="BE368" s="87"/>
      <c r="BF368" s="87"/>
      <c r="BG368" s="87"/>
      <c r="BH368" s="87"/>
    </row>
    <row r="369" spans="4:60" x14ac:dyDescent="0.3">
      <c r="D369" s="28">
        <f t="shared" ref="D369:D373" si="53">D368-1</f>
        <v>45656</v>
      </c>
      <c r="E369" s="86">
        <f>_xll.CbondsClosePrice($B$1,D369,$B$27)</f>
        <v>85.23</v>
      </c>
      <c r="F369" s="131">
        <f t="shared" si="50"/>
        <v>85.23</v>
      </c>
      <c r="T369" s="87"/>
      <c r="U369" s="87"/>
      <c r="V369" s="87"/>
      <c r="W369" s="87"/>
      <c r="X369" s="87"/>
      <c r="Y369" s="87"/>
      <c r="Z369" s="87"/>
      <c r="AA369" s="87"/>
      <c r="AB369" s="87"/>
      <c r="AI369" s="87"/>
      <c r="AJ369" s="87"/>
      <c r="AK369" s="87"/>
      <c r="AL369" s="87"/>
      <c r="AM369" s="87"/>
      <c r="AN369" s="87"/>
      <c r="AO369" s="87"/>
      <c r="AP369" s="87"/>
      <c r="AQ369" s="87"/>
      <c r="AR369" s="87"/>
      <c r="BC369" s="87"/>
      <c r="BD369" s="87"/>
      <c r="BE369" s="87"/>
      <c r="BF369" s="87"/>
      <c r="BG369" s="87"/>
      <c r="BH369" s="87"/>
    </row>
    <row r="370" spans="4:60" x14ac:dyDescent="0.3">
      <c r="D370" s="28">
        <f t="shared" si="53"/>
        <v>45655</v>
      </c>
      <c r="E370" s="86" t="str">
        <f>_xll.CbondsClosePrice($B$1,D370,$B$27)</f>
        <v>Нет данных</v>
      </c>
      <c r="F370" s="131">
        <f t="shared" si="50"/>
        <v>85.29</v>
      </c>
      <c r="T370" s="87"/>
      <c r="U370" s="87"/>
      <c r="V370" s="87"/>
      <c r="W370" s="87"/>
      <c r="X370" s="87"/>
      <c r="Y370" s="87"/>
      <c r="Z370" s="87"/>
      <c r="AA370" s="87"/>
      <c r="AB370" s="87"/>
      <c r="AI370" s="87"/>
      <c r="AJ370" s="87"/>
      <c r="AK370" s="87"/>
      <c r="AL370" s="87"/>
      <c r="AM370" s="87"/>
      <c r="AN370" s="87"/>
      <c r="AO370" s="87"/>
      <c r="AP370" s="87"/>
      <c r="AQ370" s="87"/>
      <c r="AR370" s="87"/>
      <c r="BC370" s="87"/>
      <c r="BD370" s="87"/>
      <c r="BE370" s="87"/>
      <c r="BF370" s="87"/>
      <c r="BG370" s="87"/>
      <c r="BH370" s="87"/>
    </row>
    <row r="371" spans="4:60" x14ac:dyDescent="0.3">
      <c r="D371" s="28">
        <f t="shared" si="53"/>
        <v>45654</v>
      </c>
      <c r="E371" s="86">
        <f>_xll.CbondsClosePrice($B$1,D371,$B$27)</f>
        <v>85.29</v>
      </c>
      <c r="F371" s="131">
        <f t="shared" si="50"/>
        <v>85.29</v>
      </c>
      <c r="T371" s="87"/>
      <c r="U371" s="87"/>
      <c r="V371" s="87"/>
      <c r="W371" s="87"/>
      <c r="X371" s="87"/>
      <c r="Y371" s="87"/>
      <c r="Z371" s="87"/>
      <c r="AA371" s="87"/>
      <c r="AB371" s="87"/>
      <c r="AI371" s="87"/>
      <c r="AJ371" s="87"/>
      <c r="AK371" s="87"/>
      <c r="AL371" s="87"/>
      <c r="AM371" s="87"/>
      <c r="AN371" s="87"/>
      <c r="AO371" s="87"/>
      <c r="AP371" s="87"/>
      <c r="AQ371" s="87"/>
      <c r="AR371" s="87"/>
      <c r="BC371" s="87"/>
      <c r="BD371" s="87"/>
      <c r="BE371" s="87"/>
      <c r="BF371" s="87"/>
      <c r="BG371" s="87"/>
      <c r="BH371" s="87"/>
    </row>
    <row r="372" spans="4:60" x14ac:dyDescent="0.3">
      <c r="D372" s="28">
        <f t="shared" si="53"/>
        <v>45653</v>
      </c>
      <c r="E372" s="86">
        <f>_xll.CbondsClosePrice($B$1,D372,$B$27)</f>
        <v>84.13</v>
      </c>
      <c r="F372" s="131">
        <f t="shared" si="50"/>
        <v>84.13</v>
      </c>
      <c r="T372" s="87"/>
      <c r="U372" s="87"/>
      <c r="V372" s="87"/>
      <c r="W372" s="87"/>
      <c r="X372" s="87"/>
      <c r="Y372" s="87"/>
      <c r="Z372" s="87"/>
      <c r="AA372" s="87"/>
      <c r="AB372" s="87"/>
      <c r="AI372" s="87"/>
      <c r="AJ372" s="87"/>
      <c r="AK372" s="87"/>
      <c r="AL372" s="87"/>
      <c r="AM372" s="87"/>
      <c r="AN372" s="87"/>
      <c r="AO372" s="87"/>
      <c r="AP372" s="87"/>
      <c r="AQ372" s="87"/>
      <c r="AR372" s="87"/>
      <c r="BC372" s="87"/>
      <c r="BD372" s="87"/>
      <c r="BE372" s="87"/>
      <c r="BF372" s="87"/>
      <c r="BG372" s="87"/>
      <c r="BH372" s="87"/>
    </row>
    <row r="373" spans="4:60" x14ac:dyDescent="0.3">
      <c r="D373" s="28">
        <f t="shared" si="53"/>
        <v>45652</v>
      </c>
      <c r="E373" s="86">
        <f>_xll.CbondsClosePrice($B$1,D373,$B$27)</f>
        <v>83.9</v>
      </c>
      <c r="F373" s="131">
        <f t="shared" si="50"/>
        <v>83.9</v>
      </c>
      <c r="T373" s="87"/>
      <c r="U373" s="87"/>
      <c r="V373" s="87"/>
      <c r="W373" s="87"/>
      <c r="X373" s="87"/>
      <c r="Y373" s="87"/>
      <c r="Z373" s="87"/>
      <c r="AA373" s="87"/>
      <c r="AB373" s="87"/>
      <c r="AI373" s="87"/>
      <c r="AJ373" s="87"/>
      <c r="AK373" s="87"/>
      <c r="AL373" s="87"/>
      <c r="AM373" s="87"/>
      <c r="AN373" s="87"/>
      <c r="AO373" s="87"/>
      <c r="AP373" s="87"/>
      <c r="AQ373" s="87"/>
      <c r="AR373" s="87"/>
      <c r="BC373" s="87"/>
      <c r="BD373" s="87"/>
      <c r="BE373" s="87"/>
      <c r="BF373" s="87"/>
      <c r="BG373" s="87"/>
      <c r="BH373" s="87"/>
    </row>
    <row r="374" spans="4:60" x14ac:dyDescent="0.3">
      <c r="D374" s="89"/>
      <c r="E374" s="89"/>
      <c r="F374" s="100"/>
      <c r="T374" s="87"/>
      <c r="U374" s="87"/>
      <c r="V374" s="87"/>
      <c r="W374" s="87"/>
      <c r="X374" s="87"/>
      <c r="Y374" s="87"/>
      <c r="Z374" s="87"/>
      <c r="AA374" s="87"/>
      <c r="AB374" s="87"/>
      <c r="AI374" s="87"/>
      <c r="AJ374" s="87"/>
      <c r="AK374" s="87"/>
      <c r="AL374" s="87"/>
      <c r="AM374" s="87"/>
      <c r="AN374" s="87"/>
      <c r="AO374" s="87"/>
      <c r="AP374" s="87"/>
      <c r="AQ374" s="87"/>
      <c r="AR374" s="87"/>
      <c r="BC374" s="87"/>
      <c r="BD374" s="87"/>
      <c r="BE374" s="87"/>
      <c r="BF374" s="87"/>
      <c r="BG374" s="87"/>
      <c r="BH374" s="87"/>
    </row>
    <row r="375" spans="4:60" x14ac:dyDescent="0.3">
      <c r="D375" s="89"/>
      <c r="E375" s="89"/>
      <c r="F375" s="100" t="str">
        <f t="shared" ref="F375:F387" si="54">IF(AND(E375="",D375=""),"",IF(AND(E375="",D375&lt;&gt;""),F374,E375))</f>
        <v/>
      </c>
      <c r="T375" s="87"/>
      <c r="U375" s="87"/>
      <c r="V375" s="87"/>
      <c r="W375" s="87"/>
      <c r="X375" s="87"/>
      <c r="Y375" s="87"/>
      <c r="Z375" s="87"/>
      <c r="AA375" s="87"/>
      <c r="AB375" s="87"/>
      <c r="AI375" s="87"/>
      <c r="AJ375" s="87"/>
      <c r="AK375" s="87"/>
      <c r="AL375" s="87"/>
      <c r="AM375" s="87"/>
      <c r="AN375" s="87"/>
      <c r="AO375" s="87"/>
      <c r="AP375" s="87"/>
      <c r="AQ375" s="87"/>
      <c r="AR375" s="87"/>
      <c r="BC375" s="87"/>
      <c r="BD375" s="87"/>
      <c r="BE375" s="87"/>
      <c r="BF375" s="87"/>
      <c r="BG375" s="87"/>
      <c r="BH375" s="87"/>
    </row>
    <row r="376" spans="4:60" x14ac:dyDescent="0.3">
      <c r="D376" s="89"/>
      <c r="E376" s="89"/>
      <c r="F376" s="100" t="str">
        <f t="shared" si="54"/>
        <v/>
      </c>
      <c r="T376" s="87"/>
      <c r="U376" s="87"/>
      <c r="V376" s="87"/>
      <c r="W376" s="87"/>
      <c r="X376" s="87"/>
      <c r="Y376" s="87"/>
      <c r="Z376" s="87"/>
      <c r="AA376" s="87"/>
      <c r="AB376" s="87"/>
      <c r="AI376" s="87"/>
      <c r="AJ376" s="87"/>
      <c r="AK376" s="87"/>
      <c r="AL376" s="87"/>
      <c r="AM376" s="87"/>
      <c r="AN376" s="87"/>
      <c r="AO376" s="87"/>
      <c r="AP376" s="87"/>
      <c r="AQ376" s="87"/>
      <c r="AR376" s="87"/>
      <c r="BC376" s="87"/>
      <c r="BD376" s="87"/>
      <c r="BE376" s="87"/>
      <c r="BF376" s="87"/>
      <c r="BG376" s="87"/>
      <c r="BH376" s="87"/>
    </row>
    <row r="377" spans="4:60" x14ac:dyDescent="0.3">
      <c r="D377" s="89"/>
      <c r="E377" s="89"/>
      <c r="F377" s="100" t="str">
        <f t="shared" si="54"/>
        <v/>
      </c>
      <c r="T377" s="87"/>
      <c r="U377" s="87"/>
      <c r="V377" s="87"/>
      <c r="W377" s="87"/>
      <c r="X377" s="87"/>
      <c r="Y377" s="87"/>
      <c r="Z377" s="87"/>
      <c r="AA377" s="87"/>
      <c r="AB377" s="87"/>
      <c r="AI377" s="87"/>
      <c r="AJ377" s="87"/>
      <c r="AK377" s="87"/>
      <c r="AL377" s="87"/>
      <c r="AM377" s="87"/>
      <c r="AN377" s="87"/>
      <c r="AO377" s="87"/>
      <c r="AP377" s="87"/>
      <c r="AQ377" s="87"/>
      <c r="AR377" s="87"/>
      <c r="BC377" s="87"/>
      <c r="BD377" s="87"/>
      <c r="BE377" s="87"/>
      <c r="BF377" s="87"/>
      <c r="BG377" s="87"/>
      <c r="BH377" s="87"/>
    </row>
    <row r="378" spans="4:60" x14ac:dyDescent="0.3">
      <c r="D378" s="89"/>
      <c r="E378" s="89"/>
      <c r="F378" s="100" t="str">
        <f t="shared" si="54"/>
        <v/>
      </c>
      <c r="T378" s="87"/>
      <c r="U378" s="87"/>
      <c r="V378" s="87"/>
      <c r="W378" s="87"/>
      <c r="X378" s="87"/>
      <c r="Y378" s="87"/>
      <c r="Z378" s="87"/>
      <c r="AA378" s="87"/>
      <c r="AB378" s="87"/>
      <c r="AI378" s="87"/>
      <c r="AJ378" s="87"/>
      <c r="AK378" s="87"/>
      <c r="AL378" s="87"/>
      <c r="AM378" s="87"/>
      <c r="AN378" s="87"/>
      <c r="AO378" s="87"/>
      <c r="AP378" s="87"/>
      <c r="AQ378" s="87"/>
      <c r="AR378" s="87"/>
      <c r="BC378" s="87"/>
      <c r="BD378" s="87"/>
      <c r="BE378" s="87"/>
      <c r="BF378" s="87"/>
      <c r="BG378" s="87"/>
      <c r="BH378" s="87"/>
    </row>
    <row r="379" spans="4:60" x14ac:dyDescent="0.3">
      <c r="D379" s="89"/>
      <c r="E379" s="89"/>
      <c r="F379" s="100" t="str">
        <f t="shared" si="54"/>
        <v/>
      </c>
      <c r="T379" s="87"/>
      <c r="U379" s="87"/>
      <c r="V379" s="87"/>
      <c r="W379" s="87"/>
      <c r="X379" s="87"/>
      <c r="Y379" s="87"/>
      <c r="Z379" s="87"/>
      <c r="AA379" s="87"/>
      <c r="AB379" s="87"/>
      <c r="AI379" s="87"/>
      <c r="AJ379" s="87"/>
      <c r="AK379" s="87"/>
      <c r="AL379" s="87"/>
      <c r="AM379" s="87"/>
      <c r="AN379" s="87"/>
      <c r="AO379" s="87"/>
      <c r="AP379" s="87"/>
      <c r="AQ379" s="87"/>
      <c r="AR379" s="87"/>
      <c r="BC379" s="87"/>
      <c r="BD379" s="87"/>
      <c r="BE379" s="87"/>
      <c r="BF379" s="87"/>
      <c r="BG379" s="87"/>
      <c r="BH379" s="87"/>
    </row>
    <row r="380" spans="4:60" x14ac:dyDescent="0.3">
      <c r="D380" s="89"/>
      <c r="E380" s="89"/>
      <c r="F380" s="100" t="str">
        <f t="shared" si="54"/>
        <v/>
      </c>
      <c r="T380" s="87"/>
      <c r="U380" s="87"/>
      <c r="V380" s="87"/>
      <c r="W380" s="87"/>
      <c r="X380" s="87"/>
      <c r="Y380" s="87"/>
      <c r="Z380" s="87"/>
      <c r="AA380" s="87"/>
      <c r="AB380" s="87"/>
      <c r="AI380" s="87"/>
      <c r="AJ380" s="87"/>
      <c r="AK380" s="87"/>
      <c r="AL380" s="87"/>
      <c r="AM380" s="87"/>
      <c r="AN380" s="87"/>
      <c r="AO380" s="87"/>
      <c r="AP380" s="87"/>
      <c r="AQ380" s="87"/>
      <c r="AR380" s="87"/>
      <c r="BC380" s="87"/>
      <c r="BD380" s="87"/>
      <c r="BE380" s="87"/>
      <c r="BF380" s="87"/>
      <c r="BG380" s="87"/>
      <c r="BH380" s="87"/>
    </row>
    <row r="381" spans="4:60" x14ac:dyDescent="0.3">
      <c r="D381" s="89"/>
      <c r="E381" s="89"/>
      <c r="F381" s="100" t="str">
        <f t="shared" si="54"/>
        <v/>
      </c>
      <c r="T381" s="87"/>
      <c r="U381" s="87"/>
      <c r="V381" s="87"/>
      <c r="W381" s="87"/>
      <c r="X381" s="87"/>
      <c r="Y381" s="87"/>
      <c r="Z381" s="87"/>
      <c r="AA381" s="87"/>
      <c r="AB381" s="87"/>
      <c r="AI381" s="87"/>
      <c r="AJ381" s="87"/>
      <c r="AK381" s="87"/>
      <c r="AL381" s="87"/>
      <c r="AM381" s="87"/>
      <c r="AN381" s="87"/>
      <c r="AO381" s="87"/>
      <c r="AP381" s="87"/>
      <c r="AQ381" s="87"/>
      <c r="AR381" s="87"/>
      <c r="BC381" s="87"/>
      <c r="BD381" s="87"/>
      <c r="BE381" s="87"/>
      <c r="BF381" s="87"/>
      <c r="BG381" s="87"/>
      <c r="BH381" s="87"/>
    </row>
    <row r="382" spans="4:60" x14ac:dyDescent="0.3">
      <c r="D382" s="89"/>
      <c r="E382" s="89"/>
      <c r="F382" s="100" t="str">
        <f t="shared" si="54"/>
        <v/>
      </c>
      <c r="T382" s="87"/>
      <c r="U382" s="87"/>
      <c r="V382" s="87"/>
      <c r="W382" s="87"/>
      <c r="X382" s="87"/>
      <c r="Y382" s="87"/>
      <c r="Z382" s="87"/>
      <c r="AA382" s="87"/>
      <c r="AB382" s="87"/>
      <c r="AI382" s="87"/>
      <c r="AJ382" s="87"/>
      <c r="AK382" s="87"/>
      <c r="AL382" s="87"/>
      <c r="AM382" s="87"/>
      <c r="AN382" s="87"/>
      <c r="AO382" s="87"/>
      <c r="AP382" s="87"/>
      <c r="AQ382" s="87"/>
      <c r="AR382" s="87"/>
      <c r="BC382" s="87"/>
      <c r="BD382" s="87"/>
      <c r="BE382" s="87"/>
      <c r="BF382" s="87"/>
      <c r="BG382" s="87"/>
      <c r="BH382" s="87"/>
    </row>
    <row r="383" spans="4:60" x14ac:dyDescent="0.3">
      <c r="D383" s="89"/>
      <c r="E383" s="89"/>
      <c r="F383" s="100" t="str">
        <f t="shared" si="54"/>
        <v/>
      </c>
      <c r="T383" s="87"/>
      <c r="U383" s="87"/>
      <c r="V383" s="87"/>
      <c r="W383" s="87"/>
      <c r="X383" s="87"/>
      <c r="Y383" s="87"/>
      <c r="Z383" s="87"/>
      <c r="AA383" s="87"/>
      <c r="AB383" s="87"/>
      <c r="AI383" s="87"/>
      <c r="AJ383" s="87"/>
      <c r="AK383" s="87"/>
      <c r="AL383" s="87"/>
      <c r="AM383" s="87"/>
      <c r="AN383" s="87"/>
      <c r="AO383" s="87"/>
      <c r="AP383" s="87"/>
      <c r="AQ383" s="87"/>
      <c r="AR383" s="87"/>
      <c r="BC383" s="87"/>
      <c r="BD383" s="87"/>
      <c r="BE383" s="87"/>
      <c r="BF383" s="87"/>
      <c r="BG383" s="87"/>
      <c r="BH383" s="87"/>
    </row>
    <row r="384" spans="4:60" x14ac:dyDescent="0.3">
      <c r="D384" s="89"/>
      <c r="E384" s="89"/>
      <c r="F384" s="100" t="str">
        <f t="shared" si="54"/>
        <v/>
      </c>
      <c r="T384" s="87"/>
      <c r="U384" s="87"/>
      <c r="V384" s="87"/>
      <c r="W384" s="87"/>
      <c r="X384" s="87"/>
      <c r="Y384" s="87"/>
      <c r="Z384" s="87"/>
      <c r="AA384" s="87"/>
      <c r="AB384" s="87"/>
      <c r="AI384" s="87"/>
      <c r="AJ384" s="87"/>
      <c r="AK384" s="87"/>
      <c r="AL384" s="87"/>
      <c r="AM384" s="87"/>
      <c r="AN384" s="87"/>
      <c r="AO384" s="87"/>
      <c r="AP384" s="87"/>
      <c r="AQ384" s="87"/>
      <c r="AR384" s="87"/>
      <c r="BC384" s="87"/>
      <c r="BD384" s="87"/>
      <c r="BE384" s="87"/>
      <c r="BF384" s="87"/>
      <c r="BG384" s="87"/>
      <c r="BH384" s="87"/>
    </row>
    <row r="385" spans="4:60" x14ac:dyDescent="0.3">
      <c r="D385" s="89"/>
      <c r="E385" s="89"/>
      <c r="F385" s="100" t="str">
        <f t="shared" si="54"/>
        <v/>
      </c>
      <c r="T385" s="87"/>
      <c r="U385" s="87"/>
      <c r="V385" s="87"/>
      <c r="W385" s="87"/>
      <c r="X385" s="87"/>
      <c r="Y385" s="87"/>
      <c r="Z385" s="87"/>
      <c r="AA385" s="87"/>
      <c r="AB385" s="87"/>
      <c r="AI385" s="87"/>
      <c r="AJ385" s="87"/>
      <c r="AK385" s="87"/>
      <c r="AL385" s="87"/>
      <c r="AM385" s="87"/>
      <c r="AN385" s="87"/>
      <c r="AO385" s="87"/>
      <c r="AP385" s="87"/>
      <c r="AQ385" s="87"/>
      <c r="AR385" s="87"/>
      <c r="BC385" s="87"/>
      <c r="BD385" s="87"/>
      <c r="BE385" s="87"/>
      <c r="BF385" s="87"/>
      <c r="BG385" s="87"/>
      <c r="BH385" s="87"/>
    </row>
    <row r="386" spans="4:60" x14ac:dyDescent="0.3">
      <c r="D386" s="89"/>
      <c r="E386" s="89"/>
      <c r="F386" s="100" t="str">
        <f t="shared" si="54"/>
        <v/>
      </c>
      <c r="T386" s="87"/>
      <c r="U386" s="87"/>
      <c r="V386" s="87"/>
      <c r="W386" s="87"/>
      <c r="X386" s="87"/>
      <c r="Y386" s="87"/>
      <c r="Z386" s="87"/>
      <c r="AA386" s="87"/>
      <c r="AB386" s="87"/>
      <c r="AI386" s="87"/>
      <c r="AJ386" s="87"/>
      <c r="AK386" s="87"/>
      <c r="AL386" s="87"/>
      <c r="AM386" s="87"/>
      <c r="AN386" s="87"/>
      <c r="AO386" s="87"/>
      <c r="AP386" s="87"/>
      <c r="AQ386" s="87"/>
      <c r="AR386" s="87"/>
      <c r="BC386" s="87"/>
      <c r="BD386" s="87"/>
      <c r="BE386" s="87"/>
      <c r="BF386" s="87"/>
      <c r="BG386" s="87"/>
      <c r="BH386" s="87"/>
    </row>
    <row r="387" spans="4:60" x14ac:dyDescent="0.3">
      <c r="D387" s="89"/>
      <c r="E387" s="89"/>
      <c r="F387" s="100" t="str">
        <f t="shared" si="54"/>
        <v/>
      </c>
      <c r="T387" s="87"/>
      <c r="U387" s="87"/>
      <c r="V387" s="87"/>
      <c r="W387" s="87"/>
      <c r="X387" s="87"/>
      <c r="Y387" s="87"/>
      <c r="Z387" s="87"/>
      <c r="AA387" s="87"/>
      <c r="AB387" s="87"/>
      <c r="AI387" s="87"/>
      <c r="AJ387" s="87"/>
      <c r="AK387" s="87"/>
      <c r="AL387" s="87"/>
      <c r="AM387" s="87"/>
      <c r="AN387" s="87"/>
      <c r="AO387" s="87"/>
      <c r="AP387" s="87"/>
      <c r="AQ387" s="87"/>
      <c r="AR387" s="87"/>
      <c r="BC387" s="87"/>
      <c r="BD387" s="87"/>
      <c r="BE387" s="87"/>
      <c r="BF387" s="87"/>
      <c r="BG387" s="87"/>
      <c r="BH387" s="87"/>
    </row>
    <row r="388" spans="4:60" x14ac:dyDescent="0.3">
      <c r="D388" s="89"/>
      <c r="E388" s="89"/>
      <c r="F388" s="100" t="str">
        <f t="shared" ref="F388:F451" si="55">IF(AND(E388="",D388=""),"",IF(AND(E388="",D388&lt;&gt;""),F387,E388))</f>
        <v/>
      </c>
      <c r="T388" s="87"/>
      <c r="U388" s="87"/>
      <c r="V388" s="87"/>
      <c r="W388" s="87"/>
      <c r="X388" s="87"/>
      <c r="Y388" s="87"/>
      <c r="Z388" s="87"/>
      <c r="AA388" s="87"/>
      <c r="AB388" s="87"/>
      <c r="AI388" s="87"/>
      <c r="AJ388" s="87"/>
      <c r="AK388" s="87"/>
      <c r="AL388" s="87"/>
      <c r="AM388" s="87"/>
      <c r="AN388" s="87"/>
      <c r="AO388" s="87"/>
      <c r="AP388" s="87"/>
      <c r="AQ388" s="87"/>
      <c r="AR388" s="87"/>
      <c r="BC388" s="87"/>
      <c r="BD388" s="87"/>
      <c r="BE388" s="87"/>
      <c r="BF388" s="87"/>
      <c r="BG388" s="87"/>
      <c r="BH388" s="87"/>
    </row>
    <row r="389" spans="4:60" x14ac:dyDescent="0.3">
      <c r="D389" s="89"/>
      <c r="E389" s="89"/>
      <c r="F389" s="100" t="str">
        <f t="shared" si="55"/>
        <v/>
      </c>
      <c r="T389" s="87"/>
      <c r="U389" s="87"/>
      <c r="V389" s="87"/>
      <c r="W389" s="87"/>
      <c r="X389" s="87"/>
      <c r="Y389" s="87"/>
      <c r="Z389" s="87"/>
      <c r="AA389" s="87"/>
      <c r="AB389" s="87"/>
      <c r="AI389" s="87"/>
      <c r="AJ389" s="87"/>
      <c r="AK389" s="87"/>
      <c r="AL389" s="87"/>
      <c r="AM389" s="87"/>
      <c r="AN389" s="87"/>
      <c r="AO389" s="87"/>
      <c r="AP389" s="87"/>
      <c r="AQ389" s="87"/>
      <c r="AR389" s="87"/>
      <c r="BC389" s="87"/>
      <c r="BD389" s="87"/>
      <c r="BE389" s="87"/>
      <c r="BF389" s="87"/>
      <c r="BG389" s="87"/>
      <c r="BH389" s="87"/>
    </row>
    <row r="390" spans="4:60" x14ac:dyDescent="0.3">
      <c r="D390" s="89"/>
      <c r="E390" s="89"/>
      <c r="F390" s="100" t="str">
        <f t="shared" si="55"/>
        <v/>
      </c>
      <c r="T390" s="87"/>
      <c r="U390" s="87"/>
      <c r="V390" s="87"/>
      <c r="W390" s="87"/>
      <c r="X390" s="87"/>
      <c r="Y390" s="87"/>
      <c r="Z390" s="87"/>
      <c r="AA390" s="87"/>
      <c r="AB390" s="87"/>
      <c r="AI390" s="87"/>
      <c r="AJ390" s="87"/>
      <c r="AK390" s="87"/>
      <c r="AL390" s="87"/>
      <c r="AM390" s="87"/>
      <c r="AN390" s="87"/>
      <c r="AO390" s="87"/>
      <c r="AP390" s="87"/>
      <c r="AQ390" s="87"/>
      <c r="AR390" s="87"/>
      <c r="BC390" s="87"/>
      <c r="BD390" s="87"/>
      <c r="BE390" s="87"/>
      <c r="BF390" s="87"/>
      <c r="BG390" s="87"/>
      <c r="BH390" s="87"/>
    </row>
    <row r="391" spans="4:60" x14ac:dyDescent="0.3">
      <c r="D391" s="89"/>
      <c r="E391" s="89"/>
      <c r="F391" s="100" t="str">
        <f t="shared" si="55"/>
        <v/>
      </c>
      <c r="T391" s="87"/>
      <c r="U391" s="87"/>
      <c r="V391" s="87"/>
      <c r="W391" s="87"/>
      <c r="X391" s="87"/>
      <c r="Y391" s="87"/>
      <c r="Z391" s="87"/>
      <c r="AA391" s="87"/>
      <c r="AB391" s="87"/>
      <c r="AI391" s="87"/>
      <c r="AJ391" s="87"/>
      <c r="AK391" s="87"/>
      <c r="AL391" s="87"/>
      <c r="AM391" s="87"/>
      <c r="AN391" s="87"/>
      <c r="AO391" s="87"/>
      <c r="AP391" s="87"/>
      <c r="AQ391" s="87"/>
      <c r="AR391" s="87"/>
      <c r="BC391" s="87"/>
      <c r="BD391" s="87"/>
      <c r="BE391" s="87"/>
      <c r="BF391" s="87"/>
      <c r="BG391" s="87"/>
      <c r="BH391" s="87"/>
    </row>
    <row r="392" spans="4:60" x14ac:dyDescent="0.3">
      <c r="D392" s="89"/>
      <c r="E392" s="89"/>
      <c r="F392" s="100" t="str">
        <f t="shared" si="55"/>
        <v/>
      </c>
      <c r="T392" s="87"/>
      <c r="U392" s="87"/>
      <c r="V392" s="87"/>
      <c r="W392" s="87"/>
      <c r="X392" s="87"/>
      <c r="Y392" s="87"/>
      <c r="Z392" s="87"/>
      <c r="AA392" s="87"/>
      <c r="AB392" s="87"/>
      <c r="AI392" s="87"/>
      <c r="AJ392" s="87"/>
      <c r="AK392" s="87"/>
      <c r="AL392" s="87"/>
      <c r="AM392" s="87"/>
      <c r="AN392" s="87"/>
      <c r="AO392" s="87"/>
      <c r="AP392" s="87"/>
      <c r="AQ392" s="87"/>
      <c r="AR392" s="87"/>
      <c r="BC392" s="87"/>
      <c r="BD392" s="87"/>
      <c r="BE392" s="87"/>
      <c r="BF392" s="87"/>
      <c r="BG392" s="87"/>
      <c r="BH392" s="87"/>
    </row>
    <row r="393" spans="4:60" x14ac:dyDescent="0.3">
      <c r="D393" s="89"/>
      <c r="E393" s="89"/>
      <c r="F393" s="100" t="str">
        <f t="shared" si="55"/>
        <v/>
      </c>
      <c r="T393" s="87"/>
      <c r="U393" s="87"/>
      <c r="V393" s="87"/>
      <c r="W393" s="87"/>
      <c r="X393" s="87"/>
      <c r="Y393" s="87"/>
      <c r="Z393" s="87"/>
      <c r="AA393" s="87"/>
      <c r="AB393" s="87"/>
      <c r="AI393" s="87"/>
      <c r="AJ393" s="87"/>
      <c r="AK393" s="87"/>
      <c r="AL393" s="87"/>
      <c r="AM393" s="87"/>
      <c r="AN393" s="87"/>
      <c r="AO393" s="87"/>
      <c r="AP393" s="87"/>
      <c r="AQ393" s="87"/>
      <c r="AR393" s="87"/>
      <c r="BC393" s="87"/>
      <c r="BD393" s="87"/>
      <c r="BE393" s="87"/>
      <c r="BF393" s="87"/>
      <c r="BG393" s="87"/>
      <c r="BH393" s="87"/>
    </row>
    <row r="394" spans="4:60" x14ac:dyDescent="0.3">
      <c r="D394" s="89"/>
      <c r="E394" s="89"/>
      <c r="F394" s="100" t="str">
        <f t="shared" si="55"/>
        <v/>
      </c>
      <c r="T394" s="87"/>
      <c r="U394" s="87"/>
      <c r="V394" s="87"/>
      <c r="W394" s="87"/>
      <c r="X394" s="87"/>
      <c r="Y394" s="87"/>
      <c r="Z394" s="87"/>
      <c r="AA394" s="87"/>
      <c r="AB394" s="87"/>
      <c r="AI394" s="87"/>
      <c r="AJ394" s="87"/>
      <c r="AK394" s="87"/>
      <c r="AL394" s="87"/>
      <c r="AM394" s="87"/>
      <c r="AN394" s="87"/>
      <c r="AO394" s="87"/>
      <c r="AP394" s="87"/>
      <c r="AQ394" s="87"/>
      <c r="AR394" s="87"/>
      <c r="BC394" s="87"/>
      <c r="BD394" s="87"/>
      <c r="BE394" s="87"/>
      <c r="BF394" s="87"/>
      <c r="BG394" s="87"/>
      <c r="BH394" s="87"/>
    </row>
    <row r="395" spans="4:60" x14ac:dyDescent="0.3">
      <c r="D395" s="89"/>
      <c r="E395" s="89"/>
      <c r="F395" s="100" t="str">
        <f t="shared" si="55"/>
        <v/>
      </c>
      <c r="T395" s="87"/>
      <c r="U395" s="87"/>
      <c r="V395" s="87"/>
      <c r="W395" s="87"/>
      <c r="X395" s="87"/>
      <c r="Y395" s="87"/>
      <c r="Z395" s="87"/>
      <c r="AA395" s="87"/>
      <c r="AB395" s="87"/>
      <c r="AI395" s="87"/>
      <c r="AJ395" s="87"/>
      <c r="AK395" s="87"/>
      <c r="AL395" s="87"/>
      <c r="AM395" s="87"/>
      <c r="AN395" s="87"/>
      <c r="AO395" s="87"/>
      <c r="AP395" s="87"/>
      <c r="AQ395" s="87"/>
      <c r="AR395" s="87"/>
      <c r="BC395" s="87"/>
      <c r="BD395" s="87"/>
      <c r="BE395" s="87"/>
      <c r="BF395" s="87"/>
      <c r="BG395" s="87"/>
      <c r="BH395" s="87"/>
    </row>
    <row r="396" spans="4:60" x14ac:dyDescent="0.3">
      <c r="D396" s="89"/>
      <c r="E396" s="89"/>
      <c r="F396" s="100" t="str">
        <f t="shared" si="55"/>
        <v/>
      </c>
      <c r="T396" s="87"/>
      <c r="U396" s="87"/>
      <c r="V396" s="87"/>
      <c r="W396" s="87"/>
      <c r="X396" s="87"/>
      <c r="Y396" s="87"/>
      <c r="Z396" s="87"/>
      <c r="AA396" s="87"/>
      <c r="AB396" s="87"/>
      <c r="AI396" s="87"/>
      <c r="AJ396" s="87"/>
      <c r="AK396" s="87"/>
      <c r="AL396" s="87"/>
      <c r="AM396" s="87"/>
      <c r="AN396" s="87"/>
      <c r="AO396" s="87"/>
      <c r="AP396" s="87"/>
      <c r="AQ396" s="87"/>
      <c r="AR396" s="87"/>
      <c r="BC396" s="87"/>
      <c r="BD396" s="87"/>
      <c r="BE396" s="87"/>
      <c r="BF396" s="87"/>
      <c r="BG396" s="87"/>
      <c r="BH396" s="87"/>
    </row>
    <row r="397" spans="4:60" x14ac:dyDescent="0.3">
      <c r="D397" s="89"/>
      <c r="E397" s="89"/>
      <c r="F397" s="100" t="str">
        <f t="shared" si="55"/>
        <v/>
      </c>
      <c r="T397" s="87"/>
      <c r="U397" s="87"/>
      <c r="V397" s="87"/>
      <c r="W397" s="87"/>
      <c r="X397" s="87"/>
      <c r="Y397" s="87"/>
      <c r="Z397" s="87"/>
      <c r="AA397" s="87"/>
      <c r="AB397" s="87"/>
      <c r="AI397" s="87"/>
      <c r="AJ397" s="87"/>
      <c r="AK397" s="87"/>
      <c r="AL397" s="87"/>
      <c r="AM397" s="87"/>
      <c r="AN397" s="87"/>
      <c r="AO397" s="87"/>
      <c r="AP397" s="87"/>
      <c r="AQ397" s="87"/>
      <c r="AR397" s="87"/>
      <c r="BC397" s="87"/>
      <c r="BD397" s="87"/>
      <c r="BE397" s="87"/>
      <c r="BF397" s="87"/>
      <c r="BG397" s="87"/>
      <c r="BH397" s="87"/>
    </row>
    <row r="398" spans="4:60" x14ac:dyDescent="0.3">
      <c r="D398" s="89"/>
      <c r="E398" s="89"/>
      <c r="F398" s="100" t="str">
        <f t="shared" si="55"/>
        <v/>
      </c>
      <c r="T398" s="87"/>
      <c r="U398" s="87"/>
      <c r="V398" s="87"/>
      <c r="W398" s="87"/>
      <c r="X398" s="87"/>
      <c r="Y398" s="87"/>
      <c r="Z398" s="87"/>
      <c r="AA398" s="87"/>
      <c r="AB398" s="87"/>
      <c r="AI398" s="87"/>
      <c r="AJ398" s="87"/>
      <c r="AK398" s="87"/>
      <c r="AL398" s="87"/>
      <c r="AM398" s="87"/>
      <c r="AN398" s="87"/>
      <c r="AO398" s="87"/>
      <c r="AP398" s="87"/>
      <c r="AQ398" s="87"/>
      <c r="AR398" s="87"/>
      <c r="BC398" s="87"/>
      <c r="BD398" s="87"/>
      <c r="BE398" s="87"/>
      <c r="BF398" s="87"/>
      <c r="BG398" s="87"/>
      <c r="BH398" s="87"/>
    </row>
    <row r="399" spans="4:60" x14ac:dyDescent="0.3">
      <c r="D399" s="89"/>
      <c r="E399" s="89"/>
      <c r="F399" s="100" t="str">
        <f t="shared" si="55"/>
        <v/>
      </c>
      <c r="T399" s="87"/>
      <c r="U399" s="87"/>
      <c r="V399" s="87"/>
      <c r="W399" s="87"/>
      <c r="X399" s="87"/>
      <c r="Y399" s="87"/>
      <c r="Z399" s="87"/>
      <c r="AA399" s="87"/>
      <c r="AB399" s="87"/>
      <c r="AI399" s="87"/>
      <c r="AJ399" s="87"/>
      <c r="AK399" s="87"/>
      <c r="AL399" s="87"/>
      <c r="AM399" s="87"/>
      <c r="AN399" s="87"/>
      <c r="AO399" s="87"/>
      <c r="AP399" s="87"/>
      <c r="AQ399" s="87"/>
      <c r="AR399" s="87"/>
      <c r="BC399" s="87"/>
      <c r="BD399" s="87"/>
      <c r="BE399" s="87"/>
      <c r="BF399" s="87"/>
      <c r="BG399" s="87"/>
      <c r="BH399" s="87"/>
    </row>
    <row r="400" spans="4:60" x14ac:dyDescent="0.3">
      <c r="D400" s="89"/>
      <c r="E400" s="89"/>
      <c r="F400" s="100" t="str">
        <f t="shared" si="55"/>
        <v/>
      </c>
      <c r="T400" s="87"/>
      <c r="U400" s="87"/>
      <c r="V400" s="87"/>
      <c r="W400" s="87"/>
      <c r="X400" s="87"/>
      <c r="Y400" s="87"/>
      <c r="Z400" s="87"/>
      <c r="AA400" s="87"/>
      <c r="AB400" s="87"/>
      <c r="AI400" s="87"/>
      <c r="AJ400" s="87"/>
      <c r="AK400" s="87"/>
      <c r="AL400" s="87"/>
      <c r="AM400" s="87"/>
      <c r="AN400" s="87"/>
      <c r="AO400" s="87"/>
      <c r="AP400" s="87"/>
      <c r="AQ400" s="87"/>
      <c r="AR400" s="87"/>
      <c r="BC400" s="87"/>
      <c r="BD400" s="87"/>
      <c r="BE400" s="87"/>
      <c r="BF400" s="87"/>
      <c r="BG400" s="87"/>
      <c r="BH400" s="87"/>
    </row>
    <row r="401" spans="4:60" x14ac:dyDescent="0.3">
      <c r="D401" s="89"/>
      <c r="E401" s="89"/>
      <c r="F401" s="100" t="str">
        <f t="shared" si="55"/>
        <v/>
      </c>
      <c r="T401" s="87"/>
      <c r="U401" s="87"/>
      <c r="V401" s="87"/>
      <c r="W401" s="87"/>
      <c r="X401" s="87"/>
      <c r="Y401" s="87"/>
      <c r="Z401" s="87"/>
      <c r="AA401" s="87"/>
      <c r="AB401" s="87"/>
      <c r="AI401" s="87"/>
      <c r="AJ401" s="87"/>
      <c r="AK401" s="87"/>
      <c r="AL401" s="87"/>
      <c r="AM401" s="87"/>
      <c r="AN401" s="87"/>
      <c r="AO401" s="87"/>
      <c r="AP401" s="87"/>
      <c r="AQ401" s="87"/>
      <c r="AR401" s="87"/>
      <c r="BC401" s="87"/>
      <c r="BD401" s="87"/>
      <c r="BE401" s="87"/>
      <c r="BF401" s="87"/>
      <c r="BG401" s="87"/>
      <c r="BH401" s="87"/>
    </row>
    <row r="402" spans="4:60" x14ac:dyDescent="0.3">
      <c r="D402" s="89"/>
      <c r="E402" s="89"/>
      <c r="F402" s="100" t="str">
        <f t="shared" si="55"/>
        <v/>
      </c>
      <c r="T402" s="87"/>
      <c r="U402" s="87"/>
      <c r="V402" s="87"/>
      <c r="W402" s="87"/>
      <c r="X402" s="87"/>
      <c r="Y402" s="87"/>
      <c r="Z402" s="87"/>
      <c r="AA402" s="87"/>
      <c r="AB402" s="87"/>
      <c r="AI402" s="87"/>
      <c r="AJ402" s="87"/>
      <c r="AK402" s="87"/>
      <c r="AL402" s="87"/>
      <c r="AM402" s="87"/>
      <c r="AN402" s="87"/>
      <c r="AO402" s="87"/>
      <c r="AP402" s="87"/>
      <c r="AQ402" s="87"/>
      <c r="AR402" s="87"/>
      <c r="BC402" s="87"/>
      <c r="BD402" s="87"/>
      <c r="BE402" s="87"/>
      <c r="BF402" s="87"/>
      <c r="BG402" s="87"/>
      <c r="BH402" s="87"/>
    </row>
    <row r="403" spans="4:60" x14ac:dyDescent="0.3">
      <c r="D403" s="89"/>
      <c r="E403" s="89"/>
      <c r="F403" s="100" t="str">
        <f t="shared" si="55"/>
        <v/>
      </c>
      <c r="T403" s="87"/>
      <c r="U403" s="87"/>
      <c r="V403" s="87"/>
      <c r="W403" s="87"/>
      <c r="X403" s="87"/>
      <c r="Y403" s="87"/>
      <c r="Z403" s="87"/>
      <c r="AA403" s="87"/>
      <c r="AB403" s="87"/>
      <c r="AI403" s="87"/>
      <c r="AJ403" s="87"/>
      <c r="AK403" s="87"/>
      <c r="AL403" s="87"/>
      <c r="AM403" s="87"/>
      <c r="AN403" s="87"/>
      <c r="AO403" s="87"/>
      <c r="AP403" s="87"/>
      <c r="AQ403" s="87"/>
      <c r="AR403" s="87"/>
      <c r="BC403" s="87"/>
      <c r="BD403" s="87"/>
      <c r="BE403" s="87"/>
      <c r="BF403" s="87"/>
      <c r="BG403" s="87"/>
      <c r="BH403" s="87"/>
    </row>
    <row r="404" spans="4:60" x14ac:dyDescent="0.3">
      <c r="D404" s="89"/>
      <c r="E404" s="89"/>
      <c r="F404" s="100" t="str">
        <f t="shared" si="55"/>
        <v/>
      </c>
      <c r="T404" s="87"/>
      <c r="U404" s="87"/>
      <c r="V404" s="87"/>
      <c r="W404" s="87"/>
      <c r="X404" s="87"/>
      <c r="Y404" s="87"/>
      <c r="Z404" s="87"/>
      <c r="AA404" s="87"/>
      <c r="AB404" s="87"/>
      <c r="AI404" s="87"/>
      <c r="AJ404" s="87"/>
      <c r="AK404" s="87"/>
      <c r="AL404" s="87"/>
      <c r="AM404" s="87"/>
      <c r="AN404" s="87"/>
      <c r="AO404" s="87"/>
      <c r="AP404" s="87"/>
      <c r="AQ404" s="87"/>
      <c r="AR404" s="87"/>
      <c r="BC404" s="87"/>
      <c r="BD404" s="87"/>
      <c r="BE404" s="87"/>
      <c r="BF404" s="87"/>
      <c r="BG404" s="87"/>
      <c r="BH404" s="87"/>
    </row>
    <row r="405" spans="4:60" x14ac:dyDescent="0.3">
      <c r="D405" s="89"/>
      <c r="E405" s="89"/>
      <c r="F405" s="100" t="str">
        <f t="shared" si="55"/>
        <v/>
      </c>
      <c r="T405" s="87"/>
      <c r="U405" s="87"/>
      <c r="V405" s="87"/>
      <c r="W405" s="87"/>
      <c r="X405" s="87"/>
      <c r="Y405" s="87"/>
      <c r="Z405" s="87"/>
      <c r="AA405" s="87"/>
      <c r="AB405" s="87"/>
      <c r="AI405" s="87"/>
      <c r="AJ405" s="87"/>
      <c r="AK405" s="87"/>
      <c r="AL405" s="87"/>
      <c r="AM405" s="87"/>
      <c r="AN405" s="87"/>
      <c r="AO405" s="87"/>
      <c r="AP405" s="87"/>
      <c r="AQ405" s="87"/>
      <c r="AR405" s="87"/>
      <c r="BC405" s="87"/>
      <c r="BD405" s="87"/>
      <c r="BE405" s="87"/>
      <c r="BF405" s="87"/>
      <c r="BG405" s="87"/>
      <c r="BH405" s="87"/>
    </row>
    <row r="406" spans="4:60" x14ac:dyDescent="0.3">
      <c r="D406" s="89"/>
      <c r="E406" s="89"/>
      <c r="F406" s="100" t="str">
        <f t="shared" si="55"/>
        <v/>
      </c>
      <c r="T406" s="87"/>
      <c r="U406" s="87"/>
      <c r="V406" s="87"/>
      <c r="W406" s="87"/>
      <c r="X406" s="87"/>
      <c r="Y406" s="87"/>
      <c r="Z406" s="87"/>
      <c r="AA406" s="87"/>
      <c r="AB406" s="87"/>
      <c r="AI406" s="87"/>
      <c r="AJ406" s="87"/>
      <c r="AK406" s="87"/>
      <c r="AL406" s="87"/>
      <c r="AM406" s="87"/>
      <c r="AN406" s="87"/>
      <c r="AO406" s="87"/>
      <c r="AP406" s="87"/>
      <c r="AQ406" s="87"/>
      <c r="AR406" s="87"/>
      <c r="BC406" s="87"/>
      <c r="BD406" s="87"/>
      <c r="BE406" s="87"/>
      <c r="BF406" s="87"/>
      <c r="BG406" s="87"/>
      <c r="BH406" s="87"/>
    </row>
    <row r="407" spans="4:60" x14ac:dyDescent="0.3">
      <c r="D407" s="89"/>
      <c r="E407" s="89"/>
      <c r="F407" s="100" t="str">
        <f t="shared" si="55"/>
        <v/>
      </c>
      <c r="T407" s="87"/>
      <c r="U407" s="87"/>
      <c r="V407" s="87"/>
      <c r="W407" s="87"/>
      <c r="X407" s="87"/>
      <c r="Y407" s="87"/>
      <c r="Z407" s="87"/>
      <c r="AA407" s="87"/>
      <c r="AB407" s="87"/>
      <c r="AI407" s="87"/>
      <c r="AJ407" s="87"/>
      <c r="AK407" s="87"/>
      <c r="AL407" s="87"/>
      <c r="AM407" s="87"/>
      <c r="AN407" s="87"/>
      <c r="AO407" s="87"/>
      <c r="AP407" s="87"/>
      <c r="AQ407" s="87"/>
      <c r="AR407" s="87"/>
      <c r="BC407" s="87"/>
      <c r="BD407" s="87"/>
      <c r="BE407" s="87"/>
      <c r="BF407" s="87"/>
      <c r="BG407" s="87"/>
      <c r="BH407" s="87"/>
    </row>
    <row r="408" spans="4:60" x14ac:dyDescent="0.3">
      <c r="D408" s="89"/>
      <c r="E408" s="89"/>
      <c r="F408" s="100" t="str">
        <f t="shared" si="55"/>
        <v/>
      </c>
      <c r="T408" s="87"/>
      <c r="U408" s="87"/>
      <c r="V408" s="87"/>
      <c r="W408" s="87"/>
      <c r="X408" s="87"/>
      <c r="Y408" s="87"/>
      <c r="Z408" s="87"/>
      <c r="AA408" s="87"/>
      <c r="AB408" s="87"/>
      <c r="AI408" s="87"/>
      <c r="AJ408" s="87"/>
      <c r="AK408" s="87"/>
      <c r="AL408" s="87"/>
      <c r="AM408" s="87"/>
      <c r="AN408" s="87"/>
      <c r="AO408" s="87"/>
      <c r="AP408" s="87"/>
      <c r="AQ408" s="87"/>
      <c r="AR408" s="87"/>
      <c r="BC408" s="87"/>
      <c r="BD408" s="87"/>
      <c r="BE408" s="87"/>
      <c r="BF408" s="87"/>
      <c r="BG408" s="87"/>
      <c r="BH408" s="87"/>
    </row>
    <row r="409" spans="4:60" x14ac:dyDescent="0.3">
      <c r="D409" s="89"/>
      <c r="E409" s="89"/>
      <c r="F409" s="100" t="str">
        <f t="shared" si="55"/>
        <v/>
      </c>
      <c r="T409" s="87"/>
      <c r="U409" s="87"/>
      <c r="V409" s="87"/>
      <c r="W409" s="87"/>
      <c r="X409" s="87"/>
      <c r="Y409" s="87"/>
      <c r="Z409" s="87"/>
      <c r="AA409" s="87"/>
      <c r="AB409" s="87"/>
      <c r="AI409" s="87"/>
      <c r="AJ409" s="87"/>
      <c r="AK409" s="87"/>
      <c r="AL409" s="87"/>
      <c r="AM409" s="87"/>
      <c r="AN409" s="87"/>
      <c r="AO409" s="87"/>
      <c r="AP409" s="87"/>
      <c r="AQ409" s="87"/>
      <c r="AR409" s="87"/>
      <c r="BC409" s="87"/>
      <c r="BD409" s="87"/>
      <c r="BE409" s="87"/>
      <c r="BF409" s="87"/>
      <c r="BG409" s="87"/>
      <c r="BH409" s="87"/>
    </row>
    <row r="410" spans="4:60" x14ac:dyDescent="0.3">
      <c r="D410" s="89"/>
      <c r="E410" s="89"/>
      <c r="F410" s="100" t="str">
        <f t="shared" si="55"/>
        <v/>
      </c>
      <c r="T410" s="87"/>
      <c r="U410" s="87"/>
      <c r="V410" s="87"/>
      <c r="W410" s="87"/>
      <c r="X410" s="87"/>
      <c r="Y410" s="87"/>
      <c r="Z410" s="87"/>
      <c r="AA410" s="87"/>
      <c r="AB410" s="87"/>
      <c r="AI410" s="87"/>
      <c r="AJ410" s="87"/>
      <c r="AK410" s="87"/>
      <c r="AL410" s="87"/>
      <c r="AM410" s="87"/>
      <c r="AN410" s="87"/>
      <c r="AO410" s="87"/>
      <c r="AP410" s="87"/>
      <c r="AQ410" s="87"/>
      <c r="AR410" s="87"/>
      <c r="BC410" s="87"/>
      <c r="BD410" s="87"/>
      <c r="BE410" s="87"/>
      <c r="BF410" s="87"/>
      <c r="BG410" s="87"/>
      <c r="BH410" s="87"/>
    </row>
    <row r="411" spans="4:60" x14ac:dyDescent="0.3">
      <c r="D411" s="89"/>
      <c r="E411" s="89"/>
      <c r="F411" s="100" t="str">
        <f t="shared" si="55"/>
        <v/>
      </c>
      <c r="T411" s="87"/>
      <c r="U411" s="87"/>
      <c r="V411" s="87"/>
      <c r="W411" s="87"/>
      <c r="X411" s="87"/>
      <c r="Y411" s="87"/>
      <c r="Z411" s="87"/>
      <c r="AA411" s="87"/>
      <c r="AB411" s="87"/>
      <c r="AI411" s="87"/>
      <c r="AJ411" s="87"/>
      <c r="AK411" s="87"/>
      <c r="AL411" s="87"/>
      <c r="AM411" s="87"/>
      <c r="AN411" s="87"/>
      <c r="AO411" s="87"/>
      <c r="AP411" s="87"/>
      <c r="AQ411" s="87"/>
      <c r="AR411" s="87"/>
      <c r="BC411" s="87"/>
      <c r="BD411" s="87"/>
      <c r="BE411" s="87"/>
      <c r="BF411" s="87"/>
      <c r="BG411" s="87"/>
      <c r="BH411" s="87"/>
    </row>
    <row r="412" spans="4:60" x14ac:dyDescent="0.3">
      <c r="D412" s="89"/>
      <c r="E412" s="89"/>
      <c r="F412" s="100" t="str">
        <f t="shared" si="55"/>
        <v/>
      </c>
      <c r="T412" s="87"/>
      <c r="U412" s="87"/>
      <c r="V412" s="87"/>
      <c r="W412" s="87"/>
      <c r="X412" s="87"/>
      <c r="Y412" s="87"/>
      <c r="Z412" s="87"/>
      <c r="AA412" s="87"/>
      <c r="AB412" s="87"/>
      <c r="AI412" s="87"/>
      <c r="AJ412" s="87"/>
      <c r="AK412" s="87"/>
      <c r="AL412" s="87"/>
      <c r="AM412" s="87"/>
      <c r="AN412" s="87"/>
      <c r="AO412" s="87"/>
      <c r="AP412" s="87"/>
      <c r="AQ412" s="87"/>
      <c r="AR412" s="87"/>
      <c r="BC412" s="87"/>
      <c r="BD412" s="87"/>
      <c r="BE412" s="87"/>
      <c r="BF412" s="87"/>
      <c r="BG412" s="87"/>
      <c r="BH412" s="87"/>
    </row>
    <row r="413" spans="4:60" x14ac:dyDescent="0.3">
      <c r="D413" s="89"/>
      <c r="E413" s="89"/>
      <c r="F413" s="100" t="str">
        <f t="shared" si="55"/>
        <v/>
      </c>
      <c r="T413" s="87"/>
      <c r="U413" s="87"/>
      <c r="V413" s="87"/>
      <c r="W413" s="87"/>
      <c r="X413" s="87"/>
      <c r="Y413" s="87"/>
      <c r="Z413" s="87"/>
      <c r="AA413" s="87"/>
      <c r="AB413" s="87"/>
      <c r="AI413" s="87"/>
      <c r="AJ413" s="87"/>
      <c r="AK413" s="87"/>
      <c r="AL413" s="87"/>
      <c r="AM413" s="87"/>
      <c r="AN413" s="87"/>
      <c r="AO413" s="87"/>
      <c r="AP413" s="87"/>
      <c r="AQ413" s="87"/>
      <c r="AR413" s="87"/>
      <c r="BC413" s="87"/>
      <c r="BD413" s="87"/>
      <c r="BE413" s="87"/>
      <c r="BF413" s="87"/>
      <c r="BG413" s="87"/>
      <c r="BH413" s="87"/>
    </row>
    <row r="414" spans="4:60" x14ac:dyDescent="0.3">
      <c r="D414" s="89"/>
      <c r="E414" s="89"/>
      <c r="F414" s="100" t="str">
        <f t="shared" si="55"/>
        <v/>
      </c>
      <c r="T414" s="87"/>
      <c r="U414" s="87"/>
      <c r="V414" s="87"/>
      <c r="W414" s="87"/>
      <c r="X414" s="87"/>
      <c r="Y414" s="87"/>
      <c r="Z414" s="87"/>
      <c r="AA414" s="87"/>
      <c r="AB414" s="87"/>
      <c r="AI414" s="87"/>
      <c r="AJ414" s="87"/>
      <c r="AK414" s="87"/>
      <c r="AL414" s="87"/>
      <c r="AM414" s="87"/>
      <c r="AN414" s="87"/>
      <c r="AO414" s="87"/>
      <c r="AP414" s="87"/>
      <c r="AQ414" s="87"/>
      <c r="AR414" s="87"/>
      <c r="BC414" s="87"/>
      <c r="BD414" s="87"/>
      <c r="BE414" s="87"/>
      <c r="BF414" s="87"/>
      <c r="BG414" s="87"/>
      <c r="BH414" s="87"/>
    </row>
    <row r="415" spans="4:60" x14ac:dyDescent="0.3">
      <c r="D415" s="89"/>
      <c r="E415" s="89"/>
      <c r="F415" s="100" t="str">
        <f t="shared" si="55"/>
        <v/>
      </c>
      <c r="T415" s="87"/>
      <c r="U415" s="87"/>
      <c r="V415" s="87"/>
      <c r="W415" s="87"/>
      <c r="X415" s="87"/>
      <c r="Y415" s="87"/>
      <c r="Z415" s="87"/>
      <c r="AA415" s="87"/>
      <c r="AB415" s="87"/>
      <c r="AI415" s="87"/>
      <c r="AJ415" s="87"/>
      <c r="AK415" s="87"/>
      <c r="AL415" s="87"/>
      <c r="AM415" s="87"/>
      <c r="AN415" s="87"/>
      <c r="AO415" s="87"/>
      <c r="AP415" s="87"/>
      <c r="AQ415" s="87"/>
      <c r="AR415" s="87"/>
      <c r="BC415" s="87"/>
      <c r="BD415" s="87"/>
      <c r="BE415" s="87"/>
      <c r="BF415" s="87"/>
      <c r="BG415" s="87"/>
      <c r="BH415" s="87"/>
    </row>
    <row r="416" spans="4:60" x14ac:dyDescent="0.3">
      <c r="D416" s="89"/>
      <c r="E416" s="89"/>
      <c r="F416" s="100" t="str">
        <f t="shared" si="55"/>
        <v/>
      </c>
      <c r="T416" s="87"/>
      <c r="U416" s="87"/>
      <c r="V416" s="87"/>
      <c r="W416" s="87"/>
      <c r="X416" s="87"/>
      <c r="Y416" s="87"/>
      <c r="Z416" s="87"/>
      <c r="AA416" s="87"/>
      <c r="AB416" s="87"/>
      <c r="AI416" s="87"/>
      <c r="AJ416" s="87"/>
      <c r="AK416" s="87"/>
      <c r="AL416" s="87"/>
      <c r="AM416" s="87"/>
      <c r="AN416" s="87"/>
      <c r="AO416" s="87"/>
      <c r="AP416" s="87"/>
      <c r="AQ416" s="87"/>
      <c r="AR416" s="87"/>
      <c r="BC416" s="87"/>
      <c r="BD416" s="87"/>
      <c r="BE416" s="87"/>
      <c r="BF416" s="87"/>
      <c r="BG416" s="87"/>
      <c r="BH416" s="87"/>
    </row>
    <row r="417" spans="4:60" x14ac:dyDescent="0.3">
      <c r="D417" s="89"/>
      <c r="E417" s="89"/>
      <c r="F417" s="100" t="str">
        <f t="shared" si="55"/>
        <v/>
      </c>
      <c r="T417" s="87"/>
      <c r="U417" s="87"/>
      <c r="V417" s="87"/>
      <c r="W417" s="87"/>
      <c r="X417" s="87"/>
      <c r="Y417" s="87"/>
      <c r="Z417" s="87"/>
      <c r="AA417" s="87"/>
      <c r="AB417" s="87"/>
      <c r="AI417" s="87"/>
      <c r="AJ417" s="87"/>
      <c r="AK417" s="87"/>
      <c r="AL417" s="87"/>
      <c r="AM417" s="87"/>
      <c r="AN417" s="87"/>
      <c r="AO417" s="87"/>
      <c r="AP417" s="87"/>
      <c r="AQ417" s="87"/>
      <c r="AR417" s="87"/>
      <c r="BC417" s="87"/>
      <c r="BD417" s="87"/>
      <c r="BE417" s="87"/>
      <c r="BF417" s="87"/>
      <c r="BG417" s="87"/>
      <c r="BH417" s="87"/>
    </row>
    <row r="418" spans="4:60" x14ac:dyDescent="0.3">
      <c r="D418" s="89"/>
      <c r="E418" s="89"/>
      <c r="F418" s="100" t="str">
        <f t="shared" si="55"/>
        <v/>
      </c>
      <c r="T418" s="87"/>
      <c r="U418" s="87"/>
      <c r="V418" s="87"/>
      <c r="W418" s="87"/>
      <c r="X418" s="87"/>
      <c r="Y418" s="87"/>
      <c r="Z418" s="87"/>
      <c r="AA418" s="87"/>
      <c r="AB418" s="87"/>
      <c r="AI418" s="87"/>
      <c r="AJ418" s="87"/>
      <c r="AK418" s="87"/>
      <c r="AL418" s="87"/>
      <c r="AM418" s="87"/>
      <c r="AN418" s="87"/>
      <c r="AO418" s="87"/>
      <c r="AP418" s="87"/>
      <c r="AQ418" s="87"/>
      <c r="AR418" s="87"/>
      <c r="BC418" s="87"/>
      <c r="BD418" s="87"/>
      <c r="BE418" s="87"/>
      <c r="BF418" s="87"/>
      <c r="BG418" s="87"/>
      <c r="BH418" s="87"/>
    </row>
    <row r="419" spans="4:60" x14ac:dyDescent="0.3">
      <c r="D419" s="89"/>
      <c r="E419" s="89"/>
      <c r="F419" s="100" t="str">
        <f t="shared" si="55"/>
        <v/>
      </c>
      <c r="T419" s="87"/>
      <c r="U419" s="87"/>
      <c r="V419" s="87"/>
      <c r="W419" s="87"/>
      <c r="X419" s="87"/>
      <c r="Y419" s="87"/>
      <c r="Z419" s="87"/>
      <c r="AA419" s="87"/>
      <c r="AB419" s="87"/>
      <c r="AI419" s="87"/>
      <c r="AJ419" s="87"/>
      <c r="AK419" s="87"/>
      <c r="AL419" s="87"/>
      <c r="AM419" s="87"/>
      <c r="AN419" s="87"/>
      <c r="AO419" s="87"/>
      <c r="AP419" s="87"/>
      <c r="AQ419" s="87"/>
      <c r="AR419" s="87"/>
      <c r="BC419" s="87"/>
      <c r="BD419" s="87"/>
      <c r="BE419" s="87"/>
      <c r="BF419" s="87"/>
      <c r="BG419" s="87"/>
      <c r="BH419" s="87"/>
    </row>
    <row r="420" spans="4:60" x14ac:dyDescent="0.3">
      <c r="D420" s="89"/>
      <c r="E420" s="89"/>
      <c r="F420" s="100" t="str">
        <f t="shared" si="55"/>
        <v/>
      </c>
      <c r="T420" s="87"/>
      <c r="U420" s="87"/>
      <c r="V420" s="87"/>
      <c r="W420" s="87"/>
      <c r="X420" s="87"/>
      <c r="Y420" s="87"/>
      <c r="Z420" s="87"/>
      <c r="AA420" s="87"/>
      <c r="AB420" s="87"/>
      <c r="AI420" s="87"/>
      <c r="AJ420" s="87"/>
      <c r="AK420" s="87"/>
      <c r="AL420" s="87"/>
      <c r="AM420" s="87"/>
      <c r="AN420" s="87"/>
      <c r="AO420" s="87"/>
      <c r="AP420" s="87"/>
      <c r="AQ420" s="87"/>
      <c r="AR420" s="87"/>
      <c r="BC420" s="87"/>
      <c r="BD420" s="87"/>
      <c r="BE420" s="87"/>
      <c r="BF420" s="87"/>
      <c r="BG420" s="87"/>
      <c r="BH420" s="87"/>
    </row>
    <row r="421" spans="4:60" x14ac:dyDescent="0.3">
      <c r="D421" s="89"/>
      <c r="E421" s="89"/>
      <c r="F421" s="100" t="str">
        <f t="shared" si="55"/>
        <v/>
      </c>
      <c r="T421" s="87"/>
      <c r="U421" s="87"/>
      <c r="V421" s="87"/>
      <c r="W421" s="87"/>
      <c r="X421" s="87"/>
      <c r="Y421" s="87"/>
      <c r="Z421" s="87"/>
      <c r="AA421" s="87"/>
      <c r="AB421" s="87"/>
      <c r="AI421" s="87"/>
      <c r="AJ421" s="87"/>
      <c r="AK421" s="87"/>
      <c r="AL421" s="87"/>
      <c r="AM421" s="87"/>
      <c r="AN421" s="87"/>
      <c r="AO421" s="87"/>
      <c r="AP421" s="87"/>
      <c r="AQ421" s="87"/>
      <c r="AR421" s="87"/>
      <c r="BC421" s="87"/>
      <c r="BD421" s="87"/>
      <c r="BE421" s="87"/>
      <c r="BF421" s="87"/>
      <c r="BG421" s="87"/>
      <c r="BH421" s="87"/>
    </row>
    <row r="422" spans="4:60" x14ac:dyDescent="0.3">
      <c r="D422" s="89"/>
      <c r="E422" s="89"/>
      <c r="F422" s="100" t="str">
        <f t="shared" si="55"/>
        <v/>
      </c>
      <c r="T422" s="87"/>
      <c r="U422" s="87"/>
      <c r="V422" s="87"/>
      <c r="W422" s="87"/>
      <c r="X422" s="87"/>
      <c r="Y422" s="87"/>
      <c r="Z422" s="87"/>
      <c r="AA422" s="87"/>
      <c r="AB422" s="87"/>
      <c r="AI422" s="87"/>
      <c r="AJ422" s="87"/>
      <c r="AK422" s="87"/>
      <c r="AL422" s="87"/>
      <c r="AM422" s="87"/>
      <c r="AN422" s="87"/>
      <c r="AO422" s="87"/>
      <c r="AP422" s="87"/>
      <c r="AQ422" s="87"/>
      <c r="AR422" s="87"/>
      <c r="BC422" s="87"/>
      <c r="BD422" s="87"/>
      <c r="BE422" s="87"/>
      <c r="BF422" s="87"/>
      <c r="BG422" s="87"/>
      <c r="BH422" s="87"/>
    </row>
    <row r="423" spans="4:60" x14ac:dyDescent="0.3">
      <c r="D423" s="89"/>
      <c r="E423" s="89"/>
      <c r="F423" s="100" t="str">
        <f t="shared" si="55"/>
        <v/>
      </c>
      <c r="T423" s="87"/>
      <c r="U423" s="87"/>
      <c r="V423" s="87"/>
      <c r="W423" s="87"/>
      <c r="X423" s="87"/>
      <c r="Y423" s="87"/>
      <c r="Z423" s="87"/>
      <c r="AA423" s="87"/>
      <c r="AB423" s="87"/>
      <c r="AI423" s="87"/>
      <c r="AJ423" s="87"/>
      <c r="AK423" s="87"/>
      <c r="AL423" s="87"/>
      <c r="AM423" s="87"/>
      <c r="AN423" s="87"/>
      <c r="AO423" s="87"/>
      <c r="AP423" s="87"/>
      <c r="AQ423" s="87"/>
      <c r="AR423" s="87"/>
      <c r="BC423" s="87"/>
      <c r="BD423" s="87"/>
      <c r="BE423" s="87"/>
      <c r="BF423" s="87"/>
      <c r="BG423" s="87"/>
      <c r="BH423" s="87"/>
    </row>
    <row r="424" spans="4:60" x14ac:dyDescent="0.3">
      <c r="D424" s="89"/>
      <c r="E424" s="89"/>
      <c r="F424" s="100" t="str">
        <f t="shared" si="55"/>
        <v/>
      </c>
      <c r="T424" s="87"/>
      <c r="U424" s="87"/>
      <c r="V424" s="87"/>
      <c r="W424" s="87"/>
      <c r="X424" s="87"/>
      <c r="Y424" s="87"/>
      <c r="Z424" s="87"/>
      <c r="AA424" s="87"/>
      <c r="AB424" s="87"/>
      <c r="AI424" s="87"/>
      <c r="AJ424" s="87"/>
      <c r="AK424" s="87"/>
      <c r="AL424" s="87"/>
      <c r="AM424" s="87"/>
      <c r="AN424" s="87"/>
      <c r="AO424" s="87"/>
      <c r="AP424" s="87"/>
      <c r="AQ424" s="87"/>
      <c r="AR424" s="87"/>
      <c r="BC424" s="87"/>
      <c r="BD424" s="87"/>
      <c r="BE424" s="87"/>
      <c r="BF424" s="87"/>
      <c r="BG424" s="87"/>
      <c r="BH424" s="87"/>
    </row>
    <row r="425" spans="4:60" x14ac:dyDescent="0.3">
      <c r="D425" s="89"/>
      <c r="E425" s="89"/>
      <c r="F425" s="100" t="str">
        <f t="shared" si="55"/>
        <v/>
      </c>
      <c r="T425" s="87"/>
      <c r="U425" s="87"/>
      <c r="V425" s="87"/>
      <c r="W425" s="87"/>
      <c r="X425" s="87"/>
      <c r="Y425" s="87"/>
      <c r="Z425" s="87"/>
      <c r="AA425" s="87"/>
      <c r="AB425" s="87"/>
      <c r="AI425" s="87"/>
      <c r="AJ425" s="87"/>
      <c r="AK425" s="87"/>
      <c r="AL425" s="87"/>
      <c r="AM425" s="87"/>
      <c r="AN425" s="87"/>
      <c r="AO425" s="87"/>
      <c r="AP425" s="87"/>
      <c r="AQ425" s="87"/>
      <c r="AR425" s="87"/>
      <c r="BC425" s="87"/>
      <c r="BD425" s="87"/>
      <c r="BE425" s="87"/>
      <c r="BF425" s="87"/>
      <c r="BG425" s="87"/>
      <c r="BH425" s="87"/>
    </row>
    <row r="426" spans="4:60" x14ac:dyDescent="0.3">
      <c r="D426" s="89"/>
      <c r="E426" s="89"/>
      <c r="F426" s="100" t="str">
        <f t="shared" si="55"/>
        <v/>
      </c>
      <c r="T426" s="87"/>
      <c r="U426" s="87"/>
      <c r="V426" s="87"/>
      <c r="W426" s="87"/>
      <c r="X426" s="87"/>
      <c r="Y426" s="87"/>
      <c r="Z426" s="87"/>
      <c r="AA426" s="87"/>
      <c r="AB426" s="87"/>
      <c r="AI426" s="87"/>
      <c r="AJ426" s="87"/>
      <c r="AK426" s="87"/>
      <c r="AL426" s="87"/>
      <c r="AM426" s="87"/>
      <c r="AN426" s="87"/>
      <c r="AO426" s="87"/>
      <c r="AP426" s="87"/>
      <c r="AQ426" s="87"/>
      <c r="AR426" s="87"/>
      <c r="BC426" s="87"/>
      <c r="BD426" s="87"/>
      <c r="BE426" s="87"/>
      <c r="BF426" s="87"/>
      <c r="BG426" s="87"/>
      <c r="BH426" s="87"/>
    </row>
    <row r="427" spans="4:60" x14ac:dyDescent="0.3">
      <c r="D427" s="89"/>
      <c r="E427" s="89"/>
      <c r="F427" s="100" t="str">
        <f t="shared" si="55"/>
        <v/>
      </c>
      <c r="T427" s="87"/>
      <c r="U427" s="87"/>
      <c r="V427" s="87"/>
      <c r="W427" s="87"/>
      <c r="X427" s="87"/>
      <c r="Y427" s="87"/>
      <c r="Z427" s="87"/>
      <c r="AA427" s="87"/>
      <c r="AB427" s="87"/>
      <c r="AI427" s="87"/>
      <c r="AJ427" s="87"/>
      <c r="AK427" s="87"/>
      <c r="AL427" s="87"/>
      <c r="AM427" s="87"/>
      <c r="AN427" s="87"/>
      <c r="AO427" s="87"/>
      <c r="AP427" s="87"/>
      <c r="AQ427" s="87"/>
      <c r="AR427" s="87"/>
      <c r="BC427" s="87"/>
      <c r="BD427" s="87"/>
      <c r="BE427" s="87"/>
      <c r="BF427" s="87"/>
      <c r="BG427" s="87"/>
      <c r="BH427" s="87"/>
    </row>
    <row r="428" spans="4:60" x14ac:dyDescent="0.3">
      <c r="D428" s="89"/>
      <c r="E428" s="89"/>
      <c r="F428" s="100" t="str">
        <f t="shared" si="55"/>
        <v/>
      </c>
      <c r="T428" s="87"/>
      <c r="U428" s="87"/>
      <c r="V428" s="87"/>
      <c r="W428" s="87"/>
      <c r="X428" s="87"/>
      <c r="Y428" s="87"/>
      <c r="Z428" s="87"/>
      <c r="AA428" s="87"/>
      <c r="AB428" s="87"/>
      <c r="AI428" s="87"/>
      <c r="AJ428" s="87"/>
      <c r="AK428" s="87"/>
      <c r="AL428" s="87"/>
      <c r="AM428" s="87"/>
      <c r="AN428" s="87"/>
      <c r="AO428" s="87"/>
      <c r="AP428" s="87"/>
      <c r="AQ428" s="87"/>
      <c r="AR428" s="87"/>
      <c r="BC428" s="87"/>
      <c r="BD428" s="87"/>
      <c r="BE428" s="87"/>
      <c r="BF428" s="87"/>
      <c r="BG428" s="87"/>
      <c r="BH428" s="87"/>
    </row>
    <row r="429" spans="4:60" x14ac:dyDescent="0.3">
      <c r="D429" s="89"/>
      <c r="E429" s="89"/>
      <c r="F429" s="100" t="str">
        <f t="shared" si="55"/>
        <v/>
      </c>
      <c r="T429" s="87"/>
      <c r="U429" s="87"/>
      <c r="V429" s="87"/>
      <c r="W429" s="87"/>
      <c r="X429" s="87"/>
      <c r="Y429" s="87"/>
      <c r="Z429" s="87"/>
      <c r="AA429" s="87"/>
      <c r="AB429" s="87"/>
      <c r="AI429" s="87"/>
      <c r="AJ429" s="87"/>
      <c r="AK429" s="87"/>
      <c r="AL429" s="87"/>
      <c r="AM429" s="87"/>
      <c r="AN429" s="87"/>
      <c r="AO429" s="87"/>
      <c r="AP429" s="87"/>
      <c r="AQ429" s="87"/>
      <c r="AR429" s="87"/>
      <c r="BC429" s="87"/>
      <c r="BD429" s="87"/>
      <c r="BE429" s="87"/>
      <c r="BF429" s="87"/>
      <c r="BG429" s="87"/>
      <c r="BH429" s="87"/>
    </row>
    <row r="430" spans="4:60" x14ac:dyDescent="0.3">
      <c r="D430" s="89"/>
      <c r="E430" s="89"/>
      <c r="F430" s="100" t="str">
        <f t="shared" si="55"/>
        <v/>
      </c>
      <c r="T430" s="87"/>
      <c r="U430" s="87"/>
      <c r="V430" s="87"/>
      <c r="W430" s="87"/>
      <c r="X430" s="87"/>
      <c r="Y430" s="87"/>
      <c r="Z430" s="87"/>
      <c r="AA430" s="87"/>
      <c r="AB430" s="87"/>
      <c r="AI430" s="87"/>
      <c r="AJ430" s="87"/>
      <c r="AK430" s="87"/>
      <c r="AL430" s="87"/>
      <c r="AM430" s="87"/>
      <c r="AN430" s="87"/>
      <c r="AO430" s="87"/>
      <c r="AP430" s="87"/>
      <c r="AQ430" s="87"/>
      <c r="AR430" s="87"/>
      <c r="BC430" s="87"/>
      <c r="BD430" s="87"/>
      <c r="BE430" s="87"/>
      <c r="BF430" s="87"/>
      <c r="BG430" s="87"/>
      <c r="BH430" s="87"/>
    </row>
    <row r="431" spans="4:60" x14ac:dyDescent="0.3">
      <c r="D431" s="89"/>
      <c r="E431" s="89"/>
      <c r="F431" s="100" t="str">
        <f t="shared" si="55"/>
        <v/>
      </c>
      <c r="T431" s="87"/>
      <c r="U431" s="87"/>
      <c r="V431" s="87"/>
      <c r="W431" s="87"/>
      <c r="X431" s="87"/>
      <c r="Y431" s="87"/>
      <c r="Z431" s="87"/>
      <c r="AA431" s="87"/>
      <c r="AB431" s="87"/>
      <c r="AI431" s="87"/>
      <c r="AJ431" s="87"/>
      <c r="AK431" s="87"/>
      <c r="AL431" s="87"/>
      <c r="AM431" s="87"/>
      <c r="AN431" s="87"/>
      <c r="AO431" s="87"/>
      <c r="AP431" s="87"/>
      <c r="AQ431" s="87"/>
      <c r="AR431" s="87"/>
      <c r="BC431" s="87"/>
      <c r="BD431" s="87"/>
      <c r="BE431" s="87"/>
      <c r="BF431" s="87"/>
      <c r="BG431" s="87"/>
      <c r="BH431" s="87"/>
    </row>
    <row r="432" spans="4:60" x14ac:dyDescent="0.3">
      <c r="D432" s="89"/>
      <c r="E432" s="89"/>
      <c r="F432" s="100" t="str">
        <f t="shared" si="55"/>
        <v/>
      </c>
      <c r="T432" s="87"/>
      <c r="U432" s="87"/>
      <c r="V432" s="87"/>
      <c r="W432" s="87"/>
      <c r="X432" s="87"/>
      <c r="Y432" s="87"/>
      <c r="Z432" s="87"/>
      <c r="AA432" s="87"/>
      <c r="AB432" s="87"/>
      <c r="AI432" s="87"/>
      <c r="AJ432" s="87"/>
      <c r="AK432" s="87"/>
      <c r="AL432" s="87"/>
      <c r="AM432" s="87"/>
      <c r="AN432" s="87"/>
      <c r="AO432" s="87"/>
      <c r="AP432" s="87"/>
      <c r="AQ432" s="87"/>
      <c r="AR432" s="87"/>
      <c r="BC432" s="87"/>
      <c r="BD432" s="87"/>
      <c r="BE432" s="87"/>
      <c r="BF432" s="87"/>
      <c r="BG432" s="87"/>
      <c r="BH432" s="87"/>
    </row>
    <row r="433" spans="4:60" x14ac:dyDescent="0.3">
      <c r="D433" s="89"/>
      <c r="E433" s="89"/>
      <c r="F433" s="100" t="str">
        <f t="shared" si="55"/>
        <v/>
      </c>
      <c r="T433" s="87"/>
      <c r="U433" s="87"/>
      <c r="V433" s="87"/>
      <c r="W433" s="87"/>
      <c r="X433" s="87"/>
      <c r="Y433" s="87"/>
      <c r="Z433" s="87"/>
      <c r="AA433" s="87"/>
      <c r="AB433" s="87"/>
      <c r="AI433" s="87"/>
      <c r="AJ433" s="87"/>
      <c r="AK433" s="87"/>
      <c r="AL433" s="87"/>
      <c r="AM433" s="87"/>
      <c r="AN433" s="87"/>
      <c r="AO433" s="87"/>
      <c r="AP433" s="87"/>
      <c r="AQ433" s="87"/>
      <c r="AR433" s="87"/>
      <c r="BC433" s="87"/>
      <c r="BD433" s="87"/>
      <c r="BE433" s="87"/>
      <c r="BF433" s="87"/>
      <c r="BG433" s="87"/>
      <c r="BH433" s="87"/>
    </row>
    <row r="434" spans="4:60" x14ac:dyDescent="0.3">
      <c r="D434" s="89"/>
      <c r="E434" s="89"/>
      <c r="F434" s="100" t="str">
        <f t="shared" si="55"/>
        <v/>
      </c>
      <c r="T434" s="87"/>
      <c r="U434" s="87"/>
      <c r="V434" s="87"/>
      <c r="W434" s="87"/>
      <c r="X434" s="87"/>
      <c r="Y434" s="87"/>
      <c r="Z434" s="87"/>
      <c r="AA434" s="87"/>
      <c r="AB434" s="87"/>
      <c r="AI434" s="87"/>
      <c r="AJ434" s="87"/>
      <c r="AK434" s="87"/>
      <c r="AL434" s="87"/>
      <c r="AM434" s="87"/>
      <c r="AN434" s="87"/>
      <c r="AO434" s="87"/>
      <c r="AP434" s="87"/>
      <c r="AQ434" s="87"/>
      <c r="AR434" s="87"/>
      <c r="BC434" s="87"/>
      <c r="BD434" s="87"/>
      <c r="BE434" s="87"/>
      <c r="BF434" s="87"/>
      <c r="BG434" s="87"/>
      <c r="BH434" s="87"/>
    </row>
    <row r="435" spans="4:60" x14ac:dyDescent="0.3">
      <c r="D435" s="89"/>
      <c r="E435" s="89"/>
      <c r="F435" s="100" t="str">
        <f t="shared" si="55"/>
        <v/>
      </c>
      <c r="T435" s="87"/>
      <c r="U435" s="87"/>
      <c r="V435" s="87"/>
      <c r="W435" s="87"/>
      <c r="X435" s="87"/>
      <c r="Y435" s="87"/>
      <c r="Z435" s="87"/>
      <c r="AA435" s="87"/>
      <c r="AB435" s="87"/>
      <c r="AI435" s="87"/>
      <c r="AJ435" s="87"/>
      <c r="AK435" s="87"/>
      <c r="AL435" s="87"/>
      <c r="AM435" s="87"/>
      <c r="AN435" s="87"/>
      <c r="AO435" s="87"/>
      <c r="AP435" s="87"/>
      <c r="AQ435" s="87"/>
      <c r="AR435" s="87"/>
      <c r="BC435" s="87"/>
      <c r="BD435" s="87"/>
      <c r="BE435" s="87"/>
      <c r="BF435" s="87"/>
      <c r="BG435" s="87"/>
      <c r="BH435" s="87"/>
    </row>
    <row r="436" spans="4:60" x14ac:dyDescent="0.3">
      <c r="D436" s="89"/>
      <c r="E436" s="89"/>
      <c r="F436" s="100" t="str">
        <f t="shared" si="55"/>
        <v/>
      </c>
      <c r="T436" s="87"/>
      <c r="U436" s="87"/>
      <c r="V436" s="87"/>
      <c r="W436" s="87"/>
      <c r="X436" s="87"/>
      <c r="Y436" s="87"/>
      <c r="Z436" s="87"/>
      <c r="AA436" s="87"/>
      <c r="AB436" s="87"/>
      <c r="AI436" s="87"/>
      <c r="AJ436" s="87"/>
      <c r="AK436" s="87"/>
      <c r="AL436" s="87"/>
      <c r="AM436" s="87"/>
      <c r="AN436" s="87"/>
      <c r="AO436" s="87"/>
      <c r="AP436" s="87"/>
      <c r="AQ436" s="87"/>
      <c r="AR436" s="87"/>
      <c r="BC436" s="87"/>
      <c r="BD436" s="87"/>
      <c r="BE436" s="87"/>
      <c r="BF436" s="87"/>
      <c r="BG436" s="87"/>
      <c r="BH436" s="87"/>
    </row>
    <row r="437" spans="4:60" x14ac:dyDescent="0.3">
      <c r="D437" s="89"/>
      <c r="E437" s="89"/>
      <c r="F437" s="100" t="str">
        <f t="shared" si="55"/>
        <v/>
      </c>
      <c r="T437" s="87"/>
      <c r="U437" s="87"/>
      <c r="V437" s="87"/>
      <c r="W437" s="87"/>
      <c r="X437" s="87"/>
      <c r="Y437" s="87"/>
      <c r="Z437" s="87"/>
      <c r="AA437" s="87"/>
      <c r="AB437" s="87"/>
      <c r="AI437" s="87"/>
      <c r="AJ437" s="87"/>
      <c r="AK437" s="87"/>
      <c r="AL437" s="87"/>
      <c r="AM437" s="87"/>
      <c r="AN437" s="87"/>
      <c r="AO437" s="87"/>
      <c r="AP437" s="87"/>
      <c r="AQ437" s="87"/>
      <c r="AR437" s="87"/>
      <c r="BC437" s="87"/>
      <c r="BD437" s="87"/>
      <c r="BE437" s="87"/>
      <c r="BF437" s="87"/>
      <c r="BG437" s="87"/>
      <c r="BH437" s="87"/>
    </row>
    <row r="438" spans="4:60" x14ac:dyDescent="0.3">
      <c r="D438" s="89"/>
      <c r="E438" s="89"/>
      <c r="F438" s="100" t="str">
        <f t="shared" si="55"/>
        <v/>
      </c>
      <c r="T438" s="87"/>
      <c r="U438" s="87"/>
      <c r="V438" s="87"/>
      <c r="W438" s="87"/>
      <c r="X438" s="87"/>
      <c r="Y438" s="87"/>
      <c r="Z438" s="87"/>
      <c r="AA438" s="87"/>
      <c r="AB438" s="87"/>
      <c r="AI438" s="87"/>
      <c r="AJ438" s="87"/>
      <c r="AK438" s="87"/>
      <c r="AL438" s="87"/>
      <c r="AM438" s="87"/>
      <c r="AN438" s="87"/>
      <c r="AO438" s="87"/>
      <c r="AP438" s="87"/>
      <c r="AQ438" s="87"/>
      <c r="AR438" s="87"/>
      <c r="BC438" s="87"/>
      <c r="BD438" s="87"/>
      <c r="BE438" s="87"/>
      <c r="BF438" s="87"/>
      <c r="BG438" s="87"/>
      <c r="BH438" s="87"/>
    </row>
    <row r="439" spans="4:60" x14ac:dyDescent="0.3">
      <c r="D439" s="89"/>
      <c r="E439" s="89"/>
      <c r="F439" s="100" t="str">
        <f t="shared" si="55"/>
        <v/>
      </c>
      <c r="T439" s="87"/>
      <c r="U439" s="87"/>
      <c r="V439" s="87"/>
      <c r="W439" s="87"/>
      <c r="X439" s="87"/>
      <c r="Y439" s="87"/>
      <c r="Z439" s="87"/>
      <c r="AA439" s="87"/>
      <c r="AB439" s="87"/>
      <c r="AI439" s="87"/>
      <c r="AJ439" s="87"/>
      <c r="AK439" s="87"/>
      <c r="AL439" s="87"/>
      <c r="AM439" s="87"/>
      <c r="AN439" s="87"/>
      <c r="AO439" s="87"/>
      <c r="AP439" s="87"/>
      <c r="AQ439" s="87"/>
      <c r="AR439" s="87"/>
      <c r="BC439" s="87"/>
      <c r="BD439" s="87"/>
      <c r="BE439" s="87"/>
      <c r="BF439" s="87"/>
      <c r="BG439" s="87"/>
      <c r="BH439" s="87"/>
    </row>
    <row r="440" spans="4:60" x14ac:dyDescent="0.3">
      <c r="D440" s="89"/>
      <c r="E440" s="89"/>
      <c r="F440" s="100" t="str">
        <f t="shared" si="55"/>
        <v/>
      </c>
      <c r="T440" s="87"/>
      <c r="U440" s="87"/>
      <c r="V440" s="87"/>
      <c r="W440" s="87"/>
      <c r="X440" s="87"/>
      <c r="Y440" s="87"/>
      <c r="Z440" s="87"/>
      <c r="AA440" s="87"/>
      <c r="AB440" s="87"/>
      <c r="AI440" s="87"/>
      <c r="AJ440" s="87"/>
      <c r="AK440" s="87"/>
      <c r="AL440" s="87"/>
      <c r="AM440" s="87"/>
      <c r="AN440" s="87"/>
      <c r="AO440" s="87"/>
      <c r="AP440" s="87"/>
      <c r="AQ440" s="87"/>
      <c r="AR440" s="87"/>
      <c r="BC440" s="87"/>
      <c r="BD440" s="87"/>
      <c r="BE440" s="87"/>
      <c r="BF440" s="87"/>
      <c r="BG440" s="87"/>
      <c r="BH440" s="87"/>
    </row>
    <row r="441" spans="4:60" x14ac:dyDescent="0.3">
      <c r="D441" s="89"/>
      <c r="E441" s="89"/>
      <c r="F441" s="100" t="str">
        <f t="shared" si="55"/>
        <v/>
      </c>
      <c r="T441" s="87"/>
      <c r="U441" s="87"/>
      <c r="V441" s="87"/>
      <c r="W441" s="87"/>
      <c r="X441" s="87"/>
      <c r="Y441" s="87"/>
      <c r="Z441" s="87"/>
      <c r="AA441" s="87"/>
      <c r="AB441" s="87"/>
      <c r="AI441" s="87"/>
      <c r="AJ441" s="87"/>
      <c r="AK441" s="87"/>
      <c r="AL441" s="87"/>
      <c r="AM441" s="87"/>
      <c r="AN441" s="87"/>
      <c r="AO441" s="87"/>
      <c r="AP441" s="87"/>
      <c r="AQ441" s="87"/>
      <c r="AR441" s="87"/>
      <c r="BC441" s="87"/>
      <c r="BD441" s="87"/>
      <c r="BE441" s="87"/>
      <c r="BF441" s="87"/>
      <c r="BG441" s="87"/>
      <c r="BH441" s="87"/>
    </row>
    <row r="442" spans="4:60" x14ac:dyDescent="0.3">
      <c r="D442" s="89"/>
      <c r="E442" s="89"/>
      <c r="F442" s="100" t="str">
        <f t="shared" si="55"/>
        <v/>
      </c>
      <c r="T442" s="87"/>
      <c r="U442" s="87"/>
      <c r="V442" s="87"/>
      <c r="W442" s="87"/>
      <c r="X442" s="87"/>
      <c r="Y442" s="87"/>
      <c r="Z442" s="87"/>
      <c r="AA442" s="87"/>
      <c r="AB442" s="87"/>
      <c r="AI442" s="87"/>
      <c r="AJ442" s="87"/>
      <c r="AK442" s="87"/>
      <c r="AL442" s="87"/>
      <c r="AM442" s="87"/>
      <c r="AN442" s="87"/>
      <c r="AO442" s="87"/>
      <c r="AP442" s="87"/>
      <c r="AQ442" s="87"/>
      <c r="AR442" s="87"/>
      <c r="BC442" s="87"/>
      <c r="BD442" s="87"/>
      <c r="BE442" s="87"/>
      <c r="BF442" s="87"/>
      <c r="BG442" s="87"/>
      <c r="BH442" s="87"/>
    </row>
    <row r="443" spans="4:60" x14ac:dyDescent="0.3">
      <c r="D443" s="89"/>
      <c r="E443" s="89"/>
      <c r="F443" s="100" t="str">
        <f t="shared" si="55"/>
        <v/>
      </c>
      <c r="T443" s="87"/>
      <c r="U443" s="87"/>
      <c r="V443" s="87"/>
      <c r="W443" s="87"/>
      <c r="X443" s="87"/>
      <c r="Y443" s="87"/>
      <c r="Z443" s="87"/>
      <c r="AA443" s="87"/>
      <c r="AB443" s="87"/>
      <c r="AI443" s="87"/>
      <c r="AJ443" s="87"/>
      <c r="AK443" s="87"/>
      <c r="AL443" s="87"/>
      <c r="AM443" s="87"/>
      <c r="AN443" s="87"/>
      <c r="AO443" s="87"/>
      <c r="AP443" s="87"/>
      <c r="AQ443" s="87"/>
      <c r="AR443" s="87"/>
      <c r="BC443" s="87"/>
      <c r="BD443" s="87"/>
      <c r="BE443" s="87"/>
      <c r="BF443" s="87"/>
      <c r="BG443" s="87"/>
      <c r="BH443" s="87"/>
    </row>
    <row r="444" spans="4:60" x14ac:dyDescent="0.3">
      <c r="D444" s="89"/>
      <c r="E444" s="89"/>
      <c r="F444" s="100" t="str">
        <f t="shared" si="55"/>
        <v/>
      </c>
      <c r="T444" s="87"/>
      <c r="U444" s="87"/>
      <c r="V444" s="87"/>
      <c r="W444" s="87"/>
      <c r="X444" s="87"/>
      <c r="Y444" s="87"/>
      <c r="Z444" s="87"/>
      <c r="AA444" s="87"/>
      <c r="AB444" s="87"/>
      <c r="AI444" s="87"/>
      <c r="AJ444" s="87"/>
      <c r="AK444" s="87"/>
      <c r="AL444" s="87"/>
      <c r="AM444" s="87"/>
      <c r="AN444" s="87"/>
      <c r="AO444" s="87"/>
      <c r="AP444" s="87"/>
      <c r="AQ444" s="87"/>
      <c r="AR444" s="87"/>
      <c r="BC444" s="87"/>
      <c r="BD444" s="87"/>
      <c r="BE444" s="87"/>
      <c r="BF444" s="87"/>
      <c r="BG444" s="87"/>
      <c r="BH444" s="87"/>
    </row>
    <row r="445" spans="4:60" x14ac:dyDescent="0.3">
      <c r="D445" s="89"/>
      <c r="E445" s="89"/>
      <c r="F445" s="100" t="str">
        <f t="shared" si="55"/>
        <v/>
      </c>
      <c r="T445" s="87"/>
      <c r="U445" s="87"/>
      <c r="V445" s="87"/>
      <c r="W445" s="87"/>
      <c r="X445" s="87"/>
      <c r="Y445" s="87"/>
      <c r="Z445" s="87"/>
      <c r="AA445" s="87"/>
      <c r="AB445" s="87"/>
      <c r="AI445" s="87"/>
      <c r="AJ445" s="87"/>
      <c r="AK445" s="87"/>
      <c r="AL445" s="87"/>
      <c r="AM445" s="87"/>
      <c r="AN445" s="87"/>
      <c r="AO445" s="87"/>
      <c r="AP445" s="87"/>
      <c r="AQ445" s="87"/>
      <c r="AR445" s="87"/>
      <c r="BC445" s="87"/>
      <c r="BD445" s="87"/>
      <c r="BE445" s="87"/>
      <c r="BF445" s="87"/>
      <c r="BG445" s="87"/>
      <c r="BH445" s="87"/>
    </row>
    <row r="446" spans="4:60" x14ac:dyDescent="0.3">
      <c r="D446" s="89"/>
      <c r="E446" s="89"/>
      <c r="F446" s="100" t="str">
        <f t="shared" si="55"/>
        <v/>
      </c>
      <c r="T446" s="87"/>
      <c r="U446" s="87"/>
      <c r="V446" s="87"/>
      <c r="W446" s="87"/>
      <c r="X446" s="87"/>
      <c r="Y446" s="87"/>
      <c r="Z446" s="87"/>
      <c r="AA446" s="87"/>
      <c r="AB446" s="87"/>
      <c r="AI446" s="87"/>
      <c r="AJ446" s="87"/>
      <c r="AK446" s="87"/>
      <c r="AL446" s="87"/>
      <c r="AM446" s="87"/>
      <c r="AN446" s="87"/>
      <c r="AO446" s="87"/>
      <c r="AP446" s="87"/>
      <c r="AQ446" s="87"/>
      <c r="AR446" s="87"/>
      <c r="BC446" s="87"/>
      <c r="BD446" s="87"/>
      <c r="BE446" s="87"/>
      <c r="BF446" s="87"/>
      <c r="BG446" s="87"/>
      <c r="BH446" s="87"/>
    </row>
    <row r="447" spans="4:60" x14ac:dyDescent="0.3">
      <c r="D447" s="89"/>
      <c r="E447" s="89"/>
      <c r="F447" s="100" t="str">
        <f t="shared" si="55"/>
        <v/>
      </c>
      <c r="T447" s="87"/>
      <c r="U447" s="87"/>
      <c r="V447" s="87"/>
      <c r="W447" s="87"/>
      <c r="X447" s="87"/>
      <c r="Y447" s="87"/>
      <c r="Z447" s="87"/>
      <c r="AA447" s="87"/>
      <c r="AB447" s="87"/>
      <c r="AI447" s="87"/>
      <c r="AJ447" s="87"/>
      <c r="AK447" s="87"/>
      <c r="AL447" s="87"/>
      <c r="AM447" s="87"/>
      <c r="AN447" s="87"/>
      <c r="AO447" s="87"/>
      <c r="AP447" s="87"/>
      <c r="AQ447" s="87"/>
      <c r="AR447" s="87"/>
      <c r="BC447" s="87"/>
      <c r="BD447" s="87"/>
      <c r="BE447" s="87"/>
      <c r="BF447" s="87"/>
      <c r="BG447" s="87"/>
      <c r="BH447" s="87"/>
    </row>
    <row r="448" spans="4:60" x14ac:dyDescent="0.3">
      <c r="D448" s="89"/>
      <c r="E448" s="89"/>
      <c r="F448" s="100" t="str">
        <f t="shared" si="55"/>
        <v/>
      </c>
      <c r="T448" s="87"/>
      <c r="U448" s="87"/>
      <c r="V448" s="87"/>
      <c r="W448" s="87"/>
      <c r="X448" s="87"/>
      <c r="Y448" s="87"/>
      <c r="Z448" s="87"/>
      <c r="AA448" s="87"/>
      <c r="AB448" s="87"/>
      <c r="AI448" s="87"/>
      <c r="AJ448" s="87"/>
      <c r="AK448" s="87"/>
      <c r="AL448" s="87"/>
      <c r="AM448" s="87"/>
      <c r="AN448" s="87"/>
      <c r="AO448" s="87"/>
      <c r="AP448" s="87"/>
      <c r="AQ448" s="87"/>
      <c r="AR448" s="87"/>
      <c r="BC448" s="87"/>
      <c r="BD448" s="87"/>
      <c r="BE448" s="87"/>
      <c r="BF448" s="87"/>
      <c r="BG448" s="87"/>
      <c r="BH448" s="87"/>
    </row>
    <row r="449" spans="4:60" x14ac:dyDescent="0.3">
      <c r="D449" s="89"/>
      <c r="E449" s="89"/>
      <c r="F449" s="100" t="str">
        <f t="shared" si="55"/>
        <v/>
      </c>
      <c r="T449" s="87"/>
      <c r="U449" s="87"/>
      <c r="V449" s="87"/>
      <c r="W449" s="87"/>
      <c r="X449" s="87"/>
      <c r="Y449" s="87"/>
      <c r="Z449" s="87"/>
      <c r="AA449" s="87"/>
      <c r="AB449" s="87"/>
      <c r="AI449" s="87"/>
      <c r="AJ449" s="87"/>
      <c r="AK449" s="87"/>
      <c r="AL449" s="87"/>
      <c r="AM449" s="87"/>
      <c r="AN449" s="87"/>
      <c r="AO449" s="87"/>
      <c r="AP449" s="87"/>
      <c r="AQ449" s="87"/>
      <c r="AR449" s="87"/>
      <c r="BC449" s="87"/>
      <c r="BD449" s="87"/>
      <c r="BE449" s="87"/>
      <c r="BF449" s="87"/>
      <c r="BG449" s="87"/>
      <c r="BH449" s="87"/>
    </row>
    <row r="450" spans="4:60" x14ac:dyDescent="0.3">
      <c r="D450" s="89"/>
      <c r="E450" s="89"/>
      <c r="F450" s="100" t="str">
        <f t="shared" si="55"/>
        <v/>
      </c>
      <c r="T450" s="87"/>
      <c r="U450" s="87"/>
      <c r="V450" s="87"/>
      <c r="W450" s="87"/>
      <c r="X450" s="87"/>
      <c r="Y450" s="87"/>
      <c r="Z450" s="87"/>
      <c r="AA450" s="87"/>
      <c r="AB450" s="87"/>
      <c r="AI450" s="87"/>
      <c r="AJ450" s="87"/>
      <c r="AK450" s="87"/>
      <c r="AL450" s="87"/>
      <c r="AM450" s="87"/>
      <c r="AN450" s="87"/>
      <c r="AO450" s="87"/>
      <c r="AP450" s="87"/>
      <c r="AQ450" s="87"/>
      <c r="AR450" s="87"/>
      <c r="BC450" s="87"/>
      <c r="BD450" s="87"/>
      <c r="BE450" s="87"/>
      <c r="BF450" s="87"/>
      <c r="BG450" s="87"/>
      <c r="BH450" s="87"/>
    </row>
    <row r="451" spans="4:60" x14ac:dyDescent="0.3">
      <c r="D451" s="89"/>
      <c r="E451" s="89"/>
      <c r="F451" s="100" t="str">
        <f t="shared" si="55"/>
        <v/>
      </c>
      <c r="T451" s="87"/>
      <c r="U451" s="87"/>
      <c r="V451" s="87"/>
      <c r="W451" s="87"/>
      <c r="X451" s="87"/>
      <c r="Y451" s="87"/>
      <c r="Z451" s="87"/>
      <c r="AA451" s="87"/>
      <c r="AB451" s="87"/>
      <c r="AI451" s="87"/>
      <c r="AJ451" s="87"/>
      <c r="AK451" s="87"/>
      <c r="AL451" s="87"/>
      <c r="AM451" s="87"/>
      <c r="AN451" s="87"/>
      <c r="AO451" s="87"/>
      <c r="AP451" s="87"/>
      <c r="AQ451" s="87"/>
      <c r="AR451" s="87"/>
      <c r="BC451" s="87"/>
      <c r="BD451" s="87"/>
      <c r="BE451" s="87"/>
      <c r="BF451" s="87"/>
      <c r="BG451" s="87"/>
      <c r="BH451" s="87"/>
    </row>
    <row r="452" spans="4:60" x14ac:dyDescent="0.3">
      <c r="D452" s="89"/>
      <c r="E452" s="89"/>
      <c r="F452" s="100" t="str">
        <f t="shared" ref="F452:F515" si="56">IF(AND(E452="",D452=""),"",IF(AND(E452="",D452&lt;&gt;""),F451,E452))</f>
        <v/>
      </c>
      <c r="T452" s="87"/>
      <c r="U452" s="87"/>
      <c r="V452" s="87"/>
      <c r="W452" s="87"/>
      <c r="X452" s="87"/>
      <c r="Y452" s="87"/>
      <c r="Z452" s="87"/>
      <c r="AA452" s="87"/>
      <c r="AB452" s="87"/>
      <c r="AI452" s="87"/>
      <c r="AJ452" s="87"/>
      <c r="AK452" s="87"/>
      <c r="AL452" s="87"/>
      <c r="AM452" s="87"/>
      <c r="AN452" s="87"/>
      <c r="AO452" s="87"/>
      <c r="AP452" s="87"/>
      <c r="AQ452" s="87"/>
      <c r="AR452" s="87"/>
      <c r="BC452" s="87"/>
      <c r="BD452" s="87"/>
      <c r="BE452" s="87"/>
      <c r="BF452" s="87"/>
      <c r="BG452" s="87"/>
      <c r="BH452" s="87"/>
    </row>
    <row r="453" spans="4:60" x14ac:dyDescent="0.3">
      <c r="D453" s="89"/>
      <c r="E453" s="89"/>
      <c r="F453" s="100" t="str">
        <f t="shared" si="56"/>
        <v/>
      </c>
      <c r="T453" s="87"/>
      <c r="U453" s="87"/>
      <c r="V453" s="87"/>
      <c r="W453" s="87"/>
      <c r="X453" s="87"/>
      <c r="Y453" s="87"/>
      <c r="Z453" s="87"/>
      <c r="AA453" s="87"/>
      <c r="AB453" s="87"/>
      <c r="AI453" s="87"/>
      <c r="AJ453" s="87"/>
      <c r="AK453" s="87"/>
      <c r="AL453" s="87"/>
      <c r="AM453" s="87"/>
      <c r="AN453" s="87"/>
      <c r="AO453" s="87"/>
      <c r="AP453" s="87"/>
      <c r="AQ453" s="87"/>
      <c r="AR453" s="87"/>
      <c r="BC453" s="87"/>
      <c r="BD453" s="87"/>
      <c r="BE453" s="87"/>
      <c r="BF453" s="87"/>
      <c r="BG453" s="87"/>
      <c r="BH453" s="87"/>
    </row>
    <row r="454" spans="4:60" x14ac:dyDescent="0.3">
      <c r="D454" s="89"/>
      <c r="E454" s="89"/>
      <c r="F454" s="100" t="str">
        <f t="shared" si="56"/>
        <v/>
      </c>
      <c r="T454" s="87"/>
      <c r="U454" s="87"/>
      <c r="V454" s="87"/>
      <c r="W454" s="87"/>
      <c r="X454" s="87"/>
      <c r="Y454" s="87"/>
      <c r="Z454" s="87"/>
      <c r="AA454" s="87"/>
      <c r="AB454" s="87"/>
      <c r="AI454" s="87"/>
      <c r="AJ454" s="87"/>
      <c r="AK454" s="87"/>
      <c r="AL454" s="87"/>
      <c r="AM454" s="87"/>
      <c r="AN454" s="87"/>
      <c r="AO454" s="87"/>
      <c r="AP454" s="87"/>
      <c r="AQ454" s="87"/>
      <c r="AR454" s="87"/>
      <c r="BC454" s="87"/>
      <c r="BD454" s="87"/>
      <c r="BE454" s="87"/>
      <c r="BF454" s="87"/>
      <c r="BG454" s="87"/>
      <c r="BH454" s="87"/>
    </row>
    <row r="455" spans="4:60" x14ac:dyDescent="0.3">
      <c r="D455" s="89"/>
      <c r="E455" s="89"/>
      <c r="F455" s="100" t="str">
        <f t="shared" si="56"/>
        <v/>
      </c>
      <c r="T455" s="87"/>
      <c r="U455" s="87"/>
      <c r="V455" s="87"/>
      <c r="W455" s="87"/>
      <c r="X455" s="87"/>
      <c r="Y455" s="87"/>
      <c r="Z455" s="87"/>
      <c r="AA455" s="87"/>
      <c r="AB455" s="87"/>
      <c r="AI455" s="87"/>
      <c r="AJ455" s="87"/>
      <c r="AK455" s="87"/>
      <c r="AL455" s="87"/>
      <c r="AM455" s="87"/>
      <c r="AN455" s="87"/>
      <c r="AO455" s="87"/>
      <c r="AP455" s="87"/>
      <c r="AQ455" s="87"/>
      <c r="AR455" s="87"/>
      <c r="BC455" s="87"/>
      <c r="BD455" s="87"/>
      <c r="BE455" s="87"/>
      <c r="BF455" s="87"/>
      <c r="BG455" s="87"/>
      <c r="BH455" s="87"/>
    </row>
    <row r="456" spans="4:60" x14ac:dyDescent="0.3">
      <c r="D456" s="89"/>
      <c r="E456" s="89"/>
      <c r="F456" s="100" t="str">
        <f t="shared" si="56"/>
        <v/>
      </c>
      <c r="T456" s="87"/>
      <c r="U456" s="87"/>
      <c r="V456" s="87"/>
      <c r="W456" s="87"/>
      <c r="X456" s="87"/>
      <c r="Y456" s="87"/>
      <c r="Z456" s="87"/>
      <c r="AA456" s="87"/>
      <c r="AB456" s="87"/>
      <c r="AI456" s="87"/>
      <c r="AJ456" s="87"/>
      <c r="AK456" s="87"/>
      <c r="AL456" s="87"/>
      <c r="AM456" s="87"/>
      <c r="AN456" s="87"/>
      <c r="AO456" s="87"/>
      <c r="AP456" s="87"/>
      <c r="AQ456" s="87"/>
      <c r="AR456" s="87"/>
      <c r="BC456" s="87"/>
      <c r="BD456" s="87"/>
      <c r="BE456" s="87"/>
      <c r="BF456" s="87"/>
      <c r="BG456" s="87"/>
      <c r="BH456" s="87"/>
    </row>
    <row r="457" spans="4:60" x14ac:dyDescent="0.3">
      <c r="D457" s="89"/>
      <c r="E457" s="89"/>
      <c r="F457" s="100" t="str">
        <f t="shared" si="56"/>
        <v/>
      </c>
      <c r="T457" s="87"/>
      <c r="U457" s="87"/>
      <c r="V457" s="87"/>
      <c r="W457" s="87"/>
      <c r="X457" s="87"/>
      <c r="Y457" s="87"/>
      <c r="Z457" s="87"/>
      <c r="AA457" s="87"/>
      <c r="AB457" s="87"/>
      <c r="AI457" s="87"/>
      <c r="AJ457" s="87"/>
      <c r="AK457" s="87"/>
      <c r="AL457" s="87"/>
      <c r="AM457" s="87"/>
      <c r="AN457" s="87"/>
      <c r="AO457" s="87"/>
      <c r="AP457" s="87"/>
      <c r="AQ457" s="87"/>
      <c r="AR457" s="87"/>
      <c r="BC457" s="87"/>
      <c r="BD457" s="87"/>
      <c r="BE457" s="87"/>
      <c r="BF457" s="87"/>
      <c r="BG457" s="87"/>
      <c r="BH457" s="87"/>
    </row>
    <row r="458" spans="4:60" x14ac:dyDescent="0.3">
      <c r="D458" s="89"/>
      <c r="E458" s="89"/>
      <c r="F458" s="100" t="str">
        <f t="shared" si="56"/>
        <v/>
      </c>
      <c r="T458" s="87"/>
      <c r="U458" s="87"/>
      <c r="V458" s="87"/>
      <c r="W458" s="87"/>
      <c r="X458" s="87"/>
      <c r="Y458" s="87"/>
      <c r="Z458" s="87"/>
      <c r="AA458" s="87"/>
      <c r="AB458" s="87"/>
      <c r="AI458" s="87"/>
      <c r="AJ458" s="87"/>
      <c r="AK458" s="87"/>
      <c r="AL458" s="87"/>
      <c r="AM458" s="87"/>
      <c r="AN458" s="87"/>
      <c r="AO458" s="87"/>
      <c r="AP458" s="87"/>
      <c r="AQ458" s="87"/>
      <c r="AR458" s="87"/>
      <c r="BC458" s="87"/>
      <c r="BD458" s="87"/>
      <c r="BE458" s="87"/>
      <c r="BF458" s="87"/>
      <c r="BG458" s="87"/>
      <c r="BH458" s="87"/>
    </row>
    <row r="459" spans="4:60" x14ac:dyDescent="0.3">
      <c r="D459" s="89"/>
      <c r="E459" s="89"/>
      <c r="F459" s="100" t="str">
        <f t="shared" si="56"/>
        <v/>
      </c>
      <c r="T459" s="87"/>
      <c r="U459" s="87"/>
      <c r="V459" s="87"/>
      <c r="W459" s="87"/>
      <c r="X459" s="87"/>
      <c r="Y459" s="87"/>
      <c r="Z459" s="87"/>
      <c r="AA459" s="87"/>
      <c r="AB459" s="87"/>
      <c r="AI459" s="87"/>
      <c r="AJ459" s="87"/>
      <c r="AK459" s="87"/>
      <c r="AL459" s="87"/>
      <c r="AM459" s="87"/>
      <c r="AN459" s="87"/>
      <c r="AO459" s="87"/>
      <c r="AP459" s="87"/>
      <c r="AQ459" s="87"/>
      <c r="AR459" s="87"/>
      <c r="BC459" s="87"/>
      <c r="BD459" s="87"/>
      <c r="BE459" s="87"/>
      <c r="BF459" s="87"/>
      <c r="BG459" s="87"/>
      <c r="BH459" s="87"/>
    </row>
    <row r="460" spans="4:60" x14ac:dyDescent="0.3">
      <c r="D460" s="89"/>
      <c r="E460" s="89"/>
      <c r="F460" s="100" t="str">
        <f t="shared" si="56"/>
        <v/>
      </c>
      <c r="T460" s="87"/>
      <c r="U460" s="87"/>
      <c r="V460" s="87"/>
      <c r="W460" s="87"/>
      <c r="X460" s="87"/>
      <c r="Y460" s="87"/>
      <c r="Z460" s="87"/>
      <c r="AA460" s="87"/>
      <c r="AB460" s="87"/>
      <c r="AI460" s="87"/>
      <c r="AJ460" s="87"/>
      <c r="AK460" s="87"/>
      <c r="AL460" s="87"/>
      <c r="AM460" s="87"/>
      <c r="AN460" s="87"/>
      <c r="AO460" s="87"/>
      <c r="AP460" s="87"/>
      <c r="AQ460" s="87"/>
      <c r="AR460" s="87"/>
      <c r="BC460" s="87"/>
      <c r="BD460" s="87"/>
      <c r="BE460" s="87"/>
      <c r="BF460" s="87"/>
      <c r="BG460" s="87"/>
      <c r="BH460" s="87"/>
    </row>
    <row r="461" spans="4:60" x14ac:dyDescent="0.3">
      <c r="D461" s="89"/>
      <c r="E461" s="89"/>
      <c r="F461" s="100" t="str">
        <f t="shared" si="56"/>
        <v/>
      </c>
      <c r="T461" s="87"/>
      <c r="U461" s="87"/>
      <c r="V461" s="87"/>
      <c r="W461" s="87"/>
      <c r="X461" s="87"/>
      <c r="Y461" s="87"/>
      <c r="Z461" s="87"/>
      <c r="AA461" s="87"/>
      <c r="AB461" s="87"/>
      <c r="AI461" s="87"/>
      <c r="AJ461" s="87"/>
      <c r="AK461" s="87"/>
      <c r="AL461" s="87"/>
      <c r="AM461" s="87"/>
      <c r="AN461" s="87"/>
      <c r="AO461" s="87"/>
      <c r="AP461" s="87"/>
      <c r="AQ461" s="87"/>
      <c r="AR461" s="87"/>
      <c r="BC461" s="87"/>
      <c r="BD461" s="87"/>
      <c r="BE461" s="87"/>
      <c r="BF461" s="87"/>
      <c r="BG461" s="87"/>
      <c r="BH461" s="87"/>
    </row>
    <row r="462" spans="4:60" x14ac:dyDescent="0.3">
      <c r="D462" s="89"/>
      <c r="E462" s="89"/>
      <c r="F462" s="100" t="str">
        <f t="shared" si="56"/>
        <v/>
      </c>
      <c r="T462" s="87"/>
      <c r="U462" s="87"/>
      <c r="V462" s="87"/>
      <c r="W462" s="87"/>
      <c r="X462" s="87"/>
      <c r="Y462" s="87"/>
      <c r="Z462" s="87"/>
      <c r="AA462" s="87"/>
      <c r="AB462" s="87"/>
      <c r="AI462" s="87"/>
      <c r="AJ462" s="87"/>
      <c r="AK462" s="87"/>
      <c r="AL462" s="87"/>
      <c r="AM462" s="87"/>
      <c r="AN462" s="87"/>
      <c r="AO462" s="87"/>
      <c r="AP462" s="87"/>
      <c r="AQ462" s="87"/>
      <c r="AR462" s="87"/>
      <c r="BC462" s="87"/>
      <c r="BD462" s="87"/>
      <c r="BE462" s="87"/>
      <c r="BF462" s="87"/>
      <c r="BG462" s="87"/>
      <c r="BH462" s="87"/>
    </row>
    <row r="463" spans="4:60" x14ac:dyDescent="0.3">
      <c r="D463" s="89"/>
      <c r="E463" s="89"/>
      <c r="F463" s="100" t="str">
        <f t="shared" si="56"/>
        <v/>
      </c>
      <c r="T463" s="87"/>
      <c r="U463" s="87"/>
      <c r="V463" s="87"/>
      <c r="W463" s="87"/>
      <c r="X463" s="87"/>
      <c r="Y463" s="87"/>
      <c r="Z463" s="87"/>
      <c r="AA463" s="87"/>
      <c r="AB463" s="87"/>
      <c r="AI463" s="87"/>
      <c r="AJ463" s="87"/>
      <c r="AK463" s="87"/>
      <c r="AL463" s="87"/>
      <c r="AM463" s="87"/>
      <c r="AN463" s="87"/>
      <c r="AO463" s="87"/>
      <c r="AP463" s="87"/>
      <c r="AQ463" s="87"/>
      <c r="AR463" s="87"/>
      <c r="BC463" s="87"/>
      <c r="BD463" s="87"/>
      <c r="BE463" s="87"/>
      <c r="BF463" s="87"/>
      <c r="BG463" s="87"/>
      <c r="BH463" s="87"/>
    </row>
    <row r="464" spans="4:60" x14ac:dyDescent="0.3">
      <c r="D464" s="89"/>
      <c r="E464" s="89"/>
      <c r="F464" s="100" t="str">
        <f t="shared" si="56"/>
        <v/>
      </c>
      <c r="T464" s="87"/>
      <c r="U464" s="87"/>
      <c r="V464" s="87"/>
      <c r="W464" s="87"/>
      <c r="X464" s="87"/>
      <c r="Y464" s="87"/>
      <c r="Z464" s="87"/>
      <c r="AA464" s="87"/>
      <c r="AB464" s="87"/>
      <c r="AI464" s="87"/>
      <c r="AJ464" s="87"/>
      <c r="AK464" s="87"/>
      <c r="AL464" s="87"/>
      <c r="AM464" s="87"/>
      <c r="AN464" s="87"/>
      <c r="AO464" s="87"/>
      <c r="AP464" s="87"/>
      <c r="AQ464" s="87"/>
      <c r="AR464" s="87"/>
      <c r="BC464" s="87"/>
      <c r="BD464" s="87"/>
      <c r="BE464" s="87"/>
      <c r="BF464" s="87"/>
      <c r="BG464" s="87"/>
      <c r="BH464" s="87"/>
    </row>
    <row r="465" spans="4:60" x14ac:dyDescent="0.3">
      <c r="D465" s="89"/>
      <c r="E465" s="89"/>
      <c r="F465" s="100" t="str">
        <f t="shared" si="56"/>
        <v/>
      </c>
      <c r="T465" s="87"/>
      <c r="U465" s="87"/>
      <c r="V465" s="87"/>
      <c r="W465" s="87"/>
      <c r="X465" s="87"/>
      <c r="Y465" s="87"/>
      <c r="Z465" s="87"/>
      <c r="AA465" s="87"/>
      <c r="AB465" s="87"/>
      <c r="AI465" s="87"/>
      <c r="AJ465" s="87"/>
      <c r="AK465" s="87"/>
      <c r="AL465" s="87"/>
      <c r="AM465" s="87"/>
      <c r="AN465" s="87"/>
      <c r="AO465" s="87"/>
      <c r="AP465" s="87"/>
      <c r="AQ465" s="87"/>
      <c r="AR465" s="87"/>
      <c r="BC465" s="87"/>
      <c r="BD465" s="87"/>
      <c r="BE465" s="87"/>
      <c r="BF465" s="87"/>
      <c r="BG465" s="87"/>
      <c r="BH465" s="87"/>
    </row>
    <row r="466" spans="4:60" x14ac:dyDescent="0.3">
      <c r="D466" s="89"/>
      <c r="E466" s="89"/>
      <c r="F466" s="100" t="str">
        <f t="shared" si="56"/>
        <v/>
      </c>
      <c r="T466" s="87"/>
      <c r="U466" s="87"/>
      <c r="V466" s="87"/>
      <c r="W466" s="87"/>
      <c r="X466" s="87"/>
      <c r="Y466" s="87"/>
      <c r="Z466" s="87"/>
      <c r="AA466" s="87"/>
      <c r="AB466" s="87"/>
      <c r="AI466" s="87"/>
      <c r="AJ466" s="87"/>
      <c r="AK466" s="87"/>
      <c r="AL466" s="87"/>
      <c r="AM466" s="87"/>
      <c r="AN466" s="87"/>
      <c r="AO466" s="87"/>
      <c r="AP466" s="87"/>
      <c r="AQ466" s="87"/>
      <c r="AR466" s="87"/>
      <c r="BC466" s="87"/>
      <c r="BD466" s="87"/>
      <c r="BE466" s="87"/>
      <c r="BF466" s="87"/>
      <c r="BG466" s="87"/>
      <c r="BH466" s="87"/>
    </row>
    <row r="467" spans="4:60" x14ac:dyDescent="0.3">
      <c r="D467" s="89"/>
      <c r="E467" s="89"/>
      <c r="F467" s="100" t="str">
        <f t="shared" si="56"/>
        <v/>
      </c>
      <c r="T467" s="87"/>
      <c r="U467" s="87"/>
      <c r="V467" s="87"/>
      <c r="W467" s="87"/>
      <c r="X467" s="87"/>
      <c r="Y467" s="87"/>
      <c r="Z467" s="87"/>
      <c r="AA467" s="87"/>
      <c r="AB467" s="87"/>
      <c r="AI467" s="87"/>
      <c r="AJ467" s="87"/>
      <c r="AK467" s="87"/>
      <c r="AL467" s="87"/>
      <c r="AM467" s="87"/>
      <c r="AN467" s="87"/>
      <c r="AO467" s="87"/>
      <c r="AP467" s="87"/>
      <c r="AQ467" s="87"/>
      <c r="AR467" s="87"/>
      <c r="BC467" s="87"/>
      <c r="BD467" s="87"/>
      <c r="BE467" s="87"/>
      <c r="BF467" s="87"/>
      <c r="BG467" s="87"/>
      <c r="BH467" s="87"/>
    </row>
    <row r="468" spans="4:60" x14ac:dyDescent="0.3">
      <c r="D468" s="89"/>
      <c r="E468" s="89"/>
      <c r="F468" s="100" t="str">
        <f t="shared" si="56"/>
        <v/>
      </c>
      <c r="T468" s="87"/>
      <c r="U468" s="87"/>
      <c r="V468" s="87"/>
      <c r="W468" s="87"/>
      <c r="X468" s="87"/>
      <c r="Y468" s="87"/>
      <c r="Z468" s="87"/>
      <c r="AA468" s="87"/>
      <c r="AB468" s="87"/>
      <c r="AI468" s="87"/>
      <c r="AJ468" s="87"/>
      <c r="AK468" s="87"/>
      <c r="AL468" s="87"/>
      <c r="AM468" s="87"/>
      <c r="AN468" s="87"/>
      <c r="AO468" s="87"/>
      <c r="AP468" s="87"/>
      <c r="AQ468" s="87"/>
      <c r="AR468" s="87"/>
      <c r="BC468" s="87"/>
      <c r="BD468" s="87"/>
      <c r="BE468" s="87"/>
      <c r="BF468" s="87"/>
      <c r="BG468" s="87"/>
      <c r="BH468" s="87"/>
    </row>
    <row r="469" spans="4:60" x14ac:dyDescent="0.3">
      <c r="D469" s="89"/>
      <c r="E469" s="89"/>
      <c r="F469" s="100" t="str">
        <f t="shared" si="56"/>
        <v/>
      </c>
      <c r="T469" s="87"/>
      <c r="U469" s="87"/>
      <c r="V469" s="87"/>
      <c r="W469" s="87"/>
      <c r="X469" s="87"/>
      <c r="Y469" s="87"/>
      <c r="Z469" s="87"/>
      <c r="AA469" s="87"/>
      <c r="AB469" s="87"/>
      <c r="AI469" s="87"/>
      <c r="AJ469" s="87"/>
      <c r="AK469" s="87"/>
      <c r="AL469" s="87"/>
      <c r="AM469" s="87"/>
      <c r="AN469" s="87"/>
      <c r="AO469" s="87"/>
      <c r="AP469" s="87"/>
      <c r="AQ469" s="87"/>
      <c r="AR469" s="87"/>
      <c r="BC469" s="87"/>
      <c r="BD469" s="87"/>
      <c r="BE469" s="87"/>
      <c r="BF469" s="87"/>
      <c r="BG469" s="87"/>
      <c r="BH469" s="87"/>
    </row>
    <row r="470" spans="4:60" x14ac:dyDescent="0.3">
      <c r="D470" s="89"/>
      <c r="E470" s="89"/>
      <c r="F470" s="100" t="str">
        <f t="shared" si="56"/>
        <v/>
      </c>
      <c r="T470" s="87"/>
      <c r="U470" s="87"/>
      <c r="V470" s="87"/>
      <c r="W470" s="87"/>
      <c r="X470" s="87"/>
      <c r="Y470" s="87"/>
      <c r="Z470" s="87"/>
      <c r="AA470" s="87"/>
      <c r="AB470" s="87"/>
      <c r="AI470" s="87"/>
      <c r="AJ470" s="87"/>
      <c r="AK470" s="87"/>
      <c r="AL470" s="87"/>
      <c r="AM470" s="87"/>
      <c r="AN470" s="87"/>
      <c r="AO470" s="87"/>
      <c r="AP470" s="87"/>
      <c r="AQ470" s="87"/>
      <c r="AR470" s="87"/>
      <c r="BC470" s="87"/>
      <c r="BD470" s="87"/>
      <c r="BE470" s="87"/>
      <c r="BF470" s="87"/>
      <c r="BG470" s="87"/>
      <c r="BH470" s="87"/>
    </row>
    <row r="471" spans="4:60" x14ac:dyDescent="0.3">
      <c r="D471" s="89"/>
      <c r="E471" s="89"/>
      <c r="F471" s="100" t="str">
        <f t="shared" si="56"/>
        <v/>
      </c>
      <c r="T471" s="87"/>
      <c r="U471" s="87"/>
      <c r="V471" s="87"/>
      <c r="W471" s="87"/>
      <c r="X471" s="87"/>
      <c r="Y471" s="87"/>
      <c r="Z471" s="87"/>
      <c r="AA471" s="87"/>
      <c r="AB471" s="87"/>
      <c r="AI471" s="87"/>
      <c r="AJ471" s="87"/>
      <c r="AK471" s="87"/>
      <c r="AL471" s="87"/>
      <c r="AM471" s="87"/>
      <c r="AN471" s="87"/>
      <c r="AO471" s="87"/>
      <c r="AP471" s="87"/>
      <c r="AQ471" s="87"/>
      <c r="AR471" s="87"/>
      <c r="BC471" s="87"/>
      <c r="BD471" s="87"/>
      <c r="BE471" s="87"/>
      <c r="BF471" s="87"/>
      <c r="BG471" s="87"/>
      <c r="BH471" s="87"/>
    </row>
    <row r="472" spans="4:60" x14ac:dyDescent="0.3">
      <c r="D472" s="89"/>
      <c r="E472" s="89"/>
      <c r="F472" s="100" t="str">
        <f t="shared" si="56"/>
        <v/>
      </c>
      <c r="T472" s="87"/>
      <c r="U472" s="87"/>
      <c r="V472" s="87"/>
      <c r="W472" s="87"/>
      <c r="X472" s="87"/>
      <c r="Y472" s="87"/>
      <c r="Z472" s="87"/>
      <c r="AA472" s="87"/>
      <c r="AB472" s="87"/>
      <c r="AI472" s="87"/>
      <c r="AJ472" s="87"/>
      <c r="AK472" s="87"/>
      <c r="AL472" s="87"/>
      <c r="AM472" s="87"/>
      <c r="AN472" s="87"/>
      <c r="AO472" s="87"/>
      <c r="AP472" s="87"/>
      <c r="AQ472" s="87"/>
      <c r="AR472" s="87"/>
      <c r="BC472" s="87"/>
      <c r="BD472" s="87"/>
      <c r="BE472" s="87"/>
      <c r="BF472" s="87"/>
      <c r="BG472" s="87"/>
      <c r="BH472" s="87"/>
    </row>
    <row r="473" spans="4:60" x14ac:dyDescent="0.3">
      <c r="D473" s="89"/>
      <c r="E473" s="89"/>
      <c r="F473" s="100" t="str">
        <f t="shared" si="56"/>
        <v/>
      </c>
      <c r="T473" s="87"/>
      <c r="U473" s="87"/>
      <c r="V473" s="87"/>
      <c r="W473" s="87"/>
      <c r="X473" s="87"/>
      <c r="Y473" s="87"/>
      <c r="Z473" s="87"/>
      <c r="AA473" s="87"/>
      <c r="AB473" s="87"/>
      <c r="AI473" s="87"/>
      <c r="AJ473" s="87"/>
      <c r="AK473" s="87"/>
      <c r="AL473" s="87"/>
      <c r="AM473" s="87"/>
      <c r="AN473" s="87"/>
      <c r="AO473" s="87"/>
      <c r="AP473" s="87"/>
      <c r="AQ473" s="87"/>
      <c r="AR473" s="87"/>
      <c r="BC473" s="87"/>
      <c r="BD473" s="87"/>
      <c r="BE473" s="87"/>
      <c r="BF473" s="87"/>
      <c r="BG473" s="87"/>
      <c r="BH473" s="87"/>
    </row>
    <row r="474" spans="4:60" x14ac:dyDescent="0.3">
      <c r="D474" s="89"/>
      <c r="E474" s="89"/>
      <c r="F474" s="100" t="str">
        <f t="shared" si="56"/>
        <v/>
      </c>
      <c r="T474" s="87"/>
      <c r="U474" s="87"/>
      <c r="V474" s="87"/>
      <c r="W474" s="87"/>
      <c r="X474" s="87"/>
      <c r="Y474" s="87"/>
      <c r="Z474" s="87"/>
      <c r="AA474" s="87"/>
      <c r="AB474" s="87"/>
      <c r="AI474" s="87"/>
      <c r="AJ474" s="87"/>
      <c r="AK474" s="87"/>
      <c r="AL474" s="87"/>
      <c r="AM474" s="87"/>
      <c r="AN474" s="87"/>
      <c r="AO474" s="87"/>
      <c r="AP474" s="87"/>
      <c r="AQ474" s="87"/>
      <c r="AR474" s="87"/>
      <c r="BC474" s="87"/>
      <c r="BD474" s="87"/>
      <c r="BE474" s="87"/>
      <c r="BF474" s="87"/>
      <c r="BG474" s="87"/>
      <c r="BH474" s="87"/>
    </row>
    <row r="475" spans="4:60" x14ac:dyDescent="0.3">
      <c r="D475" s="89"/>
      <c r="E475" s="89"/>
      <c r="F475" s="100" t="str">
        <f t="shared" si="56"/>
        <v/>
      </c>
      <c r="T475" s="87"/>
      <c r="U475" s="87"/>
      <c r="V475" s="87"/>
      <c r="W475" s="87"/>
      <c r="X475" s="87"/>
      <c r="Y475" s="87"/>
      <c r="Z475" s="87"/>
      <c r="AA475" s="87"/>
      <c r="AB475" s="87"/>
      <c r="AI475" s="87"/>
      <c r="AJ475" s="87"/>
      <c r="AK475" s="87"/>
      <c r="AL475" s="87"/>
      <c r="AM475" s="87"/>
      <c r="AN475" s="87"/>
      <c r="AO475" s="87"/>
      <c r="AP475" s="87"/>
      <c r="AQ475" s="87"/>
      <c r="AR475" s="87"/>
      <c r="BC475" s="87"/>
      <c r="BD475" s="87"/>
      <c r="BE475" s="87"/>
      <c r="BF475" s="87"/>
      <c r="BG475" s="87"/>
      <c r="BH475" s="87"/>
    </row>
    <row r="476" spans="4:60" x14ac:dyDescent="0.3">
      <c r="D476" s="89"/>
      <c r="E476" s="89"/>
      <c r="F476" s="100" t="str">
        <f t="shared" si="56"/>
        <v/>
      </c>
      <c r="T476" s="87"/>
      <c r="U476" s="87"/>
      <c r="V476" s="87"/>
      <c r="W476" s="87"/>
      <c r="X476" s="87"/>
      <c r="Y476" s="87"/>
      <c r="Z476" s="87"/>
      <c r="AA476" s="87"/>
      <c r="AB476" s="87"/>
      <c r="AI476" s="87"/>
      <c r="AJ476" s="87"/>
      <c r="AK476" s="87"/>
      <c r="AL476" s="87"/>
      <c r="AM476" s="87"/>
      <c r="AN476" s="87"/>
      <c r="AO476" s="87"/>
      <c r="AP476" s="87"/>
      <c r="AQ476" s="87"/>
      <c r="AR476" s="87"/>
      <c r="BC476" s="87"/>
      <c r="BD476" s="87"/>
      <c r="BE476" s="87"/>
      <c r="BF476" s="87"/>
      <c r="BG476" s="87"/>
      <c r="BH476" s="87"/>
    </row>
    <row r="477" spans="4:60" x14ac:dyDescent="0.3">
      <c r="D477" s="89"/>
      <c r="E477" s="89"/>
      <c r="F477" s="100" t="str">
        <f t="shared" si="56"/>
        <v/>
      </c>
      <c r="T477" s="87"/>
      <c r="U477" s="87"/>
      <c r="V477" s="87"/>
      <c r="W477" s="87"/>
      <c r="X477" s="87"/>
      <c r="Y477" s="87"/>
      <c r="Z477" s="87"/>
      <c r="AA477" s="87"/>
      <c r="AB477" s="87"/>
      <c r="AI477" s="87"/>
      <c r="AJ477" s="87"/>
      <c r="AK477" s="87"/>
      <c r="AL477" s="87"/>
      <c r="AM477" s="87"/>
      <c r="AN477" s="87"/>
      <c r="AO477" s="87"/>
      <c r="AP477" s="87"/>
      <c r="AQ477" s="87"/>
      <c r="AR477" s="87"/>
      <c r="BC477" s="87"/>
      <c r="BD477" s="87"/>
      <c r="BE477" s="87"/>
      <c r="BF477" s="87"/>
      <c r="BG477" s="87"/>
      <c r="BH477" s="87"/>
    </row>
    <row r="478" spans="4:60" x14ac:dyDescent="0.3">
      <c r="D478" s="89"/>
      <c r="E478" s="89"/>
      <c r="F478" s="100" t="str">
        <f t="shared" si="56"/>
        <v/>
      </c>
      <c r="T478" s="87"/>
      <c r="U478" s="87"/>
      <c r="V478" s="87"/>
      <c r="W478" s="87"/>
      <c r="X478" s="87"/>
      <c r="Y478" s="87"/>
      <c r="Z478" s="87"/>
      <c r="AA478" s="87"/>
      <c r="AB478" s="87"/>
      <c r="AI478" s="87"/>
      <c r="AJ478" s="87"/>
      <c r="AK478" s="87"/>
      <c r="AL478" s="87"/>
      <c r="AM478" s="87"/>
      <c r="AN478" s="87"/>
      <c r="AO478" s="87"/>
      <c r="AP478" s="87"/>
      <c r="AQ478" s="87"/>
      <c r="AR478" s="87"/>
      <c r="BC478" s="87"/>
      <c r="BD478" s="87"/>
      <c r="BE478" s="87"/>
      <c r="BF478" s="87"/>
      <c r="BG478" s="87"/>
      <c r="BH478" s="87"/>
    </row>
    <row r="479" spans="4:60" x14ac:dyDescent="0.3">
      <c r="D479" s="89"/>
      <c r="E479" s="89"/>
      <c r="F479" s="100" t="str">
        <f t="shared" si="56"/>
        <v/>
      </c>
      <c r="T479" s="87"/>
      <c r="U479" s="87"/>
      <c r="V479" s="87"/>
      <c r="W479" s="87"/>
      <c r="X479" s="87"/>
      <c r="Y479" s="87"/>
      <c r="Z479" s="87"/>
      <c r="AA479" s="87"/>
      <c r="AB479" s="87"/>
      <c r="AI479" s="87"/>
      <c r="AJ479" s="87"/>
      <c r="AK479" s="87"/>
      <c r="AL479" s="87"/>
      <c r="AM479" s="87"/>
      <c r="AN479" s="87"/>
      <c r="AO479" s="87"/>
      <c r="AP479" s="87"/>
      <c r="AQ479" s="87"/>
      <c r="AR479" s="87"/>
      <c r="BC479" s="87"/>
      <c r="BD479" s="87"/>
      <c r="BE479" s="87"/>
      <c r="BF479" s="87"/>
      <c r="BG479" s="87"/>
      <c r="BH479" s="87"/>
    </row>
    <row r="480" spans="4:60" x14ac:dyDescent="0.3">
      <c r="D480" s="89"/>
      <c r="E480" s="89"/>
      <c r="F480" s="100" t="str">
        <f t="shared" si="56"/>
        <v/>
      </c>
      <c r="T480" s="87"/>
      <c r="U480" s="87"/>
      <c r="V480" s="87"/>
      <c r="W480" s="87"/>
      <c r="X480" s="87"/>
      <c r="Y480" s="87"/>
      <c r="Z480" s="87"/>
      <c r="AA480" s="87"/>
      <c r="AB480" s="87"/>
      <c r="AI480" s="87"/>
      <c r="AJ480" s="87"/>
      <c r="AK480" s="87"/>
      <c r="AL480" s="87"/>
      <c r="AM480" s="87"/>
      <c r="AN480" s="87"/>
      <c r="AO480" s="87"/>
      <c r="AP480" s="87"/>
      <c r="AQ480" s="87"/>
      <c r="AR480" s="87"/>
      <c r="BC480" s="87"/>
      <c r="BD480" s="87"/>
      <c r="BE480" s="87"/>
      <c r="BF480" s="87"/>
      <c r="BG480" s="87"/>
      <c r="BH480" s="87"/>
    </row>
    <row r="481" spans="4:60" x14ac:dyDescent="0.3">
      <c r="D481" s="89"/>
      <c r="E481" s="89"/>
      <c r="F481" s="100" t="str">
        <f t="shared" si="56"/>
        <v/>
      </c>
      <c r="T481" s="87"/>
      <c r="U481" s="87"/>
      <c r="V481" s="87"/>
      <c r="W481" s="87"/>
      <c r="X481" s="87"/>
      <c r="Y481" s="87"/>
      <c r="Z481" s="87"/>
      <c r="AA481" s="87"/>
      <c r="AB481" s="87"/>
      <c r="AI481" s="87"/>
      <c r="AJ481" s="87"/>
      <c r="AK481" s="87"/>
      <c r="AL481" s="87"/>
      <c r="AM481" s="87"/>
      <c r="AN481" s="87"/>
      <c r="AO481" s="87"/>
      <c r="AP481" s="87"/>
      <c r="AQ481" s="87"/>
      <c r="AR481" s="87"/>
      <c r="BC481" s="87"/>
      <c r="BD481" s="87"/>
      <c r="BE481" s="87"/>
      <c r="BF481" s="87"/>
      <c r="BG481" s="87"/>
      <c r="BH481" s="87"/>
    </row>
    <row r="482" spans="4:60" x14ac:dyDescent="0.3">
      <c r="D482" s="89"/>
      <c r="E482" s="89"/>
      <c r="F482" s="100" t="str">
        <f t="shared" si="56"/>
        <v/>
      </c>
      <c r="T482" s="87"/>
      <c r="U482" s="87"/>
      <c r="V482" s="87"/>
      <c r="W482" s="87"/>
      <c r="X482" s="87"/>
      <c r="Y482" s="87"/>
      <c r="Z482" s="87"/>
      <c r="AA482" s="87"/>
      <c r="AB482" s="87"/>
      <c r="AI482" s="87"/>
      <c r="AJ482" s="87"/>
      <c r="AK482" s="87"/>
      <c r="AL482" s="87"/>
      <c r="AM482" s="87"/>
      <c r="AN482" s="87"/>
      <c r="AO482" s="87"/>
      <c r="AP482" s="87"/>
      <c r="AQ482" s="87"/>
      <c r="AR482" s="87"/>
      <c r="BC482" s="87"/>
      <c r="BD482" s="87"/>
      <c r="BE482" s="87"/>
      <c r="BF482" s="87"/>
      <c r="BG482" s="87"/>
      <c r="BH482" s="87"/>
    </row>
    <row r="483" spans="4:60" x14ac:dyDescent="0.3">
      <c r="D483" s="89"/>
      <c r="E483" s="89"/>
      <c r="F483" s="100" t="str">
        <f t="shared" si="56"/>
        <v/>
      </c>
      <c r="T483" s="87"/>
      <c r="U483" s="87"/>
      <c r="V483" s="87"/>
      <c r="W483" s="87"/>
      <c r="X483" s="87"/>
      <c r="Y483" s="87"/>
      <c r="Z483" s="87"/>
      <c r="AA483" s="87"/>
      <c r="AB483" s="87"/>
      <c r="AI483" s="87"/>
      <c r="AJ483" s="87"/>
      <c r="AK483" s="87"/>
      <c r="AL483" s="87"/>
      <c r="AM483" s="87"/>
      <c r="AN483" s="87"/>
      <c r="AO483" s="87"/>
      <c r="AP483" s="87"/>
      <c r="AQ483" s="87"/>
      <c r="AR483" s="87"/>
      <c r="BC483" s="87"/>
      <c r="BD483" s="87"/>
      <c r="BE483" s="87"/>
      <c r="BF483" s="87"/>
      <c r="BG483" s="87"/>
      <c r="BH483" s="87"/>
    </row>
    <row r="484" spans="4:60" x14ac:dyDescent="0.3">
      <c r="D484" s="89"/>
      <c r="E484" s="89"/>
      <c r="F484" s="100" t="str">
        <f t="shared" si="56"/>
        <v/>
      </c>
      <c r="T484" s="87"/>
      <c r="U484" s="87"/>
      <c r="V484" s="87"/>
      <c r="W484" s="87"/>
      <c r="X484" s="87"/>
      <c r="Y484" s="87"/>
      <c r="Z484" s="87"/>
      <c r="AA484" s="87"/>
      <c r="AB484" s="87"/>
      <c r="AI484" s="87"/>
      <c r="AJ484" s="87"/>
      <c r="AK484" s="87"/>
      <c r="AL484" s="87"/>
      <c r="AM484" s="87"/>
      <c r="AN484" s="87"/>
      <c r="AO484" s="87"/>
      <c r="AP484" s="87"/>
      <c r="AQ484" s="87"/>
      <c r="AR484" s="87"/>
      <c r="BC484" s="87"/>
      <c r="BD484" s="87"/>
      <c r="BE484" s="87"/>
      <c r="BF484" s="87"/>
      <c r="BG484" s="87"/>
      <c r="BH484" s="87"/>
    </row>
    <row r="485" spans="4:60" x14ac:dyDescent="0.3">
      <c r="D485" s="89"/>
      <c r="E485" s="89"/>
      <c r="F485" s="100" t="str">
        <f t="shared" si="56"/>
        <v/>
      </c>
      <c r="T485" s="87"/>
      <c r="U485" s="87"/>
      <c r="V485" s="87"/>
      <c r="W485" s="87"/>
      <c r="X485" s="87"/>
      <c r="Y485" s="87"/>
      <c r="Z485" s="87"/>
      <c r="AA485" s="87"/>
      <c r="AB485" s="87"/>
      <c r="AI485" s="87"/>
      <c r="AJ485" s="87"/>
      <c r="AK485" s="87"/>
      <c r="AL485" s="87"/>
      <c r="AM485" s="87"/>
      <c r="AN485" s="87"/>
      <c r="AO485" s="87"/>
      <c r="AP485" s="87"/>
      <c r="AQ485" s="87"/>
      <c r="AR485" s="87"/>
      <c r="BC485" s="87"/>
      <c r="BD485" s="87"/>
      <c r="BE485" s="87"/>
      <c r="BF485" s="87"/>
      <c r="BG485" s="87"/>
      <c r="BH485" s="87"/>
    </row>
    <row r="486" spans="4:60" x14ac:dyDescent="0.3">
      <c r="D486" s="89"/>
      <c r="E486" s="89"/>
      <c r="F486" s="100" t="str">
        <f t="shared" si="56"/>
        <v/>
      </c>
      <c r="T486" s="87"/>
      <c r="U486" s="87"/>
      <c r="V486" s="87"/>
      <c r="W486" s="87"/>
      <c r="X486" s="87"/>
      <c r="Y486" s="87"/>
      <c r="Z486" s="87"/>
      <c r="AA486" s="87"/>
      <c r="AB486" s="87"/>
      <c r="AI486" s="87"/>
      <c r="AJ486" s="87"/>
      <c r="AK486" s="87"/>
      <c r="AL486" s="87"/>
      <c r="AM486" s="87"/>
      <c r="AN486" s="87"/>
      <c r="AO486" s="87"/>
      <c r="AP486" s="87"/>
      <c r="AQ486" s="87"/>
      <c r="AR486" s="87"/>
      <c r="BC486" s="87"/>
      <c r="BD486" s="87"/>
      <c r="BE486" s="87"/>
      <c r="BF486" s="87"/>
      <c r="BG486" s="87"/>
      <c r="BH486" s="87"/>
    </row>
    <row r="487" spans="4:60" x14ac:dyDescent="0.3">
      <c r="D487" s="89"/>
      <c r="E487" s="89"/>
      <c r="F487" s="100" t="str">
        <f t="shared" si="56"/>
        <v/>
      </c>
      <c r="T487" s="87"/>
      <c r="U487" s="87"/>
      <c r="V487" s="87"/>
      <c r="W487" s="87"/>
      <c r="X487" s="87"/>
      <c r="Y487" s="87"/>
      <c r="Z487" s="87"/>
      <c r="AA487" s="87"/>
      <c r="AB487" s="87"/>
      <c r="AI487" s="87"/>
      <c r="AJ487" s="87"/>
      <c r="AK487" s="87"/>
      <c r="AL487" s="87"/>
      <c r="AM487" s="87"/>
      <c r="AN487" s="87"/>
      <c r="AO487" s="87"/>
      <c r="AP487" s="87"/>
      <c r="AQ487" s="87"/>
      <c r="AR487" s="87"/>
      <c r="BC487" s="87"/>
      <c r="BD487" s="87"/>
      <c r="BE487" s="87"/>
      <c r="BF487" s="87"/>
      <c r="BG487" s="87"/>
      <c r="BH487" s="87"/>
    </row>
    <row r="488" spans="4:60" x14ac:dyDescent="0.3">
      <c r="D488" s="89"/>
      <c r="E488" s="89"/>
      <c r="F488" s="100" t="str">
        <f t="shared" si="56"/>
        <v/>
      </c>
      <c r="T488" s="87"/>
      <c r="U488" s="87"/>
      <c r="V488" s="87"/>
      <c r="W488" s="87"/>
      <c r="X488" s="87"/>
      <c r="Y488" s="87"/>
      <c r="Z488" s="87"/>
      <c r="AA488" s="87"/>
      <c r="AB488" s="87"/>
      <c r="AI488" s="87"/>
      <c r="AJ488" s="87"/>
      <c r="AK488" s="87"/>
      <c r="AL488" s="87"/>
      <c r="AM488" s="87"/>
      <c r="AN488" s="87"/>
      <c r="AO488" s="87"/>
      <c r="AP488" s="87"/>
      <c r="AQ488" s="87"/>
      <c r="AR488" s="87"/>
      <c r="BC488" s="87"/>
      <c r="BD488" s="87"/>
      <c r="BE488" s="87"/>
      <c r="BF488" s="87"/>
      <c r="BG488" s="87"/>
      <c r="BH488" s="87"/>
    </row>
    <row r="489" spans="4:60" x14ac:dyDescent="0.3">
      <c r="D489" s="89"/>
      <c r="E489" s="89"/>
      <c r="F489" s="100" t="str">
        <f t="shared" si="56"/>
        <v/>
      </c>
      <c r="T489" s="87"/>
      <c r="U489" s="87"/>
      <c r="V489" s="87"/>
      <c r="W489" s="87"/>
      <c r="X489" s="87"/>
      <c r="Y489" s="87"/>
      <c r="Z489" s="87"/>
      <c r="AA489" s="87"/>
      <c r="AB489" s="87"/>
      <c r="AI489" s="87"/>
      <c r="AJ489" s="87"/>
      <c r="AK489" s="87"/>
      <c r="AL489" s="87"/>
      <c r="AM489" s="87"/>
      <c r="AN489" s="87"/>
      <c r="AO489" s="87"/>
      <c r="AP489" s="87"/>
      <c r="AQ489" s="87"/>
      <c r="AR489" s="87"/>
      <c r="BC489" s="87"/>
      <c r="BD489" s="87"/>
      <c r="BE489" s="87"/>
      <c r="BF489" s="87"/>
      <c r="BG489" s="87"/>
      <c r="BH489" s="87"/>
    </row>
    <row r="490" spans="4:60" x14ac:dyDescent="0.3">
      <c r="D490" s="89"/>
      <c r="E490" s="89"/>
      <c r="F490" s="100" t="str">
        <f t="shared" si="56"/>
        <v/>
      </c>
      <c r="T490" s="87"/>
      <c r="U490" s="87"/>
      <c r="V490" s="87"/>
      <c r="W490" s="87"/>
      <c r="X490" s="87"/>
      <c r="Y490" s="87"/>
      <c r="Z490" s="87"/>
      <c r="AA490" s="87"/>
      <c r="AB490" s="87"/>
      <c r="AI490" s="87"/>
      <c r="AJ490" s="87"/>
      <c r="AK490" s="87"/>
      <c r="AL490" s="87"/>
      <c r="AM490" s="87"/>
      <c r="AN490" s="87"/>
      <c r="AO490" s="87"/>
      <c r="AP490" s="87"/>
      <c r="AQ490" s="87"/>
      <c r="AR490" s="87"/>
      <c r="BC490" s="87"/>
      <c r="BD490" s="87"/>
      <c r="BE490" s="87"/>
      <c r="BF490" s="87"/>
      <c r="BG490" s="87"/>
      <c r="BH490" s="87"/>
    </row>
    <row r="491" spans="4:60" x14ac:dyDescent="0.3">
      <c r="D491" s="89"/>
      <c r="E491" s="89"/>
      <c r="F491" s="100" t="str">
        <f t="shared" si="56"/>
        <v/>
      </c>
      <c r="T491" s="87"/>
      <c r="U491" s="87"/>
      <c r="V491" s="87"/>
      <c r="W491" s="87"/>
      <c r="X491" s="87"/>
      <c r="Y491" s="87"/>
      <c r="Z491" s="87"/>
      <c r="AA491" s="87"/>
      <c r="AB491" s="87"/>
      <c r="AI491" s="87"/>
      <c r="AJ491" s="87"/>
      <c r="AK491" s="87"/>
      <c r="AL491" s="87"/>
      <c r="AM491" s="87"/>
      <c r="AN491" s="87"/>
      <c r="AO491" s="87"/>
      <c r="AP491" s="87"/>
      <c r="AQ491" s="87"/>
      <c r="AR491" s="87"/>
      <c r="BC491" s="87"/>
      <c r="BD491" s="87"/>
      <c r="BE491" s="87"/>
      <c r="BF491" s="87"/>
      <c r="BG491" s="87"/>
      <c r="BH491" s="87"/>
    </row>
    <row r="492" spans="4:60" x14ac:dyDescent="0.3">
      <c r="D492" s="89"/>
      <c r="E492" s="89"/>
      <c r="F492" s="100" t="str">
        <f t="shared" si="56"/>
        <v/>
      </c>
      <c r="T492" s="87"/>
      <c r="U492" s="87"/>
      <c r="V492" s="87"/>
      <c r="W492" s="87"/>
      <c r="X492" s="87"/>
      <c r="Y492" s="87"/>
      <c r="Z492" s="87"/>
      <c r="AA492" s="87"/>
      <c r="AB492" s="87"/>
      <c r="AI492" s="87"/>
      <c r="AJ492" s="87"/>
      <c r="AK492" s="87"/>
      <c r="AL492" s="87"/>
      <c r="AM492" s="87"/>
      <c r="AN492" s="87"/>
      <c r="AO492" s="87"/>
      <c r="AP492" s="87"/>
      <c r="AQ492" s="87"/>
      <c r="AR492" s="87"/>
      <c r="BC492" s="87"/>
      <c r="BD492" s="87"/>
      <c r="BE492" s="87"/>
      <c r="BF492" s="87"/>
      <c r="BG492" s="87"/>
      <c r="BH492" s="87"/>
    </row>
    <row r="493" spans="4:60" x14ac:dyDescent="0.3">
      <c r="D493" s="89"/>
      <c r="E493" s="89"/>
      <c r="F493" s="100" t="str">
        <f t="shared" si="56"/>
        <v/>
      </c>
      <c r="T493" s="87"/>
      <c r="U493" s="87"/>
      <c r="V493" s="87"/>
      <c r="W493" s="87"/>
      <c r="X493" s="87"/>
      <c r="Y493" s="87"/>
      <c r="Z493" s="87"/>
      <c r="AA493" s="87"/>
      <c r="AB493" s="87"/>
      <c r="AI493" s="87"/>
      <c r="AJ493" s="87"/>
      <c r="AK493" s="87"/>
      <c r="AL493" s="87"/>
      <c r="AM493" s="87"/>
      <c r="AN493" s="87"/>
      <c r="AO493" s="87"/>
      <c r="AP493" s="87"/>
      <c r="AQ493" s="87"/>
      <c r="AR493" s="87"/>
      <c r="BC493" s="87"/>
      <c r="BD493" s="87"/>
      <c r="BE493" s="87"/>
      <c r="BF493" s="87"/>
      <c r="BG493" s="87"/>
      <c r="BH493" s="87"/>
    </row>
    <row r="494" spans="4:60" x14ac:dyDescent="0.3">
      <c r="D494" s="89"/>
      <c r="E494" s="89"/>
      <c r="F494" s="100" t="str">
        <f t="shared" si="56"/>
        <v/>
      </c>
      <c r="T494" s="87"/>
      <c r="U494" s="87"/>
      <c r="V494" s="87"/>
      <c r="W494" s="87"/>
      <c r="X494" s="87"/>
      <c r="Y494" s="87"/>
      <c r="Z494" s="87"/>
      <c r="AA494" s="87"/>
      <c r="AB494" s="87"/>
      <c r="AI494" s="87"/>
      <c r="AJ494" s="87"/>
      <c r="AK494" s="87"/>
      <c r="AL494" s="87"/>
      <c r="AM494" s="87"/>
      <c r="AN494" s="87"/>
      <c r="AO494" s="87"/>
      <c r="AP494" s="87"/>
      <c r="AQ494" s="87"/>
      <c r="AR494" s="87"/>
      <c r="BC494" s="87"/>
      <c r="BD494" s="87"/>
      <c r="BE494" s="87"/>
      <c r="BF494" s="87"/>
      <c r="BG494" s="87"/>
      <c r="BH494" s="87"/>
    </row>
    <row r="495" spans="4:60" x14ac:dyDescent="0.3">
      <c r="D495" s="89"/>
      <c r="E495" s="89"/>
      <c r="F495" s="100" t="str">
        <f t="shared" si="56"/>
        <v/>
      </c>
      <c r="T495" s="87"/>
      <c r="U495" s="87"/>
      <c r="V495" s="87"/>
      <c r="W495" s="87"/>
      <c r="X495" s="87"/>
      <c r="Y495" s="87"/>
      <c r="Z495" s="87"/>
      <c r="AA495" s="87"/>
      <c r="AB495" s="87"/>
      <c r="AI495" s="87"/>
      <c r="AJ495" s="87"/>
      <c r="AK495" s="87"/>
      <c r="AL495" s="87"/>
      <c r="AM495" s="87"/>
      <c r="AN495" s="87"/>
      <c r="AO495" s="87"/>
      <c r="AP495" s="87"/>
      <c r="AQ495" s="87"/>
      <c r="AR495" s="87"/>
      <c r="BC495" s="87"/>
      <c r="BD495" s="87"/>
      <c r="BE495" s="87"/>
      <c r="BF495" s="87"/>
      <c r="BG495" s="87"/>
      <c r="BH495" s="87"/>
    </row>
    <row r="496" spans="4:60" x14ac:dyDescent="0.3">
      <c r="D496" s="89"/>
      <c r="E496" s="89"/>
      <c r="F496" s="100" t="str">
        <f t="shared" si="56"/>
        <v/>
      </c>
      <c r="T496" s="87"/>
      <c r="U496" s="87"/>
      <c r="V496" s="87"/>
      <c r="W496" s="87"/>
      <c r="X496" s="87"/>
      <c r="Y496" s="87"/>
      <c r="Z496" s="87"/>
      <c r="AA496" s="87"/>
      <c r="AB496" s="87"/>
      <c r="AI496" s="87"/>
      <c r="AJ496" s="87"/>
      <c r="AK496" s="87"/>
      <c r="AL496" s="87"/>
      <c r="AM496" s="87"/>
      <c r="AN496" s="87"/>
      <c r="AO496" s="87"/>
      <c r="AP496" s="87"/>
      <c r="AQ496" s="87"/>
      <c r="AR496" s="87"/>
      <c r="BC496" s="87"/>
      <c r="BD496" s="87"/>
      <c r="BE496" s="87"/>
      <c r="BF496" s="87"/>
      <c r="BG496" s="87"/>
      <c r="BH496" s="87"/>
    </row>
    <row r="497" spans="4:60" x14ac:dyDescent="0.3">
      <c r="D497" s="89"/>
      <c r="E497" s="89"/>
      <c r="F497" s="100" t="str">
        <f t="shared" si="56"/>
        <v/>
      </c>
      <c r="T497" s="87"/>
      <c r="U497" s="87"/>
      <c r="V497" s="87"/>
      <c r="W497" s="87"/>
      <c r="X497" s="87"/>
      <c r="Y497" s="87"/>
      <c r="Z497" s="87"/>
      <c r="AA497" s="87"/>
      <c r="AB497" s="87"/>
      <c r="AI497" s="87"/>
      <c r="AJ497" s="87"/>
      <c r="AK497" s="87"/>
      <c r="AL497" s="87"/>
      <c r="AM497" s="87"/>
      <c r="AN497" s="87"/>
      <c r="AO497" s="87"/>
      <c r="AP497" s="87"/>
      <c r="AQ497" s="87"/>
      <c r="AR497" s="87"/>
      <c r="BC497" s="87"/>
      <c r="BD497" s="87"/>
      <c r="BE497" s="87"/>
      <c r="BF497" s="87"/>
      <c r="BG497" s="87"/>
      <c r="BH497" s="87"/>
    </row>
    <row r="498" spans="4:60" x14ac:dyDescent="0.3">
      <c r="D498" s="89"/>
      <c r="E498" s="89"/>
      <c r="F498" s="100" t="str">
        <f t="shared" si="56"/>
        <v/>
      </c>
      <c r="T498" s="87"/>
      <c r="U498" s="87"/>
      <c r="V498" s="87"/>
      <c r="W498" s="87"/>
      <c r="X498" s="87"/>
      <c r="Y498" s="87"/>
      <c r="Z498" s="87"/>
      <c r="AA498" s="87"/>
      <c r="AB498" s="87"/>
      <c r="AI498" s="87"/>
      <c r="AJ498" s="87"/>
      <c r="AK498" s="87"/>
      <c r="AL498" s="87"/>
      <c r="AM498" s="87"/>
      <c r="AN498" s="87"/>
      <c r="AO498" s="87"/>
      <c r="AP498" s="87"/>
      <c r="AQ498" s="87"/>
      <c r="AR498" s="87"/>
      <c r="BC498" s="87"/>
      <c r="BD498" s="87"/>
      <c r="BE498" s="87"/>
      <c r="BF498" s="87"/>
      <c r="BG498" s="87"/>
      <c r="BH498" s="87"/>
    </row>
    <row r="499" spans="4:60" x14ac:dyDescent="0.3">
      <c r="D499" s="89"/>
      <c r="E499" s="89"/>
      <c r="F499" s="100" t="str">
        <f t="shared" si="56"/>
        <v/>
      </c>
      <c r="T499" s="87"/>
      <c r="U499" s="87"/>
      <c r="V499" s="87"/>
      <c r="W499" s="87"/>
      <c r="X499" s="87"/>
      <c r="Y499" s="87"/>
      <c r="Z499" s="87"/>
      <c r="AA499" s="87"/>
      <c r="AB499" s="87"/>
      <c r="AI499" s="87"/>
      <c r="AJ499" s="87"/>
      <c r="AK499" s="87"/>
      <c r="AL499" s="87"/>
      <c r="AM499" s="87"/>
      <c r="AN499" s="87"/>
      <c r="AO499" s="87"/>
      <c r="AP499" s="87"/>
      <c r="AQ499" s="87"/>
      <c r="AR499" s="87"/>
      <c r="BC499" s="87"/>
      <c r="BD499" s="87"/>
      <c r="BE499" s="87"/>
      <c r="BF499" s="87"/>
      <c r="BG499" s="87"/>
      <c r="BH499" s="87"/>
    </row>
    <row r="500" spans="4:60" x14ac:dyDescent="0.3">
      <c r="D500" s="89"/>
      <c r="E500" s="89"/>
      <c r="F500" s="100" t="str">
        <f t="shared" si="56"/>
        <v/>
      </c>
      <c r="T500" s="87"/>
      <c r="U500" s="87"/>
      <c r="V500" s="87"/>
      <c r="W500" s="87"/>
      <c r="X500" s="87"/>
      <c r="Y500" s="87"/>
      <c r="Z500" s="87"/>
      <c r="AA500" s="87"/>
      <c r="AB500" s="87"/>
      <c r="AI500" s="87"/>
      <c r="AJ500" s="87"/>
      <c r="AK500" s="87"/>
      <c r="AL500" s="87"/>
      <c r="AM500" s="87"/>
      <c r="AN500" s="87"/>
      <c r="AO500" s="87"/>
      <c r="AP500" s="87"/>
      <c r="AQ500" s="87"/>
      <c r="AR500" s="87"/>
      <c r="BC500" s="87"/>
      <c r="BD500" s="87"/>
      <c r="BE500" s="87"/>
      <c r="BF500" s="87"/>
      <c r="BG500" s="87"/>
      <c r="BH500" s="87"/>
    </row>
    <row r="501" spans="4:60" x14ac:dyDescent="0.3">
      <c r="D501" s="89"/>
      <c r="E501" s="89"/>
      <c r="F501" s="100" t="str">
        <f t="shared" si="56"/>
        <v/>
      </c>
      <c r="T501" s="87"/>
      <c r="U501" s="87"/>
      <c r="V501" s="87"/>
      <c r="W501" s="87"/>
      <c r="X501" s="87"/>
      <c r="Y501" s="87"/>
      <c r="Z501" s="87"/>
      <c r="AA501" s="87"/>
      <c r="AB501" s="87"/>
      <c r="AI501" s="87"/>
      <c r="AJ501" s="87"/>
      <c r="AK501" s="87"/>
      <c r="AL501" s="87"/>
      <c r="AM501" s="87"/>
      <c r="AN501" s="87"/>
      <c r="AO501" s="87"/>
      <c r="AP501" s="87"/>
      <c r="AQ501" s="87"/>
      <c r="AR501" s="87"/>
      <c r="BC501" s="87"/>
      <c r="BD501" s="87"/>
      <c r="BE501" s="87"/>
      <c r="BF501" s="87"/>
      <c r="BG501" s="87"/>
      <c r="BH501" s="87"/>
    </row>
    <row r="502" spans="4:60" x14ac:dyDescent="0.3">
      <c r="D502" s="89"/>
      <c r="E502" s="89"/>
      <c r="F502" s="100" t="str">
        <f t="shared" si="56"/>
        <v/>
      </c>
      <c r="T502" s="87"/>
      <c r="U502" s="87"/>
      <c r="V502" s="87"/>
      <c r="W502" s="87"/>
      <c r="X502" s="87"/>
      <c r="Y502" s="87"/>
      <c r="Z502" s="87"/>
      <c r="AA502" s="87"/>
      <c r="AB502" s="87"/>
      <c r="AI502" s="87"/>
      <c r="AJ502" s="87"/>
      <c r="AK502" s="87"/>
      <c r="AL502" s="87"/>
      <c r="AM502" s="87"/>
      <c r="AN502" s="87"/>
      <c r="AO502" s="87"/>
      <c r="AP502" s="87"/>
      <c r="AQ502" s="87"/>
      <c r="AR502" s="87"/>
      <c r="BC502" s="87"/>
      <c r="BD502" s="87"/>
      <c r="BE502" s="87"/>
      <c r="BF502" s="87"/>
      <c r="BG502" s="87"/>
      <c r="BH502" s="87"/>
    </row>
    <row r="503" spans="4:60" x14ac:dyDescent="0.3">
      <c r="D503" s="89"/>
      <c r="E503" s="89"/>
      <c r="F503" s="100" t="str">
        <f t="shared" si="56"/>
        <v/>
      </c>
      <c r="T503" s="87"/>
      <c r="U503" s="87"/>
      <c r="V503" s="87"/>
      <c r="W503" s="87"/>
      <c r="X503" s="87"/>
      <c r="Y503" s="87"/>
      <c r="Z503" s="87"/>
      <c r="AA503" s="87"/>
      <c r="AB503" s="87"/>
      <c r="AI503" s="87"/>
      <c r="AJ503" s="87"/>
      <c r="AK503" s="87"/>
      <c r="AL503" s="87"/>
      <c r="AM503" s="87"/>
      <c r="AN503" s="87"/>
      <c r="AO503" s="87"/>
      <c r="AP503" s="87"/>
      <c r="AQ503" s="87"/>
      <c r="AR503" s="87"/>
      <c r="BC503" s="87"/>
      <c r="BD503" s="87"/>
      <c r="BE503" s="87"/>
      <c r="BF503" s="87"/>
      <c r="BG503" s="87"/>
      <c r="BH503" s="87"/>
    </row>
    <row r="504" spans="4:60" x14ac:dyDescent="0.3">
      <c r="D504" s="89"/>
      <c r="E504" s="89"/>
      <c r="F504" s="100" t="str">
        <f t="shared" si="56"/>
        <v/>
      </c>
      <c r="T504" s="87"/>
      <c r="U504" s="87"/>
      <c r="V504" s="87"/>
      <c r="W504" s="87"/>
      <c r="X504" s="87"/>
      <c r="Y504" s="87"/>
      <c r="Z504" s="87"/>
      <c r="AA504" s="87"/>
      <c r="AB504" s="87"/>
      <c r="AI504" s="87"/>
      <c r="AJ504" s="87"/>
      <c r="AK504" s="87"/>
      <c r="AL504" s="87"/>
      <c r="AM504" s="87"/>
      <c r="AN504" s="87"/>
      <c r="AO504" s="87"/>
      <c r="AP504" s="87"/>
      <c r="AQ504" s="87"/>
      <c r="AR504" s="87"/>
      <c r="BC504" s="87"/>
      <c r="BD504" s="87"/>
      <c r="BE504" s="87"/>
      <c r="BF504" s="87"/>
      <c r="BG504" s="87"/>
      <c r="BH504" s="87"/>
    </row>
    <row r="505" spans="4:60" x14ac:dyDescent="0.3">
      <c r="D505" s="89"/>
      <c r="E505" s="89"/>
      <c r="F505" s="100" t="str">
        <f t="shared" si="56"/>
        <v/>
      </c>
      <c r="T505" s="87"/>
      <c r="U505" s="87"/>
      <c r="V505" s="87"/>
      <c r="W505" s="87"/>
      <c r="X505" s="87"/>
      <c r="Y505" s="87"/>
      <c r="Z505" s="87"/>
      <c r="AA505" s="87"/>
      <c r="AB505" s="87"/>
      <c r="AI505" s="87"/>
      <c r="AJ505" s="87"/>
      <c r="AK505" s="87"/>
      <c r="AL505" s="87"/>
      <c r="AM505" s="87"/>
      <c r="AN505" s="87"/>
      <c r="AO505" s="87"/>
      <c r="AP505" s="87"/>
      <c r="AQ505" s="87"/>
      <c r="AR505" s="87"/>
      <c r="BC505" s="87"/>
      <c r="BD505" s="87"/>
      <c r="BE505" s="87"/>
      <c r="BF505" s="87"/>
      <c r="BG505" s="87"/>
      <c r="BH505" s="87"/>
    </row>
    <row r="506" spans="4:60" x14ac:dyDescent="0.3">
      <c r="D506" s="89"/>
      <c r="E506" s="89"/>
      <c r="F506" s="100" t="str">
        <f t="shared" si="56"/>
        <v/>
      </c>
      <c r="T506" s="87"/>
      <c r="U506" s="87"/>
      <c r="V506" s="87"/>
      <c r="W506" s="87"/>
      <c r="X506" s="87"/>
      <c r="Y506" s="87"/>
      <c r="Z506" s="87"/>
      <c r="AA506" s="87"/>
      <c r="AB506" s="87"/>
      <c r="AI506" s="87"/>
      <c r="AJ506" s="87"/>
      <c r="AK506" s="87"/>
      <c r="AL506" s="87"/>
      <c r="AM506" s="87"/>
      <c r="AN506" s="87"/>
      <c r="AO506" s="87"/>
      <c r="AP506" s="87"/>
      <c r="AQ506" s="87"/>
      <c r="AR506" s="87"/>
      <c r="BC506" s="87"/>
      <c r="BD506" s="87"/>
      <c r="BE506" s="87"/>
      <c r="BF506" s="87"/>
      <c r="BG506" s="87"/>
      <c r="BH506" s="87"/>
    </row>
    <row r="507" spans="4:60" x14ac:dyDescent="0.3">
      <c r="D507" s="89"/>
      <c r="E507" s="89"/>
      <c r="F507" s="100" t="str">
        <f t="shared" si="56"/>
        <v/>
      </c>
      <c r="T507" s="87"/>
      <c r="U507" s="87"/>
      <c r="V507" s="87"/>
      <c r="W507" s="87"/>
      <c r="X507" s="87"/>
      <c r="Y507" s="87"/>
      <c r="Z507" s="87"/>
      <c r="AA507" s="87"/>
      <c r="AB507" s="87"/>
      <c r="AI507" s="87"/>
      <c r="AJ507" s="87"/>
      <c r="AK507" s="87"/>
      <c r="AL507" s="87"/>
      <c r="AM507" s="87"/>
      <c r="AN507" s="87"/>
      <c r="AO507" s="87"/>
      <c r="AP507" s="87"/>
      <c r="AQ507" s="87"/>
      <c r="AR507" s="87"/>
      <c r="BC507" s="87"/>
      <c r="BD507" s="87"/>
      <c r="BE507" s="87"/>
      <c r="BF507" s="87"/>
      <c r="BG507" s="87"/>
      <c r="BH507" s="87"/>
    </row>
    <row r="508" spans="4:60" x14ac:dyDescent="0.3">
      <c r="D508" s="89"/>
      <c r="E508" s="89"/>
      <c r="F508" s="100" t="str">
        <f t="shared" si="56"/>
        <v/>
      </c>
      <c r="T508" s="87"/>
      <c r="U508" s="87"/>
      <c r="V508" s="87"/>
      <c r="W508" s="87"/>
      <c r="X508" s="87"/>
      <c r="Y508" s="87"/>
      <c r="Z508" s="87"/>
      <c r="AA508" s="87"/>
      <c r="AB508" s="87"/>
      <c r="AI508" s="87"/>
      <c r="AJ508" s="87"/>
      <c r="AK508" s="87"/>
      <c r="AL508" s="87"/>
      <c r="AM508" s="87"/>
      <c r="AN508" s="87"/>
      <c r="AO508" s="87"/>
      <c r="AP508" s="87"/>
      <c r="AQ508" s="87"/>
      <c r="AR508" s="87"/>
      <c r="BC508" s="87"/>
      <c r="BD508" s="87"/>
      <c r="BE508" s="87"/>
      <c r="BF508" s="87"/>
      <c r="BG508" s="87"/>
      <c r="BH508" s="87"/>
    </row>
    <row r="509" spans="4:60" x14ac:dyDescent="0.3">
      <c r="D509" s="89"/>
      <c r="E509" s="89"/>
      <c r="F509" s="100" t="str">
        <f t="shared" si="56"/>
        <v/>
      </c>
      <c r="T509" s="87"/>
      <c r="U509" s="87"/>
      <c r="V509" s="87"/>
      <c r="W509" s="87"/>
      <c r="X509" s="87"/>
      <c r="Y509" s="87"/>
      <c r="Z509" s="87"/>
      <c r="AA509" s="87"/>
      <c r="AB509" s="87"/>
      <c r="AI509" s="87"/>
      <c r="AJ509" s="87"/>
      <c r="AK509" s="87"/>
      <c r="AL509" s="87"/>
      <c r="AM509" s="87"/>
      <c r="AN509" s="87"/>
      <c r="AO509" s="87"/>
      <c r="AP509" s="87"/>
      <c r="AQ509" s="87"/>
      <c r="AR509" s="87"/>
      <c r="BC509" s="87"/>
      <c r="BD509" s="87"/>
      <c r="BE509" s="87"/>
      <c r="BF509" s="87"/>
      <c r="BG509" s="87"/>
      <c r="BH509" s="87"/>
    </row>
    <row r="510" spans="4:60" x14ac:dyDescent="0.3">
      <c r="D510" s="89"/>
      <c r="E510" s="89"/>
      <c r="F510" s="100" t="str">
        <f t="shared" si="56"/>
        <v/>
      </c>
      <c r="T510" s="87"/>
      <c r="U510" s="87"/>
      <c r="V510" s="87"/>
      <c r="W510" s="87"/>
      <c r="X510" s="87"/>
      <c r="Y510" s="87"/>
      <c r="Z510" s="87"/>
      <c r="AA510" s="87"/>
      <c r="AB510" s="87"/>
      <c r="AI510" s="87"/>
      <c r="AJ510" s="87"/>
      <c r="AK510" s="87"/>
      <c r="AL510" s="87"/>
      <c r="AM510" s="87"/>
      <c r="AN510" s="87"/>
      <c r="AO510" s="87"/>
      <c r="AP510" s="87"/>
      <c r="AQ510" s="87"/>
      <c r="AR510" s="87"/>
      <c r="BC510" s="87"/>
      <c r="BD510" s="87"/>
      <c r="BE510" s="87"/>
      <c r="BF510" s="87"/>
      <c r="BG510" s="87"/>
      <c r="BH510" s="87"/>
    </row>
    <row r="511" spans="4:60" x14ac:dyDescent="0.3">
      <c r="D511" s="89"/>
      <c r="E511" s="89"/>
      <c r="F511" s="100" t="str">
        <f t="shared" si="56"/>
        <v/>
      </c>
      <c r="T511" s="87"/>
      <c r="U511" s="87"/>
      <c r="V511" s="87"/>
      <c r="W511" s="87"/>
      <c r="X511" s="87"/>
      <c r="Y511" s="87"/>
      <c r="Z511" s="87"/>
      <c r="AA511" s="87"/>
      <c r="AB511" s="87"/>
      <c r="AI511" s="87"/>
      <c r="AJ511" s="87"/>
      <c r="AK511" s="87"/>
      <c r="AL511" s="87"/>
      <c r="AM511" s="87"/>
      <c r="AN511" s="87"/>
      <c r="AO511" s="87"/>
      <c r="AP511" s="87"/>
      <c r="AQ511" s="87"/>
      <c r="AR511" s="87"/>
      <c r="BC511" s="87"/>
      <c r="BD511" s="87"/>
      <c r="BE511" s="87"/>
      <c r="BF511" s="87"/>
      <c r="BG511" s="87"/>
      <c r="BH511" s="87"/>
    </row>
    <row r="512" spans="4:60" x14ac:dyDescent="0.3">
      <c r="D512" s="89"/>
      <c r="E512" s="89"/>
      <c r="F512" s="100" t="str">
        <f t="shared" si="56"/>
        <v/>
      </c>
      <c r="T512" s="87"/>
      <c r="U512" s="87"/>
      <c r="V512" s="87"/>
      <c r="W512" s="87"/>
      <c r="X512" s="87"/>
      <c r="Y512" s="87"/>
      <c r="Z512" s="87"/>
      <c r="AA512" s="87"/>
      <c r="AB512" s="87"/>
      <c r="AI512" s="87"/>
      <c r="AJ512" s="87"/>
      <c r="AK512" s="87"/>
      <c r="AL512" s="87"/>
      <c r="AM512" s="87"/>
      <c r="AN512" s="87"/>
      <c r="AO512" s="87"/>
      <c r="AP512" s="87"/>
      <c r="AQ512" s="87"/>
      <c r="AR512" s="87"/>
      <c r="BC512" s="87"/>
      <c r="BD512" s="87"/>
      <c r="BE512" s="87"/>
      <c r="BF512" s="87"/>
      <c r="BG512" s="87"/>
      <c r="BH512" s="87"/>
    </row>
    <row r="513" spans="4:60" x14ac:dyDescent="0.3">
      <c r="D513" s="89"/>
      <c r="E513" s="89"/>
      <c r="F513" s="100" t="str">
        <f t="shared" si="56"/>
        <v/>
      </c>
      <c r="T513" s="87"/>
      <c r="U513" s="87"/>
      <c r="V513" s="87"/>
      <c r="W513" s="87"/>
      <c r="X513" s="87"/>
      <c r="Y513" s="87"/>
      <c r="Z513" s="87"/>
      <c r="AA513" s="87"/>
      <c r="AB513" s="87"/>
      <c r="AI513" s="87"/>
      <c r="AJ513" s="87"/>
      <c r="AK513" s="87"/>
      <c r="AL513" s="87"/>
      <c r="AM513" s="87"/>
      <c r="AN513" s="87"/>
      <c r="AO513" s="87"/>
      <c r="AP513" s="87"/>
      <c r="AQ513" s="87"/>
      <c r="AR513" s="87"/>
      <c r="BC513" s="87"/>
      <c r="BD513" s="87"/>
      <c r="BE513" s="87"/>
      <c r="BF513" s="87"/>
      <c r="BG513" s="87"/>
      <c r="BH513" s="87"/>
    </row>
    <row r="514" spans="4:60" x14ac:dyDescent="0.3">
      <c r="D514" s="89"/>
      <c r="E514" s="89"/>
      <c r="F514" s="100" t="str">
        <f t="shared" si="56"/>
        <v/>
      </c>
      <c r="T514" s="87"/>
      <c r="U514" s="87"/>
      <c r="V514" s="87"/>
      <c r="W514" s="87"/>
      <c r="X514" s="87"/>
      <c r="Y514" s="87"/>
      <c r="Z514" s="87"/>
      <c r="AA514" s="87"/>
      <c r="AB514" s="87"/>
      <c r="AI514" s="87"/>
      <c r="AJ514" s="87"/>
      <c r="AK514" s="87"/>
      <c r="AL514" s="87"/>
      <c r="AM514" s="87"/>
      <c r="AN514" s="87"/>
      <c r="AO514" s="87"/>
      <c r="AP514" s="87"/>
      <c r="AQ514" s="87"/>
      <c r="AR514" s="87"/>
      <c r="BC514" s="87"/>
      <c r="BD514" s="87"/>
      <c r="BE514" s="87"/>
      <c r="BF514" s="87"/>
      <c r="BG514" s="87"/>
      <c r="BH514" s="87"/>
    </row>
    <row r="515" spans="4:60" x14ac:dyDescent="0.3">
      <c r="D515" s="89"/>
      <c r="E515" s="89"/>
      <c r="F515" s="100" t="str">
        <f t="shared" si="56"/>
        <v/>
      </c>
      <c r="T515" s="87"/>
      <c r="U515" s="87"/>
      <c r="V515" s="87"/>
      <c r="W515" s="87"/>
      <c r="X515" s="87"/>
      <c r="Y515" s="87"/>
      <c r="Z515" s="87"/>
      <c r="AA515" s="87"/>
      <c r="AB515" s="87"/>
      <c r="AI515" s="87"/>
      <c r="AJ515" s="87"/>
      <c r="AK515" s="87"/>
      <c r="AL515" s="87"/>
      <c r="AM515" s="87"/>
      <c r="AN515" s="87"/>
      <c r="AO515" s="87"/>
      <c r="AP515" s="87"/>
      <c r="AQ515" s="87"/>
      <c r="AR515" s="87"/>
      <c r="BC515" s="87"/>
      <c r="BD515" s="87"/>
      <c r="BE515" s="87"/>
      <c r="BF515" s="87"/>
      <c r="BG515" s="87"/>
      <c r="BH515" s="87"/>
    </row>
    <row r="516" spans="4:60" x14ac:dyDescent="0.3">
      <c r="D516" s="89"/>
      <c r="E516" s="89"/>
      <c r="F516" s="100" t="str">
        <f t="shared" ref="F516:F579" si="57">IF(AND(E516="",D516=""),"",IF(AND(E516="",D516&lt;&gt;""),F515,E516))</f>
        <v/>
      </c>
      <c r="T516" s="87"/>
      <c r="U516" s="87"/>
      <c r="V516" s="87"/>
      <c r="W516" s="87"/>
      <c r="X516" s="87"/>
      <c r="Y516" s="87"/>
      <c r="Z516" s="87"/>
      <c r="AA516" s="87"/>
      <c r="AB516" s="87"/>
      <c r="AI516" s="87"/>
      <c r="AJ516" s="87"/>
      <c r="AK516" s="87"/>
      <c r="AL516" s="87"/>
      <c r="AM516" s="87"/>
      <c r="AN516" s="87"/>
      <c r="AO516" s="87"/>
      <c r="AP516" s="87"/>
      <c r="AQ516" s="87"/>
      <c r="AR516" s="87"/>
      <c r="BC516" s="87"/>
      <c r="BD516" s="87"/>
      <c r="BE516" s="87"/>
      <c r="BF516" s="87"/>
      <c r="BG516" s="87"/>
      <c r="BH516" s="87"/>
    </row>
    <row r="517" spans="4:60" x14ac:dyDescent="0.3">
      <c r="D517" s="89"/>
      <c r="E517" s="89"/>
      <c r="F517" s="100" t="str">
        <f t="shared" si="57"/>
        <v/>
      </c>
      <c r="T517" s="87"/>
      <c r="U517" s="87"/>
      <c r="V517" s="87"/>
      <c r="W517" s="87"/>
      <c r="X517" s="87"/>
      <c r="Y517" s="87"/>
      <c r="Z517" s="87"/>
      <c r="AA517" s="87"/>
      <c r="AB517" s="87"/>
      <c r="AI517" s="87"/>
      <c r="AJ517" s="87"/>
      <c r="AK517" s="87"/>
      <c r="AL517" s="87"/>
      <c r="AM517" s="87"/>
      <c r="AN517" s="87"/>
      <c r="AO517" s="87"/>
      <c r="AP517" s="87"/>
      <c r="AQ517" s="87"/>
      <c r="AR517" s="87"/>
      <c r="BC517" s="87"/>
      <c r="BD517" s="87"/>
      <c r="BE517" s="87"/>
      <c r="BF517" s="87"/>
      <c r="BG517" s="87"/>
      <c r="BH517" s="87"/>
    </row>
    <row r="518" spans="4:60" x14ac:dyDescent="0.3">
      <c r="D518" s="89"/>
      <c r="E518" s="89"/>
      <c r="F518" s="100" t="str">
        <f t="shared" si="57"/>
        <v/>
      </c>
      <c r="T518" s="87"/>
      <c r="U518" s="87"/>
      <c r="V518" s="87"/>
      <c r="W518" s="87"/>
      <c r="X518" s="87"/>
      <c r="Y518" s="87"/>
      <c r="Z518" s="87"/>
      <c r="AA518" s="87"/>
      <c r="AB518" s="87"/>
      <c r="AI518" s="87"/>
      <c r="AJ518" s="87"/>
      <c r="AK518" s="87"/>
      <c r="AL518" s="87"/>
      <c r="AM518" s="87"/>
      <c r="AN518" s="87"/>
      <c r="AO518" s="87"/>
      <c r="AP518" s="87"/>
      <c r="AQ518" s="87"/>
      <c r="AR518" s="87"/>
      <c r="BC518" s="87"/>
      <c r="BD518" s="87"/>
      <c r="BE518" s="87"/>
      <c r="BF518" s="87"/>
      <c r="BG518" s="87"/>
      <c r="BH518" s="87"/>
    </row>
    <row r="519" spans="4:60" x14ac:dyDescent="0.3">
      <c r="D519" s="89"/>
      <c r="E519" s="89"/>
      <c r="F519" s="100" t="str">
        <f t="shared" si="57"/>
        <v/>
      </c>
      <c r="T519" s="87"/>
      <c r="U519" s="87"/>
      <c r="V519" s="87"/>
      <c r="W519" s="87"/>
      <c r="X519" s="87"/>
      <c r="Y519" s="87"/>
      <c r="Z519" s="87"/>
      <c r="AA519" s="87"/>
      <c r="AB519" s="87"/>
      <c r="AI519" s="87"/>
      <c r="AJ519" s="87"/>
      <c r="AK519" s="87"/>
      <c r="AL519" s="87"/>
      <c r="AM519" s="87"/>
      <c r="AN519" s="87"/>
      <c r="AO519" s="87"/>
      <c r="AP519" s="87"/>
      <c r="AQ519" s="87"/>
      <c r="AR519" s="87"/>
      <c r="BC519" s="87"/>
      <c r="BD519" s="87"/>
      <c r="BE519" s="87"/>
      <c r="BF519" s="87"/>
      <c r="BG519" s="87"/>
      <c r="BH519" s="87"/>
    </row>
    <row r="520" spans="4:60" x14ac:dyDescent="0.3">
      <c r="D520" s="89"/>
      <c r="E520" s="89"/>
      <c r="F520" s="100" t="str">
        <f t="shared" si="57"/>
        <v/>
      </c>
      <c r="T520" s="87"/>
      <c r="U520" s="87"/>
      <c r="V520" s="87"/>
      <c r="W520" s="87"/>
      <c r="X520" s="87"/>
      <c r="Y520" s="87"/>
      <c r="Z520" s="87"/>
      <c r="AA520" s="87"/>
      <c r="AB520" s="87"/>
      <c r="AI520" s="87"/>
      <c r="AJ520" s="87"/>
      <c r="AK520" s="87"/>
      <c r="AL520" s="87"/>
      <c r="AM520" s="87"/>
      <c r="AN520" s="87"/>
      <c r="AO520" s="87"/>
      <c r="AP520" s="87"/>
      <c r="AQ520" s="87"/>
      <c r="AR520" s="87"/>
      <c r="BC520" s="87"/>
      <c r="BD520" s="87"/>
      <c r="BE520" s="87"/>
      <c r="BF520" s="87"/>
      <c r="BG520" s="87"/>
      <c r="BH520" s="87"/>
    </row>
    <row r="521" spans="4:60" x14ac:dyDescent="0.3">
      <c r="D521" s="89"/>
      <c r="E521" s="89"/>
      <c r="F521" s="100" t="str">
        <f t="shared" si="57"/>
        <v/>
      </c>
      <c r="T521" s="87"/>
      <c r="U521" s="87"/>
      <c r="V521" s="87"/>
      <c r="W521" s="87"/>
      <c r="X521" s="87"/>
      <c r="Y521" s="87"/>
      <c r="Z521" s="87"/>
      <c r="AA521" s="87"/>
      <c r="AB521" s="87"/>
      <c r="AI521" s="87"/>
      <c r="AJ521" s="87"/>
      <c r="AK521" s="87"/>
      <c r="AL521" s="87"/>
      <c r="AM521" s="87"/>
      <c r="AN521" s="87"/>
      <c r="AO521" s="87"/>
      <c r="AP521" s="87"/>
      <c r="AQ521" s="87"/>
      <c r="AR521" s="87"/>
      <c r="BC521" s="87"/>
      <c r="BD521" s="87"/>
      <c r="BE521" s="87"/>
      <c r="BF521" s="87"/>
      <c r="BG521" s="87"/>
      <c r="BH521" s="87"/>
    </row>
    <row r="522" spans="4:60" x14ac:dyDescent="0.3">
      <c r="D522" s="89"/>
      <c r="E522" s="89"/>
      <c r="F522" s="100" t="str">
        <f t="shared" si="57"/>
        <v/>
      </c>
      <c r="T522" s="87"/>
      <c r="U522" s="87"/>
      <c r="V522" s="87"/>
      <c r="W522" s="87"/>
      <c r="X522" s="87"/>
      <c r="Y522" s="87"/>
      <c r="Z522" s="87"/>
      <c r="AA522" s="87"/>
      <c r="AB522" s="87"/>
      <c r="AI522" s="87"/>
      <c r="AJ522" s="87"/>
      <c r="AK522" s="87"/>
      <c r="AL522" s="87"/>
      <c r="AM522" s="87"/>
      <c r="AN522" s="87"/>
      <c r="AO522" s="87"/>
      <c r="AP522" s="87"/>
      <c r="AQ522" s="87"/>
      <c r="AR522" s="87"/>
      <c r="BC522" s="87"/>
      <c r="BD522" s="87"/>
      <c r="BE522" s="87"/>
      <c r="BF522" s="87"/>
      <c r="BG522" s="87"/>
      <c r="BH522" s="87"/>
    </row>
    <row r="523" spans="4:60" x14ac:dyDescent="0.3">
      <c r="D523" s="89"/>
      <c r="E523" s="89"/>
      <c r="F523" s="100" t="str">
        <f t="shared" si="57"/>
        <v/>
      </c>
      <c r="T523" s="87"/>
      <c r="U523" s="87"/>
      <c r="V523" s="87"/>
      <c r="W523" s="87"/>
      <c r="X523" s="87"/>
      <c r="Y523" s="87"/>
      <c r="Z523" s="87"/>
      <c r="AA523" s="87"/>
      <c r="AB523" s="87"/>
      <c r="AI523" s="87"/>
      <c r="AJ523" s="87"/>
      <c r="AK523" s="87"/>
      <c r="AL523" s="87"/>
      <c r="AM523" s="87"/>
      <c r="AN523" s="87"/>
      <c r="AO523" s="87"/>
      <c r="AP523" s="87"/>
      <c r="AQ523" s="87"/>
      <c r="AR523" s="87"/>
      <c r="BC523" s="87"/>
      <c r="BD523" s="87"/>
      <c r="BE523" s="87"/>
      <c r="BF523" s="87"/>
      <c r="BG523" s="87"/>
      <c r="BH523" s="87"/>
    </row>
    <row r="524" spans="4:60" x14ac:dyDescent="0.3">
      <c r="D524" s="89"/>
      <c r="E524" s="89"/>
      <c r="F524" s="100" t="str">
        <f t="shared" si="57"/>
        <v/>
      </c>
      <c r="T524" s="87"/>
      <c r="U524" s="87"/>
      <c r="V524" s="87"/>
      <c r="W524" s="87"/>
      <c r="X524" s="87"/>
      <c r="Y524" s="87"/>
      <c r="Z524" s="87"/>
      <c r="AA524" s="87"/>
      <c r="AB524" s="87"/>
      <c r="AI524" s="87"/>
      <c r="AJ524" s="87"/>
      <c r="AK524" s="87"/>
      <c r="AL524" s="87"/>
      <c r="AM524" s="87"/>
      <c r="AN524" s="87"/>
      <c r="AO524" s="87"/>
      <c r="AP524" s="87"/>
      <c r="AQ524" s="87"/>
      <c r="AR524" s="87"/>
      <c r="BC524" s="87"/>
      <c r="BD524" s="87"/>
      <c r="BE524" s="87"/>
      <c r="BF524" s="87"/>
      <c r="BG524" s="87"/>
      <c r="BH524" s="87"/>
    </row>
    <row r="525" spans="4:60" x14ac:dyDescent="0.3">
      <c r="D525" s="89"/>
      <c r="E525" s="89"/>
      <c r="F525" s="100" t="str">
        <f t="shared" si="57"/>
        <v/>
      </c>
      <c r="T525" s="87"/>
      <c r="U525" s="87"/>
      <c r="V525" s="87"/>
      <c r="W525" s="87"/>
      <c r="X525" s="87"/>
      <c r="Y525" s="87"/>
      <c r="Z525" s="87"/>
      <c r="AA525" s="87"/>
      <c r="AB525" s="87"/>
      <c r="AI525" s="87"/>
      <c r="AJ525" s="87"/>
      <c r="AK525" s="87"/>
      <c r="AL525" s="87"/>
      <c r="AM525" s="87"/>
      <c r="AN525" s="87"/>
      <c r="AO525" s="87"/>
      <c r="AP525" s="87"/>
      <c r="AQ525" s="87"/>
      <c r="AR525" s="87"/>
      <c r="BC525" s="87"/>
      <c r="BD525" s="87"/>
      <c r="BE525" s="87"/>
      <c r="BF525" s="87"/>
      <c r="BG525" s="87"/>
      <c r="BH525" s="87"/>
    </row>
    <row r="526" spans="4:60" x14ac:dyDescent="0.3">
      <c r="D526" s="89"/>
      <c r="E526" s="89"/>
      <c r="F526" s="100" t="str">
        <f t="shared" si="57"/>
        <v/>
      </c>
      <c r="T526" s="87"/>
      <c r="U526" s="87"/>
      <c r="V526" s="87"/>
      <c r="W526" s="87"/>
      <c r="X526" s="87"/>
      <c r="Y526" s="87"/>
      <c r="Z526" s="87"/>
      <c r="AA526" s="87"/>
      <c r="AB526" s="87"/>
      <c r="AI526" s="87"/>
      <c r="AJ526" s="87"/>
      <c r="AK526" s="87"/>
      <c r="AL526" s="87"/>
      <c r="AM526" s="87"/>
      <c r="AN526" s="87"/>
      <c r="AO526" s="87"/>
      <c r="AP526" s="87"/>
      <c r="AQ526" s="87"/>
      <c r="AR526" s="87"/>
      <c r="BC526" s="87"/>
      <c r="BD526" s="87"/>
      <c r="BE526" s="87"/>
      <c r="BF526" s="87"/>
      <c r="BG526" s="87"/>
      <c r="BH526" s="87"/>
    </row>
    <row r="527" spans="4:60" x14ac:dyDescent="0.3">
      <c r="D527" s="89"/>
      <c r="E527" s="89"/>
      <c r="F527" s="100" t="str">
        <f t="shared" si="57"/>
        <v/>
      </c>
      <c r="T527" s="87"/>
      <c r="U527" s="87"/>
      <c r="V527" s="87"/>
      <c r="W527" s="87"/>
      <c r="X527" s="87"/>
      <c r="Y527" s="87"/>
      <c r="Z527" s="87"/>
      <c r="AA527" s="87"/>
      <c r="AB527" s="87"/>
      <c r="AI527" s="87"/>
      <c r="AJ527" s="87"/>
      <c r="AK527" s="87"/>
      <c r="AL527" s="87"/>
      <c r="AM527" s="87"/>
      <c r="AN527" s="87"/>
      <c r="AO527" s="87"/>
      <c r="AP527" s="87"/>
      <c r="AQ527" s="87"/>
      <c r="AR527" s="87"/>
      <c r="BC527" s="87"/>
      <c r="BD527" s="87"/>
      <c r="BE527" s="87"/>
      <c r="BF527" s="87"/>
      <c r="BG527" s="87"/>
      <c r="BH527" s="87"/>
    </row>
    <row r="528" spans="4:60" x14ac:dyDescent="0.3">
      <c r="D528" s="89"/>
      <c r="E528" s="89"/>
      <c r="F528" s="100" t="str">
        <f t="shared" si="57"/>
        <v/>
      </c>
      <c r="T528" s="87"/>
      <c r="U528" s="87"/>
      <c r="V528" s="87"/>
      <c r="W528" s="87"/>
      <c r="X528" s="87"/>
      <c r="Y528" s="87"/>
      <c r="Z528" s="87"/>
      <c r="AA528" s="87"/>
      <c r="AB528" s="87"/>
      <c r="AI528" s="87"/>
      <c r="AJ528" s="87"/>
      <c r="AK528" s="87"/>
      <c r="AL528" s="87"/>
      <c r="AM528" s="87"/>
      <c r="AN528" s="87"/>
      <c r="AO528" s="87"/>
      <c r="AP528" s="87"/>
      <c r="AQ528" s="87"/>
      <c r="AR528" s="87"/>
      <c r="BC528" s="87"/>
      <c r="BD528" s="87"/>
      <c r="BE528" s="87"/>
      <c r="BF528" s="87"/>
      <c r="BG528" s="87"/>
      <c r="BH528" s="87"/>
    </row>
    <row r="529" spans="4:60" x14ac:dyDescent="0.3">
      <c r="D529" s="89"/>
      <c r="E529" s="89"/>
      <c r="F529" s="100" t="str">
        <f t="shared" si="57"/>
        <v/>
      </c>
      <c r="T529" s="87"/>
      <c r="U529" s="87"/>
      <c r="V529" s="87"/>
      <c r="W529" s="87"/>
      <c r="X529" s="87"/>
      <c r="Y529" s="87"/>
      <c r="Z529" s="87"/>
      <c r="AA529" s="87"/>
      <c r="AB529" s="87"/>
      <c r="AI529" s="87"/>
      <c r="AJ529" s="87"/>
      <c r="AK529" s="87"/>
      <c r="AL529" s="87"/>
      <c r="AM529" s="87"/>
      <c r="AN529" s="87"/>
      <c r="AO529" s="87"/>
      <c r="AP529" s="87"/>
      <c r="AQ529" s="87"/>
      <c r="AR529" s="87"/>
      <c r="BC529" s="87"/>
      <c r="BD529" s="87"/>
      <c r="BE529" s="87"/>
      <c r="BF529" s="87"/>
      <c r="BG529" s="87"/>
      <c r="BH529" s="87"/>
    </row>
    <row r="530" spans="4:60" x14ac:dyDescent="0.3">
      <c r="D530" s="89"/>
      <c r="E530" s="89"/>
      <c r="F530" s="100" t="str">
        <f t="shared" si="57"/>
        <v/>
      </c>
      <c r="T530" s="87"/>
      <c r="U530" s="87"/>
      <c r="V530" s="87"/>
      <c r="W530" s="87"/>
      <c r="X530" s="87"/>
      <c r="Y530" s="87"/>
      <c r="Z530" s="87"/>
      <c r="AA530" s="87"/>
      <c r="AB530" s="87"/>
      <c r="AI530" s="87"/>
      <c r="AJ530" s="87"/>
      <c r="AK530" s="87"/>
      <c r="AL530" s="87"/>
      <c r="AM530" s="87"/>
      <c r="AN530" s="87"/>
      <c r="AO530" s="87"/>
      <c r="AP530" s="87"/>
      <c r="AQ530" s="87"/>
      <c r="AR530" s="87"/>
      <c r="BC530" s="87"/>
      <c r="BD530" s="87"/>
      <c r="BE530" s="87"/>
      <c r="BF530" s="87"/>
      <c r="BG530" s="87"/>
      <c r="BH530" s="87"/>
    </row>
    <row r="531" spans="4:60" x14ac:dyDescent="0.3">
      <c r="D531" s="89"/>
      <c r="E531" s="89"/>
      <c r="F531" s="100" t="str">
        <f t="shared" si="57"/>
        <v/>
      </c>
      <c r="T531" s="87"/>
      <c r="U531" s="87"/>
      <c r="V531" s="87"/>
      <c r="W531" s="87"/>
      <c r="X531" s="87"/>
      <c r="Y531" s="87"/>
      <c r="Z531" s="87"/>
      <c r="AA531" s="87"/>
      <c r="AB531" s="87"/>
      <c r="AI531" s="87"/>
      <c r="AJ531" s="87"/>
      <c r="AK531" s="87"/>
      <c r="AL531" s="87"/>
      <c r="AM531" s="87"/>
      <c r="AN531" s="87"/>
      <c r="AO531" s="87"/>
      <c r="AP531" s="87"/>
      <c r="AQ531" s="87"/>
      <c r="AR531" s="87"/>
      <c r="BC531" s="87"/>
      <c r="BD531" s="87"/>
      <c r="BE531" s="87"/>
      <c r="BF531" s="87"/>
      <c r="BG531" s="87"/>
      <c r="BH531" s="87"/>
    </row>
    <row r="532" spans="4:60" x14ac:dyDescent="0.3">
      <c r="D532" s="89"/>
      <c r="E532" s="89"/>
      <c r="F532" s="100" t="str">
        <f t="shared" si="57"/>
        <v/>
      </c>
      <c r="T532" s="87"/>
      <c r="U532" s="87"/>
      <c r="V532" s="87"/>
      <c r="W532" s="87"/>
      <c r="X532" s="87"/>
      <c r="Y532" s="87"/>
      <c r="Z532" s="87"/>
      <c r="AA532" s="87"/>
      <c r="AB532" s="87"/>
      <c r="AI532" s="87"/>
      <c r="AJ532" s="87"/>
      <c r="AK532" s="87"/>
      <c r="AL532" s="87"/>
      <c r="AM532" s="87"/>
      <c r="AN532" s="87"/>
      <c r="AO532" s="87"/>
      <c r="AP532" s="87"/>
      <c r="AQ532" s="87"/>
      <c r="AR532" s="87"/>
      <c r="BC532" s="87"/>
      <c r="BD532" s="87"/>
      <c r="BE532" s="87"/>
      <c r="BF532" s="87"/>
      <c r="BG532" s="87"/>
      <c r="BH532" s="87"/>
    </row>
    <row r="533" spans="4:60" x14ac:dyDescent="0.3">
      <c r="D533" s="89"/>
      <c r="E533" s="89"/>
      <c r="F533" s="100" t="str">
        <f t="shared" si="57"/>
        <v/>
      </c>
      <c r="T533" s="87"/>
      <c r="U533" s="87"/>
      <c r="V533" s="87"/>
      <c r="W533" s="87"/>
      <c r="X533" s="87"/>
      <c r="Y533" s="87"/>
      <c r="Z533" s="87"/>
      <c r="AA533" s="87"/>
      <c r="AB533" s="87"/>
      <c r="AI533" s="87"/>
      <c r="AJ533" s="87"/>
      <c r="AK533" s="87"/>
      <c r="AL533" s="87"/>
      <c r="AM533" s="87"/>
      <c r="AN533" s="87"/>
      <c r="AO533" s="87"/>
      <c r="AP533" s="87"/>
      <c r="AQ533" s="87"/>
      <c r="AR533" s="87"/>
      <c r="BC533" s="87"/>
      <c r="BD533" s="87"/>
      <c r="BE533" s="87"/>
      <c r="BF533" s="87"/>
      <c r="BG533" s="87"/>
      <c r="BH533" s="87"/>
    </row>
    <row r="534" spans="4:60" x14ac:dyDescent="0.3">
      <c r="D534" s="89"/>
      <c r="E534" s="89"/>
      <c r="F534" s="100" t="str">
        <f t="shared" si="57"/>
        <v/>
      </c>
      <c r="T534" s="87"/>
      <c r="U534" s="87"/>
      <c r="V534" s="87"/>
      <c r="W534" s="87"/>
      <c r="X534" s="87"/>
      <c r="Y534" s="87"/>
      <c r="Z534" s="87"/>
      <c r="AA534" s="87"/>
      <c r="AB534" s="87"/>
      <c r="AI534" s="87"/>
      <c r="AJ534" s="87"/>
      <c r="AK534" s="87"/>
      <c r="AL534" s="87"/>
      <c r="AM534" s="87"/>
      <c r="AN534" s="87"/>
      <c r="AO534" s="87"/>
      <c r="AP534" s="87"/>
      <c r="AQ534" s="87"/>
      <c r="AR534" s="87"/>
      <c r="BC534" s="87"/>
      <c r="BD534" s="87"/>
      <c r="BE534" s="87"/>
      <c r="BF534" s="87"/>
      <c r="BG534" s="87"/>
      <c r="BH534" s="87"/>
    </row>
    <row r="535" spans="4:60" x14ac:dyDescent="0.3">
      <c r="D535" s="89"/>
      <c r="E535" s="89"/>
      <c r="F535" s="100" t="str">
        <f t="shared" si="57"/>
        <v/>
      </c>
      <c r="T535" s="87"/>
      <c r="U535" s="87"/>
      <c r="V535" s="87"/>
      <c r="W535" s="87"/>
      <c r="X535" s="87"/>
      <c r="Y535" s="87"/>
      <c r="Z535" s="87"/>
      <c r="AA535" s="87"/>
      <c r="AB535" s="87"/>
      <c r="AI535" s="87"/>
      <c r="AJ535" s="87"/>
      <c r="AK535" s="87"/>
      <c r="AL535" s="87"/>
      <c r="AM535" s="87"/>
      <c r="AN535" s="87"/>
      <c r="AO535" s="87"/>
      <c r="AP535" s="87"/>
      <c r="AQ535" s="87"/>
      <c r="AR535" s="87"/>
      <c r="BC535" s="87"/>
      <c r="BD535" s="87"/>
      <c r="BE535" s="87"/>
      <c r="BF535" s="87"/>
      <c r="BG535" s="87"/>
      <c r="BH535" s="87"/>
    </row>
    <row r="536" spans="4:60" x14ac:dyDescent="0.3">
      <c r="D536" s="89"/>
      <c r="E536" s="89"/>
      <c r="F536" s="100" t="str">
        <f t="shared" si="57"/>
        <v/>
      </c>
      <c r="T536" s="87"/>
      <c r="U536" s="87"/>
      <c r="V536" s="87"/>
      <c r="W536" s="87"/>
      <c r="X536" s="87"/>
      <c r="Y536" s="87"/>
      <c r="Z536" s="87"/>
      <c r="AA536" s="87"/>
      <c r="AB536" s="87"/>
      <c r="AI536" s="87"/>
      <c r="AJ536" s="87"/>
      <c r="AK536" s="87"/>
      <c r="AL536" s="87"/>
      <c r="AM536" s="87"/>
      <c r="AN536" s="87"/>
      <c r="AO536" s="87"/>
      <c r="AP536" s="87"/>
      <c r="AQ536" s="87"/>
      <c r="AR536" s="87"/>
      <c r="BC536" s="87"/>
      <c r="BD536" s="87"/>
      <c r="BE536" s="87"/>
      <c r="BF536" s="87"/>
      <c r="BG536" s="87"/>
      <c r="BH536" s="87"/>
    </row>
    <row r="537" spans="4:60" x14ac:dyDescent="0.3">
      <c r="D537" s="89"/>
      <c r="E537" s="89"/>
      <c r="F537" s="100" t="str">
        <f t="shared" si="57"/>
        <v/>
      </c>
      <c r="T537" s="87"/>
      <c r="U537" s="87"/>
      <c r="V537" s="87"/>
      <c r="W537" s="87"/>
      <c r="X537" s="87"/>
      <c r="Y537" s="87"/>
      <c r="Z537" s="87"/>
      <c r="AA537" s="87"/>
      <c r="AB537" s="87"/>
      <c r="AI537" s="87"/>
      <c r="AJ537" s="87"/>
      <c r="AK537" s="87"/>
      <c r="AL537" s="87"/>
      <c r="AM537" s="87"/>
      <c r="AN537" s="87"/>
      <c r="AO537" s="87"/>
      <c r="AP537" s="87"/>
      <c r="AQ537" s="87"/>
      <c r="AR537" s="87"/>
      <c r="BC537" s="87"/>
      <c r="BD537" s="87"/>
      <c r="BE537" s="87"/>
      <c r="BF537" s="87"/>
      <c r="BG537" s="87"/>
      <c r="BH537" s="87"/>
    </row>
    <row r="538" spans="4:60" x14ac:dyDescent="0.3">
      <c r="D538" s="89"/>
      <c r="E538" s="89"/>
      <c r="F538" s="100" t="str">
        <f t="shared" si="57"/>
        <v/>
      </c>
      <c r="T538" s="87"/>
      <c r="U538" s="87"/>
      <c r="V538" s="87"/>
      <c r="W538" s="87"/>
      <c r="X538" s="87"/>
      <c r="Y538" s="87"/>
      <c r="Z538" s="87"/>
      <c r="AA538" s="87"/>
      <c r="AB538" s="87"/>
      <c r="AI538" s="87"/>
      <c r="AJ538" s="87"/>
      <c r="AK538" s="87"/>
      <c r="AL538" s="87"/>
      <c r="AM538" s="87"/>
      <c r="AN538" s="87"/>
      <c r="AO538" s="87"/>
      <c r="AP538" s="87"/>
      <c r="AQ538" s="87"/>
      <c r="AR538" s="87"/>
      <c r="BC538" s="87"/>
      <c r="BD538" s="87"/>
      <c r="BE538" s="87"/>
      <c r="BF538" s="87"/>
      <c r="BG538" s="87"/>
      <c r="BH538" s="87"/>
    </row>
    <row r="539" spans="4:60" x14ac:dyDescent="0.3">
      <c r="D539" s="89"/>
      <c r="E539" s="89"/>
      <c r="F539" s="100" t="str">
        <f t="shared" si="57"/>
        <v/>
      </c>
      <c r="T539" s="87"/>
      <c r="U539" s="87"/>
      <c r="V539" s="87"/>
      <c r="W539" s="87"/>
      <c r="X539" s="87"/>
      <c r="Y539" s="87"/>
      <c r="Z539" s="87"/>
      <c r="AA539" s="87"/>
      <c r="AB539" s="87"/>
      <c r="AI539" s="87"/>
      <c r="AJ539" s="87"/>
      <c r="AK539" s="87"/>
      <c r="AL539" s="87"/>
      <c r="AM539" s="87"/>
      <c r="AN539" s="87"/>
      <c r="AO539" s="87"/>
      <c r="AP539" s="87"/>
      <c r="AQ539" s="87"/>
      <c r="AR539" s="87"/>
      <c r="BC539" s="87"/>
      <c r="BD539" s="87"/>
      <c r="BE539" s="87"/>
      <c r="BF539" s="87"/>
      <c r="BG539" s="87"/>
      <c r="BH539" s="87"/>
    </row>
    <row r="540" spans="4:60" x14ac:dyDescent="0.3">
      <c r="D540" s="89"/>
      <c r="E540" s="89"/>
      <c r="F540" s="100" t="str">
        <f t="shared" si="57"/>
        <v/>
      </c>
      <c r="T540" s="87"/>
      <c r="U540" s="87"/>
      <c r="V540" s="87"/>
      <c r="W540" s="87"/>
      <c r="X540" s="87"/>
      <c r="Y540" s="87"/>
      <c r="Z540" s="87"/>
      <c r="AA540" s="87"/>
      <c r="AB540" s="87"/>
      <c r="AI540" s="87"/>
      <c r="AJ540" s="87"/>
      <c r="AK540" s="87"/>
      <c r="AL540" s="87"/>
      <c r="AM540" s="87"/>
      <c r="AN540" s="87"/>
      <c r="AO540" s="87"/>
      <c r="AP540" s="87"/>
      <c r="AQ540" s="87"/>
      <c r="AR540" s="87"/>
      <c r="BC540" s="87"/>
      <c r="BD540" s="87"/>
      <c r="BE540" s="87"/>
      <c r="BF540" s="87"/>
      <c r="BG540" s="87"/>
      <c r="BH540" s="87"/>
    </row>
    <row r="541" spans="4:60" x14ac:dyDescent="0.3">
      <c r="D541" s="89"/>
      <c r="E541" s="89"/>
      <c r="F541" s="100" t="str">
        <f t="shared" si="57"/>
        <v/>
      </c>
      <c r="T541" s="87"/>
      <c r="U541" s="87"/>
      <c r="V541" s="87"/>
      <c r="W541" s="87"/>
      <c r="X541" s="87"/>
      <c r="Y541" s="87"/>
      <c r="Z541" s="87"/>
      <c r="AA541" s="87"/>
      <c r="AB541" s="87"/>
      <c r="AI541" s="87"/>
      <c r="AJ541" s="87"/>
      <c r="AK541" s="87"/>
      <c r="AL541" s="87"/>
      <c r="AM541" s="87"/>
      <c r="AN541" s="87"/>
      <c r="AO541" s="87"/>
      <c r="AP541" s="87"/>
      <c r="AQ541" s="87"/>
      <c r="AR541" s="87"/>
      <c r="BC541" s="87"/>
      <c r="BD541" s="87"/>
      <c r="BE541" s="87"/>
      <c r="BF541" s="87"/>
      <c r="BG541" s="87"/>
      <c r="BH541" s="87"/>
    </row>
    <row r="542" spans="4:60" x14ac:dyDescent="0.3">
      <c r="D542" s="89"/>
      <c r="E542" s="89"/>
      <c r="F542" s="100" t="str">
        <f t="shared" si="57"/>
        <v/>
      </c>
      <c r="T542" s="87"/>
      <c r="U542" s="87"/>
      <c r="V542" s="87"/>
      <c r="W542" s="87"/>
      <c r="X542" s="87"/>
      <c r="Y542" s="87"/>
      <c r="Z542" s="87"/>
      <c r="AA542" s="87"/>
      <c r="AB542" s="87"/>
      <c r="AI542" s="87"/>
      <c r="AJ542" s="87"/>
      <c r="AK542" s="87"/>
      <c r="AL542" s="87"/>
      <c r="AM542" s="87"/>
      <c r="AN542" s="87"/>
      <c r="AO542" s="87"/>
      <c r="AP542" s="87"/>
      <c r="AQ542" s="87"/>
      <c r="AR542" s="87"/>
      <c r="BC542" s="87"/>
      <c r="BD542" s="87"/>
      <c r="BE542" s="87"/>
      <c r="BF542" s="87"/>
      <c r="BG542" s="87"/>
      <c r="BH542" s="87"/>
    </row>
    <row r="543" spans="4:60" x14ac:dyDescent="0.3">
      <c r="D543" s="89"/>
      <c r="E543" s="89"/>
      <c r="F543" s="100" t="str">
        <f t="shared" si="57"/>
        <v/>
      </c>
      <c r="T543" s="87"/>
      <c r="U543" s="87"/>
      <c r="V543" s="87"/>
      <c r="W543" s="87"/>
      <c r="X543" s="87"/>
      <c r="Y543" s="87"/>
      <c r="Z543" s="87"/>
      <c r="AA543" s="87"/>
      <c r="AB543" s="87"/>
      <c r="AI543" s="87"/>
      <c r="AJ543" s="87"/>
      <c r="AK543" s="87"/>
      <c r="AL543" s="87"/>
      <c r="AM543" s="87"/>
      <c r="AN543" s="87"/>
      <c r="AO543" s="87"/>
      <c r="AP543" s="87"/>
      <c r="AQ543" s="87"/>
      <c r="AR543" s="87"/>
      <c r="BC543" s="87"/>
      <c r="BD543" s="87"/>
      <c r="BE543" s="87"/>
      <c r="BF543" s="87"/>
      <c r="BG543" s="87"/>
      <c r="BH543" s="87"/>
    </row>
    <row r="544" spans="4:60" x14ac:dyDescent="0.3">
      <c r="D544" s="89"/>
      <c r="E544" s="89"/>
      <c r="F544" s="100" t="str">
        <f t="shared" si="57"/>
        <v/>
      </c>
      <c r="T544" s="87"/>
      <c r="U544" s="87"/>
      <c r="V544" s="87"/>
      <c r="W544" s="87"/>
      <c r="X544" s="87"/>
      <c r="Y544" s="87"/>
      <c r="Z544" s="87"/>
      <c r="AA544" s="87"/>
      <c r="AB544" s="87"/>
      <c r="AI544" s="87"/>
      <c r="AJ544" s="87"/>
      <c r="AK544" s="87"/>
      <c r="AL544" s="87"/>
      <c r="AM544" s="87"/>
      <c r="AN544" s="87"/>
      <c r="AO544" s="87"/>
      <c r="AP544" s="87"/>
      <c r="AQ544" s="87"/>
      <c r="AR544" s="87"/>
      <c r="BC544" s="87"/>
      <c r="BD544" s="87"/>
      <c r="BE544" s="87"/>
      <c r="BF544" s="87"/>
      <c r="BG544" s="87"/>
      <c r="BH544" s="87"/>
    </row>
    <row r="545" spans="4:60" x14ac:dyDescent="0.3">
      <c r="D545" s="89"/>
      <c r="E545" s="89"/>
      <c r="F545" s="100" t="str">
        <f t="shared" si="57"/>
        <v/>
      </c>
      <c r="T545" s="87"/>
      <c r="U545" s="87"/>
      <c r="V545" s="87"/>
      <c r="W545" s="87"/>
      <c r="X545" s="87"/>
      <c r="Y545" s="87"/>
      <c r="Z545" s="87"/>
      <c r="AA545" s="87"/>
      <c r="AB545" s="87"/>
      <c r="AI545" s="87"/>
      <c r="AJ545" s="87"/>
      <c r="AK545" s="87"/>
      <c r="AL545" s="87"/>
      <c r="AM545" s="87"/>
      <c r="AN545" s="87"/>
      <c r="AO545" s="87"/>
      <c r="AP545" s="87"/>
      <c r="AQ545" s="87"/>
      <c r="AR545" s="87"/>
      <c r="BC545" s="87"/>
      <c r="BD545" s="87"/>
      <c r="BE545" s="87"/>
      <c r="BF545" s="87"/>
      <c r="BG545" s="87"/>
      <c r="BH545" s="87"/>
    </row>
    <row r="546" spans="4:60" x14ac:dyDescent="0.3">
      <c r="D546" s="89"/>
      <c r="E546" s="89"/>
      <c r="F546" s="100" t="str">
        <f t="shared" si="57"/>
        <v/>
      </c>
      <c r="T546" s="87"/>
      <c r="U546" s="87"/>
      <c r="V546" s="87"/>
      <c r="W546" s="87"/>
      <c r="X546" s="87"/>
      <c r="Y546" s="87"/>
      <c r="Z546" s="87"/>
      <c r="AA546" s="87"/>
      <c r="AB546" s="87"/>
      <c r="AI546" s="87"/>
      <c r="AJ546" s="87"/>
      <c r="AK546" s="87"/>
      <c r="AL546" s="87"/>
      <c r="AM546" s="87"/>
      <c r="AN546" s="87"/>
      <c r="AO546" s="87"/>
      <c r="AP546" s="87"/>
      <c r="AQ546" s="87"/>
      <c r="AR546" s="87"/>
      <c r="BC546" s="87"/>
      <c r="BD546" s="87"/>
      <c r="BE546" s="87"/>
      <c r="BF546" s="87"/>
      <c r="BG546" s="87"/>
      <c r="BH546" s="87"/>
    </row>
    <row r="547" spans="4:60" x14ac:dyDescent="0.3">
      <c r="D547" s="89"/>
      <c r="E547" s="89"/>
      <c r="F547" s="100" t="str">
        <f t="shared" si="57"/>
        <v/>
      </c>
      <c r="T547" s="87"/>
      <c r="U547" s="87"/>
      <c r="V547" s="87"/>
      <c r="W547" s="87"/>
      <c r="X547" s="87"/>
      <c r="Y547" s="87"/>
      <c r="Z547" s="87"/>
      <c r="AA547" s="87"/>
      <c r="AB547" s="87"/>
      <c r="AI547" s="87"/>
      <c r="AJ547" s="87"/>
      <c r="AK547" s="87"/>
      <c r="AL547" s="87"/>
      <c r="AM547" s="87"/>
      <c r="AN547" s="87"/>
      <c r="AO547" s="87"/>
      <c r="AP547" s="87"/>
      <c r="AQ547" s="87"/>
      <c r="AR547" s="87"/>
      <c r="BC547" s="87"/>
      <c r="BD547" s="87"/>
      <c r="BE547" s="87"/>
      <c r="BF547" s="87"/>
      <c r="BG547" s="87"/>
      <c r="BH547" s="87"/>
    </row>
    <row r="548" spans="4:60" x14ac:dyDescent="0.3">
      <c r="D548" s="89"/>
      <c r="E548" s="89"/>
      <c r="F548" s="100" t="str">
        <f t="shared" si="57"/>
        <v/>
      </c>
      <c r="T548" s="87"/>
      <c r="U548" s="87"/>
      <c r="V548" s="87"/>
      <c r="W548" s="87"/>
      <c r="X548" s="87"/>
      <c r="Y548" s="87"/>
      <c r="Z548" s="87"/>
      <c r="AA548" s="87"/>
      <c r="AB548" s="87"/>
      <c r="AI548" s="87"/>
      <c r="AJ548" s="87"/>
      <c r="AK548" s="87"/>
      <c r="AL548" s="87"/>
      <c r="AM548" s="87"/>
      <c r="AN548" s="87"/>
      <c r="AO548" s="87"/>
      <c r="AP548" s="87"/>
      <c r="AQ548" s="87"/>
      <c r="AR548" s="87"/>
      <c r="BC548" s="87"/>
      <c r="BD548" s="87"/>
      <c r="BE548" s="87"/>
      <c r="BF548" s="87"/>
      <c r="BG548" s="87"/>
      <c r="BH548" s="87"/>
    </row>
    <row r="549" spans="4:60" x14ac:dyDescent="0.3">
      <c r="D549" s="89"/>
      <c r="E549" s="89"/>
      <c r="F549" s="100" t="str">
        <f t="shared" si="57"/>
        <v/>
      </c>
      <c r="T549" s="87"/>
      <c r="U549" s="87"/>
      <c r="V549" s="87"/>
      <c r="W549" s="87"/>
      <c r="X549" s="87"/>
      <c r="Y549" s="87"/>
      <c r="Z549" s="87"/>
      <c r="AA549" s="87"/>
      <c r="AB549" s="87"/>
      <c r="AI549" s="87"/>
      <c r="AJ549" s="87"/>
      <c r="AK549" s="87"/>
      <c r="AL549" s="87"/>
      <c r="AM549" s="87"/>
      <c r="AN549" s="87"/>
      <c r="AO549" s="87"/>
      <c r="AP549" s="87"/>
      <c r="AQ549" s="87"/>
      <c r="AR549" s="87"/>
      <c r="BC549" s="87"/>
      <c r="BD549" s="87"/>
      <c r="BE549" s="87"/>
      <c r="BF549" s="87"/>
      <c r="BG549" s="87"/>
      <c r="BH549" s="87"/>
    </row>
    <row r="550" spans="4:60" x14ac:dyDescent="0.3">
      <c r="D550" s="89"/>
      <c r="E550" s="89"/>
      <c r="F550" s="100" t="str">
        <f t="shared" si="57"/>
        <v/>
      </c>
      <c r="T550" s="87"/>
      <c r="U550" s="87"/>
      <c r="V550" s="87"/>
      <c r="W550" s="87"/>
      <c r="X550" s="87"/>
      <c r="Y550" s="87"/>
      <c r="Z550" s="87"/>
      <c r="AA550" s="87"/>
      <c r="AB550" s="87"/>
      <c r="AI550" s="87"/>
      <c r="AJ550" s="87"/>
      <c r="AK550" s="87"/>
      <c r="AL550" s="87"/>
      <c r="AM550" s="87"/>
      <c r="AN550" s="87"/>
      <c r="AO550" s="87"/>
      <c r="AP550" s="87"/>
      <c r="AQ550" s="87"/>
      <c r="AR550" s="87"/>
      <c r="BC550" s="87"/>
      <c r="BD550" s="87"/>
      <c r="BE550" s="87"/>
      <c r="BF550" s="87"/>
      <c r="BG550" s="87"/>
      <c r="BH550" s="87"/>
    </row>
    <row r="551" spans="4:60" x14ac:dyDescent="0.3">
      <c r="D551" s="89"/>
      <c r="E551" s="89"/>
      <c r="F551" s="100" t="str">
        <f t="shared" si="57"/>
        <v/>
      </c>
      <c r="T551" s="87"/>
      <c r="U551" s="87"/>
      <c r="V551" s="87"/>
      <c r="W551" s="87"/>
      <c r="X551" s="87"/>
      <c r="Y551" s="87"/>
      <c r="Z551" s="87"/>
      <c r="AA551" s="87"/>
      <c r="AB551" s="87"/>
      <c r="AI551" s="87"/>
      <c r="AJ551" s="87"/>
      <c r="AK551" s="87"/>
      <c r="AL551" s="87"/>
      <c r="AM551" s="87"/>
      <c r="AN551" s="87"/>
      <c r="AO551" s="87"/>
      <c r="AP551" s="87"/>
      <c r="AQ551" s="87"/>
      <c r="AR551" s="87"/>
      <c r="BC551" s="87"/>
      <c r="BD551" s="87"/>
      <c r="BE551" s="87"/>
      <c r="BF551" s="87"/>
      <c r="BG551" s="87"/>
      <c r="BH551" s="87"/>
    </row>
    <row r="552" spans="4:60" x14ac:dyDescent="0.3">
      <c r="D552" s="89"/>
      <c r="E552" s="89"/>
      <c r="F552" s="100" t="str">
        <f t="shared" si="57"/>
        <v/>
      </c>
      <c r="T552" s="87"/>
      <c r="U552" s="87"/>
      <c r="V552" s="87"/>
      <c r="W552" s="87"/>
      <c r="X552" s="87"/>
      <c r="Y552" s="87"/>
      <c r="Z552" s="87"/>
      <c r="AA552" s="87"/>
      <c r="AB552" s="87"/>
      <c r="AI552" s="87"/>
      <c r="AJ552" s="87"/>
      <c r="AK552" s="87"/>
      <c r="AL552" s="87"/>
      <c r="AM552" s="87"/>
      <c r="AN552" s="87"/>
      <c r="AO552" s="87"/>
      <c r="AP552" s="87"/>
      <c r="AQ552" s="87"/>
      <c r="AR552" s="87"/>
      <c r="BC552" s="87"/>
      <c r="BD552" s="87"/>
      <c r="BE552" s="87"/>
      <c r="BF552" s="87"/>
      <c r="BG552" s="87"/>
      <c r="BH552" s="87"/>
    </row>
    <row r="553" spans="4:60" x14ac:dyDescent="0.3">
      <c r="D553" s="89"/>
      <c r="E553" s="89"/>
      <c r="F553" s="100" t="str">
        <f t="shared" si="57"/>
        <v/>
      </c>
      <c r="T553" s="87"/>
      <c r="U553" s="87"/>
      <c r="V553" s="87"/>
      <c r="W553" s="87"/>
      <c r="X553" s="87"/>
      <c r="Y553" s="87"/>
      <c r="Z553" s="87"/>
      <c r="AA553" s="87"/>
      <c r="AB553" s="87"/>
      <c r="AI553" s="87"/>
      <c r="AJ553" s="87"/>
      <c r="AK553" s="87"/>
      <c r="AL553" s="87"/>
      <c r="AM553" s="87"/>
      <c r="AN553" s="87"/>
      <c r="AO553" s="87"/>
      <c r="AP553" s="87"/>
      <c r="AQ553" s="87"/>
      <c r="AR553" s="87"/>
      <c r="BC553" s="87"/>
      <c r="BD553" s="87"/>
      <c r="BE553" s="87"/>
      <c r="BF553" s="87"/>
      <c r="BG553" s="87"/>
      <c r="BH553" s="87"/>
    </row>
    <row r="554" spans="4:60" x14ac:dyDescent="0.3">
      <c r="D554" s="89"/>
      <c r="E554" s="89"/>
      <c r="F554" s="100" t="str">
        <f t="shared" si="57"/>
        <v/>
      </c>
      <c r="T554" s="87"/>
      <c r="U554" s="87"/>
      <c r="V554" s="87"/>
      <c r="W554" s="87"/>
      <c r="X554" s="87"/>
      <c r="Y554" s="87"/>
      <c r="Z554" s="87"/>
      <c r="AA554" s="87"/>
      <c r="AB554" s="87"/>
      <c r="AI554" s="87"/>
      <c r="AJ554" s="87"/>
      <c r="AK554" s="87"/>
      <c r="AL554" s="87"/>
      <c r="AM554" s="87"/>
      <c r="AN554" s="87"/>
      <c r="AO554" s="87"/>
      <c r="AP554" s="87"/>
      <c r="AQ554" s="87"/>
      <c r="AR554" s="87"/>
      <c r="BC554" s="87"/>
      <c r="BD554" s="87"/>
      <c r="BE554" s="87"/>
      <c r="BF554" s="87"/>
      <c r="BG554" s="87"/>
      <c r="BH554" s="87"/>
    </row>
    <row r="555" spans="4:60" x14ac:dyDescent="0.3">
      <c r="D555" s="89"/>
      <c r="E555" s="89"/>
      <c r="F555" s="100" t="str">
        <f t="shared" si="57"/>
        <v/>
      </c>
      <c r="T555" s="87"/>
      <c r="U555" s="87"/>
      <c r="V555" s="87"/>
      <c r="W555" s="87"/>
      <c r="X555" s="87"/>
      <c r="Y555" s="87"/>
      <c r="Z555" s="87"/>
      <c r="AA555" s="87"/>
      <c r="AB555" s="87"/>
      <c r="AI555" s="87"/>
      <c r="AJ555" s="87"/>
      <c r="AK555" s="87"/>
      <c r="AL555" s="87"/>
      <c r="AM555" s="87"/>
      <c r="AN555" s="87"/>
      <c r="AO555" s="87"/>
      <c r="AP555" s="87"/>
      <c r="AQ555" s="87"/>
      <c r="AR555" s="87"/>
      <c r="BC555" s="87"/>
      <c r="BD555" s="87"/>
      <c r="BE555" s="87"/>
      <c r="BF555" s="87"/>
      <c r="BG555" s="87"/>
      <c r="BH555" s="87"/>
    </row>
    <row r="556" spans="4:60" x14ac:dyDescent="0.3">
      <c r="D556" s="89"/>
      <c r="E556" s="89"/>
      <c r="F556" s="100" t="str">
        <f t="shared" si="57"/>
        <v/>
      </c>
      <c r="T556" s="87"/>
      <c r="U556" s="87"/>
      <c r="V556" s="87"/>
      <c r="W556" s="87"/>
      <c r="X556" s="87"/>
      <c r="Y556" s="87"/>
      <c r="Z556" s="87"/>
      <c r="AA556" s="87"/>
      <c r="AB556" s="87"/>
      <c r="AI556" s="87"/>
      <c r="AJ556" s="87"/>
      <c r="AK556" s="87"/>
      <c r="AL556" s="87"/>
      <c r="AM556" s="87"/>
      <c r="AN556" s="87"/>
      <c r="AO556" s="87"/>
      <c r="AP556" s="87"/>
      <c r="AQ556" s="87"/>
      <c r="AR556" s="87"/>
      <c r="BC556" s="87"/>
      <c r="BD556" s="87"/>
      <c r="BE556" s="87"/>
      <c r="BF556" s="87"/>
      <c r="BG556" s="87"/>
      <c r="BH556" s="87"/>
    </row>
    <row r="557" spans="4:60" x14ac:dyDescent="0.3">
      <c r="D557" s="89"/>
      <c r="E557" s="89"/>
      <c r="F557" s="100" t="str">
        <f t="shared" si="57"/>
        <v/>
      </c>
      <c r="T557" s="87"/>
      <c r="U557" s="87"/>
      <c r="V557" s="87"/>
      <c r="W557" s="87"/>
      <c r="X557" s="87"/>
      <c r="Y557" s="87"/>
      <c r="Z557" s="87"/>
      <c r="AA557" s="87"/>
      <c r="AB557" s="87"/>
      <c r="AI557" s="87"/>
      <c r="AJ557" s="87"/>
      <c r="AK557" s="87"/>
      <c r="AL557" s="87"/>
      <c r="AM557" s="87"/>
      <c r="AN557" s="87"/>
      <c r="AO557" s="87"/>
      <c r="AP557" s="87"/>
      <c r="AQ557" s="87"/>
      <c r="AR557" s="87"/>
      <c r="BC557" s="87"/>
      <c r="BD557" s="87"/>
      <c r="BE557" s="87"/>
      <c r="BF557" s="87"/>
      <c r="BG557" s="87"/>
      <c r="BH557" s="87"/>
    </row>
    <row r="558" spans="4:60" x14ac:dyDescent="0.3">
      <c r="D558" s="89"/>
      <c r="E558" s="89"/>
      <c r="F558" s="100" t="str">
        <f t="shared" si="57"/>
        <v/>
      </c>
      <c r="T558" s="87"/>
      <c r="U558" s="87"/>
      <c r="V558" s="87"/>
      <c r="W558" s="87"/>
      <c r="X558" s="87"/>
      <c r="Y558" s="87"/>
      <c r="Z558" s="87"/>
      <c r="AA558" s="87"/>
      <c r="AB558" s="87"/>
      <c r="AI558" s="87"/>
      <c r="AJ558" s="87"/>
      <c r="AK558" s="87"/>
      <c r="AL558" s="87"/>
      <c r="AM558" s="87"/>
      <c r="AN558" s="87"/>
      <c r="AO558" s="87"/>
      <c r="AP558" s="87"/>
      <c r="AQ558" s="87"/>
      <c r="AR558" s="87"/>
      <c r="BC558" s="87"/>
      <c r="BD558" s="87"/>
      <c r="BE558" s="87"/>
      <c r="BF558" s="87"/>
      <c r="BG558" s="87"/>
      <c r="BH558" s="87"/>
    </row>
    <row r="559" spans="4:60" x14ac:dyDescent="0.3">
      <c r="D559" s="89"/>
      <c r="E559" s="89"/>
      <c r="F559" s="100" t="str">
        <f t="shared" si="57"/>
        <v/>
      </c>
      <c r="T559" s="87"/>
      <c r="U559" s="87"/>
      <c r="V559" s="87"/>
      <c r="W559" s="87"/>
      <c r="X559" s="87"/>
      <c r="Y559" s="87"/>
      <c r="Z559" s="87"/>
      <c r="AA559" s="87"/>
      <c r="AB559" s="87"/>
      <c r="AI559" s="87"/>
      <c r="AJ559" s="87"/>
      <c r="AK559" s="87"/>
      <c r="AL559" s="87"/>
      <c r="AM559" s="87"/>
      <c r="AN559" s="87"/>
      <c r="AO559" s="87"/>
      <c r="AP559" s="87"/>
      <c r="AQ559" s="87"/>
      <c r="AR559" s="87"/>
      <c r="BC559" s="87"/>
      <c r="BD559" s="87"/>
      <c r="BE559" s="87"/>
      <c r="BF559" s="87"/>
      <c r="BG559" s="87"/>
      <c r="BH559" s="87"/>
    </row>
    <row r="560" spans="4:60" x14ac:dyDescent="0.3">
      <c r="D560" s="89"/>
      <c r="E560" s="89"/>
      <c r="F560" s="100" t="str">
        <f t="shared" si="57"/>
        <v/>
      </c>
      <c r="T560" s="87"/>
      <c r="U560" s="87"/>
      <c r="V560" s="87"/>
      <c r="W560" s="87"/>
      <c r="X560" s="87"/>
      <c r="Y560" s="87"/>
      <c r="Z560" s="87"/>
      <c r="AA560" s="87"/>
      <c r="AB560" s="87"/>
      <c r="AI560" s="87"/>
      <c r="AJ560" s="87"/>
      <c r="AK560" s="87"/>
      <c r="AL560" s="87"/>
      <c r="AM560" s="87"/>
      <c r="AN560" s="87"/>
      <c r="AO560" s="87"/>
      <c r="AP560" s="87"/>
      <c r="AQ560" s="87"/>
      <c r="AR560" s="87"/>
      <c r="BC560" s="87"/>
      <c r="BD560" s="87"/>
      <c r="BE560" s="87"/>
      <c r="BF560" s="87"/>
      <c r="BG560" s="87"/>
      <c r="BH560" s="87"/>
    </row>
    <row r="561" spans="4:60" x14ac:dyDescent="0.3">
      <c r="D561" s="89"/>
      <c r="E561" s="89"/>
      <c r="F561" s="100" t="str">
        <f t="shared" si="57"/>
        <v/>
      </c>
      <c r="T561" s="87"/>
      <c r="U561" s="87"/>
      <c r="V561" s="87"/>
      <c r="W561" s="87"/>
      <c r="X561" s="87"/>
      <c r="Y561" s="87"/>
      <c r="Z561" s="87"/>
      <c r="AA561" s="87"/>
      <c r="AB561" s="87"/>
      <c r="AI561" s="87"/>
      <c r="AJ561" s="87"/>
      <c r="AK561" s="87"/>
      <c r="AL561" s="87"/>
      <c r="AM561" s="87"/>
      <c r="AN561" s="87"/>
      <c r="AO561" s="87"/>
      <c r="AP561" s="87"/>
      <c r="AQ561" s="87"/>
      <c r="AR561" s="87"/>
      <c r="BC561" s="87"/>
      <c r="BD561" s="87"/>
      <c r="BE561" s="87"/>
      <c r="BF561" s="87"/>
      <c r="BG561" s="87"/>
      <c r="BH561" s="87"/>
    </row>
    <row r="562" spans="4:60" x14ac:dyDescent="0.3">
      <c r="D562" s="89"/>
      <c r="E562" s="89"/>
      <c r="F562" s="100" t="str">
        <f t="shared" si="57"/>
        <v/>
      </c>
      <c r="T562" s="87"/>
      <c r="U562" s="87"/>
      <c r="V562" s="87"/>
      <c r="W562" s="87"/>
      <c r="X562" s="87"/>
      <c r="Y562" s="87"/>
      <c r="Z562" s="87"/>
      <c r="AA562" s="87"/>
      <c r="AB562" s="87"/>
      <c r="AI562" s="87"/>
      <c r="AJ562" s="87"/>
      <c r="AK562" s="87"/>
      <c r="AL562" s="87"/>
      <c r="AM562" s="87"/>
      <c r="AN562" s="87"/>
      <c r="AO562" s="87"/>
      <c r="AP562" s="87"/>
      <c r="AQ562" s="87"/>
      <c r="AR562" s="87"/>
      <c r="BC562" s="87"/>
      <c r="BD562" s="87"/>
      <c r="BE562" s="87"/>
      <c r="BF562" s="87"/>
      <c r="BG562" s="87"/>
      <c r="BH562" s="87"/>
    </row>
    <row r="563" spans="4:60" x14ac:dyDescent="0.3">
      <c r="D563" s="89"/>
      <c r="E563" s="89"/>
      <c r="F563" s="100" t="str">
        <f t="shared" si="57"/>
        <v/>
      </c>
      <c r="T563" s="87"/>
      <c r="U563" s="87"/>
      <c r="V563" s="87"/>
      <c r="W563" s="87"/>
      <c r="X563" s="87"/>
      <c r="Y563" s="87"/>
      <c r="Z563" s="87"/>
      <c r="AA563" s="87"/>
      <c r="AB563" s="87"/>
      <c r="AI563" s="87"/>
      <c r="AJ563" s="87"/>
      <c r="AK563" s="87"/>
      <c r="AL563" s="87"/>
      <c r="AM563" s="87"/>
      <c r="AN563" s="87"/>
      <c r="AO563" s="87"/>
      <c r="AP563" s="87"/>
      <c r="AQ563" s="87"/>
      <c r="AR563" s="87"/>
      <c r="BC563" s="87"/>
      <c r="BD563" s="87"/>
      <c r="BE563" s="87"/>
      <c r="BF563" s="87"/>
      <c r="BG563" s="87"/>
      <c r="BH563" s="87"/>
    </row>
    <row r="564" spans="4:60" x14ac:dyDescent="0.3">
      <c r="D564" s="89"/>
      <c r="E564" s="89"/>
      <c r="F564" s="100" t="str">
        <f t="shared" si="57"/>
        <v/>
      </c>
      <c r="T564" s="87"/>
      <c r="U564" s="87"/>
      <c r="V564" s="87"/>
      <c r="W564" s="87"/>
      <c r="X564" s="87"/>
      <c r="Y564" s="87"/>
      <c r="Z564" s="87"/>
      <c r="AA564" s="87"/>
      <c r="AB564" s="87"/>
      <c r="AI564" s="87"/>
      <c r="AJ564" s="87"/>
      <c r="AK564" s="87"/>
      <c r="AL564" s="87"/>
      <c r="AM564" s="87"/>
      <c r="AN564" s="87"/>
      <c r="AO564" s="87"/>
      <c r="AP564" s="87"/>
      <c r="AQ564" s="87"/>
      <c r="AR564" s="87"/>
      <c r="BC564" s="87"/>
      <c r="BD564" s="87"/>
      <c r="BE564" s="87"/>
      <c r="BF564" s="87"/>
      <c r="BG564" s="87"/>
      <c r="BH564" s="87"/>
    </row>
    <row r="565" spans="4:60" x14ac:dyDescent="0.3">
      <c r="D565" s="89"/>
      <c r="E565" s="89"/>
      <c r="F565" s="100" t="str">
        <f t="shared" si="57"/>
        <v/>
      </c>
      <c r="T565" s="87"/>
      <c r="U565" s="87"/>
      <c r="V565" s="87"/>
      <c r="W565" s="87"/>
      <c r="X565" s="87"/>
      <c r="Y565" s="87"/>
      <c r="Z565" s="87"/>
      <c r="AA565" s="87"/>
      <c r="AB565" s="87"/>
      <c r="AI565" s="87"/>
      <c r="AJ565" s="87"/>
      <c r="AK565" s="87"/>
      <c r="AL565" s="87"/>
      <c r="AM565" s="87"/>
      <c r="AN565" s="87"/>
      <c r="AO565" s="87"/>
      <c r="AP565" s="87"/>
      <c r="AQ565" s="87"/>
      <c r="AR565" s="87"/>
      <c r="BC565" s="87"/>
      <c r="BD565" s="87"/>
      <c r="BE565" s="87"/>
      <c r="BF565" s="87"/>
      <c r="BG565" s="87"/>
      <c r="BH565" s="87"/>
    </row>
    <row r="566" spans="4:60" x14ac:dyDescent="0.3">
      <c r="D566" s="89"/>
      <c r="E566" s="89"/>
      <c r="F566" s="100" t="str">
        <f t="shared" si="57"/>
        <v/>
      </c>
      <c r="T566" s="87"/>
      <c r="U566" s="87"/>
      <c r="V566" s="87"/>
      <c r="W566" s="87"/>
      <c r="X566" s="87"/>
      <c r="Y566" s="87"/>
      <c r="Z566" s="87"/>
      <c r="AA566" s="87"/>
      <c r="AB566" s="87"/>
      <c r="AI566" s="87"/>
      <c r="AJ566" s="87"/>
      <c r="AK566" s="87"/>
      <c r="AL566" s="87"/>
      <c r="AM566" s="87"/>
      <c r="AN566" s="87"/>
      <c r="AO566" s="87"/>
      <c r="AP566" s="87"/>
      <c r="AQ566" s="87"/>
      <c r="AR566" s="87"/>
      <c r="BC566" s="87"/>
      <c r="BD566" s="87"/>
      <c r="BE566" s="87"/>
      <c r="BF566" s="87"/>
      <c r="BG566" s="87"/>
      <c r="BH566" s="87"/>
    </row>
    <row r="567" spans="4:60" x14ac:dyDescent="0.3">
      <c r="D567" s="89"/>
      <c r="E567" s="89"/>
      <c r="F567" s="100" t="str">
        <f t="shared" si="57"/>
        <v/>
      </c>
      <c r="T567" s="87"/>
      <c r="U567" s="87"/>
      <c r="V567" s="87"/>
      <c r="W567" s="87"/>
      <c r="X567" s="87"/>
      <c r="Y567" s="87"/>
      <c r="Z567" s="87"/>
      <c r="AA567" s="87"/>
      <c r="AB567" s="87"/>
      <c r="AI567" s="87"/>
      <c r="AJ567" s="87"/>
      <c r="AK567" s="87"/>
      <c r="AL567" s="87"/>
      <c r="AM567" s="87"/>
      <c r="AN567" s="87"/>
      <c r="AO567" s="87"/>
      <c r="AP567" s="87"/>
      <c r="AQ567" s="87"/>
      <c r="AR567" s="87"/>
      <c r="BC567" s="87"/>
      <c r="BD567" s="87"/>
      <c r="BE567" s="87"/>
      <c r="BF567" s="87"/>
      <c r="BG567" s="87"/>
      <c r="BH567" s="87"/>
    </row>
    <row r="568" spans="4:60" x14ac:dyDescent="0.3">
      <c r="D568" s="89"/>
      <c r="E568" s="89"/>
      <c r="F568" s="100" t="str">
        <f t="shared" si="57"/>
        <v/>
      </c>
      <c r="T568" s="87"/>
      <c r="U568" s="87"/>
      <c r="V568" s="87"/>
      <c r="W568" s="87"/>
      <c r="X568" s="87"/>
      <c r="Y568" s="87"/>
      <c r="Z568" s="87"/>
      <c r="AA568" s="87"/>
      <c r="AB568" s="87"/>
      <c r="AI568" s="87"/>
      <c r="AJ568" s="87"/>
      <c r="AK568" s="87"/>
      <c r="AL568" s="87"/>
      <c r="AM568" s="87"/>
      <c r="AN568" s="87"/>
      <c r="AO568" s="87"/>
      <c r="AP568" s="87"/>
      <c r="AQ568" s="87"/>
      <c r="AR568" s="87"/>
      <c r="BC568" s="87"/>
      <c r="BD568" s="87"/>
      <c r="BE568" s="87"/>
      <c r="BF568" s="87"/>
      <c r="BG568" s="87"/>
      <c r="BH568" s="87"/>
    </row>
    <row r="569" spans="4:60" x14ac:dyDescent="0.3">
      <c r="D569" s="89"/>
      <c r="E569" s="89"/>
      <c r="F569" s="100" t="str">
        <f t="shared" si="57"/>
        <v/>
      </c>
      <c r="T569" s="87"/>
      <c r="U569" s="87"/>
      <c r="V569" s="87"/>
      <c r="W569" s="87"/>
      <c r="X569" s="87"/>
      <c r="Y569" s="87"/>
      <c r="Z569" s="87"/>
      <c r="AA569" s="87"/>
      <c r="AB569" s="87"/>
      <c r="AI569" s="87"/>
      <c r="AJ569" s="87"/>
      <c r="AK569" s="87"/>
      <c r="AL569" s="87"/>
      <c r="AM569" s="87"/>
      <c r="AN569" s="87"/>
      <c r="AO569" s="87"/>
      <c r="AP569" s="87"/>
      <c r="AQ569" s="87"/>
      <c r="AR569" s="87"/>
      <c r="BC569" s="87"/>
      <c r="BD569" s="87"/>
      <c r="BE569" s="87"/>
      <c r="BF569" s="87"/>
      <c r="BG569" s="87"/>
      <c r="BH569" s="87"/>
    </row>
    <row r="570" spans="4:60" x14ac:dyDescent="0.3">
      <c r="D570" s="89"/>
      <c r="E570" s="89"/>
      <c r="F570" s="100" t="str">
        <f t="shared" si="57"/>
        <v/>
      </c>
      <c r="T570" s="87"/>
      <c r="U570" s="87"/>
      <c r="V570" s="87"/>
      <c r="W570" s="87"/>
      <c r="X570" s="87"/>
      <c r="Y570" s="87"/>
      <c r="Z570" s="87"/>
      <c r="AA570" s="87"/>
      <c r="AB570" s="87"/>
      <c r="AI570" s="87"/>
      <c r="AJ570" s="87"/>
      <c r="AK570" s="87"/>
      <c r="AL570" s="87"/>
      <c r="AM570" s="87"/>
      <c r="AN570" s="87"/>
      <c r="AO570" s="87"/>
      <c r="AP570" s="87"/>
      <c r="AQ570" s="87"/>
      <c r="AR570" s="87"/>
      <c r="BC570" s="87"/>
      <c r="BD570" s="87"/>
      <c r="BE570" s="87"/>
      <c r="BF570" s="87"/>
      <c r="BG570" s="87"/>
      <c r="BH570" s="87"/>
    </row>
    <row r="571" spans="4:60" x14ac:dyDescent="0.3">
      <c r="D571" s="89"/>
      <c r="E571" s="89"/>
      <c r="F571" s="100" t="str">
        <f t="shared" si="57"/>
        <v/>
      </c>
      <c r="T571" s="87"/>
      <c r="U571" s="87"/>
      <c r="V571" s="87"/>
      <c r="W571" s="87"/>
      <c r="X571" s="87"/>
      <c r="Y571" s="87"/>
      <c r="Z571" s="87"/>
      <c r="AA571" s="87"/>
      <c r="AB571" s="87"/>
      <c r="AI571" s="87"/>
      <c r="AJ571" s="87"/>
      <c r="AK571" s="87"/>
      <c r="AL571" s="87"/>
      <c r="AM571" s="87"/>
      <c r="AN571" s="87"/>
      <c r="AO571" s="87"/>
      <c r="AP571" s="87"/>
      <c r="AQ571" s="87"/>
      <c r="AR571" s="87"/>
      <c r="BC571" s="87"/>
      <c r="BD571" s="87"/>
      <c r="BE571" s="87"/>
      <c r="BF571" s="87"/>
      <c r="BG571" s="87"/>
      <c r="BH571" s="87"/>
    </row>
    <row r="572" spans="4:60" x14ac:dyDescent="0.3">
      <c r="D572" s="89"/>
      <c r="E572" s="89"/>
      <c r="F572" s="100" t="str">
        <f t="shared" si="57"/>
        <v/>
      </c>
      <c r="T572" s="87"/>
      <c r="U572" s="87"/>
      <c r="V572" s="87"/>
      <c r="W572" s="87"/>
      <c r="X572" s="87"/>
      <c r="Y572" s="87"/>
      <c r="Z572" s="87"/>
      <c r="AA572" s="87"/>
      <c r="AB572" s="87"/>
      <c r="AI572" s="87"/>
      <c r="AJ572" s="87"/>
      <c r="AK572" s="87"/>
      <c r="AL572" s="87"/>
      <c r="AM572" s="87"/>
      <c r="AN572" s="87"/>
      <c r="AO572" s="87"/>
      <c r="AP572" s="87"/>
      <c r="AQ572" s="87"/>
      <c r="AR572" s="87"/>
      <c r="BC572" s="87"/>
      <c r="BD572" s="87"/>
      <c r="BE572" s="87"/>
      <c r="BF572" s="87"/>
      <c r="BG572" s="87"/>
      <c r="BH572" s="87"/>
    </row>
    <row r="573" spans="4:60" x14ac:dyDescent="0.3">
      <c r="D573" s="89"/>
      <c r="E573" s="89"/>
      <c r="F573" s="100" t="str">
        <f t="shared" si="57"/>
        <v/>
      </c>
      <c r="T573" s="87"/>
      <c r="U573" s="87"/>
      <c r="V573" s="87"/>
      <c r="W573" s="87"/>
      <c r="X573" s="87"/>
      <c r="Y573" s="87"/>
      <c r="Z573" s="87"/>
      <c r="AA573" s="87"/>
      <c r="AB573" s="87"/>
      <c r="AI573" s="87"/>
      <c r="AJ573" s="87"/>
      <c r="AK573" s="87"/>
      <c r="AL573" s="87"/>
      <c r="AM573" s="87"/>
      <c r="AN573" s="87"/>
      <c r="AO573" s="87"/>
      <c r="AP573" s="87"/>
      <c r="AQ573" s="87"/>
      <c r="AR573" s="87"/>
      <c r="BC573" s="87"/>
      <c r="BD573" s="87"/>
      <c r="BE573" s="87"/>
      <c r="BF573" s="87"/>
      <c r="BG573" s="87"/>
      <c r="BH573" s="87"/>
    </row>
    <row r="574" spans="4:60" x14ac:dyDescent="0.3">
      <c r="D574" s="89"/>
      <c r="E574" s="89"/>
      <c r="F574" s="100" t="str">
        <f t="shared" si="57"/>
        <v/>
      </c>
      <c r="T574" s="87"/>
      <c r="U574" s="87"/>
      <c r="V574" s="87"/>
      <c r="W574" s="87"/>
      <c r="X574" s="87"/>
      <c r="Y574" s="87"/>
      <c r="Z574" s="87"/>
      <c r="AA574" s="87"/>
      <c r="AB574" s="87"/>
      <c r="AI574" s="87"/>
      <c r="AJ574" s="87"/>
      <c r="AK574" s="87"/>
      <c r="AL574" s="87"/>
      <c r="AM574" s="87"/>
      <c r="AN574" s="87"/>
      <c r="AO574" s="87"/>
      <c r="AP574" s="87"/>
      <c r="AQ574" s="87"/>
      <c r="AR574" s="87"/>
      <c r="BC574" s="87"/>
      <c r="BD574" s="87"/>
      <c r="BE574" s="87"/>
      <c r="BF574" s="87"/>
      <c r="BG574" s="87"/>
      <c r="BH574" s="87"/>
    </row>
    <row r="575" spans="4:60" x14ac:dyDescent="0.3">
      <c r="D575" s="89"/>
      <c r="E575" s="89"/>
      <c r="F575" s="100" t="str">
        <f t="shared" si="57"/>
        <v/>
      </c>
      <c r="T575" s="87"/>
      <c r="U575" s="87"/>
      <c r="V575" s="87"/>
      <c r="W575" s="87"/>
      <c r="X575" s="87"/>
      <c r="Y575" s="87"/>
      <c r="Z575" s="87"/>
      <c r="AA575" s="87"/>
      <c r="AB575" s="87"/>
      <c r="AI575" s="87"/>
      <c r="AJ575" s="87"/>
      <c r="AK575" s="87"/>
      <c r="AL575" s="87"/>
      <c r="AM575" s="87"/>
      <c r="AN575" s="87"/>
      <c r="AO575" s="87"/>
      <c r="AP575" s="87"/>
      <c r="AQ575" s="87"/>
      <c r="AR575" s="87"/>
      <c r="BC575" s="87"/>
      <c r="BD575" s="87"/>
      <c r="BE575" s="87"/>
      <c r="BF575" s="87"/>
      <c r="BG575" s="87"/>
      <c r="BH575" s="87"/>
    </row>
    <row r="576" spans="4:60" x14ac:dyDescent="0.3">
      <c r="D576" s="89"/>
      <c r="E576" s="89"/>
      <c r="F576" s="100" t="str">
        <f t="shared" si="57"/>
        <v/>
      </c>
      <c r="T576" s="87"/>
      <c r="U576" s="87"/>
      <c r="V576" s="87"/>
      <c r="W576" s="87"/>
      <c r="X576" s="87"/>
      <c r="Y576" s="87"/>
      <c r="Z576" s="87"/>
      <c r="AA576" s="87"/>
      <c r="AB576" s="87"/>
      <c r="AI576" s="87"/>
      <c r="AJ576" s="87"/>
      <c r="AK576" s="87"/>
      <c r="AL576" s="87"/>
      <c r="AM576" s="87"/>
      <c r="AN576" s="87"/>
      <c r="AO576" s="87"/>
      <c r="AP576" s="87"/>
      <c r="AQ576" s="87"/>
      <c r="AR576" s="87"/>
      <c r="BC576" s="87"/>
      <c r="BD576" s="87"/>
      <c r="BE576" s="87"/>
      <c r="BF576" s="87"/>
      <c r="BG576" s="87"/>
      <c r="BH576" s="87"/>
    </row>
    <row r="577" spans="4:60" x14ac:dyDescent="0.3">
      <c r="D577" s="89"/>
      <c r="E577" s="89"/>
      <c r="F577" s="100" t="str">
        <f t="shared" si="57"/>
        <v/>
      </c>
      <c r="T577" s="87"/>
      <c r="U577" s="87"/>
      <c r="V577" s="87"/>
      <c r="W577" s="87"/>
      <c r="X577" s="87"/>
      <c r="Y577" s="87"/>
      <c r="Z577" s="87"/>
      <c r="AA577" s="87"/>
      <c r="AB577" s="87"/>
      <c r="AI577" s="87"/>
      <c r="AJ577" s="87"/>
      <c r="AK577" s="87"/>
      <c r="AL577" s="87"/>
      <c r="AM577" s="87"/>
      <c r="AN577" s="87"/>
      <c r="AO577" s="87"/>
      <c r="AP577" s="87"/>
      <c r="AQ577" s="87"/>
      <c r="AR577" s="87"/>
      <c r="BC577" s="87"/>
      <c r="BD577" s="87"/>
      <c r="BE577" s="87"/>
      <c r="BF577" s="87"/>
      <c r="BG577" s="87"/>
      <c r="BH577" s="87"/>
    </row>
    <row r="578" spans="4:60" x14ac:dyDescent="0.3">
      <c r="D578" s="89"/>
      <c r="E578" s="89"/>
      <c r="F578" s="100" t="str">
        <f t="shared" si="57"/>
        <v/>
      </c>
      <c r="T578" s="87"/>
      <c r="U578" s="87"/>
      <c r="V578" s="87"/>
      <c r="W578" s="87"/>
      <c r="X578" s="87"/>
      <c r="Y578" s="87"/>
      <c r="Z578" s="87"/>
      <c r="AA578" s="87"/>
      <c r="AB578" s="87"/>
      <c r="AI578" s="87"/>
      <c r="AJ578" s="87"/>
      <c r="AK578" s="87"/>
      <c r="AL578" s="87"/>
      <c r="AM578" s="87"/>
      <c r="AN578" s="87"/>
      <c r="AO578" s="87"/>
      <c r="AP578" s="87"/>
      <c r="AQ578" s="87"/>
      <c r="AR578" s="87"/>
      <c r="BC578" s="87"/>
      <c r="BD578" s="87"/>
      <c r="BE578" s="87"/>
      <c r="BF578" s="87"/>
      <c r="BG578" s="87"/>
      <c r="BH578" s="87"/>
    </row>
    <row r="579" spans="4:60" x14ac:dyDescent="0.3">
      <c r="D579" s="89"/>
      <c r="E579" s="89"/>
      <c r="F579" s="100" t="str">
        <f t="shared" si="57"/>
        <v/>
      </c>
      <c r="T579" s="87"/>
      <c r="U579" s="87"/>
      <c r="V579" s="87"/>
      <c r="W579" s="87"/>
      <c r="X579" s="87"/>
      <c r="Y579" s="87"/>
      <c r="Z579" s="87"/>
      <c r="AA579" s="87"/>
      <c r="AB579" s="87"/>
      <c r="AI579" s="87"/>
      <c r="AJ579" s="87"/>
      <c r="AK579" s="87"/>
      <c r="AL579" s="87"/>
      <c r="AM579" s="87"/>
      <c r="AN579" s="87"/>
      <c r="AO579" s="87"/>
      <c r="AP579" s="87"/>
      <c r="AQ579" s="87"/>
      <c r="AR579" s="87"/>
      <c r="BC579" s="87"/>
      <c r="BD579" s="87"/>
      <c r="BE579" s="87"/>
      <c r="BF579" s="87"/>
      <c r="BG579" s="87"/>
      <c r="BH579" s="87"/>
    </row>
    <row r="580" spans="4:60" x14ac:dyDescent="0.3">
      <c r="D580" s="89"/>
      <c r="E580" s="89"/>
      <c r="F580" s="100" t="str">
        <f t="shared" ref="F580:F643" si="58">IF(AND(E580="",D580=""),"",IF(AND(E580="",D580&lt;&gt;""),F579,E580))</f>
        <v/>
      </c>
      <c r="T580" s="87"/>
      <c r="U580" s="87"/>
      <c r="V580" s="87"/>
      <c r="W580" s="87"/>
      <c r="X580" s="87"/>
      <c r="Y580" s="87"/>
      <c r="Z580" s="87"/>
      <c r="AA580" s="87"/>
      <c r="AB580" s="87"/>
      <c r="AI580" s="87"/>
      <c r="AJ580" s="87"/>
      <c r="AK580" s="87"/>
      <c r="AL580" s="87"/>
      <c r="AM580" s="87"/>
      <c r="AN580" s="87"/>
      <c r="AO580" s="87"/>
      <c r="AP580" s="87"/>
      <c r="AQ580" s="87"/>
      <c r="AR580" s="87"/>
      <c r="BC580" s="87"/>
      <c r="BD580" s="87"/>
      <c r="BE580" s="87"/>
      <c r="BF580" s="87"/>
      <c r="BG580" s="87"/>
      <c r="BH580" s="87"/>
    </row>
    <row r="581" spans="4:60" x14ac:dyDescent="0.3">
      <c r="D581" s="89"/>
      <c r="E581" s="89"/>
      <c r="F581" s="100" t="str">
        <f t="shared" si="58"/>
        <v/>
      </c>
      <c r="T581" s="87"/>
      <c r="U581" s="87"/>
      <c r="V581" s="87"/>
      <c r="W581" s="87"/>
      <c r="X581" s="87"/>
      <c r="Y581" s="87"/>
      <c r="Z581" s="87"/>
      <c r="AA581" s="87"/>
      <c r="AB581" s="87"/>
      <c r="AI581" s="87"/>
      <c r="AJ581" s="87"/>
      <c r="AK581" s="87"/>
      <c r="AL581" s="87"/>
      <c r="AM581" s="87"/>
      <c r="AN581" s="87"/>
      <c r="AO581" s="87"/>
      <c r="AP581" s="87"/>
      <c r="AQ581" s="87"/>
      <c r="AR581" s="87"/>
      <c r="BC581" s="87"/>
      <c r="BD581" s="87"/>
      <c r="BE581" s="87"/>
      <c r="BF581" s="87"/>
      <c r="BG581" s="87"/>
      <c r="BH581" s="87"/>
    </row>
    <row r="582" spans="4:60" x14ac:dyDescent="0.3">
      <c r="D582" s="89"/>
      <c r="E582" s="89"/>
      <c r="F582" s="100" t="str">
        <f t="shared" si="58"/>
        <v/>
      </c>
      <c r="T582" s="87"/>
      <c r="U582" s="87"/>
      <c r="V582" s="87"/>
      <c r="W582" s="87"/>
      <c r="X582" s="87"/>
      <c r="Y582" s="87"/>
      <c r="Z582" s="87"/>
      <c r="AA582" s="87"/>
      <c r="AB582" s="87"/>
      <c r="AI582" s="87"/>
      <c r="AJ582" s="87"/>
      <c r="AK582" s="87"/>
      <c r="AL582" s="87"/>
      <c r="AM582" s="87"/>
      <c r="AN582" s="87"/>
      <c r="AO582" s="87"/>
      <c r="AP582" s="87"/>
      <c r="AQ582" s="87"/>
      <c r="AR582" s="87"/>
      <c r="BC582" s="87"/>
      <c r="BD582" s="87"/>
      <c r="BE582" s="87"/>
      <c r="BF582" s="87"/>
      <c r="BG582" s="87"/>
      <c r="BH582" s="87"/>
    </row>
    <row r="583" spans="4:60" x14ac:dyDescent="0.3">
      <c r="D583" s="89"/>
      <c r="E583" s="89"/>
      <c r="F583" s="100" t="str">
        <f t="shared" si="58"/>
        <v/>
      </c>
      <c r="T583" s="87"/>
      <c r="U583" s="87"/>
      <c r="V583" s="87"/>
      <c r="W583" s="87"/>
      <c r="X583" s="87"/>
      <c r="Y583" s="87"/>
      <c r="Z583" s="87"/>
      <c r="AA583" s="87"/>
      <c r="AB583" s="87"/>
      <c r="AI583" s="87"/>
      <c r="AJ583" s="87"/>
      <c r="AK583" s="87"/>
      <c r="AL583" s="87"/>
      <c r="AM583" s="87"/>
      <c r="AN583" s="87"/>
      <c r="AO583" s="87"/>
      <c r="AP583" s="87"/>
      <c r="AQ583" s="87"/>
      <c r="AR583" s="87"/>
      <c r="BC583" s="87"/>
      <c r="BD583" s="87"/>
      <c r="BE583" s="87"/>
      <c r="BF583" s="87"/>
      <c r="BG583" s="87"/>
      <c r="BH583" s="87"/>
    </row>
    <row r="584" spans="4:60" x14ac:dyDescent="0.3">
      <c r="D584" s="89"/>
      <c r="E584" s="89"/>
      <c r="F584" s="100" t="str">
        <f t="shared" si="58"/>
        <v/>
      </c>
      <c r="T584" s="87"/>
      <c r="U584" s="87"/>
      <c r="V584" s="87"/>
      <c r="W584" s="87"/>
      <c r="X584" s="87"/>
      <c r="Y584" s="87"/>
      <c r="Z584" s="87"/>
      <c r="AA584" s="87"/>
      <c r="AB584" s="87"/>
      <c r="AI584" s="87"/>
      <c r="AJ584" s="87"/>
      <c r="AK584" s="87"/>
      <c r="AL584" s="87"/>
      <c r="AM584" s="87"/>
      <c r="AN584" s="87"/>
      <c r="AO584" s="87"/>
      <c r="AP584" s="87"/>
      <c r="AQ584" s="87"/>
      <c r="AR584" s="87"/>
      <c r="BC584" s="87"/>
      <c r="BD584" s="87"/>
      <c r="BE584" s="87"/>
      <c r="BF584" s="87"/>
      <c r="BG584" s="87"/>
      <c r="BH584" s="87"/>
    </row>
    <row r="585" spans="4:60" x14ac:dyDescent="0.3">
      <c r="D585" s="89"/>
      <c r="E585" s="89"/>
      <c r="F585" s="100" t="str">
        <f t="shared" si="58"/>
        <v/>
      </c>
      <c r="T585" s="87"/>
      <c r="U585" s="87"/>
      <c r="V585" s="87"/>
      <c r="W585" s="87"/>
      <c r="X585" s="87"/>
      <c r="Y585" s="87"/>
      <c r="Z585" s="87"/>
      <c r="AA585" s="87"/>
      <c r="AB585" s="87"/>
      <c r="AI585" s="87"/>
      <c r="AJ585" s="87"/>
      <c r="AK585" s="87"/>
      <c r="AL585" s="87"/>
      <c r="AM585" s="87"/>
      <c r="AN585" s="87"/>
      <c r="AO585" s="87"/>
      <c r="AP585" s="87"/>
      <c r="AQ585" s="87"/>
      <c r="AR585" s="87"/>
      <c r="BC585" s="87"/>
      <c r="BD585" s="87"/>
      <c r="BE585" s="87"/>
      <c r="BF585" s="87"/>
      <c r="BG585" s="87"/>
      <c r="BH585" s="87"/>
    </row>
    <row r="586" spans="4:60" x14ac:dyDescent="0.3">
      <c r="D586" s="89"/>
      <c r="E586" s="89"/>
      <c r="F586" s="100" t="str">
        <f t="shared" si="58"/>
        <v/>
      </c>
      <c r="T586" s="87"/>
      <c r="U586" s="87"/>
      <c r="V586" s="87"/>
      <c r="W586" s="87"/>
      <c r="X586" s="87"/>
      <c r="Y586" s="87"/>
      <c r="Z586" s="87"/>
      <c r="AA586" s="87"/>
      <c r="AB586" s="87"/>
      <c r="AI586" s="87"/>
      <c r="AJ586" s="87"/>
      <c r="AK586" s="87"/>
      <c r="AL586" s="87"/>
      <c r="AM586" s="87"/>
      <c r="AN586" s="87"/>
      <c r="AO586" s="87"/>
      <c r="AP586" s="87"/>
      <c r="AQ586" s="87"/>
      <c r="AR586" s="87"/>
      <c r="BC586" s="87"/>
      <c r="BD586" s="87"/>
      <c r="BE586" s="87"/>
      <c r="BF586" s="87"/>
      <c r="BG586" s="87"/>
      <c r="BH586" s="87"/>
    </row>
    <row r="587" spans="4:60" x14ac:dyDescent="0.3">
      <c r="D587" s="89"/>
      <c r="E587" s="89"/>
      <c r="F587" s="100" t="str">
        <f t="shared" si="58"/>
        <v/>
      </c>
      <c r="T587" s="87"/>
      <c r="U587" s="87"/>
      <c r="V587" s="87"/>
      <c r="W587" s="87"/>
      <c r="X587" s="87"/>
      <c r="Y587" s="87"/>
      <c r="Z587" s="87"/>
      <c r="AA587" s="87"/>
      <c r="AB587" s="87"/>
      <c r="AI587" s="87"/>
      <c r="AJ587" s="87"/>
      <c r="AK587" s="87"/>
      <c r="AL587" s="87"/>
      <c r="AM587" s="87"/>
      <c r="AN587" s="87"/>
      <c r="AO587" s="87"/>
      <c r="AP587" s="87"/>
      <c r="AQ587" s="87"/>
      <c r="AR587" s="87"/>
      <c r="BC587" s="87"/>
      <c r="BD587" s="87"/>
      <c r="BE587" s="87"/>
      <c r="BF587" s="87"/>
      <c r="BG587" s="87"/>
      <c r="BH587" s="87"/>
    </row>
    <row r="588" spans="4:60" x14ac:dyDescent="0.3">
      <c r="D588" s="89"/>
      <c r="E588" s="89"/>
      <c r="F588" s="100" t="str">
        <f t="shared" si="58"/>
        <v/>
      </c>
      <c r="T588" s="87"/>
      <c r="U588" s="87"/>
      <c r="V588" s="87"/>
      <c r="W588" s="87"/>
      <c r="X588" s="87"/>
      <c r="Y588" s="87"/>
      <c r="Z588" s="87"/>
      <c r="AA588" s="87"/>
      <c r="AB588" s="87"/>
      <c r="AI588" s="87"/>
      <c r="AJ588" s="87"/>
      <c r="AK588" s="87"/>
      <c r="AL588" s="87"/>
      <c r="AM588" s="87"/>
      <c r="AN588" s="87"/>
      <c r="AO588" s="87"/>
      <c r="AP588" s="87"/>
      <c r="AQ588" s="87"/>
      <c r="AR588" s="87"/>
      <c r="BC588" s="87"/>
      <c r="BD588" s="87"/>
      <c r="BE588" s="87"/>
      <c r="BF588" s="87"/>
      <c r="BG588" s="87"/>
      <c r="BH588" s="87"/>
    </row>
    <row r="589" spans="4:60" x14ac:dyDescent="0.3">
      <c r="D589" s="89"/>
      <c r="E589" s="89"/>
      <c r="F589" s="100" t="str">
        <f t="shared" si="58"/>
        <v/>
      </c>
      <c r="T589" s="87"/>
      <c r="U589" s="87"/>
      <c r="V589" s="87"/>
      <c r="W589" s="87"/>
      <c r="X589" s="87"/>
      <c r="Y589" s="87"/>
      <c r="Z589" s="87"/>
      <c r="AA589" s="87"/>
      <c r="AB589" s="87"/>
      <c r="AI589" s="87"/>
      <c r="AJ589" s="87"/>
      <c r="AK589" s="87"/>
      <c r="AL589" s="87"/>
      <c r="AM589" s="87"/>
      <c r="AN589" s="87"/>
      <c r="AO589" s="87"/>
      <c r="AP589" s="87"/>
      <c r="AQ589" s="87"/>
      <c r="AR589" s="87"/>
      <c r="BC589" s="87"/>
      <c r="BD589" s="87"/>
      <c r="BE589" s="87"/>
      <c r="BF589" s="87"/>
      <c r="BG589" s="87"/>
      <c r="BH589" s="87"/>
    </row>
    <row r="590" spans="4:60" x14ac:dyDescent="0.3">
      <c r="D590" s="89"/>
      <c r="E590" s="89"/>
      <c r="F590" s="100" t="str">
        <f t="shared" si="58"/>
        <v/>
      </c>
      <c r="T590" s="87"/>
      <c r="U590" s="87"/>
      <c r="V590" s="87"/>
      <c r="W590" s="87"/>
      <c r="X590" s="87"/>
      <c r="Y590" s="87"/>
      <c r="Z590" s="87"/>
      <c r="AA590" s="87"/>
      <c r="AB590" s="87"/>
      <c r="AI590" s="87"/>
      <c r="AJ590" s="87"/>
      <c r="AK590" s="87"/>
      <c r="AL590" s="87"/>
      <c r="AM590" s="87"/>
      <c r="AN590" s="87"/>
      <c r="AO590" s="87"/>
      <c r="AP590" s="87"/>
      <c r="AQ590" s="87"/>
      <c r="AR590" s="87"/>
      <c r="BC590" s="87"/>
      <c r="BD590" s="87"/>
      <c r="BE590" s="87"/>
      <c r="BF590" s="87"/>
      <c r="BG590" s="87"/>
      <c r="BH590" s="87"/>
    </row>
    <row r="591" spans="4:60" x14ac:dyDescent="0.3">
      <c r="D591" s="89"/>
      <c r="E591" s="89"/>
      <c r="F591" s="100" t="str">
        <f t="shared" si="58"/>
        <v/>
      </c>
      <c r="T591" s="87"/>
      <c r="U591" s="87"/>
      <c r="V591" s="87"/>
      <c r="W591" s="87"/>
      <c r="X591" s="87"/>
      <c r="Y591" s="87"/>
      <c r="Z591" s="87"/>
      <c r="AA591" s="87"/>
      <c r="AB591" s="87"/>
      <c r="AI591" s="87"/>
      <c r="AJ591" s="87"/>
      <c r="AK591" s="87"/>
      <c r="AL591" s="87"/>
      <c r="AM591" s="87"/>
      <c r="AN591" s="87"/>
      <c r="AO591" s="87"/>
      <c r="AP591" s="87"/>
      <c r="AQ591" s="87"/>
      <c r="AR591" s="87"/>
      <c r="BC591" s="87"/>
      <c r="BD591" s="87"/>
      <c r="BE591" s="87"/>
      <c r="BF591" s="87"/>
      <c r="BG591" s="87"/>
      <c r="BH591" s="87"/>
    </row>
    <row r="592" spans="4:60" x14ac:dyDescent="0.3">
      <c r="D592" s="89"/>
      <c r="E592" s="89"/>
      <c r="F592" s="100" t="str">
        <f t="shared" si="58"/>
        <v/>
      </c>
      <c r="T592" s="87"/>
      <c r="U592" s="87"/>
      <c r="V592" s="87"/>
      <c r="W592" s="87"/>
      <c r="X592" s="87"/>
      <c r="Y592" s="87"/>
      <c r="Z592" s="87"/>
      <c r="AA592" s="87"/>
      <c r="AB592" s="87"/>
      <c r="AI592" s="87"/>
      <c r="AJ592" s="87"/>
      <c r="AK592" s="87"/>
      <c r="AL592" s="87"/>
      <c r="AM592" s="87"/>
      <c r="AN592" s="87"/>
      <c r="AO592" s="87"/>
      <c r="AP592" s="87"/>
      <c r="AQ592" s="87"/>
      <c r="AR592" s="87"/>
      <c r="BC592" s="87"/>
      <c r="BD592" s="87"/>
      <c r="BE592" s="87"/>
      <c r="BF592" s="87"/>
      <c r="BG592" s="87"/>
      <c r="BH592" s="87"/>
    </row>
    <row r="593" spans="4:60" x14ac:dyDescent="0.3">
      <c r="D593" s="89"/>
      <c r="E593" s="89"/>
      <c r="F593" s="100" t="str">
        <f t="shared" si="58"/>
        <v/>
      </c>
      <c r="T593" s="87"/>
      <c r="U593" s="87"/>
      <c r="V593" s="87"/>
      <c r="W593" s="87"/>
      <c r="X593" s="87"/>
      <c r="Y593" s="87"/>
      <c r="Z593" s="87"/>
      <c r="AA593" s="87"/>
      <c r="AB593" s="87"/>
      <c r="AI593" s="87"/>
      <c r="AJ593" s="87"/>
      <c r="AK593" s="87"/>
      <c r="AL593" s="87"/>
      <c r="AM593" s="87"/>
      <c r="AN593" s="87"/>
      <c r="AO593" s="87"/>
      <c r="AP593" s="87"/>
      <c r="AQ593" s="87"/>
      <c r="AR593" s="87"/>
      <c r="BC593" s="87"/>
      <c r="BD593" s="87"/>
      <c r="BE593" s="87"/>
      <c r="BF593" s="87"/>
      <c r="BG593" s="87"/>
      <c r="BH593" s="87"/>
    </row>
    <row r="594" spans="4:60" x14ac:dyDescent="0.3">
      <c r="D594" s="89"/>
      <c r="E594" s="89"/>
      <c r="F594" s="100" t="str">
        <f t="shared" si="58"/>
        <v/>
      </c>
      <c r="T594" s="87"/>
      <c r="U594" s="87"/>
      <c r="V594" s="87"/>
      <c r="W594" s="87"/>
      <c r="X594" s="87"/>
      <c r="Y594" s="87"/>
      <c r="Z594" s="87"/>
      <c r="AA594" s="87"/>
      <c r="AB594" s="87"/>
      <c r="AI594" s="87"/>
      <c r="AJ594" s="87"/>
      <c r="AK594" s="87"/>
      <c r="AL594" s="87"/>
      <c r="AM594" s="87"/>
      <c r="AN594" s="87"/>
      <c r="AO594" s="87"/>
      <c r="AP594" s="87"/>
      <c r="AQ594" s="87"/>
      <c r="AR594" s="87"/>
      <c r="BC594" s="87"/>
      <c r="BD594" s="87"/>
      <c r="BE594" s="87"/>
      <c r="BF594" s="87"/>
      <c r="BG594" s="87"/>
      <c r="BH594" s="87"/>
    </row>
    <row r="595" spans="4:60" x14ac:dyDescent="0.3">
      <c r="D595" s="89"/>
      <c r="E595" s="89"/>
      <c r="F595" s="100" t="str">
        <f t="shared" si="58"/>
        <v/>
      </c>
      <c r="T595" s="87"/>
      <c r="U595" s="87"/>
      <c r="V595" s="87"/>
      <c r="W595" s="87"/>
      <c r="X595" s="87"/>
      <c r="Y595" s="87"/>
      <c r="Z595" s="87"/>
      <c r="AA595" s="87"/>
      <c r="AB595" s="87"/>
      <c r="AI595" s="87"/>
      <c r="AJ595" s="87"/>
      <c r="AK595" s="87"/>
      <c r="AL595" s="87"/>
      <c r="AM595" s="87"/>
      <c r="AN595" s="87"/>
      <c r="AO595" s="87"/>
      <c r="AP595" s="87"/>
      <c r="AQ595" s="87"/>
      <c r="AR595" s="87"/>
      <c r="BC595" s="87"/>
      <c r="BD595" s="87"/>
      <c r="BE595" s="87"/>
      <c r="BF595" s="87"/>
      <c r="BG595" s="87"/>
      <c r="BH595" s="87"/>
    </row>
    <row r="596" spans="4:60" x14ac:dyDescent="0.3">
      <c r="D596" s="89"/>
      <c r="E596" s="89"/>
      <c r="F596" s="100" t="str">
        <f t="shared" si="58"/>
        <v/>
      </c>
      <c r="T596" s="87"/>
      <c r="U596" s="87"/>
      <c r="V596" s="87"/>
      <c r="W596" s="87"/>
      <c r="X596" s="87"/>
      <c r="Y596" s="87"/>
      <c r="Z596" s="87"/>
      <c r="AA596" s="87"/>
      <c r="AB596" s="87"/>
      <c r="AI596" s="87"/>
      <c r="AJ596" s="87"/>
      <c r="AK596" s="87"/>
      <c r="AL596" s="87"/>
      <c r="AM596" s="87"/>
      <c r="AN596" s="87"/>
      <c r="AO596" s="87"/>
      <c r="AP596" s="87"/>
      <c r="AQ596" s="87"/>
      <c r="AR596" s="87"/>
      <c r="BC596" s="87"/>
      <c r="BD596" s="87"/>
      <c r="BE596" s="87"/>
      <c r="BF596" s="87"/>
      <c r="BG596" s="87"/>
      <c r="BH596" s="87"/>
    </row>
    <row r="597" spans="4:60" x14ac:dyDescent="0.3">
      <c r="D597" s="89"/>
      <c r="E597" s="89"/>
      <c r="F597" s="100" t="str">
        <f t="shared" si="58"/>
        <v/>
      </c>
      <c r="T597" s="87"/>
      <c r="U597" s="87"/>
      <c r="V597" s="87"/>
      <c r="W597" s="87"/>
      <c r="X597" s="87"/>
      <c r="Y597" s="87"/>
      <c r="Z597" s="87"/>
      <c r="AA597" s="87"/>
      <c r="AB597" s="87"/>
      <c r="AI597" s="87"/>
      <c r="AJ597" s="87"/>
      <c r="AK597" s="87"/>
      <c r="AL597" s="87"/>
      <c r="AM597" s="87"/>
      <c r="AN597" s="87"/>
      <c r="AO597" s="87"/>
      <c r="AP597" s="87"/>
      <c r="AQ597" s="87"/>
      <c r="AR597" s="87"/>
      <c r="BC597" s="87"/>
      <c r="BD597" s="87"/>
      <c r="BE597" s="87"/>
      <c r="BF597" s="87"/>
      <c r="BG597" s="87"/>
      <c r="BH597" s="87"/>
    </row>
    <row r="598" spans="4:60" x14ac:dyDescent="0.3">
      <c r="D598" s="89"/>
      <c r="E598" s="89"/>
      <c r="F598" s="100" t="str">
        <f t="shared" si="58"/>
        <v/>
      </c>
      <c r="T598" s="87"/>
      <c r="U598" s="87"/>
      <c r="V598" s="87"/>
      <c r="W598" s="87"/>
      <c r="X598" s="87"/>
      <c r="Y598" s="87"/>
      <c r="Z598" s="87"/>
      <c r="AA598" s="87"/>
      <c r="AB598" s="87"/>
      <c r="AI598" s="87"/>
      <c r="AJ598" s="87"/>
      <c r="AK598" s="87"/>
      <c r="AL598" s="87"/>
      <c r="AM598" s="87"/>
      <c r="AN598" s="87"/>
      <c r="AO598" s="87"/>
      <c r="AP598" s="87"/>
      <c r="AQ598" s="87"/>
      <c r="AR598" s="87"/>
      <c r="BC598" s="87"/>
      <c r="BD598" s="87"/>
      <c r="BE598" s="87"/>
      <c r="BF598" s="87"/>
      <c r="BG598" s="87"/>
      <c r="BH598" s="87"/>
    </row>
    <row r="599" spans="4:60" x14ac:dyDescent="0.3">
      <c r="D599" s="89"/>
      <c r="E599" s="89"/>
      <c r="F599" s="100" t="str">
        <f t="shared" si="58"/>
        <v/>
      </c>
      <c r="T599" s="87"/>
      <c r="U599" s="87"/>
      <c r="V599" s="87"/>
      <c r="W599" s="87"/>
      <c r="X599" s="87"/>
      <c r="Y599" s="87"/>
      <c r="Z599" s="87"/>
      <c r="AA599" s="87"/>
      <c r="AB599" s="87"/>
      <c r="AI599" s="87"/>
      <c r="AJ599" s="87"/>
      <c r="AK599" s="87"/>
      <c r="AL599" s="87"/>
      <c r="AM599" s="87"/>
      <c r="AN599" s="87"/>
      <c r="AO599" s="87"/>
      <c r="AP599" s="87"/>
      <c r="AQ599" s="87"/>
      <c r="AR599" s="87"/>
      <c r="BC599" s="87"/>
      <c r="BD599" s="87"/>
      <c r="BE599" s="87"/>
      <c r="BF599" s="87"/>
      <c r="BG599" s="87"/>
      <c r="BH599" s="87"/>
    </row>
    <row r="600" spans="4:60" x14ac:dyDescent="0.3">
      <c r="D600" s="89"/>
      <c r="E600" s="89"/>
      <c r="F600" s="100" t="str">
        <f t="shared" si="58"/>
        <v/>
      </c>
      <c r="T600" s="87"/>
      <c r="U600" s="87"/>
      <c r="V600" s="87"/>
      <c r="W600" s="87"/>
      <c r="X600" s="87"/>
      <c r="Y600" s="87"/>
      <c r="Z600" s="87"/>
      <c r="AA600" s="87"/>
      <c r="AB600" s="87"/>
      <c r="AI600" s="87"/>
      <c r="AJ600" s="87"/>
      <c r="AK600" s="87"/>
      <c r="AL600" s="87"/>
      <c r="AM600" s="87"/>
      <c r="AN600" s="87"/>
      <c r="AO600" s="87"/>
      <c r="AP600" s="87"/>
      <c r="AQ600" s="87"/>
      <c r="AR600" s="87"/>
      <c r="BC600" s="87"/>
      <c r="BD600" s="87"/>
      <c r="BE600" s="87"/>
      <c r="BF600" s="87"/>
      <c r="BG600" s="87"/>
      <c r="BH600" s="87"/>
    </row>
    <row r="601" spans="4:60" x14ac:dyDescent="0.3">
      <c r="D601" s="89"/>
      <c r="E601" s="89"/>
      <c r="F601" s="100" t="str">
        <f t="shared" si="58"/>
        <v/>
      </c>
      <c r="T601" s="87"/>
      <c r="U601" s="87"/>
      <c r="V601" s="87"/>
      <c r="W601" s="87"/>
      <c r="X601" s="87"/>
      <c r="Y601" s="87"/>
      <c r="Z601" s="87"/>
      <c r="AA601" s="87"/>
      <c r="AB601" s="87"/>
      <c r="AI601" s="87"/>
      <c r="AJ601" s="87"/>
      <c r="AK601" s="87"/>
      <c r="AL601" s="87"/>
      <c r="AM601" s="87"/>
      <c r="AN601" s="87"/>
      <c r="AO601" s="87"/>
      <c r="AP601" s="87"/>
      <c r="AQ601" s="87"/>
      <c r="AR601" s="87"/>
      <c r="BC601" s="87"/>
      <c r="BD601" s="87"/>
      <c r="BE601" s="87"/>
      <c r="BF601" s="87"/>
      <c r="BG601" s="87"/>
      <c r="BH601" s="87"/>
    </row>
    <row r="602" spans="4:60" x14ac:dyDescent="0.3">
      <c r="D602" s="89"/>
      <c r="E602" s="89"/>
      <c r="F602" s="100" t="str">
        <f t="shared" si="58"/>
        <v/>
      </c>
      <c r="T602" s="87"/>
      <c r="U602" s="87"/>
      <c r="V602" s="87"/>
      <c r="W602" s="87"/>
      <c r="X602" s="87"/>
      <c r="Y602" s="87"/>
      <c r="Z602" s="87"/>
      <c r="AA602" s="87"/>
      <c r="AB602" s="87"/>
      <c r="AI602" s="87"/>
      <c r="AJ602" s="87"/>
      <c r="AK602" s="87"/>
      <c r="AL602" s="87"/>
      <c r="AM602" s="87"/>
      <c r="AN602" s="87"/>
      <c r="AO602" s="87"/>
      <c r="AP602" s="87"/>
      <c r="AQ602" s="87"/>
      <c r="AR602" s="87"/>
      <c r="BC602" s="87"/>
      <c r="BD602" s="87"/>
      <c r="BE602" s="87"/>
      <c r="BF602" s="87"/>
      <c r="BG602" s="87"/>
      <c r="BH602" s="87"/>
    </row>
    <row r="603" spans="4:60" x14ac:dyDescent="0.3">
      <c r="D603" s="89"/>
      <c r="E603" s="89"/>
      <c r="F603" s="100" t="str">
        <f t="shared" si="58"/>
        <v/>
      </c>
      <c r="T603" s="87"/>
      <c r="U603" s="87"/>
      <c r="V603" s="87"/>
      <c r="W603" s="87"/>
      <c r="X603" s="87"/>
      <c r="Y603" s="87"/>
      <c r="Z603" s="87"/>
      <c r="AA603" s="87"/>
      <c r="AB603" s="87"/>
      <c r="AI603" s="87"/>
      <c r="AJ603" s="87"/>
      <c r="AK603" s="87"/>
      <c r="AL603" s="87"/>
      <c r="AM603" s="87"/>
      <c r="AN603" s="87"/>
      <c r="AO603" s="87"/>
      <c r="AP603" s="87"/>
      <c r="AQ603" s="87"/>
      <c r="AR603" s="87"/>
      <c r="BC603" s="87"/>
      <c r="BD603" s="87"/>
      <c r="BE603" s="87"/>
      <c r="BF603" s="87"/>
      <c r="BG603" s="87"/>
      <c r="BH603" s="87"/>
    </row>
    <row r="604" spans="4:60" x14ac:dyDescent="0.3">
      <c r="D604" s="89"/>
      <c r="E604" s="89"/>
      <c r="F604" s="100" t="str">
        <f t="shared" si="58"/>
        <v/>
      </c>
      <c r="T604" s="87"/>
      <c r="U604" s="87"/>
      <c r="V604" s="87"/>
      <c r="W604" s="87"/>
      <c r="X604" s="87"/>
      <c r="Y604" s="87"/>
      <c r="Z604" s="87"/>
      <c r="AA604" s="87"/>
      <c r="AB604" s="87"/>
      <c r="AI604" s="87"/>
      <c r="AJ604" s="87"/>
      <c r="AK604" s="87"/>
      <c r="AL604" s="87"/>
      <c r="AM604" s="87"/>
      <c r="AN604" s="87"/>
      <c r="AO604" s="87"/>
      <c r="AP604" s="87"/>
      <c r="AQ604" s="87"/>
      <c r="AR604" s="87"/>
      <c r="BC604" s="87"/>
      <c r="BD604" s="87"/>
      <c r="BE604" s="87"/>
      <c r="BF604" s="87"/>
      <c r="BG604" s="87"/>
      <c r="BH604" s="87"/>
    </row>
    <row r="605" spans="4:60" x14ac:dyDescent="0.3">
      <c r="D605" s="89"/>
      <c r="E605" s="89"/>
      <c r="F605" s="100" t="str">
        <f t="shared" si="58"/>
        <v/>
      </c>
      <c r="T605" s="87"/>
      <c r="U605" s="87"/>
      <c r="V605" s="87"/>
      <c r="W605" s="87"/>
      <c r="X605" s="87"/>
      <c r="Y605" s="87"/>
      <c r="Z605" s="87"/>
      <c r="AA605" s="87"/>
      <c r="AB605" s="87"/>
      <c r="AI605" s="87"/>
      <c r="AJ605" s="87"/>
      <c r="AK605" s="87"/>
      <c r="AL605" s="87"/>
      <c r="AM605" s="87"/>
      <c r="AN605" s="87"/>
      <c r="AO605" s="87"/>
      <c r="AP605" s="87"/>
      <c r="AQ605" s="87"/>
      <c r="AR605" s="87"/>
      <c r="BC605" s="87"/>
      <c r="BD605" s="87"/>
      <c r="BE605" s="87"/>
      <c r="BF605" s="87"/>
      <c r="BG605" s="87"/>
      <c r="BH605" s="87"/>
    </row>
    <row r="606" spans="4:60" x14ac:dyDescent="0.3">
      <c r="D606" s="89"/>
      <c r="E606" s="89"/>
      <c r="F606" s="100" t="str">
        <f t="shared" si="58"/>
        <v/>
      </c>
      <c r="T606" s="87"/>
      <c r="U606" s="87"/>
      <c r="V606" s="87"/>
      <c r="W606" s="87"/>
      <c r="X606" s="87"/>
      <c r="Y606" s="87"/>
      <c r="Z606" s="87"/>
      <c r="AA606" s="87"/>
      <c r="AB606" s="87"/>
      <c r="AI606" s="87"/>
      <c r="AJ606" s="87"/>
      <c r="AK606" s="87"/>
      <c r="AL606" s="87"/>
      <c r="AM606" s="87"/>
      <c r="AN606" s="87"/>
      <c r="AO606" s="87"/>
      <c r="AP606" s="87"/>
      <c r="AQ606" s="87"/>
      <c r="AR606" s="87"/>
      <c r="BC606" s="87"/>
      <c r="BD606" s="87"/>
      <c r="BE606" s="87"/>
      <c r="BF606" s="87"/>
      <c r="BG606" s="87"/>
      <c r="BH606" s="87"/>
    </row>
    <row r="607" spans="4:60" x14ac:dyDescent="0.3">
      <c r="D607" s="89"/>
      <c r="E607" s="89"/>
      <c r="F607" s="100" t="str">
        <f t="shared" si="58"/>
        <v/>
      </c>
      <c r="T607" s="87"/>
      <c r="U607" s="87"/>
      <c r="V607" s="87"/>
      <c r="W607" s="87"/>
      <c r="X607" s="87"/>
      <c r="Y607" s="87"/>
      <c r="Z607" s="87"/>
      <c r="AA607" s="87"/>
      <c r="AB607" s="87"/>
      <c r="AI607" s="87"/>
      <c r="AJ607" s="87"/>
      <c r="AK607" s="87"/>
      <c r="AL607" s="87"/>
      <c r="AM607" s="87"/>
      <c r="AN607" s="87"/>
      <c r="AO607" s="87"/>
      <c r="AP607" s="87"/>
      <c r="AQ607" s="87"/>
      <c r="AR607" s="87"/>
      <c r="BC607" s="87"/>
      <c r="BD607" s="87"/>
      <c r="BE607" s="87"/>
      <c r="BF607" s="87"/>
      <c r="BG607" s="87"/>
      <c r="BH607" s="87"/>
    </row>
    <row r="608" spans="4:60" x14ac:dyDescent="0.3">
      <c r="D608" s="89"/>
      <c r="E608" s="89"/>
      <c r="F608" s="100" t="str">
        <f t="shared" si="58"/>
        <v/>
      </c>
      <c r="T608" s="87"/>
      <c r="U608" s="87"/>
      <c r="V608" s="87"/>
      <c r="W608" s="87"/>
      <c r="X608" s="87"/>
      <c r="Y608" s="87"/>
      <c r="Z608" s="87"/>
      <c r="AA608" s="87"/>
      <c r="AB608" s="87"/>
      <c r="AI608" s="87"/>
      <c r="AJ608" s="87"/>
      <c r="AK608" s="87"/>
      <c r="AL608" s="87"/>
      <c r="AM608" s="87"/>
      <c r="AN608" s="87"/>
      <c r="AO608" s="87"/>
      <c r="AP608" s="87"/>
      <c r="AQ608" s="87"/>
      <c r="AR608" s="87"/>
      <c r="BC608" s="87"/>
      <c r="BD608" s="87"/>
      <c r="BE608" s="87"/>
      <c r="BF608" s="87"/>
      <c r="BG608" s="87"/>
      <c r="BH608" s="87"/>
    </row>
    <row r="609" spans="4:60" x14ac:dyDescent="0.3">
      <c r="D609" s="89"/>
      <c r="E609" s="89"/>
      <c r="F609" s="100" t="str">
        <f t="shared" si="58"/>
        <v/>
      </c>
      <c r="T609" s="87"/>
      <c r="U609" s="87"/>
      <c r="V609" s="87"/>
      <c r="W609" s="87"/>
      <c r="X609" s="87"/>
      <c r="Y609" s="87"/>
      <c r="Z609" s="87"/>
      <c r="AA609" s="87"/>
      <c r="AB609" s="87"/>
      <c r="AI609" s="87"/>
      <c r="AJ609" s="87"/>
      <c r="AK609" s="87"/>
      <c r="AL609" s="87"/>
      <c r="AM609" s="87"/>
      <c r="AN609" s="87"/>
      <c r="AO609" s="87"/>
      <c r="AP609" s="87"/>
      <c r="AQ609" s="87"/>
      <c r="AR609" s="87"/>
      <c r="BC609" s="87"/>
      <c r="BD609" s="87"/>
      <c r="BE609" s="87"/>
      <c r="BF609" s="87"/>
      <c r="BG609" s="87"/>
      <c r="BH609" s="87"/>
    </row>
    <row r="610" spans="4:60" x14ac:dyDescent="0.3">
      <c r="D610" s="89"/>
      <c r="E610" s="89"/>
      <c r="F610" s="100" t="str">
        <f t="shared" si="58"/>
        <v/>
      </c>
      <c r="T610" s="87"/>
      <c r="U610" s="87"/>
      <c r="V610" s="87"/>
      <c r="W610" s="87"/>
      <c r="X610" s="87"/>
      <c r="Y610" s="87"/>
      <c r="Z610" s="87"/>
      <c r="AA610" s="87"/>
      <c r="AB610" s="87"/>
      <c r="AI610" s="87"/>
      <c r="AJ610" s="87"/>
      <c r="AK610" s="87"/>
      <c r="AL610" s="87"/>
      <c r="AM610" s="87"/>
      <c r="AN610" s="87"/>
      <c r="AO610" s="87"/>
      <c r="AP610" s="87"/>
      <c r="AQ610" s="87"/>
      <c r="AR610" s="87"/>
      <c r="BC610" s="87"/>
      <c r="BD610" s="87"/>
      <c r="BE610" s="87"/>
      <c r="BF610" s="87"/>
      <c r="BG610" s="87"/>
      <c r="BH610" s="87"/>
    </row>
    <row r="611" spans="4:60" x14ac:dyDescent="0.3">
      <c r="D611" s="89"/>
      <c r="E611" s="89"/>
      <c r="F611" s="100" t="str">
        <f t="shared" si="58"/>
        <v/>
      </c>
      <c r="T611" s="87"/>
      <c r="U611" s="87"/>
      <c r="V611" s="87"/>
      <c r="W611" s="87"/>
      <c r="X611" s="87"/>
      <c r="Y611" s="87"/>
      <c r="Z611" s="87"/>
      <c r="AA611" s="87"/>
      <c r="AB611" s="87"/>
      <c r="AI611" s="87"/>
      <c r="AJ611" s="87"/>
      <c r="AK611" s="87"/>
      <c r="AL611" s="87"/>
      <c r="AM611" s="87"/>
      <c r="AN611" s="87"/>
      <c r="AO611" s="87"/>
      <c r="AP611" s="87"/>
      <c r="AQ611" s="87"/>
      <c r="AR611" s="87"/>
      <c r="BC611" s="87"/>
      <c r="BD611" s="87"/>
      <c r="BE611" s="87"/>
      <c r="BF611" s="87"/>
      <c r="BG611" s="87"/>
      <c r="BH611" s="87"/>
    </row>
    <row r="612" spans="4:60" x14ac:dyDescent="0.3">
      <c r="D612" s="89"/>
      <c r="E612" s="89"/>
      <c r="F612" s="100" t="str">
        <f t="shared" si="58"/>
        <v/>
      </c>
      <c r="T612" s="87"/>
      <c r="U612" s="87"/>
      <c r="V612" s="87"/>
      <c r="W612" s="87"/>
      <c r="X612" s="87"/>
      <c r="Y612" s="87"/>
      <c r="Z612" s="87"/>
      <c r="AA612" s="87"/>
      <c r="AB612" s="87"/>
      <c r="AI612" s="87"/>
      <c r="AJ612" s="87"/>
      <c r="AK612" s="87"/>
      <c r="AL612" s="87"/>
      <c r="AM612" s="87"/>
      <c r="AN612" s="87"/>
      <c r="AO612" s="87"/>
      <c r="AP612" s="87"/>
      <c r="AQ612" s="87"/>
      <c r="AR612" s="87"/>
      <c r="BC612" s="87"/>
      <c r="BD612" s="87"/>
      <c r="BE612" s="87"/>
      <c r="BF612" s="87"/>
      <c r="BG612" s="87"/>
      <c r="BH612" s="87"/>
    </row>
    <row r="613" spans="4:60" x14ac:dyDescent="0.3">
      <c r="D613" s="89"/>
      <c r="E613" s="89"/>
      <c r="F613" s="100" t="str">
        <f t="shared" si="58"/>
        <v/>
      </c>
      <c r="T613" s="87"/>
      <c r="U613" s="87"/>
      <c r="V613" s="87"/>
      <c r="W613" s="87"/>
      <c r="X613" s="87"/>
      <c r="Y613" s="87"/>
      <c r="Z613" s="87"/>
      <c r="AA613" s="87"/>
      <c r="AB613" s="87"/>
      <c r="AI613" s="87"/>
      <c r="AJ613" s="87"/>
      <c r="AK613" s="87"/>
      <c r="AL613" s="87"/>
      <c r="AM613" s="87"/>
      <c r="AN613" s="87"/>
      <c r="AO613" s="87"/>
      <c r="AP613" s="87"/>
      <c r="AQ613" s="87"/>
      <c r="AR613" s="87"/>
      <c r="BC613" s="87"/>
      <c r="BD613" s="87"/>
      <c r="BE613" s="87"/>
      <c r="BF613" s="87"/>
      <c r="BG613" s="87"/>
      <c r="BH613" s="87"/>
    </row>
    <row r="614" spans="4:60" x14ac:dyDescent="0.3">
      <c r="D614" s="89"/>
      <c r="E614" s="89"/>
      <c r="F614" s="100" t="str">
        <f t="shared" si="58"/>
        <v/>
      </c>
      <c r="T614" s="87"/>
      <c r="U614" s="87"/>
      <c r="V614" s="87"/>
      <c r="W614" s="87"/>
      <c r="X614" s="87"/>
      <c r="Y614" s="87"/>
      <c r="Z614" s="87"/>
      <c r="AA614" s="87"/>
      <c r="AB614" s="87"/>
      <c r="AI614" s="87"/>
      <c r="AJ614" s="87"/>
      <c r="AK614" s="87"/>
      <c r="AL614" s="87"/>
      <c r="AM614" s="87"/>
      <c r="AN614" s="87"/>
      <c r="AO614" s="87"/>
      <c r="AP614" s="87"/>
      <c r="AQ614" s="87"/>
      <c r="AR614" s="87"/>
      <c r="BC614" s="87"/>
      <c r="BD614" s="87"/>
      <c r="BE614" s="87"/>
      <c r="BF614" s="87"/>
      <c r="BG614" s="87"/>
      <c r="BH614" s="87"/>
    </row>
    <row r="615" spans="4:60" x14ac:dyDescent="0.3">
      <c r="D615" s="89"/>
      <c r="E615" s="89"/>
      <c r="F615" s="100" t="str">
        <f t="shared" si="58"/>
        <v/>
      </c>
      <c r="T615" s="87"/>
      <c r="U615" s="87"/>
      <c r="V615" s="87"/>
      <c r="W615" s="87"/>
      <c r="X615" s="87"/>
      <c r="Y615" s="87"/>
      <c r="Z615" s="87"/>
      <c r="AA615" s="87"/>
      <c r="AB615" s="87"/>
      <c r="AI615" s="87"/>
      <c r="AJ615" s="87"/>
      <c r="AK615" s="87"/>
      <c r="AL615" s="87"/>
      <c r="AM615" s="87"/>
      <c r="AN615" s="87"/>
      <c r="AO615" s="87"/>
      <c r="AP615" s="87"/>
      <c r="AQ615" s="87"/>
      <c r="AR615" s="87"/>
      <c r="BC615" s="87"/>
      <c r="BD615" s="87"/>
      <c r="BE615" s="87"/>
      <c r="BF615" s="87"/>
      <c r="BG615" s="87"/>
      <c r="BH615" s="87"/>
    </row>
    <row r="616" spans="4:60" x14ac:dyDescent="0.3">
      <c r="D616" s="89"/>
      <c r="E616" s="89"/>
      <c r="F616" s="100" t="str">
        <f t="shared" si="58"/>
        <v/>
      </c>
      <c r="T616" s="87"/>
      <c r="U616" s="87"/>
      <c r="V616" s="87"/>
      <c r="W616" s="87"/>
      <c r="X616" s="87"/>
      <c r="Y616" s="87"/>
      <c r="Z616" s="87"/>
      <c r="AA616" s="87"/>
      <c r="AB616" s="87"/>
      <c r="AI616" s="87"/>
      <c r="AJ616" s="87"/>
      <c r="AK616" s="87"/>
      <c r="AL616" s="87"/>
      <c r="AM616" s="87"/>
      <c r="AN616" s="87"/>
      <c r="AO616" s="87"/>
      <c r="AP616" s="87"/>
      <c r="AQ616" s="87"/>
      <c r="AR616" s="87"/>
      <c r="BC616" s="87"/>
      <c r="BD616" s="87"/>
      <c r="BE616" s="87"/>
      <c r="BF616" s="87"/>
      <c r="BG616" s="87"/>
      <c r="BH616" s="87"/>
    </row>
    <row r="617" spans="4:60" x14ac:dyDescent="0.3">
      <c r="D617" s="89"/>
      <c r="E617" s="89"/>
      <c r="F617" s="100" t="str">
        <f t="shared" si="58"/>
        <v/>
      </c>
      <c r="T617" s="87"/>
      <c r="U617" s="87"/>
      <c r="V617" s="87"/>
      <c r="W617" s="87"/>
      <c r="X617" s="87"/>
      <c r="Y617" s="87"/>
      <c r="Z617" s="87"/>
      <c r="AA617" s="87"/>
      <c r="AB617" s="87"/>
      <c r="AI617" s="87"/>
      <c r="AJ617" s="87"/>
      <c r="AK617" s="87"/>
      <c r="AL617" s="87"/>
      <c r="AM617" s="87"/>
      <c r="AN617" s="87"/>
      <c r="AO617" s="87"/>
      <c r="AP617" s="87"/>
      <c r="AQ617" s="87"/>
      <c r="AR617" s="87"/>
      <c r="BC617" s="87"/>
      <c r="BD617" s="87"/>
      <c r="BE617" s="87"/>
      <c r="BF617" s="87"/>
      <c r="BG617" s="87"/>
      <c r="BH617" s="87"/>
    </row>
    <row r="618" spans="4:60" x14ac:dyDescent="0.3">
      <c r="D618" s="89"/>
      <c r="E618" s="89"/>
      <c r="F618" s="100" t="str">
        <f t="shared" si="58"/>
        <v/>
      </c>
      <c r="T618" s="87"/>
      <c r="U618" s="87"/>
      <c r="V618" s="87"/>
      <c r="W618" s="87"/>
      <c r="X618" s="87"/>
      <c r="Y618" s="87"/>
      <c r="Z618" s="87"/>
      <c r="AA618" s="87"/>
      <c r="AB618" s="87"/>
      <c r="AI618" s="87"/>
      <c r="AJ618" s="87"/>
      <c r="AK618" s="87"/>
      <c r="AL618" s="87"/>
      <c r="AM618" s="87"/>
      <c r="AN618" s="87"/>
      <c r="AO618" s="87"/>
      <c r="AP618" s="87"/>
      <c r="AQ618" s="87"/>
      <c r="AR618" s="87"/>
      <c r="BC618" s="87"/>
      <c r="BD618" s="87"/>
      <c r="BE618" s="87"/>
      <c r="BF618" s="87"/>
      <c r="BG618" s="87"/>
      <c r="BH618" s="87"/>
    </row>
    <row r="619" spans="4:60" x14ac:dyDescent="0.3">
      <c r="D619" s="89"/>
      <c r="E619" s="89"/>
      <c r="F619" s="100" t="str">
        <f t="shared" si="58"/>
        <v/>
      </c>
      <c r="T619" s="87"/>
      <c r="U619" s="87"/>
      <c r="V619" s="87"/>
      <c r="W619" s="87"/>
      <c r="X619" s="87"/>
      <c r="Y619" s="87"/>
      <c r="Z619" s="87"/>
      <c r="AA619" s="87"/>
      <c r="AB619" s="87"/>
      <c r="AI619" s="87"/>
      <c r="AJ619" s="87"/>
      <c r="AK619" s="87"/>
      <c r="AL619" s="87"/>
      <c r="AM619" s="87"/>
      <c r="AN619" s="87"/>
      <c r="AO619" s="87"/>
      <c r="AP619" s="87"/>
      <c r="AQ619" s="87"/>
      <c r="AR619" s="87"/>
      <c r="BC619" s="87"/>
      <c r="BD619" s="87"/>
      <c r="BE619" s="87"/>
      <c r="BF619" s="87"/>
      <c r="BG619" s="87"/>
      <c r="BH619" s="87"/>
    </row>
    <row r="620" spans="4:60" x14ac:dyDescent="0.3">
      <c r="D620" s="89"/>
      <c r="E620" s="89"/>
      <c r="F620" s="100" t="str">
        <f t="shared" si="58"/>
        <v/>
      </c>
      <c r="T620" s="87"/>
      <c r="U620" s="87"/>
      <c r="V620" s="87"/>
      <c r="W620" s="87"/>
      <c r="X620" s="87"/>
      <c r="Y620" s="87"/>
      <c r="Z620" s="87"/>
      <c r="AA620" s="87"/>
      <c r="AB620" s="87"/>
      <c r="AI620" s="87"/>
      <c r="AJ620" s="87"/>
      <c r="AK620" s="87"/>
      <c r="AL620" s="87"/>
      <c r="AM620" s="87"/>
      <c r="AN620" s="87"/>
      <c r="AO620" s="87"/>
      <c r="AP620" s="87"/>
      <c r="AQ620" s="87"/>
      <c r="AR620" s="87"/>
      <c r="BC620" s="87"/>
      <c r="BD620" s="87"/>
      <c r="BE620" s="87"/>
      <c r="BF620" s="87"/>
      <c r="BG620" s="87"/>
      <c r="BH620" s="87"/>
    </row>
    <row r="621" spans="4:60" x14ac:dyDescent="0.3">
      <c r="D621" s="89"/>
      <c r="E621" s="89"/>
      <c r="F621" s="100" t="str">
        <f t="shared" si="58"/>
        <v/>
      </c>
      <c r="T621" s="87"/>
      <c r="U621" s="87"/>
      <c r="V621" s="87"/>
      <c r="W621" s="87"/>
      <c r="X621" s="87"/>
      <c r="Y621" s="87"/>
      <c r="Z621" s="87"/>
      <c r="AA621" s="87"/>
      <c r="AB621" s="87"/>
      <c r="AI621" s="87"/>
      <c r="AJ621" s="87"/>
      <c r="AK621" s="87"/>
      <c r="AL621" s="87"/>
      <c r="AM621" s="87"/>
      <c r="AN621" s="87"/>
      <c r="AO621" s="87"/>
      <c r="AP621" s="87"/>
      <c r="AQ621" s="87"/>
      <c r="AR621" s="87"/>
      <c r="BC621" s="87"/>
      <c r="BD621" s="87"/>
      <c r="BE621" s="87"/>
      <c r="BF621" s="87"/>
      <c r="BG621" s="87"/>
      <c r="BH621" s="87"/>
    </row>
    <row r="622" spans="4:60" x14ac:dyDescent="0.3">
      <c r="D622" s="89"/>
      <c r="E622" s="89"/>
      <c r="F622" s="100" t="str">
        <f t="shared" si="58"/>
        <v/>
      </c>
      <c r="T622" s="87"/>
      <c r="U622" s="87"/>
      <c r="V622" s="87"/>
      <c r="W622" s="87"/>
      <c r="X622" s="87"/>
      <c r="Y622" s="87"/>
      <c r="Z622" s="87"/>
      <c r="AA622" s="87"/>
      <c r="AB622" s="87"/>
      <c r="AI622" s="87"/>
      <c r="AJ622" s="87"/>
      <c r="AK622" s="87"/>
      <c r="AL622" s="87"/>
      <c r="AM622" s="87"/>
      <c r="AN622" s="87"/>
      <c r="AO622" s="87"/>
      <c r="AP622" s="87"/>
      <c r="AQ622" s="87"/>
      <c r="AR622" s="87"/>
      <c r="BC622" s="87"/>
      <c r="BD622" s="87"/>
      <c r="BE622" s="87"/>
      <c r="BF622" s="87"/>
      <c r="BG622" s="87"/>
      <c r="BH622" s="87"/>
    </row>
    <row r="623" spans="4:60" x14ac:dyDescent="0.3">
      <c r="D623" s="89"/>
      <c r="E623" s="89"/>
      <c r="F623" s="100" t="str">
        <f t="shared" si="58"/>
        <v/>
      </c>
      <c r="T623" s="87"/>
      <c r="U623" s="87"/>
      <c r="V623" s="87"/>
      <c r="W623" s="87"/>
      <c r="X623" s="87"/>
      <c r="Y623" s="87"/>
      <c r="Z623" s="87"/>
      <c r="AA623" s="87"/>
      <c r="AB623" s="87"/>
      <c r="AI623" s="87"/>
      <c r="AJ623" s="87"/>
      <c r="AK623" s="87"/>
      <c r="AL623" s="87"/>
      <c r="AM623" s="87"/>
      <c r="AN623" s="87"/>
      <c r="AO623" s="87"/>
      <c r="AP623" s="87"/>
      <c r="AQ623" s="87"/>
      <c r="AR623" s="87"/>
      <c r="BC623" s="87"/>
      <c r="BD623" s="87"/>
      <c r="BE623" s="87"/>
      <c r="BF623" s="87"/>
      <c r="BG623" s="87"/>
      <c r="BH623" s="87"/>
    </row>
    <row r="624" spans="4:60" x14ac:dyDescent="0.3">
      <c r="D624" s="89"/>
      <c r="E624" s="89"/>
      <c r="F624" s="100" t="str">
        <f t="shared" si="58"/>
        <v/>
      </c>
      <c r="T624" s="87"/>
      <c r="U624" s="87"/>
      <c r="V624" s="87"/>
      <c r="W624" s="87"/>
      <c r="X624" s="87"/>
      <c r="Y624" s="87"/>
      <c r="Z624" s="87"/>
      <c r="AA624" s="87"/>
      <c r="AB624" s="87"/>
      <c r="AI624" s="87"/>
      <c r="AJ624" s="87"/>
      <c r="AK624" s="87"/>
      <c r="AL624" s="87"/>
      <c r="AM624" s="87"/>
      <c r="AN624" s="87"/>
      <c r="AO624" s="87"/>
      <c r="AP624" s="87"/>
      <c r="AQ624" s="87"/>
      <c r="AR624" s="87"/>
      <c r="BC624" s="87"/>
      <c r="BD624" s="87"/>
      <c r="BE624" s="87"/>
      <c r="BF624" s="87"/>
      <c r="BG624" s="87"/>
      <c r="BH624" s="87"/>
    </row>
    <row r="625" spans="4:60" x14ac:dyDescent="0.3">
      <c r="D625" s="89"/>
      <c r="E625" s="89"/>
      <c r="F625" s="100" t="str">
        <f t="shared" si="58"/>
        <v/>
      </c>
      <c r="T625" s="87"/>
      <c r="U625" s="87"/>
      <c r="V625" s="87"/>
      <c r="W625" s="87"/>
      <c r="X625" s="87"/>
      <c r="Y625" s="87"/>
      <c r="Z625" s="87"/>
      <c r="AA625" s="87"/>
      <c r="AB625" s="87"/>
      <c r="AI625" s="87"/>
      <c r="AJ625" s="87"/>
      <c r="AK625" s="87"/>
      <c r="AL625" s="87"/>
      <c r="AM625" s="87"/>
      <c r="AN625" s="87"/>
      <c r="AO625" s="87"/>
      <c r="AP625" s="87"/>
      <c r="AQ625" s="87"/>
      <c r="AR625" s="87"/>
      <c r="BC625" s="87"/>
      <c r="BD625" s="87"/>
      <c r="BE625" s="87"/>
      <c r="BF625" s="87"/>
      <c r="BG625" s="87"/>
      <c r="BH625" s="87"/>
    </row>
    <row r="626" spans="4:60" x14ac:dyDescent="0.3">
      <c r="D626" s="89"/>
      <c r="E626" s="89"/>
      <c r="F626" s="100" t="str">
        <f t="shared" si="58"/>
        <v/>
      </c>
      <c r="T626" s="87"/>
      <c r="U626" s="87"/>
      <c r="V626" s="87"/>
      <c r="W626" s="87"/>
      <c r="X626" s="87"/>
      <c r="Y626" s="87"/>
      <c r="Z626" s="87"/>
      <c r="AA626" s="87"/>
      <c r="AB626" s="87"/>
      <c r="AI626" s="87"/>
      <c r="AJ626" s="87"/>
      <c r="AK626" s="87"/>
      <c r="AL626" s="87"/>
      <c r="AM626" s="87"/>
      <c r="AN626" s="87"/>
      <c r="AO626" s="87"/>
      <c r="AP626" s="87"/>
      <c r="AQ626" s="87"/>
      <c r="AR626" s="87"/>
      <c r="BC626" s="87"/>
      <c r="BD626" s="87"/>
      <c r="BE626" s="87"/>
      <c r="BF626" s="87"/>
      <c r="BG626" s="87"/>
      <c r="BH626" s="87"/>
    </row>
    <row r="627" spans="4:60" x14ac:dyDescent="0.3">
      <c r="D627" s="89"/>
      <c r="E627" s="89"/>
      <c r="F627" s="100" t="str">
        <f t="shared" si="58"/>
        <v/>
      </c>
      <c r="T627" s="87"/>
      <c r="U627" s="87"/>
      <c r="V627" s="87"/>
      <c r="W627" s="87"/>
      <c r="X627" s="87"/>
      <c r="Y627" s="87"/>
      <c r="Z627" s="87"/>
      <c r="AA627" s="87"/>
      <c r="AB627" s="87"/>
      <c r="AI627" s="87"/>
      <c r="AJ627" s="87"/>
      <c r="AK627" s="87"/>
      <c r="AL627" s="87"/>
      <c r="AM627" s="87"/>
      <c r="AN627" s="87"/>
      <c r="AO627" s="87"/>
      <c r="AP627" s="87"/>
      <c r="AQ627" s="87"/>
      <c r="AR627" s="87"/>
      <c r="BC627" s="87"/>
      <c r="BD627" s="87"/>
      <c r="BE627" s="87"/>
      <c r="BF627" s="87"/>
      <c r="BG627" s="87"/>
      <c r="BH627" s="87"/>
    </row>
    <row r="628" spans="4:60" x14ac:dyDescent="0.3">
      <c r="D628" s="89"/>
      <c r="E628" s="89"/>
      <c r="F628" s="100" t="str">
        <f t="shared" si="58"/>
        <v/>
      </c>
      <c r="T628" s="87"/>
      <c r="U628" s="87"/>
      <c r="V628" s="87"/>
      <c r="W628" s="87"/>
      <c r="X628" s="87"/>
      <c r="Y628" s="87"/>
      <c r="Z628" s="87"/>
      <c r="AA628" s="87"/>
      <c r="AB628" s="87"/>
      <c r="AI628" s="87"/>
      <c r="AJ628" s="87"/>
      <c r="AK628" s="87"/>
      <c r="AL628" s="87"/>
      <c r="AM628" s="87"/>
      <c r="AN628" s="87"/>
      <c r="AO628" s="87"/>
      <c r="AP628" s="87"/>
      <c r="AQ628" s="87"/>
      <c r="AR628" s="87"/>
      <c r="BC628" s="87"/>
      <c r="BD628" s="87"/>
      <c r="BE628" s="87"/>
      <c r="BF628" s="87"/>
      <c r="BG628" s="87"/>
      <c r="BH628" s="87"/>
    </row>
    <row r="629" spans="4:60" x14ac:dyDescent="0.3">
      <c r="D629" s="89"/>
      <c r="E629" s="89"/>
      <c r="F629" s="100" t="str">
        <f t="shared" si="58"/>
        <v/>
      </c>
      <c r="T629" s="87"/>
      <c r="U629" s="87"/>
      <c r="V629" s="87"/>
      <c r="W629" s="87"/>
      <c r="X629" s="87"/>
      <c r="Y629" s="87"/>
      <c r="Z629" s="87"/>
      <c r="AA629" s="87"/>
      <c r="AB629" s="87"/>
      <c r="AI629" s="87"/>
      <c r="AJ629" s="87"/>
      <c r="AK629" s="87"/>
      <c r="AL629" s="87"/>
      <c r="AM629" s="87"/>
      <c r="AN629" s="87"/>
      <c r="AO629" s="87"/>
      <c r="AP629" s="87"/>
      <c r="AQ629" s="87"/>
      <c r="AR629" s="87"/>
      <c r="BC629" s="87"/>
      <c r="BD629" s="87"/>
      <c r="BE629" s="87"/>
      <c r="BF629" s="87"/>
      <c r="BG629" s="87"/>
      <c r="BH629" s="87"/>
    </row>
    <row r="630" spans="4:60" x14ac:dyDescent="0.3">
      <c r="D630" s="89"/>
      <c r="E630" s="89"/>
      <c r="F630" s="100" t="str">
        <f t="shared" si="58"/>
        <v/>
      </c>
      <c r="T630" s="87"/>
      <c r="U630" s="87"/>
      <c r="V630" s="87"/>
      <c r="W630" s="87"/>
      <c r="X630" s="87"/>
      <c r="Y630" s="87"/>
      <c r="Z630" s="87"/>
      <c r="AA630" s="87"/>
      <c r="AB630" s="87"/>
      <c r="AI630" s="87"/>
      <c r="AJ630" s="87"/>
      <c r="AK630" s="87"/>
      <c r="AL630" s="87"/>
      <c r="AM630" s="87"/>
      <c r="AN630" s="87"/>
      <c r="AO630" s="87"/>
      <c r="AP630" s="87"/>
      <c r="AQ630" s="87"/>
      <c r="AR630" s="87"/>
      <c r="BC630" s="87"/>
      <c r="BD630" s="87"/>
      <c r="BE630" s="87"/>
      <c r="BF630" s="87"/>
      <c r="BG630" s="87"/>
      <c r="BH630" s="87"/>
    </row>
    <row r="631" spans="4:60" x14ac:dyDescent="0.3">
      <c r="D631" s="89"/>
      <c r="E631" s="89"/>
      <c r="F631" s="100" t="str">
        <f t="shared" si="58"/>
        <v/>
      </c>
      <c r="T631" s="87"/>
      <c r="U631" s="87"/>
      <c r="V631" s="87"/>
      <c r="W631" s="87"/>
      <c r="X631" s="87"/>
      <c r="Y631" s="87"/>
      <c r="Z631" s="87"/>
      <c r="AA631" s="87"/>
      <c r="AB631" s="87"/>
      <c r="AI631" s="87"/>
      <c r="AJ631" s="87"/>
      <c r="AK631" s="87"/>
      <c r="AL631" s="87"/>
      <c r="AM631" s="87"/>
      <c r="AN631" s="87"/>
      <c r="AO631" s="87"/>
      <c r="AP631" s="87"/>
      <c r="AQ631" s="87"/>
      <c r="AR631" s="87"/>
      <c r="BC631" s="87"/>
      <c r="BD631" s="87"/>
      <c r="BE631" s="87"/>
      <c r="BF631" s="87"/>
      <c r="BG631" s="87"/>
      <c r="BH631" s="87"/>
    </row>
    <row r="632" spans="4:60" x14ac:dyDescent="0.3">
      <c r="D632" s="89"/>
      <c r="E632" s="89"/>
      <c r="F632" s="100" t="str">
        <f t="shared" si="58"/>
        <v/>
      </c>
      <c r="T632" s="87"/>
      <c r="U632" s="87"/>
      <c r="V632" s="87"/>
      <c r="W632" s="87"/>
      <c r="X632" s="87"/>
      <c r="Y632" s="87"/>
      <c r="Z632" s="87"/>
      <c r="AA632" s="87"/>
      <c r="AB632" s="87"/>
      <c r="AI632" s="87"/>
      <c r="AJ632" s="87"/>
      <c r="AK632" s="87"/>
      <c r="AL632" s="87"/>
      <c r="AM632" s="87"/>
      <c r="AN632" s="87"/>
      <c r="AO632" s="87"/>
      <c r="AP632" s="87"/>
      <c r="AQ632" s="87"/>
      <c r="AR632" s="87"/>
      <c r="BC632" s="87"/>
      <c r="BD632" s="87"/>
      <c r="BE632" s="87"/>
      <c r="BF632" s="87"/>
      <c r="BG632" s="87"/>
      <c r="BH632" s="87"/>
    </row>
    <row r="633" spans="4:60" x14ac:dyDescent="0.3">
      <c r="D633" s="89"/>
      <c r="E633" s="89"/>
      <c r="F633" s="100" t="str">
        <f t="shared" si="58"/>
        <v/>
      </c>
      <c r="T633" s="87"/>
      <c r="U633" s="87"/>
      <c r="V633" s="87"/>
      <c r="W633" s="87"/>
      <c r="X633" s="87"/>
      <c r="Y633" s="87"/>
      <c r="Z633" s="87"/>
      <c r="AA633" s="87"/>
      <c r="AB633" s="87"/>
      <c r="AI633" s="87"/>
      <c r="AJ633" s="87"/>
      <c r="AK633" s="87"/>
      <c r="AL633" s="87"/>
      <c r="AM633" s="87"/>
      <c r="AN633" s="87"/>
      <c r="AO633" s="87"/>
      <c r="AP633" s="87"/>
      <c r="AQ633" s="87"/>
      <c r="AR633" s="87"/>
      <c r="BC633" s="87"/>
      <c r="BD633" s="87"/>
      <c r="BE633" s="87"/>
      <c r="BF633" s="87"/>
      <c r="BG633" s="87"/>
      <c r="BH633" s="87"/>
    </row>
    <row r="634" spans="4:60" x14ac:dyDescent="0.3">
      <c r="D634" s="89"/>
      <c r="E634" s="89"/>
      <c r="F634" s="100" t="str">
        <f t="shared" si="58"/>
        <v/>
      </c>
      <c r="T634" s="87"/>
      <c r="U634" s="87"/>
      <c r="V634" s="87"/>
      <c r="W634" s="87"/>
      <c r="X634" s="87"/>
      <c r="Y634" s="87"/>
      <c r="Z634" s="87"/>
      <c r="AA634" s="87"/>
      <c r="AB634" s="87"/>
      <c r="AI634" s="87"/>
      <c r="AJ634" s="87"/>
      <c r="AK634" s="87"/>
      <c r="AL634" s="87"/>
      <c r="AM634" s="87"/>
      <c r="AN634" s="87"/>
      <c r="AO634" s="87"/>
      <c r="AP634" s="87"/>
      <c r="AQ634" s="87"/>
      <c r="AR634" s="87"/>
      <c r="BC634" s="87"/>
      <c r="BD634" s="87"/>
      <c r="BE634" s="87"/>
      <c r="BF634" s="87"/>
      <c r="BG634" s="87"/>
      <c r="BH634" s="87"/>
    </row>
    <row r="635" spans="4:60" x14ac:dyDescent="0.3">
      <c r="D635" s="89"/>
      <c r="E635" s="89"/>
      <c r="F635" s="100" t="str">
        <f t="shared" si="58"/>
        <v/>
      </c>
      <c r="T635" s="87"/>
      <c r="U635" s="87"/>
      <c r="V635" s="87"/>
      <c r="W635" s="87"/>
      <c r="X635" s="87"/>
      <c r="Y635" s="87"/>
      <c r="Z635" s="87"/>
      <c r="AA635" s="87"/>
      <c r="AB635" s="87"/>
      <c r="AI635" s="87"/>
      <c r="AJ635" s="87"/>
      <c r="AK635" s="87"/>
      <c r="AL635" s="87"/>
      <c r="AM635" s="87"/>
      <c r="AN635" s="87"/>
      <c r="AO635" s="87"/>
      <c r="AP635" s="87"/>
      <c r="AQ635" s="87"/>
      <c r="AR635" s="87"/>
      <c r="BC635" s="87"/>
      <c r="BD635" s="87"/>
      <c r="BE635" s="87"/>
      <c r="BF635" s="87"/>
      <c r="BG635" s="87"/>
      <c r="BH635" s="87"/>
    </row>
    <row r="636" spans="4:60" x14ac:dyDescent="0.3">
      <c r="D636" s="89"/>
      <c r="E636" s="89"/>
      <c r="F636" s="100" t="str">
        <f t="shared" si="58"/>
        <v/>
      </c>
      <c r="T636" s="87"/>
      <c r="U636" s="87"/>
      <c r="V636" s="87"/>
      <c r="W636" s="87"/>
      <c r="X636" s="87"/>
      <c r="Y636" s="87"/>
      <c r="Z636" s="87"/>
      <c r="AA636" s="87"/>
      <c r="AB636" s="87"/>
      <c r="AI636" s="87"/>
      <c r="AJ636" s="87"/>
      <c r="AK636" s="87"/>
      <c r="AL636" s="87"/>
      <c r="AM636" s="87"/>
      <c r="AN636" s="87"/>
      <c r="AO636" s="87"/>
      <c r="AP636" s="87"/>
      <c r="AQ636" s="87"/>
      <c r="AR636" s="87"/>
      <c r="BC636" s="87"/>
      <c r="BD636" s="87"/>
      <c r="BE636" s="87"/>
      <c r="BF636" s="87"/>
      <c r="BG636" s="87"/>
      <c r="BH636" s="87"/>
    </row>
    <row r="637" spans="4:60" x14ac:dyDescent="0.3">
      <c r="D637" s="89"/>
      <c r="E637" s="89"/>
      <c r="F637" s="100" t="str">
        <f t="shared" si="58"/>
        <v/>
      </c>
      <c r="T637" s="87"/>
      <c r="U637" s="87"/>
      <c r="V637" s="87"/>
      <c r="W637" s="87"/>
      <c r="X637" s="87"/>
      <c r="Y637" s="87"/>
      <c r="Z637" s="87"/>
      <c r="AA637" s="87"/>
      <c r="AB637" s="87"/>
      <c r="AI637" s="87"/>
      <c r="AJ637" s="87"/>
      <c r="AK637" s="87"/>
      <c r="AL637" s="87"/>
      <c r="AM637" s="87"/>
      <c r="AN637" s="87"/>
      <c r="AO637" s="87"/>
      <c r="AP637" s="87"/>
      <c r="AQ637" s="87"/>
      <c r="AR637" s="87"/>
      <c r="BC637" s="87"/>
      <c r="BD637" s="87"/>
      <c r="BE637" s="87"/>
      <c r="BF637" s="87"/>
      <c r="BG637" s="87"/>
      <c r="BH637" s="87"/>
    </row>
    <row r="638" spans="4:60" x14ac:dyDescent="0.3">
      <c r="D638" s="89"/>
      <c r="E638" s="89"/>
      <c r="F638" s="100" t="str">
        <f t="shared" si="58"/>
        <v/>
      </c>
      <c r="T638" s="87"/>
      <c r="U638" s="87"/>
      <c r="V638" s="87"/>
      <c r="W638" s="87"/>
      <c r="X638" s="87"/>
      <c r="Y638" s="87"/>
      <c r="Z638" s="87"/>
      <c r="AA638" s="87"/>
      <c r="AB638" s="87"/>
      <c r="AI638" s="87"/>
      <c r="AJ638" s="87"/>
      <c r="AK638" s="87"/>
      <c r="AL638" s="87"/>
      <c r="AM638" s="87"/>
      <c r="AN638" s="87"/>
      <c r="AO638" s="87"/>
      <c r="AP638" s="87"/>
      <c r="AQ638" s="87"/>
      <c r="AR638" s="87"/>
      <c r="BC638" s="87"/>
      <c r="BD638" s="87"/>
      <c r="BE638" s="87"/>
      <c r="BF638" s="87"/>
      <c r="BG638" s="87"/>
      <c r="BH638" s="87"/>
    </row>
    <row r="639" spans="4:60" x14ac:dyDescent="0.3">
      <c r="D639" s="89"/>
      <c r="E639" s="89"/>
      <c r="F639" s="100" t="str">
        <f t="shared" si="58"/>
        <v/>
      </c>
      <c r="T639" s="87"/>
      <c r="U639" s="87"/>
      <c r="V639" s="87"/>
      <c r="W639" s="87"/>
      <c r="X639" s="87"/>
      <c r="Y639" s="87"/>
      <c r="Z639" s="87"/>
      <c r="AA639" s="87"/>
      <c r="AB639" s="87"/>
      <c r="AI639" s="87"/>
      <c r="AJ639" s="87"/>
      <c r="AK639" s="87"/>
      <c r="AL639" s="87"/>
      <c r="AM639" s="87"/>
      <c r="AN639" s="87"/>
      <c r="AO639" s="87"/>
      <c r="AP639" s="87"/>
      <c r="AQ639" s="87"/>
      <c r="AR639" s="87"/>
      <c r="BC639" s="87"/>
      <c r="BD639" s="87"/>
      <c r="BE639" s="87"/>
      <c r="BF639" s="87"/>
      <c r="BG639" s="87"/>
      <c r="BH639" s="87"/>
    </row>
    <row r="640" spans="4:60" x14ac:dyDescent="0.3">
      <c r="D640" s="89"/>
      <c r="E640" s="89"/>
      <c r="F640" s="100" t="str">
        <f t="shared" si="58"/>
        <v/>
      </c>
      <c r="T640" s="87"/>
      <c r="U640" s="87"/>
      <c r="V640" s="87"/>
      <c r="W640" s="87"/>
      <c r="X640" s="87"/>
      <c r="Y640" s="87"/>
      <c r="Z640" s="87"/>
      <c r="AA640" s="87"/>
      <c r="AB640" s="87"/>
      <c r="AI640" s="87"/>
      <c r="AJ640" s="87"/>
      <c r="AK640" s="87"/>
      <c r="AL640" s="87"/>
      <c r="AM640" s="87"/>
      <c r="AN640" s="87"/>
      <c r="AO640" s="87"/>
      <c r="AP640" s="87"/>
      <c r="AQ640" s="87"/>
      <c r="AR640" s="87"/>
      <c r="BC640" s="87"/>
      <c r="BD640" s="87"/>
      <c r="BE640" s="87"/>
      <c r="BF640" s="87"/>
      <c r="BG640" s="87"/>
      <c r="BH640" s="87"/>
    </row>
    <row r="641" spans="4:60" x14ac:dyDescent="0.3">
      <c r="D641" s="89"/>
      <c r="E641" s="89"/>
      <c r="F641" s="100" t="str">
        <f t="shared" si="58"/>
        <v/>
      </c>
      <c r="T641" s="87"/>
      <c r="U641" s="87"/>
      <c r="V641" s="87"/>
      <c r="W641" s="87"/>
      <c r="X641" s="87"/>
      <c r="Y641" s="87"/>
      <c r="Z641" s="87"/>
      <c r="AA641" s="87"/>
      <c r="AB641" s="87"/>
      <c r="AI641" s="87"/>
      <c r="AJ641" s="87"/>
      <c r="AK641" s="87"/>
      <c r="AL641" s="87"/>
      <c r="AM641" s="87"/>
      <c r="AN641" s="87"/>
      <c r="AO641" s="87"/>
      <c r="AP641" s="87"/>
      <c r="AQ641" s="87"/>
      <c r="AR641" s="87"/>
      <c r="BC641" s="87"/>
      <c r="BD641" s="87"/>
      <c r="BE641" s="87"/>
      <c r="BF641" s="87"/>
      <c r="BG641" s="87"/>
      <c r="BH641" s="87"/>
    </row>
    <row r="642" spans="4:60" x14ac:dyDescent="0.3">
      <c r="D642" s="89"/>
      <c r="E642" s="89"/>
      <c r="F642" s="100" t="str">
        <f t="shared" si="58"/>
        <v/>
      </c>
      <c r="T642" s="87"/>
      <c r="U642" s="87"/>
      <c r="V642" s="87"/>
      <c r="W642" s="87"/>
      <c r="X642" s="87"/>
      <c r="Y642" s="87"/>
      <c r="Z642" s="87"/>
      <c r="AA642" s="87"/>
      <c r="AB642" s="87"/>
      <c r="AI642" s="87"/>
      <c r="AJ642" s="87"/>
      <c r="AK642" s="87"/>
      <c r="AL642" s="87"/>
      <c r="AM642" s="87"/>
      <c r="AN642" s="87"/>
      <c r="AO642" s="87"/>
      <c r="AP642" s="87"/>
      <c r="AQ642" s="87"/>
      <c r="AR642" s="87"/>
      <c r="BC642" s="87"/>
      <c r="BD642" s="87"/>
      <c r="BE642" s="87"/>
      <c r="BF642" s="87"/>
      <c r="BG642" s="87"/>
      <c r="BH642" s="87"/>
    </row>
    <row r="643" spans="4:60" x14ac:dyDescent="0.3">
      <c r="D643" s="89"/>
      <c r="E643" s="89"/>
      <c r="F643" s="100" t="str">
        <f t="shared" si="58"/>
        <v/>
      </c>
      <c r="T643" s="87"/>
      <c r="U643" s="87"/>
      <c r="V643" s="87"/>
      <c r="W643" s="87"/>
      <c r="X643" s="87"/>
      <c r="Y643" s="87"/>
      <c r="Z643" s="87"/>
      <c r="AA643" s="87"/>
      <c r="AB643" s="87"/>
      <c r="AI643" s="87"/>
      <c r="AJ643" s="87"/>
      <c r="AK643" s="87"/>
      <c r="AL643" s="87"/>
      <c r="AM643" s="87"/>
      <c r="AN643" s="87"/>
      <c r="AO643" s="87"/>
      <c r="AP643" s="87"/>
      <c r="AQ643" s="87"/>
      <c r="AR643" s="87"/>
      <c r="BC643" s="87"/>
      <c r="BD643" s="87"/>
      <c r="BE643" s="87"/>
      <c r="BF643" s="87"/>
      <c r="BG643" s="87"/>
      <c r="BH643" s="87"/>
    </row>
    <row r="644" spans="4:60" x14ac:dyDescent="0.3">
      <c r="D644" s="89"/>
      <c r="E644" s="89"/>
      <c r="F644" s="100" t="str">
        <f t="shared" ref="F644:F707" si="59">IF(AND(E644="",D644=""),"",IF(AND(E644="",D644&lt;&gt;""),F643,E644))</f>
        <v/>
      </c>
      <c r="T644" s="87"/>
      <c r="U644" s="87"/>
      <c r="V644" s="87"/>
      <c r="W644" s="87"/>
      <c r="X644" s="87"/>
      <c r="Y644" s="87"/>
      <c r="Z644" s="87"/>
      <c r="AA644" s="87"/>
      <c r="AB644" s="87"/>
      <c r="AI644" s="87"/>
      <c r="AJ644" s="87"/>
      <c r="AK644" s="87"/>
      <c r="AL644" s="87"/>
      <c r="AM644" s="87"/>
      <c r="AN644" s="87"/>
      <c r="AO644" s="87"/>
      <c r="AP644" s="87"/>
      <c r="AQ644" s="87"/>
      <c r="AR644" s="87"/>
      <c r="BC644" s="87"/>
      <c r="BD644" s="87"/>
      <c r="BE644" s="87"/>
      <c r="BF644" s="87"/>
      <c r="BG644" s="87"/>
      <c r="BH644" s="87"/>
    </row>
    <row r="645" spans="4:60" x14ac:dyDescent="0.3">
      <c r="D645" s="89"/>
      <c r="E645" s="89"/>
      <c r="F645" s="100" t="str">
        <f t="shared" si="59"/>
        <v/>
      </c>
      <c r="T645" s="87"/>
      <c r="U645" s="87"/>
      <c r="V645" s="87"/>
      <c r="W645" s="87"/>
      <c r="X645" s="87"/>
      <c r="Y645" s="87"/>
      <c r="Z645" s="87"/>
      <c r="AA645" s="87"/>
      <c r="AB645" s="87"/>
      <c r="AI645" s="87"/>
      <c r="AJ645" s="87"/>
      <c r="AK645" s="87"/>
      <c r="AL645" s="87"/>
      <c r="AM645" s="87"/>
      <c r="AN645" s="87"/>
      <c r="AO645" s="87"/>
      <c r="AP645" s="87"/>
      <c r="AQ645" s="87"/>
      <c r="AR645" s="87"/>
      <c r="BC645" s="87"/>
      <c r="BD645" s="87"/>
      <c r="BE645" s="87"/>
      <c r="BF645" s="87"/>
      <c r="BG645" s="87"/>
      <c r="BH645" s="87"/>
    </row>
    <row r="646" spans="4:60" x14ac:dyDescent="0.3">
      <c r="D646" s="89"/>
      <c r="E646" s="89"/>
      <c r="F646" s="100" t="str">
        <f t="shared" si="59"/>
        <v/>
      </c>
      <c r="T646" s="87"/>
      <c r="U646" s="87"/>
      <c r="V646" s="87"/>
      <c r="W646" s="87"/>
      <c r="X646" s="87"/>
      <c r="Y646" s="87"/>
      <c r="Z646" s="87"/>
      <c r="AA646" s="87"/>
      <c r="AB646" s="87"/>
      <c r="AI646" s="87"/>
      <c r="AJ646" s="87"/>
      <c r="AK646" s="87"/>
      <c r="AL646" s="87"/>
      <c r="AM646" s="87"/>
      <c r="AN646" s="87"/>
      <c r="AO646" s="87"/>
      <c r="AP646" s="87"/>
      <c r="AQ646" s="87"/>
      <c r="AR646" s="87"/>
      <c r="BC646" s="87"/>
      <c r="BD646" s="87"/>
      <c r="BE646" s="87"/>
      <c r="BF646" s="87"/>
      <c r="BG646" s="87"/>
      <c r="BH646" s="87"/>
    </row>
    <row r="647" spans="4:60" x14ac:dyDescent="0.3">
      <c r="D647" s="89"/>
      <c r="E647" s="89"/>
      <c r="F647" s="100" t="str">
        <f t="shared" si="59"/>
        <v/>
      </c>
      <c r="T647" s="87"/>
      <c r="U647" s="87"/>
      <c r="V647" s="87"/>
      <c r="W647" s="87"/>
      <c r="X647" s="87"/>
      <c r="Y647" s="87"/>
      <c r="Z647" s="87"/>
      <c r="AA647" s="87"/>
      <c r="AB647" s="87"/>
      <c r="AI647" s="87"/>
      <c r="AJ647" s="87"/>
      <c r="AK647" s="87"/>
      <c r="AL647" s="87"/>
      <c r="AM647" s="87"/>
      <c r="AN647" s="87"/>
      <c r="AO647" s="87"/>
      <c r="AP647" s="87"/>
      <c r="AQ647" s="87"/>
      <c r="AR647" s="87"/>
      <c r="BC647" s="87"/>
      <c r="BD647" s="87"/>
      <c r="BE647" s="87"/>
      <c r="BF647" s="87"/>
      <c r="BG647" s="87"/>
      <c r="BH647" s="87"/>
    </row>
    <row r="648" spans="4:60" x14ac:dyDescent="0.3">
      <c r="D648" s="89"/>
      <c r="E648" s="89"/>
      <c r="F648" s="100" t="str">
        <f t="shared" si="59"/>
        <v/>
      </c>
      <c r="T648" s="87"/>
      <c r="U648" s="87"/>
      <c r="V648" s="87"/>
      <c r="W648" s="87"/>
      <c r="X648" s="87"/>
      <c r="Y648" s="87"/>
      <c r="Z648" s="87"/>
      <c r="AA648" s="87"/>
      <c r="AB648" s="87"/>
      <c r="AI648" s="87"/>
      <c r="AJ648" s="87"/>
      <c r="AK648" s="87"/>
      <c r="AL648" s="87"/>
      <c r="AM648" s="87"/>
      <c r="AN648" s="87"/>
      <c r="AO648" s="87"/>
      <c r="AP648" s="87"/>
      <c r="AQ648" s="87"/>
      <c r="AR648" s="87"/>
      <c r="BC648" s="87"/>
      <c r="BD648" s="87"/>
      <c r="BE648" s="87"/>
      <c r="BF648" s="87"/>
      <c r="BG648" s="87"/>
      <c r="BH648" s="87"/>
    </row>
    <row r="649" spans="4:60" x14ac:dyDescent="0.3">
      <c r="D649" s="89"/>
      <c r="E649" s="89"/>
      <c r="F649" s="100" t="str">
        <f t="shared" si="59"/>
        <v/>
      </c>
      <c r="T649" s="87"/>
      <c r="U649" s="87"/>
      <c r="V649" s="87"/>
      <c r="W649" s="87"/>
      <c r="X649" s="87"/>
      <c r="Y649" s="87"/>
      <c r="Z649" s="87"/>
      <c r="AA649" s="87"/>
      <c r="AB649" s="87"/>
      <c r="AI649" s="87"/>
      <c r="AJ649" s="87"/>
      <c r="AK649" s="87"/>
      <c r="AL649" s="87"/>
      <c r="AM649" s="87"/>
      <c r="AN649" s="87"/>
      <c r="AO649" s="87"/>
      <c r="AP649" s="87"/>
      <c r="AQ649" s="87"/>
      <c r="AR649" s="87"/>
      <c r="BC649" s="87"/>
      <c r="BD649" s="87"/>
      <c r="BE649" s="87"/>
      <c r="BF649" s="87"/>
      <c r="BG649" s="87"/>
      <c r="BH649" s="87"/>
    </row>
    <row r="650" spans="4:60" x14ac:dyDescent="0.3">
      <c r="D650" s="89"/>
      <c r="E650" s="89"/>
      <c r="F650" s="100" t="str">
        <f t="shared" si="59"/>
        <v/>
      </c>
      <c r="T650" s="87"/>
      <c r="U650" s="87"/>
      <c r="V650" s="87"/>
      <c r="W650" s="87"/>
      <c r="X650" s="87"/>
      <c r="Y650" s="87"/>
      <c r="Z650" s="87"/>
      <c r="AA650" s="87"/>
      <c r="AB650" s="87"/>
      <c r="AI650" s="87"/>
      <c r="AJ650" s="87"/>
      <c r="AK650" s="87"/>
      <c r="AL650" s="87"/>
      <c r="AM650" s="87"/>
      <c r="AN650" s="87"/>
      <c r="AO650" s="87"/>
      <c r="AP650" s="87"/>
      <c r="AQ650" s="87"/>
      <c r="AR650" s="87"/>
      <c r="BC650" s="87"/>
      <c r="BD650" s="87"/>
      <c r="BE650" s="87"/>
      <c r="BF650" s="87"/>
      <c r="BG650" s="87"/>
      <c r="BH650" s="87"/>
    </row>
    <row r="651" spans="4:60" x14ac:dyDescent="0.3">
      <c r="D651" s="89"/>
      <c r="E651" s="89"/>
      <c r="F651" s="100" t="str">
        <f t="shared" si="59"/>
        <v/>
      </c>
      <c r="T651" s="87"/>
      <c r="U651" s="87"/>
      <c r="V651" s="87"/>
      <c r="W651" s="87"/>
      <c r="X651" s="87"/>
      <c r="Y651" s="87"/>
      <c r="Z651" s="87"/>
      <c r="AA651" s="87"/>
      <c r="AB651" s="87"/>
      <c r="AI651" s="87"/>
      <c r="AJ651" s="87"/>
      <c r="AK651" s="87"/>
      <c r="AL651" s="87"/>
      <c r="AM651" s="87"/>
      <c r="AN651" s="87"/>
      <c r="AO651" s="87"/>
      <c r="AP651" s="87"/>
      <c r="AQ651" s="87"/>
      <c r="AR651" s="87"/>
      <c r="BC651" s="87"/>
      <c r="BD651" s="87"/>
      <c r="BE651" s="87"/>
      <c r="BF651" s="87"/>
      <c r="BG651" s="87"/>
      <c r="BH651" s="87"/>
    </row>
    <row r="652" spans="4:60" x14ac:dyDescent="0.3">
      <c r="D652" s="89"/>
      <c r="E652" s="89"/>
      <c r="F652" s="100" t="str">
        <f t="shared" si="59"/>
        <v/>
      </c>
      <c r="T652" s="87"/>
      <c r="U652" s="87"/>
      <c r="V652" s="87"/>
      <c r="W652" s="87"/>
      <c r="X652" s="87"/>
      <c r="Y652" s="87"/>
      <c r="Z652" s="87"/>
      <c r="AA652" s="87"/>
      <c r="AB652" s="87"/>
      <c r="AI652" s="87"/>
      <c r="AJ652" s="87"/>
      <c r="AK652" s="87"/>
      <c r="AL652" s="87"/>
      <c r="AM652" s="87"/>
      <c r="AN652" s="87"/>
      <c r="AO652" s="87"/>
      <c r="AP652" s="87"/>
      <c r="AQ652" s="87"/>
      <c r="AR652" s="87"/>
      <c r="BC652" s="87"/>
      <c r="BD652" s="87"/>
      <c r="BE652" s="87"/>
      <c r="BF652" s="87"/>
      <c r="BG652" s="87"/>
      <c r="BH652" s="87"/>
    </row>
    <row r="653" spans="4:60" x14ac:dyDescent="0.3">
      <c r="D653" s="89"/>
      <c r="E653" s="89"/>
      <c r="F653" s="100" t="str">
        <f t="shared" si="59"/>
        <v/>
      </c>
      <c r="T653" s="87"/>
      <c r="U653" s="87"/>
      <c r="V653" s="87"/>
      <c r="W653" s="87"/>
      <c r="X653" s="87"/>
      <c r="Y653" s="87"/>
      <c r="Z653" s="87"/>
      <c r="AA653" s="87"/>
      <c r="AB653" s="87"/>
      <c r="AI653" s="87"/>
      <c r="AJ653" s="87"/>
      <c r="AK653" s="87"/>
      <c r="AL653" s="87"/>
      <c r="AM653" s="87"/>
      <c r="AN653" s="87"/>
      <c r="AO653" s="87"/>
      <c r="AP653" s="87"/>
      <c r="AQ653" s="87"/>
      <c r="AR653" s="87"/>
      <c r="BC653" s="87"/>
      <c r="BD653" s="87"/>
      <c r="BE653" s="87"/>
      <c r="BF653" s="87"/>
      <c r="BG653" s="87"/>
      <c r="BH653" s="87"/>
    </row>
    <row r="654" spans="4:60" x14ac:dyDescent="0.3">
      <c r="D654" s="89"/>
      <c r="E654" s="89"/>
      <c r="F654" s="100" t="str">
        <f t="shared" si="59"/>
        <v/>
      </c>
      <c r="T654" s="87"/>
      <c r="U654" s="87"/>
      <c r="V654" s="87"/>
      <c r="W654" s="87"/>
      <c r="X654" s="87"/>
      <c r="Y654" s="87"/>
      <c r="Z654" s="87"/>
      <c r="AA654" s="87"/>
      <c r="AB654" s="87"/>
      <c r="AI654" s="87"/>
      <c r="AJ654" s="87"/>
      <c r="AK654" s="87"/>
      <c r="AL654" s="87"/>
      <c r="AM654" s="87"/>
      <c r="AN654" s="87"/>
      <c r="AO654" s="87"/>
      <c r="AP654" s="87"/>
      <c r="AQ654" s="87"/>
      <c r="AR654" s="87"/>
      <c r="BC654" s="87"/>
      <c r="BD654" s="87"/>
      <c r="BE654" s="87"/>
      <c r="BF654" s="87"/>
      <c r="BG654" s="87"/>
      <c r="BH654" s="87"/>
    </row>
    <row r="655" spans="4:60" x14ac:dyDescent="0.3">
      <c r="D655" s="89"/>
      <c r="E655" s="89"/>
      <c r="F655" s="100" t="str">
        <f t="shared" si="59"/>
        <v/>
      </c>
      <c r="T655" s="87"/>
      <c r="U655" s="87"/>
      <c r="V655" s="87"/>
      <c r="W655" s="87"/>
      <c r="X655" s="87"/>
      <c r="Y655" s="87"/>
      <c r="Z655" s="87"/>
      <c r="AA655" s="87"/>
      <c r="AB655" s="87"/>
      <c r="AI655" s="87"/>
      <c r="AJ655" s="87"/>
      <c r="AK655" s="87"/>
      <c r="AL655" s="87"/>
      <c r="AM655" s="87"/>
      <c r="AN655" s="87"/>
      <c r="AO655" s="87"/>
      <c r="AP655" s="87"/>
      <c r="AQ655" s="87"/>
      <c r="AR655" s="87"/>
      <c r="BC655" s="87"/>
      <c r="BD655" s="87"/>
      <c r="BE655" s="87"/>
      <c r="BF655" s="87"/>
      <c r="BG655" s="87"/>
      <c r="BH655" s="87"/>
    </row>
    <row r="656" spans="4:60" x14ac:dyDescent="0.3">
      <c r="D656" s="89"/>
      <c r="E656" s="89"/>
      <c r="F656" s="100" t="str">
        <f t="shared" si="59"/>
        <v/>
      </c>
      <c r="T656" s="87"/>
      <c r="U656" s="87"/>
      <c r="V656" s="87"/>
      <c r="W656" s="87"/>
      <c r="X656" s="87"/>
      <c r="Y656" s="87"/>
      <c r="Z656" s="87"/>
      <c r="AA656" s="87"/>
      <c r="AB656" s="87"/>
      <c r="AI656" s="87"/>
      <c r="AJ656" s="87"/>
      <c r="AK656" s="87"/>
      <c r="AL656" s="87"/>
      <c r="AM656" s="87"/>
      <c r="AN656" s="87"/>
      <c r="AO656" s="87"/>
      <c r="AP656" s="87"/>
      <c r="AQ656" s="87"/>
      <c r="AR656" s="87"/>
      <c r="BC656" s="87"/>
      <c r="BD656" s="87"/>
      <c r="BE656" s="87"/>
      <c r="BF656" s="87"/>
      <c r="BG656" s="87"/>
      <c r="BH656" s="87"/>
    </row>
    <row r="657" spans="4:60" x14ac:dyDescent="0.3">
      <c r="D657" s="89"/>
      <c r="E657" s="89"/>
      <c r="F657" s="100" t="str">
        <f t="shared" si="59"/>
        <v/>
      </c>
      <c r="T657" s="87"/>
      <c r="U657" s="87"/>
      <c r="V657" s="87"/>
      <c r="W657" s="87"/>
      <c r="X657" s="87"/>
      <c r="Y657" s="87"/>
      <c r="Z657" s="87"/>
      <c r="AA657" s="87"/>
      <c r="AB657" s="87"/>
      <c r="AI657" s="87"/>
      <c r="AJ657" s="87"/>
      <c r="AK657" s="87"/>
      <c r="AL657" s="87"/>
      <c r="AM657" s="87"/>
      <c r="AN657" s="87"/>
      <c r="AO657" s="87"/>
      <c r="AP657" s="87"/>
      <c r="AQ657" s="87"/>
      <c r="AR657" s="87"/>
      <c r="BC657" s="87"/>
      <c r="BD657" s="87"/>
      <c r="BE657" s="87"/>
      <c r="BF657" s="87"/>
      <c r="BG657" s="87"/>
      <c r="BH657" s="87"/>
    </row>
    <row r="658" spans="4:60" x14ac:dyDescent="0.3">
      <c r="D658" s="89"/>
      <c r="E658" s="89"/>
      <c r="F658" s="100" t="str">
        <f t="shared" si="59"/>
        <v/>
      </c>
      <c r="T658" s="87"/>
      <c r="U658" s="87"/>
      <c r="V658" s="87"/>
      <c r="W658" s="87"/>
      <c r="X658" s="87"/>
      <c r="Y658" s="87"/>
      <c r="Z658" s="87"/>
      <c r="AA658" s="87"/>
      <c r="AB658" s="87"/>
      <c r="AI658" s="87"/>
      <c r="AJ658" s="87"/>
      <c r="AK658" s="87"/>
      <c r="AL658" s="87"/>
      <c r="AM658" s="87"/>
      <c r="AN658" s="87"/>
      <c r="AO658" s="87"/>
      <c r="AP658" s="87"/>
      <c r="AQ658" s="87"/>
      <c r="AR658" s="87"/>
      <c r="BC658" s="87"/>
      <c r="BD658" s="87"/>
      <c r="BE658" s="87"/>
      <c r="BF658" s="87"/>
      <c r="BG658" s="87"/>
      <c r="BH658" s="87"/>
    </row>
    <row r="659" spans="4:60" x14ac:dyDescent="0.3">
      <c r="D659" s="89"/>
      <c r="E659" s="89"/>
      <c r="F659" s="100" t="str">
        <f t="shared" si="59"/>
        <v/>
      </c>
      <c r="T659" s="87"/>
      <c r="U659" s="87"/>
      <c r="V659" s="87"/>
      <c r="W659" s="87"/>
      <c r="X659" s="87"/>
      <c r="Y659" s="87"/>
      <c r="Z659" s="87"/>
      <c r="AA659" s="87"/>
      <c r="AB659" s="87"/>
      <c r="AI659" s="87"/>
      <c r="AJ659" s="87"/>
      <c r="AK659" s="87"/>
      <c r="AL659" s="87"/>
      <c r="AM659" s="87"/>
      <c r="AN659" s="87"/>
      <c r="AO659" s="87"/>
      <c r="AP659" s="87"/>
      <c r="AQ659" s="87"/>
      <c r="AR659" s="87"/>
      <c r="BC659" s="87"/>
      <c r="BD659" s="87"/>
      <c r="BE659" s="87"/>
      <c r="BF659" s="87"/>
      <c r="BG659" s="87"/>
      <c r="BH659" s="87"/>
    </row>
    <row r="660" spans="4:60" x14ac:dyDescent="0.3">
      <c r="D660" s="89"/>
      <c r="E660" s="89"/>
      <c r="F660" s="100" t="str">
        <f t="shared" si="59"/>
        <v/>
      </c>
      <c r="T660" s="87"/>
      <c r="U660" s="87"/>
      <c r="V660" s="87"/>
      <c r="W660" s="87"/>
      <c r="X660" s="87"/>
      <c r="Y660" s="87"/>
      <c r="Z660" s="87"/>
      <c r="AA660" s="87"/>
      <c r="AB660" s="87"/>
      <c r="AI660" s="87"/>
      <c r="AJ660" s="87"/>
      <c r="AK660" s="87"/>
      <c r="AL660" s="87"/>
      <c r="AM660" s="87"/>
      <c r="AN660" s="87"/>
      <c r="AO660" s="87"/>
      <c r="AP660" s="87"/>
      <c r="AQ660" s="87"/>
      <c r="AR660" s="87"/>
      <c r="BC660" s="87"/>
      <c r="BD660" s="87"/>
      <c r="BE660" s="87"/>
      <c r="BF660" s="87"/>
      <c r="BG660" s="87"/>
      <c r="BH660" s="87"/>
    </row>
    <row r="661" spans="4:60" x14ac:dyDescent="0.3">
      <c r="D661" s="89"/>
      <c r="E661" s="89"/>
      <c r="F661" s="100" t="str">
        <f t="shared" si="59"/>
        <v/>
      </c>
      <c r="T661" s="87"/>
      <c r="U661" s="87"/>
      <c r="V661" s="87"/>
      <c r="W661" s="87"/>
      <c r="X661" s="87"/>
      <c r="Y661" s="87"/>
      <c r="Z661" s="87"/>
      <c r="AA661" s="87"/>
      <c r="AB661" s="87"/>
      <c r="AI661" s="87"/>
      <c r="AJ661" s="87"/>
      <c r="AK661" s="87"/>
      <c r="AL661" s="87"/>
      <c r="AM661" s="87"/>
      <c r="AN661" s="87"/>
      <c r="AO661" s="87"/>
      <c r="AP661" s="87"/>
      <c r="AQ661" s="87"/>
      <c r="AR661" s="87"/>
      <c r="BC661" s="87"/>
      <c r="BD661" s="87"/>
      <c r="BE661" s="87"/>
      <c r="BF661" s="87"/>
      <c r="BG661" s="87"/>
      <c r="BH661" s="87"/>
    </row>
    <row r="662" spans="4:60" x14ac:dyDescent="0.3">
      <c r="D662" s="89"/>
      <c r="E662" s="89"/>
      <c r="F662" s="100" t="str">
        <f t="shared" si="59"/>
        <v/>
      </c>
      <c r="T662" s="87"/>
      <c r="U662" s="87"/>
      <c r="V662" s="87"/>
      <c r="W662" s="87"/>
      <c r="X662" s="87"/>
      <c r="Y662" s="87"/>
      <c r="Z662" s="87"/>
      <c r="AA662" s="87"/>
      <c r="AB662" s="87"/>
      <c r="AI662" s="87"/>
      <c r="AJ662" s="87"/>
      <c r="AK662" s="87"/>
      <c r="AL662" s="87"/>
      <c r="AM662" s="87"/>
      <c r="AN662" s="87"/>
      <c r="AO662" s="87"/>
      <c r="AP662" s="87"/>
      <c r="AQ662" s="87"/>
      <c r="AR662" s="87"/>
      <c r="BC662" s="87"/>
      <c r="BD662" s="87"/>
      <c r="BE662" s="87"/>
      <c r="BF662" s="87"/>
      <c r="BG662" s="87"/>
      <c r="BH662" s="87"/>
    </row>
    <row r="663" spans="4:60" x14ac:dyDescent="0.3">
      <c r="D663" s="89"/>
      <c r="E663" s="89"/>
      <c r="F663" s="100" t="str">
        <f t="shared" si="59"/>
        <v/>
      </c>
      <c r="T663" s="87"/>
      <c r="U663" s="87"/>
      <c r="V663" s="87"/>
      <c r="W663" s="87"/>
      <c r="X663" s="87"/>
      <c r="Y663" s="87"/>
      <c r="Z663" s="87"/>
      <c r="AA663" s="87"/>
      <c r="AB663" s="87"/>
      <c r="AI663" s="87"/>
      <c r="AJ663" s="87"/>
      <c r="AK663" s="87"/>
      <c r="AL663" s="87"/>
      <c r="AM663" s="87"/>
      <c r="AN663" s="87"/>
      <c r="AO663" s="87"/>
      <c r="AP663" s="87"/>
      <c r="AQ663" s="87"/>
      <c r="AR663" s="87"/>
      <c r="BC663" s="87"/>
      <c r="BD663" s="87"/>
      <c r="BE663" s="87"/>
      <c r="BF663" s="87"/>
      <c r="BG663" s="87"/>
      <c r="BH663" s="87"/>
    </row>
    <row r="664" spans="4:60" x14ac:dyDescent="0.3">
      <c r="D664" s="89"/>
      <c r="E664" s="89"/>
      <c r="F664" s="100" t="str">
        <f t="shared" si="59"/>
        <v/>
      </c>
      <c r="T664" s="87"/>
      <c r="U664" s="87"/>
      <c r="V664" s="87"/>
      <c r="W664" s="87"/>
      <c r="X664" s="87"/>
      <c r="Y664" s="87"/>
      <c r="Z664" s="87"/>
      <c r="AA664" s="87"/>
      <c r="AB664" s="87"/>
      <c r="AI664" s="87"/>
      <c r="AJ664" s="87"/>
      <c r="AK664" s="87"/>
      <c r="AL664" s="87"/>
      <c r="AM664" s="87"/>
      <c r="AN664" s="87"/>
      <c r="AO664" s="87"/>
      <c r="AP664" s="87"/>
      <c r="AQ664" s="87"/>
      <c r="AR664" s="87"/>
      <c r="BC664" s="87"/>
      <c r="BD664" s="87"/>
      <c r="BE664" s="87"/>
      <c r="BF664" s="87"/>
      <c r="BG664" s="87"/>
      <c r="BH664" s="87"/>
    </row>
    <row r="665" spans="4:60" x14ac:dyDescent="0.3">
      <c r="D665" s="89"/>
      <c r="E665" s="89"/>
      <c r="F665" s="100" t="str">
        <f t="shared" si="59"/>
        <v/>
      </c>
      <c r="T665" s="87"/>
      <c r="U665" s="87"/>
      <c r="V665" s="87"/>
      <c r="W665" s="87"/>
      <c r="X665" s="87"/>
      <c r="Y665" s="87"/>
      <c r="Z665" s="87"/>
      <c r="AA665" s="87"/>
      <c r="AB665" s="87"/>
      <c r="AI665" s="87"/>
      <c r="AJ665" s="87"/>
      <c r="AK665" s="87"/>
      <c r="AL665" s="87"/>
      <c r="AM665" s="87"/>
      <c r="AN665" s="87"/>
      <c r="AO665" s="87"/>
      <c r="AP665" s="87"/>
      <c r="AQ665" s="87"/>
      <c r="AR665" s="87"/>
      <c r="BC665" s="87"/>
      <c r="BD665" s="87"/>
      <c r="BE665" s="87"/>
      <c r="BF665" s="87"/>
      <c r="BG665" s="87"/>
      <c r="BH665" s="87"/>
    </row>
    <row r="666" spans="4:60" x14ac:dyDescent="0.3">
      <c r="D666" s="89"/>
      <c r="E666" s="89"/>
      <c r="F666" s="100" t="str">
        <f t="shared" si="59"/>
        <v/>
      </c>
      <c r="T666" s="87"/>
      <c r="U666" s="87"/>
      <c r="V666" s="87"/>
      <c r="W666" s="87"/>
      <c r="X666" s="87"/>
      <c r="Y666" s="87"/>
      <c r="Z666" s="87"/>
      <c r="AA666" s="87"/>
      <c r="AB666" s="87"/>
      <c r="AI666" s="87"/>
      <c r="AJ666" s="87"/>
      <c r="AK666" s="87"/>
      <c r="AL666" s="87"/>
      <c r="AM666" s="87"/>
      <c r="AN666" s="87"/>
      <c r="AO666" s="87"/>
      <c r="AP666" s="87"/>
      <c r="AQ666" s="87"/>
      <c r="AR666" s="87"/>
      <c r="BC666" s="87"/>
      <c r="BD666" s="87"/>
      <c r="BE666" s="87"/>
      <c r="BF666" s="87"/>
      <c r="BG666" s="87"/>
      <c r="BH666" s="87"/>
    </row>
    <row r="667" spans="4:60" x14ac:dyDescent="0.3">
      <c r="D667" s="89"/>
      <c r="E667" s="89"/>
      <c r="F667" s="100" t="str">
        <f t="shared" si="59"/>
        <v/>
      </c>
      <c r="T667" s="87"/>
      <c r="U667" s="87"/>
      <c r="V667" s="87"/>
      <c r="W667" s="87"/>
      <c r="X667" s="87"/>
      <c r="Y667" s="87"/>
      <c r="Z667" s="87"/>
      <c r="AA667" s="87"/>
      <c r="AB667" s="87"/>
      <c r="AI667" s="87"/>
      <c r="AJ667" s="87"/>
      <c r="AK667" s="87"/>
      <c r="AL667" s="87"/>
      <c r="AM667" s="87"/>
      <c r="AN667" s="87"/>
      <c r="AO667" s="87"/>
      <c r="AP667" s="87"/>
      <c r="AQ667" s="87"/>
      <c r="AR667" s="87"/>
      <c r="BC667" s="87"/>
      <c r="BD667" s="87"/>
      <c r="BE667" s="87"/>
      <c r="BF667" s="87"/>
      <c r="BG667" s="87"/>
      <c r="BH667" s="87"/>
    </row>
    <row r="668" spans="4:60" x14ac:dyDescent="0.3">
      <c r="D668" s="89"/>
      <c r="E668" s="89"/>
      <c r="F668" s="100" t="str">
        <f t="shared" si="59"/>
        <v/>
      </c>
      <c r="T668" s="87"/>
      <c r="U668" s="87"/>
      <c r="V668" s="87"/>
      <c r="W668" s="87"/>
      <c r="X668" s="87"/>
      <c r="Y668" s="87"/>
      <c r="Z668" s="87"/>
      <c r="AA668" s="87"/>
      <c r="AB668" s="87"/>
      <c r="AI668" s="87"/>
      <c r="AJ668" s="87"/>
      <c r="AK668" s="87"/>
      <c r="AL668" s="87"/>
      <c r="AM668" s="87"/>
      <c r="AN668" s="87"/>
      <c r="AO668" s="87"/>
      <c r="AP668" s="87"/>
      <c r="AQ668" s="87"/>
      <c r="AR668" s="87"/>
      <c r="BC668" s="87"/>
      <c r="BD668" s="87"/>
      <c r="BE668" s="87"/>
      <c r="BF668" s="87"/>
      <c r="BG668" s="87"/>
      <c r="BH668" s="87"/>
    </row>
    <row r="669" spans="4:60" x14ac:dyDescent="0.3">
      <c r="D669" s="89"/>
      <c r="E669" s="89"/>
      <c r="F669" s="100" t="str">
        <f t="shared" si="59"/>
        <v/>
      </c>
      <c r="T669" s="87"/>
      <c r="U669" s="87"/>
      <c r="V669" s="87"/>
      <c r="W669" s="87"/>
      <c r="X669" s="87"/>
      <c r="Y669" s="87"/>
      <c r="Z669" s="87"/>
      <c r="AA669" s="87"/>
      <c r="AB669" s="87"/>
      <c r="AI669" s="87"/>
      <c r="AJ669" s="87"/>
      <c r="AK669" s="87"/>
      <c r="AL669" s="87"/>
      <c r="AM669" s="87"/>
      <c r="AN669" s="87"/>
      <c r="AO669" s="87"/>
      <c r="AP669" s="87"/>
      <c r="AQ669" s="87"/>
      <c r="AR669" s="87"/>
      <c r="BC669" s="87"/>
      <c r="BD669" s="87"/>
      <c r="BE669" s="87"/>
      <c r="BF669" s="87"/>
      <c r="BG669" s="87"/>
      <c r="BH669" s="87"/>
    </row>
    <row r="670" spans="4:60" x14ac:dyDescent="0.3">
      <c r="D670" s="89"/>
      <c r="E670" s="89"/>
      <c r="F670" s="100" t="str">
        <f t="shared" si="59"/>
        <v/>
      </c>
      <c r="T670" s="87"/>
      <c r="U670" s="87"/>
      <c r="V670" s="87"/>
      <c r="W670" s="87"/>
      <c r="X670" s="87"/>
      <c r="Y670" s="87"/>
      <c r="Z670" s="87"/>
      <c r="AA670" s="87"/>
      <c r="AB670" s="87"/>
      <c r="AI670" s="87"/>
      <c r="AJ670" s="87"/>
      <c r="AK670" s="87"/>
      <c r="AL670" s="87"/>
      <c r="AM670" s="87"/>
      <c r="AN670" s="87"/>
      <c r="AO670" s="87"/>
      <c r="AP670" s="87"/>
      <c r="AQ670" s="87"/>
      <c r="AR670" s="87"/>
      <c r="BC670" s="87"/>
      <c r="BD670" s="87"/>
      <c r="BE670" s="87"/>
      <c r="BF670" s="87"/>
      <c r="BG670" s="87"/>
      <c r="BH670" s="87"/>
    </row>
    <row r="671" spans="4:60" x14ac:dyDescent="0.3">
      <c r="D671" s="89"/>
      <c r="E671" s="89"/>
      <c r="F671" s="100" t="str">
        <f t="shared" si="59"/>
        <v/>
      </c>
      <c r="T671" s="87"/>
      <c r="U671" s="87"/>
      <c r="V671" s="87"/>
      <c r="W671" s="87"/>
      <c r="X671" s="87"/>
      <c r="Y671" s="87"/>
      <c r="Z671" s="87"/>
      <c r="AA671" s="87"/>
      <c r="AB671" s="87"/>
      <c r="AI671" s="87"/>
      <c r="AJ671" s="87"/>
      <c r="AK671" s="87"/>
      <c r="AL671" s="87"/>
      <c r="AM671" s="87"/>
      <c r="AN671" s="87"/>
      <c r="AO671" s="87"/>
      <c r="AP671" s="87"/>
      <c r="AQ671" s="87"/>
      <c r="AR671" s="87"/>
      <c r="BC671" s="87"/>
      <c r="BD671" s="87"/>
      <c r="BE671" s="87"/>
      <c r="BF671" s="87"/>
      <c r="BG671" s="87"/>
      <c r="BH671" s="87"/>
    </row>
    <row r="672" spans="4:60" x14ac:dyDescent="0.3">
      <c r="D672" s="89"/>
      <c r="E672" s="89"/>
      <c r="F672" s="100" t="str">
        <f t="shared" si="59"/>
        <v/>
      </c>
      <c r="T672" s="87"/>
      <c r="U672" s="87"/>
      <c r="V672" s="87"/>
      <c r="W672" s="87"/>
      <c r="X672" s="87"/>
      <c r="Y672" s="87"/>
      <c r="Z672" s="87"/>
      <c r="AA672" s="87"/>
      <c r="AB672" s="87"/>
      <c r="AI672" s="87"/>
      <c r="AJ672" s="87"/>
      <c r="AK672" s="87"/>
      <c r="AL672" s="87"/>
      <c r="AM672" s="87"/>
      <c r="AN672" s="87"/>
      <c r="AO672" s="87"/>
      <c r="AP672" s="87"/>
      <c r="AQ672" s="87"/>
      <c r="AR672" s="87"/>
      <c r="BC672" s="87"/>
      <c r="BD672" s="87"/>
      <c r="BE672" s="87"/>
      <c r="BF672" s="87"/>
      <c r="BG672" s="87"/>
      <c r="BH672" s="87"/>
    </row>
    <row r="673" spans="4:60" x14ac:dyDescent="0.3">
      <c r="D673" s="89"/>
      <c r="E673" s="89"/>
      <c r="F673" s="100" t="str">
        <f t="shared" si="59"/>
        <v/>
      </c>
      <c r="T673" s="87"/>
      <c r="U673" s="87"/>
      <c r="V673" s="87"/>
      <c r="W673" s="87"/>
      <c r="X673" s="87"/>
      <c r="Y673" s="87"/>
      <c r="Z673" s="87"/>
      <c r="AA673" s="87"/>
      <c r="AB673" s="87"/>
      <c r="AI673" s="87"/>
      <c r="AJ673" s="87"/>
      <c r="AK673" s="87"/>
      <c r="AL673" s="87"/>
      <c r="AM673" s="87"/>
      <c r="AN673" s="87"/>
      <c r="AO673" s="87"/>
      <c r="AP673" s="87"/>
      <c r="AQ673" s="87"/>
      <c r="AR673" s="87"/>
      <c r="BC673" s="87"/>
      <c r="BD673" s="87"/>
      <c r="BE673" s="87"/>
      <c r="BF673" s="87"/>
      <c r="BG673" s="87"/>
      <c r="BH673" s="87"/>
    </row>
    <row r="674" spans="4:60" x14ac:dyDescent="0.3">
      <c r="D674" s="89"/>
      <c r="E674" s="89"/>
      <c r="F674" s="100" t="str">
        <f t="shared" si="59"/>
        <v/>
      </c>
      <c r="T674" s="87"/>
      <c r="U674" s="87"/>
      <c r="V674" s="87"/>
      <c r="W674" s="87"/>
      <c r="X674" s="87"/>
      <c r="Y674" s="87"/>
      <c r="Z674" s="87"/>
      <c r="AA674" s="87"/>
      <c r="AB674" s="87"/>
      <c r="AI674" s="87"/>
      <c r="AJ674" s="87"/>
      <c r="AK674" s="87"/>
      <c r="AL674" s="87"/>
      <c r="AM674" s="87"/>
      <c r="AN674" s="87"/>
      <c r="AO674" s="87"/>
      <c r="AP674" s="87"/>
      <c r="AQ674" s="87"/>
      <c r="AR674" s="87"/>
      <c r="BC674" s="87"/>
      <c r="BD674" s="87"/>
      <c r="BE674" s="87"/>
      <c r="BF674" s="87"/>
      <c r="BG674" s="87"/>
      <c r="BH674" s="87"/>
    </row>
    <row r="675" spans="4:60" x14ac:dyDescent="0.3">
      <c r="D675" s="89"/>
      <c r="E675" s="89"/>
      <c r="F675" s="100" t="str">
        <f t="shared" si="59"/>
        <v/>
      </c>
      <c r="T675" s="87"/>
      <c r="U675" s="87"/>
      <c r="V675" s="87"/>
      <c r="W675" s="87"/>
      <c r="X675" s="87"/>
      <c r="Y675" s="87"/>
      <c r="Z675" s="87"/>
      <c r="AA675" s="87"/>
      <c r="AB675" s="87"/>
      <c r="AI675" s="87"/>
      <c r="AJ675" s="87"/>
      <c r="AK675" s="87"/>
      <c r="AL675" s="87"/>
      <c r="AM675" s="87"/>
      <c r="AN675" s="87"/>
      <c r="AO675" s="87"/>
      <c r="AP675" s="87"/>
      <c r="AQ675" s="87"/>
      <c r="AR675" s="87"/>
      <c r="BC675" s="87"/>
      <c r="BD675" s="87"/>
      <c r="BE675" s="87"/>
      <c r="BF675" s="87"/>
      <c r="BG675" s="87"/>
      <c r="BH675" s="87"/>
    </row>
    <row r="676" spans="4:60" x14ac:dyDescent="0.3">
      <c r="D676" s="89"/>
      <c r="E676" s="89"/>
      <c r="F676" s="100" t="str">
        <f t="shared" si="59"/>
        <v/>
      </c>
      <c r="T676" s="87"/>
      <c r="U676" s="87"/>
      <c r="V676" s="87"/>
      <c r="W676" s="87"/>
      <c r="X676" s="87"/>
      <c r="Y676" s="87"/>
      <c r="Z676" s="87"/>
      <c r="AA676" s="87"/>
      <c r="AB676" s="87"/>
      <c r="AI676" s="87"/>
      <c r="AJ676" s="87"/>
      <c r="AK676" s="87"/>
      <c r="AL676" s="87"/>
      <c r="AM676" s="87"/>
      <c r="AN676" s="87"/>
      <c r="AO676" s="87"/>
      <c r="AP676" s="87"/>
      <c r="AQ676" s="87"/>
      <c r="AR676" s="87"/>
      <c r="BC676" s="87"/>
      <c r="BD676" s="87"/>
      <c r="BE676" s="87"/>
      <c r="BF676" s="87"/>
      <c r="BG676" s="87"/>
      <c r="BH676" s="87"/>
    </row>
    <row r="677" spans="4:60" x14ac:dyDescent="0.3">
      <c r="D677" s="89"/>
      <c r="E677" s="89"/>
      <c r="F677" s="100" t="str">
        <f t="shared" si="59"/>
        <v/>
      </c>
      <c r="T677" s="87"/>
      <c r="U677" s="87"/>
      <c r="V677" s="87"/>
      <c r="W677" s="87"/>
      <c r="X677" s="87"/>
      <c r="Y677" s="87"/>
      <c r="Z677" s="87"/>
      <c r="AA677" s="87"/>
      <c r="AB677" s="87"/>
      <c r="AI677" s="87"/>
      <c r="AJ677" s="87"/>
      <c r="AK677" s="87"/>
      <c r="AL677" s="87"/>
      <c r="AM677" s="87"/>
      <c r="AN677" s="87"/>
      <c r="AO677" s="87"/>
      <c r="AP677" s="87"/>
      <c r="AQ677" s="87"/>
      <c r="AR677" s="87"/>
      <c r="BC677" s="87"/>
      <c r="BD677" s="87"/>
      <c r="BE677" s="87"/>
      <c r="BF677" s="87"/>
      <c r="BG677" s="87"/>
      <c r="BH677" s="87"/>
    </row>
    <row r="678" spans="4:60" x14ac:dyDescent="0.3">
      <c r="D678" s="89"/>
      <c r="E678" s="89"/>
      <c r="F678" s="100" t="str">
        <f t="shared" si="59"/>
        <v/>
      </c>
      <c r="T678" s="87"/>
      <c r="U678" s="87"/>
      <c r="V678" s="87"/>
      <c r="W678" s="87"/>
      <c r="X678" s="87"/>
      <c r="Y678" s="87"/>
      <c r="Z678" s="87"/>
      <c r="AA678" s="87"/>
      <c r="AB678" s="87"/>
      <c r="AI678" s="87"/>
      <c r="AJ678" s="87"/>
      <c r="AK678" s="87"/>
      <c r="AL678" s="87"/>
      <c r="AM678" s="87"/>
      <c r="AN678" s="87"/>
      <c r="AO678" s="87"/>
      <c r="AP678" s="87"/>
      <c r="AQ678" s="87"/>
      <c r="AR678" s="87"/>
      <c r="BC678" s="87"/>
      <c r="BD678" s="87"/>
      <c r="BE678" s="87"/>
      <c r="BF678" s="87"/>
      <c r="BG678" s="87"/>
      <c r="BH678" s="87"/>
    </row>
    <row r="679" spans="4:60" x14ac:dyDescent="0.3">
      <c r="D679" s="89"/>
      <c r="E679" s="89"/>
      <c r="F679" s="100" t="str">
        <f t="shared" si="59"/>
        <v/>
      </c>
      <c r="T679" s="87"/>
      <c r="U679" s="87"/>
      <c r="V679" s="87"/>
      <c r="W679" s="87"/>
      <c r="X679" s="87"/>
      <c r="Y679" s="87"/>
      <c r="Z679" s="87"/>
      <c r="AA679" s="87"/>
      <c r="AB679" s="87"/>
      <c r="AI679" s="87"/>
      <c r="AJ679" s="87"/>
      <c r="AK679" s="87"/>
      <c r="AL679" s="87"/>
      <c r="AM679" s="87"/>
      <c r="AN679" s="87"/>
      <c r="AO679" s="87"/>
      <c r="AP679" s="87"/>
      <c r="AQ679" s="87"/>
      <c r="AR679" s="87"/>
      <c r="BC679" s="87"/>
      <c r="BD679" s="87"/>
      <c r="BE679" s="87"/>
      <c r="BF679" s="87"/>
      <c r="BG679" s="87"/>
      <c r="BH679" s="87"/>
    </row>
    <row r="680" spans="4:60" x14ac:dyDescent="0.3">
      <c r="D680" s="89"/>
      <c r="E680" s="89"/>
      <c r="F680" s="100" t="str">
        <f t="shared" si="59"/>
        <v/>
      </c>
      <c r="T680" s="87"/>
      <c r="U680" s="87"/>
      <c r="V680" s="87"/>
      <c r="W680" s="87"/>
      <c r="X680" s="87"/>
      <c r="Y680" s="87"/>
      <c r="Z680" s="87"/>
      <c r="AA680" s="87"/>
      <c r="AB680" s="87"/>
      <c r="AI680" s="87"/>
      <c r="AJ680" s="87"/>
      <c r="AK680" s="87"/>
      <c r="AL680" s="87"/>
      <c r="AM680" s="87"/>
      <c r="AN680" s="87"/>
      <c r="AO680" s="87"/>
      <c r="AP680" s="87"/>
      <c r="AQ680" s="87"/>
      <c r="AR680" s="87"/>
      <c r="BC680" s="87"/>
      <c r="BD680" s="87"/>
      <c r="BE680" s="87"/>
      <c r="BF680" s="87"/>
      <c r="BG680" s="87"/>
      <c r="BH680" s="87"/>
    </row>
    <row r="681" spans="4:60" x14ac:dyDescent="0.3">
      <c r="D681" s="89"/>
      <c r="E681" s="89"/>
      <c r="F681" s="100" t="str">
        <f t="shared" si="59"/>
        <v/>
      </c>
      <c r="T681" s="87"/>
      <c r="U681" s="87"/>
      <c r="V681" s="87"/>
      <c r="W681" s="87"/>
      <c r="X681" s="87"/>
      <c r="Y681" s="87"/>
      <c r="Z681" s="87"/>
      <c r="AA681" s="87"/>
      <c r="AB681" s="87"/>
      <c r="AI681" s="87"/>
      <c r="AJ681" s="87"/>
      <c r="AK681" s="87"/>
      <c r="AL681" s="87"/>
      <c r="AM681" s="87"/>
      <c r="AN681" s="87"/>
      <c r="AO681" s="87"/>
      <c r="AP681" s="87"/>
      <c r="AQ681" s="87"/>
      <c r="AR681" s="87"/>
      <c r="BC681" s="87"/>
      <c r="BD681" s="87"/>
      <c r="BE681" s="87"/>
      <c r="BF681" s="87"/>
      <c r="BG681" s="87"/>
      <c r="BH681" s="87"/>
    </row>
    <row r="682" spans="4:60" x14ac:dyDescent="0.3">
      <c r="D682" s="89"/>
      <c r="E682" s="89"/>
      <c r="F682" s="100" t="str">
        <f t="shared" si="59"/>
        <v/>
      </c>
      <c r="T682" s="87"/>
      <c r="U682" s="87"/>
      <c r="V682" s="87"/>
      <c r="W682" s="87"/>
      <c r="X682" s="87"/>
      <c r="Y682" s="87"/>
      <c r="Z682" s="87"/>
      <c r="AA682" s="87"/>
      <c r="AB682" s="87"/>
      <c r="AI682" s="87"/>
      <c r="AJ682" s="87"/>
      <c r="AK682" s="87"/>
      <c r="AL682" s="87"/>
      <c r="AM682" s="87"/>
      <c r="AN682" s="87"/>
      <c r="AO682" s="87"/>
      <c r="AP682" s="87"/>
      <c r="AQ682" s="87"/>
      <c r="AR682" s="87"/>
      <c r="BC682" s="87"/>
      <c r="BD682" s="87"/>
      <c r="BE682" s="87"/>
      <c r="BF682" s="87"/>
      <c r="BG682" s="87"/>
      <c r="BH682" s="87"/>
    </row>
    <row r="683" spans="4:60" x14ac:dyDescent="0.3">
      <c r="D683" s="89"/>
      <c r="E683" s="89"/>
      <c r="F683" s="100" t="str">
        <f t="shared" si="59"/>
        <v/>
      </c>
      <c r="T683" s="87"/>
      <c r="U683" s="87"/>
      <c r="V683" s="87"/>
      <c r="W683" s="87"/>
      <c r="X683" s="87"/>
      <c r="Y683" s="87"/>
      <c r="Z683" s="87"/>
      <c r="AA683" s="87"/>
      <c r="AB683" s="87"/>
      <c r="AI683" s="87"/>
      <c r="AJ683" s="87"/>
      <c r="AK683" s="87"/>
      <c r="AL683" s="87"/>
      <c r="AM683" s="87"/>
      <c r="AN683" s="87"/>
      <c r="AO683" s="87"/>
      <c r="AP683" s="87"/>
      <c r="AQ683" s="87"/>
      <c r="AR683" s="87"/>
      <c r="BC683" s="87"/>
      <c r="BD683" s="87"/>
      <c r="BE683" s="87"/>
      <c r="BF683" s="87"/>
      <c r="BG683" s="87"/>
      <c r="BH683" s="87"/>
    </row>
    <row r="684" spans="4:60" x14ac:dyDescent="0.3">
      <c r="D684" s="89"/>
      <c r="E684" s="89"/>
      <c r="F684" s="100" t="str">
        <f t="shared" si="59"/>
        <v/>
      </c>
      <c r="T684" s="87"/>
      <c r="U684" s="87"/>
      <c r="V684" s="87"/>
      <c r="W684" s="87"/>
      <c r="X684" s="87"/>
      <c r="Y684" s="87"/>
      <c r="Z684" s="87"/>
      <c r="AA684" s="87"/>
      <c r="AB684" s="87"/>
      <c r="AI684" s="87"/>
      <c r="AJ684" s="87"/>
      <c r="AK684" s="87"/>
      <c r="AL684" s="87"/>
      <c r="AM684" s="87"/>
      <c r="AN684" s="87"/>
      <c r="AO684" s="87"/>
      <c r="AP684" s="87"/>
      <c r="AQ684" s="87"/>
      <c r="AR684" s="87"/>
      <c r="BC684" s="87"/>
      <c r="BD684" s="87"/>
      <c r="BE684" s="87"/>
      <c r="BF684" s="87"/>
      <c r="BG684" s="87"/>
      <c r="BH684" s="87"/>
    </row>
    <row r="685" spans="4:60" x14ac:dyDescent="0.3">
      <c r="D685" s="89"/>
      <c r="E685" s="89"/>
      <c r="F685" s="100" t="str">
        <f t="shared" si="59"/>
        <v/>
      </c>
      <c r="T685" s="87"/>
      <c r="U685" s="87"/>
      <c r="V685" s="87"/>
      <c r="W685" s="87"/>
      <c r="X685" s="87"/>
      <c r="Y685" s="87"/>
      <c r="Z685" s="87"/>
      <c r="AA685" s="87"/>
      <c r="AB685" s="87"/>
      <c r="AI685" s="87"/>
      <c r="AJ685" s="87"/>
      <c r="AK685" s="87"/>
      <c r="AL685" s="87"/>
      <c r="AM685" s="87"/>
      <c r="AN685" s="87"/>
      <c r="AO685" s="87"/>
      <c r="AP685" s="87"/>
      <c r="AQ685" s="87"/>
      <c r="AR685" s="87"/>
      <c r="BC685" s="87"/>
      <c r="BD685" s="87"/>
      <c r="BE685" s="87"/>
      <c r="BF685" s="87"/>
      <c r="BG685" s="87"/>
      <c r="BH685" s="87"/>
    </row>
    <row r="686" spans="4:60" x14ac:dyDescent="0.3">
      <c r="D686" s="89"/>
      <c r="E686" s="89"/>
      <c r="F686" s="100" t="str">
        <f t="shared" si="59"/>
        <v/>
      </c>
      <c r="T686" s="87"/>
      <c r="U686" s="87"/>
      <c r="V686" s="87"/>
      <c r="W686" s="87"/>
      <c r="X686" s="87"/>
      <c r="Y686" s="87"/>
      <c r="Z686" s="87"/>
      <c r="AA686" s="87"/>
      <c r="AB686" s="87"/>
      <c r="AI686" s="87"/>
      <c r="AJ686" s="87"/>
      <c r="AK686" s="87"/>
      <c r="AL686" s="87"/>
      <c r="AM686" s="87"/>
      <c r="AN686" s="87"/>
      <c r="AO686" s="87"/>
      <c r="AP686" s="87"/>
      <c r="AQ686" s="87"/>
      <c r="AR686" s="87"/>
      <c r="BC686" s="87"/>
      <c r="BD686" s="87"/>
      <c r="BE686" s="87"/>
      <c r="BF686" s="87"/>
      <c r="BG686" s="87"/>
      <c r="BH686" s="87"/>
    </row>
    <row r="687" spans="4:60" x14ac:dyDescent="0.3">
      <c r="D687" s="89"/>
      <c r="E687" s="89"/>
      <c r="F687" s="100" t="str">
        <f t="shared" si="59"/>
        <v/>
      </c>
      <c r="T687" s="87"/>
      <c r="U687" s="87"/>
      <c r="V687" s="87"/>
      <c r="W687" s="87"/>
      <c r="X687" s="87"/>
      <c r="Y687" s="87"/>
      <c r="Z687" s="87"/>
      <c r="AA687" s="87"/>
      <c r="AB687" s="87"/>
      <c r="AI687" s="87"/>
      <c r="AJ687" s="87"/>
      <c r="AK687" s="87"/>
      <c r="AL687" s="87"/>
      <c r="AM687" s="87"/>
      <c r="AN687" s="87"/>
      <c r="AO687" s="87"/>
      <c r="AP687" s="87"/>
      <c r="AQ687" s="87"/>
      <c r="AR687" s="87"/>
      <c r="BC687" s="87"/>
      <c r="BD687" s="87"/>
      <c r="BE687" s="87"/>
      <c r="BF687" s="87"/>
      <c r="BG687" s="87"/>
      <c r="BH687" s="87"/>
    </row>
    <row r="688" spans="4:60" x14ac:dyDescent="0.3">
      <c r="D688" s="89"/>
      <c r="E688" s="89"/>
      <c r="F688" s="100" t="str">
        <f t="shared" si="59"/>
        <v/>
      </c>
      <c r="T688" s="87"/>
      <c r="U688" s="87"/>
      <c r="V688" s="87"/>
      <c r="W688" s="87"/>
      <c r="X688" s="87"/>
      <c r="Y688" s="87"/>
      <c r="Z688" s="87"/>
      <c r="AA688" s="87"/>
      <c r="AB688" s="87"/>
      <c r="AI688" s="87"/>
      <c r="AJ688" s="87"/>
      <c r="AK688" s="87"/>
      <c r="AL688" s="87"/>
      <c r="AM688" s="87"/>
      <c r="AN688" s="87"/>
      <c r="AO688" s="87"/>
      <c r="AP688" s="87"/>
      <c r="AQ688" s="87"/>
      <c r="AR688" s="87"/>
      <c r="BC688" s="87"/>
      <c r="BD688" s="87"/>
      <c r="BE688" s="87"/>
      <c r="BF688" s="87"/>
      <c r="BG688" s="87"/>
      <c r="BH688" s="87"/>
    </row>
    <row r="689" spans="4:60" x14ac:dyDescent="0.3">
      <c r="D689" s="89"/>
      <c r="E689" s="89"/>
      <c r="F689" s="100" t="str">
        <f t="shared" si="59"/>
        <v/>
      </c>
      <c r="T689" s="87"/>
      <c r="U689" s="87"/>
      <c r="V689" s="87"/>
      <c r="W689" s="87"/>
      <c r="X689" s="87"/>
      <c r="Y689" s="87"/>
      <c r="Z689" s="87"/>
      <c r="AA689" s="87"/>
      <c r="AB689" s="87"/>
      <c r="AI689" s="87"/>
      <c r="AJ689" s="87"/>
      <c r="AK689" s="87"/>
      <c r="AL689" s="87"/>
      <c r="AM689" s="87"/>
      <c r="AN689" s="87"/>
      <c r="AO689" s="87"/>
      <c r="AP689" s="87"/>
      <c r="AQ689" s="87"/>
      <c r="AR689" s="87"/>
      <c r="BC689" s="87"/>
      <c r="BD689" s="87"/>
      <c r="BE689" s="87"/>
      <c r="BF689" s="87"/>
      <c r="BG689" s="87"/>
      <c r="BH689" s="87"/>
    </row>
    <row r="690" spans="4:60" x14ac:dyDescent="0.3">
      <c r="D690" s="89"/>
      <c r="E690" s="89"/>
      <c r="F690" s="100" t="str">
        <f t="shared" si="59"/>
        <v/>
      </c>
      <c r="T690" s="87"/>
      <c r="U690" s="87"/>
      <c r="V690" s="87"/>
      <c r="W690" s="87"/>
      <c r="X690" s="87"/>
      <c r="Y690" s="87"/>
      <c r="Z690" s="87"/>
      <c r="AA690" s="87"/>
      <c r="AB690" s="87"/>
      <c r="AI690" s="87"/>
      <c r="AJ690" s="87"/>
      <c r="AK690" s="87"/>
      <c r="AL690" s="87"/>
      <c r="AM690" s="87"/>
      <c r="AN690" s="87"/>
      <c r="AO690" s="87"/>
      <c r="AP690" s="87"/>
      <c r="AQ690" s="87"/>
      <c r="AR690" s="87"/>
      <c r="BC690" s="87"/>
      <c r="BD690" s="87"/>
      <c r="BE690" s="87"/>
      <c r="BF690" s="87"/>
      <c r="BG690" s="87"/>
      <c r="BH690" s="87"/>
    </row>
    <row r="691" spans="4:60" x14ac:dyDescent="0.3">
      <c r="D691" s="89"/>
      <c r="E691" s="89"/>
      <c r="F691" s="100" t="str">
        <f t="shared" si="59"/>
        <v/>
      </c>
      <c r="T691" s="87"/>
      <c r="U691" s="87"/>
      <c r="V691" s="87"/>
      <c r="W691" s="87"/>
      <c r="X691" s="87"/>
      <c r="Y691" s="87"/>
      <c r="Z691" s="87"/>
      <c r="AA691" s="87"/>
      <c r="AB691" s="87"/>
      <c r="AI691" s="87"/>
      <c r="AJ691" s="87"/>
      <c r="AK691" s="87"/>
      <c r="AL691" s="87"/>
      <c r="AM691" s="87"/>
      <c r="AN691" s="87"/>
      <c r="AO691" s="87"/>
      <c r="AP691" s="87"/>
      <c r="AQ691" s="87"/>
      <c r="AR691" s="87"/>
      <c r="BC691" s="87"/>
      <c r="BD691" s="87"/>
      <c r="BE691" s="87"/>
      <c r="BF691" s="87"/>
      <c r="BG691" s="87"/>
      <c r="BH691" s="87"/>
    </row>
    <row r="692" spans="4:60" x14ac:dyDescent="0.3">
      <c r="D692" s="89"/>
      <c r="E692" s="89"/>
      <c r="F692" s="100" t="str">
        <f t="shared" si="59"/>
        <v/>
      </c>
      <c r="T692" s="87"/>
      <c r="U692" s="87"/>
      <c r="V692" s="87"/>
      <c r="W692" s="87"/>
      <c r="X692" s="87"/>
      <c r="Y692" s="87"/>
      <c r="Z692" s="87"/>
      <c r="AA692" s="87"/>
      <c r="AB692" s="87"/>
      <c r="AI692" s="87"/>
      <c r="AJ692" s="87"/>
      <c r="AK692" s="87"/>
      <c r="AL692" s="87"/>
      <c r="AM692" s="87"/>
      <c r="AN692" s="87"/>
      <c r="AO692" s="87"/>
      <c r="AP692" s="87"/>
      <c r="AQ692" s="87"/>
      <c r="AR692" s="87"/>
      <c r="BC692" s="87"/>
      <c r="BD692" s="87"/>
      <c r="BE692" s="87"/>
      <c r="BF692" s="87"/>
      <c r="BG692" s="87"/>
      <c r="BH692" s="87"/>
    </row>
    <row r="693" spans="4:60" x14ac:dyDescent="0.3">
      <c r="D693" s="89"/>
      <c r="E693" s="89"/>
      <c r="F693" s="100" t="str">
        <f t="shared" si="59"/>
        <v/>
      </c>
      <c r="T693" s="87"/>
      <c r="U693" s="87"/>
      <c r="V693" s="87"/>
      <c r="W693" s="87"/>
      <c r="X693" s="87"/>
      <c r="Y693" s="87"/>
      <c r="Z693" s="87"/>
      <c r="AA693" s="87"/>
      <c r="AB693" s="87"/>
      <c r="AI693" s="87"/>
      <c r="AJ693" s="87"/>
      <c r="AK693" s="87"/>
      <c r="AL693" s="87"/>
      <c r="AM693" s="87"/>
      <c r="AN693" s="87"/>
      <c r="AO693" s="87"/>
      <c r="AP693" s="87"/>
      <c r="AQ693" s="87"/>
      <c r="AR693" s="87"/>
      <c r="BC693" s="87"/>
      <c r="BD693" s="87"/>
      <c r="BE693" s="87"/>
      <c r="BF693" s="87"/>
      <c r="BG693" s="87"/>
      <c r="BH693" s="87"/>
    </row>
    <row r="694" spans="4:60" x14ac:dyDescent="0.3">
      <c r="D694" s="89"/>
      <c r="E694" s="89"/>
      <c r="F694" s="100" t="str">
        <f t="shared" si="59"/>
        <v/>
      </c>
      <c r="T694" s="87"/>
      <c r="U694" s="87"/>
      <c r="V694" s="87"/>
      <c r="W694" s="87"/>
      <c r="X694" s="87"/>
      <c r="Y694" s="87"/>
      <c r="Z694" s="87"/>
      <c r="AA694" s="87"/>
      <c r="AB694" s="87"/>
      <c r="AI694" s="87"/>
      <c r="AJ694" s="87"/>
      <c r="AK694" s="87"/>
      <c r="AL694" s="87"/>
      <c r="AM694" s="87"/>
      <c r="AN694" s="87"/>
      <c r="AO694" s="87"/>
      <c r="AP694" s="87"/>
      <c r="AQ694" s="87"/>
      <c r="AR694" s="87"/>
      <c r="BC694" s="87"/>
      <c r="BD694" s="87"/>
      <c r="BE694" s="87"/>
      <c r="BF694" s="87"/>
      <c r="BG694" s="87"/>
      <c r="BH694" s="87"/>
    </row>
    <row r="695" spans="4:60" x14ac:dyDescent="0.3">
      <c r="D695" s="89"/>
      <c r="E695" s="89"/>
      <c r="F695" s="100" t="str">
        <f t="shared" si="59"/>
        <v/>
      </c>
      <c r="T695" s="87"/>
      <c r="U695" s="87"/>
      <c r="V695" s="87"/>
      <c r="W695" s="87"/>
      <c r="X695" s="87"/>
      <c r="Y695" s="87"/>
      <c r="Z695" s="87"/>
      <c r="AA695" s="87"/>
      <c r="AB695" s="87"/>
      <c r="AI695" s="87"/>
      <c r="AJ695" s="87"/>
      <c r="AK695" s="87"/>
      <c r="AL695" s="87"/>
      <c r="AM695" s="87"/>
      <c r="AN695" s="87"/>
      <c r="AO695" s="87"/>
      <c r="AP695" s="87"/>
      <c r="AQ695" s="87"/>
      <c r="AR695" s="87"/>
      <c r="BC695" s="87"/>
      <c r="BD695" s="87"/>
      <c r="BE695" s="87"/>
      <c r="BF695" s="87"/>
      <c r="BG695" s="87"/>
      <c r="BH695" s="87"/>
    </row>
    <row r="696" spans="4:60" x14ac:dyDescent="0.3">
      <c r="D696" s="89"/>
      <c r="E696" s="89"/>
      <c r="F696" s="100" t="str">
        <f t="shared" si="59"/>
        <v/>
      </c>
      <c r="T696" s="87"/>
      <c r="U696" s="87"/>
      <c r="V696" s="87"/>
      <c r="W696" s="87"/>
      <c r="X696" s="87"/>
      <c r="Y696" s="87"/>
      <c r="Z696" s="87"/>
      <c r="AA696" s="87"/>
      <c r="AB696" s="87"/>
      <c r="AI696" s="87"/>
      <c r="AJ696" s="87"/>
      <c r="AK696" s="87"/>
      <c r="AL696" s="87"/>
      <c r="AM696" s="87"/>
      <c r="AN696" s="87"/>
      <c r="AO696" s="87"/>
      <c r="AP696" s="87"/>
      <c r="AQ696" s="87"/>
      <c r="AR696" s="87"/>
      <c r="BC696" s="87"/>
      <c r="BD696" s="87"/>
      <c r="BE696" s="87"/>
      <c r="BF696" s="87"/>
      <c r="BG696" s="87"/>
      <c r="BH696" s="87"/>
    </row>
    <row r="697" spans="4:60" x14ac:dyDescent="0.3">
      <c r="D697" s="89"/>
      <c r="E697" s="89"/>
      <c r="F697" s="100" t="str">
        <f t="shared" si="59"/>
        <v/>
      </c>
      <c r="T697" s="87"/>
      <c r="U697" s="87"/>
      <c r="V697" s="87"/>
      <c r="W697" s="87"/>
      <c r="X697" s="87"/>
      <c r="Y697" s="87"/>
      <c r="Z697" s="87"/>
      <c r="AA697" s="87"/>
      <c r="AB697" s="87"/>
      <c r="AI697" s="87"/>
      <c r="AJ697" s="87"/>
      <c r="AK697" s="87"/>
      <c r="AL697" s="87"/>
      <c r="AM697" s="87"/>
      <c r="AN697" s="87"/>
      <c r="AO697" s="87"/>
      <c r="AP697" s="87"/>
      <c r="AQ697" s="87"/>
      <c r="AR697" s="87"/>
      <c r="BC697" s="87"/>
      <c r="BD697" s="87"/>
      <c r="BE697" s="87"/>
      <c r="BF697" s="87"/>
      <c r="BG697" s="87"/>
      <c r="BH697" s="87"/>
    </row>
    <row r="698" spans="4:60" x14ac:dyDescent="0.3">
      <c r="D698" s="89"/>
      <c r="E698" s="89"/>
      <c r="F698" s="100" t="str">
        <f t="shared" si="59"/>
        <v/>
      </c>
      <c r="T698" s="87"/>
      <c r="U698" s="87"/>
      <c r="V698" s="87"/>
      <c r="W698" s="87"/>
      <c r="X698" s="87"/>
      <c r="Y698" s="87"/>
      <c r="Z698" s="87"/>
      <c r="AA698" s="87"/>
      <c r="AB698" s="87"/>
      <c r="AI698" s="87"/>
      <c r="AJ698" s="87"/>
      <c r="AK698" s="87"/>
      <c r="AL698" s="87"/>
      <c r="AM698" s="87"/>
      <c r="AN698" s="87"/>
      <c r="AO698" s="87"/>
      <c r="AP698" s="87"/>
      <c r="AQ698" s="87"/>
      <c r="AR698" s="87"/>
      <c r="BC698" s="87"/>
      <c r="BD698" s="87"/>
      <c r="BE698" s="87"/>
      <c r="BF698" s="87"/>
      <c r="BG698" s="87"/>
      <c r="BH698" s="87"/>
    </row>
    <row r="699" spans="4:60" x14ac:dyDescent="0.3">
      <c r="D699" s="89"/>
      <c r="E699" s="89"/>
      <c r="F699" s="100" t="str">
        <f t="shared" si="59"/>
        <v/>
      </c>
      <c r="T699" s="87"/>
      <c r="U699" s="87"/>
      <c r="V699" s="87"/>
      <c r="W699" s="87"/>
      <c r="X699" s="87"/>
      <c r="Y699" s="87"/>
      <c r="Z699" s="87"/>
      <c r="AA699" s="87"/>
      <c r="AB699" s="87"/>
      <c r="AI699" s="87"/>
      <c r="AJ699" s="87"/>
      <c r="AK699" s="87"/>
      <c r="AL699" s="87"/>
      <c r="AM699" s="87"/>
      <c r="AN699" s="87"/>
      <c r="AO699" s="87"/>
      <c r="AP699" s="87"/>
      <c r="AQ699" s="87"/>
      <c r="AR699" s="87"/>
      <c r="BC699" s="87"/>
      <c r="BD699" s="87"/>
      <c r="BE699" s="87"/>
      <c r="BF699" s="87"/>
      <c r="BG699" s="87"/>
      <c r="BH699" s="87"/>
    </row>
    <row r="700" spans="4:60" x14ac:dyDescent="0.3">
      <c r="D700" s="89"/>
      <c r="E700" s="89"/>
      <c r="F700" s="100" t="str">
        <f t="shared" si="59"/>
        <v/>
      </c>
      <c r="T700" s="87"/>
      <c r="U700" s="87"/>
      <c r="V700" s="87"/>
      <c r="W700" s="87"/>
      <c r="X700" s="87"/>
      <c r="Y700" s="87"/>
      <c r="Z700" s="87"/>
      <c r="AA700" s="87"/>
      <c r="AB700" s="87"/>
      <c r="AI700" s="87"/>
      <c r="AJ700" s="87"/>
      <c r="AK700" s="87"/>
      <c r="AL700" s="87"/>
      <c r="AM700" s="87"/>
      <c r="AN700" s="87"/>
      <c r="AO700" s="87"/>
      <c r="AP700" s="87"/>
      <c r="AQ700" s="87"/>
      <c r="AR700" s="87"/>
      <c r="BC700" s="87"/>
      <c r="BD700" s="87"/>
      <c r="BE700" s="87"/>
      <c r="BF700" s="87"/>
      <c r="BG700" s="87"/>
      <c r="BH700" s="87"/>
    </row>
    <row r="701" spans="4:60" x14ac:dyDescent="0.3">
      <c r="D701" s="89"/>
      <c r="E701" s="89"/>
      <c r="F701" s="100" t="str">
        <f t="shared" si="59"/>
        <v/>
      </c>
      <c r="T701" s="87"/>
      <c r="U701" s="87"/>
      <c r="V701" s="87"/>
      <c r="W701" s="87"/>
      <c r="X701" s="87"/>
      <c r="Y701" s="87"/>
      <c r="Z701" s="87"/>
      <c r="AA701" s="87"/>
      <c r="AB701" s="87"/>
      <c r="AI701" s="87"/>
      <c r="AJ701" s="87"/>
      <c r="AK701" s="87"/>
      <c r="AL701" s="87"/>
      <c r="AM701" s="87"/>
      <c r="AN701" s="87"/>
      <c r="AO701" s="87"/>
      <c r="AP701" s="87"/>
      <c r="AQ701" s="87"/>
      <c r="AR701" s="87"/>
      <c r="BC701" s="87"/>
      <c r="BD701" s="87"/>
      <c r="BE701" s="87"/>
      <c r="BF701" s="87"/>
      <c r="BG701" s="87"/>
      <c r="BH701" s="87"/>
    </row>
    <row r="702" spans="4:60" x14ac:dyDescent="0.3">
      <c r="D702" s="89"/>
      <c r="E702" s="89"/>
      <c r="F702" s="100" t="str">
        <f t="shared" si="59"/>
        <v/>
      </c>
      <c r="T702" s="87"/>
      <c r="U702" s="87"/>
      <c r="V702" s="87"/>
      <c r="W702" s="87"/>
      <c r="X702" s="87"/>
      <c r="Y702" s="87"/>
      <c r="Z702" s="87"/>
      <c r="AA702" s="87"/>
      <c r="AB702" s="87"/>
      <c r="AI702" s="87"/>
      <c r="AJ702" s="87"/>
      <c r="AK702" s="87"/>
      <c r="AL702" s="87"/>
      <c r="AM702" s="87"/>
      <c r="AN702" s="87"/>
      <c r="AO702" s="87"/>
      <c r="AP702" s="87"/>
      <c r="AQ702" s="87"/>
      <c r="AR702" s="87"/>
      <c r="BC702" s="87"/>
      <c r="BD702" s="87"/>
      <c r="BE702" s="87"/>
      <c r="BF702" s="87"/>
      <c r="BG702" s="87"/>
      <c r="BH702" s="87"/>
    </row>
    <row r="703" spans="4:60" x14ac:dyDescent="0.3">
      <c r="D703" s="89"/>
      <c r="E703" s="89"/>
      <c r="F703" s="100" t="str">
        <f t="shared" si="59"/>
        <v/>
      </c>
      <c r="T703" s="87"/>
      <c r="U703" s="87"/>
      <c r="V703" s="87"/>
      <c r="W703" s="87"/>
      <c r="X703" s="87"/>
      <c r="Y703" s="87"/>
      <c r="Z703" s="87"/>
      <c r="AA703" s="87"/>
      <c r="AB703" s="87"/>
      <c r="AI703" s="87"/>
      <c r="AJ703" s="87"/>
      <c r="AK703" s="87"/>
      <c r="AL703" s="87"/>
      <c r="AM703" s="87"/>
      <c r="AN703" s="87"/>
      <c r="AO703" s="87"/>
      <c r="AP703" s="87"/>
      <c r="AQ703" s="87"/>
      <c r="AR703" s="87"/>
      <c r="BC703" s="87"/>
      <c r="BD703" s="87"/>
      <c r="BE703" s="87"/>
      <c r="BF703" s="87"/>
      <c r="BG703" s="87"/>
      <c r="BH703" s="87"/>
    </row>
    <row r="704" spans="4:60" x14ac:dyDescent="0.3">
      <c r="D704" s="89"/>
      <c r="E704" s="89"/>
      <c r="F704" s="100" t="str">
        <f t="shared" si="59"/>
        <v/>
      </c>
      <c r="T704" s="87"/>
      <c r="U704" s="87"/>
      <c r="V704" s="87"/>
      <c r="W704" s="87"/>
      <c r="X704" s="87"/>
      <c r="Y704" s="87"/>
      <c r="Z704" s="87"/>
      <c r="AA704" s="87"/>
      <c r="AB704" s="87"/>
      <c r="AI704" s="87"/>
      <c r="AJ704" s="87"/>
      <c r="AK704" s="87"/>
      <c r="AL704" s="87"/>
      <c r="AM704" s="87"/>
      <c r="AN704" s="87"/>
      <c r="AO704" s="87"/>
      <c r="AP704" s="87"/>
      <c r="AQ704" s="87"/>
      <c r="AR704" s="87"/>
      <c r="BC704" s="87"/>
      <c r="BD704" s="87"/>
      <c r="BE704" s="87"/>
      <c r="BF704" s="87"/>
      <c r="BG704" s="87"/>
      <c r="BH704" s="87"/>
    </row>
    <row r="705" spans="4:60" x14ac:dyDescent="0.3">
      <c r="D705" s="89"/>
      <c r="E705" s="89"/>
      <c r="F705" s="100" t="str">
        <f t="shared" si="59"/>
        <v/>
      </c>
      <c r="T705" s="87"/>
      <c r="U705" s="87"/>
      <c r="V705" s="87"/>
      <c r="W705" s="87"/>
      <c r="X705" s="87"/>
      <c r="Y705" s="87"/>
      <c r="Z705" s="87"/>
      <c r="AA705" s="87"/>
      <c r="AB705" s="87"/>
      <c r="AI705" s="87"/>
      <c r="AJ705" s="87"/>
      <c r="AK705" s="87"/>
      <c r="AL705" s="87"/>
      <c r="AM705" s="87"/>
      <c r="AN705" s="87"/>
      <c r="AO705" s="87"/>
      <c r="AP705" s="87"/>
      <c r="AQ705" s="87"/>
      <c r="AR705" s="87"/>
      <c r="BC705" s="87"/>
      <c r="BD705" s="87"/>
      <c r="BE705" s="87"/>
      <c r="BF705" s="87"/>
      <c r="BG705" s="87"/>
      <c r="BH705" s="87"/>
    </row>
    <row r="706" spans="4:60" x14ac:dyDescent="0.3">
      <c r="D706" s="89"/>
      <c r="E706" s="89"/>
      <c r="F706" s="100" t="str">
        <f t="shared" si="59"/>
        <v/>
      </c>
      <c r="T706" s="87"/>
      <c r="U706" s="87"/>
      <c r="V706" s="87"/>
      <c r="W706" s="87"/>
      <c r="X706" s="87"/>
      <c r="Y706" s="87"/>
      <c r="Z706" s="87"/>
      <c r="AA706" s="87"/>
      <c r="AB706" s="87"/>
      <c r="AI706" s="87"/>
      <c r="AJ706" s="87"/>
      <c r="AK706" s="87"/>
      <c r="AL706" s="87"/>
      <c r="AM706" s="87"/>
      <c r="AN706" s="87"/>
      <c r="AO706" s="87"/>
      <c r="AP706" s="87"/>
      <c r="AQ706" s="87"/>
      <c r="AR706" s="87"/>
      <c r="BC706" s="87"/>
      <c r="BD706" s="87"/>
      <c r="BE706" s="87"/>
      <c r="BF706" s="87"/>
      <c r="BG706" s="87"/>
      <c r="BH706" s="87"/>
    </row>
    <row r="707" spans="4:60" x14ac:dyDescent="0.3">
      <c r="D707" s="89"/>
      <c r="E707" s="89"/>
      <c r="F707" s="100" t="str">
        <f t="shared" si="59"/>
        <v/>
      </c>
      <c r="T707" s="87"/>
      <c r="U707" s="87"/>
      <c r="V707" s="87"/>
      <c r="W707" s="87"/>
      <c r="X707" s="87"/>
      <c r="Y707" s="87"/>
      <c r="Z707" s="87"/>
      <c r="AA707" s="87"/>
      <c r="AB707" s="87"/>
      <c r="AI707" s="87"/>
      <c r="AJ707" s="87"/>
      <c r="AK707" s="87"/>
      <c r="AL707" s="87"/>
      <c r="AM707" s="87"/>
      <c r="AN707" s="87"/>
      <c r="AO707" s="87"/>
      <c r="AP707" s="87"/>
      <c r="AQ707" s="87"/>
      <c r="AR707" s="87"/>
      <c r="BC707" s="87"/>
      <c r="BD707" s="87"/>
      <c r="BE707" s="87"/>
      <c r="BF707" s="87"/>
      <c r="BG707" s="87"/>
      <c r="BH707" s="87"/>
    </row>
    <row r="708" spans="4:60" x14ac:dyDescent="0.3">
      <c r="D708" s="89"/>
      <c r="E708" s="89"/>
      <c r="F708" s="100" t="str">
        <f t="shared" ref="F708:F771" si="60">IF(AND(E708="",D708=""),"",IF(AND(E708="",D708&lt;&gt;""),F707,E708))</f>
        <v/>
      </c>
      <c r="T708" s="87"/>
      <c r="U708" s="87"/>
      <c r="V708" s="87"/>
      <c r="W708" s="87"/>
      <c r="X708" s="87"/>
      <c r="Y708" s="87"/>
      <c r="Z708" s="87"/>
      <c r="AA708" s="87"/>
      <c r="AB708" s="87"/>
      <c r="AI708" s="87"/>
      <c r="AJ708" s="87"/>
      <c r="AK708" s="87"/>
      <c r="AL708" s="87"/>
      <c r="AM708" s="87"/>
      <c r="AN708" s="87"/>
      <c r="AO708" s="87"/>
      <c r="AP708" s="87"/>
      <c r="AQ708" s="87"/>
      <c r="AR708" s="87"/>
      <c r="BC708" s="87"/>
      <c r="BD708" s="87"/>
      <c r="BE708" s="87"/>
      <c r="BF708" s="87"/>
      <c r="BG708" s="87"/>
      <c r="BH708" s="87"/>
    </row>
    <row r="709" spans="4:60" x14ac:dyDescent="0.3">
      <c r="D709" s="89"/>
      <c r="E709" s="89"/>
      <c r="F709" s="100" t="str">
        <f t="shared" si="60"/>
        <v/>
      </c>
      <c r="T709" s="87"/>
      <c r="U709" s="87"/>
      <c r="V709" s="87"/>
      <c r="W709" s="87"/>
      <c r="X709" s="87"/>
      <c r="Y709" s="87"/>
      <c r="Z709" s="87"/>
      <c r="AA709" s="87"/>
      <c r="AB709" s="87"/>
      <c r="AI709" s="87"/>
      <c r="AJ709" s="87"/>
      <c r="AK709" s="87"/>
      <c r="AL709" s="87"/>
      <c r="AM709" s="87"/>
      <c r="AN709" s="87"/>
      <c r="AO709" s="87"/>
      <c r="AP709" s="87"/>
      <c r="AQ709" s="87"/>
      <c r="AR709" s="87"/>
      <c r="BC709" s="87"/>
      <c r="BD709" s="87"/>
      <c r="BE709" s="87"/>
      <c r="BF709" s="87"/>
      <c r="BG709" s="87"/>
      <c r="BH709" s="87"/>
    </row>
    <row r="710" spans="4:60" x14ac:dyDescent="0.3">
      <c r="D710" s="89"/>
      <c r="E710" s="89"/>
      <c r="F710" s="100" t="str">
        <f t="shared" si="60"/>
        <v/>
      </c>
      <c r="T710" s="87"/>
      <c r="U710" s="87"/>
      <c r="V710" s="87"/>
      <c r="W710" s="87"/>
      <c r="X710" s="87"/>
      <c r="Y710" s="87"/>
      <c r="Z710" s="87"/>
      <c r="AA710" s="87"/>
      <c r="AB710" s="87"/>
      <c r="AI710" s="87"/>
      <c r="AJ710" s="87"/>
      <c r="AK710" s="87"/>
      <c r="AL710" s="87"/>
      <c r="AM710" s="87"/>
      <c r="AN710" s="87"/>
      <c r="AO710" s="87"/>
      <c r="AP710" s="87"/>
      <c r="AQ710" s="87"/>
      <c r="AR710" s="87"/>
      <c r="BC710" s="87"/>
      <c r="BD710" s="87"/>
      <c r="BE710" s="87"/>
      <c r="BF710" s="87"/>
      <c r="BG710" s="87"/>
      <c r="BH710" s="87"/>
    </row>
    <row r="711" spans="4:60" x14ac:dyDescent="0.3">
      <c r="D711" s="89"/>
      <c r="E711" s="89"/>
      <c r="F711" s="100" t="str">
        <f t="shared" si="60"/>
        <v/>
      </c>
      <c r="T711" s="87"/>
      <c r="U711" s="87"/>
      <c r="V711" s="87"/>
      <c r="W711" s="87"/>
      <c r="X711" s="87"/>
      <c r="Y711" s="87"/>
      <c r="Z711" s="87"/>
      <c r="AA711" s="87"/>
      <c r="AB711" s="87"/>
      <c r="AI711" s="87"/>
      <c r="AJ711" s="87"/>
      <c r="AK711" s="87"/>
      <c r="AL711" s="87"/>
      <c r="AM711" s="87"/>
      <c r="AN711" s="87"/>
      <c r="AO711" s="87"/>
      <c r="AP711" s="87"/>
      <c r="AQ711" s="87"/>
      <c r="AR711" s="87"/>
      <c r="BC711" s="87"/>
      <c r="BD711" s="87"/>
      <c r="BE711" s="87"/>
      <c r="BF711" s="87"/>
      <c r="BG711" s="87"/>
      <c r="BH711" s="87"/>
    </row>
    <row r="712" spans="4:60" x14ac:dyDescent="0.3">
      <c r="D712" s="89"/>
      <c r="E712" s="89"/>
      <c r="F712" s="100" t="str">
        <f t="shared" si="60"/>
        <v/>
      </c>
      <c r="T712" s="87"/>
      <c r="U712" s="87"/>
      <c r="V712" s="87"/>
      <c r="W712" s="87"/>
      <c r="X712" s="87"/>
      <c r="Y712" s="87"/>
      <c r="Z712" s="87"/>
      <c r="AA712" s="87"/>
      <c r="AB712" s="87"/>
      <c r="AI712" s="87"/>
      <c r="AJ712" s="87"/>
      <c r="AK712" s="87"/>
      <c r="AL712" s="87"/>
      <c r="AM712" s="87"/>
      <c r="AN712" s="87"/>
      <c r="AO712" s="87"/>
      <c r="AP712" s="87"/>
      <c r="AQ712" s="87"/>
      <c r="AR712" s="87"/>
      <c r="BC712" s="87"/>
      <c r="BD712" s="87"/>
      <c r="BE712" s="87"/>
      <c r="BF712" s="87"/>
      <c r="BG712" s="87"/>
      <c r="BH712" s="87"/>
    </row>
    <row r="713" spans="4:60" x14ac:dyDescent="0.3">
      <c r="D713" s="89"/>
      <c r="E713" s="89"/>
      <c r="F713" s="100" t="str">
        <f t="shared" si="60"/>
        <v/>
      </c>
      <c r="T713" s="87"/>
      <c r="U713" s="87"/>
      <c r="V713" s="87"/>
      <c r="W713" s="87"/>
      <c r="X713" s="87"/>
      <c r="Y713" s="87"/>
      <c r="Z713" s="87"/>
      <c r="AA713" s="87"/>
      <c r="AB713" s="87"/>
      <c r="AI713" s="87"/>
      <c r="AJ713" s="87"/>
      <c r="AK713" s="87"/>
      <c r="AL713" s="87"/>
      <c r="AM713" s="87"/>
      <c r="AN713" s="87"/>
      <c r="AO713" s="87"/>
      <c r="AP713" s="87"/>
      <c r="AQ713" s="87"/>
      <c r="AR713" s="87"/>
      <c r="BC713" s="87"/>
      <c r="BD713" s="87"/>
      <c r="BE713" s="87"/>
      <c r="BF713" s="87"/>
      <c r="BG713" s="87"/>
      <c r="BH713" s="87"/>
    </row>
    <row r="714" spans="4:60" x14ac:dyDescent="0.3">
      <c r="D714" s="89"/>
      <c r="E714" s="89"/>
      <c r="F714" s="100" t="str">
        <f t="shared" si="60"/>
        <v/>
      </c>
      <c r="T714" s="87"/>
      <c r="U714" s="87"/>
      <c r="V714" s="87"/>
      <c r="W714" s="87"/>
      <c r="X714" s="87"/>
      <c r="Y714" s="87"/>
      <c r="Z714" s="87"/>
      <c r="AA714" s="87"/>
      <c r="AB714" s="87"/>
      <c r="AI714" s="87"/>
      <c r="AJ714" s="87"/>
      <c r="AK714" s="87"/>
      <c r="AL714" s="87"/>
      <c r="AM714" s="87"/>
      <c r="AN714" s="87"/>
      <c r="AO714" s="87"/>
      <c r="AP714" s="87"/>
      <c r="AQ714" s="87"/>
      <c r="AR714" s="87"/>
      <c r="BC714" s="87"/>
      <c r="BD714" s="87"/>
      <c r="BE714" s="87"/>
      <c r="BF714" s="87"/>
      <c r="BG714" s="87"/>
      <c r="BH714" s="87"/>
    </row>
    <row r="715" spans="4:60" x14ac:dyDescent="0.3">
      <c r="D715" s="89"/>
      <c r="E715" s="89"/>
      <c r="F715" s="100" t="str">
        <f t="shared" si="60"/>
        <v/>
      </c>
      <c r="T715" s="87"/>
      <c r="U715" s="87"/>
      <c r="V715" s="87"/>
      <c r="W715" s="87"/>
      <c r="X715" s="87"/>
      <c r="Y715" s="87"/>
      <c r="Z715" s="87"/>
      <c r="AA715" s="87"/>
      <c r="AB715" s="87"/>
      <c r="AI715" s="87"/>
      <c r="AJ715" s="87"/>
      <c r="AK715" s="87"/>
      <c r="AL715" s="87"/>
      <c r="AM715" s="87"/>
      <c r="AN715" s="87"/>
      <c r="AO715" s="87"/>
      <c r="AP715" s="87"/>
      <c r="AQ715" s="87"/>
      <c r="AR715" s="87"/>
      <c r="BC715" s="87"/>
      <c r="BD715" s="87"/>
      <c r="BE715" s="87"/>
      <c r="BF715" s="87"/>
      <c r="BG715" s="87"/>
      <c r="BH715" s="87"/>
    </row>
    <row r="716" spans="4:60" x14ac:dyDescent="0.3">
      <c r="D716" s="89"/>
      <c r="E716" s="89"/>
      <c r="F716" s="100" t="str">
        <f t="shared" si="60"/>
        <v/>
      </c>
      <c r="T716" s="87"/>
      <c r="U716" s="87"/>
      <c r="V716" s="87"/>
      <c r="W716" s="87"/>
      <c r="X716" s="87"/>
      <c r="Y716" s="87"/>
      <c r="Z716" s="87"/>
      <c r="AA716" s="87"/>
      <c r="AB716" s="87"/>
      <c r="AI716" s="87"/>
      <c r="AJ716" s="87"/>
      <c r="AK716" s="87"/>
      <c r="AL716" s="87"/>
      <c r="AM716" s="87"/>
      <c r="AN716" s="87"/>
      <c r="AO716" s="87"/>
      <c r="AP716" s="87"/>
      <c r="AQ716" s="87"/>
      <c r="AR716" s="87"/>
      <c r="BC716" s="87"/>
      <c r="BD716" s="87"/>
      <c r="BE716" s="87"/>
      <c r="BF716" s="87"/>
      <c r="BG716" s="87"/>
      <c r="BH716" s="87"/>
    </row>
    <row r="717" spans="4:60" x14ac:dyDescent="0.3">
      <c r="D717" s="89"/>
      <c r="E717" s="89"/>
      <c r="F717" s="100" t="str">
        <f t="shared" si="60"/>
        <v/>
      </c>
      <c r="T717" s="87"/>
      <c r="U717" s="87"/>
      <c r="V717" s="87"/>
      <c r="W717" s="87"/>
      <c r="X717" s="87"/>
      <c r="Y717" s="87"/>
      <c r="Z717" s="87"/>
      <c r="AA717" s="87"/>
      <c r="AB717" s="87"/>
      <c r="AI717" s="87"/>
      <c r="AJ717" s="87"/>
      <c r="AK717" s="87"/>
      <c r="AL717" s="87"/>
      <c r="AM717" s="87"/>
      <c r="AN717" s="87"/>
      <c r="AO717" s="87"/>
      <c r="AP717" s="87"/>
      <c r="AQ717" s="87"/>
      <c r="AR717" s="87"/>
      <c r="BC717" s="87"/>
      <c r="BD717" s="87"/>
      <c r="BE717" s="87"/>
      <c r="BF717" s="87"/>
      <c r="BG717" s="87"/>
      <c r="BH717" s="87"/>
    </row>
    <row r="718" spans="4:60" x14ac:dyDescent="0.3">
      <c r="D718" s="89"/>
      <c r="E718" s="89"/>
      <c r="F718" s="100" t="str">
        <f t="shared" si="60"/>
        <v/>
      </c>
      <c r="T718" s="87"/>
      <c r="U718" s="87"/>
      <c r="V718" s="87"/>
      <c r="W718" s="87"/>
      <c r="X718" s="87"/>
      <c r="Y718" s="87"/>
      <c r="Z718" s="87"/>
      <c r="AA718" s="87"/>
      <c r="AB718" s="87"/>
      <c r="AI718" s="87"/>
      <c r="AJ718" s="87"/>
      <c r="AK718" s="87"/>
      <c r="AL718" s="87"/>
      <c r="AM718" s="87"/>
      <c r="AN718" s="87"/>
      <c r="AO718" s="87"/>
      <c r="AP718" s="87"/>
      <c r="AQ718" s="87"/>
      <c r="AR718" s="87"/>
      <c r="BC718" s="87"/>
      <c r="BD718" s="87"/>
      <c r="BE718" s="87"/>
      <c r="BF718" s="87"/>
      <c r="BG718" s="87"/>
      <c r="BH718" s="87"/>
    </row>
    <row r="719" spans="4:60" x14ac:dyDescent="0.3">
      <c r="D719" s="89"/>
      <c r="E719" s="89"/>
      <c r="F719" s="100" t="str">
        <f t="shared" si="60"/>
        <v/>
      </c>
      <c r="T719" s="87"/>
      <c r="U719" s="87"/>
      <c r="V719" s="87"/>
      <c r="W719" s="87"/>
      <c r="X719" s="87"/>
      <c r="Y719" s="87"/>
      <c r="Z719" s="87"/>
      <c r="AA719" s="87"/>
      <c r="AB719" s="87"/>
      <c r="AI719" s="87"/>
      <c r="AJ719" s="87"/>
      <c r="AK719" s="87"/>
      <c r="AL719" s="87"/>
      <c r="AM719" s="87"/>
      <c r="AN719" s="87"/>
      <c r="AO719" s="87"/>
      <c r="AP719" s="87"/>
      <c r="AQ719" s="87"/>
      <c r="AR719" s="87"/>
      <c r="BC719" s="87"/>
      <c r="BD719" s="87"/>
      <c r="BE719" s="87"/>
      <c r="BF719" s="87"/>
      <c r="BG719" s="87"/>
      <c r="BH719" s="87"/>
    </row>
    <row r="720" spans="4:60" x14ac:dyDescent="0.3">
      <c r="D720" s="89"/>
      <c r="E720" s="89"/>
      <c r="F720" s="100" t="str">
        <f t="shared" si="60"/>
        <v/>
      </c>
      <c r="T720" s="87"/>
      <c r="U720" s="87"/>
      <c r="V720" s="87"/>
      <c r="W720" s="87"/>
      <c r="X720" s="87"/>
      <c r="Y720" s="87"/>
      <c r="Z720" s="87"/>
      <c r="AA720" s="87"/>
      <c r="AB720" s="87"/>
      <c r="AI720" s="87"/>
      <c r="AJ720" s="87"/>
      <c r="AK720" s="87"/>
      <c r="AL720" s="87"/>
      <c r="AM720" s="87"/>
      <c r="AN720" s="87"/>
      <c r="AO720" s="87"/>
      <c r="AP720" s="87"/>
      <c r="AQ720" s="87"/>
      <c r="AR720" s="87"/>
      <c r="BC720" s="87"/>
      <c r="BD720" s="87"/>
      <c r="BE720" s="87"/>
      <c r="BF720" s="87"/>
      <c r="BG720" s="87"/>
      <c r="BH720" s="87"/>
    </row>
    <row r="721" spans="4:60" x14ac:dyDescent="0.3">
      <c r="D721" s="89"/>
      <c r="E721" s="89"/>
      <c r="F721" s="100" t="str">
        <f t="shared" si="60"/>
        <v/>
      </c>
      <c r="T721" s="87"/>
      <c r="U721" s="87"/>
      <c r="V721" s="87"/>
      <c r="W721" s="87"/>
      <c r="X721" s="87"/>
      <c r="Y721" s="87"/>
      <c r="Z721" s="87"/>
      <c r="AA721" s="87"/>
      <c r="AB721" s="87"/>
      <c r="AI721" s="87"/>
      <c r="AJ721" s="87"/>
      <c r="AK721" s="87"/>
      <c r="AL721" s="87"/>
      <c r="AM721" s="87"/>
      <c r="AN721" s="87"/>
      <c r="AO721" s="87"/>
      <c r="AP721" s="87"/>
      <c r="AQ721" s="87"/>
      <c r="AR721" s="87"/>
      <c r="BC721" s="87"/>
      <c r="BD721" s="87"/>
      <c r="BE721" s="87"/>
      <c r="BF721" s="87"/>
      <c r="BG721" s="87"/>
      <c r="BH721" s="87"/>
    </row>
    <row r="722" spans="4:60" x14ac:dyDescent="0.3">
      <c r="D722" s="89"/>
      <c r="E722" s="89"/>
      <c r="F722" s="100" t="str">
        <f t="shared" si="60"/>
        <v/>
      </c>
      <c r="T722" s="87"/>
      <c r="U722" s="87"/>
      <c r="V722" s="87"/>
      <c r="W722" s="87"/>
      <c r="X722" s="87"/>
      <c r="Y722" s="87"/>
      <c r="Z722" s="87"/>
      <c r="AA722" s="87"/>
      <c r="AB722" s="87"/>
      <c r="AI722" s="87"/>
      <c r="AJ722" s="87"/>
      <c r="AK722" s="87"/>
      <c r="AL722" s="87"/>
      <c r="AM722" s="87"/>
      <c r="AN722" s="87"/>
      <c r="AO722" s="87"/>
      <c r="AP722" s="87"/>
      <c r="AQ722" s="87"/>
      <c r="AR722" s="87"/>
      <c r="BC722" s="87"/>
      <c r="BD722" s="87"/>
      <c r="BE722" s="87"/>
      <c r="BF722" s="87"/>
      <c r="BG722" s="87"/>
      <c r="BH722" s="87"/>
    </row>
    <row r="723" spans="4:60" x14ac:dyDescent="0.3">
      <c r="D723" s="89"/>
      <c r="E723" s="89"/>
      <c r="F723" s="100" t="str">
        <f t="shared" si="60"/>
        <v/>
      </c>
      <c r="T723" s="87"/>
      <c r="U723" s="87"/>
      <c r="V723" s="87"/>
      <c r="W723" s="87"/>
      <c r="X723" s="87"/>
      <c r="Y723" s="87"/>
      <c r="Z723" s="87"/>
      <c r="AA723" s="87"/>
      <c r="AB723" s="87"/>
      <c r="AI723" s="87"/>
      <c r="AJ723" s="87"/>
      <c r="AK723" s="87"/>
      <c r="AL723" s="87"/>
      <c r="AM723" s="87"/>
      <c r="AN723" s="87"/>
      <c r="AO723" s="87"/>
      <c r="AP723" s="87"/>
      <c r="AQ723" s="87"/>
      <c r="AR723" s="87"/>
      <c r="BC723" s="87"/>
      <c r="BD723" s="87"/>
      <c r="BE723" s="87"/>
      <c r="BF723" s="87"/>
      <c r="BG723" s="87"/>
      <c r="BH723" s="87"/>
    </row>
    <row r="724" spans="4:60" x14ac:dyDescent="0.3">
      <c r="D724" s="89"/>
      <c r="E724" s="89"/>
      <c r="F724" s="100" t="str">
        <f t="shared" si="60"/>
        <v/>
      </c>
      <c r="T724" s="87"/>
      <c r="U724" s="87"/>
      <c r="V724" s="87"/>
      <c r="W724" s="87"/>
      <c r="X724" s="87"/>
      <c r="Y724" s="87"/>
      <c r="Z724" s="87"/>
      <c r="AA724" s="87"/>
      <c r="AB724" s="87"/>
      <c r="AI724" s="87"/>
      <c r="AJ724" s="87"/>
      <c r="AK724" s="87"/>
      <c r="AL724" s="87"/>
      <c r="AM724" s="87"/>
      <c r="AN724" s="87"/>
      <c r="AO724" s="87"/>
      <c r="AP724" s="87"/>
      <c r="AQ724" s="87"/>
      <c r="AR724" s="87"/>
      <c r="BC724" s="87"/>
      <c r="BD724" s="87"/>
      <c r="BE724" s="87"/>
      <c r="BF724" s="87"/>
      <c r="BG724" s="87"/>
      <c r="BH724" s="87"/>
    </row>
    <row r="725" spans="4:60" x14ac:dyDescent="0.3">
      <c r="D725" s="89"/>
      <c r="E725" s="89"/>
      <c r="F725" s="100" t="str">
        <f t="shared" si="60"/>
        <v/>
      </c>
      <c r="T725" s="87"/>
      <c r="U725" s="87"/>
      <c r="V725" s="87"/>
      <c r="W725" s="87"/>
      <c r="X725" s="87"/>
      <c r="Y725" s="87"/>
      <c r="Z725" s="87"/>
      <c r="AA725" s="87"/>
      <c r="AB725" s="87"/>
      <c r="AI725" s="87"/>
      <c r="AJ725" s="87"/>
      <c r="AK725" s="87"/>
      <c r="AL725" s="87"/>
      <c r="AM725" s="87"/>
      <c r="AN725" s="87"/>
      <c r="AO725" s="87"/>
      <c r="AP725" s="87"/>
      <c r="AQ725" s="87"/>
      <c r="AR725" s="87"/>
      <c r="BC725" s="87"/>
      <c r="BD725" s="87"/>
      <c r="BE725" s="87"/>
      <c r="BF725" s="87"/>
      <c r="BG725" s="87"/>
      <c r="BH725" s="87"/>
    </row>
    <row r="726" spans="4:60" x14ac:dyDescent="0.3">
      <c r="D726" s="89"/>
      <c r="E726" s="89"/>
      <c r="F726" s="100" t="str">
        <f t="shared" si="60"/>
        <v/>
      </c>
      <c r="T726" s="87"/>
      <c r="U726" s="87"/>
      <c r="V726" s="87"/>
      <c r="W726" s="87"/>
      <c r="X726" s="87"/>
      <c r="Y726" s="87"/>
      <c r="Z726" s="87"/>
      <c r="AA726" s="87"/>
      <c r="AB726" s="87"/>
      <c r="AI726" s="87"/>
      <c r="AJ726" s="87"/>
      <c r="AK726" s="87"/>
      <c r="AL726" s="87"/>
      <c r="AM726" s="87"/>
      <c r="AN726" s="87"/>
      <c r="AO726" s="87"/>
      <c r="AP726" s="87"/>
      <c r="AQ726" s="87"/>
      <c r="AR726" s="87"/>
      <c r="BC726" s="87"/>
      <c r="BD726" s="87"/>
      <c r="BE726" s="87"/>
      <c r="BF726" s="87"/>
      <c r="BG726" s="87"/>
      <c r="BH726" s="87"/>
    </row>
    <row r="727" spans="4:60" x14ac:dyDescent="0.3">
      <c r="D727" s="89"/>
      <c r="E727" s="89"/>
      <c r="F727" s="100" t="str">
        <f t="shared" si="60"/>
        <v/>
      </c>
      <c r="T727" s="87"/>
      <c r="U727" s="87"/>
      <c r="V727" s="87"/>
      <c r="W727" s="87"/>
      <c r="X727" s="87"/>
      <c r="Y727" s="87"/>
      <c r="Z727" s="87"/>
      <c r="AA727" s="87"/>
      <c r="AB727" s="87"/>
      <c r="AI727" s="87"/>
      <c r="AJ727" s="87"/>
      <c r="AK727" s="87"/>
      <c r="AL727" s="87"/>
      <c r="AM727" s="87"/>
      <c r="AN727" s="87"/>
      <c r="AO727" s="87"/>
      <c r="AP727" s="87"/>
      <c r="AQ727" s="87"/>
      <c r="AR727" s="87"/>
      <c r="BC727" s="87"/>
      <c r="BD727" s="87"/>
      <c r="BE727" s="87"/>
      <c r="BF727" s="87"/>
      <c r="BG727" s="87"/>
      <c r="BH727" s="87"/>
    </row>
    <row r="728" spans="4:60" x14ac:dyDescent="0.3">
      <c r="D728" s="89"/>
      <c r="E728" s="89"/>
      <c r="F728" s="100" t="str">
        <f t="shared" si="60"/>
        <v/>
      </c>
      <c r="T728" s="87"/>
      <c r="U728" s="87"/>
      <c r="V728" s="87"/>
      <c r="W728" s="87"/>
      <c r="X728" s="87"/>
      <c r="Y728" s="87"/>
      <c r="Z728" s="87"/>
      <c r="AA728" s="87"/>
      <c r="AB728" s="87"/>
      <c r="AI728" s="87"/>
      <c r="AJ728" s="87"/>
      <c r="AK728" s="87"/>
      <c r="AL728" s="87"/>
      <c r="AM728" s="87"/>
      <c r="AN728" s="87"/>
      <c r="AO728" s="87"/>
      <c r="AP728" s="87"/>
      <c r="AQ728" s="87"/>
      <c r="AR728" s="87"/>
      <c r="BC728" s="87"/>
      <c r="BD728" s="87"/>
      <c r="BE728" s="87"/>
      <c r="BF728" s="87"/>
      <c r="BG728" s="87"/>
      <c r="BH728" s="87"/>
    </row>
    <row r="729" spans="4:60" x14ac:dyDescent="0.3">
      <c r="D729" s="89"/>
      <c r="E729" s="89"/>
      <c r="F729" s="100" t="str">
        <f t="shared" si="60"/>
        <v/>
      </c>
      <c r="T729" s="87"/>
      <c r="U729" s="87"/>
      <c r="V729" s="87"/>
      <c r="W729" s="87"/>
      <c r="X729" s="87"/>
      <c r="Y729" s="87"/>
      <c r="Z729" s="87"/>
      <c r="AA729" s="87"/>
      <c r="AB729" s="87"/>
      <c r="AI729" s="87"/>
      <c r="AJ729" s="87"/>
      <c r="AK729" s="87"/>
      <c r="AL729" s="87"/>
      <c r="AM729" s="87"/>
      <c r="AN729" s="87"/>
      <c r="AO729" s="87"/>
      <c r="AP729" s="87"/>
      <c r="AQ729" s="87"/>
      <c r="AR729" s="87"/>
      <c r="BC729" s="87"/>
      <c r="BD729" s="87"/>
      <c r="BE729" s="87"/>
      <c r="BF729" s="87"/>
      <c r="BG729" s="87"/>
      <c r="BH729" s="87"/>
    </row>
    <row r="730" spans="4:60" x14ac:dyDescent="0.3">
      <c r="D730" s="89"/>
      <c r="E730" s="89"/>
      <c r="F730" s="100" t="str">
        <f t="shared" si="60"/>
        <v/>
      </c>
      <c r="T730" s="87"/>
      <c r="U730" s="87"/>
      <c r="V730" s="87"/>
      <c r="W730" s="87"/>
      <c r="X730" s="87"/>
      <c r="Y730" s="87"/>
      <c r="Z730" s="87"/>
      <c r="AA730" s="87"/>
      <c r="AB730" s="87"/>
      <c r="AI730" s="87"/>
      <c r="AJ730" s="87"/>
      <c r="AK730" s="87"/>
      <c r="AL730" s="87"/>
      <c r="AM730" s="87"/>
      <c r="AN730" s="87"/>
      <c r="AO730" s="87"/>
      <c r="AP730" s="87"/>
      <c r="AQ730" s="87"/>
      <c r="AR730" s="87"/>
      <c r="BC730" s="87"/>
      <c r="BD730" s="87"/>
      <c r="BE730" s="87"/>
      <c r="BF730" s="87"/>
      <c r="BG730" s="87"/>
      <c r="BH730" s="87"/>
    </row>
    <row r="731" spans="4:60" x14ac:dyDescent="0.3">
      <c r="D731" s="89"/>
      <c r="E731" s="89"/>
      <c r="F731" s="100" t="str">
        <f t="shared" si="60"/>
        <v/>
      </c>
      <c r="T731" s="87"/>
      <c r="U731" s="87"/>
      <c r="V731" s="87"/>
      <c r="W731" s="87"/>
      <c r="X731" s="87"/>
      <c r="Y731" s="87"/>
      <c r="Z731" s="87"/>
      <c r="AA731" s="87"/>
      <c r="AB731" s="87"/>
      <c r="AI731" s="87"/>
      <c r="AJ731" s="87"/>
      <c r="AK731" s="87"/>
      <c r="AL731" s="87"/>
      <c r="AM731" s="87"/>
      <c r="AN731" s="87"/>
      <c r="AO731" s="87"/>
      <c r="AP731" s="87"/>
      <c r="AQ731" s="87"/>
      <c r="AR731" s="87"/>
      <c r="BC731" s="87"/>
      <c r="BD731" s="87"/>
      <c r="BE731" s="87"/>
      <c r="BF731" s="87"/>
      <c r="BG731" s="87"/>
      <c r="BH731" s="87"/>
    </row>
    <row r="732" spans="4:60" x14ac:dyDescent="0.3">
      <c r="D732" s="89"/>
      <c r="E732" s="89"/>
      <c r="F732" s="100" t="str">
        <f t="shared" si="60"/>
        <v/>
      </c>
      <c r="T732" s="87"/>
      <c r="U732" s="87"/>
      <c r="V732" s="87"/>
      <c r="W732" s="87"/>
      <c r="X732" s="87"/>
      <c r="Y732" s="87"/>
      <c r="Z732" s="87"/>
      <c r="AA732" s="87"/>
      <c r="AB732" s="87"/>
      <c r="AI732" s="87"/>
      <c r="AJ732" s="87"/>
      <c r="AK732" s="87"/>
      <c r="AL732" s="87"/>
      <c r="AM732" s="87"/>
      <c r="AN732" s="87"/>
      <c r="AO732" s="87"/>
      <c r="AP732" s="87"/>
      <c r="AQ732" s="87"/>
      <c r="AR732" s="87"/>
      <c r="BC732" s="87"/>
      <c r="BD732" s="87"/>
      <c r="BE732" s="87"/>
      <c r="BF732" s="87"/>
      <c r="BG732" s="87"/>
      <c r="BH732" s="87"/>
    </row>
    <row r="733" spans="4:60" x14ac:dyDescent="0.3">
      <c r="D733" s="89"/>
      <c r="E733" s="89"/>
      <c r="F733" s="100" t="str">
        <f t="shared" si="60"/>
        <v/>
      </c>
      <c r="T733" s="87"/>
      <c r="U733" s="87"/>
      <c r="V733" s="87"/>
      <c r="W733" s="87"/>
      <c r="X733" s="87"/>
      <c r="Y733" s="87"/>
      <c r="Z733" s="87"/>
      <c r="AA733" s="87"/>
      <c r="AB733" s="87"/>
      <c r="AI733" s="87"/>
      <c r="AJ733" s="87"/>
      <c r="AK733" s="87"/>
      <c r="AL733" s="87"/>
      <c r="AM733" s="87"/>
      <c r="AN733" s="87"/>
      <c r="AO733" s="87"/>
      <c r="AP733" s="87"/>
      <c r="AQ733" s="87"/>
      <c r="AR733" s="87"/>
      <c r="BC733" s="87"/>
      <c r="BD733" s="87"/>
      <c r="BE733" s="87"/>
      <c r="BF733" s="87"/>
      <c r="BG733" s="87"/>
      <c r="BH733" s="87"/>
    </row>
    <row r="734" spans="4:60" x14ac:dyDescent="0.3">
      <c r="D734" s="89"/>
      <c r="E734" s="89"/>
      <c r="F734" s="100" t="str">
        <f t="shared" si="60"/>
        <v/>
      </c>
      <c r="T734" s="87"/>
      <c r="U734" s="87"/>
      <c r="V734" s="87"/>
      <c r="W734" s="87"/>
      <c r="X734" s="87"/>
      <c r="Y734" s="87"/>
      <c r="Z734" s="87"/>
      <c r="AA734" s="87"/>
      <c r="AB734" s="87"/>
      <c r="AI734" s="87"/>
      <c r="AJ734" s="87"/>
      <c r="AK734" s="87"/>
      <c r="AL734" s="87"/>
      <c r="AM734" s="87"/>
      <c r="AN734" s="87"/>
      <c r="AO734" s="87"/>
      <c r="AP734" s="87"/>
      <c r="AQ734" s="87"/>
      <c r="AR734" s="87"/>
      <c r="BC734" s="87"/>
      <c r="BD734" s="87"/>
      <c r="BE734" s="87"/>
      <c r="BF734" s="87"/>
      <c r="BG734" s="87"/>
      <c r="BH734" s="87"/>
    </row>
    <row r="735" spans="4:60" x14ac:dyDescent="0.3">
      <c r="D735" s="89"/>
      <c r="E735" s="89"/>
      <c r="F735" s="100" t="str">
        <f t="shared" si="60"/>
        <v/>
      </c>
      <c r="T735" s="87"/>
      <c r="U735" s="87"/>
      <c r="V735" s="87"/>
      <c r="W735" s="87"/>
      <c r="X735" s="87"/>
      <c r="Y735" s="87"/>
      <c r="Z735" s="87"/>
      <c r="AA735" s="87"/>
      <c r="AB735" s="87"/>
      <c r="AI735" s="87"/>
      <c r="AJ735" s="87"/>
      <c r="AK735" s="87"/>
      <c r="AL735" s="87"/>
      <c r="AM735" s="87"/>
      <c r="AN735" s="87"/>
      <c r="AO735" s="87"/>
      <c r="AP735" s="87"/>
      <c r="AQ735" s="87"/>
      <c r="AR735" s="87"/>
      <c r="BC735" s="87"/>
      <c r="BD735" s="87"/>
      <c r="BE735" s="87"/>
      <c r="BF735" s="87"/>
      <c r="BG735" s="87"/>
      <c r="BH735" s="87"/>
    </row>
    <row r="736" spans="4:60" x14ac:dyDescent="0.3">
      <c r="D736" s="89"/>
      <c r="E736" s="89"/>
      <c r="F736" s="100" t="str">
        <f t="shared" si="60"/>
        <v/>
      </c>
      <c r="T736" s="87"/>
      <c r="U736" s="87"/>
      <c r="V736" s="87"/>
      <c r="W736" s="87"/>
      <c r="X736" s="87"/>
      <c r="Y736" s="87"/>
      <c r="Z736" s="87"/>
      <c r="AA736" s="87"/>
      <c r="AB736" s="87"/>
      <c r="AI736" s="87"/>
      <c r="AJ736" s="87"/>
      <c r="AK736" s="87"/>
      <c r="AL736" s="87"/>
      <c r="AM736" s="87"/>
      <c r="AN736" s="87"/>
      <c r="AO736" s="87"/>
      <c r="AP736" s="87"/>
      <c r="AQ736" s="87"/>
      <c r="AR736" s="87"/>
      <c r="BC736" s="87"/>
      <c r="BD736" s="87"/>
      <c r="BE736" s="87"/>
      <c r="BF736" s="87"/>
      <c r="BG736" s="87"/>
      <c r="BH736" s="87"/>
    </row>
    <row r="737" spans="4:60" x14ac:dyDescent="0.3">
      <c r="D737" s="89"/>
      <c r="E737" s="89"/>
      <c r="F737" s="100" t="str">
        <f t="shared" si="60"/>
        <v/>
      </c>
      <c r="T737" s="87"/>
      <c r="U737" s="87"/>
      <c r="V737" s="87"/>
      <c r="W737" s="87"/>
      <c r="X737" s="87"/>
      <c r="Y737" s="87"/>
      <c r="Z737" s="87"/>
      <c r="AA737" s="87"/>
      <c r="AB737" s="87"/>
      <c r="AI737" s="87"/>
      <c r="AJ737" s="87"/>
      <c r="AK737" s="87"/>
      <c r="AL737" s="87"/>
      <c r="AM737" s="87"/>
      <c r="AN737" s="87"/>
      <c r="AO737" s="87"/>
      <c r="AP737" s="87"/>
      <c r="AQ737" s="87"/>
      <c r="AR737" s="87"/>
      <c r="BC737" s="87"/>
      <c r="BD737" s="87"/>
      <c r="BE737" s="87"/>
      <c r="BF737" s="87"/>
      <c r="BG737" s="87"/>
      <c r="BH737" s="87"/>
    </row>
    <row r="738" spans="4:60" x14ac:dyDescent="0.3">
      <c r="D738" s="89"/>
      <c r="E738" s="89"/>
      <c r="F738" s="100" t="str">
        <f t="shared" si="60"/>
        <v/>
      </c>
      <c r="T738" s="87"/>
      <c r="U738" s="87"/>
      <c r="V738" s="87"/>
      <c r="W738" s="87"/>
      <c r="X738" s="87"/>
      <c r="Y738" s="87"/>
      <c r="Z738" s="87"/>
      <c r="AA738" s="87"/>
      <c r="AB738" s="87"/>
      <c r="AI738" s="87"/>
      <c r="AJ738" s="87"/>
      <c r="AK738" s="87"/>
      <c r="AL738" s="87"/>
      <c r="AM738" s="87"/>
      <c r="AN738" s="87"/>
      <c r="AO738" s="87"/>
      <c r="AP738" s="87"/>
      <c r="AQ738" s="87"/>
      <c r="AR738" s="87"/>
      <c r="BC738" s="87"/>
      <c r="BD738" s="87"/>
      <c r="BE738" s="87"/>
      <c r="BF738" s="87"/>
      <c r="BG738" s="87"/>
      <c r="BH738" s="87"/>
    </row>
    <row r="739" spans="4:60" x14ac:dyDescent="0.3">
      <c r="D739" s="89"/>
      <c r="E739" s="89"/>
      <c r="F739" s="100" t="str">
        <f t="shared" si="60"/>
        <v/>
      </c>
      <c r="T739" s="87"/>
      <c r="U739" s="87"/>
      <c r="V739" s="87"/>
      <c r="W739" s="87"/>
      <c r="X739" s="87"/>
      <c r="Y739" s="87"/>
      <c r="Z739" s="87"/>
      <c r="AA739" s="87"/>
      <c r="AB739" s="87"/>
      <c r="AI739" s="87"/>
      <c r="AJ739" s="87"/>
      <c r="AK739" s="87"/>
      <c r="AL739" s="87"/>
      <c r="AM739" s="87"/>
      <c r="AN739" s="87"/>
      <c r="AO739" s="87"/>
      <c r="AP739" s="87"/>
      <c r="AQ739" s="87"/>
      <c r="AR739" s="87"/>
      <c r="BC739" s="87"/>
      <c r="BD739" s="87"/>
      <c r="BE739" s="87"/>
      <c r="BF739" s="87"/>
      <c r="BG739" s="87"/>
      <c r="BH739" s="87"/>
    </row>
    <row r="740" spans="4:60" x14ac:dyDescent="0.3">
      <c r="D740" s="89"/>
      <c r="E740" s="89"/>
      <c r="F740" s="100" t="str">
        <f t="shared" si="60"/>
        <v/>
      </c>
      <c r="T740" s="87"/>
      <c r="U740" s="87"/>
      <c r="V740" s="87"/>
      <c r="W740" s="87"/>
      <c r="X740" s="87"/>
      <c r="Y740" s="87"/>
      <c r="Z740" s="87"/>
      <c r="AA740" s="87"/>
      <c r="AB740" s="87"/>
      <c r="AI740" s="87"/>
      <c r="AJ740" s="87"/>
      <c r="AK740" s="87"/>
      <c r="AL740" s="87"/>
      <c r="AM740" s="87"/>
      <c r="AN740" s="87"/>
      <c r="AO740" s="87"/>
      <c r="AP740" s="87"/>
      <c r="AQ740" s="87"/>
      <c r="AR740" s="87"/>
      <c r="BC740" s="87"/>
      <c r="BD740" s="87"/>
      <c r="BE740" s="87"/>
      <c r="BF740" s="87"/>
      <c r="BG740" s="87"/>
      <c r="BH740" s="87"/>
    </row>
    <row r="741" spans="4:60" x14ac:dyDescent="0.3">
      <c r="D741" s="89"/>
      <c r="E741" s="89"/>
      <c r="F741" s="100" t="str">
        <f t="shared" si="60"/>
        <v/>
      </c>
      <c r="T741" s="87"/>
      <c r="U741" s="87"/>
      <c r="V741" s="87"/>
      <c r="W741" s="87"/>
      <c r="X741" s="87"/>
      <c r="Y741" s="87"/>
      <c r="Z741" s="87"/>
      <c r="AA741" s="87"/>
      <c r="AB741" s="87"/>
      <c r="AI741" s="87"/>
      <c r="AJ741" s="87"/>
      <c r="AK741" s="87"/>
      <c r="AL741" s="87"/>
      <c r="AM741" s="87"/>
      <c r="AN741" s="87"/>
      <c r="AO741" s="87"/>
      <c r="AP741" s="87"/>
      <c r="AQ741" s="87"/>
      <c r="AR741" s="87"/>
      <c r="BC741" s="87"/>
      <c r="BD741" s="87"/>
      <c r="BE741" s="87"/>
      <c r="BF741" s="87"/>
      <c r="BG741" s="87"/>
      <c r="BH741" s="87"/>
    </row>
    <row r="742" spans="4:60" x14ac:dyDescent="0.3">
      <c r="D742" s="89"/>
      <c r="E742" s="89"/>
      <c r="F742" s="100" t="str">
        <f t="shared" si="60"/>
        <v/>
      </c>
      <c r="T742" s="87"/>
      <c r="U742" s="87"/>
      <c r="V742" s="87"/>
      <c r="W742" s="87"/>
      <c r="X742" s="87"/>
      <c r="Y742" s="87"/>
      <c r="Z742" s="87"/>
      <c r="AA742" s="87"/>
      <c r="AB742" s="87"/>
      <c r="AI742" s="87"/>
      <c r="AJ742" s="87"/>
      <c r="AK742" s="87"/>
      <c r="AL742" s="87"/>
      <c r="AM742" s="87"/>
      <c r="AN742" s="87"/>
      <c r="AO742" s="87"/>
      <c r="AP742" s="87"/>
      <c r="AQ742" s="87"/>
      <c r="AR742" s="87"/>
      <c r="BC742" s="87"/>
      <c r="BD742" s="87"/>
      <c r="BE742" s="87"/>
      <c r="BF742" s="87"/>
      <c r="BG742" s="87"/>
      <c r="BH742" s="87"/>
    </row>
    <row r="743" spans="4:60" x14ac:dyDescent="0.3">
      <c r="D743" s="89"/>
      <c r="E743" s="89"/>
      <c r="F743" s="100" t="str">
        <f t="shared" si="60"/>
        <v/>
      </c>
      <c r="T743" s="87"/>
      <c r="U743" s="87"/>
      <c r="V743" s="87"/>
      <c r="W743" s="87"/>
      <c r="X743" s="87"/>
      <c r="Y743" s="87"/>
      <c r="Z743" s="87"/>
      <c r="AA743" s="87"/>
      <c r="AB743" s="87"/>
      <c r="AI743" s="87"/>
      <c r="AJ743" s="87"/>
      <c r="AK743" s="87"/>
      <c r="AL743" s="87"/>
      <c r="AM743" s="87"/>
      <c r="AN743" s="87"/>
      <c r="AO743" s="87"/>
      <c r="AP743" s="87"/>
      <c r="AQ743" s="87"/>
      <c r="AR743" s="87"/>
      <c r="BC743" s="87"/>
      <c r="BD743" s="87"/>
      <c r="BE743" s="87"/>
      <c r="BF743" s="87"/>
      <c r="BG743" s="87"/>
      <c r="BH743" s="87"/>
    </row>
    <row r="744" spans="4:60" x14ac:dyDescent="0.3">
      <c r="D744" s="89"/>
      <c r="E744" s="89"/>
      <c r="F744" s="100" t="str">
        <f t="shared" si="60"/>
        <v/>
      </c>
      <c r="T744" s="87"/>
      <c r="U744" s="87"/>
      <c r="V744" s="87"/>
      <c r="W744" s="87"/>
      <c r="X744" s="87"/>
      <c r="Y744" s="87"/>
      <c r="Z744" s="87"/>
      <c r="AA744" s="87"/>
      <c r="AB744" s="87"/>
      <c r="AI744" s="87"/>
      <c r="AJ744" s="87"/>
      <c r="AK744" s="87"/>
      <c r="AL744" s="87"/>
      <c r="AM744" s="87"/>
      <c r="AN744" s="87"/>
      <c r="AO744" s="87"/>
      <c r="AP744" s="87"/>
      <c r="AQ744" s="87"/>
      <c r="AR744" s="87"/>
      <c r="BC744" s="87"/>
      <c r="BD744" s="87"/>
      <c r="BE744" s="87"/>
      <c r="BF744" s="87"/>
      <c r="BG744" s="87"/>
      <c r="BH744" s="87"/>
    </row>
    <row r="745" spans="4:60" x14ac:dyDescent="0.3">
      <c r="D745" s="89"/>
      <c r="E745" s="89"/>
      <c r="F745" s="100" t="str">
        <f t="shared" si="60"/>
        <v/>
      </c>
      <c r="T745" s="87"/>
      <c r="U745" s="87"/>
      <c r="V745" s="87"/>
      <c r="W745" s="87"/>
      <c r="X745" s="87"/>
      <c r="Y745" s="87"/>
      <c r="Z745" s="87"/>
      <c r="AA745" s="87"/>
      <c r="AB745" s="87"/>
      <c r="AI745" s="87"/>
      <c r="AJ745" s="87"/>
      <c r="AK745" s="87"/>
      <c r="AL745" s="87"/>
      <c r="AM745" s="87"/>
      <c r="AN745" s="87"/>
      <c r="AO745" s="87"/>
      <c r="AP745" s="87"/>
      <c r="AQ745" s="87"/>
      <c r="AR745" s="87"/>
      <c r="BC745" s="87"/>
      <c r="BD745" s="87"/>
      <c r="BE745" s="87"/>
      <c r="BF745" s="87"/>
      <c r="BG745" s="87"/>
      <c r="BH745" s="87"/>
    </row>
    <row r="746" spans="4:60" x14ac:dyDescent="0.3">
      <c r="D746" s="89"/>
      <c r="E746" s="89"/>
      <c r="F746" s="100" t="str">
        <f t="shared" si="60"/>
        <v/>
      </c>
      <c r="T746" s="87"/>
      <c r="U746" s="87"/>
      <c r="V746" s="87"/>
      <c r="W746" s="87"/>
      <c r="X746" s="87"/>
      <c r="Y746" s="87"/>
      <c r="Z746" s="87"/>
      <c r="AA746" s="87"/>
      <c r="AB746" s="87"/>
      <c r="AI746" s="87"/>
      <c r="AJ746" s="87"/>
      <c r="AK746" s="87"/>
      <c r="AL746" s="87"/>
      <c r="AM746" s="87"/>
      <c r="AN746" s="87"/>
      <c r="AO746" s="87"/>
      <c r="AP746" s="87"/>
      <c r="AQ746" s="87"/>
      <c r="AR746" s="87"/>
      <c r="BC746" s="87"/>
      <c r="BD746" s="87"/>
      <c r="BE746" s="87"/>
      <c r="BF746" s="87"/>
      <c r="BG746" s="87"/>
      <c r="BH746" s="87"/>
    </row>
    <row r="747" spans="4:60" x14ac:dyDescent="0.3">
      <c r="D747" s="89"/>
      <c r="E747" s="89"/>
      <c r="F747" s="100" t="str">
        <f t="shared" si="60"/>
        <v/>
      </c>
      <c r="T747" s="87"/>
      <c r="U747" s="87"/>
      <c r="V747" s="87"/>
      <c r="W747" s="87"/>
      <c r="X747" s="87"/>
      <c r="Y747" s="87"/>
      <c r="Z747" s="87"/>
      <c r="AA747" s="87"/>
      <c r="AB747" s="87"/>
      <c r="AI747" s="87"/>
      <c r="AJ747" s="87"/>
      <c r="AK747" s="87"/>
      <c r="AL747" s="87"/>
      <c r="AM747" s="87"/>
      <c r="AN747" s="87"/>
      <c r="AO747" s="87"/>
      <c r="AP747" s="87"/>
      <c r="AQ747" s="87"/>
      <c r="AR747" s="87"/>
      <c r="BC747" s="87"/>
      <c r="BD747" s="87"/>
      <c r="BE747" s="87"/>
      <c r="BF747" s="87"/>
      <c r="BG747" s="87"/>
      <c r="BH747" s="87"/>
    </row>
    <row r="748" spans="4:60" x14ac:dyDescent="0.3">
      <c r="D748" s="89"/>
      <c r="E748" s="89"/>
      <c r="F748" s="100" t="str">
        <f t="shared" si="60"/>
        <v/>
      </c>
      <c r="T748" s="87"/>
      <c r="U748" s="87"/>
      <c r="V748" s="87"/>
      <c r="W748" s="87"/>
      <c r="X748" s="87"/>
      <c r="Y748" s="87"/>
      <c r="Z748" s="87"/>
      <c r="AA748" s="87"/>
      <c r="AB748" s="87"/>
      <c r="AI748" s="87"/>
      <c r="AJ748" s="87"/>
      <c r="AK748" s="87"/>
      <c r="AL748" s="87"/>
      <c r="AM748" s="87"/>
      <c r="AN748" s="87"/>
      <c r="AO748" s="87"/>
      <c r="AP748" s="87"/>
      <c r="AQ748" s="87"/>
      <c r="AR748" s="87"/>
      <c r="BC748" s="87"/>
      <c r="BD748" s="87"/>
      <c r="BE748" s="87"/>
      <c r="BF748" s="87"/>
      <c r="BG748" s="87"/>
      <c r="BH748" s="87"/>
    </row>
    <row r="749" spans="4:60" x14ac:dyDescent="0.3">
      <c r="D749" s="89"/>
      <c r="E749" s="89"/>
      <c r="F749" s="100" t="str">
        <f t="shared" si="60"/>
        <v/>
      </c>
      <c r="T749" s="87"/>
      <c r="U749" s="87"/>
      <c r="V749" s="87"/>
      <c r="W749" s="87"/>
      <c r="X749" s="87"/>
      <c r="Y749" s="87"/>
      <c r="Z749" s="87"/>
      <c r="AA749" s="87"/>
      <c r="AB749" s="87"/>
      <c r="AI749" s="87"/>
      <c r="AJ749" s="87"/>
      <c r="AK749" s="87"/>
      <c r="AL749" s="87"/>
      <c r="AM749" s="87"/>
      <c r="AN749" s="87"/>
      <c r="AO749" s="87"/>
      <c r="AP749" s="87"/>
      <c r="AQ749" s="87"/>
      <c r="AR749" s="87"/>
      <c r="BC749" s="87"/>
      <c r="BD749" s="87"/>
      <c r="BE749" s="87"/>
      <c r="BF749" s="87"/>
      <c r="BG749" s="87"/>
      <c r="BH749" s="87"/>
    </row>
    <row r="750" spans="4:60" x14ac:dyDescent="0.3">
      <c r="D750" s="89"/>
      <c r="E750" s="89"/>
      <c r="F750" s="100" t="str">
        <f t="shared" si="60"/>
        <v/>
      </c>
      <c r="T750" s="87"/>
      <c r="U750" s="87"/>
      <c r="V750" s="87"/>
      <c r="W750" s="87"/>
      <c r="X750" s="87"/>
      <c r="Y750" s="87"/>
      <c r="Z750" s="87"/>
      <c r="AA750" s="87"/>
      <c r="AB750" s="87"/>
      <c r="AI750" s="87"/>
      <c r="AJ750" s="87"/>
      <c r="AK750" s="87"/>
      <c r="AL750" s="87"/>
      <c r="AM750" s="87"/>
      <c r="AN750" s="87"/>
      <c r="AO750" s="87"/>
      <c r="AP750" s="87"/>
      <c r="AQ750" s="87"/>
      <c r="AR750" s="87"/>
      <c r="BC750" s="87"/>
      <c r="BD750" s="87"/>
      <c r="BE750" s="87"/>
      <c r="BF750" s="87"/>
      <c r="BG750" s="87"/>
      <c r="BH750" s="87"/>
    </row>
    <row r="751" spans="4:60" x14ac:dyDescent="0.3">
      <c r="D751" s="89"/>
      <c r="E751" s="89"/>
      <c r="F751" s="100" t="str">
        <f t="shared" si="60"/>
        <v/>
      </c>
      <c r="T751" s="87"/>
      <c r="U751" s="87"/>
      <c r="V751" s="87"/>
      <c r="W751" s="87"/>
      <c r="X751" s="87"/>
      <c r="Y751" s="87"/>
      <c r="Z751" s="87"/>
      <c r="AA751" s="87"/>
      <c r="AB751" s="87"/>
      <c r="AI751" s="87"/>
      <c r="AJ751" s="87"/>
      <c r="AK751" s="87"/>
      <c r="AL751" s="87"/>
      <c r="AM751" s="87"/>
      <c r="AN751" s="87"/>
      <c r="AO751" s="87"/>
      <c r="AP751" s="87"/>
      <c r="AQ751" s="87"/>
      <c r="AR751" s="87"/>
      <c r="BC751" s="87"/>
      <c r="BD751" s="87"/>
      <c r="BE751" s="87"/>
      <c r="BF751" s="87"/>
      <c r="BG751" s="87"/>
      <c r="BH751" s="87"/>
    </row>
    <row r="752" spans="4:60" x14ac:dyDescent="0.3">
      <c r="D752" s="89"/>
      <c r="E752" s="89"/>
      <c r="F752" s="100" t="str">
        <f t="shared" si="60"/>
        <v/>
      </c>
      <c r="T752" s="87"/>
      <c r="U752" s="87"/>
      <c r="V752" s="87"/>
      <c r="W752" s="87"/>
      <c r="X752" s="87"/>
      <c r="Y752" s="87"/>
      <c r="Z752" s="87"/>
      <c r="AA752" s="87"/>
      <c r="AB752" s="87"/>
      <c r="AI752" s="87"/>
      <c r="AJ752" s="87"/>
      <c r="AK752" s="87"/>
      <c r="AL752" s="87"/>
      <c r="AM752" s="87"/>
      <c r="AN752" s="87"/>
      <c r="AO752" s="87"/>
      <c r="AP752" s="87"/>
      <c r="AQ752" s="87"/>
      <c r="AR752" s="87"/>
      <c r="BC752" s="87"/>
      <c r="BD752" s="87"/>
      <c r="BE752" s="87"/>
      <c r="BF752" s="87"/>
      <c r="BG752" s="87"/>
      <c r="BH752" s="87"/>
    </row>
    <row r="753" spans="4:60" x14ac:dyDescent="0.3">
      <c r="D753" s="89"/>
      <c r="E753" s="89"/>
      <c r="F753" s="100" t="str">
        <f t="shared" si="60"/>
        <v/>
      </c>
      <c r="T753" s="87"/>
      <c r="U753" s="87"/>
      <c r="V753" s="87"/>
      <c r="W753" s="87"/>
      <c r="X753" s="87"/>
      <c r="Y753" s="87"/>
      <c r="Z753" s="87"/>
      <c r="AA753" s="87"/>
      <c r="AB753" s="87"/>
      <c r="AI753" s="87"/>
      <c r="AJ753" s="87"/>
      <c r="AK753" s="87"/>
      <c r="AL753" s="87"/>
      <c r="AM753" s="87"/>
      <c r="AN753" s="87"/>
      <c r="AO753" s="87"/>
      <c r="AP753" s="87"/>
      <c r="AQ753" s="87"/>
      <c r="AR753" s="87"/>
      <c r="BC753" s="87"/>
      <c r="BD753" s="87"/>
      <c r="BE753" s="87"/>
      <c r="BF753" s="87"/>
      <c r="BG753" s="87"/>
      <c r="BH753" s="87"/>
    </row>
    <row r="754" spans="4:60" x14ac:dyDescent="0.3">
      <c r="D754" s="89"/>
      <c r="E754" s="89"/>
      <c r="F754" s="100" t="str">
        <f t="shared" si="60"/>
        <v/>
      </c>
      <c r="T754" s="87"/>
      <c r="U754" s="87"/>
      <c r="V754" s="87"/>
      <c r="W754" s="87"/>
      <c r="X754" s="87"/>
      <c r="Y754" s="87"/>
      <c r="Z754" s="87"/>
      <c r="AA754" s="87"/>
      <c r="AB754" s="87"/>
      <c r="AI754" s="87"/>
      <c r="AJ754" s="87"/>
      <c r="AK754" s="87"/>
      <c r="AL754" s="87"/>
      <c r="AM754" s="87"/>
      <c r="AN754" s="87"/>
      <c r="AO754" s="87"/>
      <c r="AP754" s="87"/>
      <c r="AQ754" s="87"/>
      <c r="AR754" s="87"/>
      <c r="BC754" s="87"/>
      <c r="BD754" s="87"/>
      <c r="BE754" s="87"/>
      <c r="BF754" s="87"/>
      <c r="BG754" s="87"/>
      <c r="BH754" s="87"/>
    </row>
    <row r="755" spans="4:60" x14ac:dyDescent="0.3">
      <c r="D755" s="89"/>
      <c r="E755" s="89"/>
      <c r="F755" s="100" t="str">
        <f t="shared" si="60"/>
        <v/>
      </c>
      <c r="T755" s="87"/>
      <c r="U755" s="87"/>
      <c r="V755" s="87"/>
      <c r="W755" s="87"/>
      <c r="X755" s="87"/>
      <c r="Y755" s="87"/>
      <c r="Z755" s="87"/>
      <c r="AA755" s="87"/>
      <c r="AB755" s="87"/>
      <c r="AI755" s="87"/>
      <c r="AJ755" s="87"/>
      <c r="AK755" s="87"/>
      <c r="AL755" s="87"/>
      <c r="AM755" s="87"/>
      <c r="AN755" s="87"/>
      <c r="AO755" s="87"/>
      <c r="AP755" s="87"/>
      <c r="AQ755" s="87"/>
      <c r="AR755" s="87"/>
      <c r="BC755" s="87"/>
      <c r="BD755" s="87"/>
      <c r="BE755" s="87"/>
      <c r="BF755" s="87"/>
      <c r="BG755" s="87"/>
      <c r="BH755" s="87"/>
    </row>
    <row r="756" spans="4:60" x14ac:dyDescent="0.3">
      <c r="D756" s="89"/>
      <c r="E756" s="89"/>
      <c r="F756" s="100" t="str">
        <f t="shared" si="60"/>
        <v/>
      </c>
      <c r="T756" s="87"/>
      <c r="U756" s="87"/>
      <c r="V756" s="87"/>
      <c r="W756" s="87"/>
      <c r="X756" s="87"/>
      <c r="Y756" s="87"/>
      <c r="Z756" s="87"/>
      <c r="AA756" s="87"/>
      <c r="AB756" s="87"/>
      <c r="AI756" s="87"/>
      <c r="AJ756" s="87"/>
      <c r="AK756" s="87"/>
      <c r="AL756" s="87"/>
      <c r="AM756" s="87"/>
      <c r="AN756" s="87"/>
      <c r="AO756" s="87"/>
      <c r="AP756" s="87"/>
      <c r="AQ756" s="87"/>
      <c r="AR756" s="87"/>
      <c r="BC756" s="87"/>
      <c r="BD756" s="87"/>
      <c r="BE756" s="87"/>
      <c r="BF756" s="87"/>
      <c r="BG756" s="87"/>
      <c r="BH756" s="87"/>
    </row>
    <row r="757" spans="4:60" x14ac:dyDescent="0.3">
      <c r="D757" s="89"/>
      <c r="E757" s="89"/>
      <c r="F757" s="100" t="str">
        <f t="shared" si="60"/>
        <v/>
      </c>
      <c r="T757" s="87"/>
      <c r="U757" s="87"/>
      <c r="V757" s="87"/>
      <c r="W757" s="87"/>
      <c r="X757" s="87"/>
      <c r="Y757" s="87"/>
      <c r="Z757" s="87"/>
      <c r="AA757" s="87"/>
      <c r="AB757" s="87"/>
      <c r="AI757" s="87"/>
      <c r="AJ757" s="87"/>
      <c r="AK757" s="87"/>
      <c r="AL757" s="87"/>
      <c r="AM757" s="87"/>
      <c r="AN757" s="87"/>
      <c r="AO757" s="87"/>
      <c r="AP757" s="87"/>
      <c r="AQ757" s="87"/>
      <c r="AR757" s="87"/>
      <c r="BC757" s="87"/>
      <c r="BD757" s="87"/>
      <c r="BE757" s="87"/>
      <c r="BF757" s="87"/>
      <c r="BG757" s="87"/>
      <c r="BH757" s="87"/>
    </row>
    <row r="758" spans="4:60" x14ac:dyDescent="0.3">
      <c r="D758" s="89"/>
      <c r="E758" s="89"/>
      <c r="F758" s="100" t="str">
        <f t="shared" si="60"/>
        <v/>
      </c>
      <c r="T758" s="87"/>
      <c r="U758" s="87"/>
      <c r="V758" s="87"/>
      <c r="W758" s="87"/>
      <c r="X758" s="87"/>
      <c r="Y758" s="87"/>
      <c r="Z758" s="87"/>
      <c r="AA758" s="87"/>
      <c r="AB758" s="87"/>
      <c r="AI758" s="87"/>
      <c r="AJ758" s="87"/>
      <c r="AK758" s="87"/>
      <c r="AL758" s="87"/>
      <c r="AM758" s="87"/>
      <c r="AN758" s="87"/>
      <c r="AO758" s="87"/>
      <c r="AP758" s="87"/>
      <c r="AQ758" s="87"/>
      <c r="AR758" s="87"/>
      <c r="BC758" s="87"/>
      <c r="BD758" s="87"/>
      <c r="BE758" s="87"/>
      <c r="BF758" s="87"/>
      <c r="BG758" s="87"/>
      <c r="BH758" s="87"/>
    </row>
    <row r="759" spans="4:60" x14ac:dyDescent="0.3">
      <c r="D759" s="89"/>
      <c r="E759" s="89"/>
      <c r="F759" s="100" t="str">
        <f t="shared" si="60"/>
        <v/>
      </c>
      <c r="T759" s="87"/>
      <c r="U759" s="87"/>
      <c r="V759" s="87"/>
      <c r="W759" s="87"/>
      <c r="X759" s="87"/>
      <c r="Y759" s="87"/>
      <c r="Z759" s="87"/>
      <c r="AA759" s="87"/>
      <c r="AB759" s="87"/>
      <c r="AI759" s="87"/>
      <c r="AJ759" s="87"/>
      <c r="AK759" s="87"/>
      <c r="AL759" s="87"/>
      <c r="AM759" s="87"/>
      <c r="AN759" s="87"/>
      <c r="AO759" s="87"/>
      <c r="AP759" s="87"/>
      <c r="AQ759" s="87"/>
      <c r="AR759" s="87"/>
      <c r="BC759" s="87"/>
      <c r="BD759" s="87"/>
      <c r="BE759" s="87"/>
      <c r="BF759" s="87"/>
      <c r="BG759" s="87"/>
      <c r="BH759" s="87"/>
    </row>
    <row r="760" spans="4:60" x14ac:dyDescent="0.3">
      <c r="D760" s="89"/>
      <c r="E760" s="89"/>
      <c r="F760" s="100" t="str">
        <f t="shared" si="60"/>
        <v/>
      </c>
      <c r="T760" s="87"/>
      <c r="U760" s="87"/>
      <c r="V760" s="87"/>
      <c r="W760" s="87"/>
      <c r="X760" s="87"/>
      <c r="Y760" s="87"/>
      <c r="Z760" s="87"/>
      <c r="AA760" s="87"/>
      <c r="AB760" s="87"/>
      <c r="AI760" s="87"/>
      <c r="AJ760" s="87"/>
      <c r="AK760" s="87"/>
      <c r="AL760" s="87"/>
      <c r="AM760" s="87"/>
      <c r="AN760" s="87"/>
      <c r="AO760" s="87"/>
      <c r="AP760" s="87"/>
      <c r="AQ760" s="87"/>
      <c r="AR760" s="87"/>
      <c r="BC760" s="87"/>
      <c r="BD760" s="87"/>
      <c r="BE760" s="87"/>
      <c r="BF760" s="87"/>
      <c r="BG760" s="87"/>
      <c r="BH760" s="87"/>
    </row>
    <row r="761" spans="4:60" x14ac:dyDescent="0.3">
      <c r="D761" s="89"/>
      <c r="E761" s="89"/>
      <c r="F761" s="100" t="str">
        <f t="shared" si="60"/>
        <v/>
      </c>
      <c r="T761" s="87"/>
      <c r="U761" s="87"/>
      <c r="V761" s="87"/>
      <c r="W761" s="87"/>
      <c r="X761" s="87"/>
      <c r="Y761" s="87"/>
      <c r="Z761" s="87"/>
      <c r="AA761" s="87"/>
      <c r="AB761" s="87"/>
      <c r="AI761" s="87"/>
      <c r="AJ761" s="87"/>
      <c r="AK761" s="87"/>
      <c r="AL761" s="87"/>
      <c r="AM761" s="87"/>
      <c r="AN761" s="87"/>
      <c r="AO761" s="87"/>
      <c r="AP761" s="87"/>
      <c r="AQ761" s="87"/>
      <c r="AR761" s="87"/>
      <c r="BC761" s="87"/>
      <c r="BD761" s="87"/>
      <c r="BE761" s="87"/>
      <c r="BF761" s="87"/>
      <c r="BG761" s="87"/>
      <c r="BH761" s="87"/>
    </row>
    <row r="762" spans="4:60" x14ac:dyDescent="0.3">
      <c r="D762" s="89"/>
      <c r="E762" s="89"/>
      <c r="F762" s="100" t="str">
        <f t="shared" si="60"/>
        <v/>
      </c>
      <c r="T762" s="87"/>
      <c r="U762" s="87"/>
      <c r="V762" s="87"/>
      <c r="W762" s="87"/>
      <c r="X762" s="87"/>
      <c r="Y762" s="87"/>
      <c r="Z762" s="87"/>
      <c r="AA762" s="87"/>
      <c r="AB762" s="87"/>
      <c r="AI762" s="87"/>
      <c r="AJ762" s="87"/>
      <c r="AK762" s="87"/>
      <c r="AL762" s="87"/>
      <c r="AM762" s="87"/>
      <c r="AN762" s="87"/>
      <c r="AO762" s="87"/>
      <c r="AP762" s="87"/>
      <c r="AQ762" s="87"/>
      <c r="AR762" s="87"/>
      <c r="BC762" s="87"/>
      <c r="BD762" s="87"/>
      <c r="BE762" s="87"/>
      <c r="BF762" s="87"/>
      <c r="BG762" s="87"/>
      <c r="BH762" s="87"/>
    </row>
    <row r="763" spans="4:60" x14ac:dyDescent="0.3">
      <c r="D763" s="89"/>
      <c r="E763" s="89"/>
      <c r="F763" s="100" t="str">
        <f t="shared" si="60"/>
        <v/>
      </c>
      <c r="T763" s="87"/>
      <c r="U763" s="87"/>
      <c r="V763" s="87"/>
      <c r="W763" s="87"/>
      <c r="X763" s="87"/>
      <c r="Y763" s="87"/>
      <c r="Z763" s="87"/>
      <c r="AA763" s="87"/>
      <c r="AB763" s="87"/>
      <c r="AI763" s="87"/>
      <c r="AJ763" s="87"/>
      <c r="AK763" s="87"/>
      <c r="AL763" s="87"/>
      <c r="AM763" s="87"/>
      <c r="AN763" s="87"/>
      <c r="AO763" s="87"/>
      <c r="AP763" s="87"/>
      <c r="AQ763" s="87"/>
      <c r="AR763" s="87"/>
      <c r="BC763" s="87"/>
      <c r="BD763" s="87"/>
      <c r="BE763" s="87"/>
      <c r="BF763" s="87"/>
      <c r="BG763" s="87"/>
      <c r="BH763" s="87"/>
    </row>
    <row r="764" spans="4:60" x14ac:dyDescent="0.3">
      <c r="D764" s="89"/>
      <c r="E764" s="89"/>
      <c r="F764" s="100" t="str">
        <f t="shared" si="60"/>
        <v/>
      </c>
      <c r="T764" s="87"/>
      <c r="U764" s="87"/>
      <c r="V764" s="87"/>
      <c r="W764" s="87"/>
      <c r="X764" s="87"/>
      <c r="Y764" s="87"/>
      <c r="Z764" s="87"/>
      <c r="AA764" s="87"/>
      <c r="AB764" s="87"/>
      <c r="AI764" s="87"/>
      <c r="AJ764" s="87"/>
      <c r="AK764" s="87"/>
      <c r="AL764" s="87"/>
      <c r="AM764" s="87"/>
      <c r="AN764" s="87"/>
      <c r="AO764" s="87"/>
      <c r="AP764" s="87"/>
      <c r="AQ764" s="87"/>
      <c r="AR764" s="87"/>
      <c r="BC764" s="87"/>
      <c r="BD764" s="87"/>
      <c r="BE764" s="87"/>
      <c r="BF764" s="87"/>
      <c r="BG764" s="87"/>
      <c r="BH764" s="87"/>
    </row>
    <row r="765" spans="4:60" x14ac:dyDescent="0.3">
      <c r="D765" s="89"/>
      <c r="E765" s="89"/>
      <c r="F765" s="100" t="str">
        <f t="shared" si="60"/>
        <v/>
      </c>
      <c r="T765" s="87"/>
      <c r="U765" s="87"/>
      <c r="V765" s="87"/>
      <c r="W765" s="87"/>
      <c r="X765" s="87"/>
      <c r="Y765" s="87"/>
      <c r="Z765" s="87"/>
      <c r="AA765" s="87"/>
      <c r="AB765" s="87"/>
      <c r="AI765" s="87"/>
      <c r="AJ765" s="87"/>
      <c r="AK765" s="87"/>
      <c r="AL765" s="87"/>
      <c r="AM765" s="87"/>
      <c r="AN765" s="87"/>
      <c r="AO765" s="87"/>
      <c r="AP765" s="87"/>
      <c r="AQ765" s="87"/>
      <c r="AR765" s="87"/>
      <c r="BC765" s="87"/>
      <c r="BD765" s="87"/>
      <c r="BE765" s="87"/>
      <c r="BF765" s="87"/>
      <c r="BG765" s="87"/>
      <c r="BH765" s="87"/>
    </row>
    <row r="766" spans="4:60" x14ac:dyDescent="0.3">
      <c r="D766" s="89"/>
      <c r="E766" s="89"/>
      <c r="F766" s="100" t="str">
        <f t="shared" si="60"/>
        <v/>
      </c>
      <c r="T766" s="87"/>
      <c r="U766" s="87"/>
      <c r="V766" s="87"/>
      <c r="W766" s="87"/>
      <c r="X766" s="87"/>
      <c r="Y766" s="87"/>
      <c r="Z766" s="87"/>
      <c r="AA766" s="87"/>
      <c r="AB766" s="87"/>
      <c r="AI766" s="87"/>
      <c r="AJ766" s="87"/>
      <c r="AK766" s="87"/>
      <c r="AL766" s="87"/>
      <c r="AM766" s="87"/>
      <c r="AN766" s="87"/>
      <c r="AO766" s="87"/>
      <c r="AP766" s="87"/>
      <c r="AQ766" s="87"/>
      <c r="AR766" s="87"/>
      <c r="BC766" s="87"/>
      <c r="BD766" s="87"/>
      <c r="BE766" s="87"/>
      <c r="BF766" s="87"/>
      <c r="BG766" s="87"/>
      <c r="BH766" s="87"/>
    </row>
    <row r="767" spans="4:60" x14ac:dyDescent="0.3">
      <c r="D767" s="89"/>
      <c r="E767" s="89"/>
      <c r="F767" s="100" t="str">
        <f t="shared" si="60"/>
        <v/>
      </c>
      <c r="T767" s="87"/>
      <c r="U767" s="87"/>
      <c r="V767" s="87"/>
      <c r="W767" s="87"/>
      <c r="X767" s="87"/>
      <c r="Y767" s="87"/>
      <c r="Z767" s="87"/>
      <c r="AA767" s="87"/>
      <c r="AB767" s="87"/>
      <c r="AI767" s="87"/>
      <c r="AJ767" s="87"/>
      <c r="AK767" s="87"/>
      <c r="AL767" s="87"/>
      <c r="AM767" s="87"/>
      <c r="AN767" s="87"/>
      <c r="AO767" s="87"/>
      <c r="AP767" s="87"/>
      <c r="AQ767" s="87"/>
      <c r="AR767" s="87"/>
      <c r="BC767" s="87"/>
      <c r="BD767" s="87"/>
      <c r="BE767" s="87"/>
      <c r="BF767" s="87"/>
      <c r="BG767" s="87"/>
      <c r="BH767" s="87"/>
    </row>
    <row r="768" spans="4:60" x14ac:dyDescent="0.3">
      <c r="D768" s="89"/>
      <c r="E768" s="89"/>
      <c r="F768" s="100" t="str">
        <f t="shared" si="60"/>
        <v/>
      </c>
      <c r="T768" s="87"/>
      <c r="U768" s="87"/>
      <c r="V768" s="87"/>
      <c r="W768" s="87"/>
      <c r="X768" s="87"/>
      <c r="Y768" s="87"/>
      <c r="Z768" s="87"/>
      <c r="AA768" s="87"/>
      <c r="AB768" s="87"/>
      <c r="AI768" s="87"/>
      <c r="AJ768" s="87"/>
      <c r="AK768" s="87"/>
      <c r="AL768" s="87"/>
      <c r="AM768" s="87"/>
      <c r="AN768" s="87"/>
      <c r="AO768" s="87"/>
      <c r="AP768" s="87"/>
      <c r="AQ768" s="87"/>
      <c r="AR768" s="87"/>
      <c r="BC768" s="87"/>
      <c r="BD768" s="87"/>
      <c r="BE768" s="87"/>
      <c r="BF768" s="87"/>
      <c r="BG768" s="87"/>
      <c r="BH768" s="87"/>
    </row>
    <row r="769" spans="4:60" x14ac:dyDescent="0.3">
      <c r="D769" s="89"/>
      <c r="E769" s="89"/>
      <c r="F769" s="100" t="str">
        <f t="shared" si="60"/>
        <v/>
      </c>
      <c r="T769" s="87"/>
      <c r="U769" s="87"/>
      <c r="V769" s="87"/>
      <c r="W769" s="87"/>
      <c r="X769" s="87"/>
      <c r="Y769" s="87"/>
      <c r="Z769" s="87"/>
      <c r="AA769" s="87"/>
      <c r="AB769" s="87"/>
      <c r="AI769" s="87"/>
      <c r="AJ769" s="87"/>
      <c r="AK769" s="87"/>
      <c r="AL769" s="87"/>
      <c r="AM769" s="87"/>
      <c r="AN769" s="87"/>
      <c r="AO769" s="87"/>
      <c r="AP769" s="87"/>
      <c r="AQ769" s="87"/>
      <c r="AR769" s="87"/>
      <c r="BC769" s="87"/>
      <c r="BD769" s="87"/>
      <c r="BE769" s="87"/>
      <c r="BF769" s="87"/>
      <c r="BG769" s="87"/>
      <c r="BH769" s="87"/>
    </row>
    <row r="770" spans="4:60" x14ac:dyDescent="0.3">
      <c r="D770" s="89"/>
      <c r="E770" s="89"/>
      <c r="F770" s="100" t="str">
        <f t="shared" si="60"/>
        <v/>
      </c>
      <c r="T770" s="87"/>
      <c r="U770" s="87"/>
      <c r="V770" s="87"/>
      <c r="W770" s="87"/>
      <c r="X770" s="87"/>
      <c r="Y770" s="87"/>
      <c r="Z770" s="87"/>
      <c r="AA770" s="87"/>
      <c r="AB770" s="87"/>
      <c r="AI770" s="87"/>
      <c r="AJ770" s="87"/>
      <c r="AK770" s="87"/>
      <c r="AL770" s="87"/>
      <c r="AM770" s="87"/>
      <c r="AN770" s="87"/>
      <c r="AO770" s="87"/>
      <c r="AP770" s="87"/>
      <c r="AQ770" s="87"/>
      <c r="AR770" s="87"/>
      <c r="BC770" s="87"/>
      <c r="BD770" s="87"/>
      <c r="BE770" s="87"/>
      <c r="BF770" s="87"/>
      <c r="BG770" s="87"/>
      <c r="BH770" s="87"/>
    </row>
    <row r="771" spans="4:60" x14ac:dyDescent="0.3">
      <c r="D771" s="89"/>
      <c r="E771" s="89"/>
      <c r="F771" s="100" t="str">
        <f t="shared" si="60"/>
        <v/>
      </c>
      <c r="T771" s="87"/>
      <c r="U771" s="87"/>
      <c r="V771" s="87"/>
      <c r="W771" s="87"/>
      <c r="X771" s="87"/>
      <c r="Y771" s="87"/>
      <c r="Z771" s="87"/>
      <c r="AA771" s="87"/>
      <c r="AB771" s="87"/>
      <c r="AI771" s="87"/>
      <c r="AJ771" s="87"/>
      <c r="AK771" s="87"/>
      <c r="AL771" s="87"/>
      <c r="AM771" s="87"/>
      <c r="AN771" s="87"/>
      <c r="AO771" s="87"/>
      <c r="AP771" s="87"/>
      <c r="AQ771" s="87"/>
      <c r="AR771" s="87"/>
      <c r="BC771" s="87"/>
      <c r="BD771" s="87"/>
      <c r="BE771" s="87"/>
      <c r="BF771" s="87"/>
      <c r="BG771" s="87"/>
      <c r="BH771" s="87"/>
    </row>
    <row r="772" spans="4:60" x14ac:dyDescent="0.3">
      <c r="D772" s="89"/>
      <c r="E772" s="89"/>
      <c r="F772" s="100" t="str">
        <f t="shared" ref="F772:F835" si="61">IF(AND(E772="",D772=""),"",IF(AND(E772="",D772&lt;&gt;""),F771,E772))</f>
        <v/>
      </c>
      <c r="T772" s="87"/>
      <c r="U772" s="87"/>
      <c r="V772" s="87"/>
      <c r="W772" s="87"/>
      <c r="X772" s="87"/>
      <c r="Y772" s="87"/>
      <c r="Z772" s="87"/>
      <c r="AA772" s="87"/>
      <c r="AB772" s="87"/>
      <c r="AI772" s="87"/>
      <c r="AJ772" s="87"/>
      <c r="AK772" s="87"/>
      <c r="AL772" s="87"/>
      <c r="AM772" s="87"/>
      <c r="AN772" s="87"/>
      <c r="AO772" s="87"/>
      <c r="AP772" s="87"/>
      <c r="AQ772" s="87"/>
      <c r="AR772" s="87"/>
      <c r="BC772" s="87"/>
      <c r="BD772" s="87"/>
      <c r="BE772" s="87"/>
      <c r="BF772" s="87"/>
      <c r="BG772" s="87"/>
      <c r="BH772" s="87"/>
    </row>
    <row r="773" spans="4:60" x14ac:dyDescent="0.3">
      <c r="D773" s="89"/>
      <c r="E773" s="89"/>
      <c r="F773" s="100" t="str">
        <f t="shared" si="61"/>
        <v/>
      </c>
      <c r="T773" s="87"/>
      <c r="U773" s="87"/>
      <c r="V773" s="87"/>
      <c r="W773" s="87"/>
      <c r="X773" s="87"/>
      <c r="Y773" s="87"/>
      <c r="Z773" s="87"/>
      <c r="AA773" s="87"/>
      <c r="AB773" s="87"/>
      <c r="AI773" s="87"/>
      <c r="AJ773" s="87"/>
      <c r="AK773" s="87"/>
      <c r="AL773" s="87"/>
      <c r="AM773" s="87"/>
      <c r="AN773" s="87"/>
      <c r="AO773" s="87"/>
      <c r="AP773" s="87"/>
      <c r="AQ773" s="87"/>
      <c r="AR773" s="87"/>
      <c r="BC773" s="87"/>
      <c r="BD773" s="87"/>
      <c r="BE773" s="87"/>
      <c r="BF773" s="87"/>
      <c r="BG773" s="87"/>
      <c r="BH773" s="87"/>
    </row>
    <row r="774" spans="4:60" x14ac:dyDescent="0.3">
      <c r="D774" s="89"/>
      <c r="E774" s="89"/>
      <c r="F774" s="100" t="str">
        <f t="shared" si="61"/>
        <v/>
      </c>
      <c r="T774" s="87"/>
      <c r="U774" s="87"/>
      <c r="V774" s="87"/>
      <c r="W774" s="87"/>
      <c r="X774" s="87"/>
      <c r="Y774" s="87"/>
      <c r="Z774" s="87"/>
      <c r="AA774" s="87"/>
      <c r="AB774" s="87"/>
      <c r="AI774" s="87"/>
      <c r="AJ774" s="87"/>
      <c r="AK774" s="87"/>
      <c r="AL774" s="87"/>
      <c r="AM774" s="87"/>
      <c r="AN774" s="87"/>
      <c r="AO774" s="87"/>
      <c r="AP774" s="87"/>
      <c r="AQ774" s="87"/>
      <c r="AR774" s="87"/>
      <c r="BC774" s="87"/>
      <c r="BD774" s="87"/>
      <c r="BE774" s="87"/>
      <c r="BF774" s="87"/>
      <c r="BG774" s="87"/>
      <c r="BH774" s="87"/>
    </row>
    <row r="775" spans="4:60" x14ac:dyDescent="0.3">
      <c r="D775" s="89"/>
      <c r="E775" s="89"/>
      <c r="F775" s="100" t="str">
        <f t="shared" si="61"/>
        <v/>
      </c>
      <c r="T775" s="87"/>
      <c r="U775" s="87"/>
      <c r="V775" s="87"/>
      <c r="W775" s="87"/>
      <c r="X775" s="87"/>
      <c r="Y775" s="87"/>
      <c r="Z775" s="87"/>
      <c r="AA775" s="87"/>
      <c r="AB775" s="87"/>
      <c r="AI775" s="87"/>
      <c r="AJ775" s="87"/>
      <c r="AK775" s="87"/>
      <c r="AL775" s="87"/>
      <c r="AM775" s="87"/>
      <c r="AN775" s="87"/>
      <c r="AO775" s="87"/>
      <c r="AP775" s="87"/>
      <c r="AQ775" s="87"/>
      <c r="AR775" s="87"/>
      <c r="BC775" s="87"/>
      <c r="BD775" s="87"/>
      <c r="BE775" s="87"/>
      <c r="BF775" s="87"/>
      <c r="BG775" s="87"/>
      <c r="BH775" s="87"/>
    </row>
    <row r="776" spans="4:60" x14ac:dyDescent="0.3">
      <c r="D776" s="89"/>
      <c r="E776" s="89"/>
      <c r="F776" s="100" t="str">
        <f t="shared" si="61"/>
        <v/>
      </c>
      <c r="T776" s="87"/>
      <c r="U776" s="87"/>
      <c r="V776" s="87"/>
      <c r="W776" s="87"/>
      <c r="X776" s="87"/>
      <c r="Y776" s="87"/>
      <c r="Z776" s="87"/>
      <c r="AA776" s="87"/>
      <c r="AB776" s="87"/>
      <c r="AI776" s="87"/>
      <c r="AJ776" s="87"/>
      <c r="AK776" s="87"/>
      <c r="AL776" s="87"/>
      <c r="AM776" s="87"/>
      <c r="AN776" s="87"/>
      <c r="AO776" s="87"/>
      <c r="AP776" s="87"/>
      <c r="AQ776" s="87"/>
      <c r="AR776" s="87"/>
      <c r="BC776" s="87"/>
      <c r="BD776" s="87"/>
      <c r="BE776" s="87"/>
      <c r="BF776" s="87"/>
      <c r="BG776" s="87"/>
      <c r="BH776" s="87"/>
    </row>
    <row r="777" spans="4:60" x14ac:dyDescent="0.3">
      <c r="D777" s="89"/>
      <c r="E777" s="89"/>
      <c r="F777" s="100" t="str">
        <f t="shared" si="61"/>
        <v/>
      </c>
      <c r="T777" s="87"/>
      <c r="U777" s="87"/>
      <c r="V777" s="87"/>
      <c r="W777" s="87"/>
      <c r="X777" s="87"/>
      <c r="Y777" s="87"/>
      <c r="Z777" s="87"/>
      <c r="AA777" s="87"/>
      <c r="AB777" s="87"/>
      <c r="AI777" s="87"/>
      <c r="AJ777" s="87"/>
      <c r="AK777" s="87"/>
      <c r="AL777" s="87"/>
      <c r="AM777" s="87"/>
      <c r="AN777" s="87"/>
      <c r="AO777" s="87"/>
      <c r="AP777" s="87"/>
      <c r="AQ777" s="87"/>
      <c r="AR777" s="87"/>
      <c r="BC777" s="87"/>
      <c r="BD777" s="87"/>
      <c r="BE777" s="87"/>
      <c r="BF777" s="87"/>
      <c r="BG777" s="87"/>
      <c r="BH777" s="87"/>
    </row>
    <row r="778" spans="4:60" x14ac:dyDescent="0.3">
      <c r="D778" s="89"/>
      <c r="E778" s="89"/>
      <c r="F778" s="100" t="str">
        <f t="shared" si="61"/>
        <v/>
      </c>
      <c r="T778" s="87"/>
      <c r="U778" s="87"/>
      <c r="V778" s="87"/>
      <c r="W778" s="87"/>
      <c r="X778" s="87"/>
      <c r="Y778" s="87"/>
      <c r="Z778" s="87"/>
      <c r="AA778" s="87"/>
      <c r="AB778" s="87"/>
      <c r="AI778" s="87"/>
      <c r="AJ778" s="87"/>
      <c r="AK778" s="87"/>
      <c r="AL778" s="87"/>
      <c r="AM778" s="87"/>
      <c r="AN778" s="87"/>
      <c r="AO778" s="87"/>
      <c r="AP778" s="87"/>
      <c r="AQ778" s="87"/>
      <c r="AR778" s="87"/>
      <c r="BC778" s="87"/>
      <c r="BD778" s="87"/>
      <c r="BE778" s="87"/>
      <c r="BF778" s="87"/>
      <c r="BG778" s="87"/>
      <c r="BH778" s="87"/>
    </row>
    <row r="779" spans="4:60" x14ac:dyDescent="0.3">
      <c r="D779" s="89"/>
      <c r="E779" s="89"/>
      <c r="F779" s="100" t="str">
        <f t="shared" si="61"/>
        <v/>
      </c>
      <c r="T779" s="87"/>
      <c r="U779" s="87"/>
      <c r="V779" s="87"/>
      <c r="W779" s="87"/>
      <c r="X779" s="87"/>
      <c r="Y779" s="87"/>
      <c r="Z779" s="87"/>
      <c r="AA779" s="87"/>
      <c r="AB779" s="87"/>
      <c r="AI779" s="87"/>
      <c r="AJ779" s="87"/>
      <c r="AK779" s="87"/>
      <c r="AL779" s="87"/>
      <c r="AM779" s="87"/>
      <c r="AN779" s="87"/>
      <c r="AO779" s="87"/>
      <c r="AP779" s="87"/>
      <c r="AQ779" s="87"/>
      <c r="AR779" s="87"/>
      <c r="BC779" s="87"/>
      <c r="BD779" s="87"/>
      <c r="BE779" s="87"/>
      <c r="BF779" s="87"/>
      <c r="BG779" s="87"/>
      <c r="BH779" s="87"/>
    </row>
    <row r="780" spans="4:60" x14ac:dyDescent="0.3">
      <c r="D780" s="89"/>
      <c r="E780" s="89"/>
      <c r="F780" s="100" t="str">
        <f t="shared" si="61"/>
        <v/>
      </c>
      <c r="T780" s="87"/>
      <c r="U780" s="87"/>
      <c r="V780" s="87"/>
      <c r="W780" s="87"/>
      <c r="X780" s="87"/>
      <c r="Y780" s="87"/>
      <c r="Z780" s="87"/>
      <c r="AA780" s="87"/>
      <c r="AB780" s="87"/>
      <c r="AI780" s="87"/>
      <c r="AJ780" s="87"/>
      <c r="AK780" s="87"/>
      <c r="AL780" s="87"/>
      <c r="AM780" s="87"/>
      <c r="AN780" s="87"/>
      <c r="AO780" s="87"/>
      <c r="AP780" s="87"/>
      <c r="AQ780" s="87"/>
      <c r="AR780" s="87"/>
      <c r="BC780" s="87"/>
      <c r="BD780" s="87"/>
      <c r="BE780" s="87"/>
      <c r="BF780" s="87"/>
      <c r="BG780" s="87"/>
      <c r="BH780" s="87"/>
    </row>
    <row r="781" spans="4:60" x14ac:dyDescent="0.3">
      <c r="D781" s="89"/>
      <c r="E781" s="89"/>
      <c r="F781" s="100" t="str">
        <f t="shared" si="61"/>
        <v/>
      </c>
      <c r="T781" s="87"/>
      <c r="U781" s="87"/>
      <c r="V781" s="87"/>
      <c r="W781" s="87"/>
      <c r="X781" s="87"/>
      <c r="Y781" s="87"/>
      <c r="Z781" s="87"/>
      <c r="AA781" s="87"/>
      <c r="AB781" s="87"/>
      <c r="AI781" s="87"/>
      <c r="AJ781" s="87"/>
      <c r="AK781" s="87"/>
      <c r="AL781" s="87"/>
      <c r="AM781" s="87"/>
      <c r="AN781" s="87"/>
      <c r="AO781" s="87"/>
      <c r="AP781" s="87"/>
      <c r="AQ781" s="87"/>
      <c r="AR781" s="87"/>
      <c r="BC781" s="87"/>
      <c r="BD781" s="87"/>
      <c r="BE781" s="87"/>
      <c r="BF781" s="87"/>
      <c r="BG781" s="87"/>
      <c r="BH781" s="87"/>
    </row>
    <row r="782" spans="4:60" x14ac:dyDescent="0.3">
      <c r="D782" s="89"/>
      <c r="E782" s="89"/>
      <c r="F782" s="100" t="str">
        <f t="shared" si="61"/>
        <v/>
      </c>
      <c r="T782" s="87"/>
      <c r="U782" s="87"/>
      <c r="V782" s="87"/>
      <c r="W782" s="87"/>
      <c r="X782" s="87"/>
      <c r="Y782" s="87"/>
      <c r="Z782" s="87"/>
      <c r="AA782" s="87"/>
      <c r="AB782" s="87"/>
      <c r="AI782" s="87"/>
      <c r="AJ782" s="87"/>
      <c r="AK782" s="87"/>
      <c r="AL782" s="87"/>
      <c r="AM782" s="87"/>
      <c r="AN782" s="87"/>
      <c r="AO782" s="87"/>
      <c r="AP782" s="87"/>
      <c r="AQ782" s="87"/>
      <c r="AR782" s="87"/>
      <c r="BC782" s="87"/>
      <c r="BD782" s="87"/>
      <c r="BE782" s="87"/>
      <c r="BF782" s="87"/>
      <c r="BG782" s="87"/>
      <c r="BH782" s="87"/>
    </row>
    <row r="783" spans="4:60" x14ac:dyDescent="0.3">
      <c r="D783" s="89"/>
      <c r="E783" s="89"/>
      <c r="F783" s="100" t="str">
        <f t="shared" si="61"/>
        <v/>
      </c>
      <c r="T783" s="87"/>
      <c r="U783" s="87"/>
      <c r="V783" s="87"/>
      <c r="W783" s="87"/>
      <c r="X783" s="87"/>
      <c r="Y783" s="87"/>
      <c r="Z783" s="87"/>
      <c r="AA783" s="87"/>
      <c r="AB783" s="87"/>
      <c r="AI783" s="87"/>
      <c r="AJ783" s="87"/>
      <c r="AK783" s="87"/>
      <c r="AL783" s="87"/>
      <c r="AM783" s="87"/>
      <c r="AN783" s="87"/>
      <c r="AO783" s="87"/>
      <c r="AP783" s="87"/>
      <c r="AQ783" s="87"/>
      <c r="AR783" s="87"/>
      <c r="BC783" s="87"/>
      <c r="BD783" s="87"/>
      <c r="BE783" s="87"/>
      <c r="BF783" s="87"/>
      <c r="BG783" s="87"/>
      <c r="BH783" s="87"/>
    </row>
    <row r="784" spans="4:60" x14ac:dyDescent="0.3">
      <c r="D784" s="89"/>
      <c r="E784" s="89"/>
      <c r="F784" s="100" t="str">
        <f t="shared" si="61"/>
        <v/>
      </c>
      <c r="T784" s="87"/>
      <c r="U784" s="87"/>
      <c r="V784" s="87"/>
      <c r="W784" s="87"/>
      <c r="X784" s="87"/>
      <c r="Y784" s="87"/>
      <c r="Z784" s="87"/>
      <c r="AA784" s="87"/>
      <c r="AB784" s="87"/>
      <c r="AI784" s="87"/>
      <c r="AJ784" s="87"/>
      <c r="AK784" s="87"/>
      <c r="AL784" s="87"/>
      <c r="AM784" s="87"/>
      <c r="AN784" s="87"/>
      <c r="AO784" s="87"/>
      <c r="AP784" s="87"/>
      <c r="AQ784" s="87"/>
      <c r="AR784" s="87"/>
      <c r="BC784" s="87"/>
      <c r="BD784" s="87"/>
      <c r="BE784" s="87"/>
      <c r="BF784" s="87"/>
      <c r="BG784" s="87"/>
      <c r="BH784" s="87"/>
    </row>
    <row r="785" spans="4:60" x14ac:dyDescent="0.3">
      <c r="D785" s="89"/>
      <c r="E785" s="89"/>
      <c r="F785" s="100" t="str">
        <f t="shared" si="61"/>
        <v/>
      </c>
      <c r="T785" s="87"/>
      <c r="U785" s="87"/>
      <c r="V785" s="87"/>
      <c r="W785" s="87"/>
      <c r="X785" s="87"/>
      <c r="Y785" s="87"/>
      <c r="Z785" s="87"/>
      <c r="AA785" s="87"/>
      <c r="AB785" s="87"/>
      <c r="AI785" s="87"/>
      <c r="AJ785" s="87"/>
      <c r="AK785" s="87"/>
      <c r="AL785" s="87"/>
      <c r="AM785" s="87"/>
      <c r="AN785" s="87"/>
      <c r="AO785" s="87"/>
      <c r="AP785" s="87"/>
      <c r="AQ785" s="87"/>
      <c r="AR785" s="87"/>
      <c r="BC785" s="87"/>
      <c r="BD785" s="87"/>
      <c r="BE785" s="87"/>
      <c r="BF785" s="87"/>
      <c r="BG785" s="87"/>
      <c r="BH785" s="87"/>
    </row>
    <row r="786" spans="4:60" x14ac:dyDescent="0.3">
      <c r="D786" s="89"/>
      <c r="E786" s="89"/>
      <c r="F786" s="100" t="str">
        <f t="shared" si="61"/>
        <v/>
      </c>
      <c r="T786" s="87"/>
      <c r="U786" s="87"/>
      <c r="V786" s="87"/>
      <c r="W786" s="87"/>
      <c r="X786" s="87"/>
      <c r="Y786" s="87"/>
      <c r="Z786" s="87"/>
      <c r="AA786" s="87"/>
      <c r="AB786" s="87"/>
      <c r="AI786" s="87"/>
      <c r="AJ786" s="87"/>
      <c r="AK786" s="87"/>
      <c r="AL786" s="87"/>
      <c r="AM786" s="87"/>
      <c r="AN786" s="87"/>
      <c r="AO786" s="87"/>
      <c r="AP786" s="87"/>
      <c r="AQ786" s="87"/>
      <c r="AR786" s="87"/>
      <c r="BC786" s="87"/>
      <c r="BD786" s="87"/>
      <c r="BE786" s="87"/>
      <c r="BF786" s="87"/>
      <c r="BG786" s="87"/>
      <c r="BH786" s="87"/>
    </row>
    <row r="787" spans="4:60" x14ac:dyDescent="0.3">
      <c r="D787" s="89"/>
      <c r="E787" s="89"/>
      <c r="F787" s="100" t="str">
        <f t="shared" si="61"/>
        <v/>
      </c>
      <c r="T787" s="87"/>
      <c r="U787" s="87"/>
      <c r="V787" s="87"/>
      <c r="W787" s="87"/>
      <c r="X787" s="87"/>
      <c r="Y787" s="87"/>
      <c r="Z787" s="87"/>
      <c r="AA787" s="87"/>
      <c r="AB787" s="87"/>
      <c r="AI787" s="87"/>
      <c r="AJ787" s="87"/>
      <c r="AK787" s="87"/>
      <c r="AL787" s="87"/>
      <c r="AM787" s="87"/>
      <c r="AN787" s="87"/>
      <c r="AO787" s="87"/>
      <c r="AP787" s="87"/>
      <c r="AQ787" s="87"/>
      <c r="AR787" s="87"/>
      <c r="BC787" s="87"/>
      <c r="BD787" s="87"/>
      <c r="BE787" s="87"/>
      <c r="BF787" s="87"/>
      <c r="BG787" s="87"/>
      <c r="BH787" s="87"/>
    </row>
    <row r="788" spans="4:60" x14ac:dyDescent="0.3">
      <c r="D788" s="89"/>
      <c r="E788" s="89"/>
      <c r="F788" s="100" t="str">
        <f t="shared" si="61"/>
        <v/>
      </c>
      <c r="T788" s="87"/>
      <c r="U788" s="87"/>
      <c r="V788" s="87"/>
      <c r="W788" s="87"/>
      <c r="X788" s="87"/>
      <c r="Y788" s="87"/>
      <c r="Z788" s="87"/>
      <c r="AA788" s="87"/>
      <c r="AB788" s="87"/>
      <c r="AI788" s="87"/>
      <c r="AJ788" s="87"/>
      <c r="AK788" s="87"/>
      <c r="AL788" s="87"/>
      <c r="AM788" s="87"/>
      <c r="AN788" s="87"/>
      <c r="AO788" s="87"/>
      <c r="AP788" s="87"/>
      <c r="AQ788" s="87"/>
      <c r="AR788" s="87"/>
      <c r="BC788" s="87"/>
      <c r="BD788" s="87"/>
      <c r="BE788" s="87"/>
      <c r="BF788" s="87"/>
      <c r="BG788" s="87"/>
      <c r="BH788" s="87"/>
    </row>
    <row r="789" spans="4:60" x14ac:dyDescent="0.3">
      <c r="D789" s="89"/>
      <c r="E789" s="89"/>
      <c r="F789" s="100" t="str">
        <f t="shared" si="61"/>
        <v/>
      </c>
      <c r="T789" s="87"/>
      <c r="U789" s="87"/>
      <c r="V789" s="87"/>
      <c r="W789" s="87"/>
      <c r="X789" s="87"/>
      <c r="Y789" s="87"/>
      <c r="Z789" s="87"/>
      <c r="AA789" s="87"/>
      <c r="AB789" s="87"/>
      <c r="AI789" s="87"/>
      <c r="AJ789" s="87"/>
      <c r="AK789" s="87"/>
      <c r="AL789" s="87"/>
      <c r="AM789" s="87"/>
      <c r="AN789" s="87"/>
      <c r="AO789" s="87"/>
      <c r="AP789" s="87"/>
      <c r="AQ789" s="87"/>
      <c r="AR789" s="87"/>
      <c r="BC789" s="87"/>
      <c r="BD789" s="87"/>
      <c r="BE789" s="87"/>
      <c r="BF789" s="87"/>
      <c r="BG789" s="87"/>
      <c r="BH789" s="87"/>
    </row>
    <row r="790" spans="4:60" x14ac:dyDescent="0.3">
      <c r="D790" s="89"/>
      <c r="E790" s="89"/>
      <c r="F790" s="100" t="str">
        <f t="shared" si="61"/>
        <v/>
      </c>
      <c r="T790" s="87"/>
      <c r="U790" s="87"/>
      <c r="V790" s="87"/>
      <c r="W790" s="87"/>
      <c r="X790" s="87"/>
      <c r="Y790" s="87"/>
      <c r="Z790" s="87"/>
      <c r="AA790" s="87"/>
      <c r="AB790" s="87"/>
      <c r="AI790" s="87"/>
      <c r="AJ790" s="87"/>
      <c r="AK790" s="87"/>
      <c r="AL790" s="87"/>
      <c r="AM790" s="87"/>
      <c r="AN790" s="87"/>
      <c r="AO790" s="87"/>
      <c r="AP790" s="87"/>
      <c r="AQ790" s="87"/>
      <c r="AR790" s="87"/>
      <c r="BC790" s="87"/>
      <c r="BD790" s="87"/>
      <c r="BE790" s="87"/>
      <c r="BF790" s="87"/>
      <c r="BG790" s="87"/>
      <c r="BH790" s="87"/>
    </row>
    <row r="791" spans="4:60" x14ac:dyDescent="0.3">
      <c r="D791" s="89"/>
      <c r="E791" s="89"/>
      <c r="F791" s="100" t="str">
        <f t="shared" si="61"/>
        <v/>
      </c>
      <c r="T791" s="87"/>
      <c r="U791" s="87"/>
      <c r="V791" s="87"/>
      <c r="W791" s="87"/>
      <c r="X791" s="87"/>
      <c r="Y791" s="87"/>
      <c r="Z791" s="87"/>
      <c r="AA791" s="87"/>
      <c r="AB791" s="87"/>
      <c r="AI791" s="87"/>
      <c r="AJ791" s="87"/>
      <c r="AK791" s="87"/>
      <c r="AL791" s="87"/>
      <c r="AM791" s="87"/>
      <c r="AN791" s="87"/>
      <c r="AO791" s="87"/>
      <c r="AP791" s="87"/>
      <c r="AQ791" s="87"/>
      <c r="AR791" s="87"/>
      <c r="BC791" s="87"/>
      <c r="BD791" s="87"/>
      <c r="BE791" s="87"/>
      <c r="BF791" s="87"/>
      <c r="BG791" s="87"/>
      <c r="BH791" s="87"/>
    </row>
    <row r="792" spans="4:60" x14ac:dyDescent="0.3">
      <c r="D792" s="89"/>
      <c r="E792" s="89"/>
      <c r="F792" s="100" t="str">
        <f t="shared" si="61"/>
        <v/>
      </c>
      <c r="T792" s="87"/>
      <c r="U792" s="87"/>
      <c r="V792" s="87"/>
      <c r="W792" s="87"/>
      <c r="X792" s="87"/>
      <c r="Y792" s="87"/>
      <c r="Z792" s="87"/>
      <c r="AA792" s="87"/>
      <c r="AB792" s="87"/>
      <c r="AI792" s="87"/>
      <c r="AJ792" s="87"/>
      <c r="AK792" s="87"/>
      <c r="AL792" s="87"/>
      <c r="AM792" s="87"/>
      <c r="AN792" s="87"/>
      <c r="AO792" s="87"/>
      <c r="AP792" s="87"/>
      <c r="AQ792" s="87"/>
      <c r="AR792" s="87"/>
      <c r="BC792" s="87"/>
      <c r="BD792" s="87"/>
      <c r="BE792" s="87"/>
      <c r="BF792" s="87"/>
      <c r="BG792" s="87"/>
      <c r="BH792" s="87"/>
    </row>
    <row r="793" spans="4:60" x14ac:dyDescent="0.3">
      <c r="D793" s="89"/>
      <c r="E793" s="89"/>
      <c r="F793" s="100" t="str">
        <f t="shared" si="61"/>
        <v/>
      </c>
      <c r="T793" s="87"/>
      <c r="U793" s="87"/>
      <c r="V793" s="87"/>
      <c r="W793" s="87"/>
      <c r="X793" s="87"/>
      <c r="Y793" s="87"/>
      <c r="Z793" s="87"/>
      <c r="AA793" s="87"/>
      <c r="AB793" s="87"/>
      <c r="AI793" s="87"/>
      <c r="AJ793" s="87"/>
      <c r="AK793" s="87"/>
      <c r="AL793" s="87"/>
      <c r="AM793" s="87"/>
      <c r="AN793" s="87"/>
      <c r="AO793" s="87"/>
      <c r="AP793" s="87"/>
      <c r="AQ793" s="87"/>
      <c r="AR793" s="87"/>
      <c r="BC793" s="87"/>
      <c r="BD793" s="87"/>
      <c r="BE793" s="87"/>
      <c r="BF793" s="87"/>
      <c r="BG793" s="87"/>
      <c r="BH793" s="87"/>
    </row>
    <row r="794" spans="4:60" x14ac:dyDescent="0.3">
      <c r="D794" s="89"/>
      <c r="E794" s="89"/>
      <c r="F794" s="100" t="str">
        <f t="shared" si="61"/>
        <v/>
      </c>
      <c r="T794" s="87"/>
      <c r="U794" s="87"/>
      <c r="V794" s="87"/>
      <c r="W794" s="87"/>
      <c r="X794" s="87"/>
      <c r="Y794" s="87"/>
      <c r="Z794" s="87"/>
      <c r="AA794" s="87"/>
      <c r="AB794" s="87"/>
      <c r="AI794" s="87"/>
      <c r="AJ794" s="87"/>
      <c r="AK794" s="87"/>
      <c r="AL794" s="87"/>
      <c r="AM794" s="87"/>
      <c r="AN794" s="87"/>
      <c r="AO794" s="87"/>
      <c r="AP794" s="87"/>
      <c r="AQ794" s="87"/>
      <c r="AR794" s="87"/>
      <c r="BC794" s="87"/>
      <c r="BD794" s="87"/>
      <c r="BE794" s="87"/>
      <c r="BF794" s="87"/>
      <c r="BG794" s="87"/>
      <c r="BH794" s="87"/>
    </row>
    <row r="795" spans="4:60" x14ac:dyDescent="0.3">
      <c r="D795" s="89"/>
      <c r="E795" s="89"/>
      <c r="F795" s="100" t="str">
        <f t="shared" si="61"/>
        <v/>
      </c>
      <c r="T795" s="87"/>
      <c r="U795" s="87"/>
      <c r="V795" s="87"/>
      <c r="W795" s="87"/>
      <c r="X795" s="87"/>
      <c r="Y795" s="87"/>
      <c r="Z795" s="87"/>
      <c r="AA795" s="87"/>
      <c r="AB795" s="87"/>
      <c r="AI795" s="87"/>
      <c r="AJ795" s="87"/>
      <c r="AK795" s="87"/>
      <c r="AL795" s="87"/>
      <c r="AM795" s="87"/>
      <c r="AN795" s="87"/>
      <c r="AO795" s="87"/>
      <c r="AP795" s="87"/>
      <c r="AQ795" s="87"/>
      <c r="AR795" s="87"/>
      <c r="BC795" s="87"/>
      <c r="BD795" s="87"/>
      <c r="BE795" s="87"/>
      <c r="BF795" s="87"/>
      <c r="BG795" s="87"/>
      <c r="BH795" s="87"/>
    </row>
    <row r="796" spans="4:60" x14ac:dyDescent="0.3">
      <c r="D796" s="89"/>
      <c r="E796" s="89"/>
      <c r="F796" s="100" t="str">
        <f t="shared" si="61"/>
        <v/>
      </c>
      <c r="T796" s="87"/>
      <c r="U796" s="87"/>
      <c r="V796" s="87"/>
      <c r="W796" s="87"/>
      <c r="X796" s="87"/>
      <c r="Y796" s="87"/>
      <c r="Z796" s="87"/>
      <c r="AA796" s="87"/>
      <c r="AB796" s="87"/>
      <c r="AI796" s="87"/>
      <c r="AJ796" s="87"/>
      <c r="AK796" s="87"/>
      <c r="AL796" s="87"/>
      <c r="AM796" s="87"/>
      <c r="AN796" s="87"/>
      <c r="AO796" s="87"/>
      <c r="AP796" s="87"/>
      <c r="AQ796" s="87"/>
      <c r="AR796" s="87"/>
      <c r="BC796" s="87"/>
      <c r="BD796" s="87"/>
      <c r="BE796" s="87"/>
      <c r="BF796" s="87"/>
      <c r="BG796" s="87"/>
      <c r="BH796" s="87"/>
    </row>
    <row r="797" spans="4:60" x14ac:dyDescent="0.3">
      <c r="D797" s="89"/>
      <c r="E797" s="89"/>
      <c r="F797" s="100" t="str">
        <f t="shared" si="61"/>
        <v/>
      </c>
      <c r="T797" s="87"/>
      <c r="U797" s="87"/>
      <c r="V797" s="87"/>
      <c r="W797" s="87"/>
      <c r="X797" s="87"/>
      <c r="Y797" s="87"/>
      <c r="Z797" s="87"/>
      <c r="AA797" s="87"/>
      <c r="AB797" s="87"/>
      <c r="AI797" s="87"/>
      <c r="AJ797" s="87"/>
      <c r="AK797" s="87"/>
      <c r="AL797" s="87"/>
      <c r="AM797" s="87"/>
      <c r="AN797" s="87"/>
      <c r="AO797" s="87"/>
      <c r="AP797" s="87"/>
      <c r="AQ797" s="87"/>
      <c r="AR797" s="87"/>
      <c r="BC797" s="87"/>
      <c r="BD797" s="87"/>
      <c r="BE797" s="87"/>
      <c r="BF797" s="87"/>
      <c r="BG797" s="87"/>
      <c r="BH797" s="87"/>
    </row>
    <row r="798" spans="4:60" x14ac:dyDescent="0.3">
      <c r="D798" s="89"/>
      <c r="E798" s="89"/>
      <c r="F798" s="100" t="str">
        <f t="shared" si="61"/>
        <v/>
      </c>
      <c r="T798" s="87"/>
      <c r="U798" s="87"/>
      <c r="V798" s="87"/>
      <c r="W798" s="87"/>
      <c r="X798" s="87"/>
      <c r="Y798" s="87"/>
      <c r="Z798" s="87"/>
      <c r="AA798" s="87"/>
      <c r="AB798" s="87"/>
      <c r="AI798" s="87"/>
      <c r="AJ798" s="87"/>
      <c r="AK798" s="87"/>
      <c r="AL798" s="87"/>
      <c r="AM798" s="87"/>
      <c r="AN798" s="87"/>
      <c r="AO798" s="87"/>
      <c r="AP798" s="87"/>
      <c r="AQ798" s="87"/>
      <c r="AR798" s="87"/>
      <c r="BC798" s="87"/>
      <c r="BD798" s="87"/>
      <c r="BE798" s="87"/>
      <c r="BF798" s="87"/>
      <c r="BG798" s="87"/>
      <c r="BH798" s="87"/>
    </row>
    <row r="799" spans="4:60" x14ac:dyDescent="0.3">
      <c r="D799" s="89"/>
      <c r="E799" s="89"/>
      <c r="F799" s="100" t="str">
        <f t="shared" si="61"/>
        <v/>
      </c>
      <c r="T799" s="87"/>
      <c r="U799" s="87"/>
      <c r="V799" s="87"/>
      <c r="W799" s="87"/>
      <c r="X799" s="87"/>
      <c r="Y799" s="87"/>
      <c r="Z799" s="87"/>
      <c r="AA799" s="87"/>
      <c r="AB799" s="87"/>
      <c r="AI799" s="87"/>
      <c r="AJ799" s="87"/>
      <c r="AK799" s="87"/>
      <c r="AL799" s="87"/>
      <c r="AM799" s="87"/>
      <c r="AN799" s="87"/>
      <c r="AO799" s="87"/>
      <c r="AP799" s="87"/>
      <c r="AQ799" s="87"/>
      <c r="AR799" s="87"/>
      <c r="BC799" s="87"/>
      <c r="BD799" s="87"/>
      <c r="BE799" s="87"/>
      <c r="BF799" s="87"/>
      <c r="BG799" s="87"/>
      <c r="BH799" s="87"/>
    </row>
    <row r="800" spans="4:60" x14ac:dyDescent="0.3">
      <c r="D800" s="89"/>
      <c r="E800" s="89"/>
      <c r="F800" s="100" t="str">
        <f t="shared" si="61"/>
        <v/>
      </c>
      <c r="T800" s="87"/>
      <c r="U800" s="87"/>
      <c r="V800" s="87"/>
      <c r="W800" s="87"/>
      <c r="X800" s="87"/>
      <c r="Y800" s="87"/>
      <c r="Z800" s="87"/>
      <c r="AA800" s="87"/>
      <c r="AB800" s="87"/>
      <c r="AI800" s="87"/>
      <c r="AJ800" s="87"/>
      <c r="AK800" s="87"/>
      <c r="AL800" s="87"/>
      <c r="AM800" s="87"/>
      <c r="AN800" s="87"/>
      <c r="AO800" s="87"/>
      <c r="AP800" s="87"/>
      <c r="AQ800" s="87"/>
      <c r="AR800" s="87"/>
      <c r="BC800" s="87"/>
      <c r="BD800" s="87"/>
      <c r="BE800" s="87"/>
      <c r="BF800" s="87"/>
      <c r="BG800" s="87"/>
      <c r="BH800" s="87"/>
    </row>
    <row r="801" spans="4:60" x14ac:dyDescent="0.3">
      <c r="D801" s="89"/>
      <c r="E801" s="89"/>
      <c r="F801" s="100" t="str">
        <f t="shared" si="61"/>
        <v/>
      </c>
      <c r="T801" s="87"/>
      <c r="U801" s="87"/>
      <c r="V801" s="87"/>
      <c r="W801" s="87"/>
      <c r="X801" s="87"/>
      <c r="Y801" s="87"/>
      <c r="Z801" s="87"/>
      <c r="AA801" s="87"/>
      <c r="AB801" s="87"/>
      <c r="AI801" s="87"/>
      <c r="AJ801" s="87"/>
      <c r="AK801" s="87"/>
      <c r="AL801" s="87"/>
      <c r="AM801" s="87"/>
      <c r="AN801" s="87"/>
      <c r="AO801" s="87"/>
      <c r="AP801" s="87"/>
      <c r="AQ801" s="87"/>
      <c r="AR801" s="87"/>
      <c r="BC801" s="87"/>
      <c r="BD801" s="87"/>
      <c r="BE801" s="87"/>
      <c r="BF801" s="87"/>
      <c r="BG801" s="87"/>
      <c r="BH801" s="87"/>
    </row>
    <row r="802" spans="4:60" x14ac:dyDescent="0.3">
      <c r="D802" s="89"/>
      <c r="E802" s="89"/>
      <c r="F802" s="100" t="str">
        <f t="shared" si="61"/>
        <v/>
      </c>
      <c r="T802" s="87"/>
      <c r="U802" s="87"/>
      <c r="V802" s="87"/>
      <c r="W802" s="87"/>
      <c r="X802" s="87"/>
      <c r="Y802" s="87"/>
      <c r="Z802" s="87"/>
      <c r="AA802" s="87"/>
      <c r="AB802" s="87"/>
      <c r="AI802" s="87"/>
      <c r="AJ802" s="87"/>
      <c r="AK802" s="87"/>
      <c r="AL802" s="87"/>
      <c r="AM802" s="87"/>
      <c r="AN802" s="87"/>
      <c r="AO802" s="87"/>
      <c r="AP802" s="87"/>
      <c r="AQ802" s="87"/>
      <c r="AR802" s="87"/>
      <c r="BC802" s="87"/>
      <c r="BD802" s="87"/>
      <c r="BE802" s="87"/>
      <c r="BF802" s="87"/>
      <c r="BG802" s="87"/>
      <c r="BH802" s="87"/>
    </row>
    <row r="803" spans="4:60" x14ac:dyDescent="0.3">
      <c r="D803" s="89"/>
      <c r="E803" s="89"/>
      <c r="F803" s="100" t="str">
        <f t="shared" si="61"/>
        <v/>
      </c>
      <c r="T803" s="87"/>
      <c r="U803" s="87"/>
      <c r="V803" s="87"/>
      <c r="W803" s="87"/>
      <c r="X803" s="87"/>
      <c r="Y803" s="87"/>
      <c r="Z803" s="87"/>
      <c r="AA803" s="87"/>
      <c r="AB803" s="87"/>
      <c r="AI803" s="87"/>
      <c r="AJ803" s="87"/>
      <c r="AK803" s="87"/>
      <c r="AL803" s="87"/>
      <c r="AM803" s="87"/>
      <c r="AN803" s="87"/>
      <c r="AO803" s="87"/>
      <c r="AP803" s="87"/>
      <c r="AQ803" s="87"/>
      <c r="AR803" s="87"/>
      <c r="BC803" s="87"/>
      <c r="BD803" s="87"/>
      <c r="BE803" s="87"/>
      <c r="BF803" s="87"/>
      <c r="BG803" s="87"/>
      <c r="BH803" s="87"/>
    </row>
    <row r="804" spans="4:60" x14ac:dyDescent="0.3">
      <c r="D804" s="89"/>
      <c r="E804" s="89"/>
      <c r="F804" s="100" t="str">
        <f t="shared" si="61"/>
        <v/>
      </c>
      <c r="T804" s="87"/>
      <c r="U804" s="87"/>
      <c r="V804" s="87"/>
      <c r="W804" s="87"/>
      <c r="X804" s="87"/>
      <c r="Y804" s="87"/>
      <c r="Z804" s="87"/>
      <c r="AA804" s="87"/>
      <c r="AB804" s="87"/>
      <c r="AI804" s="87"/>
      <c r="AJ804" s="87"/>
      <c r="AK804" s="87"/>
      <c r="AL804" s="87"/>
      <c r="AM804" s="87"/>
      <c r="AN804" s="87"/>
      <c r="AO804" s="87"/>
      <c r="AP804" s="87"/>
      <c r="AQ804" s="87"/>
      <c r="AR804" s="87"/>
      <c r="BC804" s="87"/>
      <c r="BD804" s="87"/>
      <c r="BE804" s="87"/>
      <c r="BF804" s="87"/>
      <c r="BG804" s="87"/>
      <c r="BH804" s="87"/>
    </row>
    <row r="805" spans="4:60" x14ac:dyDescent="0.3">
      <c r="D805" s="89"/>
      <c r="E805" s="89"/>
      <c r="F805" s="100" t="str">
        <f t="shared" si="61"/>
        <v/>
      </c>
      <c r="T805" s="87"/>
      <c r="U805" s="87"/>
      <c r="V805" s="87"/>
      <c r="W805" s="87"/>
      <c r="X805" s="87"/>
      <c r="Y805" s="87"/>
      <c r="Z805" s="87"/>
      <c r="AA805" s="87"/>
      <c r="AB805" s="87"/>
      <c r="AI805" s="87"/>
      <c r="AJ805" s="87"/>
      <c r="AK805" s="87"/>
      <c r="AL805" s="87"/>
      <c r="AM805" s="87"/>
      <c r="AN805" s="87"/>
      <c r="AO805" s="87"/>
      <c r="AP805" s="87"/>
      <c r="AQ805" s="87"/>
      <c r="AR805" s="87"/>
      <c r="BC805" s="87"/>
      <c r="BD805" s="87"/>
      <c r="BE805" s="87"/>
      <c r="BF805" s="87"/>
      <c r="BG805" s="87"/>
      <c r="BH805" s="87"/>
    </row>
    <row r="806" spans="4:60" x14ac:dyDescent="0.3">
      <c r="D806" s="89"/>
      <c r="E806" s="89"/>
      <c r="F806" s="100" t="str">
        <f t="shared" si="61"/>
        <v/>
      </c>
      <c r="T806" s="87"/>
      <c r="U806" s="87"/>
      <c r="V806" s="87"/>
      <c r="W806" s="87"/>
      <c r="X806" s="87"/>
      <c r="Y806" s="87"/>
      <c r="Z806" s="87"/>
      <c r="AA806" s="87"/>
      <c r="AB806" s="87"/>
      <c r="AI806" s="87"/>
      <c r="AJ806" s="87"/>
      <c r="AK806" s="87"/>
      <c r="AL806" s="87"/>
      <c r="AM806" s="87"/>
      <c r="AN806" s="87"/>
      <c r="AO806" s="87"/>
      <c r="AP806" s="87"/>
      <c r="AQ806" s="87"/>
      <c r="AR806" s="87"/>
      <c r="BC806" s="87"/>
      <c r="BD806" s="87"/>
      <c r="BE806" s="87"/>
      <c r="BF806" s="87"/>
      <c r="BG806" s="87"/>
      <c r="BH806" s="87"/>
    </row>
    <row r="807" spans="4:60" x14ac:dyDescent="0.3">
      <c r="D807" s="89"/>
      <c r="E807" s="89"/>
      <c r="F807" s="100" t="str">
        <f t="shared" si="61"/>
        <v/>
      </c>
      <c r="T807" s="87"/>
      <c r="U807" s="87"/>
      <c r="V807" s="87"/>
      <c r="W807" s="87"/>
      <c r="X807" s="87"/>
      <c r="Y807" s="87"/>
      <c r="Z807" s="87"/>
      <c r="AA807" s="87"/>
      <c r="AB807" s="87"/>
      <c r="AI807" s="87"/>
      <c r="AJ807" s="87"/>
      <c r="AK807" s="87"/>
      <c r="AL807" s="87"/>
      <c r="AM807" s="87"/>
      <c r="AN807" s="87"/>
      <c r="AO807" s="87"/>
      <c r="AP807" s="87"/>
      <c r="AQ807" s="87"/>
      <c r="AR807" s="87"/>
      <c r="BC807" s="87"/>
      <c r="BD807" s="87"/>
      <c r="BE807" s="87"/>
      <c r="BF807" s="87"/>
      <c r="BG807" s="87"/>
      <c r="BH807" s="87"/>
    </row>
    <row r="808" spans="4:60" x14ac:dyDescent="0.3">
      <c r="D808" s="89"/>
      <c r="E808" s="89"/>
      <c r="F808" s="100" t="str">
        <f t="shared" si="61"/>
        <v/>
      </c>
      <c r="T808" s="87"/>
      <c r="U808" s="87"/>
      <c r="V808" s="87"/>
      <c r="W808" s="87"/>
      <c r="X808" s="87"/>
      <c r="Y808" s="87"/>
      <c r="Z808" s="87"/>
      <c r="AA808" s="87"/>
      <c r="AB808" s="87"/>
      <c r="AI808" s="87"/>
      <c r="AJ808" s="87"/>
      <c r="AK808" s="87"/>
      <c r="AL808" s="87"/>
      <c r="AM808" s="87"/>
      <c r="AN808" s="87"/>
      <c r="AO808" s="87"/>
      <c r="AP808" s="87"/>
      <c r="AQ808" s="87"/>
      <c r="AR808" s="87"/>
      <c r="BC808" s="87"/>
      <c r="BD808" s="87"/>
      <c r="BE808" s="87"/>
      <c r="BF808" s="87"/>
      <c r="BG808" s="87"/>
      <c r="BH808" s="87"/>
    </row>
    <row r="809" spans="4:60" x14ac:dyDescent="0.3">
      <c r="D809" s="89"/>
      <c r="E809" s="89"/>
      <c r="F809" s="100" t="str">
        <f t="shared" si="61"/>
        <v/>
      </c>
      <c r="T809" s="87"/>
      <c r="U809" s="87"/>
      <c r="V809" s="87"/>
      <c r="W809" s="87"/>
      <c r="X809" s="87"/>
      <c r="Y809" s="87"/>
      <c r="Z809" s="87"/>
      <c r="AA809" s="87"/>
      <c r="AB809" s="87"/>
      <c r="AI809" s="87"/>
      <c r="AJ809" s="87"/>
      <c r="AK809" s="87"/>
      <c r="AL809" s="87"/>
      <c r="AM809" s="87"/>
      <c r="AN809" s="87"/>
      <c r="AO809" s="87"/>
      <c r="AP809" s="87"/>
      <c r="AQ809" s="87"/>
      <c r="AR809" s="87"/>
      <c r="BC809" s="87"/>
      <c r="BD809" s="87"/>
      <c r="BE809" s="87"/>
      <c r="BF809" s="87"/>
      <c r="BG809" s="87"/>
      <c r="BH809" s="87"/>
    </row>
    <row r="810" spans="4:60" x14ac:dyDescent="0.3">
      <c r="D810" s="89"/>
      <c r="E810" s="89"/>
      <c r="F810" s="100" t="str">
        <f t="shared" si="61"/>
        <v/>
      </c>
      <c r="T810" s="87"/>
      <c r="U810" s="87"/>
      <c r="V810" s="87"/>
      <c r="W810" s="87"/>
      <c r="X810" s="87"/>
      <c r="Y810" s="87"/>
      <c r="Z810" s="87"/>
      <c r="AA810" s="87"/>
      <c r="AB810" s="87"/>
      <c r="AI810" s="87"/>
      <c r="AJ810" s="87"/>
      <c r="AK810" s="87"/>
      <c r="AL810" s="87"/>
      <c r="AM810" s="87"/>
      <c r="AN810" s="87"/>
      <c r="AO810" s="87"/>
      <c r="AP810" s="87"/>
      <c r="AQ810" s="87"/>
      <c r="AR810" s="87"/>
      <c r="BC810" s="87"/>
      <c r="BD810" s="87"/>
      <c r="BE810" s="87"/>
      <c r="BF810" s="87"/>
      <c r="BG810" s="87"/>
      <c r="BH810" s="87"/>
    </row>
    <row r="811" spans="4:60" x14ac:dyDescent="0.3">
      <c r="D811" s="89"/>
      <c r="E811" s="89"/>
      <c r="F811" s="100" t="str">
        <f t="shared" si="61"/>
        <v/>
      </c>
      <c r="T811" s="87"/>
      <c r="U811" s="87"/>
      <c r="V811" s="87"/>
      <c r="W811" s="87"/>
      <c r="X811" s="87"/>
      <c r="Y811" s="87"/>
      <c r="Z811" s="87"/>
      <c r="AA811" s="87"/>
      <c r="AB811" s="87"/>
      <c r="AI811" s="87"/>
      <c r="AJ811" s="87"/>
      <c r="AK811" s="87"/>
      <c r="AL811" s="87"/>
      <c r="AM811" s="87"/>
      <c r="AN811" s="87"/>
      <c r="AO811" s="87"/>
      <c r="AP811" s="87"/>
      <c r="AQ811" s="87"/>
      <c r="AR811" s="87"/>
      <c r="BC811" s="87"/>
      <c r="BD811" s="87"/>
      <c r="BE811" s="87"/>
      <c r="BF811" s="87"/>
      <c r="BG811" s="87"/>
      <c r="BH811" s="87"/>
    </row>
    <row r="812" spans="4:60" x14ac:dyDescent="0.3">
      <c r="D812" s="89"/>
      <c r="E812" s="89"/>
      <c r="F812" s="100" t="str">
        <f t="shared" si="61"/>
        <v/>
      </c>
      <c r="T812" s="87"/>
      <c r="U812" s="87"/>
      <c r="V812" s="87"/>
      <c r="W812" s="87"/>
      <c r="X812" s="87"/>
      <c r="Y812" s="87"/>
      <c r="Z812" s="87"/>
      <c r="AA812" s="87"/>
      <c r="AB812" s="87"/>
      <c r="AI812" s="87"/>
      <c r="AJ812" s="87"/>
      <c r="AK812" s="87"/>
      <c r="AL812" s="87"/>
      <c r="AM812" s="87"/>
      <c r="AN812" s="87"/>
      <c r="AO812" s="87"/>
      <c r="AP812" s="87"/>
      <c r="AQ812" s="87"/>
      <c r="AR812" s="87"/>
      <c r="BC812" s="87"/>
      <c r="BD812" s="87"/>
      <c r="BE812" s="87"/>
      <c r="BF812" s="87"/>
      <c r="BG812" s="87"/>
      <c r="BH812" s="87"/>
    </row>
    <row r="813" spans="4:60" x14ac:dyDescent="0.3">
      <c r="D813" s="89"/>
      <c r="E813" s="89"/>
      <c r="F813" s="100" t="str">
        <f t="shared" si="61"/>
        <v/>
      </c>
      <c r="T813" s="87"/>
      <c r="U813" s="87"/>
      <c r="V813" s="87"/>
      <c r="W813" s="87"/>
      <c r="X813" s="87"/>
      <c r="Y813" s="87"/>
      <c r="Z813" s="87"/>
      <c r="AA813" s="87"/>
      <c r="AB813" s="87"/>
      <c r="AI813" s="87"/>
      <c r="AJ813" s="87"/>
      <c r="AK813" s="87"/>
      <c r="AL813" s="87"/>
      <c r="AM813" s="87"/>
      <c r="AN813" s="87"/>
      <c r="AO813" s="87"/>
      <c r="AP813" s="87"/>
      <c r="AQ813" s="87"/>
      <c r="AR813" s="87"/>
      <c r="BC813" s="87"/>
      <c r="BD813" s="87"/>
      <c r="BE813" s="87"/>
      <c r="BF813" s="87"/>
      <c r="BG813" s="87"/>
      <c r="BH813" s="87"/>
    </row>
    <row r="814" spans="4:60" x14ac:dyDescent="0.3">
      <c r="D814" s="89"/>
      <c r="E814" s="89"/>
      <c r="F814" s="100" t="str">
        <f t="shared" si="61"/>
        <v/>
      </c>
      <c r="T814" s="87"/>
      <c r="U814" s="87"/>
      <c r="V814" s="87"/>
      <c r="W814" s="87"/>
      <c r="X814" s="87"/>
      <c r="Y814" s="87"/>
      <c r="Z814" s="87"/>
      <c r="AA814" s="87"/>
      <c r="AB814" s="87"/>
      <c r="AI814" s="87"/>
      <c r="AJ814" s="87"/>
      <c r="AK814" s="87"/>
      <c r="AL814" s="87"/>
      <c r="AM814" s="87"/>
      <c r="AN814" s="87"/>
      <c r="AO814" s="87"/>
      <c r="AP814" s="87"/>
      <c r="AQ814" s="87"/>
      <c r="AR814" s="87"/>
      <c r="BC814" s="87"/>
      <c r="BD814" s="87"/>
      <c r="BE814" s="87"/>
      <c r="BF814" s="87"/>
      <c r="BG814" s="87"/>
      <c r="BH814" s="87"/>
    </row>
    <row r="815" spans="4:60" x14ac:dyDescent="0.3">
      <c r="D815" s="89"/>
      <c r="E815" s="89"/>
      <c r="F815" s="100" t="str">
        <f t="shared" si="61"/>
        <v/>
      </c>
      <c r="T815" s="87"/>
      <c r="U815" s="87"/>
      <c r="V815" s="87"/>
      <c r="W815" s="87"/>
      <c r="X815" s="87"/>
      <c r="Y815" s="87"/>
      <c r="Z815" s="87"/>
      <c r="AA815" s="87"/>
      <c r="AB815" s="87"/>
      <c r="AI815" s="87"/>
      <c r="AJ815" s="87"/>
      <c r="AK815" s="87"/>
      <c r="AL815" s="87"/>
      <c r="AM815" s="87"/>
      <c r="AN815" s="87"/>
      <c r="AO815" s="87"/>
      <c r="AP815" s="87"/>
      <c r="AQ815" s="87"/>
      <c r="AR815" s="87"/>
      <c r="BC815" s="87"/>
      <c r="BD815" s="87"/>
      <c r="BE815" s="87"/>
      <c r="BF815" s="87"/>
      <c r="BG815" s="87"/>
      <c r="BH815" s="87"/>
    </row>
    <row r="816" spans="4:60" x14ac:dyDescent="0.3">
      <c r="D816" s="89"/>
      <c r="E816" s="89"/>
      <c r="F816" s="100" t="str">
        <f t="shared" si="61"/>
        <v/>
      </c>
      <c r="T816" s="87"/>
      <c r="U816" s="87"/>
      <c r="V816" s="87"/>
      <c r="W816" s="87"/>
      <c r="X816" s="87"/>
      <c r="Y816" s="87"/>
      <c r="Z816" s="87"/>
      <c r="AA816" s="87"/>
      <c r="AB816" s="87"/>
      <c r="AI816" s="87"/>
      <c r="AJ816" s="87"/>
      <c r="AK816" s="87"/>
      <c r="AL816" s="87"/>
      <c r="AM816" s="87"/>
      <c r="AN816" s="87"/>
      <c r="AO816" s="87"/>
      <c r="AP816" s="87"/>
      <c r="AQ816" s="87"/>
      <c r="AR816" s="87"/>
      <c r="BC816" s="87"/>
      <c r="BD816" s="87"/>
      <c r="BE816" s="87"/>
      <c r="BF816" s="87"/>
      <c r="BG816" s="87"/>
      <c r="BH816" s="87"/>
    </row>
    <row r="817" spans="4:60" x14ac:dyDescent="0.3">
      <c r="D817" s="89"/>
      <c r="E817" s="89"/>
      <c r="F817" s="100" t="str">
        <f t="shared" si="61"/>
        <v/>
      </c>
      <c r="T817" s="87"/>
      <c r="U817" s="87"/>
      <c r="V817" s="87"/>
      <c r="W817" s="87"/>
      <c r="X817" s="87"/>
      <c r="Y817" s="87"/>
      <c r="Z817" s="87"/>
      <c r="AA817" s="87"/>
      <c r="AB817" s="87"/>
      <c r="AI817" s="87"/>
      <c r="AJ817" s="87"/>
      <c r="AK817" s="87"/>
      <c r="AL817" s="87"/>
      <c r="AM817" s="87"/>
      <c r="AN817" s="87"/>
      <c r="AO817" s="87"/>
      <c r="AP817" s="87"/>
      <c r="AQ817" s="87"/>
      <c r="AR817" s="87"/>
      <c r="BC817" s="87"/>
      <c r="BD817" s="87"/>
      <c r="BE817" s="87"/>
      <c r="BF817" s="87"/>
      <c r="BG817" s="87"/>
      <c r="BH817" s="87"/>
    </row>
    <row r="818" spans="4:60" x14ac:dyDescent="0.3">
      <c r="D818" s="89"/>
      <c r="E818" s="89"/>
      <c r="F818" s="100" t="str">
        <f t="shared" si="61"/>
        <v/>
      </c>
      <c r="T818" s="87"/>
      <c r="U818" s="87"/>
      <c r="V818" s="87"/>
      <c r="W818" s="87"/>
      <c r="X818" s="87"/>
      <c r="Y818" s="87"/>
      <c r="Z818" s="87"/>
      <c r="AA818" s="87"/>
      <c r="AB818" s="87"/>
      <c r="AI818" s="87"/>
      <c r="AJ818" s="87"/>
      <c r="AK818" s="87"/>
      <c r="AL818" s="87"/>
      <c r="AM818" s="87"/>
      <c r="AN818" s="87"/>
      <c r="AO818" s="87"/>
      <c r="AP818" s="87"/>
      <c r="AQ818" s="87"/>
      <c r="AR818" s="87"/>
      <c r="BC818" s="87"/>
      <c r="BD818" s="87"/>
      <c r="BE818" s="87"/>
      <c r="BF818" s="87"/>
      <c r="BG818" s="87"/>
      <c r="BH818" s="87"/>
    </row>
    <row r="819" spans="4:60" x14ac:dyDescent="0.3">
      <c r="D819" s="89"/>
      <c r="E819" s="89"/>
      <c r="F819" s="100" t="str">
        <f t="shared" si="61"/>
        <v/>
      </c>
      <c r="T819" s="87"/>
      <c r="U819" s="87"/>
      <c r="V819" s="87"/>
      <c r="W819" s="87"/>
      <c r="X819" s="87"/>
      <c r="Y819" s="87"/>
      <c r="Z819" s="87"/>
      <c r="AA819" s="87"/>
      <c r="AB819" s="87"/>
      <c r="AI819" s="87"/>
      <c r="AJ819" s="87"/>
      <c r="AK819" s="87"/>
      <c r="AL819" s="87"/>
      <c r="AM819" s="87"/>
      <c r="AN819" s="87"/>
      <c r="AO819" s="87"/>
      <c r="AP819" s="87"/>
      <c r="AQ819" s="87"/>
      <c r="AR819" s="87"/>
      <c r="BC819" s="87"/>
      <c r="BD819" s="87"/>
      <c r="BE819" s="87"/>
      <c r="BF819" s="87"/>
      <c r="BG819" s="87"/>
      <c r="BH819" s="87"/>
    </row>
    <row r="820" spans="4:60" x14ac:dyDescent="0.3">
      <c r="D820" s="89"/>
      <c r="E820" s="89"/>
      <c r="F820" s="100" t="str">
        <f t="shared" si="61"/>
        <v/>
      </c>
      <c r="T820" s="87"/>
      <c r="U820" s="87"/>
      <c r="V820" s="87"/>
      <c r="W820" s="87"/>
      <c r="X820" s="87"/>
      <c r="Y820" s="87"/>
      <c r="Z820" s="87"/>
      <c r="AA820" s="87"/>
      <c r="AB820" s="87"/>
      <c r="AI820" s="87"/>
      <c r="AJ820" s="87"/>
      <c r="AK820" s="87"/>
      <c r="AL820" s="87"/>
      <c r="AM820" s="87"/>
      <c r="AN820" s="87"/>
      <c r="AO820" s="87"/>
      <c r="AP820" s="87"/>
      <c r="AQ820" s="87"/>
      <c r="AR820" s="87"/>
      <c r="BC820" s="87"/>
      <c r="BD820" s="87"/>
      <c r="BE820" s="87"/>
      <c r="BF820" s="87"/>
      <c r="BG820" s="87"/>
      <c r="BH820" s="87"/>
    </row>
    <row r="821" spans="4:60" x14ac:dyDescent="0.3">
      <c r="D821" s="89"/>
      <c r="E821" s="89"/>
      <c r="F821" s="100" t="str">
        <f t="shared" si="61"/>
        <v/>
      </c>
      <c r="T821" s="87"/>
      <c r="U821" s="87"/>
      <c r="V821" s="87"/>
      <c r="W821" s="87"/>
      <c r="X821" s="87"/>
      <c r="Y821" s="87"/>
      <c r="Z821" s="87"/>
      <c r="AA821" s="87"/>
      <c r="AB821" s="87"/>
      <c r="AI821" s="87"/>
      <c r="AJ821" s="87"/>
      <c r="AK821" s="87"/>
      <c r="AL821" s="87"/>
      <c r="AM821" s="87"/>
      <c r="AN821" s="87"/>
      <c r="AO821" s="87"/>
      <c r="AP821" s="87"/>
      <c r="AQ821" s="87"/>
      <c r="AR821" s="87"/>
      <c r="BC821" s="87"/>
      <c r="BD821" s="87"/>
      <c r="BE821" s="87"/>
      <c r="BF821" s="87"/>
      <c r="BG821" s="87"/>
      <c r="BH821" s="87"/>
    </row>
    <row r="822" spans="4:60" x14ac:dyDescent="0.3">
      <c r="D822" s="89"/>
      <c r="E822" s="89"/>
      <c r="F822" s="100" t="str">
        <f t="shared" si="61"/>
        <v/>
      </c>
      <c r="T822" s="87"/>
      <c r="U822" s="87"/>
      <c r="V822" s="87"/>
      <c r="W822" s="87"/>
      <c r="X822" s="87"/>
      <c r="Y822" s="87"/>
      <c r="Z822" s="87"/>
      <c r="AA822" s="87"/>
      <c r="AB822" s="87"/>
      <c r="AI822" s="87"/>
      <c r="AJ822" s="87"/>
      <c r="AK822" s="87"/>
      <c r="AL822" s="87"/>
      <c r="AM822" s="87"/>
      <c r="AN822" s="87"/>
      <c r="AO822" s="87"/>
      <c r="AP822" s="87"/>
      <c r="AQ822" s="87"/>
      <c r="AR822" s="87"/>
      <c r="BC822" s="87"/>
      <c r="BD822" s="87"/>
      <c r="BE822" s="87"/>
      <c r="BF822" s="87"/>
      <c r="BG822" s="87"/>
      <c r="BH822" s="87"/>
    </row>
    <row r="823" spans="4:60" x14ac:dyDescent="0.3">
      <c r="D823" s="89"/>
      <c r="E823" s="89"/>
      <c r="F823" s="100" t="str">
        <f t="shared" si="61"/>
        <v/>
      </c>
      <c r="T823" s="87"/>
      <c r="U823" s="87"/>
      <c r="V823" s="87"/>
      <c r="W823" s="87"/>
      <c r="X823" s="87"/>
      <c r="Y823" s="87"/>
      <c r="Z823" s="87"/>
      <c r="AA823" s="87"/>
      <c r="AB823" s="87"/>
      <c r="AI823" s="87"/>
      <c r="AJ823" s="87"/>
      <c r="AK823" s="87"/>
      <c r="AL823" s="87"/>
      <c r="AM823" s="87"/>
      <c r="AN823" s="87"/>
      <c r="AO823" s="87"/>
      <c r="AP823" s="87"/>
      <c r="AQ823" s="87"/>
      <c r="AR823" s="87"/>
      <c r="BC823" s="87"/>
      <c r="BD823" s="87"/>
      <c r="BE823" s="87"/>
      <c r="BF823" s="87"/>
      <c r="BG823" s="87"/>
      <c r="BH823" s="87"/>
    </row>
    <row r="824" spans="4:60" x14ac:dyDescent="0.3">
      <c r="D824" s="89"/>
      <c r="E824" s="89"/>
      <c r="F824" s="100" t="str">
        <f t="shared" si="61"/>
        <v/>
      </c>
      <c r="T824" s="87"/>
      <c r="U824" s="87"/>
      <c r="V824" s="87"/>
      <c r="W824" s="87"/>
      <c r="X824" s="87"/>
      <c r="Y824" s="87"/>
      <c r="Z824" s="87"/>
      <c r="AA824" s="87"/>
      <c r="AB824" s="87"/>
      <c r="AI824" s="87"/>
      <c r="AJ824" s="87"/>
      <c r="AK824" s="87"/>
      <c r="AL824" s="87"/>
      <c r="AM824" s="87"/>
      <c r="AN824" s="87"/>
      <c r="AO824" s="87"/>
      <c r="AP824" s="87"/>
      <c r="AQ824" s="87"/>
      <c r="AR824" s="87"/>
      <c r="BC824" s="87"/>
      <c r="BD824" s="87"/>
      <c r="BE824" s="87"/>
      <c r="BF824" s="87"/>
      <c r="BG824" s="87"/>
      <c r="BH824" s="87"/>
    </row>
    <row r="825" spans="4:60" x14ac:dyDescent="0.3">
      <c r="D825" s="89"/>
      <c r="E825" s="89"/>
      <c r="F825" s="100" t="str">
        <f t="shared" si="61"/>
        <v/>
      </c>
      <c r="T825" s="87"/>
      <c r="U825" s="87"/>
      <c r="V825" s="87"/>
      <c r="W825" s="87"/>
      <c r="X825" s="87"/>
      <c r="Y825" s="87"/>
      <c r="Z825" s="87"/>
      <c r="AA825" s="87"/>
      <c r="AB825" s="87"/>
      <c r="AI825" s="87"/>
      <c r="AJ825" s="87"/>
      <c r="AK825" s="87"/>
      <c r="AL825" s="87"/>
      <c r="AM825" s="87"/>
      <c r="AN825" s="87"/>
      <c r="AO825" s="87"/>
      <c r="AP825" s="87"/>
      <c r="AQ825" s="87"/>
      <c r="AR825" s="87"/>
      <c r="BC825" s="87"/>
      <c r="BD825" s="87"/>
      <c r="BE825" s="87"/>
      <c r="BF825" s="87"/>
      <c r="BG825" s="87"/>
      <c r="BH825" s="87"/>
    </row>
    <row r="826" spans="4:60" x14ac:dyDescent="0.3">
      <c r="D826" s="89"/>
      <c r="E826" s="89"/>
      <c r="F826" s="100" t="str">
        <f t="shared" si="61"/>
        <v/>
      </c>
      <c r="T826" s="87"/>
      <c r="U826" s="87"/>
      <c r="V826" s="87"/>
      <c r="W826" s="87"/>
      <c r="X826" s="87"/>
      <c r="Y826" s="87"/>
      <c r="Z826" s="87"/>
      <c r="AA826" s="87"/>
      <c r="AB826" s="87"/>
      <c r="AI826" s="87"/>
      <c r="AJ826" s="87"/>
      <c r="AK826" s="87"/>
      <c r="AL826" s="87"/>
      <c r="AM826" s="87"/>
      <c r="AN826" s="87"/>
      <c r="AO826" s="87"/>
      <c r="AP826" s="87"/>
      <c r="AQ826" s="87"/>
      <c r="AR826" s="87"/>
      <c r="BC826" s="87"/>
      <c r="BD826" s="87"/>
      <c r="BE826" s="87"/>
      <c r="BF826" s="87"/>
      <c r="BG826" s="87"/>
      <c r="BH826" s="87"/>
    </row>
    <row r="827" spans="4:60" x14ac:dyDescent="0.3">
      <c r="D827" s="89"/>
      <c r="E827" s="89"/>
      <c r="F827" s="100" t="str">
        <f t="shared" si="61"/>
        <v/>
      </c>
      <c r="T827" s="87"/>
      <c r="U827" s="87"/>
      <c r="V827" s="87"/>
      <c r="W827" s="87"/>
      <c r="X827" s="87"/>
      <c r="Y827" s="87"/>
      <c r="Z827" s="87"/>
      <c r="AA827" s="87"/>
      <c r="AB827" s="87"/>
      <c r="AI827" s="87"/>
      <c r="AJ827" s="87"/>
      <c r="AK827" s="87"/>
      <c r="AL827" s="87"/>
      <c r="AM827" s="87"/>
      <c r="AN827" s="87"/>
      <c r="AO827" s="87"/>
      <c r="AP827" s="87"/>
      <c r="AQ827" s="87"/>
      <c r="AR827" s="87"/>
      <c r="BC827" s="87"/>
      <c r="BD827" s="87"/>
      <c r="BE827" s="87"/>
      <c r="BF827" s="87"/>
      <c r="BG827" s="87"/>
      <c r="BH827" s="87"/>
    </row>
    <row r="828" spans="4:60" x14ac:dyDescent="0.3">
      <c r="D828" s="89"/>
      <c r="E828" s="89"/>
      <c r="F828" s="100" t="str">
        <f t="shared" si="61"/>
        <v/>
      </c>
      <c r="T828" s="87"/>
      <c r="U828" s="87"/>
      <c r="V828" s="87"/>
      <c r="W828" s="87"/>
      <c r="X828" s="87"/>
      <c r="Y828" s="87"/>
      <c r="Z828" s="87"/>
      <c r="AA828" s="87"/>
      <c r="AB828" s="87"/>
      <c r="AI828" s="87"/>
      <c r="AJ828" s="87"/>
      <c r="AK828" s="87"/>
      <c r="AL828" s="87"/>
      <c r="AM828" s="87"/>
      <c r="AN828" s="87"/>
      <c r="AO828" s="87"/>
      <c r="AP828" s="87"/>
      <c r="AQ828" s="87"/>
      <c r="AR828" s="87"/>
      <c r="BC828" s="87"/>
      <c r="BD828" s="87"/>
      <c r="BE828" s="87"/>
      <c r="BF828" s="87"/>
      <c r="BG828" s="87"/>
      <c r="BH828" s="87"/>
    </row>
    <row r="829" spans="4:60" x14ac:dyDescent="0.3">
      <c r="D829" s="89"/>
      <c r="E829" s="89"/>
      <c r="F829" s="100" t="str">
        <f t="shared" si="61"/>
        <v/>
      </c>
      <c r="T829" s="87"/>
      <c r="U829" s="87"/>
      <c r="V829" s="87"/>
      <c r="W829" s="87"/>
      <c r="X829" s="87"/>
      <c r="Y829" s="87"/>
      <c r="Z829" s="87"/>
      <c r="AA829" s="87"/>
      <c r="AB829" s="87"/>
      <c r="AI829" s="87"/>
      <c r="AJ829" s="87"/>
      <c r="AK829" s="87"/>
      <c r="AL829" s="87"/>
      <c r="AM829" s="87"/>
      <c r="AN829" s="87"/>
      <c r="AO829" s="87"/>
      <c r="AP829" s="87"/>
      <c r="AQ829" s="87"/>
      <c r="AR829" s="87"/>
      <c r="BC829" s="87"/>
      <c r="BD829" s="87"/>
      <c r="BE829" s="87"/>
      <c r="BF829" s="87"/>
      <c r="BG829" s="87"/>
      <c r="BH829" s="87"/>
    </row>
    <row r="830" spans="4:60" x14ac:dyDescent="0.3">
      <c r="D830" s="89"/>
      <c r="E830" s="89"/>
      <c r="F830" s="100" t="str">
        <f t="shared" si="61"/>
        <v/>
      </c>
      <c r="T830" s="87"/>
      <c r="U830" s="87"/>
      <c r="V830" s="87"/>
      <c r="W830" s="87"/>
      <c r="X830" s="87"/>
      <c r="Y830" s="87"/>
      <c r="Z830" s="87"/>
      <c r="AA830" s="87"/>
      <c r="AB830" s="87"/>
      <c r="AI830" s="87"/>
      <c r="AJ830" s="87"/>
      <c r="AK830" s="87"/>
      <c r="AL830" s="87"/>
      <c r="AM830" s="87"/>
      <c r="AN830" s="87"/>
      <c r="AO830" s="87"/>
      <c r="AP830" s="87"/>
      <c r="AQ830" s="87"/>
      <c r="AR830" s="87"/>
      <c r="BC830" s="87"/>
      <c r="BD830" s="87"/>
      <c r="BE830" s="87"/>
      <c r="BF830" s="87"/>
      <c r="BG830" s="87"/>
      <c r="BH830" s="87"/>
    </row>
    <row r="831" spans="4:60" x14ac:dyDescent="0.3">
      <c r="D831" s="89"/>
      <c r="E831" s="89"/>
      <c r="F831" s="100" t="str">
        <f t="shared" si="61"/>
        <v/>
      </c>
      <c r="T831" s="87"/>
      <c r="U831" s="87"/>
      <c r="V831" s="87"/>
      <c r="W831" s="87"/>
      <c r="X831" s="87"/>
      <c r="Y831" s="87"/>
      <c r="Z831" s="87"/>
      <c r="AA831" s="87"/>
      <c r="AB831" s="87"/>
      <c r="AI831" s="87"/>
      <c r="AJ831" s="87"/>
      <c r="AK831" s="87"/>
      <c r="AL831" s="87"/>
      <c r="AM831" s="87"/>
      <c r="AN831" s="87"/>
      <c r="AO831" s="87"/>
      <c r="AP831" s="87"/>
      <c r="AQ831" s="87"/>
      <c r="AR831" s="87"/>
      <c r="BC831" s="87"/>
      <c r="BD831" s="87"/>
      <c r="BE831" s="87"/>
      <c r="BF831" s="87"/>
      <c r="BG831" s="87"/>
      <c r="BH831" s="87"/>
    </row>
    <row r="832" spans="4:60" x14ac:dyDescent="0.3">
      <c r="D832" s="89"/>
      <c r="E832" s="89"/>
      <c r="F832" s="100" t="str">
        <f t="shared" si="61"/>
        <v/>
      </c>
      <c r="T832" s="87"/>
      <c r="U832" s="87"/>
      <c r="V832" s="87"/>
      <c r="W832" s="87"/>
      <c r="X832" s="87"/>
      <c r="Y832" s="87"/>
      <c r="Z832" s="87"/>
      <c r="AA832" s="87"/>
      <c r="AB832" s="87"/>
      <c r="AI832" s="87"/>
      <c r="AJ832" s="87"/>
      <c r="AK832" s="87"/>
      <c r="AL832" s="87"/>
      <c r="AM832" s="87"/>
      <c r="AN832" s="87"/>
      <c r="AO832" s="87"/>
      <c r="AP832" s="87"/>
      <c r="AQ832" s="87"/>
      <c r="AR832" s="87"/>
      <c r="BC832" s="87"/>
      <c r="BD832" s="87"/>
      <c r="BE832" s="87"/>
      <c r="BF832" s="87"/>
      <c r="BG832" s="87"/>
      <c r="BH832" s="87"/>
    </row>
    <row r="833" spans="4:60" x14ac:dyDescent="0.3">
      <c r="D833" s="89"/>
      <c r="E833" s="89"/>
      <c r="F833" s="100" t="str">
        <f t="shared" si="61"/>
        <v/>
      </c>
      <c r="T833" s="87"/>
      <c r="U833" s="87"/>
      <c r="V833" s="87"/>
      <c r="W833" s="87"/>
      <c r="X833" s="87"/>
      <c r="Y833" s="87"/>
      <c r="Z833" s="87"/>
      <c r="AA833" s="87"/>
      <c r="AB833" s="87"/>
      <c r="AI833" s="87"/>
      <c r="AJ833" s="87"/>
      <c r="AK833" s="87"/>
      <c r="AL833" s="87"/>
      <c r="AM833" s="87"/>
      <c r="AN833" s="87"/>
      <c r="AO833" s="87"/>
      <c r="AP833" s="87"/>
      <c r="AQ833" s="87"/>
      <c r="AR833" s="87"/>
      <c r="BC833" s="87"/>
      <c r="BD833" s="87"/>
      <c r="BE833" s="87"/>
      <c r="BF833" s="87"/>
      <c r="BG833" s="87"/>
      <c r="BH833" s="87"/>
    </row>
    <row r="834" spans="4:60" x14ac:dyDescent="0.3">
      <c r="D834" s="89"/>
      <c r="E834" s="89"/>
      <c r="F834" s="100" t="str">
        <f t="shared" si="61"/>
        <v/>
      </c>
      <c r="T834" s="87"/>
      <c r="U834" s="87"/>
      <c r="V834" s="87"/>
      <c r="W834" s="87"/>
      <c r="X834" s="87"/>
      <c r="Y834" s="87"/>
      <c r="Z834" s="87"/>
      <c r="AA834" s="87"/>
      <c r="AB834" s="87"/>
      <c r="AI834" s="87"/>
      <c r="AJ834" s="87"/>
      <c r="AK834" s="87"/>
      <c r="AL834" s="87"/>
      <c r="AM834" s="87"/>
      <c r="AN834" s="87"/>
      <c r="AO834" s="87"/>
      <c r="AP834" s="87"/>
      <c r="AQ834" s="87"/>
      <c r="AR834" s="87"/>
      <c r="BC834" s="87"/>
      <c r="BD834" s="87"/>
      <c r="BE834" s="87"/>
      <c r="BF834" s="87"/>
      <c r="BG834" s="87"/>
      <c r="BH834" s="87"/>
    </row>
    <row r="835" spans="4:60" x14ac:dyDescent="0.3">
      <c r="D835" s="89"/>
      <c r="E835" s="89"/>
      <c r="F835" s="100" t="str">
        <f t="shared" si="61"/>
        <v/>
      </c>
      <c r="T835" s="87"/>
      <c r="U835" s="87"/>
      <c r="V835" s="87"/>
      <c r="W835" s="87"/>
      <c r="X835" s="87"/>
      <c r="Y835" s="87"/>
      <c r="Z835" s="87"/>
      <c r="AA835" s="87"/>
      <c r="AB835" s="87"/>
      <c r="AI835" s="87"/>
      <c r="AJ835" s="87"/>
      <c r="AK835" s="87"/>
      <c r="AL835" s="87"/>
      <c r="AM835" s="87"/>
      <c r="AN835" s="87"/>
      <c r="AO835" s="87"/>
      <c r="AP835" s="87"/>
      <c r="AQ835" s="87"/>
      <c r="AR835" s="87"/>
      <c r="BC835" s="87"/>
      <c r="BD835" s="87"/>
      <c r="BE835" s="87"/>
      <c r="BF835" s="87"/>
      <c r="BG835" s="87"/>
      <c r="BH835" s="87"/>
    </row>
    <row r="836" spans="4:60" x14ac:dyDescent="0.3">
      <c r="D836" s="89"/>
      <c r="E836" s="89"/>
      <c r="F836" s="100" t="str">
        <f t="shared" ref="F836:F899" si="62">IF(AND(E836="",D836=""),"",IF(AND(E836="",D836&lt;&gt;""),F835,E836))</f>
        <v/>
      </c>
      <c r="T836" s="87"/>
      <c r="U836" s="87"/>
      <c r="V836" s="87"/>
      <c r="W836" s="87"/>
      <c r="X836" s="87"/>
      <c r="Y836" s="87"/>
      <c r="Z836" s="87"/>
      <c r="AA836" s="87"/>
      <c r="AB836" s="87"/>
      <c r="AI836" s="87"/>
      <c r="AJ836" s="87"/>
      <c r="AK836" s="87"/>
      <c r="AL836" s="87"/>
      <c r="AM836" s="87"/>
      <c r="AN836" s="87"/>
      <c r="AO836" s="87"/>
      <c r="AP836" s="87"/>
      <c r="AQ836" s="87"/>
      <c r="AR836" s="87"/>
      <c r="BC836" s="87"/>
      <c r="BD836" s="87"/>
      <c r="BE836" s="87"/>
      <c r="BF836" s="87"/>
      <c r="BG836" s="87"/>
      <c r="BH836" s="87"/>
    </row>
    <row r="837" spans="4:60" x14ac:dyDescent="0.3">
      <c r="D837" s="89"/>
      <c r="E837" s="89"/>
      <c r="F837" s="100" t="str">
        <f t="shared" si="62"/>
        <v/>
      </c>
      <c r="T837" s="87"/>
      <c r="U837" s="87"/>
      <c r="V837" s="87"/>
      <c r="W837" s="87"/>
      <c r="X837" s="87"/>
      <c r="Y837" s="87"/>
      <c r="Z837" s="87"/>
      <c r="AA837" s="87"/>
      <c r="AB837" s="87"/>
      <c r="AI837" s="87"/>
      <c r="AJ837" s="87"/>
      <c r="AK837" s="87"/>
      <c r="AL837" s="87"/>
      <c r="AM837" s="87"/>
      <c r="AN837" s="87"/>
      <c r="AO837" s="87"/>
      <c r="AP837" s="87"/>
      <c r="AQ837" s="87"/>
      <c r="AR837" s="87"/>
      <c r="BC837" s="87"/>
      <c r="BD837" s="87"/>
      <c r="BE837" s="87"/>
      <c r="BF837" s="87"/>
      <c r="BG837" s="87"/>
      <c r="BH837" s="87"/>
    </row>
    <row r="838" spans="4:60" x14ac:dyDescent="0.3">
      <c r="D838" s="89"/>
      <c r="E838" s="89"/>
      <c r="F838" s="100" t="str">
        <f t="shared" si="62"/>
        <v/>
      </c>
      <c r="T838" s="87"/>
      <c r="U838" s="87"/>
      <c r="V838" s="87"/>
      <c r="W838" s="87"/>
      <c r="X838" s="87"/>
      <c r="Y838" s="87"/>
      <c r="Z838" s="87"/>
      <c r="AA838" s="87"/>
      <c r="AB838" s="87"/>
      <c r="AI838" s="87"/>
      <c r="AJ838" s="87"/>
      <c r="AK838" s="87"/>
      <c r="AL838" s="87"/>
      <c r="AM838" s="87"/>
      <c r="AN838" s="87"/>
      <c r="AO838" s="87"/>
      <c r="AP838" s="87"/>
      <c r="AQ838" s="87"/>
      <c r="AR838" s="87"/>
      <c r="BC838" s="87"/>
      <c r="BD838" s="87"/>
      <c r="BE838" s="87"/>
      <c r="BF838" s="87"/>
      <c r="BG838" s="87"/>
      <c r="BH838" s="87"/>
    </row>
    <row r="839" spans="4:60" x14ac:dyDescent="0.3">
      <c r="D839" s="89"/>
      <c r="E839" s="89"/>
      <c r="F839" s="100" t="str">
        <f t="shared" si="62"/>
        <v/>
      </c>
      <c r="T839" s="87"/>
      <c r="U839" s="87"/>
      <c r="V839" s="87"/>
      <c r="W839" s="87"/>
      <c r="X839" s="87"/>
      <c r="Y839" s="87"/>
      <c r="Z839" s="87"/>
      <c r="AA839" s="87"/>
      <c r="AB839" s="87"/>
      <c r="AI839" s="87"/>
      <c r="AJ839" s="87"/>
      <c r="AK839" s="87"/>
      <c r="AL839" s="87"/>
      <c r="AM839" s="87"/>
      <c r="AN839" s="87"/>
      <c r="AO839" s="87"/>
      <c r="AP839" s="87"/>
      <c r="AQ839" s="87"/>
      <c r="AR839" s="87"/>
      <c r="BC839" s="87"/>
      <c r="BD839" s="87"/>
      <c r="BE839" s="87"/>
      <c r="BF839" s="87"/>
      <c r="BG839" s="87"/>
      <c r="BH839" s="87"/>
    </row>
    <row r="840" spans="4:60" x14ac:dyDescent="0.3">
      <c r="D840" s="89"/>
      <c r="E840" s="89"/>
      <c r="F840" s="100" t="str">
        <f t="shared" si="62"/>
        <v/>
      </c>
      <c r="T840" s="87"/>
      <c r="U840" s="87"/>
      <c r="V840" s="87"/>
      <c r="W840" s="87"/>
      <c r="X840" s="87"/>
      <c r="Y840" s="87"/>
      <c r="Z840" s="87"/>
      <c r="AA840" s="87"/>
      <c r="AB840" s="87"/>
      <c r="AI840" s="87"/>
      <c r="AJ840" s="87"/>
      <c r="AK840" s="87"/>
      <c r="AL840" s="87"/>
      <c r="AM840" s="87"/>
      <c r="AN840" s="87"/>
      <c r="AO840" s="87"/>
      <c r="AP840" s="87"/>
      <c r="AQ840" s="87"/>
      <c r="AR840" s="87"/>
      <c r="BC840" s="87"/>
      <c r="BD840" s="87"/>
      <c r="BE840" s="87"/>
      <c r="BF840" s="87"/>
      <c r="BG840" s="87"/>
      <c r="BH840" s="87"/>
    </row>
    <row r="841" spans="4:60" x14ac:dyDescent="0.3">
      <c r="D841" s="89"/>
      <c r="E841" s="89"/>
      <c r="F841" s="100" t="str">
        <f t="shared" si="62"/>
        <v/>
      </c>
      <c r="T841" s="87"/>
      <c r="U841" s="87"/>
      <c r="V841" s="87"/>
      <c r="W841" s="87"/>
      <c r="X841" s="87"/>
      <c r="Y841" s="87"/>
      <c r="Z841" s="87"/>
      <c r="AA841" s="87"/>
      <c r="AB841" s="87"/>
      <c r="AI841" s="87"/>
      <c r="AJ841" s="87"/>
      <c r="AK841" s="87"/>
      <c r="AL841" s="87"/>
      <c r="AM841" s="87"/>
      <c r="AN841" s="87"/>
      <c r="AO841" s="87"/>
      <c r="AP841" s="87"/>
      <c r="AQ841" s="87"/>
      <c r="AR841" s="87"/>
      <c r="BC841" s="87"/>
      <c r="BD841" s="87"/>
      <c r="BE841" s="87"/>
      <c r="BF841" s="87"/>
      <c r="BG841" s="87"/>
      <c r="BH841" s="87"/>
    </row>
    <row r="842" spans="4:60" x14ac:dyDescent="0.3">
      <c r="D842" s="89"/>
      <c r="E842" s="89"/>
      <c r="F842" s="100" t="str">
        <f t="shared" si="62"/>
        <v/>
      </c>
      <c r="T842" s="87"/>
      <c r="U842" s="87"/>
      <c r="V842" s="87"/>
      <c r="W842" s="87"/>
      <c r="X842" s="87"/>
      <c r="Y842" s="87"/>
      <c r="Z842" s="87"/>
      <c r="AA842" s="87"/>
      <c r="AB842" s="87"/>
      <c r="AI842" s="87"/>
      <c r="AJ842" s="87"/>
      <c r="AK842" s="87"/>
      <c r="AL842" s="87"/>
      <c r="AM842" s="87"/>
      <c r="AN842" s="87"/>
      <c r="AO842" s="87"/>
      <c r="AP842" s="87"/>
      <c r="AQ842" s="87"/>
      <c r="AR842" s="87"/>
      <c r="BC842" s="87"/>
      <c r="BD842" s="87"/>
      <c r="BE842" s="87"/>
      <c r="BF842" s="87"/>
      <c r="BG842" s="87"/>
      <c r="BH842" s="87"/>
    </row>
    <row r="843" spans="4:60" x14ac:dyDescent="0.3">
      <c r="D843" s="89"/>
      <c r="E843" s="89"/>
      <c r="F843" s="100" t="str">
        <f t="shared" si="62"/>
        <v/>
      </c>
      <c r="T843" s="87"/>
      <c r="U843" s="87"/>
      <c r="V843" s="87"/>
      <c r="W843" s="87"/>
      <c r="X843" s="87"/>
      <c r="Y843" s="87"/>
      <c r="Z843" s="87"/>
      <c r="AA843" s="87"/>
      <c r="AB843" s="87"/>
      <c r="AI843" s="87"/>
      <c r="AJ843" s="87"/>
      <c r="AK843" s="87"/>
      <c r="AL843" s="87"/>
      <c r="AM843" s="87"/>
      <c r="AN843" s="87"/>
      <c r="AO843" s="87"/>
      <c r="AP843" s="87"/>
      <c r="AQ843" s="87"/>
      <c r="AR843" s="87"/>
      <c r="BC843" s="87"/>
      <c r="BD843" s="87"/>
      <c r="BE843" s="87"/>
      <c r="BF843" s="87"/>
      <c r="BG843" s="87"/>
      <c r="BH843" s="87"/>
    </row>
    <row r="844" spans="4:60" x14ac:dyDescent="0.3">
      <c r="D844" s="89"/>
      <c r="E844" s="89"/>
      <c r="F844" s="100" t="str">
        <f t="shared" si="62"/>
        <v/>
      </c>
      <c r="T844" s="87"/>
      <c r="U844" s="87"/>
      <c r="V844" s="87"/>
      <c r="W844" s="87"/>
      <c r="X844" s="87"/>
      <c r="Y844" s="87"/>
      <c r="Z844" s="87"/>
      <c r="AA844" s="87"/>
      <c r="AB844" s="87"/>
      <c r="AI844" s="87"/>
      <c r="AJ844" s="87"/>
      <c r="AK844" s="87"/>
      <c r="AL844" s="87"/>
      <c r="AM844" s="87"/>
      <c r="AN844" s="87"/>
      <c r="AO844" s="87"/>
      <c r="AP844" s="87"/>
      <c r="AQ844" s="87"/>
      <c r="AR844" s="87"/>
      <c r="BC844" s="87"/>
      <c r="BD844" s="87"/>
      <c r="BE844" s="87"/>
      <c r="BF844" s="87"/>
      <c r="BG844" s="87"/>
      <c r="BH844" s="87"/>
    </row>
    <row r="845" spans="4:60" x14ac:dyDescent="0.3">
      <c r="D845" s="89"/>
      <c r="E845" s="89"/>
      <c r="F845" s="100" t="str">
        <f t="shared" si="62"/>
        <v/>
      </c>
      <c r="T845" s="87"/>
      <c r="U845" s="87"/>
      <c r="V845" s="87"/>
      <c r="W845" s="87"/>
      <c r="X845" s="87"/>
      <c r="Y845" s="87"/>
      <c r="Z845" s="87"/>
      <c r="AA845" s="87"/>
      <c r="AB845" s="87"/>
      <c r="AI845" s="87"/>
      <c r="AJ845" s="87"/>
      <c r="AK845" s="87"/>
      <c r="AL845" s="87"/>
      <c r="AM845" s="87"/>
      <c r="AN845" s="87"/>
      <c r="AO845" s="87"/>
      <c r="AP845" s="87"/>
      <c r="AQ845" s="87"/>
      <c r="AR845" s="87"/>
      <c r="BC845" s="87"/>
      <c r="BD845" s="87"/>
      <c r="BE845" s="87"/>
      <c r="BF845" s="87"/>
      <c r="BG845" s="87"/>
      <c r="BH845" s="87"/>
    </row>
    <row r="846" spans="4:60" x14ac:dyDescent="0.3">
      <c r="D846" s="89"/>
      <c r="E846" s="89"/>
      <c r="F846" s="100" t="str">
        <f t="shared" si="62"/>
        <v/>
      </c>
      <c r="T846" s="87"/>
      <c r="U846" s="87"/>
      <c r="V846" s="87"/>
      <c r="W846" s="87"/>
      <c r="X846" s="87"/>
      <c r="Y846" s="87"/>
      <c r="Z846" s="87"/>
      <c r="AA846" s="87"/>
      <c r="AB846" s="87"/>
      <c r="AI846" s="87"/>
      <c r="AJ846" s="87"/>
      <c r="AK846" s="87"/>
      <c r="AL846" s="87"/>
      <c r="AM846" s="87"/>
      <c r="AN846" s="87"/>
      <c r="AO846" s="87"/>
      <c r="AP846" s="87"/>
      <c r="AQ846" s="87"/>
      <c r="AR846" s="87"/>
      <c r="BC846" s="87"/>
      <c r="BD846" s="87"/>
      <c r="BE846" s="87"/>
      <c r="BF846" s="87"/>
      <c r="BG846" s="87"/>
      <c r="BH846" s="87"/>
    </row>
    <row r="847" spans="4:60" x14ac:dyDescent="0.3">
      <c r="D847" s="89"/>
      <c r="E847" s="89"/>
      <c r="F847" s="100" t="str">
        <f t="shared" si="62"/>
        <v/>
      </c>
      <c r="T847" s="87"/>
      <c r="U847" s="87"/>
      <c r="V847" s="87"/>
      <c r="W847" s="87"/>
      <c r="X847" s="87"/>
      <c r="Y847" s="87"/>
      <c r="Z847" s="87"/>
      <c r="AA847" s="87"/>
      <c r="AB847" s="87"/>
      <c r="AI847" s="87"/>
      <c r="AJ847" s="87"/>
      <c r="AK847" s="87"/>
      <c r="AL847" s="87"/>
      <c r="AM847" s="87"/>
      <c r="AN847" s="87"/>
      <c r="AO847" s="87"/>
      <c r="AP847" s="87"/>
      <c r="AQ847" s="87"/>
      <c r="AR847" s="87"/>
      <c r="BC847" s="87"/>
      <c r="BD847" s="87"/>
      <c r="BE847" s="87"/>
      <c r="BF847" s="87"/>
      <c r="BG847" s="87"/>
      <c r="BH847" s="87"/>
    </row>
    <row r="848" spans="4:60" x14ac:dyDescent="0.3">
      <c r="D848" s="89"/>
      <c r="E848" s="89"/>
      <c r="F848" s="100" t="str">
        <f t="shared" si="62"/>
        <v/>
      </c>
      <c r="T848" s="87"/>
      <c r="U848" s="87"/>
      <c r="V848" s="87"/>
      <c r="W848" s="87"/>
      <c r="X848" s="87"/>
      <c r="Y848" s="87"/>
      <c r="Z848" s="87"/>
      <c r="AA848" s="87"/>
      <c r="AB848" s="87"/>
      <c r="AI848" s="87"/>
      <c r="AJ848" s="87"/>
      <c r="AK848" s="87"/>
      <c r="AL848" s="87"/>
      <c r="AM848" s="87"/>
      <c r="AN848" s="87"/>
      <c r="AO848" s="87"/>
      <c r="AP848" s="87"/>
      <c r="AQ848" s="87"/>
      <c r="AR848" s="87"/>
      <c r="BC848" s="87"/>
      <c r="BD848" s="87"/>
      <c r="BE848" s="87"/>
      <c r="BF848" s="87"/>
      <c r="BG848" s="87"/>
      <c r="BH848" s="87"/>
    </row>
    <row r="849" spans="4:60" x14ac:dyDescent="0.3">
      <c r="D849" s="89"/>
      <c r="E849" s="89"/>
      <c r="F849" s="100" t="str">
        <f t="shared" si="62"/>
        <v/>
      </c>
      <c r="T849" s="87"/>
      <c r="U849" s="87"/>
      <c r="V849" s="87"/>
      <c r="W849" s="87"/>
      <c r="X849" s="87"/>
      <c r="Y849" s="87"/>
      <c r="Z849" s="87"/>
      <c r="AA849" s="87"/>
      <c r="AB849" s="87"/>
      <c r="AI849" s="87"/>
      <c r="AJ849" s="87"/>
      <c r="AK849" s="87"/>
      <c r="AL849" s="87"/>
      <c r="AM849" s="87"/>
      <c r="AN849" s="87"/>
      <c r="AO849" s="87"/>
      <c r="AP849" s="87"/>
      <c r="AQ849" s="87"/>
      <c r="AR849" s="87"/>
      <c r="BC849" s="87"/>
      <c r="BD849" s="87"/>
      <c r="BE849" s="87"/>
      <c r="BF849" s="87"/>
      <c r="BG849" s="87"/>
      <c r="BH849" s="87"/>
    </row>
    <row r="850" spans="4:60" x14ac:dyDescent="0.3">
      <c r="D850" s="89"/>
      <c r="E850" s="89"/>
      <c r="F850" s="100" t="str">
        <f t="shared" si="62"/>
        <v/>
      </c>
      <c r="T850" s="87"/>
      <c r="U850" s="87"/>
      <c r="V850" s="87"/>
      <c r="W850" s="87"/>
      <c r="X850" s="87"/>
      <c r="Y850" s="87"/>
      <c r="Z850" s="87"/>
      <c r="AA850" s="87"/>
      <c r="AB850" s="87"/>
      <c r="AI850" s="87"/>
      <c r="AJ850" s="87"/>
      <c r="AK850" s="87"/>
      <c r="AL850" s="87"/>
      <c r="AM850" s="87"/>
      <c r="AN850" s="87"/>
      <c r="AO850" s="87"/>
      <c r="AP850" s="87"/>
      <c r="AQ850" s="87"/>
      <c r="AR850" s="87"/>
      <c r="BC850" s="87"/>
      <c r="BD850" s="87"/>
      <c r="BE850" s="87"/>
      <c r="BF850" s="87"/>
      <c r="BG850" s="87"/>
      <c r="BH850" s="87"/>
    </row>
    <row r="851" spans="4:60" x14ac:dyDescent="0.3">
      <c r="D851" s="89"/>
      <c r="E851" s="89"/>
      <c r="F851" s="100" t="str">
        <f t="shared" si="62"/>
        <v/>
      </c>
      <c r="T851" s="87"/>
      <c r="U851" s="87"/>
      <c r="V851" s="87"/>
      <c r="W851" s="87"/>
      <c r="X851" s="87"/>
      <c r="Y851" s="87"/>
      <c r="Z851" s="87"/>
      <c r="AA851" s="87"/>
      <c r="AB851" s="87"/>
      <c r="AI851" s="87"/>
      <c r="AJ851" s="87"/>
      <c r="AK851" s="87"/>
      <c r="AL851" s="87"/>
      <c r="AM851" s="87"/>
      <c r="AN851" s="87"/>
      <c r="AO851" s="87"/>
      <c r="AP851" s="87"/>
      <c r="AQ851" s="87"/>
      <c r="AR851" s="87"/>
      <c r="BC851" s="87"/>
      <c r="BD851" s="87"/>
      <c r="BE851" s="87"/>
      <c r="BF851" s="87"/>
      <c r="BG851" s="87"/>
      <c r="BH851" s="87"/>
    </row>
    <row r="852" spans="4:60" x14ac:dyDescent="0.3">
      <c r="D852" s="89"/>
      <c r="E852" s="89"/>
      <c r="F852" s="100" t="str">
        <f t="shared" si="62"/>
        <v/>
      </c>
      <c r="T852" s="87"/>
      <c r="U852" s="87"/>
      <c r="V852" s="87"/>
      <c r="W852" s="87"/>
      <c r="X852" s="87"/>
      <c r="Y852" s="87"/>
      <c r="Z852" s="87"/>
      <c r="AA852" s="87"/>
      <c r="AB852" s="87"/>
      <c r="AI852" s="87"/>
      <c r="AJ852" s="87"/>
      <c r="AK852" s="87"/>
      <c r="AL852" s="87"/>
      <c r="AM852" s="87"/>
      <c r="AN852" s="87"/>
      <c r="AO852" s="87"/>
      <c r="AP852" s="87"/>
      <c r="AQ852" s="87"/>
      <c r="AR852" s="87"/>
      <c r="BC852" s="87"/>
      <c r="BD852" s="87"/>
      <c r="BE852" s="87"/>
      <c r="BF852" s="87"/>
      <c r="BG852" s="87"/>
      <c r="BH852" s="87"/>
    </row>
    <row r="853" spans="4:60" x14ac:dyDescent="0.3">
      <c r="D853" s="89"/>
      <c r="E853" s="89"/>
      <c r="F853" s="100" t="str">
        <f t="shared" si="62"/>
        <v/>
      </c>
      <c r="T853" s="87"/>
      <c r="U853" s="87"/>
      <c r="V853" s="87"/>
      <c r="W853" s="87"/>
      <c r="X853" s="87"/>
      <c r="Y853" s="87"/>
      <c r="Z853" s="87"/>
      <c r="AA853" s="87"/>
      <c r="AB853" s="87"/>
      <c r="AI853" s="87"/>
      <c r="AJ853" s="87"/>
      <c r="AK853" s="87"/>
      <c r="AL853" s="87"/>
      <c r="AM853" s="87"/>
      <c r="AN853" s="87"/>
      <c r="AO853" s="87"/>
      <c r="AP853" s="87"/>
      <c r="AQ853" s="87"/>
      <c r="AR853" s="87"/>
      <c r="BC853" s="87"/>
      <c r="BD853" s="87"/>
      <c r="BE853" s="87"/>
      <c r="BF853" s="87"/>
      <c r="BG853" s="87"/>
      <c r="BH853" s="87"/>
    </row>
    <row r="854" spans="4:60" x14ac:dyDescent="0.3">
      <c r="D854" s="89"/>
      <c r="E854" s="89"/>
      <c r="F854" s="100" t="str">
        <f t="shared" si="62"/>
        <v/>
      </c>
      <c r="T854" s="87"/>
      <c r="U854" s="87"/>
      <c r="V854" s="87"/>
      <c r="W854" s="87"/>
      <c r="X854" s="87"/>
      <c r="Y854" s="87"/>
      <c r="Z854" s="87"/>
      <c r="AA854" s="87"/>
      <c r="AB854" s="87"/>
      <c r="AI854" s="87"/>
      <c r="AJ854" s="87"/>
      <c r="AK854" s="87"/>
      <c r="AL854" s="87"/>
      <c r="AM854" s="87"/>
      <c r="AN854" s="87"/>
      <c r="AO854" s="87"/>
      <c r="AP854" s="87"/>
      <c r="AQ854" s="87"/>
      <c r="AR854" s="87"/>
      <c r="BC854" s="87"/>
      <c r="BD854" s="87"/>
      <c r="BE854" s="87"/>
      <c r="BF854" s="87"/>
      <c r="BG854" s="87"/>
      <c r="BH854" s="87"/>
    </row>
    <row r="855" spans="4:60" x14ac:dyDescent="0.3">
      <c r="D855" s="89"/>
      <c r="E855" s="89"/>
      <c r="F855" s="100" t="str">
        <f t="shared" si="62"/>
        <v/>
      </c>
      <c r="T855" s="87"/>
      <c r="U855" s="87"/>
      <c r="V855" s="87"/>
      <c r="W855" s="87"/>
      <c r="X855" s="87"/>
      <c r="Y855" s="87"/>
      <c r="Z855" s="87"/>
      <c r="AA855" s="87"/>
      <c r="AB855" s="87"/>
      <c r="AI855" s="87"/>
      <c r="AJ855" s="87"/>
      <c r="AK855" s="87"/>
      <c r="AL855" s="87"/>
      <c r="AM855" s="87"/>
      <c r="AN855" s="87"/>
      <c r="AO855" s="87"/>
      <c r="AP855" s="87"/>
      <c r="AQ855" s="87"/>
      <c r="AR855" s="87"/>
      <c r="BC855" s="87"/>
      <c r="BD855" s="87"/>
      <c r="BE855" s="87"/>
      <c r="BF855" s="87"/>
      <c r="BG855" s="87"/>
      <c r="BH855" s="87"/>
    </row>
    <row r="856" spans="4:60" x14ac:dyDescent="0.3">
      <c r="D856" s="89"/>
      <c r="E856" s="89"/>
      <c r="F856" s="100" t="str">
        <f t="shared" si="62"/>
        <v/>
      </c>
      <c r="T856" s="87"/>
      <c r="U856" s="87"/>
      <c r="V856" s="87"/>
      <c r="W856" s="87"/>
      <c r="X856" s="87"/>
      <c r="Y856" s="87"/>
      <c r="Z856" s="87"/>
      <c r="AA856" s="87"/>
      <c r="AB856" s="87"/>
      <c r="AI856" s="87"/>
      <c r="AJ856" s="87"/>
      <c r="AK856" s="87"/>
      <c r="AL856" s="87"/>
      <c r="AM856" s="87"/>
      <c r="AN856" s="87"/>
      <c r="AO856" s="87"/>
      <c r="AP856" s="87"/>
      <c r="AQ856" s="87"/>
      <c r="AR856" s="87"/>
      <c r="BC856" s="87"/>
      <c r="BD856" s="87"/>
      <c r="BE856" s="87"/>
      <c r="BF856" s="87"/>
      <c r="BG856" s="87"/>
      <c r="BH856" s="87"/>
    </row>
    <row r="857" spans="4:60" x14ac:dyDescent="0.3">
      <c r="D857" s="89"/>
      <c r="E857" s="89"/>
      <c r="F857" s="100" t="str">
        <f t="shared" si="62"/>
        <v/>
      </c>
      <c r="T857" s="87"/>
      <c r="U857" s="87"/>
      <c r="V857" s="87"/>
      <c r="W857" s="87"/>
      <c r="X857" s="87"/>
      <c r="Y857" s="87"/>
      <c r="Z857" s="87"/>
      <c r="AA857" s="87"/>
      <c r="AB857" s="87"/>
      <c r="AI857" s="87"/>
      <c r="AJ857" s="87"/>
      <c r="AK857" s="87"/>
      <c r="AL857" s="87"/>
      <c r="AM857" s="87"/>
      <c r="AN857" s="87"/>
      <c r="AO857" s="87"/>
      <c r="AP857" s="87"/>
      <c r="AQ857" s="87"/>
      <c r="AR857" s="87"/>
      <c r="BC857" s="87"/>
      <c r="BD857" s="87"/>
      <c r="BE857" s="87"/>
      <c r="BF857" s="87"/>
      <c r="BG857" s="87"/>
      <c r="BH857" s="87"/>
    </row>
    <row r="858" spans="4:60" x14ac:dyDescent="0.3">
      <c r="D858" s="89"/>
      <c r="E858" s="89"/>
      <c r="F858" s="100" t="str">
        <f t="shared" si="62"/>
        <v/>
      </c>
      <c r="T858" s="87"/>
      <c r="U858" s="87"/>
      <c r="V858" s="87"/>
      <c r="W858" s="87"/>
      <c r="X858" s="87"/>
      <c r="Y858" s="87"/>
      <c r="Z858" s="87"/>
      <c r="AA858" s="87"/>
      <c r="AB858" s="87"/>
      <c r="AI858" s="87"/>
      <c r="AJ858" s="87"/>
      <c r="AK858" s="87"/>
      <c r="AL858" s="87"/>
      <c r="AM858" s="87"/>
      <c r="AN858" s="87"/>
      <c r="AO858" s="87"/>
      <c r="AP858" s="87"/>
      <c r="AQ858" s="87"/>
      <c r="AR858" s="87"/>
      <c r="BC858" s="87"/>
      <c r="BD858" s="87"/>
      <c r="BE858" s="87"/>
      <c r="BF858" s="87"/>
      <c r="BG858" s="87"/>
      <c r="BH858" s="87"/>
    </row>
    <row r="859" spans="4:60" x14ac:dyDescent="0.3">
      <c r="D859" s="89"/>
      <c r="E859" s="89"/>
      <c r="F859" s="100" t="str">
        <f t="shared" si="62"/>
        <v/>
      </c>
      <c r="T859" s="87"/>
      <c r="U859" s="87"/>
      <c r="V859" s="87"/>
      <c r="W859" s="87"/>
      <c r="X859" s="87"/>
      <c r="Y859" s="87"/>
      <c r="Z859" s="87"/>
      <c r="AA859" s="87"/>
      <c r="AB859" s="87"/>
      <c r="AI859" s="87"/>
      <c r="AJ859" s="87"/>
      <c r="AK859" s="87"/>
      <c r="AL859" s="87"/>
      <c r="AM859" s="87"/>
      <c r="AN859" s="87"/>
      <c r="AO859" s="87"/>
      <c r="AP859" s="87"/>
      <c r="AQ859" s="87"/>
      <c r="AR859" s="87"/>
      <c r="BC859" s="87"/>
      <c r="BD859" s="87"/>
      <c r="BE859" s="87"/>
      <c r="BF859" s="87"/>
      <c r="BG859" s="87"/>
      <c r="BH859" s="87"/>
    </row>
    <row r="860" spans="4:60" x14ac:dyDescent="0.3">
      <c r="D860" s="89"/>
      <c r="E860" s="89"/>
      <c r="F860" s="100" t="str">
        <f t="shared" si="62"/>
        <v/>
      </c>
      <c r="T860" s="87"/>
      <c r="U860" s="87"/>
      <c r="V860" s="87"/>
      <c r="W860" s="87"/>
      <c r="X860" s="87"/>
      <c r="Y860" s="87"/>
      <c r="Z860" s="87"/>
      <c r="AA860" s="87"/>
      <c r="AB860" s="87"/>
      <c r="AI860" s="87"/>
      <c r="AJ860" s="87"/>
      <c r="AK860" s="87"/>
      <c r="AL860" s="87"/>
      <c r="AM860" s="87"/>
      <c r="AN860" s="87"/>
      <c r="AO860" s="87"/>
      <c r="AP860" s="87"/>
      <c r="AQ860" s="87"/>
      <c r="AR860" s="87"/>
      <c r="BC860" s="87"/>
      <c r="BD860" s="87"/>
      <c r="BE860" s="87"/>
      <c r="BF860" s="87"/>
      <c r="BG860" s="87"/>
      <c r="BH860" s="87"/>
    </row>
    <row r="861" spans="4:60" x14ac:dyDescent="0.3">
      <c r="D861" s="89"/>
      <c r="E861" s="89"/>
      <c r="F861" s="100" t="str">
        <f t="shared" si="62"/>
        <v/>
      </c>
      <c r="T861" s="87"/>
      <c r="U861" s="87"/>
      <c r="V861" s="87"/>
      <c r="W861" s="87"/>
      <c r="X861" s="87"/>
      <c r="Y861" s="87"/>
      <c r="Z861" s="87"/>
      <c r="AA861" s="87"/>
      <c r="AB861" s="87"/>
      <c r="AI861" s="87"/>
      <c r="AJ861" s="87"/>
      <c r="AK861" s="87"/>
      <c r="AL861" s="87"/>
      <c r="AM861" s="87"/>
      <c r="AN861" s="87"/>
      <c r="AO861" s="87"/>
      <c r="AP861" s="87"/>
      <c r="AQ861" s="87"/>
      <c r="AR861" s="87"/>
      <c r="BC861" s="87"/>
      <c r="BD861" s="87"/>
      <c r="BE861" s="87"/>
      <c r="BF861" s="87"/>
      <c r="BG861" s="87"/>
      <c r="BH861" s="87"/>
    </row>
    <row r="862" spans="4:60" x14ac:dyDescent="0.3">
      <c r="D862" s="89"/>
      <c r="E862" s="89"/>
      <c r="F862" s="100" t="str">
        <f t="shared" si="62"/>
        <v/>
      </c>
      <c r="T862" s="87"/>
      <c r="U862" s="87"/>
      <c r="V862" s="87"/>
      <c r="W862" s="87"/>
      <c r="X862" s="87"/>
      <c r="Y862" s="87"/>
      <c r="Z862" s="87"/>
      <c r="AA862" s="87"/>
      <c r="AB862" s="87"/>
      <c r="AI862" s="87"/>
      <c r="AJ862" s="87"/>
      <c r="AK862" s="87"/>
      <c r="AL862" s="87"/>
      <c r="AM862" s="87"/>
      <c r="AN862" s="87"/>
      <c r="AO862" s="87"/>
      <c r="AP862" s="87"/>
      <c r="AQ862" s="87"/>
      <c r="AR862" s="87"/>
      <c r="BC862" s="87"/>
      <c r="BD862" s="87"/>
      <c r="BE862" s="87"/>
      <c r="BF862" s="87"/>
      <c r="BG862" s="87"/>
      <c r="BH862" s="87"/>
    </row>
    <row r="863" spans="4:60" x14ac:dyDescent="0.3">
      <c r="D863" s="89"/>
      <c r="E863" s="89"/>
      <c r="F863" s="100" t="str">
        <f t="shared" si="62"/>
        <v/>
      </c>
      <c r="T863" s="87"/>
      <c r="U863" s="87"/>
      <c r="V863" s="87"/>
      <c r="W863" s="87"/>
      <c r="X863" s="87"/>
      <c r="Y863" s="87"/>
      <c r="Z863" s="87"/>
      <c r="AA863" s="87"/>
      <c r="AB863" s="87"/>
      <c r="AI863" s="87"/>
      <c r="AJ863" s="87"/>
      <c r="AK863" s="87"/>
      <c r="AL863" s="87"/>
      <c r="AM863" s="87"/>
      <c r="AN863" s="87"/>
      <c r="AO863" s="87"/>
      <c r="AP863" s="87"/>
      <c r="AQ863" s="87"/>
      <c r="AR863" s="87"/>
      <c r="BC863" s="87"/>
      <c r="BD863" s="87"/>
      <c r="BE863" s="87"/>
      <c r="BF863" s="87"/>
      <c r="BG863" s="87"/>
      <c r="BH863" s="87"/>
    </row>
    <row r="864" spans="4:60" x14ac:dyDescent="0.3">
      <c r="D864" s="89"/>
      <c r="E864" s="89"/>
      <c r="F864" s="100" t="str">
        <f t="shared" si="62"/>
        <v/>
      </c>
      <c r="T864" s="87"/>
      <c r="U864" s="87"/>
      <c r="V864" s="87"/>
      <c r="W864" s="87"/>
      <c r="X864" s="87"/>
      <c r="Y864" s="87"/>
      <c r="Z864" s="87"/>
      <c r="AA864" s="87"/>
      <c r="AB864" s="87"/>
      <c r="AI864" s="87"/>
      <c r="AJ864" s="87"/>
      <c r="AK864" s="87"/>
      <c r="AL864" s="87"/>
      <c r="AM864" s="87"/>
      <c r="AN864" s="87"/>
      <c r="AO864" s="87"/>
      <c r="AP864" s="87"/>
      <c r="AQ864" s="87"/>
      <c r="AR864" s="87"/>
      <c r="BC864" s="87"/>
      <c r="BD864" s="87"/>
      <c r="BE864" s="87"/>
      <c r="BF864" s="87"/>
      <c r="BG864" s="87"/>
      <c r="BH864" s="87"/>
    </row>
    <row r="865" spans="4:60" x14ac:dyDescent="0.3">
      <c r="D865" s="89"/>
      <c r="E865" s="89"/>
      <c r="F865" s="100" t="str">
        <f t="shared" si="62"/>
        <v/>
      </c>
      <c r="T865" s="87"/>
      <c r="U865" s="87"/>
      <c r="V865" s="87"/>
      <c r="W865" s="87"/>
      <c r="X865" s="87"/>
      <c r="Y865" s="87"/>
      <c r="Z865" s="87"/>
      <c r="AA865" s="87"/>
      <c r="AB865" s="87"/>
      <c r="AI865" s="87"/>
      <c r="AJ865" s="87"/>
      <c r="AK865" s="87"/>
      <c r="AL865" s="87"/>
      <c r="AM865" s="87"/>
      <c r="AN865" s="87"/>
      <c r="AO865" s="87"/>
      <c r="AP865" s="87"/>
      <c r="AQ865" s="87"/>
      <c r="AR865" s="87"/>
      <c r="BC865" s="87"/>
      <c r="BD865" s="87"/>
      <c r="BE865" s="87"/>
      <c r="BF865" s="87"/>
      <c r="BG865" s="87"/>
      <c r="BH865" s="87"/>
    </row>
    <row r="866" spans="4:60" x14ac:dyDescent="0.3">
      <c r="D866" s="89"/>
      <c r="E866" s="89"/>
      <c r="F866" s="100" t="str">
        <f t="shared" si="62"/>
        <v/>
      </c>
      <c r="T866" s="87"/>
      <c r="U866" s="87"/>
      <c r="V866" s="87"/>
      <c r="W866" s="87"/>
      <c r="X866" s="87"/>
      <c r="Y866" s="87"/>
      <c r="Z866" s="87"/>
      <c r="AA866" s="87"/>
      <c r="AB866" s="87"/>
      <c r="AI866" s="87"/>
      <c r="AJ866" s="87"/>
      <c r="AK866" s="87"/>
      <c r="AL866" s="87"/>
      <c r="AM866" s="87"/>
      <c r="AN866" s="87"/>
      <c r="AO866" s="87"/>
      <c r="AP866" s="87"/>
      <c r="AQ866" s="87"/>
      <c r="AR866" s="87"/>
      <c r="BC866" s="87"/>
      <c r="BD866" s="87"/>
      <c r="BE866" s="87"/>
      <c r="BF866" s="87"/>
      <c r="BG866" s="87"/>
      <c r="BH866" s="87"/>
    </row>
    <row r="867" spans="4:60" x14ac:dyDescent="0.3">
      <c r="D867" s="89"/>
      <c r="E867" s="89"/>
      <c r="F867" s="100" t="str">
        <f t="shared" si="62"/>
        <v/>
      </c>
      <c r="T867" s="87"/>
      <c r="U867" s="87"/>
      <c r="V867" s="87"/>
      <c r="W867" s="87"/>
      <c r="X867" s="87"/>
      <c r="Y867" s="87"/>
      <c r="Z867" s="87"/>
      <c r="AA867" s="87"/>
      <c r="AB867" s="87"/>
      <c r="AI867" s="87"/>
      <c r="AJ867" s="87"/>
      <c r="AK867" s="87"/>
      <c r="AL867" s="87"/>
      <c r="AM867" s="87"/>
      <c r="AN867" s="87"/>
      <c r="AO867" s="87"/>
      <c r="AP867" s="87"/>
      <c r="AQ867" s="87"/>
      <c r="AR867" s="87"/>
      <c r="BC867" s="87"/>
      <c r="BD867" s="87"/>
      <c r="BE867" s="87"/>
      <c r="BF867" s="87"/>
      <c r="BG867" s="87"/>
      <c r="BH867" s="87"/>
    </row>
    <row r="868" spans="4:60" x14ac:dyDescent="0.3">
      <c r="D868" s="89"/>
      <c r="E868" s="89"/>
      <c r="F868" s="100" t="str">
        <f t="shared" si="62"/>
        <v/>
      </c>
      <c r="T868" s="87"/>
      <c r="U868" s="87"/>
      <c r="V868" s="87"/>
      <c r="W868" s="87"/>
      <c r="X868" s="87"/>
      <c r="Y868" s="87"/>
      <c r="Z868" s="87"/>
      <c r="AA868" s="87"/>
      <c r="AB868" s="87"/>
      <c r="AI868" s="87"/>
      <c r="AJ868" s="87"/>
      <c r="AK868" s="87"/>
      <c r="AL868" s="87"/>
      <c r="AM868" s="87"/>
      <c r="AN868" s="87"/>
      <c r="AO868" s="87"/>
      <c r="AP868" s="87"/>
      <c r="AQ868" s="87"/>
      <c r="AR868" s="87"/>
      <c r="BC868" s="87"/>
      <c r="BD868" s="87"/>
      <c r="BE868" s="87"/>
      <c r="BF868" s="87"/>
      <c r="BG868" s="87"/>
      <c r="BH868" s="87"/>
    </row>
    <row r="869" spans="4:60" x14ac:dyDescent="0.3">
      <c r="D869" s="89"/>
      <c r="E869" s="89"/>
      <c r="F869" s="100" t="str">
        <f t="shared" si="62"/>
        <v/>
      </c>
      <c r="T869" s="87"/>
      <c r="U869" s="87"/>
      <c r="V869" s="87"/>
      <c r="W869" s="87"/>
      <c r="X869" s="87"/>
      <c r="Y869" s="87"/>
      <c r="Z869" s="87"/>
      <c r="AA869" s="87"/>
      <c r="AB869" s="87"/>
      <c r="AI869" s="87"/>
      <c r="AJ869" s="87"/>
      <c r="AK869" s="87"/>
      <c r="AL869" s="87"/>
      <c r="AM869" s="87"/>
      <c r="AN869" s="87"/>
      <c r="AO869" s="87"/>
      <c r="AP869" s="87"/>
      <c r="AQ869" s="87"/>
      <c r="AR869" s="87"/>
      <c r="BC869" s="87"/>
      <c r="BD869" s="87"/>
      <c r="BE869" s="87"/>
      <c r="BF869" s="87"/>
      <c r="BG869" s="87"/>
      <c r="BH869" s="87"/>
    </row>
    <row r="870" spans="4:60" x14ac:dyDescent="0.3">
      <c r="D870" s="89"/>
      <c r="E870" s="89"/>
      <c r="F870" s="100" t="str">
        <f t="shared" si="62"/>
        <v/>
      </c>
      <c r="T870" s="87"/>
      <c r="U870" s="87"/>
      <c r="V870" s="87"/>
      <c r="W870" s="87"/>
      <c r="X870" s="87"/>
      <c r="Y870" s="87"/>
      <c r="Z870" s="87"/>
      <c r="AA870" s="87"/>
      <c r="AB870" s="87"/>
      <c r="AI870" s="87"/>
      <c r="AJ870" s="87"/>
      <c r="AK870" s="87"/>
      <c r="AL870" s="87"/>
      <c r="AM870" s="87"/>
      <c r="AN870" s="87"/>
      <c r="AO870" s="87"/>
      <c r="AP870" s="87"/>
      <c r="AQ870" s="87"/>
      <c r="AR870" s="87"/>
      <c r="BC870" s="87"/>
      <c r="BD870" s="87"/>
      <c r="BE870" s="87"/>
      <c r="BF870" s="87"/>
      <c r="BG870" s="87"/>
      <c r="BH870" s="87"/>
    </row>
    <row r="871" spans="4:60" x14ac:dyDescent="0.3">
      <c r="D871" s="89"/>
      <c r="E871" s="89"/>
      <c r="F871" s="100" t="str">
        <f t="shared" si="62"/>
        <v/>
      </c>
      <c r="T871" s="87"/>
      <c r="U871" s="87"/>
      <c r="V871" s="87"/>
      <c r="W871" s="87"/>
      <c r="X871" s="87"/>
      <c r="Y871" s="87"/>
      <c r="Z871" s="87"/>
      <c r="AA871" s="87"/>
      <c r="AB871" s="87"/>
      <c r="AI871" s="87"/>
      <c r="AJ871" s="87"/>
      <c r="AK871" s="87"/>
      <c r="AL871" s="87"/>
      <c r="AM871" s="87"/>
      <c r="AN871" s="87"/>
      <c r="AO871" s="87"/>
      <c r="AP871" s="87"/>
      <c r="AQ871" s="87"/>
      <c r="AR871" s="87"/>
      <c r="BC871" s="87"/>
      <c r="BD871" s="87"/>
      <c r="BE871" s="87"/>
      <c r="BF871" s="87"/>
      <c r="BG871" s="87"/>
      <c r="BH871" s="87"/>
    </row>
    <row r="872" spans="4:60" x14ac:dyDescent="0.3">
      <c r="D872" s="89"/>
      <c r="E872" s="89"/>
      <c r="F872" s="100" t="str">
        <f t="shared" si="62"/>
        <v/>
      </c>
      <c r="T872" s="87"/>
      <c r="U872" s="87"/>
      <c r="V872" s="87"/>
      <c r="W872" s="87"/>
      <c r="X872" s="87"/>
      <c r="Y872" s="87"/>
      <c r="Z872" s="87"/>
      <c r="AA872" s="87"/>
      <c r="AB872" s="87"/>
      <c r="AI872" s="87"/>
      <c r="AJ872" s="87"/>
      <c r="AK872" s="87"/>
      <c r="AL872" s="87"/>
      <c r="AM872" s="87"/>
      <c r="AN872" s="87"/>
      <c r="AO872" s="87"/>
      <c r="AP872" s="87"/>
      <c r="AQ872" s="87"/>
      <c r="AR872" s="87"/>
      <c r="BC872" s="87"/>
      <c r="BD872" s="87"/>
      <c r="BE872" s="87"/>
      <c r="BF872" s="87"/>
      <c r="BG872" s="87"/>
      <c r="BH872" s="87"/>
    </row>
    <row r="873" spans="4:60" x14ac:dyDescent="0.3">
      <c r="D873" s="89"/>
      <c r="E873" s="89"/>
      <c r="F873" s="100" t="str">
        <f t="shared" si="62"/>
        <v/>
      </c>
      <c r="T873" s="87"/>
      <c r="U873" s="87"/>
      <c r="V873" s="87"/>
      <c r="W873" s="87"/>
      <c r="X873" s="87"/>
      <c r="Y873" s="87"/>
      <c r="Z873" s="87"/>
      <c r="AA873" s="87"/>
      <c r="AB873" s="87"/>
      <c r="AI873" s="87"/>
      <c r="AJ873" s="87"/>
      <c r="AK873" s="87"/>
      <c r="AL873" s="87"/>
      <c r="AM873" s="87"/>
      <c r="AN873" s="87"/>
      <c r="AO873" s="87"/>
      <c r="AP873" s="87"/>
      <c r="AQ873" s="87"/>
      <c r="AR873" s="87"/>
      <c r="BC873" s="87"/>
      <c r="BD873" s="87"/>
      <c r="BE873" s="87"/>
      <c r="BF873" s="87"/>
      <c r="BG873" s="87"/>
      <c r="BH873" s="87"/>
    </row>
    <row r="874" spans="4:60" x14ac:dyDescent="0.3">
      <c r="D874" s="89"/>
      <c r="E874" s="89"/>
      <c r="F874" s="100" t="str">
        <f t="shared" si="62"/>
        <v/>
      </c>
      <c r="T874" s="87"/>
      <c r="U874" s="87"/>
      <c r="V874" s="87"/>
      <c r="W874" s="87"/>
      <c r="X874" s="87"/>
      <c r="Y874" s="87"/>
      <c r="Z874" s="87"/>
      <c r="AA874" s="87"/>
      <c r="AB874" s="87"/>
      <c r="AI874" s="87"/>
      <c r="AJ874" s="87"/>
      <c r="AK874" s="87"/>
      <c r="AL874" s="87"/>
      <c r="AM874" s="87"/>
      <c r="AN874" s="87"/>
      <c r="AO874" s="87"/>
      <c r="AP874" s="87"/>
      <c r="AQ874" s="87"/>
      <c r="AR874" s="87"/>
      <c r="BC874" s="87"/>
      <c r="BD874" s="87"/>
      <c r="BE874" s="87"/>
      <c r="BF874" s="87"/>
      <c r="BG874" s="87"/>
      <c r="BH874" s="87"/>
    </row>
    <row r="875" spans="4:60" x14ac:dyDescent="0.3">
      <c r="D875" s="89"/>
      <c r="E875" s="89"/>
      <c r="F875" s="100" t="str">
        <f t="shared" si="62"/>
        <v/>
      </c>
      <c r="T875" s="87"/>
      <c r="U875" s="87"/>
      <c r="V875" s="87"/>
      <c r="W875" s="87"/>
      <c r="X875" s="87"/>
      <c r="Y875" s="87"/>
      <c r="Z875" s="87"/>
      <c r="AA875" s="87"/>
      <c r="AB875" s="87"/>
      <c r="AI875" s="87"/>
      <c r="AJ875" s="87"/>
      <c r="AK875" s="87"/>
      <c r="AL875" s="87"/>
      <c r="AM875" s="87"/>
      <c r="AN875" s="87"/>
      <c r="AO875" s="87"/>
      <c r="AP875" s="87"/>
      <c r="AQ875" s="87"/>
      <c r="AR875" s="87"/>
      <c r="BC875" s="87"/>
      <c r="BD875" s="87"/>
      <c r="BE875" s="87"/>
      <c r="BF875" s="87"/>
      <c r="BG875" s="87"/>
      <c r="BH875" s="87"/>
    </row>
    <row r="876" spans="4:60" x14ac:dyDescent="0.3">
      <c r="D876" s="89"/>
      <c r="E876" s="89"/>
      <c r="F876" s="100" t="str">
        <f t="shared" si="62"/>
        <v/>
      </c>
      <c r="T876" s="87"/>
      <c r="U876" s="87"/>
      <c r="V876" s="87"/>
      <c r="W876" s="87"/>
      <c r="X876" s="87"/>
      <c r="Y876" s="87"/>
      <c r="Z876" s="87"/>
      <c r="AA876" s="87"/>
      <c r="AB876" s="87"/>
      <c r="AI876" s="87"/>
      <c r="AJ876" s="87"/>
      <c r="AK876" s="87"/>
      <c r="AL876" s="87"/>
      <c r="AM876" s="87"/>
      <c r="AN876" s="87"/>
      <c r="AO876" s="87"/>
      <c r="AP876" s="87"/>
      <c r="AQ876" s="87"/>
      <c r="AR876" s="87"/>
      <c r="BC876" s="87"/>
      <c r="BD876" s="87"/>
      <c r="BE876" s="87"/>
      <c r="BF876" s="87"/>
      <c r="BG876" s="87"/>
      <c r="BH876" s="87"/>
    </row>
    <row r="877" spans="4:60" x14ac:dyDescent="0.3">
      <c r="D877" s="89"/>
      <c r="E877" s="89"/>
      <c r="F877" s="100" t="str">
        <f t="shared" si="62"/>
        <v/>
      </c>
      <c r="T877" s="87"/>
      <c r="U877" s="87"/>
      <c r="V877" s="87"/>
      <c r="W877" s="87"/>
      <c r="X877" s="87"/>
      <c r="Y877" s="87"/>
      <c r="Z877" s="87"/>
      <c r="AA877" s="87"/>
      <c r="AB877" s="87"/>
      <c r="AI877" s="87"/>
      <c r="AJ877" s="87"/>
      <c r="AK877" s="87"/>
      <c r="AL877" s="87"/>
      <c r="AM877" s="87"/>
      <c r="AN877" s="87"/>
      <c r="AO877" s="87"/>
      <c r="AP877" s="87"/>
      <c r="AQ877" s="87"/>
      <c r="AR877" s="87"/>
      <c r="BC877" s="87"/>
      <c r="BD877" s="87"/>
      <c r="BE877" s="87"/>
      <c r="BF877" s="87"/>
      <c r="BG877" s="87"/>
      <c r="BH877" s="87"/>
    </row>
    <row r="878" spans="4:60" x14ac:dyDescent="0.3">
      <c r="D878" s="89"/>
      <c r="E878" s="89"/>
      <c r="F878" s="100" t="str">
        <f t="shared" si="62"/>
        <v/>
      </c>
      <c r="T878" s="87"/>
      <c r="U878" s="87"/>
      <c r="V878" s="87"/>
      <c r="W878" s="87"/>
      <c r="X878" s="87"/>
      <c r="Y878" s="87"/>
      <c r="Z878" s="87"/>
      <c r="AA878" s="87"/>
      <c r="AB878" s="87"/>
      <c r="AI878" s="87"/>
      <c r="AJ878" s="87"/>
      <c r="AK878" s="87"/>
      <c r="AL878" s="87"/>
      <c r="AM878" s="87"/>
      <c r="AN878" s="87"/>
      <c r="AO878" s="87"/>
      <c r="AP878" s="87"/>
      <c r="AQ878" s="87"/>
      <c r="AR878" s="87"/>
      <c r="BC878" s="87"/>
      <c r="BD878" s="87"/>
      <c r="BE878" s="87"/>
      <c r="BF878" s="87"/>
      <c r="BG878" s="87"/>
      <c r="BH878" s="87"/>
    </row>
    <row r="879" spans="4:60" x14ac:dyDescent="0.3">
      <c r="D879" s="89"/>
      <c r="E879" s="89"/>
      <c r="F879" s="100" t="str">
        <f t="shared" si="62"/>
        <v/>
      </c>
      <c r="T879" s="87"/>
      <c r="U879" s="87"/>
      <c r="V879" s="87"/>
      <c r="W879" s="87"/>
      <c r="X879" s="87"/>
      <c r="Y879" s="87"/>
      <c r="Z879" s="87"/>
      <c r="AA879" s="87"/>
      <c r="AB879" s="87"/>
      <c r="AI879" s="87"/>
      <c r="AJ879" s="87"/>
      <c r="AK879" s="87"/>
      <c r="AL879" s="87"/>
      <c r="AM879" s="87"/>
      <c r="AN879" s="87"/>
      <c r="AO879" s="87"/>
      <c r="AP879" s="87"/>
      <c r="AQ879" s="87"/>
      <c r="AR879" s="87"/>
      <c r="BC879" s="87"/>
      <c r="BD879" s="87"/>
      <c r="BE879" s="87"/>
      <c r="BF879" s="87"/>
      <c r="BG879" s="87"/>
      <c r="BH879" s="87"/>
    </row>
    <row r="880" spans="4:60" x14ac:dyDescent="0.3">
      <c r="D880" s="89"/>
      <c r="E880" s="89"/>
      <c r="F880" s="100" t="str">
        <f t="shared" si="62"/>
        <v/>
      </c>
      <c r="T880" s="87"/>
      <c r="U880" s="87"/>
      <c r="V880" s="87"/>
      <c r="W880" s="87"/>
      <c r="X880" s="87"/>
      <c r="Y880" s="87"/>
      <c r="Z880" s="87"/>
      <c r="AA880" s="87"/>
      <c r="AB880" s="87"/>
      <c r="AI880" s="87"/>
      <c r="AJ880" s="87"/>
      <c r="AK880" s="87"/>
      <c r="AL880" s="87"/>
      <c r="AM880" s="87"/>
      <c r="AN880" s="87"/>
      <c r="AO880" s="87"/>
      <c r="AP880" s="87"/>
      <c r="AQ880" s="87"/>
      <c r="AR880" s="87"/>
      <c r="BC880" s="87"/>
      <c r="BD880" s="87"/>
      <c r="BE880" s="87"/>
      <c r="BF880" s="87"/>
      <c r="BG880" s="87"/>
      <c r="BH880" s="87"/>
    </row>
    <row r="881" spans="4:60" x14ac:dyDescent="0.3">
      <c r="D881" s="89"/>
      <c r="E881" s="89"/>
      <c r="F881" s="100" t="str">
        <f t="shared" si="62"/>
        <v/>
      </c>
      <c r="T881" s="87"/>
      <c r="U881" s="87"/>
      <c r="V881" s="87"/>
      <c r="W881" s="87"/>
      <c r="X881" s="87"/>
      <c r="Y881" s="87"/>
      <c r="Z881" s="87"/>
      <c r="AA881" s="87"/>
      <c r="AB881" s="87"/>
      <c r="AI881" s="87"/>
      <c r="AJ881" s="87"/>
      <c r="AK881" s="87"/>
      <c r="AL881" s="87"/>
      <c r="AM881" s="87"/>
      <c r="AN881" s="87"/>
      <c r="AO881" s="87"/>
      <c r="AP881" s="87"/>
      <c r="AQ881" s="87"/>
      <c r="AR881" s="87"/>
      <c r="BC881" s="87"/>
      <c r="BD881" s="87"/>
      <c r="BE881" s="87"/>
      <c r="BF881" s="87"/>
      <c r="BG881" s="87"/>
      <c r="BH881" s="87"/>
    </row>
    <row r="882" spans="4:60" x14ac:dyDescent="0.3">
      <c r="D882" s="89"/>
      <c r="E882" s="89"/>
      <c r="F882" s="100" t="str">
        <f t="shared" si="62"/>
        <v/>
      </c>
      <c r="T882" s="87"/>
      <c r="U882" s="87"/>
      <c r="V882" s="87"/>
      <c r="W882" s="87"/>
      <c r="X882" s="87"/>
      <c r="Y882" s="87"/>
      <c r="Z882" s="87"/>
      <c r="AA882" s="87"/>
      <c r="AB882" s="87"/>
      <c r="AI882" s="87"/>
      <c r="AJ882" s="87"/>
      <c r="AK882" s="87"/>
      <c r="AL882" s="87"/>
      <c r="AM882" s="87"/>
      <c r="AN882" s="87"/>
      <c r="AO882" s="87"/>
      <c r="AP882" s="87"/>
      <c r="AQ882" s="87"/>
      <c r="AR882" s="87"/>
      <c r="BC882" s="87"/>
      <c r="BD882" s="87"/>
      <c r="BE882" s="87"/>
      <c r="BF882" s="87"/>
      <c r="BG882" s="87"/>
      <c r="BH882" s="87"/>
    </row>
    <row r="883" spans="4:60" x14ac:dyDescent="0.3">
      <c r="D883" s="89"/>
      <c r="E883" s="89"/>
      <c r="F883" s="100" t="str">
        <f t="shared" si="62"/>
        <v/>
      </c>
      <c r="T883" s="87"/>
      <c r="U883" s="87"/>
      <c r="V883" s="87"/>
      <c r="W883" s="87"/>
      <c r="X883" s="87"/>
      <c r="Y883" s="87"/>
      <c r="Z883" s="87"/>
      <c r="AA883" s="87"/>
      <c r="AB883" s="87"/>
      <c r="AI883" s="87"/>
      <c r="AJ883" s="87"/>
      <c r="AK883" s="87"/>
      <c r="AL883" s="87"/>
      <c r="AM883" s="87"/>
      <c r="AN883" s="87"/>
      <c r="AO883" s="87"/>
      <c r="AP883" s="87"/>
      <c r="AQ883" s="87"/>
      <c r="AR883" s="87"/>
      <c r="BC883" s="87"/>
      <c r="BD883" s="87"/>
      <c r="BE883" s="87"/>
      <c r="BF883" s="87"/>
      <c r="BG883" s="87"/>
      <c r="BH883" s="87"/>
    </row>
    <row r="884" spans="4:60" x14ac:dyDescent="0.3">
      <c r="D884" s="89"/>
      <c r="E884" s="89"/>
      <c r="F884" s="100" t="str">
        <f t="shared" si="62"/>
        <v/>
      </c>
      <c r="T884" s="87"/>
      <c r="U884" s="87"/>
      <c r="V884" s="87"/>
      <c r="W884" s="87"/>
      <c r="X884" s="87"/>
      <c r="Y884" s="87"/>
      <c r="Z884" s="87"/>
      <c r="AA884" s="87"/>
      <c r="AB884" s="87"/>
      <c r="AI884" s="87"/>
      <c r="AJ884" s="87"/>
      <c r="AK884" s="87"/>
      <c r="AL884" s="87"/>
      <c r="AM884" s="87"/>
      <c r="AN884" s="87"/>
      <c r="AO884" s="87"/>
      <c r="AP884" s="87"/>
      <c r="AQ884" s="87"/>
      <c r="AR884" s="87"/>
      <c r="BC884" s="87"/>
      <c r="BD884" s="87"/>
      <c r="BE884" s="87"/>
      <c r="BF884" s="87"/>
      <c r="BG884" s="87"/>
      <c r="BH884" s="87"/>
    </row>
    <row r="885" spans="4:60" x14ac:dyDescent="0.3">
      <c r="D885" s="89"/>
      <c r="E885" s="89"/>
      <c r="F885" s="100" t="str">
        <f t="shared" si="62"/>
        <v/>
      </c>
      <c r="T885" s="87"/>
      <c r="U885" s="87"/>
      <c r="V885" s="87"/>
      <c r="W885" s="87"/>
      <c r="X885" s="87"/>
      <c r="Y885" s="87"/>
      <c r="Z885" s="87"/>
      <c r="AA885" s="87"/>
      <c r="AB885" s="87"/>
      <c r="AI885" s="87"/>
      <c r="AJ885" s="87"/>
      <c r="AK885" s="87"/>
      <c r="AL885" s="87"/>
      <c r="AM885" s="87"/>
      <c r="AN885" s="87"/>
      <c r="AO885" s="87"/>
      <c r="AP885" s="87"/>
      <c r="AQ885" s="87"/>
      <c r="AR885" s="87"/>
      <c r="BC885" s="87"/>
      <c r="BD885" s="87"/>
      <c r="BE885" s="87"/>
      <c r="BF885" s="87"/>
      <c r="BG885" s="87"/>
      <c r="BH885" s="87"/>
    </row>
    <row r="886" spans="4:60" x14ac:dyDescent="0.3">
      <c r="D886" s="89"/>
      <c r="E886" s="89"/>
      <c r="F886" s="100" t="str">
        <f t="shared" si="62"/>
        <v/>
      </c>
      <c r="T886" s="87"/>
      <c r="U886" s="87"/>
      <c r="V886" s="87"/>
      <c r="W886" s="87"/>
      <c r="X886" s="87"/>
      <c r="Y886" s="87"/>
      <c r="Z886" s="87"/>
      <c r="AA886" s="87"/>
      <c r="AB886" s="87"/>
      <c r="AI886" s="87"/>
      <c r="AJ886" s="87"/>
      <c r="AK886" s="87"/>
      <c r="AL886" s="87"/>
      <c r="AM886" s="87"/>
      <c r="AN886" s="87"/>
      <c r="AO886" s="87"/>
      <c r="AP886" s="87"/>
      <c r="AQ886" s="87"/>
      <c r="AR886" s="87"/>
      <c r="BC886" s="87"/>
      <c r="BD886" s="87"/>
      <c r="BE886" s="87"/>
      <c r="BF886" s="87"/>
      <c r="BG886" s="87"/>
      <c r="BH886" s="87"/>
    </row>
    <row r="887" spans="4:60" x14ac:dyDescent="0.3">
      <c r="D887" s="89"/>
      <c r="E887" s="89"/>
      <c r="F887" s="100" t="str">
        <f t="shared" si="62"/>
        <v/>
      </c>
      <c r="T887" s="87"/>
      <c r="U887" s="87"/>
      <c r="V887" s="87"/>
      <c r="W887" s="87"/>
      <c r="X887" s="87"/>
      <c r="Y887" s="87"/>
      <c r="Z887" s="87"/>
      <c r="AA887" s="87"/>
      <c r="AB887" s="87"/>
      <c r="AI887" s="87"/>
      <c r="AJ887" s="87"/>
      <c r="AK887" s="87"/>
      <c r="AL887" s="87"/>
      <c r="AM887" s="87"/>
      <c r="AN887" s="87"/>
      <c r="AO887" s="87"/>
      <c r="AP887" s="87"/>
      <c r="AQ887" s="87"/>
      <c r="AR887" s="87"/>
      <c r="BC887" s="87"/>
      <c r="BD887" s="87"/>
      <c r="BE887" s="87"/>
      <c r="BF887" s="87"/>
      <c r="BG887" s="87"/>
      <c r="BH887" s="87"/>
    </row>
    <row r="888" spans="4:60" x14ac:dyDescent="0.3">
      <c r="D888" s="89"/>
      <c r="E888" s="89"/>
      <c r="F888" s="100" t="str">
        <f t="shared" si="62"/>
        <v/>
      </c>
      <c r="T888" s="87"/>
      <c r="U888" s="87"/>
      <c r="V888" s="87"/>
      <c r="W888" s="87"/>
      <c r="X888" s="87"/>
      <c r="Y888" s="87"/>
      <c r="Z888" s="87"/>
      <c r="AA888" s="87"/>
      <c r="AB888" s="87"/>
      <c r="AI888" s="87"/>
      <c r="AJ888" s="87"/>
      <c r="AK888" s="87"/>
      <c r="AL888" s="87"/>
      <c r="AM888" s="87"/>
      <c r="AN888" s="87"/>
      <c r="AO888" s="87"/>
      <c r="AP888" s="87"/>
      <c r="AQ888" s="87"/>
      <c r="AR888" s="87"/>
      <c r="BC888" s="87"/>
      <c r="BD888" s="87"/>
      <c r="BE888" s="87"/>
      <c r="BF888" s="87"/>
      <c r="BG888" s="87"/>
      <c r="BH888" s="87"/>
    </row>
    <row r="889" spans="4:60" x14ac:dyDescent="0.3">
      <c r="D889" s="89"/>
      <c r="E889" s="89"/>
      <c r="F889" s="100" t="str">
        <f t="shared" si="62"/>
        <v/>
      </c>
      <c r="T889" s="87"/>
      <c r="U889" s="87"/>
      <c r="V889" s="87"/>
      <c r="W889" s="87"/>
      <c r="X889" s="87"/>
      <c r="Y889" s="87"/>
      <c r="Z889" s="87"/>
      <c r="AA889" s="87"/>
      <c r="AB889" s="87"/>
      <c r="AI889" s="87"/>
      <c r="AJ889" s="87"/>
      <c r="AK889" s="87"/>
      <c r="AL889" s="87"/>
      <c r="AM889" s="87"/>
      <c r="AN889" s="87"/>
      <c r="AO889" s="87"/>
      <c r="AP889" s="87"/>
      <c r="AQ889" s="87"/>
      <c r="AR889" s="87"/>
      <c r="BC889" s="87"/>
      <c r="BD889" s="87"/>
      <c r="BE889" s="87"/>
      <c r="BF889" s="87"/>
      <c r="BG889" s="87"/>
      <c r="BH889" s="87"/>
    </row>
    <row r="890" spans="4:60" x14ac:dyDescent="0.3">
      <c r="D890" s="89"/>
      <c r="E890" s="89"/>
      <c r="F890" s="100" t="str">
        <f t="shared" si="62"/>
        <v/>
      </c>
      <c r="T890" s="87"/>
      <c r="U890" s="87"/>
      <c r="V890" s="87"/>
      <c r="W890" s="87"/>
      <c r="X890" s="87"/>
      <c r="Y890" s="87"/>
      <c r="Z890" s="87"/>
      <c r="AA890" s="87"/>
      <c r="AB890" s="87"/>
      <c r="AI890" s="87"/>
      <c r="AJ890" s="87"/>
      <c r="AK890" s="87"/>
      <c r="AL890" s="87"/>
      <c r="AM890" s="87"/>
      <c r="AN890" s="87"/>
      <c r="AO890" s="87"/>
      <c r="AP890" s="87"/>
      <c r="AQ890" s="87"/>
      <c r="AR890" s="87"/>
      <c r="BC890" s="87"/>
      <c r="BD890" s="87"/>
      <c r="BE890" s="87"/>
      <c r="BF890" s="87"/>
      <c r="BG890" s="87"/>
      <c r="BH890" s="87"/>
    </row>
    <row r="891" spans="4:60" x14ac:dyDescent="0.3">
      <c r="D891" s="89"/>
      <c r="E891" s="89"/>
      <c r="F891" s="100" t="str">
        <f t="shared" si="62"/>
        <v/>
      </c>
      <c r="T891" s="87"/>
      <c r="U891" s="87"/>
      <c r="V891" s="87"/>
      <c r="W891" s="87"/>
      <c r="X891" s="87"/>
      <c r="Y891" s="87"/>
      <c r="Z891" s="87"/>
      <c r="AA891" s="87"/>
      <c r="AB891" s="87"/>
      <c r="AI891" s="87"/>
      <c r="AJ891" s="87"/>
      <c r="AK891" s="87"/>
      <c r="AL891" s="87"/>
      <c r="AM891" s="87"/>
      <c r="AN891" s="87"/>
      <c r="AO891" s="87"/>
      <c r="AP891" s="87"/>
      <c r="AQ891" s="87"/>
      <c r="AR891" s="87"/>
      <c r="BC891" s="87"/>
      <c r="BD891" s="87"/>
      <c r="BE891" s="87"/>
      <c r="BF891" s="87"/>
      <c r="BG891" s="87"/>
      <c r="BH891" s="87"/>
    </row>
    <row r="892" spans="4:60" x14ac:dyDescent="0.3">
      <c r="D892" s="89"/>
      <c r="E892" s="89"/>
      <c r="F892" s="100" t="str">
        <f t="shared" si="62"/>
        <v/>
      </c>
      <c r="T892" s="87"/>
      <c r="U892" s="87"/>
      <c r="V892" s="87"/>
      <c r="W892" s="87"/>
      <c r="X892" s="87"/>
      <c r="Y892" s="87"/>
      <c r="Z892" s="87"/>
      <c r="AA892" s="87"/>
      <c r="AB892" s="87"/>
      <c r="AI892" s="87"/>
      <c r="AJ892" s="87"/>
      <c r="AK892" s="87"/>
      <c r="AL892" s="87"/>
      <c r="AM892" s="87"/>
      <c r="AN892" s="87"/>
      <c r="AO892" s="87"/>
      <c r="AP892" s="87"/>
      <c r="AQ892" s="87"/>
      <c r="AR892" s="87"/>
      <c r="BC892" s="87"/>
      <c r="BD892" s="87"/>
      <c r="BE892" s="87"/>
      <c r="BF892" s="87"/>
      <c r="BG892" s="87"/>
      <c r="BH892" s="87"/>
    </row>
    <row r="893" spans="4:60" x14ac:dyDescent="0.3">
      <c r="D893" s="89"/>
      <c r="E893" s="89"/>
      <c r="F893" s="100" t="str">
        <f t="shared" si="62"/>
        <v/>
      </c>
      <c r="T893" s="87"/>
      <c r="U893" s="87"/>
      <c r="V893" s="87"/>
      <c r="W893" s="87"/>
      <c r="X893" s="87"/>
      <c r="Y893" s="87"/>
      <c r="Z893" s="87"/>
      <c r="AA893" s="87"/>
      <c r="AB893" s="87"/>
      <c r="AI893" s="87"/>
      <c r="AJ893" s="87"/>
      <c r="AK893" s="87"/>
      <c r="AL893" s="87"/>
      <c r="AM893" s="87"/>
      <c r="AN893" s="87"/>
      <c r="AO893" s="87"/>
      <c r="AP893" s="87"/>
      <c r="AQ893" s="87"/>
      <c r="AR893" s="87"/>
      <c r="BC893" s="87"/>
      <c r="BD893" s="87"/>
      <c r="BE893" s="87"/>
      <c r="BF893" s="87"/>
      <c r="BG893" s="87"/>
      <c r="BH893" s="87"/>
    </row>
    <row r="894" spans="4:60" x14ac:dyDescent="0.3">
      <c r="D894" s="89"/>
      <c r="E894" s="89"/>
      <c r="F894" s="100" t="str">
        <f t="shared" si="62"/>
        <v/>
      </c>
      <c r="T894" s="87"/>
      <c r="U894" s="87"/>
      <c r="V894" s="87"/>
      <c r="W894" s="87"/>
      <c r="X894" s="87"/>
      <c r="Y894" s="87"/>
      <c r="Z894" s="87"/>
      <c r="AA894" s="87"/>
      <c r="AB894" s="87"/>
      <c r="AI894" s="87"/>
      <c r="AJ894" s="87"/>
      <c r="AK894" s="87"/>
      <c r="AL894" s="87"/>
      <c r="AM894" s="87"/>
      <c r="AN894" s="87"/>
      <c r="AO894" s="87"/>
      <c r="AP894" s="87"/>
      <c r="AQ894" s="87"/>
      <c r="AR894" s="87"/>
      <c r="BC894" s="87"/>
      <c r="BD894" s="87"/>
      <c r="BE894" s="87"/>
      <c r="BF894" s="87"/>
      <c r="BG894" s="87"/>
      <c r="BH894" s="87"/>
    </row>
    <row r="895" spans="4:60" x14ac:dyDescent="0.3">
      <c r="D895" s="89"/>
      <c r="E895" s="89"/>
      <c r="F895" s="100" t="str">
        <f t="shared" si="62"/>
        <v/>
      </c>
      <c r="T895" s="87"/>
      <c r="U895" s="87"/>
      <c r="V895" s="87"/>
      <c r="W895" s="87"/>
      <c r="X895" s="87"/>
      <c r="Y895" s="87"/>
      <c r="Z895" s="87"/>
      <c r="AA895" s="87"/>
      <c r="AB895" s="87"/>
      <c r="AI895" s="87"/>
      <c r="AJ895" s="87"/>
      <c r="AK895" s="87"/>
      <c r="AL895" s="87"/>
      <c r="AM895" s="87"/>
      <c r="AN895" s="87"/>
      <c r="AO895" s="87"/>
      <c r="AP895" s="87"/>
      <c r="AQ895" s="87"/>
      <c r="AR895" s="87"/>
      <c r="BC895" s="87"/>
      <c r="BD895" s="87"/>
      <c r="BE895" s="87"/>
      <c r="BF895" s="87"/>
      <c r="BG895" s="87"/>
      <c r="BH895" s="87"/>
    </row>
    <row r="896" spans="4:60" x14ac:dyDescent="0.3">
      <c r="D896" s="89"/>
      <c r="E896" s="89"/>
      <c r="F896" s="100" t="str">
        <f t="shared" si="62"/>
        <v/>
      </c>
      <c r="T896" s="87"/>
      <c r="U896" s="87"/>
      <c r="V896" s="87"/>
      <c r="W896" s="87"/>
      <c r="X896" s="87"/>
      <c r="Y896" s="87"/>
      <c r="Z896" s="87"/>
      <c r="AA896" s="87"/>
      <c r="AB896" s="87"/>
      <c r="AI896" s="87"/>
      <c r="AJ896" s="87"/>
      <c r="AK896" s="87"/>
      <c r="AL896" s="87"/>
      <c r="AM896" s="87"/>
      <c r="AN896" s="87"/>
      <c r="AO896" s="87"/>
      <c r="AP896" s="87"/>
      <c r="AQ896" s="87"/>
      <c r="AR896" s="87"/>
      <c r="BC896" s="87"/>
      <c r="BD896" s="87"/>
      <c r="BE896" s="87"/>
      <c r="BF896" s="87"/>
      <c r="BG896" s="87"/>
      <c r="BH896" s="87"/>
    </row>
    <row r="897" spans="4:60" x14ac:dyDescent="0.3">
      <c r="D897" s="89"/>
      <c r="E897" s="89"/>
      <c r="F897" s="100" t="str">
        <f t="shared" si="62"/>
        <v/>
      </c>
      <c r="T897" s="87"/>
      <c r="U897" s="87"/>
      <c r="V897" s="87"/>
      <c r="W897" s="87"/>
      <c r="X897" s="87"/>
      <c r="Y897" s="87"/>
      <c r="Z897" s="87"/>
      <c r="AA897" s="87"/>
      <c r="AB897" s="87"/>
      <c r="AI897" s="87"/>
      <c r="AJ897" s="87"/>
      <c r="AK897" s="87"/>
      <c r="AL897" s="87"/>
      <c r="AM897" s="87"/>
      <c r="AN897" s="87"/>
      <c r="AO897" s="87"/>
      <c r="AP897" s="87"/>
      <c r="AQ897" s="87"/>
      <c r="AR897" s="87"/>
      <c r="BC897" s="87"/>
      <c r="BD897" s="87"/>
      <c r="BE897" s="87"/>
      <c r="BF897" s="87"/>
      <c r="BG897" s="87"/>
      <c r="BH897" s="87"/>
    </row>
    <row r="898" spans="4:60" x14ac:dyDescent="0.3">
      <c r="D898" s="89"/>
      <c r="E898" s="89"/>
      <c r="F898" s="100" t="str">
        <f t="shared" si="62"/>
        <v/>
      </c>
      <c r="T898" s="87"/>
      <c r="U898" s="87"/>
      <c r="V898" s="87"/>
      <c r="W898" s="87"/>
      <c r="X898" s="87"/>
      <c r="Y898" s="87"/>
      <c r="Z898" s="87"/>
      <c r="AA898" s="87"/>
      <c r="AB898" s="87"/>
      <c r="AI898" s="87"/>
      <c r="AJ898" s="87"/>
      <c r="AK898" s="87"/>
      <c r="AL898" s="87"/>
      <c r="AM898" s="87"/>
      <c r="AN898" s="87"/>
      <c r="AO898" s="87"/>
      <c r="AP898" s="87"/>
      <c r="AQ898" s="87"/>
      <c r="AR898" s="87"/>
      <c r="BC898" s="87"/>
      <c r="BD898" s="87"/>
      <c r="BE898" s="87"/>
      <c r="BF898" s="87"/>
      <c r="BG898" s="87"/>
      <c r="BH898" s="87"/>
    </row>
    <row r="899" spans="4:60" x14ac:dyDescent="0.3">
      <c r="D899" s="89"/>
      <c r="E899" s="89"/>
      <c r="F899" s="100" t="str">
        <f t="shared" si="62"/>
        <v/>
      </c>
      <c r="T899" s="87"/>
      <c r="U899" s="87"/>
      <c r="V899" s="87"/>
      <c r="W899" s="87"/>
      <c r="X899" s="87"/>
      <c r="Y899" s="87"/>
      <c r="Z899" s="87"/>
      <c r="AA899" s="87"/>
      <c r="AB899" s="87"/>
      <c r="AI899" s="87"/>
      <c r="AJ899" s="87"/>
      <c r="AK899" s="87"/>
      <c r="AL899" s="87"/>
      <c r="AM899" s="87"/>
      <c r="AN899" s="87"/>
      <c r="AO899" s="87"/>
      <c r="AP899" s="87"/>
      <c r="AQ899" s="87"/>
      <c r="AR899" s="87"/>
      <c r="BC899" s="87"/>
      <c r="BD899" s="87"/>
      <c r="BE899" s="87"/>
      <c r="BF899" s="87"/>
      <c r="BG899" s="87"/>
      <c r="BH899" s="87"/>
    </row>
    <row r="900" spans="4:60" x14ac:dyDescent="0.3">
      <c r="D900" s="89"/>
      <c r="E900" s="89"/>
      <c r="F900" s="100" t="str">
        <f t="shared" ref="F900:F916" si="63">IF(AND(E900="",D900=""),"",IF(AND(E900="",D900&lt;&gt;""),F899,E900))</f>
        <v/>
      </c>
      <c r="T900" s="87"/>
      <c r="U900" s="87"/>
      <c r="V900" s="87"/>
      <c r="W900" s="87"/>
      <c r="X900" s="87"/>
      <c r="Y900" s="87"/>
      <c r="Z900" s="87"/>
      <c r="AA900" s="87"/>
      <c r="AB900" s="87"/>
      <c r="AI900" s="87"/>
      <c r="AJ900" s="87"/>
      <c r="AK900" s="87"/>
      <c r="AL900" s="87"/>
      <c r="AM900" s="87"/>
      <c r="AN900" s="87"/>
      <c r="AO900" s="87"/>
      <c r="AP900" s="87"/>
      <c r="AQ900" s="87"/>
      <c r="AR900" s="87"/>
      <c r="BC900" s="87"/>
      <c r="BD900" s="87"/>
      <c r="BE900" s="87"/>
      <c r="BF900" s="87"/>
      <c r="BG900" s="87"/>
      <c r="BH900" s="87"/>
    </row>
    <row r="901" spans="4:60" x14ac:dyDescent="0.3">
      <c r="D901" s="89"/>
      <c r="E901" s="89"/>
      <c r="F901" s="100" t="str">
        <f t="shared" si="63"/>
        <v/>
      </c>
      <c r="T901" s="87"/>
      <c r="U901" s="87"/>
      <c r="V901" s="87"/>
      <c r="W901" s="87"/>
      <c r="X901" s="87"/>
      <c r="Y901" s="87"/>
      <c r="Z901" s="87"/>
      <c r="AA901" s="87"/>
      <c r="AB901" s="87"/>
      <c r="AI901" s="87"/>
      <c r="AJ901" s="87"/>
      <c r="AK901" s="87"/>
      <c r="AL901" s="87"/>
      <c r="AM901" s="87"/>
      <c r="AN901" s="87"/>
      <c r="AO901" s="87"/>
      <c r="AP901" s="87"/>
      <c r="AQ901" s="87"/>
      <c r="AR901" s="87"/>
      <c r="BC901" s="87"/>
      <c r="BD901" s="87"/>
      <c r="BE901" s="87"/>
      <c r="BF901" s="87"/>
      <c r="BG901" s="87"/>
      <c r="BH901" s="87"/>
    </row>
    <row r="902" spans="4:60" x14ac:dyDescent="0.3">
      <c r="D902" s="89"/>
      <c r="E902" s="89"/>
      <c r="F902" s="100" t="str">
        <f t="shared" si="63"/>
        <v/>
      </c>
      <c r="T902" s="87"/>
      <c r="U902" s="87"/>
      <c r="V902" s="87"/>
      <c r="W902" s="87"/>
      <c r="X902" s="87"/>
      <c r="Y902" s="87"/>
      <c r="Z902" s="87"/>
      <c r="AA902" s="87"/>
      <c r="AB902" s="87"/>
      <c r="AI902" s="87"/>
      <c r="AJ902" s="87"/>
      <c r="AK902" s="87"/>
      <c r="AL902" s="87"/>
      <c r="AM902" s="87"/>
      <c r="AN902" s="87"/>
      <c r="AO902" s="87"/>
      <c r="AP902" s="87"/>
      <c r="AQ902" s="87"/>
      <c r="AR902" s="87"/>
      <c r="BC902" s="87"/>
      <c r="BD902" s="87"/>
      <c r="BE902" s="87"/>
      <c r="BF902" s="87"/>
      <c r="BG902" s="87"/>
      <c r="BH902" s="87"/>
    </row>
    <row r="903" spans="4:60" x14ac:dyDescent="0.3">
      <c r="D903" s="89"/>
      <c r="E903" s="89"/>
      <c r="F903" s="100" t="str">
        <f t="shared" si="63"/>
        <v/>
      </c>
      <c r="T903" s="87"/>
      <c r="U903" s="87"/>
      <c r="V903" s="87"/>
      <c r="W903" s="87"/>
      <c r="X903" s="87"/>
      <c r="Y903" s="87"/>
      <c r="Z903" s="87"/>
      <c r="AA903" s="87"/>
      <c r="AB903" s="87"/>
      <c r="AI903" s="87"/>
      <c r="AJ903" s="87"/>
      <c r="AK903" s="87"/>
      <c r="AL903" s="87"/>
      <c r="AM903" s="87"/>
      <c r="AN903" s="87"/>
      <c r="AO903" s="87"/>
      <c r="AP903" s="87"/>
      <c r="AQ903" s="87"/>
      <c r="AR903" s="87"/>
      <c r="BC903" s="87"/>
      <c r="BD903" s="87"/>
      <c r="BE903" s="87"/>
      <c r="BF903" s="87"/>
      <c r="BG903" s="87"/>
      <c r="BH903" s="87"/>
    </row>
    <row r="904" spans="4:60" x14ac:dyDescent="0.3">
      <c r="D904" s="89"/>
      <c r="E904" s="89"/>
      <c r="F904" s="100" t="str">
        <f t="shared" si="63"/>
        <v/>
      </c>
      <c r="T904" s="87"/>
      <c r="U904" s="87"/>
      <c r="V904" s="87"/>
      <c r="W904" s="87"/>
      <c r="X904" s="87"/>
      <c r="Y904" s="87"/>
      <c r="Z904" s="87"/>
      <c r="AA904" s="87"/>
      <c r="AB904" s="87"/>
      <c r="AI904" s="87"/>
      <c r="AJ904" s="87"/>
      <c r="AK904" s="87"/>
      <c r="AL904" s="87"/>
      <c r="AM904" s="87"/>
      <c r="AN904" s="87"/>
      <c r="AO904" s="87"/>
      <c r="AP904" s="87"/>
      <c r="AQ904" s="87"/>
      <c r="AR904" s="87"/>
      <c r="BC904" s="87"/>
      <c r="BD904" s="87"/>
      <c r="BE904" s="87"/>
      <c r="BF904" s="87"/>
      <c r="BG904" s="87"/>
      <c r="BH904" s="87"/>
    </row>
    <row r="905" spans="4:60" x14ac:dyDescent="0.3">
      <c r="D905" s="89"/>
      <c r="E905" s="89"/>
      <c r="F905" s="100" t="str">
        <f t="shared" si="63"/>
        <v/>
      </c>
      <c r="T905" s="87"/>
      <c r="U905" s="87"/>
      <c r="V905" s="87"/>
      <c r="W905" s="87"/>
      <c r="X905" s="87"/>
      <c r="Y905" s="87"/>
      <c r="Z905" s="87"/>
      <c r="AA905" s="87"/>
      <c r="AB905" s="87"/>
      <c r="AI905" s="87"/>
      <c r="AJ905" s="87"/>
      <c r="AK905" s="87"/>
      <c r="AL905" s="87"/>
      <c r="AM905" s="87"/>
      <c r="AN905" s="87"/>
      <c r="AO905" s="87"/>
      <c r="AP905" s="87"/>
      <c r="AQ905" s="87"/>
      <c r="AR905" s="87"/>
      <c r="BC905" s="87"/>
      <c r="BD905" s="87"/>
      <c r="BE905" s="87"/>
      <c r="BF905" s="87"/>
      <c r="BG905" s="87"/>
      <c r="BH905" s="87"/>
    </row>
    <row r="906" spans="4:60" x14ac:dyDescent="0.3">
      <c r="D906" s="89"/>
      <c r="E906" s="89"/>
      <c r="F906" s="100" t="str">
        <f t="shared" si="63"/>
        <v/>
      </c>
      <c r="T906" s="87"/>
      <c r="U906" s="87"/>
      <c r="V906" s="87"/>
      <c r="W906" s="87"/>
      <c r="X906" s="87"/>
      <c r="Y906" s="87"/>
      <c r="Z906" s="87"/>
      <c r="AA906" s="87"/>
      <c r="AB906" s="87"/>
      <c r="AI906" s="87"/>
      <c r="AJ906" s="87"/>
      <c r="AK906" s="87"/>
      <c r="AL906" s="87"/>
      <c r="AM906" s="87"/>
      <c r="AN906" s="87"/>
      <c r="AO906" s="87"/>
      <c r="AP906" s="87"/>
      <c r="AQ906" s="87"/>
      <c r="AR906" s="87"/>
      <c r="BC906" s="87"/>
      <c r="BD906" s="87"/>
      <c r="BE906" s="87"/>
      <c r="BF906" s="87"/>
      <c r="BG906" s="87"/>
      <c r="BH906" s="87"/>
    </row>
    <row r="907" spans="4:60" x14ac:dyDescent="0.3">
      <c r="D907" s="89"/>
      <c r="E907" s="89"/>
      <c r="F907" s="100" t="str">
        <f t="shared" si="63"/>
        <v/>
      </c>
      <c r="T907" s="87"/>
      <c r="U907" s="87"/>
      <c r="V907" s="87"/>
      <c r="W907" s="87"/>
      <c r="X907" s="87"/>
      <c r="Y907" s="87"/>
      <c r="Z907" s="87"/>
      <c r="AA907" s="87"/>
      <c r="AB907" s="87"/>
      <c r="AI907" s="87"/>
      <c r="AJ907" s="87"/>
      <c r="AK907" s="87"/>
      <c r="AL907" s="87"/>
      <c r="AM907" s="87"/>
      <c r="AN907" s="87"/>
      <c r="AO907" s="87"/>
      <c r="AP907" s="87"/>
      <c r="AQ907" s="87"/>
      <c r="AR907" s="87"/>
      <c r="BC907" s="87"/>
      <c r="BD907" s="87"/>
      <c r="BE907" s="87"/>
      <c r="BF907" s="87"/>
      <c r="BG907" s="87"/>
      <c r="BH907" s="87"/>
    </row>
    <row r="908" spans="4:60" x14ac:dyDescent="0.3">
      <c r="D908" s="89"/>
      <c r="E908" s="89"/>
      <c r="F908" s="100" t="str">
        <f t="shared" si="63"/>
        <v/>
      </c>
      <c r="T908" s="87"/>
      <c r="U908" s="87"/>
      <c r="V908" s="87"/>
      <c r="W908" s="87"/>
      <c r="X908" s="87"/>
      <c r="Y908" s="87"/>
      <c r="Z908" s="87"/>
      <c r="AA908" s="87"/>
      <c r="AB908" s="87"/>
      <c r="AI908" s="87"/>
      <c r="AJ908" s="87"/>
      <c r="AK908" s="87"/>
      <c r="AL908" s="87"/>
      <c r="AM908" s="87"/>
      <c r="AN908" s="87"/>
      <c r="AO908" s="87"/>
      <c r="AP908" s="87"/>
      <c r="AQ908" s="87"/>
      <c r="AR908" s="87"/>
      <c r="BC908" s="87"/>
      <c r="BD908" s="87"/>
      <c r="BE908" s="87"/>
      <c r="BF908" s="87"/>
      <c r="BG908" s="87"/>
      <c r="BH908" s="87"/>
    </row>
    <row r="909" spans="4:60" x14ac:dyDescent="0.3">
      <c r="D909" s="89"/>
      <c r="E909" s="89"/>
      <c r="F909" s="100" t="str">
        <f t="shared" si="63"/>
        <v/>
      </c>
      <c r="T909" s="87"/>
      <c r="U909" s="87"/>
      <c r="V909" s="87"/>
      <c r="W909" s="87"/>
      <c r="X909" s="87"/>
      <c r="Y909" s="87"/>
      <c r="Z909" s="87"/>
      <c r="AA909" s="87"/>
      <c r="AB909" s="87"/>
      <c r="AI909" s="87"/>
      <c r="AJ909" s="87"/>
      <c r="AK909" s="87"/>
      <c r="AL909" s="87"/>
      <c r="AM909" s="87"/>
      <c r="AN909" s="87"/>
      <c r="AO909" s="87"/>
      <c r="AP909" s="87"/>
      <c r="AQ909" s="87"/>
      <c r="AR909" s="87"/>
      <c r="BC909" s="87"/>
      <c r="BD909" s="87"/>
      <c r="BE909" s="87"/>
      <c r="BF909" s="87"/>
      <c r="BG909" s="87"/>
      <c r="BH909" s="87"/>
    </row>
    <row r="910" spans="4:60" x14ac:dyDescent="0.3">
      <c r="D910" s="89"/>
      <c r="E910" s="89"/>
      <c r="F910" s="100" t="str">
        <f t="shared" si="63"/>
        <v/>
      </c>
      <c r="T910" s="87"/>
      <c r="U910" s="87"/>
      <c r="V910" s="87"/>
      <c r="W910" s="87"/>
      <c r="X910" s="87"/>
      <c r="Y910" s="87"/>
      <c r="Z910" s="87"/>
      <c r="AA910" s="87"/>
      <c r="AB910" s="87"/>
      <c r="AI910" s="87"/>
      <c r="AJ910" s="87"/>
      <c r="AK910" s="87"/>
      <c r="AL910" s="87"/>
      <c r="AM910" s="87"/>
      <c r="AN910" s="87"/>
      <c r="AO910" s="87"/>
      <c r="AP910" s="87"/>
      <c r="AQ910" s="87"/>
      <c r="AR910" s="87"/>
      <c r="BC910" s="87"/>
      <c r="BD910" s="87"/>
      <c r="BE910" s="87"/>
      <c r="BF910" s="87"/>
      <c r="BG910" s="87"/>
      <c r="BH910" s="87"/>
    </row>
    <row r="911" spans="4:60" x14ac:dyDescent="0.3">
      <c r="D911" s="89"/>
      <c r="E911" s="89"/>
      <c r="F911" s="100" t="str">
        <f t="shared" si="63"/>
        <v/>
      </c>
      <c r="T911" s="87"/>
      <c r="U911" s="87"/>
      <c r="V911" s="87"/>
      <c r="W911" s="87"/>
      <c r="X911" s="87"/>
      <c r="Y911" s="87"/>
      <c r="Z911" s="87"/>
      <c r="AA911" s="87"/>
      <c r="AB911" s="87"/>
      <c r="AI911" s="87"/>
      <c r="AJ911" s="87"/>
      <c r="AK911" s="87"/>
      <c r="AL911" s="87"/>
      <c r="AM911" s="87"/>
      <c r="AN911" s="87"/>
      <c r="AO911" s="87"/>
      <c r="AP911" s="87"/>
      <c r="AQ911" s="87"/>
      <c r="AR911" s="87"/>
      <c r="BC911" s="87"/>
      <c r="BD911" s="87"/>
      <c r="BE911" s="87"/>
      <c r="BF911" s="87"/>
      <c r="BG911" s="87"/>
      <c r="BH911" s="87"/>
    </row>
    <row r="912" spans="4:60" x14ac:dyDescent="0.3">
      <c r="D912" s="89"/>
      <c r="E912" s="89"/>
      <c r="F912" s="100" t="str">
        <f t="shared" si="63"/>
        <v/>
      </c>
      <c r="T912" s="87"/>
      <c r="U912" s="87"/>
      <c r="V912" s="87"/>
      <c r="W912" s="87"/>
      <c r="X912" s="87"/>
      <c r="Y912" s="87"/>
      <c r="Z912" s="87"/>
      <c r="AA912" s="87"/>
      <c r="AB912" s="87"/>
      <c r="AI912" s="87"/>
      <c r="AJ912" s="87"/>
      <c r="AK912" s="87"/>
      <c r="AL912" s="87"/>
      <c r="AM912" s="87"/>
      <c r="AN912" s="87"/>
      <c r="AO912" s="87"/>
      <c r="AP912" s="87"/>
      <c r="AQ912" s="87"/>
      <c r="AR912" s="87"/>
      <c r="BC912" s="87"/>
      <c r="BD912" s="87"/>
      <c r="BE912" s="87"/>
      <c r="BF912" s="87"/>
      <c r="BG912" s="87"/>
      <c r="BH912" s="87"/>
    </row>
    <row r="913" spans="4:60" x14ac:dyDescent="0.3">
      <c r="D913" s="89"/>
      <c r="E913" s="89"/>
      <c r="F913" s="100" t="str">
        <f t="shared" si="63"/>
        <v/>
      </c>
      <c r="T913" s="87"/>
      <c r="U913" s="87"/>
      <c r="V913" s="87"/>
      <c r="W913" s="87"/>
      <c r="X913" s="87"/>
      <c r="Y913" s="87"/>
      <c r="Z913" s="87"/>
      <c r="AA913" s="87"/>
      <c r="AB913" s="87"/>
      <c r="AI913" s="87"/>
      <c r="AJ913" s="87"/>
      <c r="AK913" s="87"/>
      <c r="AL913" s="87"/>
      <c r="AM913" s="87"/>
      <c r="AN913" s="87"/>
      <c r="AO913" s="87"/>
      <c r="AP913" s="87"/>
      <c r="AQ913" s="87"/>
      <c r="AR913" s="87"/>
      <c r="BC913" s="87"/>
      <c r="BD913" s="87"/>
      <c r="BE913" s="87"/>
      <c r="BF913" s="87"/>
      <c r="BG913" s="87"/>
      <c r="BH913" s="87"/>
    </row>
    <row r="914" spans="4:60" x14ac:dyDescent="0.3">
      <c r="D914" s="89"/>
      <c r="E914" s="89"/>
      <c r="F914" s="100" t="str">
        <f t="shared" si="63"/>
        <v/>
      </c>
      <c r="T914" s="87"/>
      <c r="U914" s="87"/>
      <c r="V914" s="87"/>
      <c r="W914" s="87"/>
      <c r="X914" s="87"/>
      <c r="Y914" s="87"/>
      <c r="Z914" s="87"/>
      <c r="AA914" s="87"/>
      <c r="AB914" s="87"/>
      <c r="AI914" s="87"/>
      <c r="AJ914" s="87"/>
      <c r="AK914" s="87"/>
      <c r="AL914" s="87"/>
      <c r="AM914" s="87"/>
      <c r="AN914" s="87"/>
      <c r="AO914" s="87"/>
      <c r="AP914" s="87"/>
      <c r="AQ914" s="87"/>
      <c r="AR914" s="87"/>
      <c r="BC914" s="87"/>
      <c r="BD914" s="87"/>
      <c r="BE914" s="87"/>
      <c r="BF914" s="87"/>
      <c r="BG914" s="87"/>
      <c r="BH914" s="87"/>
    </row>
    <row r="915" spans="4:60" x14ac:dyDescent="0.3">
      <c r="D915" s="89"/>
      <c r="E915" s="89"/>
      <c r="F915" s="100" t="str">
        <f t="shared" si="63"/>
        <v/>
      </c>
      <c r="T915" s="87"/>
      <c r="U915" s="87"/>
      <c r="V915" s="87"/>
      <c r="W915" s="87"/>
      <c r="X915" s="87"/>
      <c r="Y915" s="87"/>
      <c r="Z915" s="87"/>
      <c r="AA915" s="87"/>
      <c r="AB915" s="87"/>
      <c r="AI915" s="87"/>
      <c r="AJ915" s="87"/>
      <c r="AK915" s="87"/>
      <c r="AL915" s="87"/>
      <c r="AM915" s="87"/>
      <c r="AN915" s="87"/>
      <c r="AO915" s="87"/>
      <c r="AP915" s="87"/>
      <c r="AQ915" s="87"/>
      <c r="AR915" s="87"/>
      <c r="BC915" s="87"/>
      <c r="BD915" s="87"/>
      <c r="BE915" s="87"/>
      <c r="BF915" s="87"/>
      <c r="BG915" s="87"/>
      <c r="BH915" s="87"/>
    </row>
    <row r="916" spans="4:60" x14ac:dyDescent="0.3">
      <c r="D916" s="89"/>
      <c r="E916" s="89"/>
      <c r="F916" s="100" t="str">
        <f t="shared" si="63"/>
        <v/>
      </c>
      <c r="T916" s="87"/>
      <c r="U916" s="87"/>
      <c r="V916" s="87"/>
      <c r="W916" s="87"/>
      <c r="X916" s="87"/>
      <c r="Y916" s="87"/>
      <c r="Z916" s="87"/>
      <c r="AA916" s="87"/>
      <c r="AB916" s="87"/>
      <c r="AI916" s="87"/>
      <c r="AJ916" s="87"/>
      <c r="AK916" s="87"/>
      <c r="AL916" s="87"/>
      <c r="AM916" s="87"/>
      <c r="AN916" s="87"/>
      <c r="AO916" s="87"/>
      <c r="AP916" s="87"/>
      <c r="AQ916" s="87"/>
      <c r="AR916" s="87"/>
      <c r="BC916" s="87"/>
      <c r="BD916" s="87"/>
      <c r="BE916" s="87"/>
      <c r="BF916" s="87"/>
      <c r="BG916" s="87"/>
      <c r="BH916" s="87"/>
    </row>
    <row r="917" spans="4:60" x14ac:dyDescent="0.3">
      <c r="D917" s="87"/>
      <c r="E917" s="87"/>
      <c r="F917" s="87"/>
      <c r="T917" s="87"/>
      <c r="U917" s="87"/>
      <c r="V917" s="87"/>
      <c r="W917" s="87"/>
      <c r="X917" s="87"/>
      <c r="Y917" s="87"/>
      <c r="Z917" s="87"/>
      <c r="AA917" s="87"/>
      <c r="AB917" s="87"/>
      <c r="AI917" s="87"/>
      <c r="AJ917" s="87"/>
      <c r="AK917" s="87"/>
      <c r="AL917" s="87"/>
      <c r="AM917" s="87"/>
      <c r="AN917" s="87"/>
      <c r="AO917" s="87"/>
      <c r="AP917" s="87"/>
      <c r="AQ917" s="87"/>
      <c r="AR917" s="87"/>
      <c r="BC917" s="87"/>
      <c r="BD917" s="87"/>
      <c r="BE917" s="87"/>
      <c r="BF917" s="87"/>
      <c r="BG917" s="87"/>
      <c r="BH917" s="87"/>
    </row>
    <row r="918" spans="4:60" x14ac:dyDescent="0.3">
      <c r="D918" s="87"/>
      <c r="E918" s="87"/>
      <c r="F918" s="87"/>
      <c r="T918" s="87"/>
      <c r="U918" s="87"/>
      <c r="V918" s="87"/>
      <c r="W918" s="87"/>
      <c r="X918" s="87"/>
      <c r="Y918" s="87"/>
      <c r="Z918" s="87"/>
      <c r="AA918" s="87"/>
      <c r="AB918" s="87"/>
      <c r="AI918" s="87"/>
      <c r="AJ918" s="87"/>
      <c r="AK918" s="87"/>
      <c r="AL918" s="87"/>
      <c r="AM918" s="87"/>
      <c r="AN918" s="87"/>
      <c r="AO918" s="87"/>
      <c r="AP918" s="87"/>
      <c r="AQ918" s="87"/>
      <c r="AR918" s="87"/>
      <c r="BC918" s="87"/>
      <c r="BD918" s="87"/>
      <c r="BE918" s="87"/>
      <c r="BF918" s="87"/>
      <c r="BG918" s="87"/>
      <c r="BH918" s="87"/>
    </row>
    <row r="919" spans="4:60" x14ac:dyDescent="0.3">
      <c r="D919" s="87"/>
      <c r="E919" s="87"/>
      <c r="F919" s="87"/>
      <c r="T919" s="87"/>
      <c r="U919" s="87"/>
      <c r="V919" s="87"/>
      <c r="W919" s="87"/>
      <c r="X919" s="87"/>
      <c r="Y919" s="87"/>
      <c r="Z919" s="87"/>
      <c r="AA919" s="87"/>
      <c r="AB919" s="87"/>
      <c r="AI919" s="87"/>
      <c r="AJ919" s="87"/>
      <c r="AK919" s="87"/>
      <c r="AL919" s="87"/>
      <c r="AM919" s="87"/>
      <c r="AN919" s="87"/>
      <c r="AO919" s="87"/>
      <c r="AP919" s="87"/>
      <c r="AQ919" s="87"/>
      <c r="AR919" s="87"/>
      <c r="BC919" s="87"/>
      <c r="BD919" s="87"/>
      <c r="BE919" s="87"/>
      <c r="BF919" s="87"/>
      <c r="BG919" s="87"/>
      <c r="BH919" s="87"/>
    </row>
    <row r="920" spans="4:60" x14ac:dyDescent="0.3">
      <c r="D920" s="87"/>
      <c r="E920" s="87"/>
      <c r="F920" s="87"/>
      <c r="T920" s="87"/>
      <c r="U920" s="87"/>
      <c r="V920" s="87"/>
      <c r="W920" s="87"/>
      <c r="X920" s="87"/>
      <c r="Y920" s="87"/>
      <c r="Z920" s="87"/>
      <c r="AA920" s="87"/>
      <c r="AB920" s="87"/>
      <c r="AI920" s="87"/>
      <c r="AJ920" s="87"/>
      <c r="AK920" s="87"/>
      <c r="AL920" s="87"/>
      <c r="AM920" s="87"/>
      <c r="AN920" s="87"/>
      <c r="AO920" s="87"/>
      <c r="AP920" s="87"/>
      <c r="AQ920" s="87"/>
      <c r="AR920" s="87"/>
      <c r="BC920" s="87"/>
      <c r="BD920" s="87"/>
      <c r="BE920" s="87"/>
      <c r="BF920" s="87"/>
      <c r="BG920" s="87"/>
      <c r="BH920" s="87"/>
    </row>
    <row r="921" spans="4:60" x14ac:dyDescent="0.3">
      <c r="D921" s="87"/>
      <c r="E921" s="87"/>
      <c r="F921" s="87"/>
      <c r="T921" s="87"/>
      <c r="U921" s="87"/>
      <c r="V921" s="87"/>
      <c r="W921" s="87"/>
      <c r="X921" s="87"/>
      <c r="Y921" s="87"/>
      <c r="Z921" s="87"/>
      <c r="AA921" s="87"/>
      <c r="AB921" s="87"/>
      <c r="AI921" s="87"/>
      <c r="AJ921" s="87"/>
      <c r="AK921" s="87"/>
      <c r="AL921" s="87"/>
      <c r="AM921" s="87"/>
      <c r="AN921" s="87"/>
      <c r="AO921" s="87"/>
      <c r="AP921" s="87"/>
      <c r="AQ921" s="87"/>
      <c r="AR921" s="87"/>
      <c r="BC921" s="87"/>
      <c r="BD921" s="87"/>
      <c r="BE921" s="87"/>
      <c r="BF921" s="87"/>
      <c r="BG921" s="87"/>
      <c r="BH921" s="87"/>
    </row>
    <row r="922" spans="4:60" x14ac:dyDescent="0.3">
      <c r="D922" s="87"/>
      <c r="E922" s="87"/>
      <c r="F922" s="87"/>
      <c r="T922" s="87"/>
      <c r="U922" s="87"/>
      <c r="V922" s="87"/>
      <c r="W922" s="87"/>
      <c r="X922" s="87"/>
      <c r="Y922" s="87"/>
      <c r="Z922" s="87"/>
      <c r="AA922" s="87"/>
      <c r="AB922" s="87"/>
      <c r="AI922" s="87"/>
      <c r="AJ922" s="87"/>
      <c r="AK922" s="87"/>
      <c r="AL922" s="87"/>
      <c r="AM922" s="87"/>
      <c r="AN922" s="87"/>
      <c r="AO922" s="87"/>
      <c r="AP922" s="87"/>
      <c r="AQ922" s="87"/>
      <c r="AR922" s="87"/>
      <c r="BC922" s="87"/>
      <c r="BD922" s="87"/>
      <c r="BE922" s="87"/>
      <c r="BF922" s="87"/>
      <c r="BG922" s="87"/>
      <c r="BH922" s="87"/>
    </row>
    <row r="923" spans="4:60" x14ac:dyDescent="0.3">
      <c r="D923" s="87"/>
      <c r="E923" s="87"/>
      <c r="F923" s="87"/>
      <c r="T923" s="87"/>
      <c r="U923" s="87"/>
      <c r="V923" s="87"/>
      <c r="W923" s="87"/>
      <c r="X923" s="87"/>
      <c r="Y923" s="87"/>
      <c r="Z923" s="87"/>
      <c r="AA923" s="87"/>
      <c r="AB923" s="87"/>
      <c r="AI923" s="87"/>
      <c r="AJ923" s="87"/>
      <c r="AK923" s="87"/>
      <c r="AL923" s="87"/>
      <c r="AM923" s="87"/>
      <c r="AN923" s="87"/>
      <c r="AO923" s="87"/>
      <c r="AP923" s="87"/>
      <c r="AQ923" s="87"/>
      <c r="AR923" s="87"/>
      <c r="BC923" s="87"/>
      <c r="BD923" s="87"/>
      <c r="BE923" s="87"/>
      <c r="BF923" s="87"/>
      <c r="BG923" s="87"/>
      <c r="BH923" s="87"/>
    </row>
    <row r="924" spans="4:60" x14ac:dyDescent="0.3">
      <c r="D924" s="87"/>
      <c r="E924" s="87"/>
      <c r="F924" s="87"/>
      <c r="T924" s="87"/>
      <c r="U924" s="87"/>
      <c r="V924" s="87"/>
      <c r="W924" s="87"/>
      <c r="X924" s="87"/>
      <c r="Y924" s="87"/>
      <c r="Z924" s="87"/>
      <c r="AA924" s="87"/>
      <c r="AB924" s="87"/>
      <c r="AI924" s="87"/>
      <c r="AJ924" s="87"/>
      <c r="AK924" s="87"/>
      <c r="AL924" s="87"/>
      <c r="AM924" s="87"/>
      <c r="AN924" s="87"/>
      <c r="AO924" s="87"/>
      <c r="AP924" s="87"/>
      <c r="AQ924" s="87"/>
      <c r="AR924" s="87"/>
      <c r="BC924" s="87"/>
      <c r="BD924" s="87"/>
      <c r="BE924" s="87"/>
      <c r="BF924" s="87"/>
      <c r="BG924" s="87"/>
      <c r="BH924" s="87"/>
    </row>
    <row r="925" spans="4:60" x14ac:dyDescent="0.3">
      <c r="D925" s="87"/>
      <c r="E925" s="87"/>
      <c r="F925" s="87"/>
      <c r="T925" s="87"/>
      <c r="U925" s="87"/>
      <c r="V925" s="87"/>
      <c r="W925" s="87"/>
      <c r="X925" s="87"/>
      <c r="Y925" s="87"/>
      <c r="Z925" s="87"/>
      <c r="AA925" s="87"/>
      <c r="AB925" s="87"/>
      <c r="AI925" s="87"/>
      <c r="AJ925" s="87"/>
      <c r="AK925" s="87"/>
      <c r="AL925" s="87"/>
      <c r="AM925" s="87"/>
      <c r="AN925" s="87"/>
      <c r="AO925" s="87"/>
      <c r="AP925" s="87"/>
      <c r="AQ925" s="87"/>
      <c r="AR925" s="87"/>
      <c r="BC925" s="87"/>
      <c r="BD925" s="87"/>
      <c r="BE925" s="87"/>
      <c r="BF925" s="87"/>
      <c r="BG925" s="87"/>
      <c r="BH925" s="87"/>
    </row>
    <row r="926" spans="4:60" x14ac:dyDescent="0.3">
      <c r="D926" s="87"/>
      <c r="E926" s="87"/>
      <c r="F926" s="87"/>
      <c r="T926" s="87"/>
      <c r="U926" s="87"/>
      <c r="V926" s="87"/>
      <c r="W926" s="87"/>
      <c r="X926" s="87"/>
      <c r="Y926" s="87"/>
      <c r="Z926" s="87"/>
      <c r="AA926" s="87"/>
      <c r="AB926" s="87"/>
      <c r="AI926" s="87"/>
      <c r="AJ926" s="87"/>
      <c r="AK926" s="87"/>
      <c r="AL926" s="87"/>
      <c r="AM926" s="87"/>
      <c r="AN926" s="87"/>
      <c r="AO926" s="87"/>
      <c r="AP926" s="87"/>
      <c r="AQ926" s="87"/>
      <c r="AR926" s="87"/>
      <c r="BC926" s="87"/>
      <c r="BD926" s="87"/>
      <c r="BE926" s="87"/>
      <c r="BF926" s="87"/>
      <c r="BG926" s="87"/>
      <c r="BH926" s="87"/>
    </row>
    <row r="927" spans="4:60" x14ac:dyDescent="0.3">
      <c r="D927" s="87"/>
      <c r="E927" s="87"/>
      <c r="F927" s="87"/>
      <c r="T927" s="87"/>
      <c r="U927" s="87"/>
      <c r="V927" s="87"/>
      <c r="W927" s="87"/>
      <c r="X927" s="87"/>
      <c r="Y927" s="87"/>
      <c r="Z927" s="87"/>
      <c r="AA927" s="87"/>
      <c r="AB927" s="87"/>
      <c r="AI927" s="87"/>
      <c r="AJ927" s="87"/>
      <c r="AK927" s="87"/>
      <c r="AL927" s="87"/>
      <c r="AM927" s="87"/>
      <c r="AN927" s="87"/>
      <c r="AO927" s="87"/>
      <c r="AP927" s="87"/>
      <c r="AQ927" s="87"/>
      <c r="AR927" s="87"/>
      <c r="BC927" s="87"/>
      <c r="BD927" s="87"/>
      <c r="BE927" s="87"/>
      <c r="BF927" s="87"/>
      <c r="BG927" s="87"/>
      <c r="BH927" s="87"/>
    </row>
    <row r="928" spans="4:60" x14ac:dyDescent="0.3">
      <c r="D928" s="87"/>
      <c r="E928" s="87"/>
      <c r="F928" s="87"/>
      <c r="T928" s="87"/>
      <c r="U928" s="87"/>
      <c r="V928" s="87"/>
      <c r="W928" s="87"/>
      <c r="X928" s="87"/>
      <c r="Y928" s="87"/>
      <c r="Z928" s="87"/>
      <c r="AA928" s="87"/>
      <c r="AB928" s="87"/>
      <c r="AI928" s="87"/>
      <c r="AJ928" s="87"/>
      <c r="AK928" s="87"/>
      <c r="AL928" s="87"/>
      <c r="AM928" s="87"/>
      <c r="AN928" s="87"/>
      <c r="AO928" s="87"/>
      <c r="AP928" s="87"/>
      <c r="AQ928" s="87"/>
      <c r="AR928" s="87"/>
      <c r="BC928" s="87"/>
      <c r="BD928" s="87"/>
      <c r="BE928" s="87"/>
      <c r="BF928" s="87"/>
      <c r="BG928" s="87"/>
      <c r="BH928" s="87"/>
    </row>
    <row r="929" spans="4:60" x14ac:dyDescent="0.3">
      <c r="D929" s="87"/>
      <c r="E929" s="87"/>
      <c r="F929" s="87"/>
      <c r="T929" s="87"/>
      <c r="U929" s="87"/>
      <c r="V929" s="87"/>
      <c r="W929" s="87"/>
      <c r="X929" s="87"/>
      <c r="Y929" s="87"/>
      <c r="Z929" s="87"/>
      <c r="AA929" s="87"/>
      <c r="AB929" s="87"/>
      <c r="AI929" s="87"/>
      <c r="AJ929" s="87"/>
      <c r="AK929" s="87"/>
      <c r="AL929" s="87"/>
      <c r="AM929" s="87"/>
      <c r="AN929" s="87"/>
      <c r="AO929" s="87"/>
      <c r="AP929" s="87"/>
      <c r="AQ929" s="87"/>
      <c r="AR929" s="87"/>
      <c r="BC929" s="87"/>
      <c r="BD929" s="87"/>
      <c r="BE929" s="87"/>
      <c r="BF929" s="87"/>
      <c r="BG929" s="87"/>
      <c r="BH929" s="87"/>
    </row>
    <row r="930" spans="4:60" x14ac:dyDescent="0.3">
      <c r="D930" s="87"/>
      <c r="E930" s="87"/>
      <c r="F930" s="87"/>
      <c r="T930" s="87"/>
      <c r="U930" s="87"/>
      <c r="V930" s="87"/>
      <c r="W930" s="87"/>
      <c r="X930" s="87"/>
      <c r="Y930" s="87"/>
      <c r="Z930" s="87"/>
      <c r="AA930" s="87"/>
      <c r="AB930" s="87"/>
      <c r="AI930" s="87"/>
      <c r="AJ930" s="87"/>
      <c r="AK930" s="87"/>
      <c r="AL930" s="87"/>
      <c r="AM930" s="87"/>
      <c r="AN930" s="87"/>
      <c r="AO930" s="87"/>
      <c r="AP930" s="87"/>
      <c r="AQ930" s="87"/>
      <c r="AR930" s="87"/>
      <c r="BC930" s="87"/>
      <c r="BD930" s="87"/>
      <c r="BE930" s="87"/>
      <c r="BF930" s="87"/>
      <c r="BG930" s="87"/>
      <c r="BH930" s="87"/>
    </row>
    <row r="931" spans="4:60" x14ac:dyDescent="0.3">
      <c r="D931" s="87"/>
      <c r="E931" s="87"/>
      <c r="F931" s="87"/>
      <c r="T931" s="87"/>
      <c r="U931" s="87"/>
      <c r="V931" s="87"/>
      <c r="W931" s="87"/>
      <c r="X931" s="87"/>
      <c r="Y931" s="87"/>
      <c r="Z931" s="87"/>
      <c r="AA931" s="87"/>
      <c r="AB931" s="87"/>
      <c r="AI931" s="87"/>
      <c r="AJ931" s="87"/>
      <c r="AK931" s="87"/>
      <c r="AL931" s="87"/>
      <c r="AM931" s="87"/>
      <c r="AN931" s="87"/>
      <c r="AO931" s="87"/>
      <c r="AP931" s="87"/>
      <c r="AQ931" s="87"/>
      <c r="AR931" s="87"/>
      <c r="BC931" s="87"/>
      <c r="BD931" s="87"/>
      <c r="BE931" s="87"/>
      <c r="BF931" s="87"/>
      <c r="BG931" s="87"/>
      <c r="BH931" s="87"/>
    </row>
    <row r="932" spans="4:60" x14ac:dyDescent="0.3">
      <c r="D932" s="87"/>
      <c r="E932" s="87"/>
      <c r="F932" s="87"/>
      <c r="T932" s="87"/>
      <c r="U932" s="87"/>
      <c r="V932" s="87"/>
      <c r="W932" s="87"/>
      <c r="X932" s="87"/>
      <c r="Y932" s="87"/>
      <c r="Z932" s="87"/>
      <c r="AA932" s="87"/>
      <c r="AB932" s="87"/>
      <c r="AI932" s="87"/>
      <c r="AJ932" s="87"/>
      <c r="AK932" s="87"/>
      <c r="AL932" s="87"/>
      <c r="AM932" s="87"/>
      <c r="AN932" s="87"/>
      <c r="AO932" s="87"/>
      <c r="AP932" s="87"/>
      <c r="AQ932" s="87"/>
      <c r="AR932" s="87"/>
      <c r="BC932" s="87"/>
      <c r="BD932" s="87"/>
      <c r="BE932" s="87"/>
      <c r="BF932" s="87"/>
      <c r="BG932" s="87"/>
      <c r="BH932" s="87"/>
    </row>
    <row r="933" spans="4:60" x14ac:dyDescent="0.3">
      <c r="D933" s="87"/>
      <c r="E933" s="87"/>
      <c r="F933" s="87"/>
      <c r="T933" s="87"/>
      <c r="U933" s="87"/>
      <c r="V933" s="87"/>
      <c r="W933" s="87"/>
      <c r="X933" s="87"/>
      <c r="Y933" s="87"/>
      <c r="Z933" s="87"/>
      <c r="AA933" s="87"/>
      <c r="AB933" s="87"/>
      <c r="AI933" s="87"/>
      <c r="AJ933" s="87"/>
      <c r="AK933" s="87"/>
      <c r="AL933" s="87"/>
      <c r="AM933" s="87"/>
      <c r="AN933" s="87"/>
      <c r="AO933" s="87"/>
      <c r="AP933" s="87"/>
      <c r="AQ933" s="87"/>
      <c r="AR933" s="87"/>
      <c r="BC933" s="87"/>
      <c r="BD933" s="87"/>
      <c r="BE933" s="87"/>
      <c r="BF933" s="87"/>
      <c r="BG933" s="87"/>
      <c r="BH933" s="87"/>
    </row>
    <row r="934" spans="4:60" x14ac:dyDescent="0.3">
      <c r="D934" s="87"/>
      <c r="E934" s="87"/>
      <c r="F934" s="87"/>
      <c r="T934" s="87"/>
      <c r="U934" s="87"/>
      <c r="V934" s="87"/>
      <c r="W934" s="87"/>
      <c r="X934" s="87"/>
      <c r="Y934" s="87"/>
      <c r="Z934" s="87"/>
      <c r="AA934" s="87"/>
      <c r="AB934" s="87"/>
      <c r="AI934" s="87"/>
      <c r="AJ934" s="87"/>
      <c r="AK934" s="87"/>
      <c r="AL934" s="87"/>
      <c r="AM934" s="87"/>
      <c r="AN934" s="87"/>
      <c r="AO934" s="87"/>
      <c r="AP934" s="87"/>
      <c r="AQ934" s="87"/>
      <c r="AR934" s="87"/>
      <c r="BC934" s="87"/>
      <c r="BD934" s="87"/>
      <c r="BE934" s="87"/>
      <c r="BF934" s="87"/>
      <c r="BG934" s="87"/>
      <c r="BH934" s="87"/>
    </row>
    <row r="935" spans="4:60" x14ac:dyDescent="0.3">
      <c r="D935" s="87"/>
      <c r="E935" s="87"/>
      <c r="F935" s="87"/>
      <c r="T935" s="87"/>
      <c r="U935" s="87"/>
      <c r="V935" s="87"/>
      <c r="W935" s="87"/>
      <c r="X935" s="87"/>
      <c r="Y935" s="87"/>
      <c r="Z935" s="87"/>
      <c r="AA935" s="87"/>
      <c r="AB935" s="87"/>
      <c r="AI935" s="87"/>
      <c r="AJ935" s="87"/>
      <c r="AK935" s="87"/>
      <c r="AL935" s="87"/>
      <c r="AM935" s="87"/>
      <c r="AN935" s="87"/>
      <c r="AO935" s="87"/>
      <c r="AP935" s="87"/>
      <c r="AQ935" s="87"/>
      <c r="AR935" s="87"/>
      <c r="BC935" s="87"/>
      <c r="BD935" s="87"/>
      <c r="BE935" s="87"/>
      <c r="BF935" s="87"/>
      <c r="BG935" s="87"/>
      <c r="BH935" s="87"/>
    </row>
    <row r="936" spans="4:60" x14ac:dyDescent="0.3">
      <c r="D936" s="87"/>
      <c r="E936" s="87"/>
      <c r="F936" s="87"/>
      <c r="T936" s="87"/>
      <c r="U936" s="87"/>
      <c r="V936" s="87"/>
      <c r="W936" s="87"/>
      <c r="X936" s="87"/>
      <c r="Y936" s="87"/>
      <c r="Z936" s="87"/>
      <c r="AA936" s="87"/>
      <c r="AB936" s="87"/>
      <c r="AI936" s="87"/>
      <c r="AJ936" s="87"/>
      <c r="AK936" s="87"/>
      <c r="AL936" s="87"/>
      <c r="AM936" s="87"/>
      <c r="AN936" s="87"/>
      <c r="AO936" s="87"/>
      <c r="AP936" s="87"/>
      <c r="AQ936" s="87"/>
      <c r="AR936" s="87"/>
      <c r="BC936" s="87"/>
      <c r="BD936" s="87"/>
      <c r="BE936" s="87"/>
      <c r="BF936" s="87"/>
      <c r="BG936" s="87"/>
      <c r="BH936" s="87"/>
    </row>
    <row r="937" spans="4:60" x14ac:dyDescent="0.3">
      <c r="D937" s="87"/>
      <c r="E937" s="87"/>
      <c r="F937" s="87"/>
      <c r="T937" s="87"/>
      <c r="U937" s="87"/>
      <c r="V937" s="87"/>
      <c r="W937" s="87"/>
      <c r="X937" s="87"/>
      <c r="Y937" s="87"/>
      <c r="Z937" s="87"/>
      <c r="AA937" s="87"/>
      <c r="AB937" s="87"/>
      <c r="AI937" s="87"/>
      <c r="AJ937" s="87"/>
      <c r="AK937" s="87"/>
      <c r="AL937" s="87"/>
      <c r="AM937" s="87"/>
      <c r="AN937" s="87"/>
      <c r="AO937" s="87"/>
      <c r="AP937" s="87"/>
      <c r="AQ937" s="87"/>
      <c r="AR937" s="87"/>
      <c r="BC937" s="87"/>
      <c r="BD937" s="87"/>
      <c r="BE937" s="87"/>
      <c r="BF937" s="87"/>
      <c r="BG937" s="87"/>
      <c r="BH937" s="87"/>
    </row>
    <row r="938" spans="4:60" x14ac:dyDescent="0.3">
      <c r="D938" s="87"/>
      <c r="E938" s="87"/>
      <c r="F938" s="87"/>
      <c r="T938" s="87"/>
      <c r="U938" s="87"/>
      <c r="V938" s="87"/>
      <c r="W938" s="87"/>
      <c r="X938" s="87"/>
      <c r="Y938" s="87"/>
      <c r="Z938" s="87"/>
      <c r="AA938" s="87"/>
      <c r="AB938" s="87"/>
      <c r="AI938" s="87"/>
      <c r="AJ938" s="87"/>
      <c r="AK938" s="87"/>
      <c r="AL938" s="87"/>
      <c r="AM938" s="87"/>
      <c r="AN938" s="87"/>
      <c r="AO938" s="87"/>
      <c r="AP938" s="87"/>
      <c r="AQ938" s="87"/>
      <c r="AR938" s="87"/>
      <c r="BC938" s="87"/>
      <c r="BD938" s="87"/>
      <c r="BE938" s="87"/>
      <c r="BF938" s="87"/>
      <c r="BG938" s="87"/>
      <c r="BH938" s="87"/>
    </row>
    <row r="939" spans="4:60" x14ac:dyDescent="0.3">
      <c r="D939" s="87"/>
      <c r="E939" s="87"/>
      <c r="F939" s="87"/>
      <c r="T939" s="87"/>
      <c r="U939" s="87"/>
      <c r="V939" s="87"/>
      <c r="W939" s="87"/>
      <c r="X939" s="87"/>
      <c r="Y939" s="87"/>
      <c r="Z939" s="87"/>
      <c r="AA939" s="87"/>
      <c r="AB939" s="87"/>
      <c r="AI939" s="87"/>
      <c r="AJ939" s="87"/>
      <c r="AK939" s="87"/>
      <c r="AL939" s="87"/>
      <c r="AM939" s="87"/>
      <c r="AN939" s="87"/>
      <c r="AO939" s="87"/>
      <c r="AP939" s="87"/>
      <c r="AQ939" s="87"/>
      <c r="AR939" s="87"/>
      <c r="BC939" s="87"/>
      <c r="BD939" s="87"/>
      <c r="BE939" s="87"/>
      <c r="BF939" s="87"/>
      <c r="BG939" s="87"/>
      <c r="BH939" s="87"/>
    </row>
    <row r="940" spans="4:60" x14ac:dyDescent="0.3">
      <c r="D940" s="87"/>
      <c r="E940" s="87"/>
      <c r="F940" s="87"/>
      <c r="T940" s="87"/>
      <c r="U940" s="87"/>
      <c r="V940" s="87"/>
      <c r="W940" s="87"/>
      <c r="X940" s="87"/>
      <c r="Y940" s="87"/>
      <c r="Z940" s="87"/>
      <c r="AA940" s="87"/>
      <c r="AB940" s="87"/>
      <c r="AI940" s="87"/>
      <c r="AJ940" s="87"/>
      <c r="AK940" s="87"/>
      <c r="AL940" s="87"/>
      <c r="AM940" s="87"/>
      <c r="AN940" s="87"/>
      <c r="AO940" s="87"/>
      <c r="AP940" s="87"/>
      <c r="AQ940" s="87"/>
      <c r="AR940" s="87"/>
      <c r="BC940" s="87"/>
      <c r="BD940" s="87"/>
      <c r="BE940" s="87"/>
      <c r="BF940" s="87"/>
      <c r="BG940" s="87"/>
      <c r="BH940" s="87"/>
    </row>
    <row r="941" spans="4:60" x14ac:dyDescent="0.3">
      <c r="D941" s="87"/>
      <c r="E941" s="87"/>
      <c r="F941" s="87"/>
      <c r="T941" s="87"/>
      <c r="U941" s="87"/>
      <c r="V941" s="87"/>
      <c r="W941" s="87"/>
      <c r="X941" s="87"/>
      <c r="Y941" s="87"/>
      <c r="Z941" s="87"/>
      <c r="AA941" s="87"/>
      <c r="AB941" s="87"/>
      <c r="AI941" s="87"/>
      <c r="AJ941" s="87"/>
      <c r="AK941" s="87"/>
      <c r="AL941" s="87"/>
      <c r="AM941" s="87"/>
      <c r="AN941" s="87"/>
      <c r="AO941" s="87"/>
      <c r="AP941" s="87"/>
      <c r="AQ941" s="87"/>
      <c r="AR941" s="87"/>
      <c r="BC941" s="87"/>
      <c r="BD941" s="87"/>
      <c r="BE941" s="87"/>
      <c r="BF941" s="87"/>
      <c r="BG941" s="87"/>
      <c r="BH941" s="87"/>
    </row>
    <row r="942" spans="4:60" x14ac:dyDescent="0.3">
      <c r="D942" s="87"/>
      <c r="E942" s="87"/>
      <c r="F942" s="87"/>
      <c r="T942" s="87"/>
      <c r="U942" s="87"/>
      <c r="V942" s="87"/>
      <c r="W942" s="87"/>
      <c r="X942" s="87"/>
      <c r="Y942" s="87"/>
      <c r="Z942" s="87"/>
      <c r="AA942" s="87"/>
      <c r="AB942" s="87"/>
      <c r="AI942" s="87"/>
      <c r="AJ942" s="87"/>
      <c r="AK942" s="87"/>
      <c r="AL942" s="87"/>
      <c r="AM942" s="87"/>
      <c r="AN942" s="87"/>
      <c r="AO942" s="87"/>
      <c r="AP942" s="87"/>
      <c r="AQ942" s="87"/>
      <c r="AR942" s="87"/>
      <c r="BC942" s="87"/>
      <c r="BD942" s="87"/>
      <c r="BE942" s="87"/>
      <c r="BF942" s="87"/>
      <c r="BG942" s="87"/>
      <c r="BH942" s="87"/>
    </row>
    <row r="943" spans="4:60" x14ac:dyDescent="0.3">
      <c r="D943" s="87"/>
      <c r="E943" s="87"/>
      <c r="F943" s="87"/>
      <c r="T943" s="87"/>
      <c r="U943" s="87"/>
      <c r="V943" s="87"/>
      <c r="W943" s="87"/>
      <c r="X943" s="87"/>
      <c r="Y943" s="87"/>
      <c r="Z943" s="87"/>
      <c r="AA943" s="87"/>
      <c r="AB943" s="87"/>
      <c r="AI943" s="87"/>
      <c r="AJ943" s="87"/>
      <c r="AK943" s="87"/>
      <c r="AL943" s="87"/>
      <c r="AM943" s="87"/>
      <c r="AN943" s="87"/>
      <c r="AO943" s="87"/>
      <c r="AP943" s="87"/>
      <c r="AQ943" s="87"/>
      <c r="AR943" s="87"/>
      <c r="BC943" s="87"/>
      <c r="BD943" s="87"/>
      <c r="BE943" s="87"/>
      <c r="BF943" s="87"/>
      <c r="BG943" s="87"/>
      <c r="BH943" s="87"/>
    </row>
    <row r="944" spans="4:60" x14ac:dyDescent="0.3">
      <c r="D944" s="87"/>
      <c r="E944" s="87"/>
      <c r="F944" s="87"/>
      <c r="T944" s="87"/>
      <c r="U944" s="87"/>
      <c r="V944" s="87"/>
      <c r="W944" s="87"/>
      <c r="X944" s="87"/>
      <c r="Y944" s="87"/>
      <c r="Z944" s="87"/>
      <c r="AA944" s="87"/>
      <c r="AB944" s="87"/>
      <c r="AI944" s="87"/>
      <c r="AJ944" s="87"/>
      <c r="AK944" s="87"/>
      <c r="AL944" s="87"/>
      <c r="AM944" s="87"/>
      <c r="AN944" s="87"/>
      <c r="AO944" s="87"/>
      <c r="AP944" s="87"/>
      <c r="AQ944" s="87"/>
      <c r="AR944" s="87"/>
      <c r="BC944" s="87"/>
      <c r="BD944" s="87"/>
      <c r="BE944" s="87"/>
      <c r="BF944" s="87"/>
      <c r="BG944" s="87"/>
      <c r="BH944" s="87"/>
    </row>
    <row r="945" spans="4:60" x14ac:dyDescent="0.3">
      <c r="D945" s="87"/>
      <c r="E945" s="87"/>
      <c r="F945" s="87"/>
      <c r="T945" s="87"/>
      <c r="U945" s="87"/>
      <c r="V945" s="87"/>
      <c r="W945" s="87"/>
      <c r="X945" s="87"/>
      <c r="Y945" s="87"/>
      <c r="Z945" s="87"/>
      <c r="AA945" s="87"/>
      <c r="AB945" s="87"/>
      <c r="AI945" s="87"/>
      <c r="AJ945" s="87"/>
      <c r="AK945" s="87"/>
      <c r="AL945" s="87"/>
      <c r="AM945" s="87"/>
      <c r="AN945" s="87"/>
      <c r="AO945" s="87"/>
      <c r="AP945" s="87"/>
      <c r="AQ945" s="87"/>
      <c r="AR945" s="87"/>
      <c r="BC945" s="87"/>
      <c r="BD945" s="87"/>
      <c r="BE945" s="87"/>
      <c r="BF945" s="87"/>
      <c r="BG945" s="87"/>
      <c r="BH945" s="87"/>
    </row>
    <row r="946" spans="4:60" x14ac:dyDescent="0.3">
      <c r="D946" s="87"/>
      <c r="E946" s="87"/>
      <c r="F946" s="87"/>
      <c r="T946" s="87"/>
      <c r="U946" s="87"/>
      <c r="V946" s="87"/>
      <c r="W946" s="87"/>
      <c r="X946" s="87"/>
      <c r="Y946" s="87"/>
      <c r="Z946" s="87"/>
      <c r="AA946" s="87"/>
      <c r="AB946" s="87"/>
      <c r="AI946" s="87"/>
      <c r="AJ946" s="87"/>
      <c r="AK946" s="87"/>
      <c r="AL946" s="87"/>
      <c r="AM946" s="87"/>
      <c r="AN946" s="87"/>
      <c r="AO946" s="87"/>
      <c r="AP946" s="87"/>
      <c r="AQ946" s="87"/>
      <c r="AR946" s="87"/>
      <c r="BC946" s="87"/>
      <c r="BD946" s="87"/>
      <c r="BE946" s="87"/>
      <c r="BF946" s="87"/>
      <c r="BG946" s="87"/>
      <c r="BH946" s="87"/>
    </row>
    <row r="947" spans="4:60" x14ac:dyDescent="0.3">
      <c r="D947" s="87"/>
      <c r="E947" s="87"/>
      <c r="F947" s="87"/>
      <c r="T947" s="87"/>
      <c r="U947" s="87"/>
      <c r="V947" s="87"/>
      <c r="W947" s="87"/>
      <c r="X947" s="87"/>
      <c r="Y947" s="87"/>
      <c r="Z947" s="87"/>
      <c r="AA947" s="87"/>
      <c r="AB947" s="87"/>
      <c r="AI947" s="87"/>
      <c r="AJ947" s="87"/>
      <c r="AK947" s="87"/>
      <c r="AL947" s="87"/>
      <c r="AM947" s="87"/>
      <c r="AN947" s="87"/>
      <c r="AO947" s="87"/>
      <c r="AP947" s="87"/>
      <c r="AQ947" s="87"/>
      <c r="AR947" s="87"/>
      <c r="BC947" s="87"/>
      <c r="BD947" s="87"/>
      <c r="BE947" s="87"/>
      <c r="BF947" s="87"/>
      <c r="BG947" s="87"/>
      <c r="BH947" s="87"/>
    </row>
    <row r="948" spans="4:60" x14ac:dyDescent="0.3">
      <c r="D948" s="87"/>
      <c r="E948" s="87"/>
      <c r="F948" s="87"/>
      <c r="T948" s="87"/>
      <c r="U948" s="87"/>
      <c r="V948" s="87"/>
      <c r="W948" s="87"/>
      <c r="X948" s="87"/>
      <c r="Y948" s="87"/>
      <c r="Z948" s="87"/>
      <c r="AA948" s="87"/>
      <c r="AB948" s="87"/>
      <c r="AI948" s="87"/>
      <c r="AJ948" s="87"/>
      <c r="AK948" s="87"/>
      <c r="AL948" s="87"/>
      <c r="AM948" s="87"/>
      <c r="AN948" s="87"/>
      <c r="AO948" s="87"/>
      <c r="AP948" s="87"/>
      <c r="AQ948" s="87"/>
      <c r="AR948" s="87"/>
      <c r="BC948" s="87"/>
      <c r="BD948" s="87"/>
      <c r="BE948" s="87"/>
      <c r="BF948" s="87"/>
      <c r="BG948" s="87"/>
      <c r="BH948" s="87"/>
    </row>
    <row r="949" spans="4:60" x14ac:dyDescent="0.3">
      <c r="D949" s="87"/>
      <c r="E949" s="87"/>
      <c r="F949" s="87"/>
      <c r="T949" s="87"/>
      <c r="U949" s="87"/>
      <c r="V949" s="87"/>
      <c r="W949" s="87"/>
      <c r="X949" s="87"/>
      <c r="Y949" s="87"/>
      <c r="Z949" s="87"/>
      <c r="AA949" s="87"/>
      <c r="AB949" s="87"/>
      <c r="AI949" s="87"/>
      <c r="AJ949" s="87"/>
      <c r="AK949" s="87"/>
      <c r="AL949" s="87"/>
      <c r="AM949" s="87"/>
      <c r="AN949" s="87"/>
      <c r="AO949" s="87"/>
      <c r="AP949" s="87"/>
      <c r="AQ949" s="87"/>
      <c r="AR949" s="87"/>
      <c r="BC949" s="87"/>
      <c r="BD949" s="87"/>
      <c r="BE949" s="87"/>
      <c r="BF949" s="87"/>
      <c r="BG949" s="87"/>
      <c r="BH949" s="87"/>
    </row>
    <row r="950" spans="4:60" x14ac:dyDescent="0.3">
      <c r="D950" s="87"/>
      <c r="E950" s="87"/>
      <c r="F950" s="87"/>
      <c r="T950" s="87"/>
      <c r="U950" s="87"/>
      <c r="V950" s="87"/>
      <c r="W950" s="87"/>
      <c r="X950" s="87"/>
      <c r="Y950" s="87"/>
      <c r="Z950" s="87"/>
      <c r="AA950" s="87"/>
      <c r="AB950" s="87"/>
      <c r="AI950" s="87"/>
      <c r="AJ950" s="87"/>
      <c r="AK950" s="87"/>
      <c r="AL950" s="87"/>
      <c r="AM950" s="87"/>
      <c r="AN950" s="87"/>
      <c r="AO950" s="87"/>
      <c r="AP950" s="87"/>
      <c r="AQ950" s="87"/>
      <c r="AR950" s="87"/>
      <c r="BC950" s="87"/>
      <c r="BD950" s="87"/>
      <c r="BE950" s="87"/>
      <c r="BF950" s="87"/>
      <c r="BG950" s="87"/>
      <c r="BH950" s="87"/>
    </row>
    <row r="951" spans="4:60" x14ac:dyDescent="0.3">
      <c r="D951" s="87"/>
      <c r="E951" s="87"/>
      <c r="F951" s="87"/>
      <c r="T951" s="87"/>
      <c r="U951" s="87"/>
      <c r="V951" s="87"/>
      <c r="W951" s="87"/>
      <c r="X951" s="87"/>
      <c r="Y951" s="87"/>
      <c r="Z951" s="87"/>
      <c r="AA951" s="87"/>
      <c r="AB951" s="87"/>
      <c r="AI951" s="87"/>
      <c r="AJ951" s="87"/>
      <c r="AK951" s="87"/>
      <c r="AL951" s="87"/>
      <c r="AM951" s="87"/>
      <c r="AN951" s="87"/>
      <c r="AO951" s="87"/>
      <c r="AP951" s="87"/>
      <c r="AQ951" s="87"/>
      <c r="AR951" s="87"/>
      <c r="BC951" s="87"/>
      <c r="BD951" s="87"/>
      <c r="BE951" s="87"/>
      <c r="BF951" s="87"/>
      <c r="BG951" s="87"/>
      <c r="BH951" s="87"/>
    </row>
    <row r="952" spans="4:60" x14ac:dyDescent="0.3">
      <c r="D952" s="87"/>
      <c r="E952" s="87"/>
      <c r="F952" s="87"/>
      <c r="T952" s="87"/>
      <c r="U952" s="87"/>
      <c r="V952" s="87"/>
      <c r="W952" s="87"/>
      <c r="X952" s="87"/>
      <c r="Y952" s="87"/>
      <c r="Z952" s="87"/>
      <c r="AA952" s="87"/>
      <c r="AB952" s="87"/>
      <c r="AI952" s="87"/>
      <c r="AJ952" s="87"/>
      <c r="AK952" s="87"/>
      <c r="AL952" s="87"/>
      <c r="AM952" s="87"/>
      <c r="AN952" s="87"/>
      <c r="AO952" s="87"/>
      <c r="AP952" s="87"/>
      <c r="AQ952" s="87"/>
      <c r="AR952" s="87"/>
      <c r="BC952" s="87"/>
      <c r="BD952" s="87"/>
      <c r="BE952" s="87"/>
      <c r="BF952" s="87"/>
      <c r="BG952" s="87"/>
      <c r="BH952" s="87"/>
    </row>
    <row r="953" spans="4:60" x14ac:dyDescent="0.3">
      <c r="D953" s="87"/>
      <c r="E953" s="87"/>
      <c r="F953" s="87"/>
      <c r="T953" s="87"/>
      <c r="U953" s="87"/>
      <c r="V953" s="87"/>
      <c r="W953" s="87"/>
      <c r="X953" s="87"/>
      <c r="Y953" s="87"/>
      <c r="Z953" s="87"/>
      <c r="AA953" s="87"/>
      <c r="AB953" s="87"/>
      <c r="AI953" s="87"/>
      <c r="AJ953" s="87"/>
      <c r="AK953" s="87"/>
      <c r="AL953" s="87"/>
      <c r="AM953" s="87"/>
      <c r="AN953" s="87"/>
      <c r="AO953" s="87"/>
      <c r="AP953" s="87"/>
      <c r="AQ953" s="87"/>
      <c r="AR953" s="87"/>
      <c r="BC953" s="87"/>
      <c r="BD953" s="87"/>
      <c r="BE953" s="87"/>
      <c r="BF953" s="87"/>
      <c r="BG953" s="87"/>
      <c r="BH953" s="87"/>
    </row>
    <row r="954" spans="4:60" x14ac:dyDescent="0.3">
      <c r="D954" s="87"/>
      <c r="E954" s="87"/>
      <c r="F954" s="87"/>
      <c r="T954" s="87"/>
      <c r="U954" s="87"/>
      <c r="V954" s="87"/>
      <c r="W954" s="87"/>
      <c r="X954" s="87"/>
      <c r="Y954" s="87"/>
      <c r="Z954" s="87"/>
      <c r="AA954" s="87"/>
      <c r="AB954" s="87"/>
      <c r="AI954" s="87"/>
      <c r="AJ954" s="87"/>
      <c r="AK954" s="87"/>
      <c r="AL954" s="87"/>
      <c r="AM954" s="87"/>
      <c r="AN954" s="87"/>
      <c r="AO954" s="87"/>
      <c r="AP954" s="87"/>
      <c r="AQ954" s="87"/>
      <c r="AR954" s="87"/>
      <c r="BC954" s="87"/>
      <c r="BD954" s="87"/>
      <c r="BE954" s="87"/>
      <c r="BF954" s="87"/>
      <c r="BG954" s="87"/>
      <c r="BH954" s="87"/>
    </row>
    <row r="955" spans="4:60" x14ac:dyDescent="0.3">
      <c r="D955" s="87"/>
      <c r="E955" s="87"/>
      <c r="F955" s="87"/>
      <c r="T955" s="87"/>
      <c r="U955" s="87"/>
      <c r="V955" s="87"/>
      <c r="W955" s="87"/>
      <c r="X955" s="87"/>
      <c r="Y955" s="87"/>
      <c r="Z955" s="87"/>
      <c r="AA955" s="87"/>
      <c r="AB955" s="87"/>
      <c r="AI955" s="87"/>
      <c r="AJ955" s="87"/>
      <c r="AK955" s="87"/>
      <c r="AL955" s="87"/>
      <c r="AM955" s="87"/>
      <c r="AN955" s="87"/>
      <c r="AO955" s="87"/>
      <c r="AP955" s="87"/>
      <c r="AQ955" s="87"/>
      <c r="AR955" s="87"/>
      <c r="BC955" s="87"/>
      <c r="BD955" s="87"/>
      <c r="BE955" s="87"/>
      <c r="BF955" s="87"/>
      <c r="BG955" s="87"/>
      <c r="BH955" s="87"/>
    </row>
    <row r="956" spans="4:60" x14ac:dyDescent="0.3">
      <c r="D956" s="87"/>
      <c r="E956" s="87"/>
      <c r="F956" s="87"/>
      <c r="T956" s="87"/>
      <c r="U956" s="87"/>
      <c r="V956" s="87"/>
      <c r="W956" s="87"/>
      <c r="X956" s="87"/>
      <c r="Y956" s="87"/>
      <c r="Z956" s="87"/>
      <c r="AA956" s="87"/>
      <c r="AB956" s="87"/>
      <c r="AI956" s="87"/>
      <c r="AJ956" s="87"/>
      <c r="AK956" s="87"/>
      <c r="AL956" s="87"/>
      <c r="AM956" s="87"/>
      <c r="AN956" s="87"/>
      <c r="AO956" s="87"/>
      <c r="AP956" s="87"/>
      <c r="AQ956" s="87"/>
      <c r="AR956" s="87"/>
      <c r="BC956" s="87"/>
      <c r="BD956" s="87"/>
      <c r="BE956" s="87"/>
      <c r="BF956" s="87"/>
      <c r="BG956" s="87"/>
      <c r="BH956" s="87"/>
    </row>
    <row r="957" spans="4:60" x14ac:dyDescent="0.3">
      <c r="D957" s="87"/>
      <c r="E957" s="87"/>
      <c r="F957" s="87"/>
      <c r="T957" s="87"/>
      <c r="U957" s="87"/>
      <c r="V957" s="87"/>
      <c r="W957" s="87"/>
      <c r="X957" s="87"/>
      <c r="Y957" s="87"/>
      <c r="Z957" s="87"/>
      <c r="AA957" s="87"/>
      <c r="AB957" s="87"/>
      <c r="AI957" s="87"/>
      <c r="AJ957" s="87"/>
      <c r="AK957" s="87"/>
      <c r="AL957" s="87"/>
      <c r="AM957" s="87"/>
      <c r="AN957" s="87"/>
      <c r="AO957" s="87"/>
      <c r="AP957" s="87"/>
      <c r="AQ957" s="87"/>
      <c r="AR957" s="87"/>
      <c r="BC957" s="87"/>
      <c r="BD957" s="87"/>
      <c r="BE957" s="87"/>
      <c r="BF957" s="87"/>
      <c r="BG957" s="87"/>
      <c r="BH957" s="87"/>
    </row>
    <row r="958" spans="4:60" x14ac:dyDescent="0.3">
      <c r="D958" s="87"/>
      <c r="E958" s="87"/>
      <c r="F958" s="87"/>
      <c r="T958" s="87"/>
      <c r="U958" s="87"/>
      <c r="V958" s="87"/>
      <c r="W958" s="87"/>
      <c r="X958" s="87"/>
      <c r="Y958" s="87"/>
      <c r="Z958" s="87"/>
      <c r="AA958" s="87"/>
      <c r="AB958" s="87"/>
      <c r="AI958" s="87"/>
      <c r="AJ958" s="87"/>
      <c r="AK958" s="87"/>
      <c r="AL958" s="87"/>
      <c r="AM958" s="87"/>
      <c r="AN958" s="87"/>
      <c r="AO958" s="87"/>
      <c r="AP958" s="87"/>
      <c r="AQ958" s="87"/>
      <c r="AR958" s="87"/>
      <c r="BC958" s="87"/>
      <c r="BD958" s="87"/>
      <c r="BE958" s="87"/>
      <c r="BF958" s="87"/>
      <c r="BG958" s="87"/>
      <c r="BH958" s="87"/>
    </row>
    <row r="959" spans="4:60" x14ac:dyDescent="0.3">
      <c r="D959" s="87"/>
      <c r="E959" s="87"/>
      <c r="F959" s="87"/>
      <c r="T959" s="87"/>
      <c r="U959" s="87"/>
      <c r="V959" s="87"/>
      <c r="W959" s="87"/>
      <c r="X959" s="87"/>
      <c r="Y959" s="87"/>
      <c r="Z959" s="87"/>
      <c r="AA959" s="87"/>
      <c r="AB959" s="87"/>
      <c r="AI959" s="87"/>
      <c r="AJ959" s="87"/>
      <c r="AK959" s="87"/>
      <c r="AL959" s="87"/>
      <c r="AM959" s="87"/>
      <c r="AN959" s="87"/>
      <c r="AO959" s="87"/>
      <c r="AP959" s="87"/>
      <c r="AQ959" s="87"/>
      <c r="AR959" s="87"/>
      <c r="BC959" s="87"/>
      <c r="BD959" s="87"/>
      <c r="BE959" s="87"/>
      <c r="BF959" s="87"/>
      <c r="BG959" s="87"/>
      <c r="BH959" s="87"/>
    </row>
    <row r="960" spans="4:60" x14ac:dyDescent="0.3">
      <c r="D960" s="87"/>
      <c r="E960" s="87"/>
      <c r="F960" s="87"/>
      <c r="T960" s="87"/>
      <c r="U960" s="87"/>
      <c r="V960" s="87"/>
      <c r="W960" s="87"/>
      <c r="X960" s="87"/>
      <c r="Y960" s="87"/>
      <c r="Z960" s="87"/>
      <c r="AA960" s="87"/>
      <c r="AB960" s="87"/>
      <c r="AI960" s="87"/>
      <c r="AJ960" s="87"/>
      <c r="AK960" s="87"/>
      <c r="AL960" s="87"/>
      <c r="AM960" s="87"/>
      <c r="AN960" s="87"/>
      <c r="AO960" s="87"/>
      <c r="AP960" s="87"/>
      <c r="AQ960" s="87"/>
      <c r="AR960" s="87"/>
      <c r="BC960" s="87"/>
      <c r="BD960" s="87"/>
      <c r="BE960" s="87"/>
      <c r="BF960" s="87"/>
      <c r="BG960" s="87"/>
      <c r="BH960" s="87"/>
    </row>
    <row r="961" spans="4:60" x14ac:dyDescent="0.3">
      <c r="D961" s="87"/>
      <c r="E961" s="87"/>
      <c r="F961" s="87"/>
      <c r="T961" s="87"/>
      <c r="U961" s="87"/>
      <c r="V961" s="87"/>
      <c r="W961" s="87"/>
      <c r="X961" s="87"/>
      <c r="Y961" s="87"/>
      <c r="Z961" s="87"/>
      <c r="AA961" s="87"/>
      <c r="AB961" s="87"/>
      <c r="AI961" s="87"/>
      <c r="AJ961" s="87"/>
      <c r="AK961" s="87"/>
      <c r="AL961" s="87"/>
      <c r="AM961" s="87"/>
      <c r="AN961" s="87"/>
      <c r="AO961" s="87"/>
      <c r="AP961" s="87"/>
      <c r="AQ961" s="87"/>
      <c r="AR961" s="87"/>
      <c r="BC961" s="87"/>
      <c r="BD961" s="87"/>
      <c r="BE961" s="87"/>
      <c r="BF961" s="87"/>
      <c r="BG961" s="87"/>
      <c r="BH961" s="87"/>
    </row>
    <row r="962" spans="4:60" x14ac:dyDescent="0.3">
      <c r="D962" s="87"/>
      <c r="E962" s="87"/>
      <c r="F962" s="87"/>
      <c r="T962" s="87"/>
      <c r="U962" s="87"/>
      <c r="V962" s="87"/>
      <c r="W962" s="87"/>
      <c r="X962" s="87"/>
      <c r="Y962" s="87"/>
      <c r="Z962" s="87"/>
      <c r="AA962" s="87"/>
      <c r="AB962" s="87"/>
      <c r="AI962" s="87"/>
      <c r="AJ962" s="87"/>
      <c r="AK962" s="87"/>
      <c r="AL962" s="87"/>
      <c r="AM962" s="87"/>
      <c r="AN962" s="87"/>
      <c r="AO962" s="87"/>
      <c r="AP962" s="87"/>
      <c r="AQ962" s="87"/>
      <c r="AR962" s="87"/>
      <c r="BC962" s="87"/>
      <c r="BD962" s="87"/>
      <c r="BE962" s="87"/>
      <c r="BF962" s="87"/>
      <c r="BG962" s="87"/>
      <c r="BH962" s="87"/>
    </row>
    <row r="963" spans="4:60" x14ac:dyDescent="0.3">
      <c r="D963" s="87"/>
      <c r="E963" s="87"/>
      <c r="F963" s="87"/>
      <c r="T963" s="87"/>
      <c r="U963" s="87"/>
      <c r="V963" s="87"/>
      <c r="W963" s="87"/>
      <c r="X963" s="87"/>
      <c r="Y963" s="87"/>
      <c r="Z963" s="87"/>
      <c r="AA963" s="87"/>
      <c r="AB963" s="87"/>
      <c r="AI963" s="87"/>
      <c r="AJ963" s="87"/>
      <c r="AK963" s="87"/>
      <c r="AL963" s="87"/>
      <c r="AM963" s="87"/>
      <c r="AN963" s="87"/>
      <c r="AO963" s="87"/>
      <c r="AP963" s="87"/>
      <c r="AQ963" s="87"/>
      <c r="AR963" s="87"/>
      <c r="BC963" s="87"/>
      <c r="BD963" s="87"/>
      <c r="BE963" s="87"/>
      <c r="BF963" s="87"/>
      <c r="BG963" s="87"/>
      <c r="BH963" s="87"/>
    </row>
    <row r="964" spans="4:60" x14ac:dyDescent="0.3">
      <c r="D964" s="87"/>
      <c r="E964" s="87"/>
      <c r="F964" s="87"/>
      <c r="T964" s="87"/>
      <c r="U964" s="87"/>
      <c r="V964" s="87"/>
      <c r="W964" s="87"/>
      <c r="X964" s="87"/>
      <c r="Y964" s="87"/>
      <c r="Z964" s="87"/>
      <c r="AA964" s="87"/>
      <c r="AB964" s="87"/>
      <c r="AI964" s="87"/>
      <c r="AJ964" s="87"/>
      <c r="AK964" s="87"/>
      <c r="AL964" s="87"/>
      <c r="AM964" s="87"/>
      <c r="AN964" s="87"/>
      <c r="AO964" s="87"/>
      <c r="AP964" s="87"/>
      <c r="AQ964" s="87"/>
      <c r="AR964" s="87"/>
      <c r="BC964" s="87"/>
      <c r="BD964" s="87"/>
      <c r="BE964" s="87"/>
      <c r="BF964" s="87"/>
      <c r="BG964" s="87"/>
      <c r="BH964" s="87"/>
    </row>
    <row r="965" spans="4:60" x14ac:dyDescent="0.3">
      <c r="D965" s="87"/>
      <c r="E965" s="87"/>
      <c r="F965" s="87"/>
      <c r="T965" s="87"/>
      <c r="U965" s="87"/>
      <c r="V965" s="87"/>
      <c r="W965" s="87"/>
      <c r="X965" s="87"/>
      <c r="Y965" s="87"/>
      <c r="Z965" s="87"/>
      <c r="AA965" s="87"/>
      <c r="AB965" s="87"/>
      <c r="AI965" s="87"/>
      <c r="AJ965" s="87"/>
      <c r="AK965" s="87"/>
      <c r="AL965" s="87"/>
      <c r="AM965" s="87"/>
      <c r="AN965" s="87"/>
      <c r="AO965" s="87"/>
      <c r="AP965" s="87"/>
      <c r="AQ965" s="87"/>
      <c r="AR965" s="87"/>
      <c r="BC965" s="87"/>
      <c r="BD965" s="87"/>
      <c r="BE965" s="87"/>
      <c r="BF965" s="87"/>
      <c r="BG965" s="87"/>
      <c r="BH965" s="87"/>
    </row>
    <row r="966" spans="4:60" x14ac:dyDescent="0.3">
      <c r="D966" s="87"/>
      <c r="E966" s="87"/>
      <c r="F966" s="87"/>
      <c r="T966" s="87"/>
      <c r="U966" s="87"/>
      <c r="V966" s="87"/>
      <c r="W966" s="87"/>
      <c r="X966" s="87"/>
      <c r="Y966" s="87"/>
      <c r="Z966" s="87"/>
      <c r="AA966" s="87"/>
      <c r="AB966" s="87"/>
      <c r="AI966" s="87"/>
      <c r="AJ966" s="87"/>
      <c r="AK966" s="87"/>
      <c r="AL966" s="87"/>
      <c r="AM966" s="87"/>
      <c r="AN966" s="87"/>
      <c r="AO966" s="87"/>
      <c r="AP966" s="87"/>
      <c r="AQ966" s="87"/>
      <c r="AR966" s="87"/>
      <c r="BC966" s="87"/>
      <c r="BD966" s="87"/>
      <c r="BE966" s="87"/>
      <c r="BF966" s="87"/>
      <c r="BG966" s="87"/>
      <c r="BH966" s="87"/>
    </row>
    <row r="967" spans="4:60" x14ac:dyDescent="0.3">
      <c r="D967" s="87"/>
      <c r="E967" s="87"/>
      <c r="F967" s="87"/>
      <c r="T967" s="87"/>
      <c r="U967" s="87"/>
      <c r="V967" s="87"/>
      <c r="W967" s="87"/>
      <c r="X967" s="87"/>
      <c r="Y967" s="87"/>
      <c r="Z967" s="87"/>
      <c r="AA967" s="87"/>
      <c r="AB967" s="87"/>
      <c r="AI967" s="87"/>
      <c r="AJ967" s="87"/>
      <c r="AK967" s="87"/>
      <c r="AL967" s="87"/>
      <c r="AM967" s="87"/>
      <c r="AN967" s="87"/>
      <c r="AO967" s="87"/>
      <c r="AP967" s="87"/>
      <c r="AQ967" s="87"/>
      <c r="AR967" s="87"/>
      <c r="BC967" s="87"/>
      <c r="BD967" s="87"/>
      <c r="BE967" s="87"/>
      <c r="BF967" s="87"/>
      <c r="BG967" s="87"/>
      <c r="BH967" s="87"/>
    </row>
    <row r="968" spans="4:60" x14ac:dyDescent="0.3">
      <c r="D968" s="87"/>
      <c r="E968" s="87"/>
      <c r="F968" s="87"/>
      <c r="T968" s="87"/>
      <c r="U968" s="87"/>
      <c r="V968" s="87"/>
      <c r="W968" s="87"/>
      <c r="X968" s="87"/>
      <c r="Y968" s="87"/>
      <c r="Z968" s="87"/>
      <c r="AA968" s="87"/>
      <c r="AB968" s="87"/>
      <c r="AI968" s="87"/>
      <c r="AJ968" s="87"/>
      <c r="AK968" s="87"/>
      <c r="AL968" s="87"/>
      <c r="AM968" s="87"/>
      <c r="AN968" s="87"/>
      <c r="AO968" s="87"/>
      <c r="AP968" s="87"/>
      <c r="AQ968" s="87"/>
      <c r="AR968" s="87"/>
      <c r="BC968" s="87"/>
      <c r="BD968" s="87"/>
      <c r="BE968" s="87"/>
      <c r="BF968" s="87"/>
      <c r="BG968" s="87"/>
      <c r="BH968" s="87"/>
    </row>
    <row r="969" spans="4:60" x14ac:dyDescent="0.3">
      <c r="D969" s="87"/>
      <c r="E969" s="87"/>
      <c r="F969" s="87"/>
      <c r="T969" s="87"/>
      <c r="U969" s="87"/>
      <c r="V969" s="87"/>
      <c r="W969" s="87"/>
      <c r="X969" s="87"/>
      <c r="Y969" s="87"/>
      <c r="Z969" s="87"/>
      <c r="AA969" s="87"/>
      <c r="AB969" s="87"/>
      <c r="AI969" s="87"/>
      <c r="AJ969" s="87"/>
      <c r="AK969" s="87"/>
      <c r="AL969" s="87"/>
      <c r="AM969" s="87"/>
      <c r="AN969" s="87"/>
      <c r="AO969" s="87"/>
      <c r="AP969" s="87"/>
      <c r="AQ969" s="87"/>
      <c r="AR969" s="87"/>
      <c r="BC969" s="87"/>
      <c r="BD969" s="87"/>
      <c r="BE969" s="87"/>
      <c r="BF969" s="87"/>
      <c r="BG969" s="87"/>
      <c r="BH969" s="87"/>
    </row>
    <row r="970" spans="4:60" x14ac:dyDescent="0.3">
      <c r="D970" s="87"/>
      <c r="E970" s="87"/>
      <c r="F970" s="87"/>
      <c r="T970" s="87"/>
      <c r="U970" s="87"/>
      <c r="V970" s="87"/>
      <c r="W970" s="87"/>
      <c r="X970" s="87"/>
      <c r="Y970" s="87"/>
      <c r="Z970" s="87"/>
      <c r="AA970" s="87"/>
      <c r="AB970" s="87"/>
      <c r="AI970" s="87"/>
      <c r="AJ970" s="87"/>
      <c r="AK970" s="87"/>
      <c r="AL970" s="87"/>
      <c r="AM970" s="87"/>
      <c r="AN970" s="87"/>
      <c r="AO970" s="87"/>
      <c r="AP970" s="87"/>
      <c r="AQ970" s="87"/>
      <c r="AR970" s="87"/>
      <c r="BC970" s="87"/>
      <c r="BD970" s="87"/>
      <c r="BE970" s="87"/>
      <c r="BF970" s="87"/>
      <c r="BG970" s="87"/>
      <c r="BH970" s="87"/>
    </row>
    <row r="971" spans="4:60" x14ac:dyDescent="0.3">
      <c r="D971" s="87"/>
      <c r="E971" s="87"/>
      <c r="F971" s="87"/>
      <c r="T971" s="87"/>
      <c r="U971" s="87"/>
      <c r="V971" s="87"/>
      <c r="W971" s="87"/>
      <c r="X971" s="87"/>
      <c r="Y971" s="87"/>
      <c r="Z971" s="87"/>
      <c r="AA971" s="87"/>
      <c r="AB971" s="87"/>
      <c r="AI971" s="87"/>
      <c r="AJ971" s="87"/>
      <c r="AK971" s="87"/>
      <c r="AL971" s="87"/>
      <c r="AM971" s="87"/>
      <c r="AN971" s="87"/>
      <c r="AO971" s="87"/>
      <c r="AP971" s="87"/>
      <c r="AQ971" s="87"/>
      <c r="AR971" s="87"/>
      <c r="BC971" s="87"/>
      <c r="BD971" s="87"/>
      <c r="BE971" s="87"/>
      <c r="BF971" s="87"/>
      <c r="BG971" s="87"/>
      <c r="BH971" s="87"/>
    </row>
    <row r="972" spans="4:60" x14ac:dyDescent="0.3">
      <c r="D972" s="87"/>
      <c r="E972" s="87"/>
      <c r="F972" s="87"/>
      <c r="T972" s="87"/>
      <c r="U972" s="87"/>
      <c r="V972" s="87"/>
      <c r="W972" s="87"/>
      <c r="X972" s="87"/>
      <c r="Y972" s="87"/>
      <c r="Z972" s="87"/>
      <c r="AA972" s="87"/>
      <c r="AB972" s="87"/>
      <c r="AI972" s="87"/>
      <c r="AJ972" s="87"/>
      <c r="AK972" s="87"/>
      <c r="AL972" s="87"/>
      <c r="AM972" s="87"/>
      <c r="AN972" s="87"/>
      <c r="AO972" s="87"/>
      <c r="AP972" s="87"/>
      <c r="AQ972" s="87"/>
      <c r="AR972" s="87"/>
      <c r="BC972" s="87"/>
      <c r="BD972" s="87"/>
      <c r="BE972" s="87"/>
      <c r="BF972" s="87"/>
      <c r="BG972" s="87"/>
      <c r="BH972" s="87"/>
    </row>
    <row r="973" spans="4:60" x14ac:dyDescent="0.3">
      <c r="D973" s="87"/>
      <c r="E973" s="87"/>
      <c r="F973" s="87"/>
      <c r="T973" s="87"/>
      <c r="U973" s="87"/>
      <c r="V973" s="87"/>
      <c r="W973" s="87"/>
      <c r="X973" s="87"/>
      <c r="Y973" s="87"/>
      <c r="Z973" s="87"/>
      <c r="AA973" s="87"/>
      <c r="AB973" s="87"/>
      <c r="AI973" s="87"/>
      <c r="AJ973" s="87"/>
      <c r="AK973" s="87"/>
      <c r="AL973" s="87"/>
      <c r="AM973" s="87"/>
      <c r="AN973" s="87"/>
      <c r="AO973" s="87"/>
      <c r="AP973" s="87"/>
      <c r="AQ973" s="87"/>
      <c r="AR973" s="87"/>
      <c r="BC973" s="87"/>
      <c r="BD973" s="87"/>
      <c r="BE973" s="87"/>
      <c r="BF973" s="87"/>
      <c r="BG973" s="87"/>
      <c r="BH973" s="87"/>
    </row>
    <row r="974" spans="4:60" x14ac:dyDescent="0.3">
      <c r="D974" s="87"/>
      <c r="E974" s="87"/>
      <c r="F974" s="87"/>
      <c r="T974" s="87"/>
      <c r="U974" s="87"/>
      <c r="V974" s="87"/>
      <c r="W974" s="87"/>
      <c r="X974" s="87"/>
      <c r="Y974" s="87"/>
      <c r="Z974" s="87"/>
      <c r="AA974" s="87"/>
      <c r="AB974" s="87"/>
      <c r="AI974" s="87"/>
      <c r="AJ974" s="87"/>
      <c r="AK974" s="87"/>
      <c r="AL974" s="87"/>
      <c r="AM974" s="87"/>
      <c r="AN974" s="87"/>
      <c r="AO974" s="87"/>
      <c r="AP974" s="87"/>
      <c r="AQ974" s="87"/>
      <c r="AR974" s="87"/>
      <c r="BC974" s="87"/>
      <c r="BD974" s="87"/>
      <c r="BE974" s="87"/>
      <c r="BF974" s="87"/>
      <c r="BG974" s="87"/>
      <c r="BH974" s="87"/>
    </row>
    <row r="975" spans="4:60" x14ac:dyDescent="0.3">
      <c r="D975" s="87"/>
      <c r="E975" s="87"/>
      <c r="F975" s="87"/>
      <c r="T975" s="87"/>
      <c r="U975" s="87"/>
      <c r="V975" s="87"/>
      <c r="W975" s="87"/>
      <c r="X975" s="87"/>
      <c r="Y975" s="87"/>
      <c r="Z975" s="87"/>
      <c r="AA975" s="87"/>
      <c r="AB975" s="87"/>
      <c r="AI975" s="87"/>
      <c r="AJ975" s="87"/>
      <c r="AK975" s="87"/>
      <c r="AL975" s="87"/>
      <c r="AM975" s="87"/>
      <c r="AN975" s="87"/>
      <c r="AO975" s="87"/>
      <c r="AP975" s="87"/>
      <c r="AQ975" s="87"/>
      <c r="AR975" s="87"/>
      <c r="BC975" s="87"/>
      <c r="BD975" s="87"/>
      <c r="BE975" s="87"/>
      <c r="BF975" s="87"/>
      <c r="BG975" s="87"/>
      <c r="BH975" s="87"/>
    </row>
    <row r="976" spans="4:60" x14ac:dyDescent="0.3">
      <c r="D976" s="87"/>
      <c r="E976" s="87"/>
      <c r="F976" s="87"/>
      <c r="T976" s="87"/>
      <c r="U976" s="87"/>
      <c r="V976" s="87"/>
      <c r="W976" s="87"/>
      <c r="X976" s="87"/>
      <c r="Y976" s="87"/>
      <c r="Z976" s="87"/>
      <c r="AA976" s="87"/>
      <c r="AB976" s="87"/>
      <c r="AI976" s="87"/>
      <c r="AJ976" s="87"/>
      <c r="AK976" s="87"/>
      <c r="AL976" s="87"/>
      <c r="AM976" s="87"/>
      <c r="AN976" s="87"/>
      <c r="AO976" s="87"/>
      <c r="AP976" s="87"/>
      <c r="AQ976" s="87"/>
      <c r="AR976" s="87"/>
      <c r="BC976" s="87"/>
      <c r="BD976" s="87"/>
      <c r="BE976" s="87"/>
      <c r="BF976" s="87"/>
      <c r="BG976" s="87"/>
      <c r="BH976" s="87"/>
    </row>
    <row r="977" spans="4:60" x14ac:dyDescent="0.3">
      <c r="D977" s="87"/>
      <c r="E977" s="87"/>
      <c r="F977" s="87"/>
      <c r="T977" s="87"/>
      <c r="U977" s="87"/>
      <c r="V977" s="87"/>
      <c r="W977" s="87"/>
      <c r="X977" s="87"/>
      <c r="Y977" s="87"/>
      <c r="Z977" s="87"/>
      <c r="AA977" s="87"/>
      <c r="AB977" s="87"/>
      <c r="AI977" s="87"/>
      <c r="AJ977" s="87"/>
      <c r="AK977" s="87"/>
      <c r="AL977" s="87"/>
      <c r="AM977" s="87"/>
      <c r="AN977" s="87"/>
      <c r="AO977" s="87"/>
      <c r="AP977" s="87"/>
      <c r="AQ977" s="87"/>
      <c r="AR977" s="87"/>
      <c r="BC977" s="87"/>
      <c r="BD977" s="87"/>
      <c r="BE977" s="87"/>
      <c r="BF977" s="87"/>
      <c r="BG977" s="87"/>
      <c r="BH977" s="87"/>
    </row>
    <row r="978" spans="4:60" x14ac:dyDescent="0.3">
      <c r="D978" s="87"/>
      <c r="E978" s="87"/>
      <c r="F978" s="87"/>
      <c r="T978" s="87"/>
      <c r="U978" s="87"/>
      <c r="V978" s="87"/>
      <c r="W978" s="87"/>
      <c r="X978" s="87"/>
      <c r="Y978" s="87"/>
      <c r="Z978" s="87"/>
      <c r="AA978" s="87"/>
      <c r="AB978" s="87"/>
      <c r="AI978" s="87"/>
      <c r="AJ978" s="87"/>
      <c r="AK978" s="87"/>
      <c r="AL978" s="87"/>
      <c r="AM978" s="87"/>
      <c r="AN978" s="87"/>
      <c r="AO978" s="87"/>
      <c r="AP978" s="87"/>
      <c r="AQ978" s="87"/>
      <c r="AR978" s="87"/>
      <c r="BC978" s="87"/>
      <c r="BD978" s="87"/>
      <c r="BE978" s="87"/>
      <c r="BF978" s="87"/>
      <c r="BG978" s="87"/>
      <c r="BH978" s="87"/>
    </row>
    <row r="979" spans="4:60" x14ac:dyDescent="0.3">
      <c r="D979" s="87"/>
      <c r="E979" s="87"/>
      <c r="F979" s="87"/>
      <c r="T979" s="87"/>
      <c r="U979" s="87"/>
      <c r="V979" s="87"/>
      <c r="W979" s="87"/>
      <c r="X979" s="87"/>
      <c r="Y979" s="87"/>
      <c r="Z979" s="87"/>
      <c r="AA979" s="87"/>
      <c r="AB979" s="87"/>
      <c r="AI979" s="87"/>
      <c r="AJ979" s="87"/>
      <c r="AK979" s="87"/>
      <c r="AL979" s="87"/>
      <c r="AM979" s="87"/>
      <c r="AN979" s="87"/>
      <c r="AO979" s="87"/>
      <c r="AP979" s="87"/>
      <c r="AQ979" s="87"/>
      <c r="AR979" s="87"/>
      <c r="BC979" s="87"/>
      <c r="BD979" s="87"/>
      <c r="BE979" s="87"/>
      <c r="BF979" s="87"/>
      <c r="BG979" s="87"/>
      <c r="BH979" s="87"/>
    </row>
    <row r="980" spans="4:60" x14ac:dyDescent="0.3">
      <c r="D980" s="87"/>
      <c r="E980" s="87"/>
      <c r="F980" s="87"/>
      <c r="T980" s="87"/>
      <c r="U980" s="87"/>
      <c r="V980" s="87"/>
      <c r="W980" s="87"/>
      <c r="X980" s="87"/>
      <c r="Y980" s="87"/>
      <c r="Z980" s="87"/>
      <c r="AA980" s="87"/>
      <c r="AB980" s="87"/>
      <c r="AI980" s="87"/>
      <c r="AJ980" s="87"/>
      <c r="AK980" s="87"/>
      <c r="AL980" s="87"/>
      <c r="AM980" s="87"/>
      <c r="AN980" s="87"/>
      <c r="AO980" s="87"/>
      <c r="AP980" s="87"/>
      <c r="AQ980" s="87"/>
      <c r="AR980" s="87"/>
      <c r="BC980" s="87"/>
      <c r="BD980" s="87"/>
      <c r="BE980" s="87"/>
      <c r="BF980" s="87"/>
      <c r="BG980" s="87"/>
      <c r="BH980" s="87"/>
    </row>
    <row r="981" spans="4:60" x14ac:dyDescent="0.3">
      <c r="D981" s="87"/>
      <c r="E981" s="87"/>
      <c r="F981" s="87"/>
      <c r="T981" s="87"/>
      <c r="U981" s="87"/>
      <c r="V981" s="87"/>
      <c r="W981" s="87"/>
      <c r="X981" s="87"/>
      <c r="Y981" s="87"/>
      <c r="Z981" s="87"/>
      <c r="AA981" s="87"/>
      <c r="AB981" s="87"/>
      <c r="AI981" s="87"/>
      <c r="AJ981" s="87"/>
      <c r="AK981" s="87"/>
      <c r="AL981" s="87"/>
      <c r="AM981" s="87"/>
      <c r="AN981" s="87"/>
      <c r="AO981" s="87"/>
      <c r="AP981" s="87"/>
      <c r="AQ981" s="87"/>
      <c r="AR981" s="87"/>
      <c r="BC981" s="87"/>
      <c r="BD981" s="87"/>
      <c r="BE981" s="87"/>
      <c r="BF981" s="87"/>
      <c r="BG981" s="87"/>
      <c r="BH981" s="87"/>
    </row>
    <row r="982" spans="4:60" x14ac:dyDescent="0.3">
      <c r="D982" s="87"/>
      <c r="E982" s="87"/>
      <c r="F982" s="87"/>
      <c r="T982" s="87"/>
      <c r="U982" s="87"/>
      <c r="V982" s="87"/>
      <c r="W982" s="87"/>
      <c r="X982" s="87"/>
      <c r="Y982" s="87"/>
      <c r="Z982" s="87"/>
      <c r="AA982" s="87"/>
      <c r="AB982" s="87"/>
      <c r="AI982" s="87"/>
      <c r="AJ982" s="87"/>
      <c r="AK982" s="87"/>
      <c r="AL982" s="87"/>
      <c r="AM982" s="87"/>
      <c r="AN982" s="87"/>
      <c r="AO982" s="87"/>
      <c r="AP982" s="87"/>
      <c r="AQ982" s="87"/>
      <c r="AR982" s="87"/>
      <c r="BC982" s="87"/>
      <c r="BD982" s="87"/>
      <c r="BE982" s="87"/>
      <c r="BF982" s="87"/>
      <c r="BG982" s="87"/>
      <c r="BH982" s="87"/>
    </row>
    <row r="983" spans="4:60" x14ac:dyDescent="0.3">
      <c r="D983" s="87"/>
      <c r="E983" s="87"/>
      <c r="F983" s="87"/>
      <c r="T983" s="87"/>
      <c r="U983" s="87"/>
      <c r="V983" s="87"/>
      <c r="W983" s="87"/>
      <c r="X983" s="87"/>
      <c r="Y983" s="87"/>
      <c r="Z983" s="87"/>
      <c r="AA983" s="87"/>
      <c r="AB983" s="87"/>
      <c r="AI983" s="87"/>
      <c r="AJ983" s="87"/>
      <c r="AK983" s="87"/>
      <c r="AL983" s="87"/>
      <c r="AM983" s="87"/>
      <c r="AN983" s="87"/>
      <c r="AO983" s="87"/>
      <c r="AP983" s="87"/>
      <c r="AQ983" s="87"/>
      <c r="AR983" s="87"/>
      <c r="BC983" s="87"/>
      <c r="BD983" s="87"/>
      <c r="BE983" s="87"/>
      <c r="BF983" s="87"/>
      <c r="BG983" s="87"/>
      <c r="BH983" s="87"/>
    </row>
    <row r="984" spans="4:60" x14ac:dyDescent="0.3">
      <c r="D984" s="87"/>
      <c r="E984" s="87"/>
      <c r="F984" s="87"/>
      <c r="T984" s="87"/>
      <c r="U984" s="87"/>
      <c r="V984" s="87"/>
      <c r="W984" s="87"/>
      <c r="X984" s="87"/>
      <c r="Y984" s="87"/>
      <c r="Z984" s="87"/>
      <c r="AA984" s="87"/>
      <c r="AB984" s="87"/>
      <c r="AI984" s="87"/>
      <c r="AJ984" s="87"/>
      <c r="AK984" s="87"/>
      <c r="AL984" s="87"/>
      <c r="AM984" s="87"/>
      <c r="AN984" s="87"/>
      <c r="AO984" s="87"/>
      <c r="AP984" s="87"/>
      <c r="AQ984" s="87"/>
      <c r="AR984" s="87"/>
      <c r="BC984" s="87"/>
      <c r="BD984" s="87"/>
      <c r="BE984" s="87"/>
      <c r="BF984" s="87"/>
      <c r="BG984" s="87"/>
      <c r="BH984" s="87"/>
    </row>
    <row r="985" spans="4:60" x14ac:dyDescent="0.3">
      <c r="D985" s="87"/>
      <c r="E985" s="87"/>
      <c r="F985" s="87"/>
      <c r="T985" s="87"/>
      <c r="U985" s="87"/>
      <c r="V985" s="87"/>
      <c r="W985" s="87"/>
      <c r="X985" s="87"/>
      <c r="Y985" s="87"/>
      <c r="Z985" s="87"/>
      <c r="AA985" s="87"/>
      <c r="AB985" s="87"/>
      <c r="AI985" s="87"/>
      <c r="AJ985" s="87"/>
      <c r="AK985" s="87"/>
      <c r="AL985" s="87"/>
      <c r="AM985" s="87"/>
      <c r="AN985" s="87"/>
      <c r="AO985" s="87"/>
      <c r="AP985" s="87"/>
      <c r="AQ985" s="87"/>
      <c r="AR985" s="87"/>
      <c r="BC985" s="87"/>
      <c r="BD985" s="87"/>
      <c r="BE985" s="87"/>
      <c r="BF985" s="87"/>
      <c r="BG985" s="87"/>
      <c r="BH985" s="87"/>
    </row>
    <row r="986" spans="4:60" x14ac:dyDescent="0.3">
      <c r="D986" s="87"/>
      <c r="E986" s="87"/>
      <c r="F986" s="87"/>
      <c r="T986" s="87"/>
      <c r="U986" s="87"/>
      <c r="V986" s="87"/>
      <c r="W986" s="87"/>
      <c r="X986" s="87"/>
      <c r="Y986" s="87"/>
      <c r="Z986" s="87"/>
      <c r="AA986" s="87"/>
      <c r="AB986" s="87"/>
      <c r="AI986" s="87"/>
      <c r="AJ986" s="87"/>
      <c r="AK986" s="87"/>
      <c r="AL986" s="87"/>
      <c r="AM986" s="87"/>
      <c r="AN986" s="87"/>
      <c r="AO986" s="87"/>
      <c r="AP986" s="87"/>
      <c r="AQ986" s="87"/>
      <c r="AR986" s="87"/>
      <c r="BC986" s="87"/>
      <c r="BD986" s="87"/>
      <c r="BE986" s="87"/>
      <c r="BF986" s="87"/>
      <c r="BG986" s="87"/>
      <c r="BH986" s="87"/>
    </row>
    <row r="987" spans="4:60" x14ac:dyDescent="0.3">
      <c r="D987" s="87"/>
      <c r="E987" s="87"/>
      <c r="F987" s="87"/>
      <c r="T987" s="87"/>
      <c r="U987" s="87"/>
      <c r="V987" s="87"/>
      <c r="W987" s="87"/>
      <c r="X987" s="87"/>
      <c r="Y987" s="87"/>
      <c r="Z987" s="87"/>
      <c r="AA987" s="87"/>
      <c r="AB987" s="87"/>
      <c r="AI987" s="87"/>
      <c r="AJ987" s="87"/>
      <c r="AK987" s="87"/>
      <c r="AL987" s="87"/>
      <c r="AM987" s="87"/>
      <c r="AN987" s="87"/>
      <c r="AO987" s="87"/>
      <c r="AP987" s="87"/>
      <c r="AQ987" s="87"/>
      <c r="AR987" s="87"/>
      <c r="BC987" s="87"/>
      <c r="BD987" s="87"/>
      <c r="BE987" s="87"/>
      <c r="BF987" s="87"/>
      <c r="BG987" s="87"/>
      <c r="BH987" s="87"/>
    </row>
    <row r="988" spans="4:60" x14ac:dyDescent="0.3">
      <c r="D988" s="87"/>
      <c r="E988" s="87"/>
      <c r="F988" s="87"/>
      <c r="T988" s="87"/>
      <c r="U988" s="87"/>
      <c r="V988" s="87"/>
      <c r="W988" s="87"/>
      <c r="X988" s="87"/>
      <c r="Y988" s="87"/>
      <c r="Z988" s="87"/>
      <c r="AA988" s="87"/>
      <c r="AB988" s="87"/>
      <c r="AI988" s="87"/>
      <c r="AJ988" s="87"/>
      <c r="AK988" s="87"/>
      <c r="AL988" s="87"/>
      <c r="AM988" s="87"/>
      <c r="AN988" s="87"/>
      <c r="AO988" s="87"/>
      <c r="AP988" s="87"/>
      <c r="AQ988" s="87"/>
      <c r="AR988" s="87"/>
      <c r="BC988" s="87"/>
      <c r="BD988" s="87"/>
      <c r="BE988" s="87"/>
      <c r="BF988" s="87"/>
      <c r="BG988" s="87"/>
      <c r="BH988" s="87"/>
    </row>
    <row r="989" spans="4:60" x14ac:dyDescent="0.3">
      <c r="D989" s="87"/>
      <c r="E989" s="87"/>
      <c r="F989" s="87"/>
      <c r="T989" s="87"/>
      <c r="U989" s="87"/>
      <c r="V989" s="87"/>
      <c r="W989" s="87"/>
      <c r="X989" s="87"/>
      <c r="Y989" s="87"/>
      <c r="Z989" s="87"/>
      <c r="AA989" s="87"/>
      <c r="AB989" s="87"/>
      <c r="AI989" s="87"/>
      <c r="AJ989" s="87"/>
      <c r="AK989" s="87"/>
      <c r="AL989" s="87"/>
      <c r="AM989" s="87"/>
      <c r="AN989" s="87"/>
      <c r="AO989" s="87"/>
      <c r="AP989" s="87"/>
      <c r="AQ989" s="87"/>
      <c r="AR989" s="87"/>
      <c r="BC989" s="87"/>
      <c r="BD989" s="87"/>
      <c r="BE989" s="87"/>
      <c r="BF989" s="87"/>
      <c r="BG989" s="87"/>
      <c r="BH989" s="87"/>
    </row>
    <row r="990" spans="4:60" x14ac:dyDescent="0.3">
      <c r="D990" s="87"/>
      <c r="E990" s="87"/>
      <c r="F990" s="87"/>
      <c r="T990" s="87"/>
      <c r="U990" s="87"/>
      <c r="V990" s="87"/>
      <c r="W990" s="87"/>
      <c r="X990" s="87"/>
      <c r="Y990" s="87"/>
      <c r="Z990" s="87"/>
      <c r="AA990" s="87"/>
      <c r="AB990" s="87"/>
      <c r="AI990" s="87"/>
      <c r="AJ990" s="87"/>
      <c r="AK990" s="87"/>
      <c r="AL990" s="87"/>
      <c r="AM990" s="87"/>
      <c r="AN990" s="87"/>
      <c r="AO990" s="87"/>
      <c r="AP990" s="87"/>
      <c r="AQ990" s="87"/>
      <c r="AR990" s="87"/>
      <c r="BC990" s="87"/>
      <c r="BD990" s="87"/>
      <c r="BE990" s="87"/>
      <c r="BF990" s="87"/>
      <c r="BG990" s="87"/>
      <c r="BH990" s="87"/>
    </row>
    <row r="991" spans="4:60" x14ac:dyDescent="0.3">
      <c r="D991" s="87"/>
      <c r="E991" s="87"/>
      <c r="F991" s="87"/>
      <c r="T991" s="87"/>
      <c r="U991" s="87"/>
      <c r="V991" s="87"/>
      <c r="W991" s="87"/>
      <c r="X991" s="87"/>
      <c r="Y991" s="87"/>
      <c r="Z991" s="87"/>
      <c r="AA991" s="87"/>
      <c r="AB991" s="87"/>
      <c r="AI991" s="87"/>
      <c r="AJ991" s="87"/>
      <c r="AK991" s="87"/>
      <c r="AL991" s="87"/>
      <c r="AM991" s="87"/>
      <c r="AN991" s="87"/>
      <c r="AO991" s="87"/>
      <c r="AP991" s="87"/>
      <c r="AQ991" s="87"/>
      <c r="AR991" s="87"/>
      <c r="BC991" s="87"/>
      <c r="BD991" s="87"/>
      <c r="BE991" s="87"/>
      <c r="BF991" s="87"/>
      <c r="BG991" s="87"/>
      <c r="BH991" s="87"/>
    </row>
    <row r="992" spans="4:60" x14ac:dyDescent="0.3">
      <c r="D992" s="87"/>
      <c r="E992" s="87"/>
      <c r="F992" s="87"/>
      <c r="T992" s="87"/>
      <c r="U992" s="87"/>
      <c r="V992" s="87"/>
      <c r="W992" s="87"/>
      <c r="X992" s="87"/>
      <c r="Y992" s="87"/>
      <c r="Z992" s="87"/>
      <c r="AA992" s="87"/>
      <c r="AB992" s="87"/>
      <c r="AI992" s="87"/>
      <c r="AJ992" s="87"/>
      <c r="AK992" s="87"/>
      <c r="AL992" s="87"/>
      <c r="AM992" s="87"/>
      <c r="AN992" s="87"/>
      <c r="AO992" s="87"/>
      <c r="AP992" s="87"/>
      <c r="AQ992" s="87"/>
      <c r="AR992" s="87"/>
      <c r="BC992" s="87"/>
      <c r="BD992" s="87"/>
      <c r="BE992" s="87"/>
      <c r="BF992" s="87"/>
      <c r="BG992" s="87"/>
      <c r="BH992" s="87"/>
    </row>
    <row r="993" spans="4:60" x14ac:dyDescent="0.3">
      <c r="D993" s="87"/>
      <c r="E993" s="87"/>
      <c r="F993" s="87"/>
      <c r="T993" s="87"/>
      <c r="U993" s="87"/>
      <c r="V993" s="87"/>
      <c r="W993" s="87"/>
      <c r="X993" s="87"/>
      <c r="Y993" s="87"/>
      <c r="Z993" s="87"/>
      <c r="AA993" s="87"/>
      <c r="AB993" s="87"/>
      <c r="AI993" s="87"/>
      <c r="AJ993" s="87"/>
      <c r="AK993" s="87"/>
      <c r="AL993" s="87"/>
      <c r="AM993" s="87"/>
      <c r="AN993" s="87"/>
      <c r="AO993" s="87"/>
      <c r="AP993" s="87"/>
      <c r="AQ993" s="87"/>
      <c r="AR993" s="87"/>
      <c r="BC993" s="87"/>
      <c r="BD993" s="87"/>
      <c r="BE993" s="87"/>
      <c r="BF993" s="87"/>
      <c r="BG993" s="87"/>
      <c r="BH993" s="87"/>
    </row>
    <row r="994" spans="4:60" x14ac:dyDescent="0.3">
      <c r="D994" s="87"/>
      <c r="E994" s="87"/>
      <c r="F994" s="87"/>
      <c r="T994" s="87"/>
      <c r="U994" s="87"/>
      <c r="V994" s="87"/>
      <c r="W994" s="87"/>
      <c r="X994" s="87"/>
      <c r="Y994" s="87"/>
      <c r="Z994" s="87"/>
      <c r="AA994" s="87"/>
      <c r="AB994" s="87"/>
      <c r="AI994" s="87"/>
      <c r="AJ994" s="87"/>
      <c r="AK994" s="87"/>
      <c r="AL994" s="87"/>
      <c r="AM994" s="87"/>
      <c r="AN994" s="87"/>
      <c r="AO994" s="87"/>
      <c r="AP994" s="87"/>
      <c r="AQ994" s="87"/>
      <c r="AR994" s="87"/>
      <c r="BC994" s="87"/>
      <c r="BD994" s="87"/>
      <c r="BE994" s="87"/>
      <c r="BF994" s="87"/>
      <c r="BG994" s="87"/>
      <c r="BH994" s="87"/>
    </row>
    <row r="995" spans="4:60" x14ac:dyDescent="0.3">
      <c r="D995" s="87"/>
      <c r="E995" s="87"/>
      <c r="F995" s="87"/>
      <c r="T995" s="87"/>
      <c r="U995" s="87"/>
      <c r="V995" s="87"/>
      <c r="W995" s="87"/>
      <c r="X995" s="87"/>
      <c r="Y995" s="87"/>
      <c r="Z995" s="87"/>
      <c r="AA995" s="87"/>
      <c r="AB995" s="87"/>
      <c r="AI995" s="87"/>
      <c r="AJ995" s="87"/>
      <c r="AK995" s="87"/>
      <c r="AL995" s="87"/>
      <c r="AM995" s="87"/>
      <c r="AN995" s="87"/>
      <c r="AO995" s="87"/>
      <c r="AP995" s="87"/>
      <c r="AQ995" s="87"/>
      <c r="AR995" s="87"/>
      <c r="BC995" s="87"/>
      <c r="BD995" s="87"/>
      <c r="BE995" s="87"/>
      <c r="BF995" s="87"/>
      <c r="BG995" s="87"/>
      <c r="BH995" s="87"/>
    </row>
    <row r="996" spans="4:60" x14ac:dyDescent="0.3">
      <c r="D996" s="87"/>
      <c r="E996" s="87"/>
      <c r="F996" s="87"/>
      <c r="T996" s="87"/>
      <c r="U996" s="87"/>
      <c r="V996" s="87"/>
      <c r="W996" s="87"/>
      <c r="X996" s="87"/>
      <c r="Y996" s="87"/>
      <c r="Z996" s="87"/>
      <c r="AA996" s="87"/>
      <c r="AB996" s="87"/>
      <c r="AI996" s="87"/>
      <c r="AJ996" s="87"/>
      <c r="AK996" s="87"/>
      <c r="AL996" s="87"/>
      <c r="AM996" s="87"/>
      <c r="AN996" s="87"/>
      <c r="AO996" s="87"/>
      <c r="AP996" s="87"/>
      <c r="AQ996" s="87"/>
      <c r="AR996" s="87"/>
      <c r="BC996" s="87"/>
      <c r="BD996" s="87"/>
      <c r="BE996" s="87"/>
      <c r="BF996" s="87"/>
      <c r="BG996" s="87"/>
      <c r="BH996" s="87"/>
    </row>
    <row r="997" spans="4:60" x14ac:dyDescent="0.3">
      <c r="D997" s="87"/>
      <c r="E997" s="87"/>
      <c r="F997" s="87"/>
      <c r="T997" s="87"/>
      <c r="U997" s="87"/>
      <c r="V997" s="87"/>
      <c r="W997" s="87"/>
      <c r="X997" s="87"/>
      <c r="Y997" s="87"/>
      <c r="Z997" s="87"/>
      <c r="AA997" s="87"/>
      <c r="AB997" s="87"/>
      <c r="AI997" s="87"/>
      <c r="AJ997" s="87"/>
      <c r="AK997" s="87"/>
      <c r="AL997" s="87"/>
      <c r="AM997" s="87"/>
      <c r="AN997" s="87"/>
      <c r="AO997" s="87"/>
      <c r="AP997" s="87"/>
      <c r="AQ997" s="87"/>
      <c r="AR997" s="87"/>
      <c r="BC997" s="87"/>
      <c r="BD997" s="87"/>
      <c r="BE997" s="87"/>
      <c r="BF997" s="87"/>
      <c r="BG997" s="87"/>
      <c r="BH997" s="87"/>
    </row>
    <row r="998" spans="4:60" x14ac:dyDescent="0.3">
      <c r="D998" s="87"/>
      <c r="E998" s="87"/>
      <c r="F998" s="87"/>
      <c r="T998" s="87"/>
      <c r="U998" s="87"/>
      <c r="V998" s="87"/>
      <c r="W998" s="87"/>
      <c r="X998" s="87"/>
      <c r="Y998" s="87"/>
      <c r="Z998" s="87"/>
      <c r="AA998" s="87"/>
      <c r="AB998" s="87"/>
      <c r="AI998" s="87"/>
      <c r="AJ998" s="87"/>
      <c r="AK998" s="87"/>
      <c r="AL998" s="87"/>
      <c r="AM998" s="87"/>
      <c r="AN998" s="87"/>
      <c r="AO998" s="87"/>
      <c r="AP998" s="87"/>
      <c r="AQ998" s="87"/>
      <c r="AR998" s="87"/>
      <c r="BC998" s="87"/>
      <c r="BD998" s="87"/>
      <c r="BE998" s="87"/>
      <c r="BF998" s="87"/>
      <c r="BG998" s="87"/>
      <c r="BH998" s="87"/>
    </row>
    <row r="999" spans="4:60" x14ac:dyDescent="0.3">
      <c r="D999" s="87"/>
      <c r="E999" s="87"/>
      <c r="F999" s="87"/>
      <c r="T999" s="87"/>
      <c r="U999" s="87"/>
      <c r="V999" s="87"/>
      <c r="W999" s="87"/>
      <c r="X999" s="87"/>
      <c r="Y999" s="87"/>
      <c r="Z999" s="87"/>
      <c r="AA999" s="87"/>
      <c r="AB999" s="87"/>
      <c r="AI999" s="87"/>
      <c r="AJ999" s="87"/>
      <c r="AK999" s="87"/>
      <c r="AL999" s="87"/>
      <c r="AM999" s="87"/>
      <c r="AN999" s="87"/>
      <c r="AO999" s="87"/>
      <c r="AP999" s="87"/>
      <c r="AQ999" s="87"/>
      <c r="AR999" s="87"/>
      <c r="BC999" s="87"/>
      <c r="BD999" s="87"/>
      <c r="BE999" s="87"/>
      <c r="BF999" s="87"/>
      <c r="BG999" s="87"/>
      <c r="BH999" s="87"/>
    </row>
    <row r="1000" spans="4:60" x14ac:dyDescent="0.3">
      <c r="D1000" s="87"/>
      <c r="E1000" s="87"/>
      <c r="F1000" s="87"/>
      <c r="T1000" s="87"/>
      <c r="U1000" s="87"/>
      <c r="V1000" s="87"/>
      <c r="W1000" s="87"/>
      <c r="X1000" s="87"/>
      <c r="Y1000" s="87"/>
      <c r="Z1000" s="87"/>
      <c r="AA1000" s="87"/>
      <c r="AB1000" s="87"/>
      <c r="AI1000" s="87"/>
      <c r="AJ1000" s="87"/>
      <c r="AK1000" s="87"/>
      <c r="AL1000" s="87"/>
      <c r="AM1000" s="87"/>
      <c r="AN1000" s="87"/>
      <c r="AO1000" s="87"/>
      <c r="AP1000" s="87"/>
      <c r="AQ1000" s="87"/>
      <c r="AR1000" s="87"/>
      <c r="BC1000" s="87"/>
      <c r="BD1000" s="87"/>
      <c r="BE1000" s="87"/>
      <c r="BF1000" s="87"/>
      <c r="BG1000" s="87"/>
      <c r="BH1000" s="87"/>
    </row>
    <row r="1001" spans="4:60" x14ac:dyDescent="0.3">
      <c r="D1001" s="87"/>
      <c r="E1001" s="87"/>
      <c r="F1001" s="87"/>
      <c r="T1001" s="87"/>
      <c r="U1001" s="87"/>
      <c r="V1001" s="87"/>
      <c r="W1001" s="87"/>
      <c r="X1001" s="87"/>
      <c r="Y1001" s="87"/>
      <c r="Z1001" s="87"/>
      <c r="AA1001" s="87"/>
      <c r="AB1001" s="87"/>
      <c r="AI1001" s="87"/>
      <c r="AJ1001" s="87"/>
      <c r="AK1001" s="87"/>
      <c r="AL1001" s="87"/>
      <c r="AM1001" s="87"/>
      <c r="AN1001" s="87"/>
      <c r="AO1001" s="87"/>
      <c r="AP1001" s="87"/>
      <c r="AQ1001" s="87"/>
      <c r="AR1001" s="87"/>
      <c r="BC1001" s="87"/>
      <c r="BD1001" s="87"/>
      <c r="BE1001" s="87"/>
      <c r="BF1001" s="87"/>
      <c r="BG1001" s="87"/>
      <c r="BH1001" s="87"/>
    </row>
    <row r="1002" spans="4:60" x14ac:dyDescent="0.3">
      <c r="D1002" s="87"/>
      <c r="E1002" s="87"/>
      <c r="F1002" s="87"/>
      <c r="T1002" s="87"/>
      <c r="U1002" s="87"/>
      <c r="V1002" s="87"/>
      <c r="W1002" s="87"/>
      <c r="X1002" s="87"/>
      <c r="Y1002" s="87"/>
      <c r="Z1002" s="87"/>
      <c r="AA1002" s="87"/>
      <c r="AB1002" s="87"/>
      <c r="AI1002" s="87"/>
      <c r="AJ1002" s="87"/>
      <c r="AK1002" s="87"/>
      <c r="AL1002" s="87"/>
      <c r="AM1002" s="87"/>
      <c r="AN1002" s="87"/>
      <c r="AO1002" s="87"/>
      <c r="AP1002" s="87"/>
      <c r="AQ1002" s="87"/>
      <c r="AR1002" s="87"/>
      <c r="BC1002" s="87"/>
      <c r="BD1002" s="87"/>
      <c r="BE1002" s="87"/>
      <c r="BF1002" s="87"/>
      <c r="BG1002" s="87"/>
      <c r="BH1002" s="87"/>
    </row>
    <row r="1003" spans="4:60" x14ac:dyDescent="0.3">
      <c r="D1003" s="87"/>
      <c r="E1003" s="87"/>
      <c r="F1003" s="87"/>
      <c r="T1003" s="87"/>
      <c r="U1003" s="87"/>
      <c r="V1003" s="87"/>
      <c r="W1003" s="87"/>
      <c r="X1003" s="87"/>
      <c r="Y1003" s="87"/>
      <c r="Z1003" s="87"/>
      <c r="AA1003" s="87"/>
      <c r="AB1003" s="87"/>
      <c r="AI1003" s="87"/>
      <c r="AJ1003" s="87"/>
      <c r="AK1003" s="87"/>
      <c r="AL1003" s="87"/>
      <c r="AM1003" s="87"/>
      <c r="AN1003" s="87"/>
      <c r="AO1003" s="87"/>
      <c r="AP1003" s="87"/>
      <c r="AQ1003" s="87"/>
      <c r="AR1003" s="87"/>
      <c r="BC1003" s="87"/>
      <c r="BD1003" s="87"/>
      <c r="BE1003" s="87"/>
      <c r="BF1003" s="87"/>
      <c r="BG1003" s="87"/>
      <c r="BH1003" s="87"/>
    </row>
    <row r="1004" spans="4:60" x14ac:dyDescent="0.3">
      <c r="D1004" s="87"/>
      <c r="E1004" s="87"/>
      <c r="F1004" s="87"/>
      <c r="T1004" s="87"/>
      <c r="U1004" s="87"/>
      <c r="V1004" s="87"/>
      <c r="W1004" s="87"/>
      <c r="X1004" s="87"/>
      <c r="Y1004" s="87"/>
      <c r="Z1004" s="87"/>
      <c r="AA1004" s="87"/>
      <c r="AB1004" s="87"/>
      <c r="AI1004" s="87"/>
      <c r="AJ1004" s="87"/>
      <c r="AK1004" s="87"/>
      <c r="AL1004" s="87"/>
      <c r="AM1004" s="87"/>
      <c r="AN1004" s="87"/>
      <c r="AO1004" s="87"/>
      <c r="AP1004" s="87"/>
      <c r="AQ1004" s="87"/>
      <c r="AR1004" s="87"/>
      <c r="BC1004" s="87"/>
      <c r="BD1004" s="87"/>
      <c r="BE1004" s="87"/>
      <c r="BF1004" s="87"/>
      <c r="BG1004" s="87"/>
      <c r="BH1004" s="87"/>
    </row>
    <row r="1005" spans="4:60" x14ac:dyDescent="0.3">
      <c r="D1005" s="87"/>
      <c r="E1005" s="87"/>
      <c r="F1005" s="87"/>
      <c r="T1005" s="87"/>
      <c r="U1005" s="87"/>
      <c r="V1005" s="87"/>
      <c r="W1005" s="87"/>
      <c r="X1005" s="87"/>
      <c r="Y1005" s="87"/>
      <c r="Z1005" s="87"/>
      <c r="AA1005" s="87"/>
      <c r="AB1005" s="87"/>
      <c r="AI1005" s="87"/>
      <c r="AJ1005" s="87"/>
      <c r="AK1005" s="87"/>
      <c r="AL1005" s="87"/>
      <c r="AM1005" s="87"/>
      <c r="AN1005" s="87"/>
      <c r="AO1005" s="87"/>
      <c r="AP1005" s="87"/>
      <c r="AQ1005" s="87"/>
      <c r="AR1005" s="87"/>
      <c r="BC1005" s="87"/>
      <c r="BD1005" s="87"/>
      <c r="BE1005" s="87"/>
      <c r="BF1005" s="87"/>
      <c r="BG1005" s="87"/>
      <c r="BH1005" s="87"/>
    </row>
    <row r="1006" spans="4:60" x14ac:dyDescent="0.3">
      <c r="D1006" s="87"/>
      <c r="E1006" s="87"/>
      <c r="F1006" s="87"/>
      <c r="T1006" s="87"/>
      <c r="U1006" s="87"/>
      <c r="V1006" s="87"/>
      <c r="W1006" s="87"/>
      <c r="X1006" s="87"/>
      <c r="Y1006" s="87"/>
      <c r="Z1006" s="87"/>
      <c r="AA1006" s="87"/>
      <c r="AB1006" s="87"/>
      <c r="AM1006" s="87"/>
      <c r="AN1006" s="87"/>
      <c r="AO1006" s="87"/>
      <c r="AP1006" s="87"/>
      <c r="AQ1006" s="87"/>
      <c r="AR1006" s="87"/>
      <c r="BC1006" s="87"/>
      <c r="BD1006" s="87"/>
      <c r="BE1006" s="87"/>
      <c r="BF1006" s="87"/>
      <c r="BG1006" s="87"/>
      <c r="BH1006" s="87"/>
    </row>
    <row r="1007" spans="4:60" x14ac:dyDescent="0.3">
      <c r="D1007" s="87"/>
      <c r="E1007" s="87"/>
      <c r="F1007" s="87"/>
      <c r="T1007" s="87"/>
      <c r="U1007" s="87"/>
      <c r="V1007" s="87"/>
      <c r="W1007" s="87"/>
      <c r="X1007" s="87"/>
      <c r="Y1007" s="87"/>
      <c r="Z1007" s="87"/>
      <c r="AA1007" s="87"/>
      <c r="AB1007" s="87"/>
      <c r="AM1007" s="87"/>
      <c r="AN1007" s="87"/>
      <c r="AO1007" s="87"/>
      <c r="AP1007" s="87"/>
      <c r="AQ1007" s="87"/>
      <c r="AR1007" s="87"/>
      <c r="BC1007" s="87"/>
      <c r="BD1007" s="87"/>
      <c r="BE1007" s="87"/>
      <c r="BF1007" s="87"/>
      <c r="BG1007" s="87"/>
      <c r="BH1007" s="87"/>
    </row>
    <row r="1008" spans="4:60" x14ac:dyDescent="0.3">
      <c r="D1008" s="87"/>
      <c r="E1008" s="87"/>
      <c r="F1008" s="87"/>
      <c r="T1008" s="87"/>
      <c r="U1008" s="87"/>
      <c r="V1008" s="87"/>
      <c r="W1008" s="87"/>
      <c r="X1008" s="87"/>
      <c r="Y1008" s="87"/>
      <c r="Z1008" s="87"/>
      <c r="AA1008" s="87"/>
      <c r="AB1008" s="87"/>
      <c r="AM1008" s="87"/>
      <c r="AN1008" s="87"/>
      <c r="AO1008" s="87"/>
      <c r="AP1008" s="87"/>
      <c r="AQ1008" s="87"/>
      <c r="AR1008" s="87"/>
      <c r="BC1008" s="87"/>
      <c r="BD1008" s="87"/>
      <c r="BE1008" s="87"/>
      <c r="BF1008" s="87"/>
      <c r="BG1008" s="87"/>
      <c r="BH1008" s="87"/>
    </row>
    <row r="1009" spans="4:60" x14ac:dyDescent="0.3">
      <c r="D1009" s="87"/>
      <c r="E1009" s="87"/>
      <c r="F1009" s="87"/>
      <c r="T1009" s="87"/>
      <c r="U1009" s="87"/>
      <c r="V1009" s="87"/>
      <c r="W1009" s="87"/>
      <c r="X1009" s="87"/>
      <c r="Y1009" s="87"/>
      <c r="Z1009" s="87"/>
      <c r="AA1009" s="87"/>
      <c r="AB1009" s="87"/>
      <c r="AM1009" s="87"/>
      <c r="AN1009" s="87"/>
      <c r="AO1009" s="87"/>
      <c r="AP1009" s="87"/>
      <c r="AQ1009" s="87"/>
      <c r="AR1009" s="87"/>
      <c r="BC1009" s="87"/>
      <c r="BD1009" s="87"/>
      <c r="BE1009" s="87"/>
      <c r="BF1009" s="87"/>
      <c r="BG1009" s="87"/>
      <c r="BH1009" s="87"/>
    </row>
    <row r="1010" spans="4:60" x14ac:dyDescent="0.3">
      <c r="D1010" s="87"/>
      <c r="E1010" s="87"/>
      <c r="F1010" s="87"/>
      <c r="W1010" s="87"/>
      <c r="X1010" s="87"/>
      <c r="Y1010" s="87"/>
      <c r="Z1010" s="87"/>
      <c r="AA1010" s="87"/>
      <c r="AB1010" s="87"/>
      <c r="AM1010" s="87"/>
      <c r="AN1010" s="87"/>
      <c r="AO1010" s="87"/>
      <c r="AP1010" s="87"/>
      <c r="AQ1010" s="87"/>
      <c r="AR1010" s="87"/>
      <c r="BC1010" s="87"/>
      <c r="BD1010" s="87"/>
      <c r="BE1010" s="87"/>
      <c r="BF1010" s="87"/>
      <c r="BG1010" s="87"/>
      <c r="BH1010" s="87"/>
    </row>
    <row r="1011" spans="4:60" x14ac:dyDescent="0.3">
      <c r="D1011" s="87"/>
      <c r="E1011" s="87"/>
      <c r="F1011" s="87"/>
      <c r="W1011" s="87"/>
      <c r="X1011" s="87"/>
      <c r="Y1011" s="87"/>
      <c r="Z1011" s="87"/>
      <c r="AA1011" s="87"/>
      <c r="AB1011" s="87"/>
      <c r="AM1011" s="87"/>
      <c r="AN1011" s="87"/>
      <c r="AO1011" s="87"/>
      <c r="AP1011" s="87"/>
      <c r="AQ1011" s="87"/>
      <c r="AR1011" s="87"/>
      <c r="BC1011" s="87"/>
      <c r="BD1011" s="87"/>
      <c r="BE1011" s="87"/>
      <c r="BF1011" s="87"/>
      <c r="BG1011" s="87"/>
      <c r="BH1011" s="87"/>
    </row>
    <row r="1012" spans="4:60" x14ac:dyDescent="0.3">
      <c r="D1012" s="87"/>
      <c r="E1012" s="87"/>
      <c r="F1012" s="87"/>
      <c r="W1012" s="87"/>
      <c r="X1012" s="87"/>
      <c r="Y1012" s="87"/>
      <c r="Z1012" s="87"/>
      <c r="AA1012" s="87"/>
      <c r="AB1012" s="87"/>
      <c r="AM1012" s="87"/>
      <c r="AN1012" s="87"/>
      <c r="AO1012" s="87"/>
      <c r="AP1012" s="87"/>
      <c r="AQ1012" s="87"/>
      <c r="AR1012" s="87"/>
      <c r="BC1012" s="87"/>
      <c r="BD1012" s="87"/>
      <c r="BE1012" s="87"/>
      <c r="BF1012" s="87"/>
      <c r="BG1012" s="87"/>
      <c r="BH1012" s="87"/>
    </row>
    <row r="1013" spans="4:60" x14ac:dyDescent="0.3">
      <c r="D1013" s="87"/>
      <c r="E1013" s="87"/>
      <c r="F1013" s="87"/>
      <c r="W1013" s="87"/>
      <c r="X1013" s="87"/>
      <c r="Y1013" s="87"/>
      <c r="Z1013" s="87"/>
      <c r="AA1013" s="87"/>
      <c r="AB1013" s="87"/>
      <c r="AM1013" s="87"/>
      <c r="AN1013" s="87"/>
      <c r="AO1013" s="87"/>
      <c r="AP1013" s="87"/>
      <c r="AQ1013" s="87"/>
      <c r="AR1013" s="87"/>
      <c r="BC1013" s="87"/>
      <c r="BD1013" s="87"/>
      <c r="BE1013" s="87"/>
      <c r="BF1013" s="87"/>
      <c r="BG1013" s="87"/>
      <c r="BH1013" s="87"/>
    </row>
    <row r="1014" spans="4:60" x14ac:dyDescent="0.3">
      <c r="D1014" s="87"/>
      <c r="E1014" s="87"/>
      <c r="F1014" s="87"/>
      <c r="W1014" s="87"/>
      <c r="X1014" s="87"/>
      <c r="Y1014" s="87"/>
      <c r="Z1014" s="87"/>
      <c r="AA1014" s="87"/>
      <c r="AB1014" s="87"/>
      <c r="AM1014" s="87"/>
      <c r="AN1014" s="87"/>
      <c r="AO1014" s="87"/>
      <c r="AP1014" s="87"/>
      <c r="AQ1014" s="87"/>
      <c r="AR1014" s="87"/>
      <c r="BC1014" s="87"/>
      <c r="BD1014" s="87"/>
      <c r="BE1014" s="87"/>
      <c r="BF1014" s="87"/>
      <c r="BG1014" s="87"/>
      <c r="BH1014" s="87"/>
    </row>
    <row r="1015" spans="4:60" x14ac:dyDescent="0.3">
      <c r="D1015" s="87"/>
      <c r="E1015" s="87"/>
      <c r="F1015" s="87"/>
      <c r="W1015" s="87"/>
      <c r="X1015" s="87"/>
      <c r="Y1015" s="87"/>
      <c r="Z1015" s="87"/>
      <c r="AA1015" s="87"/>
      <c r="AB1015" s="87"/>
      <c r="AM1015" s="87"/>
      <c r="AN1015" s="87"/>
      <c r="AO1015" s="87"/>
      <c r="AP1015" s="87"/>
      <c r="AQ1015" s="87"/>
      <c r="AR1015" s="87"/>
      <c r="BC1015" s="87"/>
      <c r="BD1015" s="87"/>
      <c r="BE1015" s="87"/>
      <c r="BF1015" s="87"/>
      <c r="BG1015" s="87"/>
      <c r="BH1015" s="87"/>
    </row>
    <row r="1016" spans="4:60" x14ac:dyDescent="0.3">
      <c r="D1016" s="87"/>
      <c r="E1016" s="87"/>
      <c r="F1016" s="87"/>
      <c r="W1016" s="87"/>
      <c r="X1016" s="87"/>
      <c r="Y1016" s="87"/>
      <c r="Z1016" s="87"/>
      <c r="AA1016" s="87"/>
      <c r="AB1016" s="87"/>
      <c r="AM1016" s="87"/>
      <c r="AN1016" s="87"/>
      <c r="AO1016" s="87"/>
      <c r="AP1016" s="87"/>
      <c r="AQ1016" s="87"/>
      <c r="AR1016" s="87"/>
      <c r="BC1016" s="87"/>
      <c r="BD1016" s="87"/>
      <c r="BE1016" s="87"/>
      <c r="BF1016" s="87"/>
      <c r="BG1016" s="87"/>
      <c r="BH1016" s="87"/>
    </row>
    <row r="1017" spans="4:60" x14ac:dyDescent="0.3">
      <c r="D1017" s="87"/>
      <c r="E1017" s="87"/>
      <c r="F1017" s="87"/>
      <c r="W1017" s="87"/>
      <c r="X1017" s="87"/>
      <c r="Y1017" s="87"/>
      <c r="Z1017" s="87"/>
      <c r="AA1017" s="87"/>
      <c r="AB1017" s="87"/>
      <c r="AM1017" s="87"/>
      <c r="AN1017" s="87"/>
      <c r="AO1017" s="87"/>
      <c r="AP1017" s="87"/>
      <c r="AQ1017" s="87"/>
      <c r="AR1017" s="87"/>
      <c r="BC1017" s="87"/>
      <c r="BD1017" s="87"/>
      <c r="BE1017" s="87"/>
      <c r="BF1017" s="87"/>
      <c r="BG1017" s="87"/>
      <c r="BH1017" s="87"/>
    </row>
    <row r="1018" spans="4:60" x14ac:dyDescent="0.3">
      <c r="D1018" s="87"/>
      <c r="E1018" s="87"/>
      <c r="F1018" s="87"/>
      <c r="W1018" s="87"/>
      <c r="X1018" s="87"/>
      <c r="Y1018" s="87"/>
      <c r="Z1018" s="87"/>
      <c r="AA1018" s="87"/>
      <c r="AB1018" s="87"/>
      <c r="AM1018" s="87"/>
      <c r="AN1018" s="87"/>
      <c r="AO1018" s="87"/>
      <c r="AP1018" s="87"/>
      <c r="AQ1018" s="87"/>
      <c r="AR1018" s="87"/>
      <c r="BC1018" s="87"/>
      <c r="BD1018" s="87"/>
      <c r="BE1018" s="87"/>
      <c r="BF1018" s="87"/>
      <c r="BG1018" s="87"/>
      <c r="BH1018" s="87"/>
    </row>
    <row r="1019" spans="4:60" x14ac:dyDescent="0.3">
      <c r="D1019" s="87"/>
      <c r="E1019" s="87"/>
      <c r="F1019" s="87"/>
      <c r="W1019" s="87"/>
      <c r="X1019" s="87"/>
      <c r="Y1019" s="87"/>
      <c r="Z1019" s="87"/>
      <c r="AA1019" s="87"/>
      <c r="AB1019" s="87"/>
      <c r="AM1019" s="87"/>
      <c r="AN1019" s="87"/>
      <c r="AO1019" s="87"/>
      <c r="AP1019" s="87"/>
      <c r="AQ1019" s="87"/>
      <c r="AR1019" s="87"/>
      <c r="BC1019" s="87"/>
      <c r="BD1019" s="87"/>
      <c r="BE1019" s="87"/>
      <c r="BF1019" s="87"/>
      <c r="BG1019" s="87"/>
      <c r="BH1019" s="87"/>
    </row>
    <row r="1020" spans="4:60" x14ac:dyDescent="0.3">
      <c r="D1020" s="87"/>
      <c r="E1020" s="87"/>
      <c r="W1020" s="87"/>
      <c r="X1020" s="87"/>
      <c r="Y1020" s="87"/>
      <c r="Z1020" s="87"/>
      <c r="AA1020" s="87"/>
      <c r="AB1020" s="87"/>
      <c r="AM1020" s="87"/>
      <c r="AN1020" s="87"/>
      <c r="AO1020" s="87"/>
      <c r="AP1020" s="87"/>
      <c r="AQ1020" s="87"/>
      <c r="AR1020" s="87"/>
      <c r="BC1020" s="87"/>
      <c r="BD1020" s="87"/>
      <c r="BE1020" s="87"/>
      <c r="BF1020" s="87"/>
      <c r="BG1020" s="87"/>
      <c r="BH1020" s="87"/>
    </row>
    <row r="1021" spans="4:60" x14ac:dyDescent="0.3">
      <c r="D1021" s="87"/>
      <c r="E1021" s="87"/>
      <c r="W1021" s="87"/>
      <c r="X1021" s="87"/>
      <c r="Y1021" s="87"/>
      <c r="Z1021" s="87"/>
      <c r="AA1021" s="87"/>
      <c r="AB1021" s="87"/>
      <c r="AM1021" s="87"/>
      <c r="AN1021" s="87"/>
      <c r="AO1021" s="87"/>
      <c r="AP1021" s="87"/>
      <c r="AQ1021" s="87"/>
      <c r="AR1021" s="87"/>
      <c r="BC1021" s="87"/>
      <c r="BD1021" s="87"/>
      <c r="BE1021" s="87"/>
      <c r="BF1021" s="87"/>
      <c r="BG1021" s="87"/>
      <c r="BH1021" s="87"/>
    </row>
    <row r="1022" spans="4:60" x14ac:dyDescent="0.3">
      <c r="D1022" s="87"/>
      <c r="E1022" s="87"/>
      <c r="W1022" s="87"/>
      <c r="X1022" s="87"/>
      <c r="Y1022" s="87"/>
      <c r="Z1022" s="87"/>
      <c r="AA1022" s="87"/>
      <c r="AB1022" s="87"/>
      <c r="AM1022" s="87"/>
      <c r="AN1022" s="87"/>
      <c r="AO1022" s="87"/>
      <c r="AP1022" s="87"/>
      <c r="AQ1022" s="87"/>
      <c r="AR1022" s="87"/>
      <c r="BC1022" s="87"/>
      <c r="BD1022" s="87"/>
      <c r="BE1022" s="87"/>
      <c r="BF1022" s="87"/>
      <c r="BG1022" s="87"/>
      <c r="BH1022" s="87"/>
    </row>
    <row r="1023" spans="4:60" x14ac:dyDescent="0.3">
      <c r="D1023" s="87"/>
      <c r="E1023" s="87"/>
      <c r="W1023" s="87"/>
      <c r="X1023" s="87"/>
      <c r="Y1023" s="87"/>
      <c r="Z1023" s="87"/>
      <c r="AA1023" s="87"/>
      <c r="AB1023" s="87"/>
      <c r="AM1023" s="87"/>
      <c r="AN1023" s="87"/>
      <c r="AO1023" s="87"/>
      <c r="AP1023" s="87"/>
      <c r="AQ1023" s="87"/>
      <c r="AR1023" s="87"/>
      <c r="BC1023" s="87"/>
      <c r="BD1023" s="87"/>
      <c r="BE1023" s="87"/>
      <c r="BF1023" s="87"/>
      <c r="BG1023" s="87"/>
      <c r="BH1023" s="87"/>
    </row>
    <row r="1024" spans="4:60" x14ac:dyDescent="0.3">
      <c r="D1024" s="87"/>
      <c r="E1024" s="87"/>
      <c r="W1024" s="87"/>
      <c r="X1024" s="87"/>
      <c r="Y1024" s="87"/>
      <c r="Z1024" s="87"/>
      <c r="AA1024" s="87"/>
      <c r="AB1024" s="87"/>
      <c r="AM1024" s="87"/>
      <c r="AN1024" s="87"/>
      <c r="AO1024" s="87"/>
      <c r="AP1024" s="87"/>
      <c r="AQ1024" s="87"/>
      <c r="AR1024" s="87"/>
      <c r="BC1024" s="87"/>
      <c r="BD1024" s="87"/>
      <c r="BE1024" s="87"/>
      <c r="BF1024" s="87"/>
      <c r="BG1024" s="87"/>
      <c r="BH1024" s="87"/>
    </row>
    <row r="1025" spans="4:60" x14ac:dyDescent="0.3">
      <c r="D1025" s="87"/>
      <c r="E1025" s="87"/>
      <c r="W1025" s="87"/>
      <c r="X1025" s="87"/>
      <c r="Y1025" s="87"/>
      <c r="Z1025" s="87"/>
      <c r="AA1025" s="87"/>
      <c r="AB1025" s="87"/>
      <c r="AM1025" s="87"/>
      <c r="AN1025" s="87"/>
      <c r="AO1025" s="87"/>
      <c r="AP1025" s="87"/>
      <c r="AQ1025" s="87"/>
      <c r="AR1025" s="87"/>
      <c r="BC1025" s="87"/>
      <c r="BD1025" s="87"/>
      <c r="BE1025" s="87"/>
      <c r="BF1025" s="87"/>
      <c r="BG1025" s="87"/>
      <c r="BH1025" s="87"/>
    </row>
    <row r="1026" spans="4:60" x14ac:dyDescent="0.3">
      <c r="D1026" s="87"/>
      <c r="E1026" s="87"/>
      <c r="W1026" s="87"/>
      <c r="X1026" s="87"/>
      <c r="Y1026" s="87"/>
      <c r="Z1026" s="87"/>
      <c r="AA1026" s="87"/>
      <c r="AB1026" s="87"/>
      <c r="AM1026" s="87"/>
      <c r="AN1026" s="87"/>
      <c r="AO1026" s="87"/>
      <c r="AP1026" s="87"/>
      <c r="AQ1026" s="87"/>
      <c r="AR1026" s="87"/>
      <c r="BC1026" s="87"/>
      <c r="BD1026" s="87"/>
      <c r="BE1026" s="87"/>
      <c r="BF1026" s="87"/>
      <c r="BG1026" s="87"/>
      <c r="BH1026" s="87"/>
    </row>
    <row r="1027" spans="4:60" x14ac:dyDescent="0.3">
      <c r="D1027" s="87"/>
      <c r="E1027" s="87"/>
      <c r="W1027" s="87"/>
      <c r="X1027" s="87"/>
      <c r="Y1027" s="87"/>
      <c r="Z1027" s="87"/>
      <c r="AA1027" s="87"/>
      <c r="AB1027" s="87"/>
      <c r="AM1027" s="87"/>
      <c r="AN1027" s="87"/>
      <c r="AO1027" s="87"/>
      <c r="AP1027" s="87"/>
      <c r="AQ1027" s="87"/>
      <c r="AR1027" s="87"/>
      <c r="BC1027" s="87"/>
      <c r="BD1027" s="87"/>
      <c r="BE1027" s="87"/>
      <c r="BF1027" s="87"/>
      <c r="BG1027" s="87"/>
      <c r="BH1027" s="87"/>
    </row>
    <row r="1028" spans="4:60" x14ac:dyDescent="0.3">
      <c r="D1028" s="87"/>
      <c r="E1028" s="87"/>
      <c r="W1028" s="87"/>
      <c r="X1028" s="87"/>
      <c r="Y1028" s="87"/>
      <c r="Z1028" s="87"/>
      <c r="AA1028" s="87"/>
      <c r="AB1028" s="87"/>
      <c r="AM1028" s="87"/>
      <c r="AN1028" s="87"/>
      <c r="AO1028" s="87"/>
      <c r="AP1028" s="87"/>
      <c r="AQ1028" s="87"/>
      <c r="AR1028" s="87"/>
      <c r="BC1028" s="87"/>
      <c r="BD1028" s="87"/>
      <c r="BE1028" s="87"/>
      <c r="BF1028" s="87"/>
      <c r="BG1028" s="87"/>
      <c r="BH1028" s="87"/>
    </row>
    <row r="1029" spans="4:60" x14ac:dyDescent="0.3">
      <c r="D1029" s="87"/>
      <c r="E1029" s="87"/>
      <c r="W1029" s="87"/>
      <c r="X1029" s="87"/>
      <c r="Y1029" s="87"/>
      <c r="Z1029" s="87"/>
      <c r="AA1029" s="87"/>
      <c r="AB1029" s="87"/>
      <c r="AM1029" s="87"/>
      <c r="AN1029" s="87"/>
      <c r="AO1029" s="87"/>
      <c r="AP1029" s="87"/>
      <c r="AQ1029" s="87"/>
      <c r="AR1029" s="87"/>
      <c r="BC1029" s="87"/>
      <c r="BD1029" s="87"/>
      <c r="BE1029" s="87"/>
      <c r="BF1029" s="87"/>
      <c r="BG1029" s="87"/>
      <c r="BH1029" s="87"/>
    </row>
    <row r="1030" spans="4:60" x14ac:dyDescent="0.3">
      <c r="D1030" s="87"/>
      <c r="E1030" s="87"/>
      <c r="W1030" s="87"/>
      <c r="X1030" s="87"/>
      <c r="Y1030" s="87"/>
      <c r="Z1030" s="87"/>
      <c r="AA1030" s="87"/>
      <c r="AB1030" s="87"/>
      <c r="AM1030" s="87"/>
      <c r="AN1030" s="87"/>
      <c r="AO1030" s="87"/>
      <c r="AP1030" s="87"/>
      <c r="AQ1030" s="87"/>
      <c r="AR1030" s="87"/>
      <c r="BC1030" s="87"/>
      <c r="BD1030" s="87"/>
      <c r="BE1030" s="87"/>
      <c r="BF1030" s="87"/>
      <c r="BG1030" s="87"/>
      <c r="BH1030" s="87"/>
    </row>
    <row r="1031" spans="4:60" x14ac:dyDescent="0.3">
      <c r="D1031" s="87"/>
      <c r="E1031" s="87"/>
      <c r="W1031" s="87"/>
      <c r="X1031" s="87"/>
      <c r="Y1031" s="87"/>
      <c r="Z1031" s="87"/>
      <c r="AA1031" s="87"/>
      <c r="AB1031" s="87"/>
      <c r="AM1031" s="87"/>
      <c r="AN1031" s="87"/>
      <c r="AO1031" s="87"/>
      <c r="AP1031" s="87"/>
      <c r="AQ1031" s="87"/>
      <c r="AR1031" s="87"/>
      <c r="BC1031" s="87"/>
      <c r="BD1031" s="87"/>
      <c r="BE1031" s="87"/>
      <c r="BF1031" s="87"/>
      <c r="BG1031" s="87"/>
      <c r="BH1031" s="87"/>
    </row>
    <row r="1032" spans="4:60" x14ac:dyDescent="0.3">
      <c r="D1032" s="87"/>
      <c r="E1032" s="87"/>
      <c r="W1032" s="87"/>
      <c r="X1032" s="87"/>
      <c r="Y1032" s="87"/>
      <c r="Z1032" s="87"/>
      <c r="AA1032" s="87"/>
      <c r="AB1032" s="87"/>
      <c r="AM1032" s="87"/>
      <c r="AN1032" s="87"/>
      <c r="AO1032" s="87"/>
      <c r="AP1032" s="87"/>
      <c r="AQ1032" s="87"/>
      <c r="AR1032" s="87"/>
      <c r="BC1032" s="87"/>
      <c r="BD1032" s="87"/>
      <c r="BE1032" s="87"/>
      <c r="BF1032" s="87"/>
      <c r="BG1032" s="87"/>
      <c r="BH1032" s="87"/>
    </row>
    <row r="1033" spans="4:60" x14ac:dyDescent="0.3">
      <c r="D1033" s="87"/>
      <c r="E1033" s="87"/>
      <c r="W1033" s="87"/>
      <c r="X1033" s="87"/>
      <c r="Y1033" s="87"/>
      <c r="Z1033" s="87"/>
      <c r="AA1033" s="87"/>
      <c r="AB1033" s="87"/>
      <c r="AM1033" s="87"/>
      <c r="AN1033" s="87"/>
      <c r="AO1033" s="87"/>
      <c r="AP1033" s="87"/>
      <c r="AQ1033" s="87"/>
      <c r="AR1033" s="87"/>
      <c r="BC1033" s="87"/>
      <c r="BD1033" s="87"/>
      <c r="BE1033" s="87"/>
      <c r="BF1033" s="87"/>
      <c r="BG1033" s="87"/>
      <c r="BH1033" s="87"/>
    </row>
    <row r="1034" spans="4:60" x14ac:dyDescent="0.3">
      <c r="D1034" s="87"/>
      <c r="E1034" s="87"/>
      <c r="W1034" s="87"/>
      <c r="X1034" s="87"/>
      <c r="Y1034" s="87"/>
      <c r="Z1034" s="87"/>
      <c r="AA1034" s="87"/>
      <c r="AB1034" s="87"/>
      <c r="AM1034" s="87"/>
      <c r="AN1034" s="87"/>
      <c r="AO1034" s="87"/>
      <c r="AP1034" s="87"/>
      <c r="AQ1034" s="87"/>
      <c r="AR1034" s="87"/>
      <c r="BC1034" s="87"/>
      <c r="BD1034" s="87"/>
      <c r="BE1034" s="87"/>
      <c r="BF1034" s="87"/>
      <c r="BG1034" s="87"/>
      <c r="BH1034" s="87"/>
    </row>
    <row r="1035" spans="4:60" x14ac:dyDescent="0.3">
      <c r="D1035" s="87"/>
      <c r="E1035" s="87"/>
      <c r="W1035" s="87"/>
      <c r="X1035" s="87"/>
      <c r="Y1035" s="87"/>
      <c r="Z1035" s="87"/>
      <c r="AA1035" s="87"/>
      <c r="AB1035" s="87"/>
      <c r="AM1035" s="87"/>
      <c r="AN1035" s="87"/>
      <c r="AO1035" s="87"/>
      <c r="AP1035" s="87"/>
      <c r="AQ1035" s="87"/>
      <c r="AR1035" s="87"/>
      <c r="BC1035" s="87"/>
      <c r="BD1035" s="87"/>
      <c r="BE1035" s="87"/>
      <c r="BF1035" s="87"/>
      <c r="BG1035" s="87"/>
      <c r="BH1035" s="87"/>
    </row>
    <row r="1036" spans="4:60" x14ac:dyDescent="0.3">
      <c r="D1036" s="87"/>
      <c r="E1036" s="87"/>
      <c r="W1036" s="87"/>
      <c r="X1036" s="87"/>
      <c r="Y1036" s="87"/>
      <c r="Z1036" s="87"/>
      <c r="AA1036" s="87"/>
      <c r="AB1036" s="87"/>
      <c r="AM1036" s="87"/>
      <c r="AN1036" s="87"/>
      <c r="AO1036" s="87"/>
      <c r="AP1036" s="87"/>
      <c r="AQ1036" s="87"/>
      <c r="AR1036" s="87"/>
      <c r="BC1036" s="87"/>
      <c r="BD1036" s="87"/>
      <c r="BE1036" s="87"/>
      <c r="BF1036" s="87"/>
      <c r="BG1036" s="87"/>
      <c r="BH1036" s="87"/>
    </row>
    <row r="1037" spans="4:60" x14ac:dyDescent="0.3">
      <c r="D1037" s="87"/>
      <c r="E1037" s="87"/>
      <c r="W1037" s="87"/>
      <c r="X1037" s="87"/>
      <c r="Y1037" s="87"/>
      <c r="Z1037" s="87"/>
      <c r="AA1037" s="87"/>
      <c r="AB1037" s="87"/>
      <c r="AM1037" s="87"/>
      <c r="AN1037" s="87"/>
      <c r="AO1037" s="87"/>
      <c r="AP1037" s="87"/>
      <c r="AQ1037" s="87"/>
      <c r="AR1037" s="87"/>
      <c r="BC1037" s="87"/>
      <c r="BD1037" s="87"/>
      <c r="BE1037" s="87"/>
      <c r="BF1037" s="87"/>
      <c r="BG1037" s="87"/>
      <c r="BH1037" s="87"/>
    </row>
    <row r="1038" spans="4:60" x14ac:dyDescent="0.3">
      <c r="D1038" s="87"/>
      <c r="E1038" s="87"/>
      <c r="W1038" s="87"/>
      <c r="X1038" s="87"/>
      <c r="Y1038" s="87"/>
      <c r="Z1038" s="87"/>
      <c r="AA1038" s="87"/>
      <c r="AB1038" s="87"/>
      <c r="AM1038" s="87"/>
      <c r="AN1038" s="87"/>
      <c r="AO1038" s="87"/>
      <c r="AP1038" s="87"/>
      <c r="AQ1038" s="87"/>
      <c r="AR1038" s="87"/>
      <c r="BC1038" s="87"/>
      <c r="BD1038" s="87"/>
      <c r="BE1038" s="87"/>
      <c r="BF1038" s="87"/>
      <c r="BG1038" s="87"/>
      <c r="BH1038" s="87"/>
    </row>
    <row r="1039" spans="4:60" x14ac:dyDescent="0.3">
      <c r="D1039" s="87"/>
      <c r="E1039" s="87"/>
      <c r="W1039" s="87"/>
      <c r="X1039" s="87"/>
      <c r="Y1039" s="87"/>
      <c r="Z1039" s="87"/>
      <c r="AA1039" s="87"/>
      <c r="AB1039" s="87"/>
      <c r="AM1039" s="87"/>
      <c r="AN1039" s="87"/>
      <c r="AO1039" s="87"/>
      <c r="AP1039" s="87"/>
      <c r="AQ1039" s="87"/>
      <c r="AR1039" s="87"/>
      <c r="BC1039" s="87"/>
      <c r="BD1039" s="87"/>
      <c r="BE1039" s="87"/>
      <c r="BF1039" s="87"/>
      <c r="BG1039" s="87"/>
      <c r="BH1039" s="87"/>
    </row>
    <row r="1040" spans="4:60" x14ac:dyDescent="0.3">
      <c r="D1040" s="87"/>
      <c r="E1040" s="87"/>
      <c r="W1040" s="87"/>
      <c r="X1040" s="87"/>
      <c r="Y1040" s="87"/>
      <c r="Z1040" s="87"/>
      <c r="AA1040" s="87"/>
      <c r="AB1040" s="87"/>
      <c r="AM1040" s="87"/>
      <c r="AN1040" s="87"/>
      <c r="AO1040" s="87"/>
      <c r="AP1040" s="87"/>
      <c r="AQ1040" s="87"/>
      <c r="AR1040" s="87"/>
      <c r="BC1040" s="87"/>
      <c r="BD1040" s="87"/>
      <c r="BE1040" s="87"/>
      <c r="BF1040" s="87"/>
      <c r="BG1040" s="87"/>
      <c r="BH1040" s="87"/>
    </row>
    <row r="1041" spans="4:60" x14ac:dyDescent="0.3">
      <c r="D1041" s="87"/>
      <c r="E1041" s="87"/>
      <c r="W1041" s="87"/>
      <c r="X1041" s="87"/>
      <c r="Y1041" s="87"/>
      <c r="Z1041" s="87"/>
      <c r="AA1041" s="87"/>
      <c r="AB1041" s="87"/>
      <c r="AM1041" s="87"/>
      <c r="AN1041" s="87"/>
      <c r="AO1041" s="87"/>
      <c r="AP1041" s="87"/>
      <c r="AQ1041" s="87"/>
      <c r="AR1041" s="87"/>
      <c r="BC1041" s="87"/>
      <c r="BD1041" s="87"/>
      <c r="BE1041" s="87"/>
      <c r="BF1041" s="87"/>
      <c r="BG1041" s="87"/>
      <c r="BH1041" s="87"/>
    </row>
    <row r="1042" spans="4:60" x14ac:dyDescent="0.3">
      <c r="D1042" s="87"/>
      <c r="E1042" s="87"/>
      <c r="W1042" s="87"/>
      <c r="X1042" s="87"/>
      <c r="Y1042" s="87"/>
      <c r="Z1042" s="87"/>
      <c r="AA1042" s="87"/>
      <c r="AB1042" s="87"/>
      <c r="AM1042" s="87"/>
      <c r="AN1042" s="87"/>
      <c r="AO1042" s="87"/>
      <c r="AP1042" s="87"/>
      <c r="AQ1042" s="87"/>
      <c r="AR1042" s="87"/>
      <c r="BC1042" s="87"/>
      <c r="BD1042" s="87"/>
      <c r="BE1042" s="87"/>
      <c r="BF1042" s="87"/>
      <c r="BG1042" s="87"/>
      <c r="BH1042" s="87"/>
    </row>
    <row r="1043" spans="4:60" x14ac:dyDescent="0.3">
      <c r="D1043" s="87"/>
      <c r="E1043" s="87"/>
      <c r="W1043" s="87"/>
      <c r="X1043" s="87"/>
      <c r="Y1043" s="87"/>
      <c r="Z1043" s="87"/>
      <c r="AA1043" s="87"/>
      <c r="AB1043" s="87"/>
      <c r="AM1043" s="87"/>
      <c r="AN1043" s="87"/>
      <c r="AO1043" s="87"/>
      <c r="AP1043" s="87"/>
      <c r="AQ1043" s="87"/>
      <c r="AR1043" s="87"/>
      <c r="BC1043" s="87"/>
      <c r="BD1043" s="87"/>
      <c r="BE1043" s="87"/>
      <c r="BF1043" s="87"/>
      <c r="BG1043" s="87"/>
      <c r="BH1043" s="87"/>
    </row>
    <row r="1044" spans="4:60" x14ac:dyDescent="0.3">
      <c r="D1044" s="87"/>
      <c r="E1044" s="87"/>
      <c r="W1044" s="87"/>
      <c r="X1044" s="87"/>
      <c r="Y1044" s="87"/>
      <c r="Z1044" s="87"/>
      <c r="AA1044" s="87"/>
      <c r="AB1044" s="87"/>
      <c r="AM1044" s="87"/>
      <c r="AN1044" s="87"/>
      <c r="AO1044" s="87"/>
      <c r="AP1044" s="87"/>
      <c r="AQ1044" s="87"/>
      <c r="AR1044" s="87"/>
      <c r="BC1044" s="87"/>
      <c r="BD1044" s="87"/>
      <c r="BE1044" s="87"/>
      <c r="BF1044" s="87"/>
      <c r="BG1044" s="87"/>
      <c r="BH1044" s="87"/>
    </row>
    <row r="1045" spans="4:60" x14ac:dyDescent="0.3">
      <c r="D1045" s="87"/>
      <c r="E1045" s="87"/>
      <c r="W1045" s="87"/>
      <c r="X1045" s="87"/>
      <c r="Y1045" s="87"/>
      <c r="Z1045" s="87"/>
      <c r="AA1045" s="87"/>
      <c r="AB1045" s="87"/>
      <c r="AM1045" s="87"/>
      <c r="AN1045" s="87"/>
      <c r="AO1045" s="87"/>
      <c r="AP1045" s="87"/>
      <c r="AQ1045" s="87"/>
      <c r="AR1045" s="87"/>
      <c r="BC1045" s="87"/>
      <c r="BD1045" s="87"/>
      <c r="BE1045" s="87"/>
      <c r="BF1045" s="87"/>
      <c r="BG1045" s="87"/>
      <c r="BH1045" s="87"/>
    </row>
    <row r="1046" spans="4:60" x14ac:dyDescent="0.3">
      <c r="D1046" s="87"/>
      <c r="E1046" s="87"/>
      <c r="W1046" s="87"/>
      <c r="X1046" s="87"/>
      <c r="Y1046" s="87"/>
      <c r="Z1046" s="87"/>
      <c r="AA1046" s="87"/>
      <c r="AB1046" s="87"/>
      <c r="AM1046" s="87"/>
      <c r="AN1046" s="87"/>
      <c r="AO1046" s="87"/>
      <c r="AP1046" s="87"/>
      <c r="AQ1046" s="87"/>
      <c r="AR1046" s="87"/>
      <c r="BC1046" s="87"/>
      <c r="BD1046" s="87"/>
      <c r="BE1046" s="87"/>
      <c r="BF1046" s="87"/>
      <c r="BG1046" s="87"/>
      <c r="BH1046" s="87"/>
    </row>
    <row r="1047" spans="4:60" x14ac:dyDescent="0.3">
      <c r="D1047" s="87"/>
      <c r="E1047" s="87"/>
      <c r="W1047" s="87"/>
      <c r="X1047" s="87"/>
      <c r="Y1047" s="87"/>
      <c r="Z1047" s="87"/>
      <c r="AA1047" s="87"/>
      <c r="AB1047" s="87"/>
      <c r="AM1047" s="87"/>
      <c r="AN1047" s="87"/>
      <c r="AO1047" s="87"/>
      <c r="AP1047" s="87"/>
      <c r="AQ1047" s="87"/>
      <c r="AR1047" s="87"/>
      <c r="BC1047" s="87"/>
      <c r="BD1047" s="87"/>
      <c r="BE1047" s="87"/>
      <c r="BF1047" s="87"/>
      <c r="BG1047" s="87"/>
      <c r="BH1047" s="87"/>
    </row>
    <row r="1048" spans="4:60" x14ac:dyDescent="0.3">
      <c r="D1048" s="87"/>
      <c r="E1048" s="87"/>
      <c r="W1048" s="87"/>
      <c r="X1048" s="87"/>
      <c r="Y1048" s="87"/>
      <c r="Z1048" s="87"/>
      <c r="AA1048" s="87"/>
      <c r="AB1048" s="87"/>
      <c r="AM1048" s="87"/>
      <c r="AN1048" s="87"/>
      <c r="AO1048" s="87"/>
      <c r="AP1048" s="87"/>
      <c r="AQ1048" s="87"/>
      <c r="AR1048" s="87"/>
      <c r="BC1048" s="87"/>
      <c r="BD1048" s="87"/>
      <c r="BE1048" s="87"/>
      <c r="BF1048" s="87"/>
      <c r="BG1048" s="87"/>
      <c r="BH1048" s="87"/>
    </row>
    <row r="1049" spans="4:60" x14ac:dyDescent="0.3">
      <c r="D1049" s="87"/>
      <c r="E1049" s="87"/>
      <c r="W1049" s="87"/>
      <c r="X1049" s="87"/>
      <c r="Y1049" s="87"/>
      <c r="Z1049" s="87"/>
      <c r="AA1049" s="87"/>
      <c r="AB1049" s="87"/>
      <c r="AM1049" s="87"/>
      <c r="AN1049" s="87"/>
      <c r="AO1049" s="87"/>
      <c r="AP1049" s="87"/>
      <c r="AQ1049" s="87"/>
      <c r="AR1049" s="87"/>
      <c r="BC1049" s="87"/>
      <c r="BD1049" s="87"/>
      <c r="BE1049" s="87"/>
      <c r="BF1049" s="87"/>
      <c r="BG1049" s="87"/>
      <c r="BH1049" s="87"/>
    </row>
    <row r="1050" spans="4:60" x14ac:dyDescent="0.3">
      <c r="D1050" s="87"/>
      <c r="E1050" s="87"/>
      <c r="W1050" s="87"/>
      <c r="X1050" s="87"/>
      <c r="Y1050" s="87"/>
      <c r="Z1050" s="87"/>
      <c r="AA1050" s="87"/>
      <c r="AB1050" s="87"/>
      <c r="AM1050" s="87"/>
      <c r="AN1050" s="87"/>
      <c r="AO1050" s="87"/>
      <c r="AP1050" s="87"/>
      <c r="AQ1050" s="87"/>
      <c r="AR1050" s="87"/>
      <c r="BC1050" s="87"/>
      <c r="BD1050" s="87"/>
      <c r="BE1050" s="87"/>
      <c r="BF1050" s="87"/>
      <c r="BG1050" s="87"/>
      <c r="BH1050" s="87"/>
    </row>
    <row r="1051" spans="4:60" x14ac:dyDescent="0.3">
      <c r="D1051" s="87"/>
      <c r="E1051" s="87"/>
      <c r="W1051" s="87"/>
      <c r="X1051" s="87"/>
      <c r="Y1051" s="87"/>
      <c r="Z1051" s="87"/>
      <c r="AA1051" s="87"/>
      <c r="AB1051" s="87"/>
      <c r="AM1051" s="87"/>
      <c r="AN1051" s="87"/>
      <c r="AO1051" s="87"/>
      <c r="AP1051" s="87"/>
      <c r="AQ1051" s="87"/>
      <c r="AR1051" s="87"/>
      <c r="BC1051" s="87"/>
      <c r="BD1051" s="87"/>
      <c r="BE1051" s="87"/>
      <c r="BF1051" s="87"/>
      <c r="BG1051" s="87"/>
      <c r="BH1051" s="87"/>
    </row>
    <row r="1052" spans="4:60" x14ac:dyDescent="0.3">
      <c r="D1052" s="87"/>
      <c r="E1052" s="87"/>
      <c r="W1052" s="87"/>
      <c r="X1052" s="87"/>
      <c r="Y1052" s="87"/>
      <c r="Z1052" s="87"/>
      <c r="AA1052" s="87"/>
      <c r="AB1052" s="87"/>
      <c r="AM1052" s="87"/>
      <c r="AN1052" s="87"/>
      <c r="AO1052" s="87"/>
      <c r="AP1052" s="87"/>
      <c r="AQ1052" s="87"/>
      <c r="AR1052" s="87"/>
      <c r="BC1052" s="87"/>
      <c r="BD1052" s="87"/>
      <c r="BE1052" s="87"/>
      <c r="BF1052" s="87"/>
      <c r="BG1052" s="87"/>
      <c r="BH1052" s="87"/>
    </row>
    <row r="1053" spans="4:60" x14ac:dyDescent="0.3">
      <c r="D1053" s="87"/>
      <c r="E1053" s="87"/>
      <c r="W1053" s="87"/>
      <c r="X1053" s="87"/>
      <c r="Y1053" s="87"/>
      <c r="Z1053" s="87"/>
      <c r="AA1053" s="87"/>
      <c r="AB1053" s="87"/>
      <c r="AM1053" s="87"/>
      <c r="AN1053" s="87"/>
      <c r="AO1053" s="87"/>
      <c r="AP1053" s="87"/>
      <c r="AQ1053" s="87"/>
      <c r="AR1053" s="87"/>
      <c r="BC1053" s="87"/>
      <c r="BD1053" s="87"/>
      <c r="BE1053" s="87"/>
      <c r="BF1053" s="87"/>
      <c r="BG1053" s="87"/>
      <c r="BH1053" s="87"/>
    </row>
    <row r="1054" spans="4:60" x14ac:dyDescent="0.3">
      <c r="D1054" s="87"/>
      <c r="E1054" s="87"/>
      <c r="W1054" s="87"/>
      <c r="X1054" s="87"/>
      <c r="Y1054" s="87"/>
      <c r="Z1054" s="87"/>
      <c r="AA1054" s="87"/>
      <c r="AB1054" s="87"/>
      <c r="AM1054" s="87"/>
      <c r="AN1054" s="87"/>
      <c r="AO1054" s="87"/>
      <c r="AP1054" s="87"/>
      <c r="AQ1054" s="87"/>
      <c r="AR1054" s="87"/>
      <c r="BC1054" s="87"/>
      <c r="BD1054" s="87"/>
      <c r="BE1054" s="87"/>
      <c r="BF1054" s="87"/>
      <c r="BG1054" s="87"/>
      <c r="BH1054" s="87"/>
    </row>
    <row r="1055" spans="4:60" x14ac:dyDescent="0.3">
      <c r="D1055" s="87"/>
      <c r="E1055" s="87"/>
      <c r="W1055" s="87"/>
      <c r="X1055" s="87"/>
      <c r="Y1055" s="87"/>
      <c r="Z1055" s="87"/>
      <c r="AA1055" s="87"/>
      <c r="AB1055" s="87"/>
      <c r="AM1055" s="87"/>
      <c r="AN1055" s="87"/>
      <c r="AO1055" s="87"/>
      <c r="AP1055" s="87"/>
      <c r="AQ1055" s="87"/>
      <c r="AR1055" s="87"/>
      <c r="BC1055" s="87"/>
      <c r="BD1055" s="87"/>
      <c r="BE1055" s="87"/>
      <c r="BF1055" s="87"/>
      <c r="BG1055" s="87"/>
      <c r="BH1055" s="87"/>
    </row>
    <row r="1056" spans="4:60" x14ac:dyDescent="0.3">
      <c r="D1056" s="87"/>
      <c r="E1056" s="87"/>
      <c r="W1056" s="87"/>
      <c r="X1056" s="87"/>
      <c r="Y1056" s="87"/>
      <c r="Z1056" s="87"/>
      <c r="AA1056" s="87"/>
      <c r="AB1056" s="87"/>
      <c r="AM1056" s="87"/>
      <c r="AN1056" s="87"/>
      <c r="AO1056" s="87"/>
      <c r="AP1056" s="87"/>
      <c r="AQ1056" s="87"/>
      <c r="AR1056" s="87"/>
      <c r="BC1056" s="87"/>
      <c r="BD1056" s="87"/>
      <c r="BE1056" s="87"/>
      <c r="BF1056" s="87"/>
      <c r="BG1056" s="87"/>
      <c r="BH1056" s="87"/>
    </row>
    <row r="1057" spans="4:60" x14ac:dyDescent="0.3">
      <c r="D1057" s="87"/>
      <c r="E1057" s="87"/>
      <c r="W1057" s="87"/>
      <c r="X1057" s="87"/>
      <c r="Y1057" s="87"/>
      <c r="Z1057" s="87"/>
      <c r="AA1057" s="87"/>
      <c r="AB1057" s="87"/>
      <c r="AM1057" s="87"/>
      <c r="AN1057" s="87"/>
      <c r="AO1057" s="87"/>
      <c r="AP1057" s="87"/>
      <c r="AQ1057" s="87"/>
      <c r="AR1057" s="87"/>
      <c r="BC1057" s="87"/>
      <c r="BD1057" s="87"/>
      <c r="BE1057" s="87"/>
      <c r="BF1057" s="87"/>
      <c r="BG1057" s="87"/>
      <c r="BH1057" s="87"/>
    </row>
    <row r="1058" spans="4:60" x14ac:dyDescent="0.3">
      <c r="D1058" s="87"/>
      <c r="E1058" s="87"/>
      <c r="W1058" s="87"/>
      <c r="X1058" s="87"/>
      <c r="Y1058" s="87"/>
      <c r="Z1058" s="87"/>
      <c r="AA1058" s="87"/>
      <c r="AB1058" s="87"/>
      <c r="AM1058" s="87"/>
      <c r="AN1058" s="87"/>
      <c r="AO1058" s="87"/>
      <c r="AP1058" s="87"/>
      <c r="AQ1058" s="87"/>
      <c r="AR1058" s="87"/>
      <c r="BC1058" s="87"/>
      <c r="BD1058" s="87"/>
      <c r="BE1058" s="87"/>
      <c r="BF1058" s="87"/>
      <c r="BG1058" s="87"/>
      <c r="BH1058" s="87"/>
    </row>
    <row r="1059" spans="4:60" x14ac:dyDescent="0.3">
      <c r="D1059" s="87"/>
      <c r="E1059" s="87"/>
      <c r="W1059" s="87"/>
      <c r="X1059" s="87"/>
      <c r="Y1059" s="87"/>
      <c r="Z1059" s="87"/>
      <c r="AA1059" s="87"/>
      <c r="AB1059" s="87"/>
      <c r="AM1059" s="87"/>
      <c r="AN1059" s="87"/>
      <c r="AO1059" s="87"/>
      <c r="AP1059" s="87"/>
      <c r="AQ1059" s="87"/>
      <c r="AR1059" s="87"/>
      <c r="BC1059" s="87"/>
      <c r="BD1059" s="87"/>
      <c r="BE1059" s="87"/>
      <c r="BF1059" s="87"/>
      <c r="BG1059" s="87"/>
      <c r="BH1059" s="87"/>
    </row>
    <row r="1060" spans="4:60" x14ac:dyDescent="0.3">
      <c r="D1060" s="87"/>
      <c r="E1060" s="87"/>
      <c r="W1060" s="87"/>
      <c r="X1060" s="87"/>
      <c r="Y1060" s="87"/>
      <c r="Z1060" s="87"/>
      <c r="AA1060" s="87"/>
      <c r="AB1060" s="87"/>
      <c r="AM1060" s="87"/>
      <c r="AN1060" s="87"/>
      <c r="AO1060" s="87"/>
      <c r="AP1060" s="87"/>
      <c r="AQ1060" s="87"/>
      <c r="AR1060" s="87"/>
      <c r="BC1060" s="87"/>
      <c r="BD1060" s="87"/>
      <c r="BE1060" s="87"/>
      <c r="BF1060" s="87"/>
      <c r="BG1060" s="87"/>
      <c r="BH1060" s="87"/>
    </row>
    <row r="1061" spans="4:60" x14ac:dyDescent="0.3">
      <c r="D1061" s="87"/>
      <c r="E1061" s="87"/>
      <c r="W1061" s="87"/>
      <c r="X1061" s="87"/>
      <c r="Y1061" s="87"/>
      <c r="Z1061" s="87"/>
      <c r="AA1061" s="87"/>
      <c r="AB1061" s="87"/>
      <c r="AM1061" s="87"/>
      <c r="AN1061" s="87"/>
      <c r="AO1061" s="87"/>
      <c r="AP1061" s="87"/>
      <c r="AQ1061" s="87"/>
      <c r="AR1061" s="87"/>
      <c r="BC1061" s="87"/>
      <c r="BD1061" s="87"/>
      <c r="BE1061" s="87"/>
      <c r="BF1061" s="87"/>
      <c r="BG1061" s="87"/>
      <c r="BH1061" s="87"/>
    </row>
    <row r="1062" spans="4:60" x14ac:dyDescent="0.3">
      <c r="D1062" s="87"/>
      <c r="E1062" s="87"/>
      <c r="W1062" s="87"/>
      <c r="X1062" s="87"/>
      <c r="Y1062" s="87"/>
      <c r="Z1062" s="87"/>
      <c r="AA1062" s="87"/>
      <c r="AB1062" s="87"/>
      <c r="AM1062" s="87"/>
      <c r="AN1062" s="87"/>
      <c r="AO1062" s="87"/>
      <c r="AP1062" s="87"/>
      <c r="AQ1062" s="87"/>
      <c r="AR1062" s="87"/>
      <c r="BC1062" s="87"/>
      <c r="BD1062" s="87"/>
      <c r="BE1062" s="87"/>
      <c r="BF1062" s="87"/>
      <c r="BG1062" s="87"/>
      <c r="BH1062" s="87"/>
    </row>
    <row r="1063" spans="4:60" x14ac:dyDescent="0.3">
      <c r="D1063" s="87"/>
      <c r="E1063" s="87"/>
      <c r="W1063" s="87"/>
      <c r="X1063" s="87"/>
      <c r="Y1063" s="87"/>
      <c r="Z1063" s="87"/>
      <c r="AA1063" s="87"/>
      <c r="AB1063" s="87"/>
      <c r="AM1063" s="87"/>
      <c r="AN1063" s="87"/>
      <c r="AO1063" s="87"/>
      <c r="AP1063" s="87"/>
      <c r="AQ1063" s="87"/>
      <c r="AR1063" s="87"/>
      <c r="BC1063" s="87"/>
      <c r="BD1063" s="87"/>
      <c r="BE1063" s="87"/>
      <c r="BF1063" s="87"/>
      <c r="BG1063" s="87"/>
      <c r="BH1063" s="87"/>
    </row>
    <row r="1064" spans="4:60" x14ac:dyDescent="0.3">
      <c r="D1064" s="87"/>
      <c r="E1064" s="87"/>
      <c r="W1064" s="87"/>
      <c r="X1064" s="87"/>
      <c r="Y1064" s="87"/>
      <c r="Z1064" s="87"/>
      <c r="AA1064" s="87"/>
      <c r="AB1064" s="87"/>
      <c r="AM1064" s="87"/>
      <c r="AN1064" s="87"/>
      <c r="AO1064" s="87"/>
      <c r="AP1064" s="87"/>
      <c r="AQ1064" s="87"/>
      <c r="AR1064" s="87"/>
      <c r="BC1064" s="87"/>
      <c r="BD1064" s="87"/>
      <c r="BE1064" s="87"/>
      <c r="BF1064" s="87"/>
      <c r="BG1064" s="87"/>
      <c r="BH1064" s="87"/>
    </row>
    <row r="1065" spans="4:60" x14ac:dyDescent="0.3">
      <c r="D1065" s="87"/>
      <c r="E1065" s="87"/>
      <c r="W1065" s="87"/>
      <c r="X1065" s="87"/>
      <c r="Y1065" s="87"/>
      <c r="Z1065" s="87"/>
      <c r="AA1065" s="87"/>
      <c r="AB1065" s="87"/>
      <c r="AM1065" s="87"/>
      <c r="AN1065" s="87"/>
      <c r="AO1065" s="87"/>
      <c r="AP1065" s="87"/>
      <c r="AQ1065" s="87"/>
      <c r="AR1065" s="87"/>
      <c r="BC1065" s="87"/>
      <c r="BD1065" s="87"/>
      <c r="BE1065" s="87"/>
      <c r="BF1065" s="87"/>
      <c r="BG1065" s="87"/>
      <c r="BH1065" s="87"/>
    </row>
    <row r="1066" spans="4:60" x14ac:dyDescent="0.3">
      <c r="D1066" s="87"/>
      <c r="E1066" s="87"/>
      <c r="W1066" s="87"/>
      <c r="X1066" s="87"/>
      <c r="Y1066" s="87"/>
      <c r="Z1066" s="87"/>
      <c r="AA1066" s="87"/>
      <c r="AB1066" s="87"/>
      <c r="AM1066" s="87"/>
      <c r="AN1066" s="87"/>
      <c r="AO1066" s="87"/>
      <c r="AP1066" s="87"/>
      <c r="AQ1066" s="87"/>
      <c r="AR1066" s="87"/>
      <c r="BC1066" s="87"/>
      <c r="BD1066" s="87"/>
      <c r="BE1066" s="87"/>
      <c r="BF1066" s="87"/>
      <c r="BG1066" s="87"/>
      <c r="BH1066" s="87"/>
    </row>
    <row r="1067" spans="4:60" x14ac:dyDescent="0.3">
      <c r="D1067" s="87"/>
      <c r="E1067" s="87"/>
      <c r="W1067" s="87"/>
      <c r="X1067" s="87"/>
      <c r="Y1067" s="87"/>
      <c r="Z1067" s="87"/>
      <c r="AA1067" s="87"/>
      <c r="AB1067" s="87"/>
      <c r="AM1067" s="87"/>
      <c r="AN1067" s="87"/>
      <c r="AO1067" s="87"/>
      <c r="AP1067" s="87"/>
      <c r="AQ1067" s="87"/>
      <c r="AR1067" s="87"/>
      <c r="BC1067" s="87"/>
      <c r="BD1067" s="87"/>
      <c r="BE1067" s="87"/>
      <c r="BF1067" s="87"/>
      <c r="BG1067" s="87"/>
      <c r="BH1067" s="87"/>
    </row>
    <row r="1068" spans="4:60" x14ac:dyDescent="0.3">
      <c r="D1068" s="87"/>
      <c r="E1068" s="87"/>
      <c r="W1068" s="87"/>
      <c r="X1068" s="87"/>
      <c r="Y1068" s="87"/>
      <c r="Z1068" s="87"/>
      <c r="AA1068" s="87"/>
      <c r="AB1068" s="87"/>
      <c r="AM1068" s="87"/>
      <c r="AN1068" s="87"/>
      <c r="AO1068" s="87"/>
      <c r="AP1068" s="87"/>
      <c r="AQ1068" s="87"/>
      <c r="AR1068" s="87"/>
      <c r="BC1068" s="87"/>
      <c r="BD1068" s="87"/>
      <c r="BE1068" s="87"/>
      <c r="BF1068" s="87"/>
      <c r="BG1068" s="87"/>
      <c r="BH1068" s="87"/>
    </row>
    <row r="1069" spans="4:60" x14ac:dyDescent="0.3">
      <c r="D1069" s="87"/>
      <c r="E1069" s="87"/>
      <c r="W1069" s="87"/>
      <c r="X1069" s="87"/>
      <c r="Y1069" s="87"/>
      <c r="Z1069" s="87"/>
      <c r="AA1069" s="87"/>
      <c r="AB1069" s="87"/>
      <c r="AM1069" s="87"/>
      <c r="AN1069" s="87"/>
      <c r="AO1069" s="87"/>
      <c r="AP1069" s="87"/>
      <c r="AQ1069" s="87"/>
      <c r="AR1069" s="87"/>
      <c r="BC1069" s="87"/>
      <c r="BD1069" s="87"/>
      <c r="BE1069" s="87"/>
      <c r="BF1069" s="87"/>
      <c r="BG1069" s="87"/>
      <c r="BH1069" s="87"/>
    </row>
    <row r="1070" spans="4:60" x14ac:dyDescent="0.3">
      <c r="D1070" s="87"/>
      <c r="E1070" s="87"/>
      <c r="W1070" s="87"/>
      <c r="X1070" s="87"/>
      <c r="Y1070" s="87"/>
      <c r="Z1070" s="87"/>
      <c r="AA1070" s="87"/>
      <c r="AB1070" s="87"/>
      <c r="AM1070" s="87"/>
      <c r="AN1070" s="87"/>
      <c r="AO1070" s="87"/>
      <c r="AP1070" s="87"/>
      <c r="AQ1070" s="87"/>
      <c r="AR1070" s="87"/>
      <c r="BC1070" s="87"/>
      <c r="BD1070" s="87"/>
      <c r="BE1070" s="87"/>
      <c r="BF1070" s="87"/>
      <c r="BG1070" s="87"/>
      <c r="BH1070" s="87"/>
    </row>
    <row r="1071" spans="4:60" x14ac:dyDescent="0.3">
      <c r="D1071" s="87"/>
      <c r="E1071" s="87"/>
      <c r="W1071" s="87"/>
      <c r="X1071" s="87"/>
      <c r="Y1071" s="87"/>
      <c r="Z1071" s="87"/>
      <c r="AA1071" s="87"/>
      <c r="AB1071" s="87"/>
      <c r="AM1071" s="87"/>
      <c r="AN1071" s="87"/>
      <c r="AO1071" s="87"/>
      <c r="AP1071" s="87"/>
      <c r="AQ1071" s="87"/>
      <c r="AR1071" s="87"/>
      <c r="BC1071" s="87"/>
      <c r="BD1071" s="87"/>
      <c r="BE1071" s="87"/>
      <c r="BF1071" s="87"/>
      <c r="BG1071" s="87"/>
      <c r="BH1071" s="87"/>
    </row>
    <row r="1072" spans="4:60" x14ac:dyDescent="0.3">
      <c r="D1072" s="87"/>
      <c r="E1072" s="87"/>
      <c r="W1072" s="87"/>
      <c r="X1072" s="87"/>
      <c r="Y1072" s="87"/>
      <c r="Z1072" s="87"/>
      <c r="AA1072" s="87"/>
      <c r="AB1072" s="87"/>
      <c r="AM1072" s="87"/>
      <c r="AN1072" s="87"/>
      <c r="AO1072" s="87"/>
      <c r="AP1072" s="87"/>
      <c r="AQ1072" s="87"/>
      <c r="AR1072" s="87"/>
      <c r="BC1072" s="87"/>
      <c r="BD1072" s="87"/>
      <c r="BE1072" s="87"/>
      <c r="BF1072" s="87"/>
      <c r="BG1072" s="87"/>
      <c r="BH1072" s="87"/>
    </row>
    <row r="1073" spans="4:60" x14ac:dyDescent="0.3">
      <c r="D1073" s="87"/>
      <c r="E1073" s="87"/>
      <c r="W1073" s="87"/>
      <c r="X1073" s="87"/>
      <c r="Y1073" s="87"/>
      <c r="Z1073" s="87"/>
      <c r="AA1073" s="87"/>
      <c r="AB1073" s="87"/>
      <c r="AM1073" s="87"/>
      <c r="AN1073" s="87"/>
      <c r="AO1073" s="87"/>
      <c r="AP1073" s="87"/>
      <c r="AQ1073" s="87"/>
      <c r="AR1073" s="87"/>
      <c r="BC1073" s="87"/>
      <c r="BD1073" s="87"/>
      <c r="BE1073" s="87"/>
      <c r="BF1073" s="87"/>
      <c r="BG1073" s="87"/>
      <c r="BH1073" s="87"/>
    </row>
    <row r="1074" spans="4:60" x14ac:dyDescent="0.3">
      <c r="D1074" s="87"/>
      <c r="E1074" s="87"/>
      <c r="W1074" s="87"/>
      <c r="X1074" s="87"/>
      <c r="Y1074" s="87"/>
      <c r="Z1074" s="87"/>
      <c r="AA1074" s="87"/>
      <c r="AB1074" s="87"/>
      <c r="AM1074" s="87"/>
      <c r="AN1074" s="87"/>
      <c r="AO1074" s="87"/>
      <c r="AP1074" s="87"/>
      <c r="AQ1074" s="87"/>
      <c r="AR1074" s="87"/>
      <c r="BC1074" s="87"/>
      <c r="BD1074" s="87"/>
      <c r="BE1074" s="87"/>
      <c r="BF1074" s="87"/>
      <c r="BG1074" s="87"/>
      <c r="BH1074" s="87"/>
    </row>
    <row r="1075" spans="4:60" x14ac:dyDescent="0.3">
      <c r="D1075" s="87"/>
      <c r="E1075" s="87"/>
      <c r="W1075" s="87"/>
      <c r="X1075" s="87"/>
      <c r="Y1075" s="87"/>
      <c r="Z1075" s="87"/>
      <c r="AA1075" s="87"/>
      <c r="AB1075" s="87"/>
      <c r="AM1075" s="87"/>
      <c r="AN1075" s="87"/>
      <c r="AO1075" s="87"/>
      <c r="AP1075" s="87"/>
      <c r="AQ1075" s="87"/>
      <c r="AR1075" s="87"/>
      <c r="BC1075" s="87"/>
      <c r="BD1075" s="87"/>
      <c r="BE1075" s="87"/>
      <c r="BF1075" s="87"/>
      <c r="BG1075" s="87"/>
      <c r="BH1075" s="87"/>
    </row>
    <row r="1076" spans="4:60" x14ac:dyDescent="0.3">
      <c r="D1076" s="87"/>
      <c r="E1076" s="87"/>
      <c r="W1076" s="87"/>
      <c r="X1076" s="87"/>
      <c r="Y1076" s="87"/>
      <c r="Z1076" s="87"/>
      <c r="AA1076" s="87"/>
      <c r="AB1076" s="87"/>
      <c r="AM1076" s="87"/>
      <c r="AN1076" s="87"/>
      <c r="AO1076" s="87"/>
      <c r="AP1076" s="87"/>
      <c r="AQ1076" s="87"/>
      <c r="AR1076" s="87"/>
      <c r="BC1076" s="87"/>
      <c r="BD1076" s="87"/>
      <c r="BE1076" s="87"/>
      <c r="BF1076" s="87"/>
      <c r="BG1076" s="87"/>
      <c r="BH1076" s="87"/>
    </row>
    <row r="1077" spans="4:60" x14ac:dyDescent="0.3">
      <c r="D1077" s="87"/>
      <c r="E1077" s="87"/>
      <c r="W1077" s="87"/>
      <c r="X1077" s="87"/>
      <c r="Y1077" s="87"/>
      <c r="Z1077" s="87"/>
      <c r="AA1077" s="87"/>
      <c r="AB1077" s="87"/>
      <c r="AM1077" s="87"/>
      <c r="AN1077" s="87"/>
      <c r="AO1077" s="87"/>
      <c r="AP1077" s="87"/>
      <c r="AQ1077" s="87"/>
      <c r="AR1077" s="87"/>
      <c r="BC1077" s="87"/>
      <c r="BD1077" s="87"/>
      <c r="BE1077" s="87"/>
      <c r="BF1077" s="87"/>
      <c r="BG1077" s="87"/>
      <c r="BH1077" s="87"/>
    </row>
    <row r="1078" spans="4:60" x14ac:dyDescent="0.3">
      <c r="D1078" s="87"/>
      <c r="E1078" s="87"/>
      <c r="W1078" s="87"/>
      <c r="X1078" s="87"/>
      <c r="Y1078" s="87"/>
      <c r="Z1078" s="87"/>
      <c r="AA1078" s="87"/>
      <c r="AB1078" s="87"/>
      <c r="AM1078" s="87"/>
      <c r="AN1078" s="87"/>
      <c r="AO1078" s="87"/>
      <c r="AP1078" s="87"/>
      <c r="AQ1078" s="87"/>
      <c r="AR1078" s="87"/>
      <c r="BC1078" s="87"/>
      <c r="BD1078" s="87"/>
      <c r="BE1078" s="87"/>
      <c r="BF1078" s="87"/>
      <c r="BG1078" s="87"/>
      <c r="BH1078" s="87"/>
    </row>
    <row r="1079" spans="4:60" x14ac:dyDescent="0.3">
      <c r="D1079" s="87"/>
      <c r="E1079" s="87"/>
      <c r="W1079" s="87"/>
      <c r="X1079" s="87"/>
      <c r="Y1079" s="87"/>
      <c r="Z1079" s="87"/>
      <c r="AA1079" s="87"/>
      <c r="AB1079" s="87"/>
      <c r="AM1079" s="87"/>
      <c r="AN1079" s="87"/>
      <c r="AO1079" s="87"/>
      <c r="AP1079" s="87"/>
      <c r="AQ1079" s="87"/>
      <c r="AR1079" s="87"/>
      <c r="BC1079" s="87"/>
      <c r="BD1079" s="87"/>
      <c r="BE1079" s="87"/>
      <c r="BF1079" s="87"/>
      <c r="BG1079" s="87"/>
      <c r="BH1079" s="87"/>
    </row>
    <row r="1080" spans="4:60" x14ac:dyDescent="0.3">
      <c r="D1080" s="87"/>
      <c r="E1080" s="87"/>
      <c r="W1080" s="87"/>
      <c r="X1080" s="87"/>
      <c r="Y1080" s="87"/>
      <c r="Z1080" s="87"/>
      <c r="AA1080" s="87"/>
      <c r="AB1080" s="87"/>
      <c r="AM1080" s="87"/>
      <c r="AN1080" s="87"/>
      <c r="AO1080" s="87"/>
      <c r="AP1080" s="87"/>
      <c r="AQ1080" s="87"/>
      <c r="AR1080" s="87"/>
      <c r="BC1080" s="87"/>
      <c r="BD1080" s="87"/>
      <c r="BE1080" s="87"/>
      <c r="BF1080" s="87"/>
      <c r="BG1080" s="87"/>
      <c r="BH1080" s="87"/>
    </row>
    <row r="1081" spans="4:60" x14ac:dyDescent="0.3">
      <c r="D1081" s="87"/>
      <c r="E1081" s="87"/>
      <c r="W1081" s="87"/>
      <c r="X1081" s="87"/>
      <c r="Y1081" s="87"/>
      <c r="Z1081" s="87"/>
      <c r="AA1081" s="87"/>
      <c r="AB1081" s="87"/>
      <c r="AM1081" s="87"/>
      <c r="AN1081" s="87"/>
      <c r="AO1081" s="87"/>
      <c r="AP1081" s="87"/>
      <c r="AQ1081" s="87"/>
      <c r="AR1081" s="87"/>
      <c r="BC1081" s="87"/>
      <c r="BD1081" s="87"/>
      <c r="BE1081" s="87"/>
      <c r="BF1081" s="87"/>
      <c r="BG1081" s="87"/>
      <c r="BH1081" s="87"/>
    </row>
    <row r="1082" spans="4:60" x14ac:dyDescent="0.3">
      <c r="D1082" s="87"/>
      <c r="E1082" s="87"/>
      <c r="W1082" s="87"/>
      <c r="X1082" s="87"/>
      <c r="Y1082" s="87"/>
      <c r="Z1082" s="87"/>
      <c r="AA1082" s="87"/>
      <c r="AB1082" s="87"/>
      <c r="AM1082" s="87"/>
      <c r="AN1082" s="87"/>
      <c r="AO1082" s="87"/>
      <c r="AP1082" s="87"/>
      <c r="AQ1082" s="87"/>
      <c r="AR1082" s="87"/>
      <c r="BC1082" s="87"/>
      <c r="BD1082" s="87"/>
      <c r="BE1082" s="87"/>
      <c r="BF1082" s="87"/>
      <c r="BG1082" s="87"/>
      <c r="BH1082" s="87"/>
    </row>
    <row r="1083" spans="4:60" x14ac:dyDescent="0.3">
      <c r="D1083" s="87"/>
      <c r="E1083" s="87"/>
      <c r="W1083" s="87"/>
      <c r="X1083" s="87"/>
      <c r="Y1083" s="87"/>
      <c r="Z1083" s="87"/>
      <c r="AA1083" s="87"/>
      <c r="AB1083" s="87"/>
      <c r="AM1083" s="87"/>
      <c r="AN1083" s="87"/>
      <c r="AO1083" s="87"/>
      <c r="AP1083" s="87"/>
      <c r="AQ1083" s="87"/>
      <c r="AR1083" s="87"/>
      <c r="BC1083" s="87"/>
      <c r="BD1083" s="87"/>
      <c r="BE1083" s="87"/>
      <c r="BF1083" s="87"/>
      <c r="BG1083" s="87"/>
      <c r="BH1083" s="87"/>
    </row>
    <row r="1084" spans="4:60" x14ac:dyDescent="0.3">
      <c r="D1084" s="87"/>
      <c r="E1084" s="87"/>
      <c r="W1084" s="87"/>
      <c r="X1084" s="87"/>
      <c r="Y1084" s="87"/>
      <c r="Z1084" s="87"/>
      <c r="AA1084" s="87"/>
      <c r="AB1084" s="87"/>
      <c r="AM1084" s="87"/>
      <c r="AN1084" s="87"/>
      <c r="AO1084" s="87"/>
      <c r="AP1084" s="87"/>
      <c r="AQ1084" s="87"/>
      <c r="AR1084" s="87"/>
      <c r="BC1084" s="87"/>
      <c r="BD1084" s="87"/>
      <c r="BE1084" s="87"/>
      <c r="BF1084" s="87"/>
      <c r="BG1084" s="87"/>
      <c r="BH1084" s="87"/>
    </row>
    <row r="1085" spans="4:60" x14ac:dyDescent="0.3">
      <c r="D1085" s="87"/>
      <c r="E1085" s="87"/>
      <c r="W1085" s="87"/>
      <c r="X1085" s="87"/>
      <c r="Y1085" s="87"/>
      <c r="Z1085" s="87"/>
      <c r="AA1085" s="87"/>
      <c r="AB1085" s="87"/>
      <c r="AM1085" s="87"/>
      <c r="AN1085" s="87"/>
      <c r="AO1085" s="87"/>
      <c r="AP1085" s="87"/>
      <c r="AQ1085" s="87"/>
      <c r="AR1085" s="87"/>
      <c r="BC1085" s="87"/>
      <c r="BD1085" s="87"/>
      <c r="BE1085" s="87"/>
      <c r="BF1085" s="87"/>
      <c r="BG1085" s="87"/>
      <c r="BH1085" s="87"/>
    </row>
    <row r="1086" spans="4:60" x14ac:dyDescent="0.3">
      <c r="D1086" s="87"/>
      <c r="E1086" s="87"/>
      <c r="W1086" s="87"/>
      <c r="X1086" s="87"/>
      <c r="Y1086" s="87"/>
      <c r="Z1086" s="87"/>
      <c r="AA1086" s="87"/>
      <c r="AB1086" s="87"/>
      <c r="AM1086" s="87"/>
      <c r="AN1086" s="87"/>
      <c r="AO1086" s="87"/>
      <c r="AP1086" s="87"/>
      <c r="AQ1086" s="87"/>
      <c r="AR1086" s="87"/>
      <c r="BC1086" s="87"/>
      <c r="BD1086" s="87"/>
      <c r="BE1086" s="87"/>
      <c r="BF1086" s="87"/>
      <c r="BG1086" s="87"/>
      <c r="BH1086" s="87"/>
    </row>
    <row r="1087" spans="4:60" x14ac:dyDescent="0.3">
      <c r="D1087" s="87"/>
      <c r="E1087" s="87"/>
      <c r="W1087" s="87"/>
      <c r="X1087" s="87"/>
      <c r="Y1087" s="87"/>
      <c r="Z1087" s="87"/>
      <c r="AA1087" s="87"/>
      <c r="AB1087" s="87"/>
      <c r="AM1087" s="87"/>
      <c r="AN1087" s="87"/>
      <c r="AO1087" s="87"/>
      <c r="AP1087" s="87"/>
      <c r="AQ1087" s="87"/>
      <c r="AR1087" s="87"/>
      <c r="BC1087" s="87"/>
      <c r="BD1087" s="87"/>
      <c r="BE1087" s="87"/>
      <c r="BF1087" s="87"/>
      <c r="BG1087" s="87"/>
      <c r="BH1087" s="87"/>
    </row>
    <row r="1088" spans="4:60" x14ac:dyDescent="0.3">
      <c r="D1088" s="87"/>
      <c r="E1088" s="87"/>
      <c r="W1088" s="87"/>
      <c r="X1088" s="87"/>
      <c r="Y1088" s="87"/>
      <c r="Z1088" s="87"/>
      <c r="AA1088" s="87"/>
      <c r="AB1088" s="87"/>
      <c r="AM1088" s="87"/>
      <c r="AN1088" s="87"/>
      <c r="AO1088" s="87"/>
      <c r="AP1088" s="87"/>
      <c r="AQ1088" s="87"/>
      <c r="AR1088" s="87"/>
      <c r="BC1088" s="87"/>
      <c r="BD1088" s="87"/>
      <c r="BE1088" s="87"/>
      <c r="BF1088" s="87"/>
      <c r="BG1088" s="87"/>
      <c r="BH1088" s="87"/>
    </row>
    <row r="1089" spans="4:60" x14ac:dyDescent="0.3">
      <c r="D1089" s="87"/>
      <c r="E1089" s="87"/>
      <c r="W1089" s="87"/>
      <c r="X1089" s="87"/>
      <c r="Y1089" s="87"/>
      <c r="Z1089" s="87"/>
      <c r="AA1089" s="87"/>
      <c r="AB1089" s="87"/>
      <c r="AM1089" s="87"/>
      <c r="AN1089" s="87"/>
      <c r="AO1089" s="87"/>
      <c r="AP1089" s="87"/>
      <c r="AQ1089" s="87"/>
      <c r="AR1089" s="87"/>
      <c r="BC1089" s="87"/>
      <c r="BD1089" s="87"/>
      <c r="BE1089" s="87"/>
      <c r="BF1089" s="87"/>
      <c r="BG1089" s="87"/>
      <c r="BH1089" s="87"/>
    </row>
    <row r="1090" spans="4:60" x14ac:dyDescent="0.3">
      <c r="D1090" s="87"/>
      <c r="E1090" s="87"/>
      <c r="W1090" s="87"/>
      <c r="X1090" s="87"/>
      <c r="Y1090" s="87"/>
      <c r="Z1090" s="87"/>
      <c r="AA1090" s="87"/>
      <c r="AB1090" s="87"/>
      <c r="AM1090" s="87"/>
      <c r="AN1090" s="87"/>
      <c r="AO1090" s="87"/>
      <c r="AP1090" s="87"/>
      <c r="AQ1090" s="87"/>
      <c r="AR1090" s="87"/>
      <c r="BC1090" s="87"/>
      <c r="BD1090" s="87"/>
      <c r="BE1090" s="87"/>
      <c r="BF1090" s="87"/>
      <c r="BG1090" s="87"/>
      <c r="BH1090" s="87"/>
    </row>
    <row r="1091" spans="4:60" x14ac:dyDescent="0.3">
      <c r="D1091" s="87"/>
      <c r="E1091" s="87"/>
      <c r="W1091" s="87"/>
      <c r="X1091" s="87"/>
      <c r="Y1091" s="87"/>
      <c r="Z1091" s="87"/>
      <c r="AA1091" s="87"/>
      <c r="AB1091" s="87"/>
      <c r="AM1091" s="87"/>
      <c r="AN1091" s="87"/>
      <c r="AO1091" s="87"/>
      <c r="AP1091" s="87"/>
      <c r="AQ1091" s="87"/>
      <c r="AR1091" s="87"/>
      <c r="BC1091" s="87"/>
      <c r="BD1091" s="87"/>
      <c r="BE1091" s="87"/>
      <c r="BF1091" s="87"/>
      <c r="BG1091" s="87"/>
      <c r="BH1091" s="87"/>
    </row>
    <row r="1092" spans="4:60" x14ac:dyDescent="0.3">
      <c r="D1092" s="87"/>
      <c r="E1092" s="87"/>
      <c r="W1092" s="87"/>
      <c r="X1092" s="87"/>
      <c r="Y1092" s="87"/>
      <c r="Z1092" s="87"/>
      <c r="AA1092" s="87"/>
      <c r="AB1092" s="87"/>
      <c r="AM1092" s="87"/>
      <c r="AN1092" s="87"/>
      <c r="AO1092" s="87"/>
      <c r="AP1092" s="87"/>
      <c r="AQ1092" s="87"/>
      <c r="AR1092" s="87"/>
      <c r="BC1092" s="87"/>
      <c r="BD1092" s="87"/>
      <c r="BE1092" s="87"/>
      <c r="BF1092" s="87"/>
      <c r="BG1092" s="87"/>
      <c r="BH1092" s="87"/>
    </row>
    <row r="1093" spans="4:60" x14ac:dyDescent="0.3">
      <c r="D1093" s="87"/>
      <c r="E1093" s="87"/>
      <c r="W1093" s="87"/>
      <c r="X1093" s="87"/>
      <c r="Y1093" s="87"/>
      <c r="Z1093" s="87"/>
      <c r="AA1093" s="87"/>
      <c r="AB1093" s="87"/>
      <c r="AM1093" s="87"/>
      <c r="AN1093" s="87"/>
      <c r="AO1093" s="87"/>
      <c r="AP1093" s="87"/>
      <c r="AQ1093" s="87"/>
      <c r="AR1093" s="87"/>
      <c r="BC1093" s="87"/>
      <c r="BD1093" s="87"/>
      <c r="BE1093" s="87"/>
      <c r="BF1093" s="87"/>
      <c r="BG1093" s="87"/>
      <c r="BH1093" s="87"/>
    </row>
    <row r="1094" spans="4:60" x14ac:dyDescent="0.3">
      <c r="D1094" s="87"/>
      <c r="E1094" s="87"/>
      <c r="W1094" s="87"/>
      <c r="X1094" s="87"/>
      <c r="Y1094" s="87"/>
      <c r="Z1094" s="87"/>
      <c r="AA1094" s="87"/>
      <c r="AB1094" s="87"/>
      <c r="AM1094" s="87"/>
      <c r="AN1094" s="87"/>
      <c r="AO1094" s="87"/>
      <c r="AP1094" s="87"/>
      <c r="AQ1094" s="87"/>
      <c r="AR1094" s="87"/>
      <c r="BC1094" s="87"/>
      <c r="BD1094" s="87"/>
      <c r="BE1094" s="87"/>
      <c r="BF1094" s="87"/>
      <c r="BG1094" s="87"/>
      <c r="BH1094" s="87"/>
    </row>
    <row r="1095" spans="4:60" x14ac:dyDescent="0.3">
      <c r="D1095" s="87"/>
      <c r="E1095" s="87"/>
      <c r="W1095" s="87"/>
      <c r="X1095" s="87"/>
      <c r="Y1095" s="87"/>
      <c r="Z1095" s="87"/>
      <c r="AA1095" s="87"/>
      <c r="AB1095" s="87"/>
      <c r="AM1095" s="87"/>
      <c r="AN1095" s="87"/>
      <c r="AO1095" s="87"/>
      <c r="AP1095" s="87"/>
      <c r="AQ1095" s="87"/>
      <c r="AR1095" s="87"/>
      <c r="BC1095" s="87"/>
      <c r="BD1095" s="87"/>
      <c r="BE1095" s="87"/>
      <c r="BF1095" s="87"/>
      <c r="BG1095" s="87"/>
      <c r="BH1095" s="87"/>
    </row>
    <row r="1096" spans="4:60" x14ac:dyDescent="0.3">
      <c r="D1096" s="87"/>
      <c r="E1096" s="87"/>
      <c r="W1096" s="87"/>
      <c r="X1096" s="87"/>
      <c r="Y1096" s="87"/>
      <c r="Z1096" s="87"/>
      <c r="AA1096" s="87"/>
      <c r="AB1096" s="87"/>
      <c r="AM1096" s="87"/>
      <c r="AN1096" s="87"/>
      <c r="AO1096" s="87"/>
      <c r="AP1096" s="87"/>
      <c r="AQ1096" s="87"/>
      <c r="AR1096" s="87"/>
      <c r="BC1096" s="87"/>
      <c r="BD1096" s="87"/>
      <c r="BE1096" s="87"/>
      <c r="BF1096" s="87"/>
      <c r="BG1096" s="87"/>
      <c r="BH1096" s="87"/>
    </row>
    <row r="1097" spans="4:60" x14ac:dyDescent="0.3">
      <c r="D1097" s="87"/>
      <c r="E1097" s="87"/>
      <c r="W1097" s="87"/>
      <c r="X1097" s="87"/>
      <c r="Y1097" s="87"/>
      <c r="Z1097" s="87"/>
      <c r="AA1097" s="87"/>
      <c r="AB1097" s="87"/>
      <c r="AM1097" s="87"/>
      <c r="AN1097" s="87"/>
      <c r="AO1097" s="87"/>
      <c r="AP1097" s="87"/>
      <c r="AQ1097" s="87"/>
      <c r="AR1097" s="87"/>
      <c r="BC1097" s="87"/>
      <c r="BD1097" s="87"/>
      <c r="BE1097" s="87"/>
      <c r="BF1097" s="87"/>
      <c r="BG1097" s="87"/>
      <c r="BH1097" s="87"/>
    </row>
    <row r="1098" spans="4:60" x14ac:dyDescent="0.3">
      <c r="D1098" s="87"/>
      <c r="E1098" s="87"/>
      <c r="W1098" s="87"/>
      <c r="X1098" s="87"/>
      <c r="Y1098" s="87"/>
      <c r="Z1098" s="87"/>
      <c r="AA1098" s="87"/>
      <c r="AB1098" s="87"/>
      <c r="AM1098" s="87"/>
      <c r="AN1098" s="87"/>
      <c r="AO1098" s="87"/>
      <c r="AP1098" s="87"/>
      <c r="AQ1098" s="87"/>
      <c r="AR1098" s="87"/>
      <c r="BC1098" s="87"/>
      <c r="BD1098" s="87"/>
      <c r="BE1098" s="87"/>
      <c r="BF1098" s="87"/>
      <c r="BG1098" s="87"/>
      <c r="BH1098" s="87"/>
    </row>
    <row r="1099" spans="4:60" x14ac:dyDescent="0.3">
      <c r="D1099" s="87"/>
      <c r="E1099" s="87"/>
      <c r="W1099" s="87"/>
      <c r="X1099" s="87"/>
      <c r="Y1099" s="87"/>
      <c r="Z1099" s="87"/>
      <c r="AA1099" s="87"/>
      <c r="AB1099" s="87"/>
      <c r="AM1099" s="87"/>
      <c r="AN1099" s="87"/>
      <c r="AO1099" s="87"/>
      <c r="AP1099" s="87"/>
      <c r="AQ1099" s="87"/>
      <c r="AR1099" s="87"/>
      <c r="BC1099" s="87"/>
      <c r="BD1099" s="87"/>
      <c r="BE1099" s="87"/>
      <c r="BF1099" s="87"/>
      <c r="BG1099" s="87"/>
      <c r="BH1099" s="87"/>
    </row>
    <row r="1100" spans="4:60" x14ac:dyDescent="0.3">
      <c r="D1100" s="87"/>
      <c r="E1100" s="87"/>
      <c r="W1100" s="87"/>
      <c r="X1100" s="87"/>
      <c r="Y1100" s="87"/>
      <c r="Z1100" s="87"/>
      <c r="AA1100" s="87"/>
      <c r="AB1100" s="87"/>
      <c r="AM1100" s="87"/>
      <c r="AN1100" s="87"/>
      <c r="AO1100" s="87"/>
      <c r="AP1100" s="87"/>
      <c r="AQ1100" s="87"/>
      <c r="AR1100" s="87"/>
      <c r="BC1100" s="87"/>
      <c r="BD1100" s="87"/>
      <c r="BE1100" s="87"/>
      <c r="BF1100" s="87"/>
      <c r="BG1100" s="87"/>
      <c r="BH1100" s="87"/>
    </row>
    <row r="1101" spans="4:60" x14ac:dyDescent="0.3">
      <c r="D1101" s="87"/>
      <c r="E1101" s="87"/>
      <c r="W1101" s="87"/>
      <c r="X1101" s="87"/>
      <c r="Y1101" s="87"/>
      <c r="Z1101" s="87"/>
      <c r="AA1101" s="87"/>
      <c r="AB1101" s="87"/>
      <c r="AM1101" s="87"/>
      <c r="AN1101" s="87"/>
      <c r="AO1101" s="87"/>
      <c r="AP1101" s="87"/>
      <c r="AQ1101" s="87"/>
      <c r="AR1101" s="87"/>
      <c r="BC1101" s="87"/>
      <c r="BD1101" s="87"/>
      <c r="BE1101" s="87"/>
      <c r="BF1101" s="87"/>
      <c r="BG1101" s="87"/>
      <c r="BH1101" s="87"/>
    </row>
    <row r="1102" spans="4:60" x14ac:dyDescent="0.3">
      <c r="D1102" s="87"/>
      <c r="E1102" s="87"/>
      <c r="W1102" s="87"/>
      <c r="X1102" s="87"/>
      <c r="Y1102" s="87"/>
      <c r="Z1102" s="87"/>
      <c r="AA1102" s="87"/>
      <c r="AB1102" s="87"/>
      <c r="AM1102" s="87"/>
      <c r="AN1102" s="87"/>
      <c r="AO1102" s="87"/>
      <c r="AP1102" s="87"/>
      <c r="AQ1102" s="87"/>
      <c r="AR1102" s="87"/>
      <c r="BC1102" s="87"/>
      <c r="BD1102" s="87"/>
      <c r="BE1102" s="87"/>
      <c r="BF1102" s="87"/>
      <c r="BG1102" s="87"/>
      <c r="BH1102" s="87"/>
    </row>
    <row r="1103" spans="4:60" x14ac:dyDescent="0.3">
      <c r="D1103" s="87"/>
      <c r="E1103" s="87"/>
      <c r="W1103" s="87"/>
      <c r="X1103" s="87"/>
      <c r="Y1103" s="87"/>
      <c r="Z1103" s="87"/>
      <c r="AA1103" s="87"/>
      <c r="AB1103" s="87"/>
      <c r="AM1103" s="87"/>
      <c r="AN1103" s="87"/>
      <c r="AO1103" s="87"/>
      <c r="AP1103" s="87"/>
      <c r="AQ1103" s="87"/>
      <c r="AR1103" s="87"/>
      <c r="BC1103" s="87"/>
      <c r="BD1103" s="87"/>
      <c r="BE1103" s="87"/>
      <c r="BF1103" s="87"/>
      <c r="BG1103" s="87"/>
      <c r="BH1103" s="87"/>
    </row>
    <row r="1104" spans="4:60" x14ac:dyDescent="0.3">
      <c r="D1104" s="87"/>
      <c r="E1104" s="87"/>
      <c r="W1104" s="87"/>
      <c r="X1104" s="87"/>
      <c r="Y1104" s="87"/>
      <c r="Z1104" s="87"/>
      <c r="AA1104" s="87"/>
      <c r="AB1104" s="87"/>
      <c r="AM1104" s="87"/>
      <c r="AN1104" s="87"/>
      <c r="AO1104" s="87"/>
      <c r="AP1104" s="87"/>
      <c r="AQ1104" s="87"/>
      <c r="AR1104" s="87"/>
      <c r="BC1104" s="87"/>
      <c r="BD1104" s="87"/>
      <c r="BE1104" s="87"/>
      <c r="BF1104" s="87"/>
      <c r="BG1104" s="87"/>
      <c r="BH1104" s="87"/>
    </row>
    <row r="1105" spans="4:60" x14ac:dyDescent="0.3">
      <c r="D1105" s="87"/>
      <c r="E1105" s="87"/>
      <c r="W1105" s="87"/>
      <c r="X1105" s="87"/>
      <c r="Y1105" s="87"/>
      <c r="Z1105" s="87"/>
      <c r="AA1105" s="87"/>
      <c r="AB1105" s="87"/>
      <c r="AM1105" s="87"/>
      <c r="AN1105" s="87"/>
      <c r="AO1105" s="87"/>
      <c r="AP1105" s="87"/>
      <c r="AQ1105" s="87"/>
      <c r="AR1105" s="87"/>
      <c r="BC1105" s="87"/>
      <c r="BD1105" s="87"/>
      <c r="BE1105" s="87"/>
      <c r="BF1105" s="87"/>
      <c r="BG1105" s="87"/>
      <c r="BH1105" s="87"/>
    </row>
    <row r="1106" spans="4:60" x14ac:dyDescent="0.3">
      <c r="D1106" s="87"/>
      <c r="E1106" s="87"/>
      <c r="W1106" s="87"/>
      <c r="X1106" s="87"/>
      <c r="Y1106" s="87"/>
      <c r="Z1106" s="87"/>
      <c r="AA1106" s="87"/>
      <c r="AB1106" s="87"/>
      <c r="AM1106" s="87"/>
      <c r="AN1106" s="87"/>
      <c r="AO1106" s="87"/>
      <c r="AP1106" s="87"/>
      <c r="AQ1106" s="87"/>
      <c r="AR1106" s="87"/>
      <c r="BC1106" s="87"/>
      <c r="BD1106" s="87"/>
      <c r="BE1106" s="87"/>
      <c r="BF1106" s="87"/>
      <c r="BG1106" s="87"/>
      <c r="BH1106" s="87"/>
    </row>
    <row r="1107" spans="4:60" x14ac:dyDescent="0.3">
      <c r="D1107" s="87"/>
      <c r="E1107" s="87"/>
      <c r="W1107" s="87"/>
      <c r="X1107" s="87"/>
      <c r="Y1107" s="87"/>
      <c r="Z1107" s="87"/>
      <c r="AA1107" s="87"/>
      <c r="AB1107" s="87"/>
      <c r="AM1107" s="87"/>
      <c r="AN1107" s="87"/>
      <c r="AO1107" s="87"/>
      <c r="AP1107" s="87"/>
      <c r="AQ1107" s="87"/>
      <c r="AR1107" s="87"/>
      <c r="BC1107" s="87"/>
      <c r="BD1107" s="87"/>
      <c r="BE1107" s="87"/>
      <c r="BF1107" s="87"/>
      <c r="BG1107" s="87"/>
      <c r="BH1107" s="87"/>
    </row>
    <row r="1108" spans="4:60" x14ac:dyDescent="0.3">
      <c r="D1108" s="87"/>
      <c r="E1108" s="87"/>
      <c r="W1108" s="87"/>
      <c r="X1108" s="87"/>
      <c r="Y1108" s="87"/>
      <c r="Z1108" s="87"/>
      <c r="AA1108" s="87"/>
      <c r="AB1108" s="87"/>
      <c r="AM1108" s="87"/>
      <c r="AN1108" s="87"/>
      <c r="AO1108" s="87"/>
      <c r="AP1108" s="87"/>
      <c r="AQ1108" s="87"/>
      <c r="AR1108" s="87"/>
      <c r="BC1108" s="87"/>
      <c r="BD1108" s="87"/>
      <c r="BE1108" s="87"/>
      <c r="BF1108" s="87"/>
      <c r="BG1108" s="87"/>
      <c r="BH1108" s="87"/>
    </row>
    <row r="1109" spans="4:60" x14ac:dyDescent="0.3">
      <c r="D1109" s="87"/>
      <c r="E1109" s="87"/>
      <c r="W1109" s="87"/>
      <c r="X1109" s="87"/>
      <c r="Y1109" s="87"/>
      <c r="Z1109" s="87"/>
      <c r="AA1109" s="87"/>
      <c r="AB1109" s="87"/>
      <c r="AM1109" s="87"/>
      <c r="AN1109" s="87"/>
      <c r="AO1109" s="87"/>
      <c r="AP1109" s="87"/>
      <c r="AQ1109" s="87"/>
      <c r="AR1109" s="87"/>
      <c r="BC1109" s="87"/>
      <c r="BD1109" s="87"/>
      <c r="BE1109" s="87"/>
      <c r="BF1109" s="87"/>
      <c r="BG1109" s="87"/>
      <c r="BH1109" s="87"/>
    </row>
    <row r="1110" spans="4:60" x14ac:dyDescent="0.3">
      <c r="D1110" s="87"/>
      <c r="E1110" s="87"/>
      <c r="W1110" s="87"/>
      <c r="X1110" s="87"/>
      <c r="Y1110" s="87"/>
      <c r="Z1110" s="87"/>
      <c r="AA1110" s="87"/>
      <c r="AB1110" s="87"/>
      <c r="AM1110" s="87"/>
      <c r="AN1110" s="87"/>
      <c r="AO1110" s="87"/>
      <c r="AP1110" s="87"/>
      <c r="AQ1110" s="87"/>
      <c r="AR1110" s="87"/>
      <c r="BC1110" s="87"/>
      <c r="BD1110" s="87"/>
      <c r="BE1110" s="87"/>
      <c r="BF1110" s="87"/>
      <c r="BG1110" s="87"/>
      <c r="BH1110" s="87"/>
    </row>
    <row r="1111" spans="4:60" x14ac:dyDescent="0.3">
      <c r="D1111" s="87"/>
      <c r="E1111" s="87"/>
      <c r="W1111" s="87"/>
      <c r="X1111" s="87"/>
      <c r="Y1111" s="87"/>
      <c r="Z1111" s="87"/>
      <c r="AA1111" s="87"/>
      <c r="AB1111" s="87"/>
      <c r="AM1111" s="87"/>
      <c r="AN1111" s="87"/>
      <c r="AO1111" s="87"/>
      <c r="AP1111" s="87"/>
      <c r="AQ1111" s="87"/>
      <c r="AR1111" s="87"/>
      <c r="BC1111" s="87"/>
      <c r="BD1111" s="87"/>
      <c r="BE1111" s="87"/>
      <c r="BF1111" s="87"/>
      <c r="BG1111" s="87"/>
      <c r="BH1111" s="87"/>
    </row>
    <row r="1112" spans="4:60" x14ac:dyDescent="0.3">
      <c r="D1112" s="87"/>
      <c r="E1112" s="87"/>
      <c r="W1112" s="87"/>
      <c r="X1112" s="87"/>
      <c r="Y1112" s="87"/>
      <c r="Z1112" s="87"/>
      <c r="AA1112" s="87"/>
      <c r="AB1112" s="87"/>
      <c r="AM1112" s="87"/>
      <c r="AN1112" s="87"/>
      <c r="AO1112" s="87"/>
      <c r="AP1112" s="87"/>
      <c r="AQ1112" s="87"/>
      <c r="AR1112" s="87"/>
      <c r="BC1112" s="87"/>
      <c r="BD1112" s="87"/>
      <c r="BE1112" s="87"/>
      <c r="BF1112" s="87"/>
      <c r="BG1112" s="87"/>
      <c r="BH1112" s="87"/>
    </row>
    <row r="1113" spans="4:60" x14ac:dyDescent="0.3">
      <c r="D1113" s="87"/>
      <c r="E1113" s="87"/>
      <c r="W1113" s="87"/>
      <c r="X1113" s="87"/>
      <c r="Y1113" s="87"/>
      <c r="Z1113" s="87"/>
      <c r="AA1113" s="87"/>
      <c r="AB1113" s="87"/>
      <c r="AM1113" s="87"/>
      <c r="AN1113" s="87"/>
      <c r="AO1113" s="87"/>
      <c r="AP1113" s="87"/>
      <c r="AQ1113" s="87"/>
      <c r="AR1113" s="87"/>
      <c r="BC1113" s="87"/>
      <c r="BD1113" s="87"/>
      <c r="BE1113" s="87"/>
      <c r="BF1113" s="87"/>
      <c r="BG1113" s="87"/>
      <c r="BH1113" s="87"/>
    </row>
    <row r="1114" spans="4:60" x14ac:dyDescent="0.3">
      <c r="D1114" s="87"/>
      <c r="E1114" s="87"/>
      <c r="W1114" s="87"/>
      <c r="X1114" s="87"/>
      <c r="Y1114" s="87"/>
      <c r="Z1114" s="87"/>
      <c r="AA1114" s="87"/>
      <c r="AB1114" s="87"/>
      <c r="AM1114" s="87"/>
      <c r="AN1114" s="87"/>
      <c r="AO1114" s="87"/>
      <c r="AP1114" s="87"/>
      <c r="AQ1114" s="87"/>
      <c r="AR1114" s="87"/>
      <c r="BC1114" s="87"/>
      <c r="BD1114" s="87"/>
      <c r="BE1114" s="87"/>
      <c r="BF1114" s="87"/>
      <c r="BG1114" s="87"/>
      <c r="BH1114" s="87"/>
    </row>
    <row r="1115" spans="4:60" x14ac:dyDescent="0.3">
      <c r="D1115" s="87"/>
      <c r="E1115" s="87"/>
      <c r="W1115" s="87"/>
      <c r="X1115" s="87"/>
      <c r="Y1115" s="87"/>
      <c r="Z1115" s="87"/>
      <c r="AA1115" s="87"/>
      <c r="AB1115" s="87"/>
      <c r="AM1115" s="87"/>
      <c r="AN1115" s="87"/>
      <c r="AO1115" s="87"/>
      <c r="AP1115" s="87"/>
      <c r="AQ1115" s="87"/>
      <c r="AR1115" s="87"/>
      <c r="BC1115" s="87"/>
      <c r="BD1115" s="87"/>
      <c r="BE1115" s="87"/>
      <c r="BF1115" s="87"/>
      <c r="BG1115" s="87"/>
      <c r="BH1115" s="87"/>
    </row>
    <row r="1116" spans="4:60" x14ac:dyDescent="0.3">
      <c r="D1116" s="87"/>
      <c r="E1116" s="87"/>
      <c r="W1116" s="87"/>
      <c r="X1116" s="87"/>
      <c r="Y1116" s="87"/>
      <c r="Z1116" s="87"/>
      <c r="AA1116" s="87"/>
      <c r="AB1116" s="87"/>
      <c r="AM1116" s="87"/>
      <c r="AN1116" s="87"/>
      <c r="AO1116" s="87"/>
      <c r="AP1116" s="87"/>
      <c r="AQ1116" s="87"/>
      <c r="AR1116" s="87"/>
      <c r="BC1116" s="87"/>
      <c r="BD1116" s="87"/>
      <c r="BE1116" s="87"/>
      <c r="BF1116" s="87"/>
      <c r="BG1116" s="87"/>
      <c r="BH1116" s="87"/>
    </row>
    <row r="1117" spans="4:60" x14ac:dyDescent="0.3">
      <c r="D1117" s="87"/>
      <c r="E1117" s="87"/>
      <c r="W1117" s="87"/>
      <c r="X1117" s="87"/>
      <c r="Y1117" s="87"/>
      <c r="Z1117" s="87"/>
      <c r="AA1117" s="87"/>
      <c r="AB1117" s="87"/>
      <c r="AM1117" s="87"/>
      <c r="AN1117" s="87"/>
      <c r="AO1117" s="87"/>
      <c r="AP1117" s="87"/>
      <c r="AQ1117" s="87"/>
      <c r="AR1117" s="87"/>
      <c r="BC1117" s="87"/>
      <c r="BD1117" s="87"/>
      <c r="BE1117" s="87"/>
      <c r="BF1117" s="87"/>
      <c r="BG1117" s="87"/>
      <c r="BH1117" s="87"/>
    </row>
    <row r="1118" spans="4:60" x14ac:dyDescent="0.3">
      <c r="D1118" s="87"/>
      <c r="E1118" s="87"/>
      <c r="W1118" s="87"/>
      <c r="X1118" s="87"/>
      <c r="Y1118" s="87"/>
      <c r="Z1118" s="87"/>
      <c r="AA1118" s="87"/>
      <c r="AB1118" s="87"/>
      <c r="AM1118" s="87"/>
      <c r="AN1118" s="87"/>
      <c r="AO1118" s="87"/>
      <c r="AP1118" s="87"/>
      <c r="AQ1118" s="87"/>
      <c r="AR1118" s="87"/>
      <c r="BC1118" s="87"/>
      <c r="BD1118" s="87"/>
      <c r="BE1118" s="87"/>
      <c r="BF1118" s="87"/>
      <c r="BG1118" s="87"/>
      <c r="BH1118" s="87"/>
    </row>
    <row r="1119" spans="4:60" x14ac:dyDescent="0.3">
      <c r="D1119" s="87"/>
      <c r="E1119" s="87"/>
      <c r="W1119" s="87"/>
      <c r="X1119" s="87"/>
      <c r="Y1119" s="87"/>
      <c r="Z1119" s="87"/>
      <c r="AA1119" s="87"/>
      <c r="AB1119" s="87"/>
      <c r="AM1119" s="87"/>
      <c r="AN1119" s="87"/>
      <c r="AO1119" s="87"/>
      <c r="AP1119" s="87"/>
      <c r="AQ1119" s="87"/>
      <c r="AR1119" s="87"/>
      <c r="BC1119" s="87"/>
      <c r="BD1119" s="87"/>
      <c r="BE1119" s="87"/>
      <c r="BF1119" s="87"/>
      <c r="BG1119" s="87"/>
      <c r="BH1119" s="87"/>
    </row>
    <row r="1120" spans="4:60" x14ac:dyDescent="0.3">
      <c r="D1120" s="87"/>
      <c r="E1120" s="87"/>
      <c r="W1120" s="87"/>
      <c r="X1120" s="87"/>
      <c r="Y1120" s="87"/>
      <c r="Z1120" s="87"/>
      <c r="AA1120" s="87"/>
      <c r="AB1120" s="87"/>
      <c r="AM1120" s="87"/>
      <c r="AN1120" s="87"/>
      <c r="AO1120" s="87"/>
      <c r="AP1120" s="87"/>
      <c r="AQ1120" s="87"/>
      <c r="AR1120" s="87"/>
      <c r="BC1120" s="87"/>
      <c r="BD1120" s="87"/>
      <c r="BE1120" s="87"/>
      <c r="BF1120" s="87"/>
      <c r="BG1120" s="87"/>
      <c r="BH1120" s="87"/>
    </row>
    <row r="1121" spans="4:60" x14ac:dyDescent="0.3">
      <c r="D1121" s="87"/>
      <c r="E1121" s="87"/>
      <c r="W1121" s="87"/>
      <c r="X1121" s="87"/>
      <c r="Y1121" s="87"/>
      <c r="Z1121" s="87"/>
      <c r="AA1121" s="87"/>
      <c r="AB1121" s="87"/>
      <c r="AM1121" s="87"/>
      <c r="AN1121" s="87"/>
      <c r="AO1121" s="87"/>
      <c r="AP1121" s="87"/>
      <c r="AQ1121" s="87"/>
      <c r="AR1121" s="87"/>
      <c r="BC1121" s="87"/>
      <c r="BD1121" s="87"/>
      <c r="BE1121" s="87"/>
      <c r="BF1121" s="87"/>
      <c r="BG1121" s="87"/>
      <c r="BH1121" s="87"/>
    </row>
    <row r="1122" spans="4:60" x14ac:dyDescent="0.3">
      <c r="D1122" s="87"/>
      <c r="E1122" s="87"/>
      <c r="W1122" s="87"/>
      <c r="X1122" s="87"/>
      <c r="Y1122" s="87"/>
      <c r="Z1122" s="87"/>
      <c r="AA1122" s="87"/>
      <c r="AB1122" s="87"/>
      <c r="AM1122" s="87"/>
      <c r="AN1122" s="87"/>
      <c r="AO1122" s="87"/>
      <c r="AP1122" s="87"/>
      <c r="AQ1122" s="87"/>
      <c r="AR1122" s="87"/>
      <c r="BC1122" s="87"/>
      <c r="BD1122" s="87"/>
      <c r="BE1122" s="87"/>
      <c r="BF1122" s="87"/>
      <c r="BG1122" s="87"/>
      <c r="BH1122" s="87"/>
    </row>
    <row r="1123" spans="4:60" x14ac:dyDescent="0.3">
      <c r="D1123" s="87"/>
      <c r="E1123" s="87"/>
      <c r="W1123" s="87"/>
      <c r="X1123" s="87"/>
      <c r="Y1123" s="87"/>
      <c r="Z1123" s="87"/>
      <c r="AA1123" s="87"/>
      <c r="AB1123" s="87"/>
      <c r="AM1123" s="87"/>
      <c r="AN1123" s="87"/>
      <c r="AO1123" s="87"/>
      <c r="AP1123" s="87"/>
      <c r="AQ1123" s="87"/>
      <c r="AR1123" s="87"/>
      <c r="BC1123" s="87"/>
      <c r="BD1123" s="87"/>
      <c r="BE1123" s="87"/>
      <c r="BF1123" s="87"/>
      <c r="BG1123" s="87"/>
      <c r="BH1123" s="87"/>
    </row>
    <row r="1124" spans="4:60" x14ac:dyDescent="0.3">
      <c r="D1124" s="87"/>
      <c r="E1124" s="87"/>
      <c r="W1124" s="87"/>
      <c r="X1124" s="87"/>
      <c r="Y1124" s="87"/>
      <c r="Z1124" s="87"/>
      <c r="AA1124" s="87"/>
      <c r="AB1124" s="87"/>
      <c r="AM1124" s="87"/>
      <c r="AN1124" s="87"/>
      <c r="AO1124" s="87"/>
      <c r="AP1124" s="87"/>
      <c r="AQ1124" s="87"/>
      <c r="AR1124" s="87"/>
      <c r="BC1124" s="87"/>
      <c r="BD1124" s="87"/>
      <c r="BE1124" s="87"/>
      <c r="BF1124" s="87"/>
      <c r="BG1124" s="87"/>
      <c r="BH1124" s="87"/>
    </row>
    <row r="1125" spans="4:60" x14ac:dyDescent="0.3">
      <c r="D1125" s="87"/>
      <c r="E1125" s="87"/>
      <c r="W1125" s="87"/>
      <c r="X1125" s="87"/>
      <c r="Y1125" s="87"/>
      <c r="Z1125" s="87"/>
      <c r="AA1125" s="87"/>
      <c r="AB1125" s="87"/>
      <c r="AM1125" s="87"/>
      <c r="AN1125" s="87"/>
      <c r="AO1125" s="87"/>
      <c r="AP1125" s="87"/>
      <c r="AQ1125" s="87"/>
      <c r="AR1125" s="87"/>
      <c r="BC1125" s="87"/>
      <c r="BD1125" s="87"/>
      <c r="BE1125" s="87"/>
      <c r="BF1125" s="87"/>
      <c r="BG1125" s="87"/>
      <c r="BH1125" s="87"/>
    </row>
    <row r="1126" spans="4:60" x14ac:dyDescent="0.3">
      <c r="D1126" s="87"/>
      <c r="E1126" s="87"/>
      <c r="W1126" s="87"/>
      <c r="X1126" s="87"/>
      <c r="Y1126" s="87"/>
      <c r="Z1126" s="87"/>
      <c r="AA1126" s="87"/>
      <c r="AB1126" s="87"/>
      <c r="AM1126" s="87"/>
      <c r="AN1126" s="87"/>
      <c r="AO1126" s="87"/>
      <c r="AP1126" s="87"/>
      <c r="AQ1126" s="87"/>
      <c r="AR1126" s="87"/>
      <c r="BC1126" s="87"/>
      <c r="BD1126" s="87"/>
      <c r="BE1126" s="87"/>
      <c r="BF1126" s="87"/>
      <c r="BG1126" s="87"/>
      <c r="BH1126" s="87"/>
    </row>
    <row r="1127" spans="4:60" x14ac:dyDescent="0.3">
      <c r="D1127" s="87"/>
      <c r="E1127" s="87"/>
      <c r="W1127" s="87"/>
      <c r="X1127" s="87"/>
      <c r="Y1127" s="87"/>
      <c r="Z1127" s="87"/>
      <c r="AA1127" s="87"/>
      <c r="AB1127" s="87"/>
      <c r="AM1127" s="87"/>
      <c r="AN1127" s="87"/>
      <c r="AO1127" s="87"/>
      <c r="AP1127" s="87"/>
      <c r="AQ1127" s="87"/>
      <c r="AR1127" s="87"/>
      <c r="BC1127" s="87"/>
      <c r="BD1127" s="87"/>
      <c r="BE1127" s="87"/>
      <c r="BF1127" s="87"/>
      <c r="BG1127" s="87"/>
      <c r="BH1127" s="87"/>
    </row>
    <row r="1128" spans="4:60" x14ac:dyDescent="0.3">
      <c r="D1128" s="87"/>
      <c r="E1128" s="87"/>
      <c r="W1128" s="87"/>
      <c r="X1128" s="87"/>
      <c r="Y1128" s="87"/>
      <c r="Z1128" s="87"/>
      <c r="AA1128" s="87"/>
      <c r="AB1128" s="87"/>
      <c r="AM1128" s="87"/>
      <c r="AN1128" s="87"/>
      <c r="AO1128" s="87"/>
      <c r="AP1128" s="87"/>
      <c r="AQ1128" s="87"/>
      <c r="AR1128" s="87"/>
      <c r="BC1128" s="87"/>
      <c r="BD1128" s="87"/>
      <c r="BE1128" s="87"/>
      <c r="BF1128" s="87"/>
      <c r="BG1128" s="87"/>
      <c r="BH1128" s="87"/>
    </row>
    <row r="1129" spans="4:60" x14ac:dyDescent="0.3">
      <c r="D1129" s="87"/>
      <c r="E1129" s="87"/>
      <c r="W1129" s="87"/>
      <c r="X1129" s="87"/>
      <c r="Y1129" s="87"/>
      <c r="Z1129" s="87"/>
      <c r="AA1129" s="87"/>
      <c r="AB1129" s="87"/>
      <c r="AM1129" s="87"/>
      <c r="AN1129" s="87"/>
      <c r="AO1129" s="87"/>
      <c r="AP1129" s="87"/>
      <c r="AQ1129" s="87"/>
      <c r="AR1129" s="87"/>
      <c r="BC1129" s="87"/>
      <c r="BD1129" s="87"/>
      <c r="BE1129" s="87"/>
      <c r="BF1129" s="87"/>
      <c r="BG1129" s="87"/>
      <c r="BH1129" s="87"/>
    </row>
    <row r="1130" spans="4:60" x14ac:dyDescent="0.3">
      <c r="D1130" s="87"/>
      <c r="E1130" s="87"/>
      <c r="W1130" s="87"/>
      <c r="X1130" s="87"/>
      <c r="Y1130" s="87"/>
      <c r="Z1130" s="87"/>
      <c r="AA1130" s="87"/>
      <c r="AB1130" s="87"/>
      <c r="AM1130" s="87"/>
      <c r="AN1130" s="87"/>
      <c r="AO1130" s="87"/>
      <c r="AP1130" s="87"/>
      <c r="AQ1130" s="87"/>
      <c r="AR1130" s="87"/>
      <c r="BC1130" s="87"/>
      <c r="BD1130" s="87"/>
      <c r="BE1130" s="87"/>
      <c r="BF1130" s="87"/>
      <c r="BG1130" s="87"/>
      <c r="BH1130" s="87"/>
    </row>
    <row r="1131" spans="4:60" x14ac:dyDescent="0.3">
      <c r="D1131" s="87"/>
      <c r="E1131" s="87"/>
      <c r="W1131" s="87"/>
      <c r="X1131" s="87"/>
      <c r="Y1131" s="87"/>
      <c r="Z1131" s="87"/>
      <c r="AA1131" s="87"/>
      <c r="AB1131" s="87"/>
      <c r="AM1131" s="87"/>
      <c r="AN1131" s="87"/>
      <c r="AO1131" s="87"/>
      <c r="AP1131" s="87"/>
      <c r="AQ1131" s="87"/>
      <c r="AR1131" s="87"/>
      <c r="BC1131" s="87"/>
      <c r="BD1131" s="87"/>
      <c r="BE1131" s="87"/>
      <c r="BF1131" s="87"/>
      <c r="BG1131" s="87"/>
      <c r="BH1131" s="87"/>
    </row>
    <row r="1132" spans="4:60" x14ac:dyDescent="0.3">
      <c r="D1132" s="87"/>
      <c r="E1132" s="87"/>
      <c r="W1132" s="87"/>
      <c r="X1132" s="87"/>
      <c r="Y1132" s="87"/>
      <c r="Z1132" s="87"/>
      <c r="AA1132" s="87"/>
      <c r="AB1132" s="87"/>
      <c r="AM1132" s="87"/>
      <c r="AN1132" s="87"/>
      <c r="AO1132" s="87"/>
      <c r="AP1132" s="87"/>
      <c r="AQ1132" s="87"/>
      <c r="AR1132" s="87"/>
      <c r="BC1132" s="87"/>
      <c r="BD1132" s="87"/>
      <c r="BE1132" s="87"/>
      <c r="BF1132" s="87"/>
      <c r="BG1132" s="87"/>
      <c r="BH1132" s="87"/>
    </row>
    <row r="1133" spans="4:60" x14ac:dyDescent="0.3">
      <c r="D1133" s="87"/>
      <c r="E1133" s="87"/>
      <c r="W1133" s="87"/>
      <c r="X1133" s="87"/>
      <c r="Y1133" s="87"/>
      <c r="Z1133" s="87"/>
      <c r="AA1133" s="87"/>
      <c r="AB1133" s="87"/>
      <c r="AM1133" s="87"/>
      <c r="AN1133" s="87"/>
      <c r="AO1133" s="87"/>
      <c r="AP1133" s="87"/>
      <c r="AQ1133" s="87"/>
      <c r="AR1133" s="87"/>
      <c r="BC1133" s="87"/>
      <c r="BD1133" s="87"/>
      <c r="BE1133" s="87"/>
      <c r="BF1133" s="87"/>
      <c r="BG1133" s="87"/>
      <c r="BH1133" s="87"/>
    </row>
    <row r="1134" spans="4:60" x14ac:dyDescent="0.3">
      <c r="D1134" s="87"/>
      <c r="E1134" s="87"/>
      <c r="W1134" s="87"/>
      <c r="X1134" s="87"/>
      <c r="Y1134" s="87"/>
      <c r="Z1134" s="87"/>
      <c r="AA1134" s="87"/>
      <c r="AB1134" s="87"/>
      <c r="AM1134" s="87"/>
      <c r="AN1134" s="87"/>
      <c r="AO1134" s="87"/>
      <c r="AP1134" s="87"/>
      <c r="AQ1134" s="87"/>
      <c r="AR1134" s="87"/>
      <c r="BC1134" s="87"/>
      <c r="BD1134" s="87"/>
      <c r="BE1134" s="87"/>
      <c r="BF1134" s="87"/>
      <c r="BG1134" s="87"/>
      <c r="BH1134" s="87"/>
    </row>
    <row r="1135" spans="4:60" x14ac:dyDescent="0.3">
      <c r="D1135" s="87"/>
      <c r="E1135" s="87"/>
      <c r="W1135" s="87"/>
      <c r="X1135" s="87"/>
      <c r="Y1135" s="87"/>
      <c r="Z1135" s="87"/>
      <c r="AA1135" s="87"/>
      <c r="AB1135" s="87"/>
      <c r="AM1135" s="87"/>
      <c r="AN1135" s="87"/>
      <c r="AO1135" s="87"/>
      <c r="AP1135" s="87"/>
      <c r="AQ1135" s="87"/>
      <c r="AR1135" s="87"/>
      <c r="BC1135" s="87"/>
      <c r="BD1135" s="87"/>
      <c r="BE1135" s="87"/>
      <c r="BF1135" s="87"/>
      <c r="BG1135" s="87"/>
      <c r="BH1135" s="87"/>
    </row>
    <row r="1136" spans="4:60" x14ac:dyDescent="0.3">
      <c r="D1136" s="87"/>
      <c r="E1136" s="87"/>
      <c r="W1136" s="87"/>
      <c r="X1136" s="87"/>
      <c r="Y1136" s="87"/>
      <c r="Z1136" s="87"/>
      <c r="AA1136" s="87"/>
      <c r="AB1136" s="87"/>
      <c r="AM1136" s="87"/>
      <c r="AN1136" s="87"/>
      <c r="AO1136" s="87"/>
      <c r="AP1136" s="87"/>
      <c r="AQ1136" s="87"/>
      <c r="AR1136" s="87"/>
      <c r="BC1136" s="87"/>
      <c r="BD1136" s="87"/>
      <c r="BE1136" s="87"/>
      <c r="BF1136" s="87"/>
      <c r="BG1136" s="87"/>
      <c r="BH1136" s="87"/>
    </row>
    <row r="1137" spans="4:60" x14ac:dyDescent="0.3">
      <c r="D1137" s="87"/>
      <c r="E1137" s="87"/>
      <c r="W1137" s="87"/>
      <c r="X1137" s="87"/>
      <c r="Y1137" s="87"/>
      <c r="Z1137" s="87"/>
      <c r="AA1137" s="87"/>
      <c r="AB1137" s="87"/>
      <c r="AM1137" s="87"/>
      <c r="AN1137" s="87"/>
      <c r="AO1137" s="87"/>
      <c r="AP1137" s="87"/>
      <c r="AQ1137" s="87"/>
      <c r="AR1137" s="87"/>
      <c r="BC1137" s="87"/>
      <c r="BD1137" s="87"/>
      <c r="BE1137" s="87"/>
      <c r="BF1137" s="87"/>
      <c r="BG1137" s="87"/>
      <c r="BH1137" s="87"/>
    </row>
    <row r="1138" spans="4:60" x14ac:dyDescent="0.3">
      <c r="D1138" s="87"/>
      <c r="E1138" s="87"/>
      <c r="W1138" s="87"/>
      <c r="X1138" s="87"/>
      <c r="Y1138" s="87"/>
      <c r="Z1138" s="87"/>
      <c r="AA1138" s="87"/>
      <c r="AB1138" s="87"/>
      <c r="AM1138" s="87"/>
      <c r="AN1138" s="87"/>
      <c r="AO1138" s="87"/>
      <c r="AP1138" s="87"/>
      <c r="AQ1138" s="87"/>
      <c r="AR1138" s="87"/>
      <c r="BC1138" s="87"/>
      <c r="BD1138" s="87"/>
      <c r="BE1138" s="87"/>
      <c r="BF1138" s="87"/>
      <c r="BG1138" s="87"/>
      <c r="BH1138" s="87"/>
    </row>
    <row r="1139" spans="4:60" x14ac:dyDescent="0.3">
      <c r="D1139" s="87"/>
      <c r="E1139" s="87"/>
      <c r="W1139" s="87"/>
      <c r="X1139" s="87"/>
      <c r="Y1139" s="87"/>
      <c r="Z1139" s="87"/>
      <c r="AA1139" s="87"/>
      <c r="AB1139" s="87"/>
      <c r="AM1139" s="87"/>
      <c r="AN1139" s="87"/>
      <c r="AO1139" s="87"/>
      <c r="AP1139" s="87"/>
      <c r="AQ1139" s="87"/>
      <c r="AR1139" s="87"/>
      <c r="BC1139" s="87"/>
      <c r="BD1139" s="87"/>
      <c r="BE1139" s="87"/>
      <c r="BF1139" s="87"/>
      <c r="BG1139" s="87"/>
      <c r="BH1139" s="87"/>
    </row>
    <row r="1140" spans="4:60" x14ac:dyDescent="0.3">
      <c r="D1140" s="87"/>
      <c r="E1140" s="87"/>
      <c r="W1140" s="87"/>
      <c r="X1140" s="87"/>
      <c r="Y1140" s="87"/>
      <c r="Z1140" s="87"/>
      <c r="AA1140" s="87"/>
      <c r="AB1140" s="87"/>
      <c r="AM1140" s="87"/>
      <c r="AN1140" s="87"/>
      <c r="AO1140" s="87"/>
      <c r="AP1140" s="87"/>
      <c r="AQ1140" s="87"/>
      <c r="AR1140" s="87"/>
      <c r="BC1140" s="87"/>
      <c r="BD1140" s="87"/>
      <c r="BE1140" s="87"/>
      <c r="BF1140" s="87"/>
      <c r="BG1140" s="87"/>
      <c r="BH1140" s="87"/>
    </row>
    <row r="1141" spans="4:60" x14ac:dyDescent="0.3">
      <c r="D1141" s="87"/>
      <c r="E1141" s="87"/>
      <c r="W1141" s="87"/>
      <c r="X1141" s="87"/>
      <c r="Y1141" s="87"/>
      <c r="Z1141" s="87"/>
      <c r="AA1141" s="87"/>
      <c r="AB1141" s="87"/>
      <c r="AM1141" s="87"/>
      <c r="AN1141" s="87"/>
      <c r="AO1141" s="87"/>
      <c r="AP1141" s="87"/>
      <c r="AQ1141" s="87"/>
      <c r="AR1141" s="87"/>
      <c r="BC1141" s="87"/>
      <c r="BD1141" s="87"/>
      <c r="BE1141" s="87"/>
      <c r="BF1141" s="87"/>
      <c r="BG1141" s="87"/>
      <c r="BH1141" s="87"/>
    </row>
    <row r="1142" spans="4:60" x14ac:dyDescent="0.3">
      <c r="D1142" s="87"/>
      <c r="E1142" s="87"/>
      <c r="W1142" s="87"/>
      <c r="X1142" s="87"/>
      <c r="Y1142" s="87"/>
      <c r="Z1142" s="87"/>
      <c r="AA1142" s="87"/>
      <c r="AB1142" s="87"/>
      <c r="AM1142" s="87"/>
      <c r="AN1142" s="87"/>
      <c r="AO1142" s="87"/>
      <c r="AP1142" s="87"/>
      <c r="AQ1142" s="87"/>
      <c r="AR1142" s="87"/>
      <c r="BC1142" s="87"/>
      <c r="BD1142" s="87"/>
      <c r="BE1142" s="87"/>
      <c r="BF1142" s="87"/>
      <c r="BG1142" s="87"/>
      <c r="BH1142" s="87"/>
    </row>
    <row r="1143" spans="4:60" x14ac:dyDescent="0.3">
      <c r="D1143" s="87"/>
      <c r="E1143" s="87"/>
      <c r="W1143" s="87"/>
      <c r="X1143" s="87"/>
      <c r="Y1143" s="87"/>
      <c r="Z1143" s="87"/>
      <c r="AA1143" s="87"/>
      <c r="AB1143" s="87"/>
      <c r="AM1143" s="87"/>
      <c r="AN1143" s="87"/>
      <c r="AO1143" s="87"/>
      <c r="AP1143" s="87"/>
      <c r="AQ1143" s="87"/>
      <c r="AR1143" s="87"/>
      <c r="BC1143" s="87"/>
      <c r="BD1143" s="87"/>
      <c r="BE1143" s="87"/>
      <c r="BF1143" s="87"/>
      <c r="BG1143" s="87"/>
      <c r="BH1143" s="87"/>
    </row>
    <row r="1144" spans="4:60" x14ac:dyDescent="0.3">
      <c r="D1144" s="87"/>
      <c r="E1144" s="87"/>
      <c r="W1144" s="87"/>
      <c r="X1144" s="87"/>
      <c r="Y1144" s="87"/>
      <c r="Z1144" s="87"/>
      <c r="AA1144" s="87"/>
      <c r="AB1144" s="87"/>
      <c r="AM1144" s="87"/>
      <c r="AN1144" s="87"/>
      <c r="AO1144" s="87"/>
      <c r="AP1144" s="87"/>
      <c r="AQ1144" s="87"/>
      <c r="AR1144" s="87"/>
      <c r="BC1144" s="87"/>
      <c r="BD1144" s="87"/>
      <c r="BE1144" s="87"/>
      <c r="BF1144" s="87"/>
      <c r="BG1144" s="87"/>
      <c r="BH1144" s="87"/>
    </row>
    <row r="1145" spans="4:60" x14ac:dyDescent="0.3">
      <c r="D1145" s="87"/>
      <c r="E1145" s="87"/>
      <c r="W1145" s="87"/>
      <c r="X1145" s="87"/>
      <c r="Y1145" s="87"/>
      <c r="Z1145" s="87"/>
      <c r="AA1145" s="87"/>
      <c r="AB1145" s="87"/>
      <c r="AM1145" s="87"/>
      <c r="AN1145" s="87"/>
      <c r="AO1145" s="87"/>
      <c r="AP1145" s="87"/>
      <c r="AQ1145" s="87"/>
      <c r="AR1145" s="87"/>
      <c r="BC1145" s="87"/>
      <c r="BD1145" s="87"/>
      <c r="BE1145" s="87"/>
      <c r="BF1145" s="87"/>
      <c r="BG1145" s="87"/>
      <c r="BH1145" s="87"/>
    </row>
    <row r="1146" spans="4:60" x14ac:dyDescent="0.3">
      <c r="D1146" s="87"/>
      <c r="E1146" s="87"/>
      <c r="W1146" s="87"/>
      <c r="X1146" s="87"/>
      <c r="Y1146" s="87"/>
      <c r="Z1146" s="87"/>
      <c r="AA1146" s="87"/>
      <c r="AB1146" s="87"/>
      <c r="AM1146" s="87"/>
      <c r="AN1146" s="87"/>
      <c r="AO1146" s="87"/>
      <c r="AP1146" s="87"/>
      <c r="AQ1146" s="87"/>
      <c r="AR1146" s="87"/>
      <c r="BC1146" s="87"/>
      <c r="BD1146" s="87"/>
      <c r="BE1146" s="87"/>
      <c r="BF1146" s="87"/>
      <c r="BG1146" s="87"/>
      <c r="BH1146" s="87"/>
    </row>
    <row r="1147" spans="4:60" x14ac:dyDescent="0.3">
      <c r="D1147" s="87"/>
      <c r="E1147" s="87"/>
      <c r="W1147" s="87"/>
      <c r="X1147" s="87"/>
      <c r="Y1147" s="87"/>
      <c r="Z1147" s="87"/>
      <c r="AA1147" s="87"/>
      <c r="AB1147" s="87"/>
      <c r="AM1147" s="87"/>
      <c r="AN1147" s="87"/>
      <c r="AO1147" s="87"/>
      <c r="AP1147" s="87"/>
      <c r="AQ1147" s="87"/>
      <c r="AR1147" s="87"/>
      <c r="BC1147" s="87"/>
      <c r="BD1147" s="87"/>
      <c r="BE1147" s="87"/>
      <c r="BF1147" s="87"/>
      <c r="BG1147" s="87"/>
      <c r="BH1147" s="87"/>
    </row>
    <row r="1148" spans="4:60" x14ac:dyDescent="0.3">
      <c r="D1148" s="87"/>
      <c r="E1148" s="87"/>
      <c r="W1148" s="87"/>
      <c r="X1148" s="87"/>
      <c r="Y1148" s="87"/>
      <c r="Z1148" s="87"/>
      <c r="AA1148" s="87"/>
      <c r="AB1148" s="87"/>
      <c r="AM1148" s="87"/>
      <c r="AN1148" s="87"/>
      <c r="AO1148" s="87"/>
      <c r="AP1148" s="87"/>
      <c r="AQ1148" s="87"/>
      <c r="AR1148" s="87"/>
      <c r="BC1148" s="87"/>
      <c r="BD1148" s="87"/>
      <c r="BE1148" s="87"/>
      <c r="BF1148" s="87"/>
      <c r="BG1148" s="87"/>
      <c r="BH1148" s="87"/>
    </row>
    <row r="1149" spans="4:60" x14ac:dyDescent="0.3">
      <c r="D1149" s="87"/>
      <c r="E1149" s="87"/>
      <c r="W1149" s="87"/>
      <c r="X1149" s="87"/>
      <c r="Y1149" s="87"/>
      <c r="Z1149" s="87"/>
      <c r="AA1149" s="87"/>
      <c r="AB1149" s="87"/>
      <c r="AM1149" s="87"/>
      <c r="AN1149" s="87"/>
      <c r="AO1149" s="87"/>
      <c r="AP1149" s="87"/>
      <c r="AQ1149" s="87"/>
      <c r="AR1149" s="87"/>
      <c r="BC1149" s="87"/>
      <c r="BD1149" s="87"/>
      <c r="BE1149" s="87"/>
      <c r="BF1149" s="87"/>
      <c r="BG1149" s="87"/>
      <c r="BH1149" s="87"/>
    </row>
    <row r="1150" spans="4:60" x14ac:dyDescent="0.3">
      <c r="D1150" s="87"/>
      <c r="E1150" s="87"/>
      <c r="W1150" s="87"/>
      <c r="X1150" s="87"/>
      <c r="Y1150" s="87"/>
      <c r="Z1150" s="87"/>
      <c r="AA1150" s="87"/>
      <c r="AB1150" s="87"/>
      <c r="AM1150" s="87"/>
      <c r="AN1150" s="87"/>
      <c r="AO1150" s="87"/>
      <c r="AP1150" s="87"/>
      <c r="AQ1150" s="87"/>
      <c r="AR1150" s="87"/>
      <c r="BC1150" s="87"/>
      <c r="BD1150" s="87"/>
      <c r="BE1150" s="87"/>
      <c r="BF1150" s="87"/>
      <c r="BG1150" s="87"/>
      <c r="BH1150" s="87"/>
    </row>
    <row r="1151" spans="4:60" x14ac:dyDescent="0.3">
      <c r="D1151" s="87"/>
      <c r="E1151" s="87"/>
      <c r="W1151" s="87"/>
      <c r="X1151" s="87"/>
      <c r="Y1151" s="87"/>
      <c r="Z1151" s="87"/>
      <c r="AA1151" s="87"/>
      <c r="AB1151" s="87"/>
      <c r="AM1151" s="87"/>
      <c r="AN1151" s="87"/>
      <c r="AO1151" s="87"/>
      <c r="AP1151" s="87"/>
      <c r="AQ1151" s="87"/>
      <c r="AR1151" s="87"/>
      <c r="BC1151" s="87"/>
      <c r="BD1151" s="87"/>
      <c r="BE1151" s="87"/>
      <c r="BF1151" s="87"/>
      <c r="BG1151" s="87"/>
      <c r="BH1151" s="87"/>
    </row>
    <row r="1152" spans="4:60" x14ac:dyDescent="0.3">
      <c r="D1152" s="87"/>
      <c r="E1152" s="87"/>
      <c r="W1152" s="87"/>
      <c r="X1152" s="87"/>
      <c r="Y1152" s="87"/>
      <c r="Z1152" s="87"/>
      <c r="AA1152" s="87"/>
      <c r="AB1152" s="87"/>
      <c r="AM1152" s="87"/>
      <c r="AN1152" s="87"/>
      <c r="AO1152" s="87"/>
      <c r="AP1152" s="87"/>
      <c r="AQ1152" s="87"/>
      <c r="AR1152" s="87"/>
      <c r="BC1152" s="87"/>
      <c r="BD1152" s="87"/>
      <c r="BE1152" s="87"/>
      <c r="BF1152" s="87"/>
      <c r="BG1152" s="87"/>
      <c r="BH1152" s="87"/>
    </row>
    <row r="1153" spans="4:60" x14ac:dyDescent="0.3">
      <c r="D1153" s="87"/>
      <c r="E1153" s="87"/>
      <c r="W1153" s="87"/>
      <c r="X1153" s="87"/>
      <c r="Y1153" s="87"/>
      <c r="Z1153" s="87"/>
      <c r="AA1153" s="87"/>
      <c r="AB1153" s="87"/>
      <c r="AM1153" s="87"/>
      <c r="AN1153" s="87"/>
      <c r="AO1153" s="87"/>
      <c r="AP1153" s="87"/>
      <c r="AQ1153" s="87"/>
      <c r="AR1153" s="87"/>
      <c r="BC1153" s="87"/>
      <c r="BD1153" s="87"/>
      <c r="BE1153" s="87"/>
      <c r="BF1153" s="87"/>
      <c r="BG1153" s="87"/>
      <c r="BH1153" s="87"/>
    </row>
    <row r="1154" spans="4:60" x14ac:dyDescent="0.3">
      <c r="D1154" s="87"/>
      <c r="E1154" s="87"/>
      <c r="W1154" s="87"/>
      <c r="X1154" s="87"/>
      <c r="Y1154" s="87"/>
      <c r="Z1154" s="87"/>
      <c r="AA1154" s="87"/>
      <c r="AB1154" s="87"/>
      <c r="AM1154" s="87"/>
      <c r="AN1154" s="87"/>
      <c r="AO1154" s="87"/>
      <c r="AP1154" s="87"/>
      <c r="AQ1154" s="87"/>
      <c r="AR1154" s="87"/>
      <c r="BC1154" s="87"/>
      <c r="BD1154" s="87"/>
      <c r="BE1154" s="87"/>
      <c r="BF1154" s="87"/>
      <c r="BG1154" s="87"/>
      <c r="BH1154" s="87"/>
    </row>
    <row r="1155" spans="4:60" x14ac:dyDescent="0.3">
      <c r="D1155" s="87"/>
      <c r="E1155" s="87"/>
      <c r="W1155" s="87"/>
      <c r="X1155" s="87"/>
      <c r="Y1155" s="87"/>
      <c r="Z1155" s="87"/>
      <c r="AA1155" s="87"/>
      <c r="AB1155" s="87"/>
      <c r="AM1155" s="87"/>
      <c r="AN1155" s="87"/>
      <c r="AO1155" s="87"/>
      <c r="AP1155" s="87"/>
      <c r="AQ1155" s="87"/>
      <c r="AR1155" s="87"/>
      <c r="BC1155" s="87"/>
      <c r="BD1155" s="87"/>
      <c r="BE1155" s="87"/>
      <c r="BF1155" s="87"/>
      <c r="BG1155" s="87"/>
      <c r="BH1155" s="87"/>
    </row>
    <row r="1156" spans="4:60" x14ac:dyDescent="0.3">
      <c r="D1156" s="87"/>
      <c r="E1156" s="87"/>
      <c r="W1156" s="87"/>
      <c r="X1156" s="87"/>
      <c r="Y1156" s="87"/>
      <c r="Z1156" s="87"/>
      <c r="AA1156" s="87"/>
      <c r="AB1156" s="87"/>
      <c r="AM1156" s="87"/>
      <c r="AN1156" s="87"/>
      <c r="AO1156" s="87"/>
      <c r="AP1156" s="87"/>
      <c r="AQ1156" s="87"/>
      <c r="AR1156" s="87"/>
      <c r="BC1156" s="87"/>
      <c r="BD1156" s="87"/>
      <c r="BE1156" s="87"/>
      <c r="BF1156" s="87"/>
      <c r="BG1156" s="87"/>
      <c r="BH1156" s="87"/>
    </row>
    <row r="1157" spans="4:60" x14ac:dyDescent="0.3">
      <c r="D1157" s="87"/>
      <c r="E1157" s="87"/>
      <c r="W1157" s="87"/>
      <c r="X1157" s="87"/>
      <c r="Y1157" s="87"/>
      <c r="Z1157" s="87"/>
      <c r="AA1157" s="87"/>
      <c r="AB1157" s="87"/>
      <c r="AM1157" s="87"/>
      <c r="AN1157" s="87"/>
      <c r="AO1157" s="87"/>
      <c r="AP1157" s="87"/>
      <c r="AQ1157" s="87"/>
      <c r="AR1157" s="87"/>
      <c r="BC1157" s="87"/>
      <c r="BD1157" s="87"/>
      <c r="BE1157" s="87"/>
      <c r="BF1157" s="87"/>
      <c r="BG1157" s="87"/>
      <c r="BH1157" s="87"/>
    </row>
    <row r="1158" spans="4:60" x14ac:dyDescent="0.3">
      <c r="D1158" s="87"/>
      <c r="E1158" s="87"/>
      <c r="W1158" s="87"/>
      <c r="X1158" s="87"/>
      <c r="Y1158" s="87"/>
      <c r="Z1158" s="87"/>
      <c r="AA1158" s="87"/>
      <c r="AB1158" s="87"/>
      <c r="AM1158" s="87"/>
      <c r="AN1158" s="87"/>
      <c r="AO1158" s="87"/>
      <c r="AP1158" s="87"/>
      <c r="AQ1158" s="87"/>
      <c r="AR1158" s="87"/>
      <c r="BC1158" s="87"/>
      <c r="BD1158" s="87"/>
      <c r="BE1158" s="87"/>
      <c r="BF1158" s="87"/>
      <c r="BG1158" s="87"/>
      <c r="BH1158" s="87"/>
    </row>
    <row r="1159" spans="4:60" x14ac:dyDescent="0.3">
      <c r="D1159" s="87"/>
      <c r="E1159" s="87"/>
      <c r="W1159" s="87"/>
      <c r="X1159" s="87"/>
      <c r="Y1159" s="87"/>
      <c r="Z1159" s="87"/>
      <c r="AA1159" s="87"/>
      <c r="AB1159" s="87"/>
      <c r="AM1159" s="87"/>
      <c r="AN1159" s="87"/>
      <c r="AO1159" s="87"/>
      <c r="AP1159" s="87"/>
      <c r="AQ1159" s="87"/>
      <c r="AR1159" s="87"/>
      <c r="BC1159" s="87"/>
      <c r="BD1159" s="87"/>
      <c r="BE1159" s="87"/>
      <c r="BF1159" s="87"/>
      <c r="BG1159" s="87"/>
      <c r="BH1159" s="87"/>
    </row>
    <row r="1160" spans="4:60" x14ac:dyDescent="0.3">
      <c r="D1160" s="87"/>
      <c r="E1160" s="87"/>
      <c r="W1160" s="87"/>
      <c r="X1160" s="87"/>
      <c r="Y1160" s="87"/>
      <c r="Z1160" s="87"/>
      <c r="AA1160" s="87"/>
      <c r="AB1160" s="87"/>
      <c r="AM1160" s="87"/>
      <c r="AN1160" s="87"/>
      <c r="AO1160" s="87"/>
      <c r="AP1160" s="87"/>
      <c r="AQ1160" s="87"/>
      <c r="AR1160" s="87"/>
      <c r="BC1160" s="87"/>
      <c r="BD1160" s="87"/>
      <c r="BE1160" s="87"/>
      <c r="BF1160" s="87"/>
      <c r="BG1160" s="87"/>
      <c r="BH1160" s="87"/>
    </row>
    <row r="1161" spans="4:60" x14ac:dyDescent="0.3">
      <c r="D1161" s="87"/>
      <c r="E1161" s="87"/>
      <c r="W1161" s="87"/>
      <c r="X1161" s="87"/>
      <c r="Y1161" s="87"/>
      <c r="Z1161" s="87"/>
      <c r="AA1161" s="87"/>
      <c r="AB1161" s="87"/>
      <c r="AM1161" s="87"/>
      <c r="AN1161" s="87"/>
      <c r="AO1161" s="87"/>
      <c r="AP1161" s="87"/>
      <c r="AQ1161" s="87"/>
      <c r="AR1161" s="87"/>
      <c r="BC1161" s="87"/>
      <c r="BD1161" s="87"/>
      <c r="BE1161" s="87"/>
      <c r="BF1161" s="87"/>
      <c r="BG1161" s="87"/>
      <c r="BH1161" s="87"/>
    </row>
    <row r="1162" spans="4:60" x14ac:dyDescent="0.3">
      <c r="D1162" s="87"/>
      <c r="E1162" s="87"/>
      <c r="W1162" s="87"/>
      <c r="X1162" s="87"/>
      <c r="Y1162" s="87"/>
      <c r="Z1162" s="87"/>
      <c r="AA1162" s="87"/>
      <c r="AB1162" s="87"/>
      <c r="AM1162" s="87"/>
      <c r="AN1162" s="87"/>
      <c r="AO1162" s="87"/>
      <c r="AP1162" s="87"/>
      <c r="AQ1162" s="87"/>
      <c r="AR1162" s="87"/>
      <c r="BC1162" s="87"/>
      <c r="BD1162" s="87"/>
      <c r="BE1162" s="87"/>
      <c r="BF1162" s="87"/>
      <c r="BG1162" s="87"/>
      <c r="BH1162" s="87"/>
    </row>
    <row r="1163" spans="4:60" x14ac:dyDescent="0.3">
      <c r="D1163" s="87"/>
      <c r="E1163" s="87"/>
      <c r="W1163" s="87"/>
      <c r="X1163" s="87"/>
      <c r="Y1163" s="87"/>
      <c r="Z1163" s="87"/>
      <c r="AA1163" s="87"/>
      <c r="AB1163" s="87"/>
      <c r="AM1163" s="87"/>
      <c r="AN1163" s="87"/>
      <c r="AO1163" s="87"/>
      <c r="AP1163" s="87"/>
      <c r="AQ1163" s="87"/>
      <c r="AR1163" s="87"/>
      <c r="BC1163" s="87"/>
      <c r="BD1163" s="87"/>
      <c r="BE1163" s="87"/>
      <c r="BF1163" s="87"/>
      <c r="BG1163" s="87"/>
      <c r="BH1163" s="87"/>
    </row>
    <row r="1164" spans="4:60" x14ac:dyDescent="0.3">
      <c r="D1164" s="87"/>
      <c r="E1164" s="87"/>
      <c r="W1164" s="87"/>
      <c r="X1164" s="87"/>
      <c r="Y1164" s="87"/>
      <c r="Z1164" s="87"/>
      <c r="AA1164" s="87"/>
      <c r="AB1164" s="87"/>
      <c r="AM1164" s="87"/>
      <c r="AN1164" s="87"/>
      <c r="AO1164" s="87"/>
      <c r="AP1164" s="87"/>
      <c r="AQ1164" s="87"/>
      <c r="AR1164" s="87"/>
      <c r="BC1164" s="87"/>
      <c r="BD1164" s="87"/>
      <c r="BE1164" s="87"/>
      <c r="BF1164" s="87"/>
      <c r="BG1164" s="87"/>
      <c r="BH1164" s="87"/>
    </row>
    <row r="1165" spans="4:60" x14ac:dyDescent="0.3">
      <c r="D1165" s="87"/>
      <c r="E1165" s="87"/>
      <c r="W1165" s="87"/>
      <c r="X1165" s="87"/>
      <c r="Y1165" s="87"/>
      <c r="Z1165" s="87"/>
      <c r="AA1165" s="87"/>
      <c r="AB1165" s="87"/>
      <c r="AM1165" s="87"/>
      <c r="AN1165" s="87"/>
      <c r="AO1165" s="87"/>
      <c r="AP1165" s="87"/>
      <c r="AQ1165" s="87"/>
      <c r="AR1165" s="87"/>
      <c r="BC1165" s="87"/>
      <c r="BD1165" s="87"/>
      <c r="BE1165" s="87"/>
      <c r="BF1165" s="87"/>
      <c r="BG1165" s="87"/>
      <c r="BH1165" s="87"/>
    </row>
    <row r="1166" spans="4:60" x14ac:dyDescent="0.3">
      <c r="D1166" s="87"/>
      <c r="E1166" s="87"/>
      <c r="W1166" s="87"/>
      <c r="X1166" s="87"/>
      <c r="Y1166" s="87"/>
      <c r="Z1166" s="87"/>
      <c r="AA1166" s="87"/>
      <c r="AB1166" s="87"/>
      <c r="AM1166" s="87"/>
      <c r="AN1166" s="87"/>
      <c r="AO1166" s="87"/>
      <c r="AP1166" s="87"/>
      <c r="AQ1166" s="87"/>
      <c r="AR1166" s="87"/>
      <c r="BC1166" s="87"/>
      <c r="BD1166" s="87"/>
      <c r="BE1166" s="87"/>
      <c r="BF1166" s="87"/>
      <c r="BG1166" s="87"/>
      <c r="BH1166" s="87"/>
    </row>
    <row r="1167" spans="4:60" x14ac:dyDescent="0.3">
      <c r="D1167" s="87"/>
      <c r="E1167" s="87"/>
      <c r="W1167" s="87"/>
      <c r="X1167" s="87"/>
      <c r="Y1167" s="87"/>
      <c r="Z1167" s="87"/>
      <c r="AA1167" s="87"/>
      <c r="AB1167" s="87"/>
      <c r="AM1167" s="87"/>
      <c r="AN1167" s="87"/>
      <c r="AO1167" s="87"/>
      <c r="AP1167" s="87"/>
      <c r="AQ1167" s="87"/>
      <c r="AR1167" s="87"/>
      <c r="BC1167" s="87"/>
      <c r="BD1167" s="87"/>
      <c r="BE1167" s="87"/>
      <c r="BF1167" s="87"/>
      <c r="BG1167" s="87"/>
      <c r="BH1167" s="87"/>
    </row>
    <row r="1168" spans="4:60" x14ac:dyDescent="0.3">
      <c r="D1168" s="87"/>
      <c r="E1168" s="87"/>
      <c r="W1168" s="87"/>
      <c r="X1168" s="87"/>
      <c r="Y1168" s="87"/>
      <c r="Z1168" s="87"/>
      <c r="AA1168" s="87"/>
      <c r="AB1168" s="87"/>
      <c r="AM1168" s="87"/>
      <c r="AN1168" s="87"/>
      <c r="AO1168" s="87"/>
      <c r="AP1168" s="87"/>
      <c r="AQ1168" s="87"/>
      <c r="AR1168" s="87"/>
      <c r="BC1168" s="87"/>
      <c r="BD1168" s="87"/>
      <c r="BE1168" s="87"/>
      <c r="BF1168" s="87"/>
      <c r="BG1168" s="87"/>
      <c r="BH1168" s="87"/>
    </row>
    <row r="1169" spans="4:60" x14ac:dyDescent="0.3">
      <c r="D1169" s="87"/>
      <c r="E1169" s="87"/>
      <c r="W1169" s="87"/>
      <c r="X1169" s="87"/>
      <c r="Y1169" s="87"/>
      <c r="Z1169" s="87"/>
      <c r="AA1169" s="87"/>
      <c r="AB1169" s="87"/>
      <c r="AM1169" s="87"/>
      <c r="AN1169" s="87"/>
      <c r="AO1169" s="87"/>
      <c r="AP1169" s="87"/>
      <c r="AQ1169" s="87"/>
      <c r="AR1169" s="87"/>
      <c r="BC1169" s="87"/>
      <c r="BD1169" s="87"/>
      <c r="BE1169" s="87"/>
      <c r="BF1169" s="87"/>
      <c r="BG1169" s="87"/>
      <c r="BH1169" s="87"/>
    </row>
    <row r="1170" spans="4:60" x14ac:dyDescent="0.3">
      <c r="D1170" s="87"/>
      <c r="E1170" s="87"/>
      <c r="W1170" s="87"/>
      <c r="X1170" s="87"/>
      <c r="Y1170" s="87"/>
      <c r="Z1170" s="87"/>
      <c r="AA1170" s="87"/>
      <c r="AB1170" s="87"/>
      <c r="AM1170" s="87"/>
      <c r="AN1170" s="87"/>
      <c r="AO1170" s="87"/>
      <c r="AP1170" s="87"/>
      <c r="AQ1170" s="87"/>
      <c r="AR1170" s="87"/>
      <c r="BC1170" s="87"/>
      <c r="BD1170" s="87"/>
      <c r="BE1170" s="87"/>
      <c r="BF1170" s="87"/>
      <c r="BG1170" s="87"/>
      <c r="BH1170" s="87"/>
    </row>
    <row r="1171" spans="4:60" x14ac:dyDescent="0.3">
      <c r="D1171" s="87"/>
      <c r="E1171" s="87"/>
      <c r="W1171" s="87"/>
      <c r="X1171" s="87"/>
      <c r="Y1171" s="87"/>
      <c r="Z1171" s="87"/>
      <c r="AA1171" s="87"/>
      <c r="AB1171" s="87"/>
      <c r="AM1171" s="87"/>
      <c r="AN1171" s="87"/>
      <c r="AO1171" s="87"/>
      <c r="AP1171" s="87"/>
      <c r="AQ1171" s="87"/>
      <c r="AR1171" s="87"/>
      <c r="BC1171" s="87"/>
      <c r="BD1171" s="87"/>
      <c r="BE1171" s="87"/>
      <c r="BF1171" s="87"/>
      <c r="BG1171" s="87"/>
      <c r="BH1171" s="87"/>
    </row>
    <row r="1172" spans="4:60" x14ac:dyDescent="0.3">
      <c r="D1172" s="87"/>
      <c r="E1172" s="87"/>
      <c r="W1172" s="87"/>
      <c r="X1172" s="87"/>
      <c r="Y1172" s="87"/>
      <c r="Z1172" s="87"/>
      <c r="AA1172" s="87"/>
      <c r="AB1172" s="87"/>
      <c r="AM1172" s="87"/>
      <c r="AN1172" s="87"/>
      <c r="AO1172" s="87"/>
      <c r="AP1172" s="87"/>
      <c r="AQ1172" s="87"/>
      <c r="AR1172" s="87"/>
      <c r="BC1172" s="87"/>
      <c r="BD1172" s="87"/>
      <c r="BE1172" s="87"/>
      <c r="BF1172" s="87"/>
      <c r="BG1172" s="87"/>
      <c r="BH1172" s="87"/>
    </row>
    <row r="1173" spans="4:60" x14ac:dyDescent="0.3">
      <c r="D1173" s="87"/>
      <c r="E1173" s="87"/>
      <c r="W1173" s="87"/>
      <c r="X1173" s="87"/>
      <c r="Y1173" s="87"/>
      <c r="Z1173" s="87"/>
      <c r="AA1173" s="87"/>
      <c r="AB1173" s="87"/>
      <c r="AM1173" s="87"/>
      <c r="AN1173" s="87"/>
      <c r="AO1173" s="87"/>
      <c r="AP1173" s="87"/>
      <c r="AQ1173" s="87"/>
      <c r="AR1173" s="87"/>
      <c r="BC1173" s="87"/>
      <c r="BD1173" s="87"/>
      <c r="BE1173" s="87"/>
      <c r="BF1173" s="87"/>
      <c r="BG1173" s="87"/>
      <c r="BH1173" s="87"/>
    </row>
    <row r="1174" spans="4:60" x14ac:dyDescent="0.3">
      <c r="D1174" s="87"/>
      <c r="E1174" s="87"/>
      <c r="W1174" s="87"/>
      <c r="X1174" s="87"/>
      <c r="Y1174" s="87"/>
      <c r="Z1174" s="87"/>
      <c r="AA1174" s="87"/>
      <c r="AB1174" s="87"/>
      <c r="AM1174" s="87"/>
      <c r="AN1174" s="87"/>
      <c r="AO1174" s="87"/>
      <c r="AP1174" s="87"/>
      <c r="AQ1174" s="87"/>
      <c r="AR1174" s="87"/>
      <c r="BC1174" s="87"/>
      <c r="BD1174" s="87"/>
      <c r="BE1174" s="87"/>
      <c r="BF1174" s="87"/>
      <c r="BG1174" s="87"/>
      <c r="BH1174" s="87"/>
    </row>
    <row r="1175" spans="4:60" x14ac:dyDescent="0.3">
      <c r="D1175" s="87"/>
      <c r="E1175" s="87"/>
      <c r="W1175" s="87"/>
      <c r="X1175" s="87"/>
      <c r="Y1175" s="87"/>
      <c r="Z1175" s="87"/>
      <c r="AA1175" s="87"/>
      <c r="AB1175" s="87"/>
      <c r="AM1175" s="87"/>
      <c r="AN1175" s="87"/>
      <c r="AO1175" s="87"/>
      <c r="AP1175" s="87"/>
      <c r="AQ1175" s="87"/>
      <c r="AR1175" s="87"/>
      <c r="BC1175" s="87"/>
      <c r="BD1175" s="87"/>
      <c r="BE1175" s="87"/>
      <c r="BF1175" s="87"/>
      <c r="BG1175" s="87"/>
      <c r="BH1175" s="87"/>
    </row>
    <row r="1176" spans="4:60" x14ac:dyDescent="0.3">
      <c r="D1176" s="87"/>
      <c r="E1176" s="87"/>
      <c r="W1176" s="87"/>
      <c r="X1176" s="87"/>
      <c r="Y1176" s="87"/>
      <c r="Z1176" s="87"/>
      <c r="AA1176" s="87"/>
      <c r="AB1176" s="87"/>
      <c r="AM1176" s="87"/>
      <c r="AN1176" s="87"/>
      <c r="AO1176" s="87"/>
      <c r="AP1176" s="87"/>
      <c r="AQ1176" s="87"/>
      <c r="AR1176" s="87"/>
      <c r="BC1176" s="87"/>
      <c r="BD1176" s="87"/>
      <c r="BE1176" s="87"/>
      <c r="BF1176" s="87"/>
      <c r="BG1176" s="87"/>
      <c r="BH1176" s="87"/>
    </row>
    <row r="1177" spans="4:60" x14ac:dyDescent="0.3">
      <c r="D1177" s="87"/>
      <c r="E1177" s="87"/>
      <c r="W1177" s="87"/>
      <c r="X1177" s="87"/>
      <c r="Y1177" s="87"/>
      <c r="Z1177" s="87"/>
      <c r="AA1177" s="87"/>
      <c r="AB1177" s="87"/>
      <c r="AM1177" s="87"/>
      <c r="AN1177" s="87"/>
      <c r="AO1177" s="87"/>
      <c r="AP1177" s="87"/>
      <c r="AQ1177" s="87"/>
      <c r="AR1177" s="87"/>
      <c r="BC1177" s="87"/>
      <c r="BD1177" s="87"/>
      <c r="BE1177" s="87"/>
      <c r="BF1177" s="87"/>
      <c r="BG1177" s="87"/>
      <c r="BH1177" s="87"/>
    </row>
    <row r="1178" spans="4:60" x14ac:dyDescent="0.3">
      <c r="D1178" s="87"/>
      <c r="E1178" s="87"/>
      <c r="W1178" s="87"/>
      <c r="X1178" s="87"/>
      <c r="Y1178" s="87"/>
      <c r="Z1178" s="87"/>
      <c r="AA1178" s="87"/>
      <c r="AB1178" s="87"/>
      <c r="AM1178" s="87"/>
      <c r="AN1178" s="87"/>
      <c r="AO1178" s="87"/>
      <c r="AP1178" s="87"/>
      <c r="AQ1178" s="87"/>
      <c r="AR1178" s="87"/>
      <c r="BC1178" s="87"/>
      <c r="BD1178" s="87"/>
      <c r="BE1178" s="87"/>
      <c r="BF1178" s="87"/>
      <c r="BG1178" s="87"/>
      <c r="BH1178" s="87"/>
    </row>
    <row r="1179" spans="4:60" x14ac:dyDescent="0.3">
      <c r="D1179" s="87"/>
      <c r="E1179" s="87"/>
      <c r="W1179" s="87"/>
      <c r="X1179" s="87"/>
      <c r="Y1179" s="87"/>
      <c r="Z1179" s="87"/>
      <c r="AA1179" s="87"/>
      <c r="AB1179" s="87"/>
      <c r="AM1179" s="87"/>
      <c r="AN1179" s="87"/>
      <c r="AO1179" s="87"/>
      <c r="AP1179" s="87"/>
      <c r="AQ1179" s="87"/>
      <c r="AR1179" s="87"/>
      <c r="BC1179" s="87"/>
      <c r="BD1179" s="87"/>
      <c r="BE1179" s="87"/>
      <c r="BF1179" s="87"/>
      <c r="BG1179" s="87"/>
      <c r="BH1179" s="87"/>
    </row>
    <row r="1180" spans="4:60" x14ac:dyDescent="0.3">
      <c r="D1180" s="87"/>
      <c r="E1180" s="87"/>
      <c r="W1180" s="87"/>
      <c r="X1180" s="87"/>
      <c r="Y1180" s="87"/>
      <c r="Z1180" s="87"/>
      <c r="AA1180" s="87"/>
      <c r="AB1180" s="87"/>
      <c r="AM1180" s="87"/>
      <c r="AN1180" s="87"/>
      <c r="AO1180" s="87"/>
      <c r="AP1180" s="87"/>
      <c r="AQ1180" s="87"/>
      <c r="AR1180" s="87"/>
      <c r="BC1180" s="87"/>
      <c r="BD1180" s="87"/>
      <c r="BE1180" s="87"/>
      <c r="BF1180" s="87"/>
      <c r="BG1180" s="87"/>
      <c r="BH1180" s="87"/>
    </row>
    <row r="1181" spans="4:60" x14ac:dyDescent="0.3">
      <c r="D1181" s="87"/>
      <c r="E1181" s="87"/>
      <c r="W1181" s="87"/>
      <c r="X1181" s="87"/>
      <c r="Y1181" s="87"/>
      <c r="Z1181" s="87"/>
      <c r="AA1181" s="87"/>
      <c r="AB1181" s="87"/>
      <c r="AM1181" s="87"/>
      <c r="AN1181" s="87"/>
      <c r="AO1181" s="87"/>
      <c r="AP1181" s="87"/>
      <c r="AQ1181" s="87"/>
      <c r="AR1181" s="87"/>
      <c r="BC1181" s="87"/>
      <c r="BD1181" s="87"/>
      <c r="BE1181" s="87"/>
      <c r="BF1181" s="87"/>
      <c r="BG1181" s="87"/>
      <c r="BH1181" s="87"/>
    </row>
    <row r="1182" spans="4:60" x14ac:dyDescent="0.3">
      <c r="D1182" s="87"/>
      <c r="E1182" s="87"/>
      <c r="W1182" s="87"/>
      <c r="X1182" s="87"/>
      <c r="Y1182" s="87"/>
      <c r="Z1182" s="87"/>
      <c r="AA1182" s="87"/>
      <c r="AB1182" s="87"/>
      <c r="AM1182" s="87"/>
      <c r="AN1182" s="87"/>
      <c r="AO1182" s="87"/>
      <c r="AP1182" s="87"/>
      <c r="AQ1182" s="87"/>
      <c r="AR1182" s="87"/>
      <c r="BC1182" s="87"/>
      <c r="BD1182" s="87"/>
      <c r="BE1182" s="87"/>
      <c r="BF1182" s="87"/>
      <c r="BG1182" s="87"/>
      <c r="BH1182" s="87"/>
    </row>
    <row r="1183" spans="4:60" x14ac:dyDescent="0.3">
      <c r="D1183" s="87"/>
      <c r="E1183" s="87"/>
      <c r="W1183" s="87"/>
      <c r="X1183" s="87"/>
      <c r="Y1183" s="87"/>
      <c r="Z1183" s="87"/>
      <c r="AA1183" s="87"/>
      <c r="AB1183" s="87"/>
      <c r="AM1183" s="87"/>
      <c r="AN1183" s="87"/>
      <c r="AO1183" s="87"/>
      <c r="AP1183" s="87"/>
      <c r="AQ1183" s="87"/>
      <c r="AR1183" s="87"/>
      <c r="BC1183" s="87"/>
      <c r="BD1183" s="87"/>
      <c r="BE1183" s="87"/>
      <c r="BF1183" s="87"/>
      <c r="BG1183" s="87"/>
      <c r="BH1183" s="87"/>
    </row>
    <row r="1184" spans="4:60" x14ac:dyDescent="0.3">
      <c r="D1184" s="87"/>
      <c r="E1184" s="87"/>
      <c r="W1184" s="87"/>
      <c r="X1184" s="87"/>
      <c r="Y1184" s="87"/>
      <c r="Z1184" s="87"/>
      <c r="AA1184" s="87"/>
      <c r="AB1184" s="87"/>
      <c r="AM1184" s="87"/>
      <c r="AN1184" s="87"/>
      <c r="AO1184" s="87"/>
      <c r="AP1184" s="87"/>
      <c r="AQ1184" s="87"/>
      <c r="AR1184" s="87"/>
      <c r="BC1184" s="87"/>
      <c r="BD1184" s="87"/>
      <c r="BE1184" s="87"/>
      <c r="BF1184" s="87"/>
      <c r="BG1184" s="87"/>
      <c r="BH1184" s="87"/>
    </row>
    <row r="1185" spans="4:60" x14ac:dyDescent="0.3">
      <c r="D1185" s="87"/>
      <c r="E1185" s="87"/>
      <c r="W1185" s="87"/>
      <c r="X1185" s="87"/>
      <c r="Y1185" s="87"/>
      <c r="Z1185" s="87"/>
      <c r="AA1185" s="87"/>
      <c r="AB1185" s="87"/>
      <c r="AM1185" s="87"/>
      <c r="AN1185" s="87"/>
      <c r="AO1185" s="87"/>
      <c r="AP1185" s="87"/>
      <c r="AQ1185" s="87"/>
      <c r="AR1185" s="87"/>
      <c r="BC1185" s="87"/>
      <c r="BD1185" s="87"/>
      <c r="BE1185" s="87"/>
      <c r="BF1185" s="87"/>
      <c r="BG1185" s="87"/>
      <c r="BH1185" s="87"/>
    </row>
    <row r="1186" spans="4:60" x14ac:dyDescent="0.3">
      <c r="D1186" s="87"/>
      <c r="E1186" s="87"/>
      <c r="W1186" s="87"/>
      <c r="X1186" s="87"/>
      <c r="Y1186" s="87"/>
      <c r="Z1186" s="87"/>
      <c r="AA1186" s="87"/>
      <c r="AB1186" s="87"/>
      <c r="AM1186" s="87"/>
      <c r="AN1186" s="87"/>
      <c r="AO1186" s="87"/>
      <c r="AP1186" s="87"/>
      <c r="AQ1186" s="87"/>
      <c r="AR1186" s="87"/>
      <c r="BC1186" s="87"/>
      <c r="BD1186" s="87"/>
      <c r="BE1186" s="87"/>
      <c r="BF1186" s="87"/>
      <c r="BG1186" s="87"/>
      <c r="BH1186" s="87"/>
    </row>
    <row r="1187" spans="4:60" x14ac:dyDescent="0.3">
      <c r="D1187" s="87"/>
      <c r="E1187" s="87"/>
      <c r="W1187" s="87"/>
      <c r="X1187" s="87"/>
      <c r="Y1187" s="87"/>
      <c r="Z1187" s="87"/>
      <c r="AA1187" s="87"/>
      <c r="AB1187" s="87"/>
      <c r="AM1187" s="87"/>
      <c r="AN1187" s="87"/>
      <c r="AO1187" s="87"/>
      <c r="AP1187" s="87"/>
      <c r="AQ1187" s="87"/>
      <c r="AR1187" s="87"/>
      <c r="BC1187" s="87"/>
      <c r="BD1187" s="87"/>
      <c r="BE1187" s="87"/>
      <c r="BF1187" s="87"/>
      <c r="BG1187" s="87"/>
      <c r="BH1187" s="87"/>
    </row>
    <row r="1188" spans="4:60" x14ac:dyDescent="0.3">
      <c r="D1188" s="87"/>
      <c r="E1188" s="87"/>
      <c r="W1188" s="87"/>
      <c r="X1188" s="87"/>
      <c r="Y1188" s="87"/>
      <c r="Z1188" s="87"/>
      <c r="AA1188" s="87"/>
      <c r="AB1188" s="87"/>
      <c r="AM1188" s="87"/>
      <c r="AN1188" s="87"/>
      <c r="AO1188" s="87"/>
      <c r="AP1188" s="87"/>
      <c r="AQ1188" s="87"/>
      <c r="AR1188" s="87"/>
      <c r="BC1188" s="87"/>
      <c r="BD1188" s="87"/>
      <c r="BE1188" s="87"/>
      <c r="BF1188" s="87"/>
      <c r="BG1188" s="87"/>
      <c r="BH1188" s="87"/>
    </row>
    <row r="1189" spans="4:60" x14ac:dyDescent="0.3">
      <c r="D1189" s="87"/>
      <c r="E1189" s="87"/>
      <c r="W1189" s="87"/>
      <c r="X1189" s="87"/>
      <c r="Y1189" s="87"/>
      <c r="Z1189" s="87"/>
      <c r="AA1189" s="87"/>
      <c r="AB1189" s="87"/>
      <c r="AM1189" s="87"/>
      <c r="AN1189" s="87"/>
      <c r="AO1189" s="87"/>
      <c r="AP1189" s="87"/>
      <c r="AQ1189" s="87"/>
      <c r="AR1189" s="87"/>
      <c r="BC1189" s="87"/>
      <c r="BD1189" s="87"/>
      <c r="BE1189" s="87"/>
      <c r="BF1189" s="87"/>
      <c r="BG1189" s="87"/>
      <c r="BH1189" s="87"/>
    </row>
    <row r="1190" spans="4:60" x14ac:dyDescent="0.3">
      <c r="D1190" s="87"/>
      <c r="E1190" s="87"/>
      <c r="W1190" s="87"/>
      <c r="X1190" s="87"/>
      <c r="Y1190" s="87"/>
      <c r="Z1190" s="87"/>
      <c r="AA1190" s="87"/>
      <c r="AB1190" s="87"/>
      <c r="AM1190" s="87"/>
      <c r="AN1190" s="87"/>
      <c r="AO1190" s="87"/>
      <c r="AP1190" s="87"/>
      <c r="AQ1190" s="87"/>
      <c r="AR1190" s="87"/>
      <c r="BC1190" s="87"/>
      <c r="BD1190" s="87"/>
      <c r="BE1190" s="87"/>
      <c r="BF1190" s="87"/>
      <c r="BG1190" s="87"/>
      <c r="BH1190" s="87"/>
    </row>
    <row r="1191" spans="4:60" x14ac:dyDescent="0.3">
      <c r="D1191" s="87"/>
      <c r="E1191" s="87"/>
      <c r="W1191" s="87"/>
      <c r="X1191" s="87"/>
      <c r="Y1191" s="87"/>
      <c r="Z1191" s="87"/>
      <c r="AA1191" s="87"/>
      <c r="AB1191" s="87"/>
      <c r="AM1191" s="87"/>
      <c r="AN1191" s="87"/>
      <c r="AO1191" s="87"/>
      <c r="AP1191" s="87"/>
      <c r="AQ1191" s="87"/>
      <c r="AR1191" s="87"/>
      <c r="BC1191" s="87"/>
      <c r="BD1191" s="87"/>
      <c r="BE1191" s="87"/>
      <c r="BF1191" s="87"/>
      <c r="BG1191" s="87"/>
      <c r="BH1191" s="87"/>
    </row>
    <row r="1192" spans="4:60" x14ac:dyDescent="0.3">
      <c r="D1192" s="87"/>
      <c r="E1192" s="87"/>
      <c r="W1192" s="87"/>
      <c r="X1192" s="87"/>
      <c r="Y1192" s="87"/>
      <c r="Z1192" s="87"/>
      <c r="AA1192" s="87"/>
      <c r="AB1192" s="87"/>
      <c r="AM1192" s="87"/>
      <c r="AN1192" s="87"/>
      <c r="AO1192" s="87"/>
      <c r="AP1192" s="87"/>
      <c r="AQ1192" s="87"/>
      <c r="AR1192" s="87"/>
      <c r="BC1192" s="87"/>
      <c r="BD1192" s="87"/>
      <c r="BE1192" s="87"/>
      <c r="BF1192" s="87"/>
      <c r="BG1192" s="87"/>
      <c r="BH1192" s="87"/>
    </row>
    <row r="1193" spans="4:60" x14ac:dyDescent="0.3">
      <c r="D1193" s="87"/>
      <c r="E1193" s="87"/>
      <c r="W1193" s="87"/>
      <c r="X1193" s="87"/>
      <c r="Y1193" s="87"/>
      <c r="Z1193" s="87"/>
      <c r="AA1193" s="87"/>
      <c r="AB1193" s="87"/>
      <c r="AM1193" s="87"/>
      <c r="AN1193" s="87"/>
      <c r="AO1193" s="87"/>
      <c r="AP1193" s="87"/>
      <c r="AQ1193" s="87"/>
      <c r="AR1193" s="87"/>
      <c r="BC1193" s="87"/>
      <c r="BD1193" s="87"/>
      <c r="BE1193" s="87"/>
      <c r="BF1193" s="87"/>
      <c r="BG1193" s="87"/>
      <c r="BH1193" s="87"/>
    </row>
    <row r="1194" spans="4:60" x14ac:dyDescent="0.3">
      <c r="D1194" s="87"/>
      <c r="E1194" s="87"/>
      <c r="W1194" s="87"/>
      <c r="X1194" s="87"/>
      <c r="Y1194" s="87"/>
      <c r="Z1194" s="87"/>
      <c r="AA1194" s="87"/>
      <c r="AB1194" s="87"/>
      <c r="AM1194" s="87"/>
      <c r="AN1194" s="87"/>
      <c r="AO1194" s="87"/>
      <c r="AP1194" s="87"/>
      <c r="AQ1194" s="87"/>
      <c r="AR1194" s="87"/>
      <c r="BC1194" s="87"/>
      <c r="BD1194" s="87"/>
      <c r="BE1194" s="87"/>
      <c r="BF1194" s="87"/>
      <c r="BG1194" s="87"/>
      <c r="BH1194" s="87"/>
    </row>
    <row r="1195" spans="4:60" x14ac:dyDescent="0.3">
      <c r="D1195" s="87"/>
      <c r="E1195" s="87"/>
      <c r="W1195" s="87"/>
      <c r="X1195" s="87"/>
      <c r="Y1195" s="87"/>
      <c r="Z1195" s="87"/>
      <c r="AA1195" s="87"/>
      <c r="AB1195" s="87"/>
      <c r="AM1195" s="87"/>
      <c r="AN1195" s="87"/>
      <c r="AO1195" s="87"/>
      <c r="AP1195" s="87"/>
      <c r="AQ1195" s="87"/>
      <c r="AR1195" s="87"/>
      <c r="BC1195" s="87"/>
      <c r="BD1195" s="87"/>
      <c r="BE1195" s="87"/>
      <c r="BF1195" s="87"/>
      <c r="BG1195" s="87"/>
      <c r="BH1195" s="87"/>
    </row>
    <row r="1196" spans="4:60" x14ac:dyDescent="0.3">
      <c r="D1196" s="87"/>
      <c r="E1196" s="87"/>
      <c r="W1196" s="87"/>
      <c r="X1196" s="87"/>
      <c r="Y1196" s="87"/>
      <c r="Z1196" s="87"/>
      <c r="AA1196" s="87"/>
      <c r="AB1196" s="87"/>
      <c r="AM1196" s="87"/>
      <c r="AN1196" s="87"/>
      <c r="AO1196" s="87"/>
      <c r="AP1196" s="87"/>
      <c r="AQ1196" s="87"/>
      <c r="AR1196" s="87"/>
      <c r="BC1196" s="87"/>
      <c r="BD1196" s="87"/>
      <c r="BE1196" s="87"/>
      <c r="BF1196" s="87"/>
      <c r="BG1196" s="87"/>
      <c r="BH1196" s="87"/>
    </row>
    <row r="1197" spans="4:60" x14ac:dyDescent="0.3">
      <c r="D1197" s="87"/>
      <c r="E1197" s="87"/>
      <c r="W1197" s="87"/>
      <c r="X1197" s="87"/>
      <c r="Y1197" s="87"/>
      <c r="Z1197" s="87"/>
      <c r="AA1197" s="87"/>
      <c r="AB1197" s="87"/>
      <c r="AM1197" s="87"/>
      <c r="AN1197" s="87"/>
      <c r="AO1197" s="87"/>
      <c r="AP1197" s="87"/>
      <c r="AQ1197" s="87"/>
      <c r="AR1197" s="87"/>
      <c r="BC1197" s="87"/>
      <c r="BD1197" s="87"/>
      <c r="BE1197" s="87"/>
      <c r="BF1197" s="87"/>
      <c r="BG1197" s="87"/>
      <c r="BH1197" s="87"/>
    </row>
    <row r="1198" spans="4:60" x14ac:dyDescent="0.3">
      <c r="D1198" s="87"/>
      <c r="E1198" s="87"/>
      <c r="W1198" s="87"/>
      <c r="X1198" s="87"/>
      <c r="Y1198" s="87"/>
      <c r="Z1198" s="87"/>
      <c r="AA1198" s="87"/>
      <c r="AB1198" s="87"/>
      <c r="AM1198" s="87"/>
      <c r="AN1198" s="87"/>
      <c r="AO1198" s="87"/>
      <c r="AP1198" s="87"/>
      <c r="AQ1198" s="87"/>
      <c r="AR1198" s="87"/>
      <c r="BC1198" s="87"/>
      <c r="BD1198" s="87"/>
      <c r="BE1198" s="87"/>
      <c r="BF1198" s="87"/>
      <c r="BG1198" s="87"/>
      <c r="BH1198" s="87"/>
    </row>
    <row r="1199" spans="4:60" x14ac:dyDescent="0.3">
      <c r="D1199" s="87"/>
      <c r="E1199" s="87"/>
      <c r="W1199" s="87"/>
      <c r="X1199" s="87"/>
      <c r="Y1199" s="87"/>
      <c r="Z1199" s="87"/>
      <c r="AA1199" s="87"/>
      <c r="AB1199" s="87"/>
      <c r="AM1199" s="87"/>
      <c r="AN1199" s="87"/>
      <c r="AO1199" s="87"/>
      <c r="AP1199" s="87"/>
      <c r="AQ1199" s="87"/>
      <c r="AR1199" s="87"/>
      <c r="BC1199" s="87"/>
      <c r="BD1199" s="87"/>
      <c r="BE1199" s="87"/>
      <c r="BF1199" s="87"/>
      <c r="BG1199" s="87"/>
      <c r="BH1199" s="87"/>
    </row>
    <row r="1200" spans="4:60" x14ac:dyDescent="0.3">
      <c r="D1200" s="87"/>
      <c r="E1200" s="87"/>
      <c r="W1200" s="87"/>
      <c r="X1200" s="87"/>
      <c r="Y1200" s="87"/>
      <c r="Z1200" s="87"/>
      <c r="AA1200" s="87"/>
      <c r="AB1200" s="87"/>
      <c r="AM1200" s="87"/>
      <c r="AN1200" s="87"/>
      <c r="AO1200" s="87"/>
      <c r="AP1200" s="87"/>
      <c r="AQ1200" s="87"/>
      <c r="AR1200" s="87"/>
      <c r="BC1200" s="87"/>
      <c r="BD1200" s="87"/>
      <c r="BE1200" s="87"/>
      <c r="BF1200" s="87"/>
      <c r="BG1200" s="87"/>
      <c r="BH1200" s="87"/>
    </row>
    <row r="1201" spans="4:60" x14ac:dyDescent="0.3">
      <c r="D1201" s="87"/>
      <c r="E1201" s="87"/>
      <c r="W1201" s="87"/>
      <c r="X1201" s="87"/>
      <c r="Y1201" s="87"/>
      <c r="Z1201" s="87"/>
      <c r="AA1201" s="87"/>
      <c r="AB1201" s="87"/>
      <c r="AM1201" s="87"/>
      <c r="AN1201" s="87"/>
      <c r="AO1201" s="87"/>
      <c r="AP1201" s="87"/>
      <c r="AQ1201" s="87"/>
      <c r="AR1201" s="87"/>
      <c r="BC1201" s="87"/>
      <c r="BD1201" s="87"/>
      <c r="BE1201" s="87"/>
      <c r="BF1201" s="87"/>
      <c r="BG1201" s="87"/>
      <c r="BH1201" s="87"/>
    </row>
    <row r="1202" spans="4:60" x14ac:dyDescent="0.3">
      <c r="D1202" s="87"/>
      <c r="E1202" s="87"/>
      <c r="W1202" s="87"/>
      <c r="X1202" s="87"/>
      <c r="Y1202" s="87"/>
      <c r="Z1202" s="87"/>
      <c r="AA1202" s="87"/>
      <c r="AB1202" s="87"/>
      <c r="AM1202" s="87"/>
      <c r="AN1202" s="87"/>
      <c r="AO1202" s="87"/>
      <c r="AP1202" s="87"/>
      <c r="AQ1202" s="87"/>
      <c r="AR1202" s="87"/>
      <c r="BC1202" s="87"/>
      <c r="BD1202" s="87"/>
      <c r="BE1202" s="87"/>
      <c r="BF1202" s="87"/>
      <c r="BG1202" s="87"/>
      <c r="BH1202" s="87"/>
    </row>
    <row r="1203" spans="4:60" x14ac:dyDescent="0.3">
      <c r="D1203" s="87"/>
      <c r="E1203" s="87"/>
      <c r="W1203" s="87"/>
      <c r="X1203" s="87"/>
      <c r="Y1203" s="87"/>
      <c r="Z1203" s="87"/>
      <c r="AA1203" s="87"/>
      <c r="AB1203" s="87"/>
      <c r="AM1203" s="87"/>
      <c r="AN1203" s="87"/>
      <c r="AO1203" s="87"/>
      <c r="AP1203" s="87"/>
      <c r="AQ1203" s="87"/>
      <c r="AR1203" s="87"/>
      <c r="BC1203" s="87"/>
      <c r="BD1203" s="87"/>
      <c r="BE1203" s="87"/>
      <c r="BF1203" s="87"/>
      <c r="BG1203" s="87"/>
      <c r="BH1203" s="87"/>
    </row>
    <row r="1204" spans="4:60" x14ac:dyDescent="0.3">
      <c r="D1204" s="87"/>
      <c r="E1204" s="87"/>
      <c r="W1204" s="87"/>
      <c r="X1204" s="87"/>
      <c r="Y1204" s="87"/>
      <c r="Z1204" s="87"/>
      <c r="AA1204" s="87"/>
      <c r="AB1204" s="87"/>
      <c r="AM1204" s="87"/>
      <c r="AN1204" s="87"/>
      <c r="AO1204" s="87"/>
      <c r="AP1204" s="87"/>
      <c r="AQ1204" s="87"/>
      <c r="AR1204" s="87"/>
      <c r="BC1204" s="87"/>
      <c r="BD1204" s="87"/>
      <c r="BE1204" s="87"/>
      <c r="BF1204" s="87"/>
      <c r="BG1204" s="87"/>
      <c r="BH1204" s="87"/>
    </row>
    <row r="1205" spans="4:60" x14ac:dyDescent="0.3">
      <c r="D1205" s="87"/>
      <c r="E1205" s="87"/>
      <c r="W1205" s="87"/>
      <c r="X1205" s="87"/>
      <c r="Y1205" s="87"/>
      <c r="Z1205" s="87"/>
      <c r="AA1205" s="87"/>
      <c r="AB1205" s="87"/>
      <c r="AM1205" s="87"/>
      <c r="AN1205" s="87"/>
      <c r="AO1205" s="87"/>
      <c r="AP1205" s="87"/>
      <c r="AQ1205" s="87"/>
      <c r="AR1205" s="87"/>
      <c r="BC1205" s="87"/>
      <c r="BD1205" s="87"/>
      <c r="BE1205" s="87"/>
      <c r="BF1205" s="87"/>
      <c r="BG1205" s="87"/>
      <c r="BH1205" s="87"/>
    </row>
    <row r="1206" spans="4:60" x14ac:dyDescent="0.3">
      <c r="D1206" s="87"/>
      <c r="E1206" s="87"/>
      <c r="W1206" s="87"/>
      <c r="X1206" s="87"/>
      <c r="Y1206" s="87"/>
      <c r="Z1206" s="87"/>
      <c r="AA1206" s="87"/>
      <c r="AB1206" s="87"/>
      <c r="AM1206" s="87"/>
      <c r="AN1206" s="87"/>
      <c r="AO1206" s="87"/>
      <c r="AP1206" s="87"/>
      <c r="AQ1206" s="87"/>
      <c r="AR1206" s="87"/>
      <c r="BC1206" s="87"/>
      <c r="BD1206" s="87"/>
      <c r="BE1206" s="87"/>
      <c r="BF1206" s="87"/>
      <c r="BG1206" s="87"/>
      <c r="BH1206" s="87"/>
    </row>
    <row r="1207" spans="4:60" x14ac:dyDescent="0.3">
      <c r="D1207" s="87"/>
      <c r="E1207" s="87"/>
      <c r="W1207" s="87"/>
      <c r="X1207" s="87"/>
      <c r="Y1207" s="87"/>
      <c r="Z1207" s="87"/>
      <c r="AA1207" s="87"/>
      <c r="AB1207" s="87"/>
      <c r="AM1207" s="87"/>
      <c r="AN1207" s="87"/>
      <c r="AO1207" s="87"/>
      <c r="AP1207" s="87"/>
      <c r="AQ1207" s="87"/>
      <c r="AR1207" s="87"/>
      <c r="BC1207" s="87"/>
      <c r="BD1207" s="87"/>
      <c r="BE1207" s="87"/>
      <c r="BF1207" s="87"/>
      <c r="BG1207" s="87"/>
      <c r="BH1207" s="87"/>
    </row>
    <row r="1208" spans="4:60" x14ac:dyDescent="0.3">
      <c r="D1208" s="87"/>
      <c r="E1208" s="87"/>
      <c r="W1208" s="87"/>
      <c r="X1208" s="87"/>
      <c r="Y1208" s="87"/>
      <c r="Z1208" s="87"/>
      <c r="AA1208" s="87"/>
      <c r="AB1208" s="87"/>
      <c r="AM1208" s="87"/>
      <c r="AN1208" s="87"/>
      <c r="AO1208" s="87"/>
      <c r="AP1208" s="87"/>
      <c r="AQ1208" s="87"/>
      <c r="AR1208" s="87"/>
      <c r="BC1208" s="87"/>
      <c r="BD1208" s="87"/>
      <c r="BE1208" s="87"/>
      <c r="BF1208" s="87"/>
      <c r="BG1208" s="87"/>
      <c r="BH1208" s="87"/>
    </row>
    <row r="1209" spans="4:60" x14ac:dyDescent="0.3">
      <c r="D1209" s="87"/>
      <c r="E1209" s="87"/>
      <c r="W1209" s="87"/>
      <c r="X1209" s="87"/>
      <c r="Y1209" s="87"/>
      <c r="Z1209" s="87"/>
      <c r="AA1209" s="87"/>
      <c r="AB1209" s="87"/>
      <c r="AM1209" s="87"/>
      <c r="AN1209" s="87"/>
      <c r="AO1209" s="87"/>
      <c r="AP1209" s="87"/>
      <c r="AQ1209" s="87"/>
      <c r="AR1209" s="87"/>
      <c r="BC1209" s="87"/>
      <c r="BD1209" s="87"/>
      <c r="BE1209" s="87"/>
      <c r="BF1209" s="87"/>
      <c r="BG1209" s="87"/>
      <c r="BH1209" s="87"/>
    </row>
    <row r="1210" spans="4:60" x14ac:dyDescent="0.3">
      <c r="D1210" s="87"/>
      <c r="E1210" s="87"/>
      <c r="W1210" s="87"/>
      <c r="X1210" s="87"/>
      <c r="Y1210" s="87"/>
      <c r="Z1210" s="87"/>
      <c r="AA1210" s="87"/>
      <c r="AB1210" s="87"/>
      <c r="AM1210" s="87"/>
      <c r="AN1210" s="87"/>
      <c r="AO1210" s="87"/>
      <c r="AP1210" s="87"/>
      <c r="AQ1210" s="87"/>
      <c r="AR1210" s="87"/>
      <c r="BC1210" s="87"/>
      <c r="BD1210" s="87"/>
      <c r="BE1210" s="87"/>
      <c r="BF1210" s="87"/>
      <c r="BG1210" s="87"/>
      <c r="BH1210" s="87"/>
    </row>
    <row r="1211" spans="4:60" x14ac:dyDescent="0.3">
      <c r="D1211" s="87"/>
      <c r="E1211" s="87"/>
      <c r="W1211" s="87"/>
      <c r="X1211" s="87"/>
      <c r="Y1211" s="87"/>
      <c r="Z1211" s="87"/>
      <c r="AA1211" s="87"/>
      <c r="AB1211" s="87"/>
      <c r="AM1211" s="87"/>
      <c r="AN1211" s="87"/>
      <c r="AO1211" s="87"/>
      <c r="AP1211" s="87"/>
      <c r="AQ1211" s="87"/>
      <c r="AR1211" s="87"/>
      <c r="BC1211" s="87"/>
      <c r="BD1211" s="87"/>
      <c r="BE1211" s="87"/>
      <c r="BF1211" s="87"/>
      <c r="BG1211" s="87"/>
      <c r="BH1211" s="87"/>
    </row>
    <row r="1212" spans="4:60" x14ac:dyDescent="0.3">
      <c r="D1212" s="87"/>
      <c r="E1212" s="87"/>
      <c r="W1212" s="87"/>
      <c r="X1212" s="87"/>
      <c r="Y1212" s="87"/>
      <c r="Z1212" s="87"/>
      <c r="AA1212" s="87"/>
      <c r="AB1212" s="87"/>
      <c r="AM1212" s="87"/>
      <c r="AN1212" s="87"/>
      <c r="AO1212" s="87"/>
      <c r="AP1212" s="87"/>
      <c r="AQ1212" s="87"/>
      <c r="AR1212" s="87"/>
      <c r="BC1212" s="87"/>
      <c r="BD1212" s="87"/>
      <c r="BE1212" s="87"/>
      <c r="BF1212" s="87"/>
      <c r="BG1212" s="87"/>
      <c r="BH1212" s="87"/>
    </row>
    <row r="1213" spans="4:60" x14ac:dyDescent="0.3">
      <c r="D1213" s="87"/>
      <c r="E1213" s="87"/>
      <c r="W1213" s="87"/>
      <c r="X1213" s="87"/>
      <c r="Y1213" s="87"/>
      <c r="Z1213" s="87"/>
      <c r="AA1213" s="87"/>
      <c r="AB1213" s="87"/>
      <c r="AM1213" s="87"/>
      <c r="AN1213" s="87"/>
      <c r="AO1213" s="87"/>
      <c r="AP1213" s="87"/>
      <c r="AQ1213" s="87"/>
      <c r="AR1213" s="87"/>
      <c r="BC1213" s="87"/>
      <c r="BD1213" s="87"/>
      <c r="BE1213" s="87"/>
      <c r="BF1213" s="87"/>
      <c r="BG1213" s="87"/>
      <c r="BH1213" s="87"/>
    </row>
    <row r="1214" spans="4:60" x14ac:dyDescent="0.3">
      <c r="D1214" s="87"/>
      <c r="E1214" s="87"/>
      <c r="W1214" s="87"/>
      <c r="X1214" s="87"/>
      <c r="Y1214" s="87"/>
      <c r="Z1214" s="87"/>
      <c r="AA1214" s="87"/>
      <c r="AB1214" s="87"/>
      <c r="AM1214" s="87"/>
      <c r="AN1214" s="87"/>
      <c r="AO1214" s="87"/>
      <c r="AP1214" s="87"/>
      <c r="AQ1214" s="87"/>
      <c r="AR1214" s="87"/>
      <c r="BC1214" s="87"/>
      <c r="BD1214" s="87"/>
      <c r="BE1214" s="87"/>
      <c r="BF1214" s="87"/>
      <c r="BG1214" s="87"/>
      <c r="BH1214" s="87"/>
    </row>
    <row r="1215" spans="4:60" x14ac:dyDescent="0.3">
      <c r="D1215" s="87"/>
      <c r="E1215" s="87"/>
      <c r="W1215" s="87"/>
      <c r="X1215" s="87"/>
      <c r="Y1215" s="87"/>
      <c r="Z1215" s="87"/>
      <c r="AA1215" s="87"/>
      <c r="AB1215" s="87"/>
      <c r="AM1215" s="87"/>
      <c r="AN1215" s="87"/>
      <c r="AO1215" s="87"/>
      <c r="AP1215" s="87"/>
      <c r="AQ1215" s="87"/>
      <c r="AR1215" s="87"/>
      <c r="BC1215" s="87"/>
      <c r="BD1215" s="87"/>
      <c r="BE1215" s="87"/>
      <c r="BF1215" s="87"/>
      <c r="BG1215" s="87"/>
      <c r="BH1215" s="87"/>
    </row>
    <row r="1216" spans="4:60" x14ac:dyDescent="0.3">
      <c r="D1216" s="87"/>
      <c r="E1216" s="87"/>
      <c r="W1216" s="87"/>
      <c r="X1216" s="87"/>
      <c r="Y1216" s="87"/>
      <c r="Z1216" s="87"/>
      <c r="AA1216" s="87"/>
      <c r="AB1216" s="87"/>
      <c r="AM1216" s="87"/>
      <c r="AN1216" s="87"/>
      <c r="AO1216" s="87"/>
      <c r="AP1216" s="87"/>
      <c r="AQ1216" s="87"/>
      <c r="AR1216" s="87"/>
      <c r="BC1216" s="87"/>
      <c r="BD1216" s="87"/>
      <c r="BE1216" s="87"/>
      <c r="BF1216" s="87"/>
      <c r="BG1216" s="87"/>
      <c r="BH1216" s="87"/>
    </row>
    <row r="1217" spans="4:60" x14ac:dyDescent="0.3">
      <c r="D1217" s="87"/>
      <c r="E1217" s="87"/>
      <c r="W1217" s="87"/>
      <c r="X1217" s="87"/>
      <c r="Y1217" s="87"/>
      <c r="Z1217" s="87"/>
      <c r="AA1217" s="87"/>
      <c r="AB1217" s="87"/>
      <c r="AM1217" s="87"/>
      <c r="AN1217" s="87"/>
      <c r="AO1217" s="87"/>
      <c r="AP1217" s="87"/>
      <c r="AQ1217" s="87"/>
      <c r="AR1217" s="87"/>
      <c r="BC1217" s="87"/>
      <c r="BD1217" s="87"/>
      <c r="BE1217" s="87"/>
      <c r="BF1217" s="87"/>
      <c r="BG1217" s="87"/>
      <c r="BH1217" s="87"/>
    </row>
    <row r="1218" spans="4:60" x14ac:dyDescent="0.3">
      <c r="D1218" s="87"/>
      <c r="E1218" s="87"/>
      <c r="W1218" s="87"/>
      <c r="X1218" s="87"/>
      <c r="Y1218" s="87"/>
      <c r="Z1218" s="87"/>
      <c r="AA1218" s="87"/>
      <c r="AB1218" s="87"/>
      <c r="AM1218" s="87"/>
      <c r="AN1218" s="87"/>
      <c r="AO1218" s="87"/>
      <c r="AP1218" s="87"/>
      <c r="AQ1218" s="87"/>
      <c r="AR1218" s="87"/>
      <c r="BC1218" s="87"/>
      <c r="BD1218" s="87"/>
      <c r="BE1218" s="87"/>
      <c r="BF1218" s="87"/>
      <c r="BG1218" s="87"/>
      <c r="BH1218" s="87"/>
    </row>
    <row r="1219" spans="4:60" x14ac:dyDescent="0.3">
      <c r="D1219" s="87"/>
      <c r="E1219" s="87"/>
      <c r="W1219" s="87"/>
      <c r="X1219" s="87"/>
      <c r="Y1219" s="87"/>
      <c r="Z1219" s="87"/>
      <c r="AA1219" s="87"/>
      <c r="AB1219" s="87"/>
      <c r="AM1219" s="87"/>
      <c r="AN1219" s="87"/>
      <c r="AO1219" s="87"/>
      <c r="AP1219" s="87"/>
      <c r="AQ1219" s="87"/>
      <c r="AR1219" s="87"/>
      <c r="BC1219" s="87"/>
      <c r="BD1219" s="87"/>
      <c r="BE1219" s="87"/>
      <c r="BF1219" s="87"/>
      <c r="BG1219" s="87"/>
      <c r="BH1219" s="87"/>
    </row>
    <row r="1220" spans="4:60" x14ac:dyDescent="0.3">
      <c r="D1220" s="87"/>
      <c r="E1220" s="87"/>
      <c r="W1220" s="87"/>
      <c r="X1220" s="87"/>
      <c r="Y1220" s="87"/>
      <c r="Z1220" s="87"/>
      <c r="AA1220" s="87"/>
      <c r="AB1220" s="87"/>
      <c r="AM1220" s="87"/>
      <c r="AN1220" s="87"/>
      <c r="AO1220" s="87"/>
      <c r="AP1220" s="87"/>
      <c r="AQ1220" s="87"/>
      <c r="AR1220" s="87"/>
      <c r="BC1220" s="87"/>
      <c r="BD1220" s="87"/>
      <c r="BE1220" s="87"/>
      <c r="BF1220" s="87"/>
      <c r="BG1220" s="87"/>
      <c r="BH1220" s="87"/>
    </row>
    <row r="1221" spans="4:60" x14ac:dyDescent="0.3">
      <c r="D1221" s="87"/>
      <c r="E1221" s="87"/>
      <c r="W1221" s="87"/>
      <c r="X1221" s="87"/>
      <c r="Y1221" s="87"/>
      <c r="Z1221" s="87"/>
      <c r="AA1221" s="87"/>
      <c r="AB1221" s="87"/>
      <c r="AM1221" s="87"/>
      <c r="AN1221" s="87"/>
      <c r="AO1221" s="87"/>
      <c r="AP1221" s="87"/>
      <c r="AQ1221" s="87"/>
      <c r="AR1221" s="87"/>
      <c r="BC1221" s="87"/>
      <c r="BD1221" s="87"/>
      <c r="BE1221" s="87"/>
      <c r="BF1221" s="87"/>
      <c r="BG1221" s="87"/>
      <c r="BH1221" s="87"/>
    </row>
    <row r="1222" spans="4:60" x14ac:dyDescent="0.3">
      <c r="D1222" s="87"/>
      <c r="E1222" s="87"/>
      <c r="W1222" s="87"/>
      <c r="X1222" s="87"/>
      <c r="Y1222" s="87"/>
      <c r="Z1222" s="87"/>
      <c r="AA1222" s="87"/>
      <c r="AB1222" s="87"/>
      <c r="AM1222" s="87"/>
      <c r="AN1222" s="87"/>
      <c r="AO1222" s="87"/>
      <c r="AP1222" s="87"/>
      <c r="AQ1222" s="87"/>
      <c r="AR1222" s="87"/>
      <c r="BC1222" s="87"/>
      <c r="BD1222" s="87"/>
      <c r="BE1222" s="87"/>
      <c r="BF1222" s="87"/>
      <c r="BG1222" s="87"/>
      <c r="BH1222" s="87"/>
    </row>
    <row r="1223" spans="4:60" x14ac:dyDescent="0.3">
      <c r="D1223" s="87"/>
      <c r="E1223" s="87"/>
      <c r="W1223" s="87"/>
      <c r="X1223" s="87"/>
      <c r="Y1223" s="87"/>
      <c r="Z1223" s="87"/>
      <c r="AA1223" s="87"/>
      <c r="AB1223" s="87"/>
      <c r="AM1223" s="87"/>
      <c r="AN1223" s="87"/>
      <c r="AO1223" s="87"/>
      <c r="AP1223" s="87"/>
      <c r="AQ1223" s="87"/>
      <c r="AR1223" s="87"/>
      <c r="BC1223" s="87"/>
      <c r="BD1223" s="87"/>
      <c r="BE1223" s="87"/>
      <c r="BF1223" s="87"/>
      <c r="BG1223" s="87"/>
      <c r="BH1223" s="87"/>
    </row>
    <row r="1224" spans="4:60" x14ac:dyDescent="0.3">
      <c r="D1224" s="87"/>
      <c r="E1224" s="87"/>
      <c r="W1224" s="87"/>
      <c r="X1224" s="87"/>
      <c r="Y1224" s="87"/>
      <c r="Z1224" s="87"/>
      <c r="AA1224" s="87"/>
      <c r="AB1224" s="87"/>
      <c r="AM1224" s="87"/>
      <c r="AN1224" s="87"/>
      <c r="AO1224" s="87"/>
      <c r="AP1224" s="87"/>
      <c r="AQ1224" s="87"/>
      <c r="AR1224" s="87"/>
      <c r="BC1224" s="87"/>
      <c r="BD1224" s="87"/>
      <c r="BE1224" s="87"/>
      <c r="BF1224" s="87"/>
      <c r="BG1224" s="87"/>
      <c r="BH1224" s="87"/>
    </row>
    <row r="1225" spans="4:60" x14ac:dyDescent="0.3">
      <c r="D1225" s="87"/>
      <c r="E1225" s="87"/>
      <c r="W1225" s="87"/>
      <c r="X1225" s="87"/>
      <c r="Y1225" s="87"/>
      <c r="Z1225" s="87"/>
      <c r="AA1225" s="87"/>
      <c r="AB1225" s="87"/>
      <c r="AM1225" s="87"/>
      <c r="AN1225" s="87"/>
      <c r="AO1225" s="87"/>
      <c r="AP1225" s="87"/>
      <c r="AQ1225" s="87"/>
      <c r="AR1225" s="87"/>
      <c r="BC1225" s="87"/>
      <c r="BD1225" s="87"/>
      <c r="BE1225" s="87"/>
      <c r="BF1225" s="87"/>
      <c r="BG1225" s="87"/>
      <c r="BH1225" s="87"/>
    </row>
    <row r="1226" spans="4:60" x14ac:dyDescent="0.3">
      <c r="D1226" s="87"/>
      <c r="E1226" s="87"/>
      <c r="W1226" s="87"/>
      <c r="X1226" s="87"/>
      <c r="Y1226" s="87"/>
      <c r="Z1226" s="87"/>
      <c r="AA1226" s="87"/>
      <c r="AB1226" s="87"/>
      <c r="AM1226" s="87"/>
      <c r="AN1226" s="87"/>
      <c r="AO1226" s="87"/>
      <c r="AP1226" s="87"/>
      <c r="AQ1226" s="87"/>
      <c r="AR1226" s="87"/>
      <c r="BC1226" s="87"/>
      <c r="BD1226" s="87"/>
      <c r="BE1226" s="87"/>
      <c r="BF1226" s="87"/>
      <c r="BG1226" s="87"/>
      <c r="BH1226" s="87"/>
    </row>
    <row r="1227" spans="4:60" x14ac:dyDescent="0.3">
      <c r="D1227" s="87"/>
      <c r="E1227" s="87"/>
      <c r="W1227" s="87"/>
      <c r="X1227" s="87"/>
      <c r="Y1227" s="87"/>
      <c r="Z1227" s="87"/>
      <c r="AA1227" s="87"/>
      <c r="AB1227" s="87"/>
      <c r="AM1227" s="87"/>
      <c r="AN1227" s="87"/>
      <c r="AO1227" s="87"/>
      <c r="AP1227" s="87"/>
      <c r="AQ1227" s="87"/>
      <c r="AR1227" s="87"/>
      <c r="BC1227" s="87"/>
      <c r="BD1227" s="87"/>
      <c r="BE1227" s="87"/>
      <c r="BF1227" s="87"/>
      <c r="BG1227" s="87"/>
      <c r="BH1227" s="87"/>
    </row>
    <row r="1228" spans="4:60" x14ac:dyDescent="0.3">
      <c r="D1228" s="87"/>
      <c r="E1228" s="87"/>
      <c r="W1228" s="87"/>
      <c r="X1228" s="87"/>
      <c r="Y1228" s="87"/>
      <c r="Z1228" s="87"/>
      <c r="AA1228" s="87"/>
      <c r="AB1228" s="87"/>
      <c r="AM1228" s="87"/>
      <c r="AN1228" s="87"/>
      <c r="AO1228" s="87"/>
      <c r="AP1228" s="87"/>
      <c r="AQ1228" s="87"/>
      <c r="AR1228" s="87"/>
      <c r="BC1228" s="87"/>
      <c r="BD1228" s="87"/>
      <c r="BE1228" s="87"/>
      <c r="BF1228" s="87"/>
      <c r="BG1228" s="87"/>
      <c r="BH1228" s="87"/>
    </row>
    <row r="1229" spans="4:60" x14ac:dyDescent="0.3">
      <c r="D1229" s="87"/>
      <c r="E1229" s="87"/>
      <c r="W1229" s="87"/>
      <c r="X1229" s="87"/>
      <c r="Y1229" s="87"/>
      <c r="Z1229" s="87"/>
      <c r="AA1229" s="87"/>
      <c r="AB1229" s="87"/>
      <c r="AM1229" s="87"/>
      <c r="AN1229" s="87"/>
      <c r="AO1229" s="87"/>
      <c r="AP1229" s="87"/>
      <c r="AQ1229" s="87"/>
      <c r="AR1229" s="87"/>
      <c r="BC1229" s="87"/>
      <c r="BD1229" s="87"/>
      <c r="BE1229" s="87"/>
      <c r="BF1229" s="87"/>
      <c r="BG1229" s="87"/>
      <c r="BH1229" s="87"/>
    </row>
    <row r="1230" spans="4:60" x14ac:dyDescent="0.3">
      <c r="D1230" s="87"/>
      <c r="E1230" s="87"/>
      <c r="W1230" s="87"/>
      <c r="X1230" s="87"/>
      <c r="Y1230" s="87"/>
      <c r="Z1230" s="87"/>
      <c r="AA1230" s="87"/>
      <c r="AB1230" s="87"/>
      <c r="AM1230" s="87"/>
      <c r="AN1230" s="87"/>
      <c r="AO1230" s="87"/>
      <c r="AP1230" s="87"/>
      <c r="AQ1230" s="87"/>
      <c r="AR1230" s="87"/>
      <c r="BC1230" s="87"/>
      <c r="BD1230" s="87"/>
      <c r="BE1230" s="87"/>
      <c r="BF1230" s="87"/>
      <c r="BG1230" s="87"/>
      <c r="BH1230" s="87"/>
    </row>
    <row r="1231" spans="4:60" x14ac:dyDescent="0.3">
      <c r="D1231" s="87"/>
      <c r="E1231" s="87"/>
      <c r="W1231" s="87"/>
      <c r="X1231" s="87"/>
      <c r="Y1231" s="87"/>
      <c r="Z1231" s="87"/>
      <c r="AA1231" s="87"/>
      <c r="AB1231" s="87"/>
      <c r="AM1231" s="87"/>
      <c r="AN1231" s="87"/>
      <c r="AO1231" s="87"/>
      <c r="AP1231" s="87"/>
      <c r="AQ1231" s="87"/>
      <c r="AR1231" s="87"/>
      <c r="BC1231" s="87"/>
      <c r="BD1231" s="87"/>
      <c r="BE1231" s="87"/>
      <c r="BF1231" s="87"/>
      <c r="BG1231" s="87"/>
      <c r="BH1231" s="87"/>
    </row>
    <row r="1232" spans="4:60" x14ac:dyDescent="0.3">
      <c r="D1232" s="87"/>
      <c r="E1232" s="87"/>
      <c r="W1232" s="87"/>
      <c r="X1232" s="87"/>
      <c r="Y1232" s="87"/>
      <c r="Z1232" s="87"/>
      <c r="AA1232" s="87"/>
      <c r="AB1232" s="87"/>
      <c r="AM1232" s="87"/>
      <c r="AN1232" s="87"/>
      <c r="AO1232" s="87"/>
      <c r="AP1232" s="87"/>
      <c r="AQ1232" s="87"/>
      <c r="AR1232" s="87"/>
      <c r="BC1232" s="87"/>
      <c r="BD1232" s="87"/>
      <c r="BE1232" s="87"/>
      <c r="BF1232" s="87"/>
      <c r="BG1232" s="87"/>
      <c r="BH1232" s="87"/>
    </row>
    <row r="1233" spans="4:60" x14ac:dyDescent="0.3">
      <c r="D1233" s="87"/>
      <c r="E1233" s="87"/>
      <c r="W1233" s="87"/>
      <c r="X1233" s="87"/>
      <c r="Y1233" s="87"/>
      <c r="Z1233" s="87"/>
      <c r="AA1233" s="87"/>
      <c r="AB1233" s="87"/>
      <c r="AM1233" s="87"/>
      <c r="AN1233" s="87"/>
      <c r="AO1233" s="87"/>
      <c r="AP1233" s="87"/>
      <c r="AQ1233" s="87"/>
      <c r="AR1233" s="87"/>
      <c r="BC1233" s="87"/>
      <c r="BD1233" s="87"/>
      <c r="BE1233" s="87"/>
      <c r="BF1233" s="87"/>
      <c r="BG1233" s="87"/>
      <c r="BH1233" s="87"/>
    </row>
    <row r="1234" spans="4:60" x14ac:dyDescent="0.3">
      <c r="D1234" s="87"/>
      <c r="E1234" s="87"/>
      <c r="W1234" s="87"/>
      <c r="X1234" s="87"/>
      <c r="Y1234" s="87"/>
      <c r="Z1234" s="87"/>
      <c r="AA1234" s="87"/>
      <c r="AB1234" s="87"/>
      <c r="AM1234" s="87"/>
      <c r="AN1234" s="87"/>
      <c r="AO1234" s="87"/>
      <c r="AP1234" s="87"/>
      <c r="AQ1234" s="87"/>
      <c r="AR1234" s="87"/>
      <c r="BC1234" s="87"/>
      <c r="BD1234" s="87"/>
      <c r="BE1234" s="87"/>
      <c r="BF1234" s="87"/>
      <c r="BG1234" s="87"/>
      <c r="BH1234" s="87"/>
    </row>
    <row r="1235" spans="4:60" x14ac:dyDescent="0.3">
      <c r="D1235" s="87"/>
      <c r="E1235" s="87"/>
      <c r="W1235" s="87"/>
      <c r="X1235" s="87"/>
      <c r="Y1235" s="87"/>
      <c r="Z1235" s="87"/>
      <c r="AA1235" s="87"/>
      <c r="AB1235" s="87"/>
      <c r="AM1235" s="87"/>
      <c r="AN1235" s="87"/>
      <c r="AO1235" s="87"/>
      <c r="AP1235" s="87"/>
      <c r="AQ1235" s="87"/>
      <c r="AR1235" s="87"/>
      <c r="BC1235" s="87"/>
      <c r="BD1235" s="87"/>
      <c r="BE1235" s="87"/>
      <c r="BF1235" s="87"/>
      <c r="BG1235" s="87"/>
      <c r="BH1235" s="87"/>
    </row>
    <row r="1236" spans="4:60" x14ac:dyDescent="0.3">
      <c r="D1236" s="87"/>
      <c r="E1236" s="87"/>
      <c r="W1236" s="87"/>
      <c r="X1236" s="87"/>
      <c r="Y1236" s="87"/>
      <c r="Z1236" s="87"/>
      <c r="AA1236" s="87"/>
      <c r="AB1236" s="87"/>
      <c r="AM1236" s="87"/>
      <c r="AN1236" s="87"/>
      <c r="AO1236" s="87"/>
      <c r="AP1236" s="87"/>
      <c r="AQ1236" s="87"/>
      <c r="AR1236" s="87"/>
      <c r="BC1236" s="87"/>
      <c r="BD1236" s="87"/>
      <c r="BE1236" s="87"/>
      <c r="BF1236" s="87"/>
      <c r="BG1236" s="87"/>
      <c r="BH1236" s="87"/>
    </row>
    <row r="1237" spans="4:60" x14ac:dyDescent="0.3">
      <c r="D1237" s="87"/>
      <c r="E1237" s="87"/>
      <c r="W1237" s="87"/>
      <c r="X1237" s="87"/>
      <c r="Y1237" s="87"/>
      <c r="Z1237" s="87"/>
      <c r="AA1237" s="87"/>
      <c r="AB1237" s="87"/>
      <c r="AM1237" s="87"/>
      <c r="AN1237" s="87"/>
      <c r="AO1237" s="87"/>
      <c r="AP1237" s="87"/>
      <c r="AQ1237" s="87"/>
      <c r="AR1237" s="87"/>
      <c r="BC1237" s="87"/>
      <c r="BD1237" s="87"/>
      <c r="BE1237" s="87"/>
      <c r="BF1237" s="87"/>
      <c r="BG1237" s="87"/>
      <c r="BH1237" s="87"/>
    </row>
    <row r="1238" spans="4:60" x14ac:dyDescent="0.3">
      <c r="D1238" s="87"/>
      <c r="E1238" s="87"/>
      <c r="W1238" s="87"/>
      <c r="X1238" s="87"/>
      <c r="Y1238" s="87"/>
      <c r="Z1238" s="87"/>
      <c r="AA1238" s="87"/>
      <c r="AB1238" s="87"/>
      <c r="AM1238" s="87"/>
      <c r="AN1238" s="87"/>
      <c r="AO1238" s="87"/>
      <c r="AP1238" s="87"/>
      <c r="AQ1238" s="87"/>
      <c r="AR1238" s="87"/>
      <c r="BC1238" s="87"/>
      <c r="BD1238" s="87"/>
      <c r="BE1238" s="87"/>
      <c r="BF1238" s="87"/>
      <c r="BG1238" s="87"/>
      <c r="BH1238" s="87"/>
    </row>
    <row r="1239" spans="4:60" x14ac:dyDescent="0.3">
      <c r="D1239" s="87"/>
      <c r="E1239" s="87"/>
      <c r="W1239" s="87"/>
      <c r="X1239" s="87"/>
      <c r="Y1239" s="87"/>
      <c r="Z1239" s="87"/>
      <c r="AA1239" s="87"/>
      <c r="AB1239" s="87"/>
      <c r="AM1239" s="87"/>
      <c r="AN1239" s="87"/>
      <c r="AO1239" s="87"/>
      <c r="AP1239" s="87"/>
      <c r="AQ1239" s="87"/>
      <c r="AR1239" s="87"/>
      <c r="BC1239" s="87"/>
      <c r="BD1239" s="87"/>
      <c r="BE1239" s="87"/>
      <c r="BF1239" s="87"/>
      <c r="BG1239" s="87"/>
      <c r="BH1239" s="87"/>
    </row>
    <row r="1240" spans="4:60" x14ac:dyDescent="0.3">
      <c r="D1240" s="87"/>
      <c r="E1240" s="87"/>
      <c r="W1240" s="87"/>
      <c r="X1240" s="87"/>
      <c r="Y1240" s="87"/>
      <c r="Z1240" s="87"/>
      <c r="AA1240" s="87"/>
      <c r="AB1240" s="87"/>
      <c r="AM1240" s="87"/>
      <c r="AN1240" s="87"/>
      <c r="AO1240" s="87"/>
      <c r="AP1240" s="87"/>
      <c r="AQ1240" s="87"/>
      <c r="AR1240" s="87"/>
      <c r="BC1240" s="87"/>
      <c r="BD1240" s="87"/>
      <c r="BE1240" s="87"/>
      <c r="BF1240" s="87"/>
      <c r="BG1240" s="87"/>
      <c r="BH1240" s="87"/>
    </row>
    <row r="1241" spans="4:60" x14ac:dyDescent="0.3">
      <c r="D1241" s="87"/>
      <c r="E1241" s="87"/>
      <c r="W1241" s="87"/>
      <c r="X1241" s="87"/>
      <c r="Y1241" s="87"/>
      <c r="Z1241" s="87"/>
      <c r="AA1241" s="87"/>
      <c r="AB1241" s="87"/>
      <c r="AM1241" s="87"/>
      <c r="AN1241" s="87"/>
      <c r="AO1241" s="87"/>
      <c r="AP1241" s="87"/>
      <c r="AQ1241" s="87"/>
      <c r="AR1241" s="87"/>
      <c r="BC1241" s="87"/>
      <c r="BD1241" s="87"/>
      <c r="BE1241" s="87"/>
      <c r="BF1241" s="87"/>
      <c r="BG1241" s="87"/>
      <c r="BH1241" s="87"/>
    </row>
    <row r="1242" spans="4:60" x14ac:dyDescent="0.3">
      <c r="D1242" s="87"/>
      <c r="E1242" s="87"/>
      <c r="W1242" s="87"/>
      <c r="X1242" s="87"/>
      <c r="Y1242" s="87"/>
      <c r="Z1242" s="87"/>
      <c r="AA1242" s="87"/>
      <c r="AB1242" s="87"/>
      <c r="AM1242" s="87"/>
      <c r="AN1242" s="87"/>
      <c r="AO1242" s="87"/>
      <c r="AP1242" s="87"/>
      <c r="AQ1242" s="87"/>
      <c r="AR1242" s="87"/>
      <c r="BC1242" s="87"/>
      <c r="BD1242" s="87"/>
      <c r="BE1242" s="87"/>
      <c r="BF1242" s="87"/>
      <c r="BG1242" s="87"/>
      <c r="BH1242" s="87"/>
    </row>
    <row r="1243" spans="4:60" x14ac:dyDescent="0.3">
      <c r="D1243" s="87"/>
      <c r="E1243" s="87"/>
      <c r="W1243" s="87"/>
      <c r="X1243" s="87"/>
      <c r="Y1243" s="87"/>
      <c r="Z1243" s="87"/>
      <c r="AA1243" s="87"/>
      <c r="AB1243" s="87"/>
      <c r="AM1243" s="87"/>
      <c r="AN1243" s="87"/>
      <c r="AO1243" s="87"/>
      <c r="AP1243" s="87"/>
      <c r="AQ1243" s="87"/>
      <c r="AR1243" s="87"/>
      <c r="BC1243" s="87"/>
      <c r="BD1243" s="87"/>
      <c r="BE1243" s="87"/>
      <c r="BF1243" s="87"/>
      <c r="BG1243" s="87"/>
      <c r="BH1243" s="87"/>
    </row>
    <row r="1244" spans="4:60" x14ac:dyDescent="0.3">
      <c r="D1244" s="87"/>
      <c r="E1244" s="87"/>
      <c r="W1244" s="87"/>
      <c r="X1244" s="87"/>
      <c r="Y1244" s="87"/>
      <c r="Z1244" s="87"/>
      <c r="AA1244" s="87"/>
      <c r="AB1244" s="87"/>
      <c r="AM1244" s="87"/>
      <c r="AN1244" s="87"/>
      <c r="AO1244" s="87"/>
      <c r="AP1244" s="87"/>
      <c r="AQ1244" s="87"/>
      <c r="AR1244" s="87"/>
      <c r="BC1244" s="87"/>
      <c r="BD1244" s="87"/>
      <c r="BE1244" s="87"/>
      <c r="BF1244" s="87"/>
      <c r="BG1244" s="87"/>
      <c r="BH1244" s="87"/>
    </row>
    <row r="1245" spans="4:60" x14ac:dyDescent="0.3">
      <c r="D1245" s="87"/>
      <c r="E1245" s="87"/>
      <c r="W1245" s="87"/>
      <c r="X1245" s="87"/>
      <c r="Y1245" s="87"/>
      <c r="Z1245" s="87"/>
      <c r="AA1245" s="87"/>
      <c r="AB1245" s="87"/>
      <c r="AM1245" s="87"/>
      <c r="AN1245" s="87"/>
      <c r="AO1245" s="87"/>
      <c r="AP1245" s="87"/>
      <c r="AQ1245" s="87"/>
      <c r="AR1245" s="87"/>
      <c r="BC1245" s="87"/>
      <c r="BD1245" s="87"/>
      <c r="BE1245" s="87"/>
      <c r="BF1245" s="87"/>
      <c r="BG1245" s="87"/>
      <c r="BH1245" s="87"/>
    </row>
    <row r="1246" spans="4:60" x14ac:dyDescent="0.3">
      <c r="D1246" s="87"/>
      <c r="E1246" s="87"/>
      <c r="W1246" s="87"/>
      <c r="X1246" s="87"/>
      <c r="Y1246" s="87"/>
      <c r="Z1246" s="87"/>
      <c r="AA1246" s="87"/>
      <c r="AB1246" s="87"/>
      <c r="AM1246" s="87"/>
      <c r="AN1246" s="87"/>
      <c r="AO1246" s="87"/>
      <c r="AP1246" s="87"/>
      <c r="AQ1246" s="87"/>
      <c r="AR1246" s="87"/>
      <c r="BC1246" s="87"/>
      <c r="BD1246" s="87"/>
      <c r="BE1246" s="87"/>
      <c r="BF1246" s="87"/>
      <c r="BG1246" s="87"/>
      <c r="BH1246" s="87"/>
    </row>
    <row r="1247" spans="4:60" x14ac:dyDescent="0.3">
      <c r="D1247" s="87"/>
      <c r="E1247" s="87"/>
      <c r="W1247" s="87"/>
      <c r="X1247" s="87"/>
      <c r="Y1247" s="87"/>
      <c r="Z1247" s="87"/>
      <c r="AA1247" s="87"/>
      <c r="AB1247" s="87"/>
      <c r="AM1247" s="87"/>
      <c r="AN1247" s="87"/>
      <c r="AO1247" s="87"/>
      <c r="AP1247" s="87"/>
      <c r="AQ1247" s="87"/>
      <c r="AR1247" s="87"/>
      <c r="BC1247" s="87"/>
      <c r="BD1247" s="87"/>
      <c r="BE1247" s="87"/>
      <c r="BF1247" s="87"/>
      <c r="BG1247" s="87"/>
      <c r="BH1247" s="87"/>
    </row>
    <row r="1248" spans="4:60" x14ac:dyDescent="0.3">
      <c r="D1248" s="87"/>
      <c r="E1248" s="87"/>
      <c r="W1248" s="87"/>
      <c r="X1248" s="87"/>
      <c r="Y1248" s="87"/>
      <c r="Z1248" s="87"/>
      <c r="AA1248" s="87"/>
      <c r="AB1248" s="87"/>
      <c r="AM1248" s="87"/>
      <c r="AN1248" s="87"/>
      <c r="AO1248" s="87"/>
      <c r="AP1248" s="87"/>
      <c r="AQ1248" s="87"/>
      <c r="AR1248" s="87"/>
      <c r="BC1248" s="87"/>
      <c r="BD1248" s="87"/>
      <c r="BE1248" s="87"/>
      <c r="BF1248" s="87"/>
      <c r="BG1248" s="87"/>
      <c r="BH1248" s="87"/>
    </row>
    <row r="1249" spans="4:60" x14ac:dyDescent="0.3">
      <c r="D1249" s="87"/>
      <c r="E1249" s="87"/>
      <c r="W1249" s="87"/>
      <c r="X1249" s="87"/>
      <c r="Y1249" s="87"/>
      <c r="Z1249" s="87"/>
      <c r="AA1249" s="87"/>
      <c r="AB1249" s="87"/>
      <c r="AM1249" s="87"/>
      <c r="AN1249" s="87"/>
      <c r="AO1249" s="87"/>
      <c r="AP1249" s="87"/>
      <c r="AQ1249" s="87"/>
      <c r="AR1249" s="87"/>
      <c r="BC1249" s="87"/>
      <c r="BD1249" s="87"/>
      <c r="BE1249" s="87"/>
      <c r="BF1249" s="87"/>
      <c r="BG1249" s="87"/>
      <c r="BH1249" s="87"/>
    </row>
    <row r="1250" spans="4:60" x14ac:dyDescent="0.3">
      <c r="D1250" s="87"/>
      <c r="E1250" s="87"/>
      <c r="W1250" s="87"/>
      <c r="X1250" s="87"/>
      <c r="Y1250" s="87"/>
      <c r="Z1250" s="87"/>
      <c r="AA1250" s="87"/>
      <c r="AB1250" s="87"/>
      <c r="AM1250" s="87"/>
      <c r="AN1250" s="87"/>
      <c r="AO1250" s="87"/>
      <c r="AP1250" s="87"/>
      <c r="AQ1250" s="87"/>
      <c r="AR1250" s="87"/>
      <c r="BC1250" s="87"/>
      <c r="BD1250" s="87"/>
      <c r="BE1250" s="87"/>
      <c r="BF1250" s="87"/>
      <c r="BG1250" s="87"/>
      <c r="BH1250" s="87"/>
    </row>
    <row r="1251" spans="4:60" x14ac:dyDescent="0.3">
      <c r="D1251" s="87"/>
      <c r="E1251" s="87"/>
      <c r="W1251" s="87"/>
      <c r="X1251" s="87"/>
      <c r="Y1251" s="87"/>
      <c r="Z1251" s="87"/>
      <c r="AA1251" s="87"/>
      <c r="AB1251" s="87"/>
      <c r="AM1251" s="87"/>
      <c r="AN1251" s="87"/>
      <c r="AO1251" s="87"/>
      <c r="AP1251" s="87"/>
      <c r="AQ1251" s="87"/>
      <c r="AR1251" s="87"/>
      <c r="BC1251" s="87"/>
      <c r="BD1251" s="87"/>
      <c r="BE1251" s="87"/>
      <c r="BF1251" s="87"/>
      <c r="BG1251" s="87"/>
      <c r="BH1251" s="87"/>
    </row>
    <row r="1252" spans="4:60" x14ac:dyDescent="0.3">
      <c r="D1252" s="87"/>
      <c r="E1252" s="87"/>
      <c r="W1252" s="87"/>
      <c r="X1252" s="87"/>
      <c r="Y1252" s="87"/>
      <c r="Z1252" s="87"/>
      <c r="AA1252" s="87"/>
      <c r="AB1252" s="87"/>
      <c r="AM1252" s="87"/>
      <c r="AN1252" s="87"/>
      <c r="AO1252" s="87"/>
      <c r="AP1252" s="87"/>
      <c r="AQ1252" s="87"/>
      <c r="AR1252" s="87"/>
      <c r="BC1252" s="87"/>
      <c r="BD1252" s="87"/>
      <c r="BE1252" s="87"/>
      <c r="BF1252" s="87"/>
      <c r="BG1252" s="87"/>
      <c r="BH1252" s="87"/>
    </row>
    <row r="1253" spans="4:60" x14ac:dyDescent="0.3">
      <c r="D1253" s="87"/>
      <c r="E1253" s="87"/>
      <c r="W1253" s="87"/>
      <c r="X1253" s="87"/>
      <c r="Y1253" s="87"/>
      <c r="Z1253" s="87"/>
      <c r="AA1253" s="87"/>
      <c r="AB1253" s="87"/>
      <c r="AM1253" s="87"/>
      <c r="AN1253" s="87"/>
      <c r="AO1253" s="87"/>
      <c r="AP1253" s="87"/>
      <c r="AQ1253" s="87"/>
      <c r="AR1253" s="87"/>
      <c r="BC1253" s="87"/>
      <c r="BD1253" s="87"/>
      <c r="BE1253" s="87"/>
      <c r="BF1253" s="87"/>
      <c r="BG1253" s="87"/>
      <c r="BH1253" s="87"/>
    </row>
    <row r="1254" spans="4:60" x14ac:dyDescent="0.3">
      <c r="D1254" s="87"/>
      <c r="E1254" s="87"/>
      <c r="W1254" s="87"/>
      <c r="X1254" s="87"/>
      <c r="Y1254" s="87"/>
      <c r="Z1254" s="87"/>
      <c r="AA1254" s="87"/>
      <c r="AB1254" s="87"/>
      <c r="AM1254" s="87"/>
      <c r="AN1254" s="87"/>
      <c r="AO1254" s="87"/>
      <c r="AP1254" s="87"/>
      <c r="AQ1254" s="87"/>
      <c r="AR1254" s="87"/>
      <c r="BC1254" s="87"/>
      <c r="BD1254" s="87"/>
      <c r="BE1254" s="87"/>
      <c r="BF1254" s="87"/>
      <c r="BG1254" s="87"/>
      <c r="BH1254" s="87"/>
    </row>
    <row r="1255" spans="4:60" x14ac:dyDescent="0.3">
      <c r="D1255" s="87"/>
      <c r="E1255" s="87"/>
      <c r="W1255" s="87"/>
      <c r="X1255" s="87"/>
      <c r="Y1255" s="87"/>
      <c r="Z1255" s="87"/>
      <c r="AA1255" s="87"/>
      <c r="AB1255" s="87"/>
      <c r="AM1255" s="87"/>
      <c r="AN1255" s="87"/>
      <c r="AO1255" s="87"/>
      <c r="AP1255" s="87"/>
      <c r="AQ1255" s="87"/>
      <c r="AR1255" s="87"/>
      <c r="BC1255" s="87"/>
      <c r="BD1255" s="87"/>
      <c r="BE1255" s="87"/>
      <c r="BF1255" s="87"/>
      <c r="BG1255" s="87"/>
      <c r="BH1255" s="87"/>
    </row>
    <row r="1256" spans="4:60" x14ac:dyDescent="0.3">
      <c r="D1256" s="87"/>
      <c r="E1256" s="87"/>
      <c r="W1256" s="87"/>
      <c r="X1256" s="87"/>
      <c r="Y1256" s="87"/>
      <c r="Z1256" s="87"/>
      <c r="AA1256" s="87"/>
      <c r="AB1256" s="87"/>
      <c r="AM1256" s="87"/>
      <c r="AN1256" s="87"/>
      <c r="AO1256" s="87"/>
      <c r="AP1256" s="87"/>
      <c r="AQ1256" s="87"/>
      <c r="AR1256" s="87"/>
      <c r="BC1256" s="87"/>
      <c r="BD1256" s="87"/>
      <c r="BE1256" s="87"/>
      <c r="BF1256" s="87"/>
      <c r="BG1256" s="87"/>
      <c r="BH1256" s="87"/>
    </row>
    <row r="1257" spans="4:60" x14ac:dyDescent="0.3">
      <c r="D1257" s="87"/>
      <c r="E1257" s="87"/>
      <c r="W1257" s="87"/>
      <c r="X1257" s="87"/>
      <c r="Y1257" s="87"/>
      <c r="Z1257" s="87"/>
      <c r="AA1257" s="87"/>
      <c r="AB1257" s="87"/>
      <c r="AM1257" s="87"/>
      <c r="AN1257" s="87"/>
      <c r="AO1257" s="87"/>
      <c r="AP1257" s="87"/>
      <c r="AQ1257" s="87"/>
      <c r="AR1257" s="87"/>
      <c r="BC1257" s="87"/>
      <c r="BD1257" s="87"/>
      <c r="BE1257" s="87"/>
      <c r="BF1257" s="87"/>
      <c r="BG1257" s="87"/>
      <c r="BH1257" s="87"/>
    </row>
    <row r="1258" spans="4:60" x14ac:dyDescent="0.3">
      <c r="D1258" s="87"/>
      <c r="E1258" s="87"/>
      <c r="W1258" s="87"/>
      <c r="X1258" s="87"/>
      <c r="Y1258" s="87"/>
      <c r="Z1258" s="87"/>
      <c r="AA1258" s="87"/>
      <c r="AB1258" s="87"/>
      <c r="AM1258" s="87"/>
      <c r="AN1258" s="87"/>
      <c r="AO1258" s="87"/>
      <c r="AP1258" s="87"/>
      <c r="AQ1258" s="87"/>
      <c r="AR1258" s="87"/>
      <c r="BC1258" s="87"/>
      <c r="BD1258" s="87"/>
      <c r="BE1258" s="87"/>
      <c r="BF1258" s="87"/>
      <c r="BG1258" s="87"/>
      <c r="BH1258" s="87"/>
    </row>
    <row r="1259" spans="4:60" x14ac:dyDescent="0.3">
      <c r="D1259" s="87"/>
      <c r="E1259" s="87"/>
      <c r="W1259" s="87"/>
      <c r="X1259" s="87"/>
      <c r="Y1259" s="87"/>
      <c r="Z1259" s="87"/>
      <c r="AA1259" s="87"/>
      <c r="AB1259" s="87"/>
      <c r="AM1259" s="87"/>
      <c r="AN1259" s="87"/>
      <c r="AO1259" s="87"/>
      <c r="AP1259" s="87"/>
      <c r="AQ1259" s="87"/>
      <c r="AR1259" s="87"/>
      <c r="BC1259" s="87"/>
      <c r="BD1259" s="87"/>
      <c r="BE1259" s="87"/>
      <c r="BF1259" s="87"/>
      <c r="BG1259" s="87"/>
      <c r="BH1259" s="87"/>
    </row>
    <row r="1260" spans="4:60" x14ac:dyDescent="0.3">
      <c r="D1260" s="87"/>
      <c r="E1260" s="87"/>
      <c r="W1260" s="87"/>
      <c r="X1260" s="87"/>
      <c r="Y1260" s="87"/>
      <c r="Z1260" s="87"/>
      <c r="AA1260" s="87"/>
      <c r="AB1260" s="87"/>
      <c r="AM1260" s="87"/>
      <c r="AN1260" s="87"/>
      <c r="AO1260" s="87"/>
      <c r="AP1260" s="87"/>
      <c r="AQ1260" s="87"/>
      <c r="AR1260" s="87"/>
      <c r="BC1260" s="87"/>
      <c r="BD1260" s="87"/>
      <c r="BE1260" s="87"/>
      <c r="BF1260" s="87"/>
      <c r="BG1260" s="87"/>
      <c r="BH1260" s="87"/>
    </row>
    <row r="1261" spans="4:60" x14ac:dyDescent="0.3">
      <c r="D1261" s="87"/>
      <c r="E1261" s="87"/>
      <c r="W1261" s="87"/>
      <c r="X1261" s="87"/>
      <c r="Y1261" s="87"/>
      <c r="Z1261" s="87"/>
      <c r="AA1261" s="87"/>
      <c r="AB1261" s="87"/>
      <c r="AM1261" s="87"/>
      <c r="AN1261" s="87"/>
      <c r="AO1261" s="87"/>
      <c r="AP1261" s="87"/>
      <c r="AQ1261" s="87"/>
      <c r="AR1261" s="87"/>
      <c r="BC1261" s="87"/>
      <c r="BD1261" s="87"/>
      <c r="BE1261" s="87"/>
      <c r="BF1261" s="87"/>
      <c r="BG1261" s="87"/>
      <c r="BH1261" s="87"/>
    </row>
    <row r="1262" spans="4:60" x14ac:dyDescent="0.3">
      <c r="D1262" s="87"/>
      <c r="E1262" s="87"/>
      <c r="W1262" s="87"/>
      <c r="X1262" s="87"/>
      <c r="Y1262" s="87"/>
      <c r="Z1262" s="87"/>
      <c r="AA1262" s="87"/>
      <c r="AB1262" s="87"/>
      <c r="AM1262" s="87"/>
      <c r="AN1262" s="87"/>
      <c r="AO1262" s="87"/>
      <c r="AP1262" s="87"/>
      <c r="AQ1262" s="87"/>
      <c r="AR1262" s="87"/>
      <c r="BC1262" s="87"/>
      <c r="BD1262" s="87"/>
      <c r="BE1262" s="87"/>
      <c r="BF1262" s="87"/>
      <c r="BG1262" s="87"/>
      <c r="BH1262" s="87"/>
    </row>
    <row r="1263" spans="4:60" x14ac:dyDescent="0.3">
      <c r="D1263" s="87"/>
      <c r="E1263" s="87"/>
      <c r="W1263" s="87"/>
      <c r="X1263" s="87"/>
      <c r="Y1263" s="87"/>
      <c r="Z1263" s="87"/>
      <c r="AA1263" s="87"/>
      <c r="AB1263" s="87"/>
      <c r="AM1263" s="87"/>
      <c r="AN1263" s="87"/>
      <c r="AO1263" s="87"/>
      <c r="AP1263" s="87"/>
      <c r="AQ1263" s="87"/>
      <c r="AR1263" s="87"/>
      <c r="BC1263" s="87"/>
      <c r="BD1263" s="87"/>
      <c r="BE1263" s="87"/>
      <c r="BF1263" s="87"/>
      <c r="BG1263" s="87"/>
      <c r="BH1263" s="87"/>
    </row>
    <row r="1264" spans="4:60" x14ac:dyDescent="0.3">
      <c r="D1264" s="87"/>
      <c r="E1264" s="87"/>
      <c r="W1264" s="87"/>
      <c r="X1264" s="87"/>
      <c r="Y1264" s="87"/>
      <c r="Z1264" s="87"/>
      <c r="AA1264" s="87"/>
      <c r="AB1264" s="87"/>
      <c r="AM1264" s="87"/>
      <c r="AN1264" s="87"/>
      <c r="AO1264" s="87"/>
      <c r="AP1264" s="87"/>
      <c r="AQ1264" s="87"/>
      <c r="AR1264" s="87"/>
      <c r="BC1264" s="87"/>
      <c r="BD1264" s="87"/>
      <c r="BE1264" s="87"/>
      <c r="BF1264" s="87"/>
      <c r="BG1264" s="87"/>
      <c r="BH1264" s="87"/>
    </row>
    <row r="1265" spans="4:60" x14ac:dyDescent="0.3">
      <c r="D1265" s="87"/>
      <c r="E1265" s="87"/>
      <c r="W1265" s="87"/>
      <c r="X1265" s="87"/>
      <c r="Y1265" s="87"/>
      <c r="Z1265" s="87"/>
      <c r="AA1265" s="87"/>
      <c r="AB1265" s="87"/>
      <c r="AM1265" s="87"/>
      <c r="AN1265" s="87"/>
      <c r="AO1265" s="87"/>
      <c r="AP1265" s="87"/>
      <c r="AQ1265" s="87"/>
      <c r="AR1265" s="87"/>
      <c r="BC1265" s="87"/>
      <c r="BD1265" s="87"/>
      <c r="BE1265" s="87"/>
      <c r="BF1265" s="87"/>
      <c r="BG1265" s="87"/>
      <c r="BH1265" s="87"/>
    </row>
    <row r="1266" spans="4:60" x14ac:dyDescent="0.3">
      <c r="D1266" s="87"/>
      <c r="E1266" s="87"/>
      <c r="W1266" s="87"/>
      <c r="X1266" s="87"/>
      <c r="Y1266" s="87"/>
      <c r="Z1266" s="87"/>
      <c r="AA1266" s="87"/>
      <c r="AB1266" s="87"/>
      <c r="AM1266" s="87"/>
      <c r="AN1266" s="87"/>
      <c r="AO1266" s="87"/>
      <c r="AP1266" s="87"/>
      <c r="AQ1266" s="87"/>
      <c r="AR1266" s="87"/>
      <c r="BC1266" s="87"/>
      <c r="BD1266" s="87"/>
      <c r="BE1266" s="87"/>
      <c r="BF1266" s="87"/>
      <c r="BG1266" s="87"/>
      <c r="BH1266" s="87"/>
    </row>
    <row r="1267" spans="4:60" x14ac:dyDescent="0.3">
      <c r="D1267" s="87"/>
      <c r="E1267" s="87"/>
      <c r="W1267" s="87"/>
      <c r="X1267" s="87"/>
      <c r="Y1267" s="87"/>
      <c r="Z1267" s="87"/>
      <c r="AA1267" s="87"/>
      <c r="AB1267" s="87"/>
      <c r="AM1267" s="87"/>
      <c r="AN1267" s="87"/>
      <c r="AO1267" s="87"/>
      <c r="AP1267" s="87"/>
      <c r="AQ1267" s="87"/>
      <c r="AR1267" s="87"/>
      <c r="BC1267" s="87"/>
      <c r="BD1267" s="87"/>
      <c r="BE1267" s="87"/>
      <c r="BF1267" s="87"/>
      <c r="BG1267" s="87"/>
      <c r="BH1267" s="87"/>
    </row>
    <row r="1268" spans="4:60" x14ac:dyDescent="0.3">
      <c r="D1268" s="87"/>
      <c r="E1268" s="87"/>
      <c r="W1268" s="87"/>
      <c r="X1268" s="87"/>
      <c r="Y1268" s="87"/>
      <c r="Z1268" s="87"/>
      <c r="AA1268" s="87"/>
      <c r="AB1268" s="87"/>
      <c r="AM1268" s="87"/>
      <c r="AN1268" s="87"/>
      <c r="AO1268" s="87"/>
      <c r="AP1268" s="87"/>
      <c r="AQ1268" s="87"/>
      <c r="AR1268" s="87"/>
      <c r="BC1268" s="87"/>
      <c r="BD1268" s="87"/>
      <c r="BE1268" s="87"/>
      <c r="BF1268" s="87"/>
      <c r="BG1268" s="87"/>
      <c r="BH1268" s="87"/>
    </row>
    <row r="1269" spans="4:60" x14ac:dyDescent="0.3">
      <c r="D1269" s="87"/>
      <c r="E1269" s="87"/>
      <c r="W1269" s="87"/>
      <c r="X1269" s="87"/>
      <c r="Y1269" s="87"/>
      <c r="Z1269" s="87"/>
      <c r="AA1269" s="87"/>
      <c r="AB1269" s="87"/>
      <c r="AM1269" s="87"/>
      <c r="AN1269" s="87"/>
      <c r="AO1269" s="87"/>
      <c r="AP1269" s="87"/>
      <c r="AQ1269" s="87"/>
      <c r="AR1269" s="87"/>
      <c r="BC1269" s="87"/>
      <c r="BD1269" s="87"/>
      <c r="BE1269" s="87"/>
      <c r="BF1269" s="87"/>
      <c r="BG1269" s="87"/>
      <c r="BH1269" s="87"/>
    </row>
    <row r="1270" spans="4:60" x14ac:dyDescent="0.3">
      <c r="D1270" s="87"/>
      <c r="E1270" s="87"/>
      <c r="W1270" s="87"/>
      <c r="X1270" s="87"/>
      <c r="Y1270" s="87"/>
      <c r="Z1270" s="87"/>
      <c r="AA1270" s="87"/>
      <c r="AB1270" s="87"/>
      <c r="AM1270" s="87"/>
      <c r="AN1270" s="87"/>
      <c r="AO1270" s="87"/>
      <c r="AP1270" s="87"/>
      <c r="AQ1270" s="87"/>
      <c r="AR1270" s="87"/>
      <c r="BC1270" s="87"/>
      <c r="BD1270" s="87"/>
      <c r="BE1270" s="87"/>
      <c r="BF1270" s="87"/>
      <c r="BG1270" s="87"/>
      <c r="BH1270" s="87"/>
    </row>
    <row r="1271" spans="4:60" x14ac:dyDescent="0.3">
      <c r="D1271" s="87"/>
      <c r="E1271" s="87"/>
      <c r="W1271" s="87"/>
      <c r="X1271" s="87"/>
      <c r="Y1271" s="87"/>
      <c r="Z1271" s="87"/>
      <c r="AA1271" s="87"/>
      <c r="AB1271" s="87"/>
      <c r="AM1271" s="87"/>
      <c r="AN1271" s="87"/>
      <c r="AO1271" s="87"/>
      <c r="AP1271" s="87"/>
      <c r="AQ1271" s="87"/>
      <c r="AR1271" s="87"/>
      <c r="BC1271" s="87"/>
      <c r="BD1271" s="87"/>
      <c r="BE1271" s="87"/>
      <c r="BF1271" s="87"/>
      <c r="BG1271" s="87"/>
      <c r="BH1271" s="87"/>
    </row>
    <row r="1272" spans="4:60" x14ac:dyDescent="0.3">
      <c r="D1272" s="87"/>
      <c r="E1272" s="87"/>
      <c r="W1272" s="87"/>
      <c r="X1272" s="87"/>
      <c r="Y1272" s="87"/>
      <c r="Z1272" s="87"/>
      <c r="AA1272" s="87"/>
      <c r="AB1272" s="87"/>
      <c r="AM1272" s="87"/>
      <c r="AN1272" s="87"/>
      <c r="AO1272" s="87"/>
      <c r="AP1272" s="87"/>
      <c r="AQ1272" s="87"/>
      <c r="AR1272" s="87"/>
      <c r="BC1272" s="87"/>
      <c r="BD1272" s="87"/>
      <c r="BE1272" s="87"/>
      <c r="BF1272" s="87"/>
      <c r="BG1272" s="87"/>
      <c r="BH1272" s="87"/>
    </row>
    <row r="1273" spans="4:60" x14ac:dyDescent="0.3">
      <c r="D1273" s="87"/>
      <c r="E1273" s="87"/>
      <c r="W1273" s="87"/>
      <c r="X1273" s="87"/>
      <c r="Y1273" s="87"/>
      <c r="Z1273" s="87"/>
      <c r="AA1273" s="87"/>
      <c r="AB1273" s="87"/>
      <c r="AM1273" s="87"/>
      <c r="AN1273" s="87"/>
      <c r="AO1273" s="87"/>
      <c r="AP1273" s="87"/>
      <c r="AQ1273" s="87"/>
      <c r="AR1273" s="87"/>
      <c r="BC1273" s="87"/>
      <c r="BD1273" s="87"/>
      <c r="BE1273" s="87"/>
      <c r="BF1273" s="87"/>
      <c r="BG1273" s="87"/>
      <c r="BH1273" s="87"/>
    </row>
    <row r="1274" spans="4:60" x14ac:dyDescent="0.3">
      <c r="D1274" s="87"/>
      <c r="E1274" s="87"/>
      <c r="W1274" s="87"/>
      <c r="X1274" s="87"/>
      <c r="Y1274" s="87"/>
      <c r="Z1274" s="87"/>
      <c r="AA1274" s="87"/>
      <c r="AB1274" s="87"/>
      <c r="AM1274" s="87"/>
      <c r="AN1274" s="87"/>
      <c r="AO1274" s="87"/>
      <c r="AP1274" s="87"/>
      <c r="AQ1274" s="87"/>
      <c r="AR1274" s="87"/>
      <c r="BC1274" s="87"/>
      <c r="BD1274" s="87"/>
      <c r="BE1274" s="87"/>
      <c r="BF1274" s="87"/>
      <c r="BG1274" s="87"/>
      <c r="BH1274" s="87"/>
    </row>
    <row r="1275" spans="4:60" x14ac:dyDescent="0.3">
      <c r="D1275" s="87"/>
      <c r="E1275" s="87"/>
      <c r="W1275" s="87"/>
      <c r="X1275" s="87"/>
      <c r="Y1275" s="87"/>
      <c r="Z1275" s="87"/>
      <c r="AA1275" s="87"/>
      <c r="AB1275" s="87"/>
      <c r="AM1275" s="87"/>
      <c r="AN1275" s="87"/>
      <c r="AO1275" s="87"/>
      <c r="AP1275" s="87"/>
      <c r="AQ1275" s="87"/>
      <c r="AR1275" s="87"/>
      <c r="BC1275" s="87"/>
      <c r="BD1275" s="87"/>
      <c r="BE1275" s="87"/>
      <c r="BF1275" s="87"/>
      <c r="BG1275" s="87"/>
      <c r="BH1275" s="87"/>
    </row>
    <row r="1276" spans="4:60" x14ac:dyDescent="0.3">
      <c r="D1276" s="87"/>
      <c r="E1276" s="87"/>
      <c r="W1276" s="87"/>
      <c r="X1276" s="87"/>
      <c r="Y1276" s="87"/>
      <c r="Z1276" s="87"/>
      <c r="AA1276" s="87"/>
      <c r="AB1276" s="87"/>
      <c r="AM1276" s="87"/>
      <c r="AN1276" s="87"/>
      <c r="AO1276" s="87"/>
      <c r="AP1276" s="87"/>
      <c r="AQ1276" s="87"/>
      <c r="AR1276" s="87"/>
      <c r="BC1276" s="87"/>
      <c r="BD1276" s="87"/>
      <c r="BE1276" s="87"/>
      <c r="BF1276" s="87"/>
      <c r="BG1276" s="87"/>
      <c r="BH1276" s="87"/>
    </row>
    <row r="1277" spans="4:60" x14ac:dyDescent="0.3">
      <c r="D1277" s="87"/>
      <c r="E1277" s="87"/>
      <c r="W1277" s="87"/>
      <c r="X1277" s="87"/>
      <c r="Y1277" s="87"/>
      <c r="Z1277" s="87"/>
      <c r="AA1277" s="87"/>
      <c r="AB1277" s="87"/>
      <c r="AM1277" s="87"/>
      <c r="AN1277" s="87"/>
      <c r="AO1277" s="87"/>
      <c r="AP1277" s="87"/>
      <c r="AQ1277" s="87"/>
      <c r="AR1277" s="87"/>
      <c r="BC1277" s="87"/>
      <c r="BD1277" s="87"/>
      <c r="BE1277" s="87"/>
      <c r="BF1277" s="87"/>
      <c r="BG1277" s="87"/>
      <c r="BH1277" s="87"/>
    </row>
    <row r="1278" spans="4:60" x14ac:dyDescent="0.3">
      <c r="D1278" s="87"/>
      <c r="E1278" s="87"/>
      <c r="W1278" s="87"/>
      <c r="X1278" s="87"/>
      <c r="Y1278" s="87"/>
      <c r="Z1278" s="87"/>
      <c r="AA1278" s="87"/>
      <c r="AB1278" s="87"/>
      <c r="AM1278" s="87"/>
      <c r="AN1278" s="87"/>
      <c r="AO1278" s="87"/>
      <c r="AP1278" s="87"/>
      <c r="AQ1278" s="87"/>
      <c r="AR1278" s="87"/>
      <c r="BC1278" s="87"/>
      <c r="BD1278" s="87"/>
      <c r="BE1278" s="87"/>
      <c r="BF1278" s="87"/>
      <c r="BG1278" s="87"/>
      <c r="BH1278" s="87"/>
    </row>
    <row r="1279" spans="4:60" x14ac:dyDescent="0.3">
      <c r="D1279" s="87"/>
      <c r="E1279" s="87"/>
      <c r="W1279" s="87"/>
      <c r="X1279" s="87"/>
      <c r="Y1279" s="87"/>
      <c r="Z1279" s="87"/>
      <c r="AA1279" s="87"/>
      <c r="AB1279" s="87"/>
      <c r="AM1279" s="87"/>
      <c r="AN1279" s="87"/>
      <c r="AO1279" s="87"/>
      <c r="AP1279" s="87"/>
      <c r="AQ1279" s="87"/>
      <c r="AR1279" s="87"/>
      <c r="BC1279" s="87"/>
      <c r="BD1279" s="87"/>
      <c r="BE1279" s="87"/>
      <c r="BF1279" s="87"/>
      <c r="BG1279" s="87"/>
      <c r="BH1279" s="87"/>
    </row>
    <row r="1280" spans="4:60" x14ac:dyDescent="0.3">
      <c r="D1280" s="87"/>
      <c r="E1280" s="87"/>
      <c r="W1280" s="87"/>
      <c r="X1280" s="87"/>
      <c r="Y1280" s="87"/>
      <c r="Z1280" s="87"/>
      <c r="AA1280" s="87"/>
      <c r="AB1280" s="87"/>
      <c r="AM1280" s="87"/>
      <c r="AN1280" s="87"/>
      <c r="AO1280" s="87"/>
      <c r="AP1280" s="87"/>
      <c r="AQ1280" s="87"/>
      <c r="AR1280" s="87"/>
      <c r="BC1280" s="87"/>
      <c r="BD1280" s="87"/>
      <c r="BE1280" s="87"/>
      <c r="BF1280" s="87"/>
      <c r="BG1280" s="87"/>
      <c r="BH1280" s="87"/>
    </row>
    <row r="1281" spans="4:60" x14ac:dyDescent="0.3">
      <c r="D1281" s="87"/>
      <c r="E1281" s="87"/>
      <c r="W1281" s="87"/>
      <c r="X1281" s="87"/>
      <c r="Y1281" s="87"/>
      <c r="Z1281" s="87"/>
      <c r="AA1281" s="87"/>
      <c r="AB1281" s="87"/>
      <c r="AM1281" s="87"/>
      <c r="AN1281" s="87"/>
      <c r="AO1281" s="87"/>
      <c r="AP1281" s="87"/>
      <c r="AQ1281" s="87"/>
      <c r="AR1281" s="87"/>
      <c r="BC1281" s="87"/>
      <c r="BD1281" s="87"/>
      <c r="BE1281" s="87"/>
      <c r="BF1281" s="87"/>
      <c r="BG1281" s="87"/>
      <c r="BH1281" s="87"/>
    </row>
    <row r="1282" spans="4:60" x14ac:dyDescent="0.3">
      <c r="D1282" s="87"/>
      <c r="E1282" s="87"/>
      <c r="W1282" s="87"/>
      <c r="X1282" s="87"/>
      <c r="Y1282" s="87"/>
      <c r="Z1282" s="87"/>
      <c r="AA1282" s="87"/>
      <c r="AB1282" s="87"/>
      <c r="AM1282" s="87"/>
      <c r="AN1282" s="87"/>
      <c r="AO1282" s="87"/>
      <c r="AP1282" s="87"/>
      <c r="AQ1282" s="87"/>
      <c r="AR1282" s="87"/>
      <c r="BC1282" s="87"/>
      <c r="BD1282" s="87"/>
      <c r="BE1282" s="87"/>
      <c r="BF1282" s="87"/>
      <c r="BG1282" s="87"/>
      <c r="BH1282" s="87"/>
    </row>
    <row r="1283" spans="4:60" x14ac:dyDescent="0.3">
      <c r="D1283" s="87"/>
      <c r="E1283" s="87"/>
      <c r="W1283" s="87"/>
      <c r="X1283" s="87"/>
      <c r="Y1283" s="87"/>
      <c r="Z1283" s="87"/>
      <c r="AA1283" s="87"/>
      <c r="AB1283" s="87"/>
      <c r="AM1283" s="87"/>
      <c r="AN1283" s="87"/>
      <c r="AO1283" s="87"/>
      <c r="AP1283" s="87"/>
      <c r="AQ1283" s="87"/>
      <c r="AR1283" s="87"/>
      <c r="BC1283" s="87"/>
      <c r="BD1283" s="87"/>
      <c r="BE1283" s="87"/>
      <c r="BF1283" s="87"/>
      <c r="BG1283" s="87"/>
      <c r="BH1283" s="87"/>
    </row>
    <row r="1284" spans="4:60" x14ac:dyDescent="0.3">
      <c r="D1284" s="87"/>
      <c r="E1284" s="87"/>
      <c r="W1284" s="87"/>
      <c r="X1284" s="87"/>
      <c r="Y1284" s="87"/>
      <c r="Z1284" s="87"/>
      <c r="AA1284" s="87"/>
      <c r="AB1284" s="87"/>
      <c r="AM1284" s="87"/>
      <c r="AN1284" s="87"/>
      <c r="AO1284" s="87"/>
      <c r="AP1284" s="87"/>
      <c r="AQ1284" s="87"/>
      <c r="AR1284" s="87"/>
      <c r="BC1284" s="87"/>
      <c r="BD1284" s="87"/>
      <c r="BE1284" s="87"/>
      <c r="BF1284" s="87"/>
      <c r="BG1284" s="87"/>
      <c r="BH1284" s="87"/>
    </row>
    <row r="1285" spans="4:60" x14ac:dyDescent="0.3">
      <c r="D1285" s="87"/>
      <c r="E1285" s="87"/>
      <c r="W1285" s="87"/>
      <c r="X1285" s="87"/>
      <c r="Y1285" s="87"/>
      <c r="Z1285" s="87"/>
      <c r="AA1285" s="87"/>
      <c r="AB1285" s="87"/>
      <c r="AM1285" s="87"/>
      <c r="AN1285" s="87"/>
      <c r="AO1285" s="87"/>
      <c r="AP1285" s="87"/>
      <c r="AQ1285" s="87"/>
      <c r="AR1285" s="87"/>
      <c r="BC1285" s="87"/>
      <c r="BD1285" s="87"/>
      <c r="BE1285" s="87"/>
      <c r="BF1285" s="87"/>
      <c r="BG1285" s="87"/>
      <c r="BH1285" s="87"/>
    </row>
    <row r="1286" spans="4:60" x14ac:dyDescent="0.3">
      <c r="D1286" s="87"/>
      <c r="E1286" s="87"/>
      <c r="W1286" s="87"/>
      <c r="X1286" s="87"/>
      <c r="Y1286" s="87"/>
      <c r="Z1286" s="87"/>
      <c r="AA1286" s="87"/>
      <c r="AB1286" s="87"/>
      <c r="AM1286" s="87"/>
      <c r="AN1286" s="87"/>
      <c r="AO1286" s="87"/>
      <c r="AP1286" s="87"/>
      <c r="AQ1286" s="87"/>
      <c r="AR1286" s="87"/>
      <c r="BC1286" s="87"/>
      <c r="BD1286" s="87"/>
      <c r="BE1286" s="87"/>
      <c r="BF1286" s="87"/>
      <c r="BG1286" s="87"/>
      <c r="BH1286" s="87"/>
    </row>
    <row r="1287" spans="4:60" x14ac:dyDescent="0.3">
      <c r="D1287" s="87"/>
      <c r="E1287" s="87"/>
      <c r="W1287" s="87"/>
      <c r="X1287" s="87"/>
      <c r="Y1287" s="87"/>
      <c r="Z1287" s="87"/>
      <c r="AA1287" s="87"/>
      <c r="AB1287" s="87"/>
      <c r="AM1287" s="87"/>
      <c r="AN1287" s="87"/>
      <c r="AO1287" s="87"/>
      <c r="AP1287" s="87"/>
      <c r="AQ1287" s="87"/>
      <c r="AR1287" s="87"/>
      <c r="BC1287" s="87"/>
      <c r="BD1287" s="87"/>
      <c r="BE1287" s="87"/>
      <c r="BF1287" s="87"/>
      <c r="BG1287" s="87"/>
      <c r="BH1287" s="87"/>
    </row>
    <row r="1288" spans="4:60" x14ac:dyDescent="0.3">
      <c r="D1288" s="87"/>
      <c r="E1288" s="87"/>
      <c r="W1288" s="87"/>
      <c r="X1288" s="87"/>
      <c r="Y1288" s="87"/>
      <c r="Z1288" s="87"/>
      <c r="AA1288" s="87"/>
      <c r="AB1288" s="87"/>
      <c r="AM1288" s="87"/>
      <c r="AN1288" s="87"/>
      <c r="AO1288" s="87"/>
      <c r="AP1288" s="87"/>
      <c r="AQ1288" s="87"/>
      <c r="AR1288" s="87"/>
      <c r="BC1288" s="87"/>
      <c r="BD1288" s="87"/>
      <c r="BE1288" s="87"/>
      <c r="BF1288" s="87"/>
      <c r="BG1288" s="87"/>
      <c r="BH1288" s="87"/>
    </row>
    <row r="1289" spans="4:60" x14ac:dyDescent="0.3">
      <c r="D1289" s="87"/>
      <c r="E1289" s="87"/>
      <c r="W1289" s="87"/>
      <c r="X1289" s="87"/>
      <c r="Y1289" s="87"/>
      <c r="Z1289" s="87"/>
      <c r="AA1289" s="87"/>
      <c r="AB1289" s="87"/>
      <c r="AM1289" s="87"/>
      <c r="AN1289" s="87"/>
      <c r="AO1289" s="87"/>
      <c r="AP1289" s="87"/>
      <c r="AQ1289" s="87"/>
      <c r="AR1289" s="87"/>
      <c r="BC1289" s="87"/>
      <c r="BD1289" s="87"/>
      <c r="BE1289" s="87"/>
      <c r="BF1289" s="87"/>
      <c r="BG1289" s="87"/>
      <c r="BH1289" s="87"/>
    </row>
    <row r="1290" spans="4:60" x14ac:dyDescent="0.3">
      <c r="D1290" s="87"/>
      <c r="E1290" s="87"/>
      <c r="W1290" s="87"/>
      <c r="X1290" s="87"/>
      <c r="Y1290" s="87"/>
      <c r="Z1290" s="87"/>
      <c r="AA1290" s="87"/>
      <c r="AB1290" s="87"/>
      <c r="AM1290" s="87"/>
      <c r="AN1290" s="87"/>
      <c r="AO1290" s="87"/>
      <c r="AP1290" s="87"/>
      <c r="AQ1290" s="87"/>
      <c r="AR1290" s="87"/>
      <c r="BC1290" s="87"/>
      <c r="BD1290" s="87"/>
      <c r="BE1290" s="87"/>
      <c r="BF1290" s="87"/>
      <c r="BG1290" s="87"/>
      <c r="BH1290" s="87"/>
    </row>
    <row r="1291" spans="4:60" x14ac:dyDescent="0.3">
      <c r="D1291" s="87"/>
      <c r="E1291" s="87"/>
      <c r="W1291" s="87"/>
      <c r="X1291" s="87"/>
      <c r="Y1291" s="87"/>
      <c r="Z1291" s="87"/>
      <c r="AA1291" s="87"/>
      <c r="AB1291" s="87"/>
      <c r="AM1291" s="87"/>
      <c r="AN1291" s="87"/>
      <c r="AO1291" s="87"/>
      <c r="AP1291" s="87"/>
      <c r="AQ1291" s="87"/>
      <c r="AR1291" s="87"/>
      <c r="BC1291" s="87"/>
      <c r="BD1291" s="87"/>
      <c r="BE1291" s="87"/>
      <c r="BF1291" s="87"/>
      <c r="BG1291" s="87"/>
      <c r="BH1291" s="87"/>
    </row>
    <row r="1292" spans="4:60" x14ac:dyDescent="0.3">
      <c r="D1292" s="87"/>
      <c r="E1292" s="87"/>
      <c r="W1292" s="87"/>
      <c r="X1292" s="87"/>
      <c r="Y1292" s="87"/>
      <c r="Z1292" s="87"/>
      <c r="AA1292" s="87"/>
      <c r="AB1292" s="87"/>
      <c r="AM1292" s="87"/>
      <c r="AN1292" s="87"/>
      <c r="AO1292" s="87"/>
      <c r="AP1292" s="87"/>
      <c r="AQ1292" s="87"/>
      <c r="AR1292" s="87"/>
      <c r="BC1292" s="87"/>
      <c r="BD1292" s="87"/>
      <c r="BE1292" s="87"/>
      <c r="BF1292" s="87"/>
      <c r="BG1292" s="87"/>
      <c r="BH1292" s="87"/>
    </row>
    <row r="1293" spans="4:60" x14ac:dyDescent="0.3">
      <c r="D1293" s="87"/>
      <c r="E1293" s="87"/>
      <c r="W1293" s="87"/>
      <c r="X1293" s="87"/>
      <c r="Y1293" s="87"/>
      <c r="Z1293" s="87"/>
      <c r="AA1293" s="87"/>
      <c r="AB1293" s="87"/>
      <c r="AM1293" s="87"/>
      <c r="AN1293" s="87"/>
      <c r="AO1293" s="87"/>
      <c r="AP1293" s="87"/>
      <c r="AQ1293" s="87"/>
      <c r="AR1293" s="87"/>
      <c r="BC1293" s="87"/>
      <c r="BD1293" s="87"/>
      <c r="BE1293" s="87"/>
      <c r="BF1293" s="87"/>
      <c r="BG1293" s="87"/>
      <c r="BH1293" s="87"/>
    </row>
    <row r="1294" spans="4:60" x14ac:dyDescent="0.3">
      <c r="D1294" s="87"/>
      <c r="E1294" s="87"/>
      <c r="W1294" s="87"/>
      <c r="X1294" s="87"/>
      <c r="Y1294" s="87"/>
      <c r="Z1294" s="87"/>
      <c r="AA1294" s="87"/>
      <c r="AB1294" s="87"/>
      <c r="AM1294" s="87"/>
      <c r="AN1294" s="87"/>
      <c r="AO1294" s="87"/>
      <c r="AP1294" s="87"/>
      <c r="AQ1294" s="87"/>
      <c r="AR1294" s="87"/>
      <c r="BC1294" s="87"/>
      <c r="BD1294" s="87"/>
      <c r="BE1294" s="87"/>
      <c r="BF1294" s="87"/>
      <c r="BG1294" s="87"/>
      <c r="BH1294" s="87"/>
    </row>
    <row r="1295" spans="4:60" x14ac:dyDescent="0.3">
      <c r="D1295" s="87"/>
      <c r="E1295" s="87"/>
      <c r="W1295" s="87"/>
      <c r="X1295" s="87"/>
      <c r="Y1295" s="87"/>
      <c r="Z1295" s="87"/>
      <c r="AA1295" s="87"/>
      <c r="AB1295" s="87"/>
      <c r="AM1295" s="87"/>
      <c r="AN1295" s="87"/>
      <c r="AO1295" s="87"/>
      <c r="AP1295" s="87"/>
      <c r="AQ1295" s="87"/>
      <c r="AR1295" s="87"/>
      <c r="BC1295" s="87"/>
      <c r="BD1295" s="87"/>
      <c r="BE1295" s="87"/>
      <c r="BF1295" s="87"/>
      <c r="BG1295" s="87"/>
      <c r="BH1295" s="87"/>
    </row>
    <row r="1296" spans="4:60" x14ac:dyDescent="0.3">
      <c r="D1296" s="87"/>
      <c r="E1296" s="87"/>
      <c r="W1296" s="87"/>
      <c r="X1296" s="87"/>
      <c r="Y1296" s="87"/>
      <c r="Z1296" s="87"/>
      <c r="AA1296" s="87"/>
      <c r="AB1296" s="87"/>
      <c r="AM1296" s="87"/>
      <c r="AN1296" s="87"/>
      <c r="AO1296" s="87"/>
      <c r="AP1296" s="87"/>
      <c r="AQ1296" s="87"/>
      <c r="AR1296" s="87"/>
      <c r="BC1296" s="87"/>
      <c r="BD1296" s="87"/>
      <c r="BE1296" s="87"/>
      <c r="BF1296" s="87"/>
      <c r="BG1296" s="87"/>
      <c r="BH1296" s="87"/>
    </row>
    <row r="1297" spans="4:60" x14ac:dyDescent="0.3">
      <c r="D1297" s="87"/>
      <c r="E1297" s="87"/>
      <c r="W1297" s="87"/>
      <c r="X1297" s="87"/>
      <c r="Y1297" s="87"/>
      <c r="Z1297" s="87"/>
      <c r="AA1297" s="87"/>
      <c r="AB1297" s="87"/>
      <c r="AM1297" s="87"/>
      <c r="AN1297" s="87"/>
      <c r="AO1297" s="87"/>
      <c r="AP1297" s="87"/>
      <c r="AQ1297" s="87"/>
      <c r="AR1297" s="87"/>
      <c r="BC1297" s="87"/>
      <c r="BD1297" s="87"/>
      <c r="BE1297" s="87"/>
      <c r="BF1297" s="87"/>
      <c r="BG1297" s="87"/>
      <c r="BH1297" s="87"/>
    </row>
    <row r="1298" spans="4:60" x14ac:dyDescent="0.3">
      <c r="D1298" s="87"/>
      <c r="E1298" s="87"/>
      <c r="W1298" s="87"/>
      <c r="X1298" s="87"/>
      <c r="Y1298" s="87"/>
      <c r="Z1298" s="87"/>
      <c r="AA1298" s="87"/>
      <c r="AB1298" s="87"/>
      <c r="AM1298" s="87"/>
      <c r="AN1298" s="87"/>
      <c r="AO1298" s="87"/>
      <c r="AP1298" s="87"/>
      <c r="AQ1298" s="87"/>
      <c r="AR1298" s="87"/>
      <c r="BC1298" s="87"/>
      <c r="BD1298" s="87"/>
      <c r="BE1298" s="87"/>
      <c r="BF1298" s="87"/>
      <c r="BG1298" s="87"/>
      <c r="BH1298" s="87"/>
    </row>
    <row r="1299" spans="4:60" x14ac:dyDescent="0.3">
      <c r="D1299" s="87"/>
      <c r="E1299" s="87"/>
      <c r="W1299" s="87"/>
      <c r="X1299" s="87"/>
      <c r="Y1299" s="87"/>
      <c r="Z1299" s="87"/>
      <c r="AA1299" s="87"/>
      <c r="AB1299" s="87"/>
      <c r="AM1299" s="87"/>
      <c r="AN1299" s="87"/>
      <c r="AO1299" s="87"/>
      <c r="AP1299" s="87"/>
      <c r="AQ1299" s="87"/>
      <c r="AR1299" s="87"/>
      <c r="BC1299" s="87"/>
      <c r="BD1299" s="87"/>
      <c r="BE1299" s="87"/>
      <c r="BF1299" s="87"/>
      <c r="BG1299" s="87"/>
      <c r="BH1299" s="87"/>
    </row>
    <row r="1300" spans="4:60" x14ac:dyDescent="0.3">
      <c r="D1300" s="87"/>
      <c r="E1300" s="87"/>
      <c r="W1300" s="87"/>
      <c r="X1300" s="87"/>
      <c r="Y1300" s="87"/>
      <c r="Z1300" s="87"/>
      <c r="AA1300" s="87"/>
      <c r="AB1300" s="87"/>
      <c r="AM1300" s="87"/>
      <c r="AN1300" s="87"/>
      <c r="AO1300" s="87"/>
      <c r="AP1300" s="87"/>
      <c r="AQ1300" s="87"/>
      <c r="AR1300" s="87"/>
      <c r="BC1300" s="87"/>
      <c r="BD1300" s="87"/>
      <c r="BE1300" s="87"/>
      <c r="BF1300" s="87"/>
      <c r="BG1300" s="87"/>
      <c r="BH1300" s="87"/>
    </row>
    <row r="1301" spans="4:60" x14ac:dyDescent="0.3">
      <c r="D1301" s="87"/>
      <c r="E1301" s="87"/>
      <c r="W1301" s="87"/>
      <c r="X1301" s="87"/>
      <c r="Y1301" s="87"/>
      <c r="Z1301" s="87"/>
      <c r="AA1301" s="87"/>
      <c r="AB1301" s="87"/>
      <c r="AM1301" s="87"/>
      <c r="AN1301" s="87"/>
      <c r="AO1301" s="87"/>
      <c r="AP1301" s="87"/>
      <c r="AQ1301" s="87"/>
      <c r="AR1301" s="87"/>
      <c r="BC1301" s="87"/>
      <c r="BD1301" s="87"/>
      <c r="BE1301" s="87"/>
      <c r="BF1301" s="87"/>
      <c r="BG1301" s="87"/>
      <c r="BH1301" s="87"/>
    </row>
    <row r="1302" spans="4:60" x14ac:dyDescent="0.3">
      <c r="D1302" s="87"/>
      <c r="E1302" s="87"/>
      <c r="W1302" s="87"/>
      <c r="X1302" s="87"/>
      <c r="Y1302" s="87"/>
      <c r="Z1302" s="87"/>
      <c r="AA1302" s="87"/>
      <c r="AB1302" s="87"/>
      <c r="AM1302" s="87"/>
      <c r="AN1302" s="87"/>
      <c r="AO1302" s="87"/>
      <c r="AP1302" s="87"/>
      <c r="AQ1302" s="87"/>
      <c r="AR1302" s="87"/>
      <c r="BC1302" s="87"/>
      <c r="BD1302" s="87"/>
      <c r="BE1302" s="87"/>
      <c r="BF1302" s="87"/>
      <c r="BG1302" s="87"/>
      <c r="BH1302" s="87"/>
    </row>
    <row r="1303" spans="4:60" x14ac:dyDescent="0.3">
      <c r="D1303" s="87"/>
      <c r="E1303" s="87"/>
      <c r="W1303" s="87"/>
      <c r="X1303" s="87"/>
      <c r="Y1303" s="87"/>
      <c r="Z1303" s="87"/>
      <c r="AA1303" s="87"/>
      <c r="AB1303" s="87"/>
      <c r="AM1303" s="87"/>
      <c r="AN1303" s="87"/>
      <c r="AO1303" s="87"/>
      <c r="AP1303" s="87"/>
      <c r="AQ1303" s="87"/>
      <c r="AR1303" s="87"/>
      <c r="BC1303" s="87"/>
      <c r="BD1303" s="87"/>
      <c r="BE1303" s="87"/>
      <c r="BF1303" s="87"/>
      <c r="BG1303" s="87"/>
      <c r="BH1303" s="87"/>
    </row>
    <row r="1304" spans="4:60" x14ac:dyDescent="0.3">
      <c r="D1304" s="87"/>
      <c r="E1304" s="87"/>
      <c r="W1304" s="87"/>
      <c r="X1304" s="87"/>
      <c r="Y1304" s="87"/>
      <c r="Z1304" s="87"/>
      <c r="AA1304" s="87"/>
      <c r="AB1304" s="87"/>
      <c r="AM1304" s="87"/>
      <c r="AN1304" s="87"/>
      <c r="AO1304" s="87"/>
      <c r="AP1304" s="87"/>
      <c r="AQ1304" s="87"/>
      <c r="AR1304" s="87"/>
      <c r="BC1304" s="87"/>
      <c r="BD1304" s="87"/>
      <c r="BE1304" s="87"/>
      <c r="BF1304" s="87"/>
      <c r="BG1304" s="87"/>
      <c r="BH1304" s="87"/>
    </row>
    <row r="1305" spans="4:60" x14ac:dyDescent="0.3">
      <c r="D1305" s="87"/>
      <c r="E1305" s="87"/>
      <c r="W1305" s="87"/>
      <c r="X1305" s="87"/>
      <c r="Y1305" s="87"/>
      <c r="Z1305" s="87"/>
      <c r="AA1305" s="87"/>
      <c r="AB1305" s="87"/>
      <c r="AM1305" s="87"/>
      <c r="AN1305" s="87"/>
      <c r="AO1305" s="87"/>
      <c r="AP1305" s="87"/>
      <c r="AQ1305" s="87"/>
      <c r="AR1305" s="87"/>
      <c r="BC1305" s="87"/>
      <c r="BD1305" s="87"/>
      <c r="BE1305" s="87"/>
      <c r="BF1305" s="87"/>
      <c r="BG1305" s="87"/>
      <c r="BH1305" s="87"/>
    </row>
    <row r="1306" spans="4:60" x14ac:dyDescent="0.3">
      <c r="D1306" s="87"/>
      <c r="E1306" s="87"/>
      <c r="W1306" s="87"/>
      <c r="X1306" s="87"/>
      <c r="Y1306" s="87"/>
      <c r="Z1306" s="87"/>
      <c r="AA1306" s="87"/>
      <c r="AB1306" s="87"/>
      <c r="AM1306" s="87"/>
      <c r="AN1306" s="87"/>
      <c r="AO1306" s="87"/>
      <c r="AP1306" s="87"/>
      <c r="AQ1306" s="87"/>
      <c r="AR1306" s="87"/>
      <c r="BC1306" s="87"/>
      <c r="BD1306" s="87"/>
      <c r="BE1306" s="87"/>
      <c r="BF1306" s="87"/>
      <c r="BG1306" s="87"/>
      <c r="BH1306" s="87"/>
    </row>
    <row r="1307" spans="4:60" x14ac:dyDescent="0.3">
      <c r="D1307" s="87"/>
      <c r="E1307" s="87"/>
      <c r="W1307" s="87"/>
      <c r="X1307" s="87"/>
      <c r="Y1307" s="87"/>
      <c r="Z1307" s="87"/>
      <c r="AA1307" s="87"/>
      <c r="AB1307" s="87"/>
      <c r="AM1307" s="87"/>
      <c r="AN1307" s="87"/>
      <c r="AO1307" s="87"/>
      <c r="AP1307" s="87"/>
      <c r="AQ1307" s="87"/>
      <c r="AR1307" s="87"/>
      <c r="BC1307" s="87"/>
      <c r="BD1307" s="87"/>
      <c r="BE1307" s="87"/>
      <c r="BF1307" s="87"/>
      <c r="BG1307" s="87"/>
      <c r="BH1307" s="87"/>
    </row>
    <row r="1308" spans="4:60" x14ac:dyDescent="0.3">
      <c r="D1308" s="87"/>
      <c r="E1308" s="87"/>
      <c r="W1308" s="87"/>
      <c r="X1308" s="87"/>
      <c r="Y1308" s="87"/>
      <c r="Z1308" s="87"/>
      <c r="AA1308" s="87"/>
      <c r="AB1308" s="87"/>
      <c r="AM1308" s="87"/>
      <c r="AN1308" s="87"/>
      <c r="AO1308" s="87"/>
      <c r="AP1308" s="87"/>
      <c r="AQ1308" s="87"/>
      <c r="AR1308" s="87"/>
      <c r="BC1308" s="87"/>
      <c r="BD1308" s="87"/>
      <c r="BE1308" s="87"/>
      <c r="BF1308" s="87"/>
      <c r="BG1308" s="87"/>
      <c r="BH1308" s="87"/>
    </row>
    <row r="1309" spans="4:60" x14ac:dyDescent="0.3">
      <c r="D1309" s="87"/>
      <c r="E1309" s="87"/>
      <c r="W1309" s="87"/>
      <c r="X1309" s="87"/>
      <c r="Y1309" s="87"/>
      <c r="Z1309" s="87"/>
      <c r="AA1309" s="87"/>
      <c r="AB1309" s="87"/>
      <c r="AM1309" s="87"/>
      <c r="AN1309" s="87"/>
      <c r="AO1309" s="87"/>
      <c r="AP1309" s="87"/>
      <c r="AQ1309" s="87"/>
      <c r="AR1309" s="87"/>
      <c r="BC1309" s="87"/>
      <c r="BD1309" s="87"/>
      <c r="BE1309" s="87"/>
      <c r="BF1309" s="87"/>
      <c r="BG1309" s="87"/>
      <c r="BH1309" s="87"/>
    </row>
    <row r="1310" spans="4:60" x14ac:dyDescent="0.3">
      <c r="D1310" s="87"/>
      <c r="E1310" s="87"/>
      <c r="W1310" s="87"/>
      <c r="X1310" s="87"/>
      <c r="Y1310" s="87"/>
      <c r="Z1310" s="87"/>
      <c r="AA1310" s="87"/>
      <c r="AB1310" s="87"/>
      <c r="AM1310" s="87"/>
      <c r="AN1310" s="87"/>
      <c r="AO1310" s="87"/>
      <c r="AP1310" s="87"/>
      <c r="AQ1310" s="87"/>
      <c r="AR1310" s="87"/>
      <c r="BC1310" s="87"/>
      <c r="BD1310" s="87"/>
      <c r="BE1310" s="87"/>
      <c r="BF1310" s="87"/>
      <c r="BG1310" s="87"/>
      <c r="BH1310" s="87"/>
    </row>
    <row r="1311" spans="4:60" x14ac:dyDescent="0.3">
      <c r="D1311" s="87"/>
      <c r="E1311" s="87"/>
      <c r="W1311" s="87"/>
      <c r="X1311" s="87"/>
      <c r="Y1311" s="87"/>
      <c r="Z1311" s="87"/>
      <c r="AA1311" s="87"/>
      <c r="AB1311" s="87"/>
      <c r="AM1311" s="87"/>
      <c r="AN1311" s="87"/>
      <c r="AO1311" s="87"/>
      <c r="AP1311" s="87"/>
      <c r="AQ1311" s="87"/>
      <c r="AR1311" s="87"/>
      <c r="BC1311" s="87"/>
      <c r="BD1311" s="87"/>
      <c r="BE1311" s="87"/>
      <c r="BF1311" s="87"/>
      <c r="BG1311" s="87"/>
      <c r="BH1311" s="87"/>
    </row>
    <row r="1312" spans="4:60" x14ac:dyDescent="0.3">
      <c r="D1312" s="87"/>
      <c r="E1312" s="87"/>
      <c r="W1312" s="87"/>
      <c r="X1312" s="87"/>
      <c r="Y1312" s="87"/>
      <c r="Z1312" s="87"/>
      <c r="AA1312" s="87"/>
      <c r="AB1312" s="87"/>
      <c r="AM1312" s="87"/>
      <c r="AN1312" s="87"/>
      <c r="AO1312" s="87"/>
      <c r="AP1312" s="87"/>
      <c r="AQ1312" s="87"/>
      <c r="AR1312" s="87"/>
      <c r="BC1312" s="87"/>
      <c r="BD1312" s="87"/>
      <c r="BE1312" s="87"/>
      <c r="BF1312" s="87"/>
      <c r="BG1312" s="87"/>
      <c r="BH1312" s="87"/>
    </row>
    <row r="1313" spans="4:60" x14ac:dyDescent="0.3">
      <c r="D1313" s="87"/>
      <c r="E1313" s="87"/>
      <c r="W1313" s="87"/>
      <c r="X1313" s="87"/>
      <c r="Y1313" s="87"/>
      <c r="Z1313" s="87"/>
      <c r="AA1313" s="87"/>
      <c r="AB1313" s="87"/>
      <c r="AM1313" s="87"/>
      <c r="AN1313" s="87"/>
      <c r="AO1313" s="87"/>
      <c r="AP1313" s="87"/>
      <c r="AQ1313" s="87"/>
      <c r="AR1313" s="87"/>
      <c r="BC1313" s="87"/>
      <c r="BD1313" s="87"/>
      <c r="BE1313" s="87"/>
      <c r="BF1313" s="87"/>
      <c r="BG1313" s="87"/>
      <c r="BH1313" s="87"/>
    </row>
    <row r="1314" spans="4:60" x14ac:dyDescent="0.3">
      <c r="D1314" s="87"/>
      <c r="E1314" s="87"/>
      <c r="W1314" s="87"/>
      <c r="X1314" s="87"/>
      <c r="Y1314" s="87"/>
      <c r="Z1314" s="87"/>
      <c r="AA1314" s="87"/>
      <c r="AB1314" s="87"/>
      <c r="AM1314" s="87"/>
      <c r="AN1314" s="87"/>
      <c r="AO1314" s="87"/>
      <c r="AP1314" s="87"/>
      <c r="AQ1314" s="87"/>
      <c r="AR1314" s="87"/>
      <c r="BC1314" s="87"/>
      <c r="BD1314" s="87"/>
      <c r="BE1314" s="87"/>
      <c r="BF1314" s="87"/>
      <c r="BG1314" s="87"/>
      <c r="BH1314" s="87"/>
    </row>
    <row r="1315" spans="4:60" x14ac:dyDescent="0.3">
      <c r="D1315" s="87"/>
      <c r="E1315" s="87"/>
      <c r="W1315" s="87"/>
      <c r="X1315" s="87"/>
      <c r="Y1315" s="87"/>
      <c r="Z1315" s="87"/>
      <c r="AA1315" s="87"/>
      <c r="AB1315" s="87"/>
      <c r="AM1315" s="87"/>
      <c r="AN1315" s="87"/>
      <c r="AO1315" s="87"/>
      <c r="AP1315" s="87"/>
      <c r="AQ1315" s="87"/>
      <c r="AR1315" s="87"/>
      <c r="BC1315" s="87"/>
      <c r="BD1315" s="87"/>
      <c r="BE1315" s="87"/>
      <c r="BF1315" s="87"/>
      <c r="BG1315" s="87"/>
      <c r="BH1315" s="87"/>
    </row>
    <row r="1316" spans="4:60" x14ac:dyDescent="0.3">
      <c r="D1316" s="87"/>
      <c r="E1316" s="87"/>
      <c r="W1316" s="87"/>
      <c r="X1316" s="87"/>
      <c r="Y1316" s="87"/>
      <c r="Z1316" s="87"/>
      <c r="AA1316" s="87"/>
      <c r="AB1316" s="87"/>
      <c r="AM1316" s="87"/>
      <c r="AN1316" s="87"/>
      <c r="AO1316" s="87"/>
      <c r="AP1316" s="87"/>
      <c r="AQ1316" s="87"/>
      <c r="AR1316" s="87"/>
      <c r="BC1316" s="87"/>
      <c r="BD1316" s="87"/>
      <c r="BE1316" s="87"/>
      <c r="BF1316" s="87"/>
      <c r="BG1316" s="87"/>
      <c r="BH1316" s="87"/>
    </row>
    <row r="1317" spans="4:60" x14ac:dyDescent="0.3">
      <c r="D1317" s="87"/>
      <c r="E1317" s="87"/>
      <c r="W1317" s="87"/>
      <c r="X1317" s="87"/>
      <c r="Y1317" s="87"/>
      <c r="Z1317" s="87"/>
      <c r="AA1317" s="87"/>
      <c r="AB1317" s="87"/>
      <c r="AM1317" s="87"/>
      <c r="AN1317" s="87"/>
      <c r="AO1317" s="87"/>
      <c r="AP1317" s="87"/>
      <c r="AQ1317" s="87"/>
      <c r="AR1317" s="87"/>
      <c r="BC1317" s="87"/>
      <c r="BD1317" s="87"/>
      <c r="BE1317" s="87"/>
      <c r="BF1317" s="87"/>
      <c r="BG1317" s="87"/>
      <c r="BH1317" s="87"/>
    </row>
    <row r="1318" spans="4:60" x14ac:dyDescent="0.3">
      <c r="D1318" s="87"/>
      <c r="E1318" s="87"/>
      <c r="W1318" s="87"/>
      <c r="X1318" s="87"/>
      <c r="Y1318" s="87"/>
      <c r="Z1318" s="87"/>
      <c r="AA1318" s="87"/>
      <c r="AB1318" s="87"/>
      <c r="AM1318" s="87"/>
      <c r="AN1318" s="87"/>
      <c r="AO1318" s="87"/>
      <c r="AP1318" s="87"/>
      <c r="AQ1318" s="87"/>
      <c r="AR1318" s="87"/>
      <c r="BC1318" s="87"/>
      <c r="BD1318" s="87"/>
      <c r="BE1318" s="87"/>
      <c r="BF1318" s="87"/>
      <c r="BG1318" s="87"/>
      <c r="BH1318" s="87"/>
    </row>
    <row r="1319" spans="4:60" x14ac:dyDescent="0.3">
      <c r="D1319" s="87"/>
      <c r="E1319" s="87"/>
      <c r="W1319" s="87"/>
      <c r="X1319" s="87"/>
      <c r="Y1319" s="87"/>
      <c r="Z1319" s="87"/>
      <c r="AA1319" s="87"/>
      <c r="AB1319" s="87"/>
      <c r="AM1319" s="87"/>
      <c r="AN1319" s="87"/>
      <c r="AO1319" s="87"/>
      <c r="AP1319" s="87"/>
      <c r="AQ1319" s="87"/>
      <c r="AR1319" s="87"/>
      <c r="BC1319" s="87"/>
      <c r="BD1319" s="87"/>
      <c r="BE1319" s="87"/>
      <c r="BF1319" s="87"/>
      <c r="BG1319" s="87"/>
      <c r="BH1319" s="87"/>
    </row>
    <row r="1320" spans="4:60" x14ac:dyDescent="0.3">
      <c r="D1320" s="87"/>
      <c r="E1320" s="87"/>
      <c r="W1320" s="87"/>
      <c r="X1320" s="87"/>
      <c r="Y1320" s="87"/>
      <c r="Z1320" s="87"/>
      <c r="AA1320" s="87"/>
      <c r="AB1320" s="87"/>
      <c r="AM1320" s="87"/>
      <c r="AN1320" s="87"/>
      <c r="AO1320" s="87"/>
      <c r="AP1320" s="87"/>
      <c r="AQ1320" s="87"/>
      <c r="AR1320" s="87"/>
      <c r="BC1320" s="87"/>
      <c r="BD1320" s="87"/>
      <c r="BE1320" s="87"/>
      <c r="BF1320" s="87"/>
      <c r="BG1320" s="87"/>
      <c r="BH1320" s="87"/>
    </row>
    <row r="1321" spans="4:60" x14ac:dyDescent="0.3">
      <c r="D1321" s="87"/>
      <c r="E1321" s="87"/>
      <c r="W1321" s="87"/>
      <c r="X1321" s="87"/>
      <c r="Y1321" s="87"/>
      <c r="Z1321" s="87"/>
      <c r="AA1321" s="87"/>
      <c r="AB1321" s="87"/>
      <c r="AM1321" s="87"/>
      <c r="AN1321" s="87"/>
      <c r="AO1321" s="87"/>
      <c r="AP1321" s="87"/>
      <c r="AQ1321" s="87"/>
      <c r="AR1321" s="87"/>
      <c r="BC1321" s="87"/>
      <c r="BD1321" s="87"/>
      <c r="BE1321" s="87"/>
      <c r="BF1321" s="87"/>
      <c r="BG1321" s="87"/>
      <c r="BH1321" s="87"/>
    </row>
    <row r="1322" spans="4:60" x14ac:dyDescent="0.3">
      <c r="D1322" s="87"/>
      <c r="E1322" s="87"/>
      <c r="W1322" s="87"/>
      <c r="X1322" s="87"/>
      <c r="Y1322" s="87"/>
      <c r="Z1322" s="87"/>
      <c r="AA1322" s="87"/>
      <c r="AB1322" s="87"/>
      <c r="AM1322" s="87"/>
      <c r="AN1322" s="87"/>
      <c r="AO1322" s="87"/>
      <c r="AP1322" s="87"/>
      <c r="AQ1322" s="87"/>
      <c r="AR1322" s="87"/>
      <c r="BC1322" s="87"/>
      <c r="BD1322" s="87"/>
      <c r="BE1322" s="87"/>
      <c r="BF1322" s="87"/>
      <c r="BG1322" s="87"/>
      <c r="BH1322" s="87"/>
    </row>
    <row r="1323" spans="4:60" x14ac:dyDescent="0.3">
      <c r="D1323" s="87"/>
      <c r="E1323" s="87"/>
      <c r="W1323" s="87"/>
      <c r="X1323" s="87"/>
      <c r="Y1323" s="87"/>
      <c r="Z1323" s="87"/>
      <c r="AA1323" s="87"/>
      <c r="AB1323" s="87"/>
      <c r="AM1323" s="87"/>
      <c r="AN1323" s="87"/>
      <c r="AO1323" s="87"/>
      <c r="AP1323" s="87"/>
      <c r="AQ1323" s="87"/>
      <c r="AR1323" s="87"/>
      <c r="BC1323" s="87"/>
      <c r="BD1323" s="87"/>
      <c r="BE1323" s="87"/>
      <c r="BF1323" s="87"/>
      <c r="BG1323" s="87"/>
      <c r="BH1323" s="87"/>
    </row>
    <row r="1324" spans="4:60" x14ac:dyDescent="0.3">
      <c r="D1324" s="87"/>
      <c r="E1324" s="87"/>
      <c r="W1324" s="87"/>
      <c r="X1324" s="87"/>
      <c r="Y1324" s="87"/>
      <c r="Z1324" s="87"/>
      <c r="AA1324" s="87"/>
      <c r="AB1324" s="87"/>
      <c r="AM1324" s="87"/>
      <c r="AN1324" s="87"/>
      <c r="AO1324" s="87"/>
      <c r="AP1324" s="87"/>
      <c r="AQ1324" s="87"/>
      <c r="AR1324" s="87"/>
      <c r="BC1324" s="87"/>
      <c r="BD1324" s="87"/>
      <c r="BE1324" s="87"/>
      <c r="BF1324" s="87"/>
      <c r="BG1324" s="87"/>
      <c r="BH1324" s="87"/>
    </row>
    <row r="1325" spans="4:60" x14ac:dyDescent="0.3">
      <c r="D1325" s="87"/>
      <c r="E1325" s="87"/>
      <c r="W1325" s="87"/>
      <c r="X1325" s="87"/>
      <c r="Y1325" s="87"/>
      <c r="Z1325" s="87"/>
      <c r="AA1325" s="87"/>
      <c r="AB1325" s="87"/>
      <c r="AM1325" s="87"/>
      <c r="AN1325" s="87"/>
      <c r="AO1325" s="87"/>
      <c r="AP1325" s="87"/>
      <c r="AQ1325" s="87"/>
      <c r="AR1325" s="87"/>
      <c r="BC1325" s="87"/>
      <c r="BD1325" s="87"/>
      <c r="BE1325" s="87"/>
      <c r="BF1325" s="87"/>
      <c r="BG1325" s="87"/>
      <c r="BH1325" s="87"/>
    </row>
    <row r="1326" spans="4:60" x14ac:dyDescent="0.3">
      <c r="D1326" s="87"/>
      <c r="E1326" s="87"/>
      <c r="W1326" s="87"/>
      <c r="X1326" s="87"/>
      <c r="Y1326" s="87"/>
      <c r="Z1326" s="87"/>
      <c r="AA1326" s="87"/>
      <c r="AB1326" s="87"/>
      <c r="AM1326" s="87"/>
      <c r="AN1326" s="87"/>
      <c r="AO1326" s="87"/>
      <c r="AP1326" s="87"/>
      <c r="AQ1326" s="87"/>
      <c r="AR1326" s="87"/>
      <c r="BC1326" s="87"/>
      <c r="BD1326" s="87"/>
      <c r="BE1326" s="87"/>
      <c r="BF1326" s="87"/>
      <c r="BG1326" s="87"/>
      <c r="BH1326" s="87"/>
    </row>
    <row r="1327" spans="4:60" x14ac:dyDescent="0.3">
      <c r="D1327" s="87"/>
      <c r="E1327" s="87"/>
      <c r="W1327" s="87"/>
      <c r="X1327" s="87"/>
      <c r="Y1327" s="87"/>
      <c r="Z1327" s="87"/>
      <c r="AA1327" s="87"/>
      <c r="AB1327" s="87"/>
      <c r="AM1327" s="87"/>
      <c r="AN1327" s="87"/>
      <c r="AO1327" s="87"/>
      <c r="AP1327" s="87"/>
      <c r="AQ1327" s="87"/>
      <c r="AR1327" s="87"/>
      <c r="BC1327" s="87"/>
      <c r="BD1327" s="87"/>
      <c r="BE1327" s="87"/>
      <c r="BF1327" s="87"/>
      <c r="BG1327" s="87"/>
      <c r="BH1327" s="87"/>
    </row>
    <row r="1328" spans="4:60" x14ac:dyDescent="0.3">
      <c r="D1328" s="87"/>
      <c r="E1328" s="87"/>
      <c r="W1328" s="87"/>
      <c r="X1328" s="87"/>
      <c r="Y1328" s="87"/>
      <c r="Z1328" s="87"/>
      <c r="AA1328" s="87"/>
      <c r="AB1328" s="87"/>
      <c r="AM1328" s="87"/>
      <c r="AN1328" s="87"/>
      <c r="AO1328" s="87"/>
      <c r="AP1328" s="87"/>
      <c r="AQ1328" s="87"/>
      <c r="AR1328" s="87"/>
      <c r="BC1328" s="87"/>
      <c r="BD1328" s="87"/>
      <c r="BE1328" s="87"/>
      <c r="BF1328" s="87"/>
      <c r="BG1328" s="87"/>
      <c r="BH1328" s="87"/>
    </row>
    <row r="1329" spans="4:60" x14ac:dyDescent="0.3">
      <c r="D1329" s="87"/>
      <c r="E1329" s="87"/>
      <c r="W1329" s="87"/>
      <c r="X1329" s="87"/>
      <c r="Y1329" s="87"/>
      <c r="Z1329" s="87"/>
      <c r="AA1329" s="87"/>
      <c r="AB1329" s="87"/>
      <c r="AM1329" s="87"/>
      <c r="AN1329" s="87"/>
      <c r="AO1329" s="87"/>
      <c r="AP1329" s="87"/>
      <c r="AQ1329" s="87"/>
      <c r="AR1329" s="87"/>
      <c r="BC1329" s="87"/>
      <c r="BD1329" s="87"/>
      <c r="BE1329" s="87"/>
      <c r="BF1329" s="87"/>
      <c r="BG1329" s="87"/>
      <c r="BH1329" s="87"/>
    </row>
    <row r="1330" spans="4:60" x14ac:dyDescent="0.3">
      <c r="D1330" s="87"/>
      <c r="E1330" s="87"/>
      <c r="W1330" s="87"/>
      <c r="X1330" s="87"/>
      <c r="Y1330" s="87"/>
      <c r="Z1330" s="87"/>
      <c r="AA1330" s="87"/>
      <c r="AB1330" s="87"/>
      <c r="AM1330" s="87"/>
      <c r="AN1330" s="87"/>
      <c r="AO1330" s="87"/>
      <c r="AP1330" s="87"/>
      <c r="AQ1330" s="87"/>
      <c r="AR1330" s="87"/>
      <c r="BC1330" s="87"/>
      <c r="BD1330" s="87"/>
      <c r="BE1330" s="87"/>
      <c r="BF1330" s="87"/>
      <c r="BG1330" s="87"/>
      <c r="BH1330" s="87"/>
    </row>
    <row r="1331" spans="4:60" x14ac:dyDescent="0.3">
      <c r="D1331" s="87"/>
      <c r="E1331" s="87"/>
      <c r="W1331" s="87"/>
      <c r="X1331" s="87"/>
      <c r="Y1331" s="87"/>
      <c r="Z1331" s="87"/>
      <c r="AA1331" s="87"/>
      <c r="AB1331" s="87"/>
      <c r="AM1331" s="87"/>
      <c r="AN1331" s="87"/>
      <c r="AO1331" s="87"/>
      <c r="AP1331" s="87"/>
      <c r="AQ1331" s="87"/>
      <c r="AR1331" s="87"/>
      <c r="BC1331" s="87"/>
      <c r="BD1331" s="87"/>
      <c r="BE1331" s="87"/>
      <c r="BF1331" s="87"/>
      <c r="BG1331" s="87"/>
      <c r="BH1331" s="87"/>
    </row>
    <row r="1332" spans="4:60" x14ac:dyDescent="0.3">
      <c r="D1332" s="87"/>
      <c r="E1332" s="87"/>
      <c r="W1332" s="87"/>
      <c r="X1332" s="87"/>
      <c r="Y1332" s="87"/>
      <c r="Z1332" s="87"/>
      <c r="AA1332" s="87"/>
      <c r="AB1332" s="87"/>
      <c r="AM1332" s="87"/>
      <c r="AN1332" s="87"/>
      <c r="AO1332" s="87"/>
      <c r="AP1332" s="87"/>
      <c r="AQ1332" s="87"/>
      <c r="AR1332" s="87"/>
      <c r="BC1332" s="87"/>
      <c r="BD1332" s="87"/>
      <c r="BE1332" s="87"/>
      <c r="BF1332" s="87"/>
      <c r="BG1332" s="87"/>
      <c r="BH1332" s="87"/>
    </row>
    <row r="1333" spans="4:60" x14ac:dyDescent="0.3">
      <c r="D1333" s="87"/>
      <c r="E1333" s="87"/>
      <c r="W1333" s="87"/>
      <c r="X1333" s="87"/>
      <c r="Y1333" s="87"/>
      <c r="Z1333" s="87"/>
      <c r="AA1333" s="87"/>
      <c r="AB1333" s="87"/>
      <c r="AM1333" s="87"/>
      <c r="AN1333" s="87"/>
      <c r="AO1333" s="87"/>
      <c r="AP1333" s="87"/>
      <c r="AQ1333" s="87"/>
      <c r="AR1333" s="87"/>
      <c r="BC1333" s="87"/>
      <c r="BD1333" s="87"/>
      <c r="BE1333" s="87"/>
      <c r="BF1333" s="87"/>
      <c r="BG1333" s="87"/>
      <c r="BH1333" s="87"/>
    </row>
    <row r="1334" spans="4:60" x14ac:dyDescent="0.3">
      <c r="D1334" s="87"/>
      <c r="E1334" s="87"/>
      <c r="W1334" s="87"/>
      <c r="X1334" s="87"/>
      <c r="Y1334" s="87"/>
      <c r="Z1334" s="87"/>
      <c r="AA1334" s="87"/>
      <c r="AB1334" s="87"/>
      <c r="AM1334" s="87"/>
      <c r="AN1334" s="87"/>
      <c r="AO1334" s="87"/>
      <c r="AP1334" s="87"/>
      <c r="AQ1334" s="87"/>
      <c r="AR1334" s="87"/>
      <c r="BC1334" s="87"/>
      <c r="BD1334" s="87"/>
      <c r="BE1334" s="87"/>
      <c r="BF1334" s="87"/>
      <c r="BG1334" s="87"/>
      <c r="BH1334" s="87"/>
    </row>
    <row r="1335" spans="4:60" x14ac:dyDescent="0.3">
      <c r="D1335" s="87"/>
      <c r="E1335" s="87"/>
      <c r="W1335" s="87"/>
      <c r="X1335" s="87"/>
      <c r="Y1335" s="87"/>
      <c r="Z1335" s="87"/>
      <c r="AA1335" s="87"/>
      <c r="AB1335" s="87"/>
      <c r="AM1335" s="87"/>
      <c r="AN1335" s="87"/>
      <c r="AO1335" s="87"/>
      <c r="AP1335" s="87"/>
      <c r="AQ1335" s="87"/>
      <c r="AR1335" s="87"/>
      <c r="BC1335" s="87"/>
      <c r="BD1335" s="87"/>
      <c r="BE1335" s="87"/>
      <c r="BF1335" s="87"/>
      <c r="BG1335" s="87"/>
      <c r="BH1335" s="87"/>
    </row>
    <row r="1336" spans="4:60" x14ac:dyDescent="0.3">
      <c r="D1336" s="87"/>
      <c r="E1336" s="87"/>
      <c r="W1336" s="87"/>
      <c r="X1336" s="87"/>
      <c r="Y1336" s="87"/>
      <c r="Z1336" s="87"/>
      <c r="AA1336" s="87"/>
      <c r="AB1336" s="87"/>
      <c r="AM1336" s="87"/>
      <c r="AN1336" s="87"/>
      <c r="AO1336" s="87"/>
      <c r="AP1336" s="87"/>
      <c r="AQ1336" s="87"/>
      <c r="AR1336" s="87"/>
      <c r="BC1336" s="87"/>
      <c r="BD1336" s="87"/>
      <c r="BE1336" s="87"/>
      <c r="BF1336" s="87"/>
      <c r="BG1336" s="87"/>
      <c r="BH1336" s="87"/>
    </row>
    <row r="1337" spans="4:60" x14ac:dyDescent="0.3">
      <c r="D1337" s="87"/>
      <c r="E1337" s="87"/>
      <c r="W1337" s="87"/>
      <c r="X1337" s="87"/>
      <c r="Y1337" s="87"/>
      <c r="Z1337" s="87"/>
      <c r="AA1337" s="87"/>
      <c r="AB1337" s="87"/>
      <c r="AM1337" s="87"/>
      <c r="AN1337" s="87"/>
      <c r="AO1337" s="87"/>
      <c r="AP1337" s="87"/>
      <c r="AQ1337" s="87"/>
      <c r="AR1337" s="87"/>
      <c r="BC1337" s="87"/>
      <c r="BD1337" s="87"/>
      <c r="BE1337" s="87"/>
      <c r="BF1337" s="87"/>
      <c r="BG1337" s="87"/>
      <c r="BH1337" s="87"/>
    </row>
    <row r="1338" spans="4:60" x14ac:dyDescent="0.3">
      <c r="D1338" s="87"/>
      <c r="E1338" s="87"/>
      <c r="W1338" s="87"/>
      <c r="X1338" s="87"/>
      <c r="Y1338" s="87"/>
      <c r="Z1338" s="87"/>
      <c r="AA1338" s="87"/>
      <c r="AB1338" s="87"/>
      <c r="AM1338" s="87"/>
      <c r="AN1338" s="87"/>
      <c r="AO1338" s="87"/>
      <c r="AP1338" s="87"/>
      <c r="AQ1338" s="87"/>
      <c r="AR1338" s="87"/>
      <c r="BC1338" s="87"/>
      <c r="BD1338" s="87"/>
      <c r="BE1338" s="87"/>
      <c r="BF1338" s="87"/>
      <c r="BG1338" s="87"/>
      <c r="BH1338" s="87"/>
    </row>
    <row r="1339" spans="4:60" x14ac:dyDescent="0.3">
      <c r="D1339" s="87"/>
      <c r="E1339" s="87"/>
      <c r="W1339" s="87"/>
      <c r="X1339" s="87"/>
      <c r="Y1339" s="87"/>
      <c r="Z1339" s="87"/>
      <c r="AA1339" s="87"/>
      <c r="AB1339" s="87"/>
      <c r="AM1339" s="87"/>
      <c r="AN1339" s="87"/>
      <c r="AO1339" s="87"/>
      <c r="AP1339" s="87"/>
      <c r="AQ1339" s="87"/>
      <c r="AR1339" s="87"/>
      <c r="BC1339" s="87"/>
      <c r="BD1339" s="87"/>
      <c r="BE1339" s="87"/>
      <c r="BF1339" s="87"/>
      <c r="BG1339" s="87"/>
      <c r="BH1339" s="87"/>
    </row>
    <row r="1340" spans="4:60" x14ac:dyDescent="0.3">
      <c r="D1340" s="87"/>
      <c r="E1340" s="87"/>
      <c r="W1340" s="87"/>
      <c r="X1340" s="87"/>
      <c r="Y1340" s="87"/>
      <c r="Z1340" s="87"/>
      <c r="AA1340" s="87"/>
      <c r="AB1340" s="87"/>
      <c r="AM1340" s="87"/>
      <c r="AN1340" s="87"/>
      <c r="AO1340" s="87"/>
      <c r="AP1340" s="87"/>
      <c r="AQ1340" s="87"/>
      <c r="AR1340" s="87"/>
      <c r="BC1340" s="87"/>
      <c r="BD1340" s="87"/>
      <c r="BE1340" s="87"/>
      <c r="BF1340" s="87"/>
      <c r="BG1340" s="87"/>
      <c r="BH1340" s="87"/>
    </row>
    <row r="1341" spans="4:60" x14ac:dyDescent="0.3">
      <c r="D1341" s="87"/>
      <c r="E1341" s="87"/>
      <c r="W1341" s="87"/>
      <c r="X1341" s="87"/>
      <c r="Y1341" s="87"/>
      <c r="Z1341" s="87"/>
      <c r="AA1341" s="87"/>
      <c r="AB1341" s="87"/>
      <c r="AM1341" s="87"/>
      <c r="AN1341" s="87"/>
      <c r="AO1341" s="87"/>
      <c r="AP1341" s="87"/>
      <c r="AQ1341" s="87"/>
      <c r="AR1341" s="87"/>
      <c r="BC1341" s="87"/>
      <c r="BD1341" s="87"/>
      <c r="BE1341" s="87"/>
      <c r="BF1341" s="87"/>
      <c r="BG1341" s="87"/>
      <c r="BH1341" s="87"/>
    </row>
    <row r="1342" spans="4:60" x14ac:dyDescent="0.3">
      <c r="D1342" s="87"/>
      <c r="E1342" s="87"/>
      <c r="W1342" s="87"/>
      <c r="X1342" s="87"/>
      <c r="Y1342" s="87"/>
      <c r="Z1342" s="87"/>
      <c r="AA1342" s="87"/>
      <c r="AB1342" s="87"/>
      <c r="AM1342" s="87"/>
      <c r="AN1342" s="87"/>
      <c r="AO1342" s="87"/>
      <c r="AP1342" s="87"/>
      <c r="AQ1342" s="87"/>
      <c r="AR1342" s="87"/>
      <c r="BC1342" s="87"/>
      <c r="BD1342" s="87"/>
      <c r="BE1342" s="87"/>
      <c r="BF1342" s="87"/>
      <c r="BG1342" s="87"/>
      <c r="BH1342" s="87"/>
    </row>
    <row r="1343" spans="4:60" x14ac:dyDescent="0.3">
      <c r="D1343" s="87"/>
      <c r="E1343" s="87"/>
      <c r="W1343" s="87"/>
      <c r="X1343" s="87"/>
      <c r="Y1343" s="87"/>
      <c r="Z1343" s="87"/>
      <c r="AA1343" s="87"/>
      <c r="AB1343" s="87"/>
      <c r="AM1343" s="87"/>
      <c r="AN1343" s="87"/>
      <c r="AO1343" s="87"/>
      <c r="AP1343" s="87"/>
      <c r="AQ1343" s="87"/>
      <c r="AR1343" s="87"/>
      <c r="BC1343" s="87"/>
      <c r="BD1343" s="87"/>
      <c r="BE1343" s="87"/>
      <c r="BF1343" s="87"/>
      <c r="BG1343" s="87"/>
      <c r="BH1343" s="87"/>
    </row>
    <row r="1344" spans="4:60" x14ac:dyDescent="0.3">
      <c r="D1344" s="87"/>
      <c r="E1344" s="87"/>
      <c r="W1344" s="87"/>
      <c r="X1344" s="87"/>
      <c r="Y1344" s="87"/>
      <c r="Z1344" s="87"/>
      <c r="AA1344" s="87"/>
      <c r="AB1344" s="87"/>
      <c r="AM1344" s="87"/>
      <c r="AN1344" s="87"/>
      <c r="AO1344" s="87"/>
      <c r="AP1344" s="87"/>
      <c r="AQ1344" s="87"/>
      <c r="AR1344" s="87"/>
      <c r="BC1344" s="87"/>
      <c r="BD1344" s="87"/>
      <c r="BE1344" s="87"/>
      <c r="BF1344" s="87"/>
      <c r="BG1344" s="87"/>
      <c r="BH1344" s="87"/>
    </row>
    <row r="1345" spans="4:60" x14ac:dyDescent="0.3">
      <c r="D1345" s="87"/>
      <c r="E1345" s="87"/>
      <c r="W1345" s="87"/>
      <c r="X1345" s="87"/>
      <c r="Y1345" s="87"/>
      <c r="Z1345" s="87"/>
      <c r="AA1345" s="87"/>
      <c r="AB1345" s="87"/>
      <c r="AM1345" s="87"/>
      <c r="AN1345" s="87"/>
      <c r="AO1345" s="87"/>
      <c r="AP1345" s="87"/>
      <c r="AQ1345" s="87"/>
      <c r="AR1345" s="87"/>
      <c r="BC1345" s="87"/>
      <c r="BD1345" s="87"/>
      <c r="BE1345" s="87"/>
      <c r="BF1345" s="87"/>
      <c r="BG1345" s="87"/>
      <c r="BH1345" s="87"/>
    </row>
    <row r="1346" spans="4:60" x14ac:dyDescent="0.3">
      <c r="D1346" s="87"/>
      <c r="E1346" s="87"/>
      <c r="W1346" s="87"/>
      <c r="X1346" s="87"/>
      <c r="Y1346" s="87"/>
      <c r="Z1346" s="87"/>
      <c r="AA1346" s="87"/>
      <c r="AB1346" s="87"/>
      <c r="AM1346" s="87"/>
      <c r="AN1346" s="87"/>
      <c r="AO1346" s="87"/>
      <c r="AP1346" s="87"/>
      <c r="AQ1346" s="87"/>
      <c r="AR1346" s="87"/>
      <c r="BC1346" s="87"/>
      <c r="BD1346" s="87"/>
      <c r="BE1346" s="87"/>
      <c r="BF1346" s="87"/>
      <c r="BG1346" s="87"/>
      <c r="BH1346" s="87"/>
    </row>
    <row r="1347" spans="4:60" x14ac:dyDescent="0.3">
      <c r="D1347" s="87"/>
      <c r="E1347" s="87"/>
      <c r="W1347" s="87"/>
      <c r="X1347" s="87"/>
      <c r="Y1347" s="87"/>
      <c r="Z1347" s="87"/>
      <c r="AA1347" s="87"/>
      <c r="AB1347" s="87"/>
      <c r="AM1347" s="87"/>
      <c r="AN1347" s="87"/>
      <c r="AO1347" s="87"/>
      <c r="AP1347" s="87"/>
      <c r="AQ1347" s="87"/>
      <c r="AR1347" s="87"/>
      <c r="BC1347" s="87"/>
      <c r="BD1347" s="87"/>
      <c r="BE1347" s="87"/>
      <c r="BF1347" s="87"/>
      <c r="BG1347" s="87"/>
      <c r="BH1347" s="87"/>
    </row>
    <row r="1348" spans="4:60" x14ac:dyDescent="0.3">
      <c r="D1348" s="87"/>
      <c r="E1348" s="87"/>
      <c r="W1348" s="87"/>
      <c r="X1348" s="87"/>
      <c r="Y1348" s="87"/>
      <c r="Z1348" s="87"/>
      <c r="AA1348" s="87"/>
      <c r="AB1348" s="87"/>
      <c r="AM1348" s="87"/>
      <c r="AN1348" s="87"/>
      <c r="AO1348" s="87"/>
      <c r="AP1348" s="87"/>
      <c r="AQ1348" s="87"/>
      <c r="AR1348" s="87"/>
      <c r="BC1348" s="87"/>
      <c r="BD1348" s="87"/>
      <c r="BE1348" s="87"/>
      <c r="BF1348" s="87"/>
      <c r="BG1348" s="87"/>
      <c r="BH1348" s="87"/>
    </row>
    <row r="1349" spans="4:60" x14ac:dyDescent="0.3">
      <c r="D1349" s="87"/>
      <c r="E1349" s="87"/>
      <c r="W1349" s="87"/>
      <c r="X1349" s="87"/>
      <c r="Y1349" s="87"/>
      <c r="Z1349" s="87"/>
      <c r="AA1349" s="87"/>
      <c r="AB1349" s="87"/>
      <c r="AM1349" s="87"/>
      <c r="AN1349" s="87"/>
      <c r="AO1349" s="87"/>
      <c r="AP1349" s="87"/>
      <c r="AQ1349" s="87"/>
      <c r="AR1349" s="87"/>
      <c r="BC1349" s="87"/>
      <c r="BD1349" s="87"/>
      <c r="BE1349" s="87"/>
      <c r="BF1349" s="87"/>
      <c r="BG1349" s="87"/>
      <c r="BH1349" s="87"/>
    </row>
    <row r="1350" spans="4:60" x14ac:dyDescent="0.3">
      <c r="D1350" s="87"/>
      <c r="E1350" s="87"/>
      <c r="W1350" s="87"/>
      <c r="X1350" s="87"/>
      <c r="Y1350" s="87"/>
      <c r="Z1350" s="87"/>
      <c r="AA1350" s="87"/>
      <c r="AB1350" s="87"/>
      <c r="AM1350" s="87"/>
      <c r="AN1350" s="87"/>
      <c r="AO1350" s="87"/>
      <c r="AP1350" s="87"/>
      <c r="AQ1350" s="87"/>
      <c r="AR1350" s="87"/>
      <c r="BC1350" s="87"/>
      <c r="BD1350" s="87"/>
      <c r="BE1350" s="87"/>
      <c r="BF1350" s="87"/>
      <c r="BG1350" s="87"/>
      <c r="BH1350" s="87"/>
    </row>
    <row r="1351" spans="4:60" x14ac:dyDescent="0.3">
      <c r="D1351" s="87"/>
      <c r="E1351" s="87"/>
      <c r="W1351" s="87"/>
      <c r="X1351" s="87"/>
      <c r="Y1351" s="87"/>
      <c r="Z1351" s="87"/>
      <c r="AA1351" s="87"/>
      <c r="AB1351" s="87"/>
      <c r="AM1351" s="87"/>
      <c r="AN1351" s="87"/>
      <c r="AO1351" s="87"/>
      <c r="AP1351" s="87"/>
      <c r="AQ1351" s="87"/>
      <c r="AR1351" s="87"/>
      <c r="BC1351" s="87"/>
      <c r="BD1351" s="87"/>
      <c r="BE1351" s="87"/>
      <c r="BF1351" s="87"/>
      <c r="BG1351" s="87"/>
      <c r="BH1351" s="87"/>
    </row>
    <row r="1352" spans="4:60" x14ac:dyDescent="0.3">
      <c r="D1352" s="87"/>
      <c r="E1352" s="87"/>
      <c r="W1352" s="87"/>
      <c r="X1352" s="87"/>
      <c r="Y1352" s="87"/>
      <c r="Z1352" s="87"/>
      <c r="AA1352" s="87"/>
      <c r="AB1352" s="87"/>
      <c r="AM1352" s="87"/>
      <c r="AN1352" s="87"/>
      <c r="AO1352" s="87"/>
      <c r="AP1352" s="87"/>
      <c r="AQ1352" s="87"/>
      <c r="AR1352" s="87"/>
      <c r="BC1352" s="87"/>
      <c r="BD1352" s="87"/>
      <c r="BE1352" s="87"/>
      <c r="BF1352" s="87"/>
      <c r="BG1352" s="87"/>
      <c r="BH1352" s="87"/>
    </row>
    <row r="1353" spans="4:60" x14ac:dyDescent="0.3">
      <c r="D1353" s="87"/>
      <c r="E1353" s="87"/>
      <c r="W1353" s="87"/>
      <c r="X1353" s="87"/>
      <c r="Y1353" s="87"/>
      <c r="Z1353" s="87"/>
      <c r="AA1353" s="87"/>
      <c r="AB1353" s="87"/>
      <c r="AM1353" s="87"/>
      <c r="AN1353" s="87"/>
      <c r="AO1353" s="87"/>
      <c r="AP1353" s="87"/>
      <c r="AQ1353" s="87"/>
      <c r="AR1353" s="87"/>
      <c r="BC1353" s="87"/>
      <c r="BD1353" s="87"/>
      <c r="BE1353" s="87"/>
      <c r="BF1353" s="87"/>
      <c r="BG1353" s="87"/>
      <c r="BH1353" s="87"/>
    </row>
    <row r="1354" spans="4:60" x14ac:dyDescent="0.3">
      <c r="D1354" s="87"/>
      <c r="E1354" s="87"/>
      <c r="W1354" s="87"/>
      <c r="X1354" s="87"/>
      <c r="Y1354" s="87"/>
      <c r="Z1354" s="87"/>
      <c r="AA1354" s="87"/>
      <c r="AB1354" s="87"/>
      <c r="AM1354" s="87"/>
      <c r="AN1354" s="87"/>
      <c r="AO1354" s="87"/>
      <c r="AP1354" s="87"/>
      <c r="AQ1354" s="87"/>
      <c r="AR1354" s="87"/>
      <c r="BC1354" s="87"/>
      <c r="BD1354" s="87"/>
      <c r="BE1354" s="87"/>
      <c r="BF1354" s="87"/>
      <c r="BG1354" s="87"/>
      <c r="BH1354" s="87"/>
    </row>
    <row r="1355" spans="4:60" x14ac:dyDescent="0.3">
      <c r="D1355" s="87"/>
      <c r="E1355" s="87"/>
      <c r="W1355" s="87"/>
      <c r="X1355" s="87"/>
      <c r="Y1355" s="87"/>
      <c r="Z1355" s="87"/>
      <c r="AA1355" s="87"/>
      <c r="AB1355" s="87"/>
      <c r="AM1355" s="87"/>
      <c r="AN1355" s="87"/>
      <c r="AO1355" s="87"/>
      <c r="AP1355" s="87"/>
      <c r="AQ1355" s="87"/>
      <c r="AR1355" s="87"/>
      <c r="BC1355" s="87"/>
      <c r="BD1355" s="87"/>
      <c r="BE1355" s="87"/>
      <c r="BF1355" s="87"/>
      <c r="BG1355" s="87"/>
      <c r="BH1355" s="87"/>
    </row>
    <row r="1356" spans="4:60" x14ac:dyDescent="0.3">
      <c r="D1356" s="87"/>
      <c r="E1356" s="87"/>
      <c r="W1356" s="87"/>
      <c r="X1356" s="87"/>
      <c r="Y1356" s="87"/>
      <c r="Z1356" s="87"/>
      <c r="AA1356" s="87"/>
      <c r="AB1356" s="87"/>
      <c r="AM1356" s="87"/>
      <c r="AN1356" s="87"/>
      <c r="AO1356" s="87"/>
      <c r="AP1356" s="87"/>
      <c r="AQ1356" s="87"/>
      <c r="AR1356" s="87"/>
      <c r="BC1356" s="87"/>
      <c r="BD1356" s="87"/>
      <c r="BE1356" s="87"/>
      <c r="BF1356" s="87"/>
      <c r="BG1356" s="87"/>
      <c r="BH1356" s="87"/>
    </row>
    <row r="1357" spans="4:60" x14ac:dyDescent="0.3">
      <c r="D1357" s="87"/>
      <c r="E1357" s="87"/>
      <c r="W1357" s="87"/>
      <c r="X1357" s="87"/>
      <c r="Y1357" s="87"/>
      <c r="Z1357" s="87"/>
      <c r="AA1357" s="87"/>
      <c r="AB1357" s="87"/>
      <c r="AM1357" s="87"/>
      <c r="AN1357" s="87"/>
      <c r="AO1357" s="87"/>
      <c r="AP1357" s="87"/>
      <c r="AQ1357" s="87"/>
      <c r="AR1357" s="87"/>
      <c r="BC1357" s="87"/>
      <c r="BD1357" s="87"/>
      <c r="BE1357" s="87"/>
      <c r="BF1357" s="87"/>
      <c r="BG1357" s="87"/>
      <c r="BH1357" s="87"/>
    </row>
    <row r="1358" spans="4:60" x14ac:dyDescent="0.3">
      <c r="D1358" s="87"/>
      <c r="E1358" s="87"/>
      <c r="W1358" s="87"/>
      <c r="X1358" s="87"/>
      <c r="Y1358" s="87"/>
      <c r="Z1358" s="87"/>
      <c r="AA1358" s="87"/>
      <c r="AB1358" s="87"/>
      <c r="AM1358" s="87"/>
      <c r="AN1358" s="87"/>
      <c r="AO1358" s="87"/>
      <c r="AP1358" s="87"/>
      <c r="AQ1358" s="87"/>
      <c r="AR1358" s="87"/>
      <c r="BC1358" s="87"/>
      <c r="BD1358" s="87"/>
      <c r="BE1358" s="87"/>
      <c r="BF1358" s="87"/>
      <c r="BG1358" s="87"/>
      <c r="BH1358" s="87"/>
    </row>
    <row r="1359" spans="4:60" x14ac:dyDescent="0.3">
      <c r="D1359" s="87"/>
      <c r="E1359" s="87"/>
      <c r="W1359" s="87"/>
      <c r="X1359" s="87"/>
      <c r="Y1359" s="87"/>
      <c r="Z1359" s="87"/>
      <c r="AA1359" s="87"/>
      <c r="AB1359" s="87"/>
      <c r="AM1359" s="87"/>
      <c r="AN1359" s="87"/>
      <c r="AO1359" s="87"/>
      <c r="AP1359" s="87"/>
      <c r="AQ1359" s="87"/>
      <c r="AR1359" s="87"/>
      <c r="BC1359" s="87"/>
      <c r="BD1359" s="87"/>
      <c r="BE1359" s="87"/>
      <c r="BF1359" s="87"/>
      <c r="BG1359" s="87"/>
      <c r="BH1359" s="87"/>
    </row>
    <row r="1360" spans="4:60" x14ac:dyDescent="0.3">
      <c r="D1360" s="87"/>
      <c r="E1360" s="87"/>
      <c r="W1360" s="87"/>
      <c r="X1360" s="87"/>
      <c r="Y1360" s="87"/>
      <c r="Z1360" s="87"/>
      <c r="AA1360" s="87"/>
      <c r="AB1360" s="87"/>
      <c r="AM1360" s="87"/>
      <c r="AN1360" s="87"/>
      <c r="AO1360" s="87"/>
      <c r="AP1360" s="87"/>
      <c r="AQ1360" s="87"/>
      <c r="AR1360" s="87"/>
      <c r="BC1360" s="87"/>
      <c r="BD1360" s="87"/>
      <c r="BE1360" s="87"/>
      <c r="BF1360" s="87"/>
      <c r="BG1360" s="87"/>
      <c r="BH1360" s="87"/>
    </row>
    <row r="1361" spans="4:60" x14ac:dyDescent="0.3">
      <c r="D1361" s="87"/>
      <c r="E1361" s="87"/>
      <c r="W1361" s="87"/>
      <c r="X1361" s="87"/>
      <c r="Y1361" s="87"/>
      <c r="Z1361" s="87"/>
      <c r="AA1361" s="87"/>
      <c r="AB1361" s="87"/>
      <c r="AM1361" s="87"/>
      <c r="AN1361" s="87"/>
      <c r="AO1361" s="87"/>
      <c r="AP1361" s="87"/>
      <c r="AQ1361" s="87"/>
      <c r="AR1361" s="87"/>
      <c r="BC1361" s="87"/>
      <c r="BD1361" s="87"/>
      <c r="BE1361" s="87"/>
      <c r="BF1361" s="87"/>
      <c r="BG1361" s="87"/>
      <c r="BH1361" s="87"/>
    </row>
    <row r="1362" spans="4:60" x14ac:dyDescent="0.3">
      <c r="D1362" s="87"/>
      <c r="E1362" s="87"/>
      <c r="W1362" s="87"/>
      <c r="X1362" s="87"/>
      <c r="Y1362" s="87"/>
      <c r="Z1362" s="87"/>
      <c r="AA1362" s="87"/>
      <c r="AB1362" s="87"/>
      <c r="AM1362" s="87"/>
      <c r="AN1362" s="87"/>
      <c r="AO1362" s="87"/>
      <c r="AP1362" s="87"/>
      <c r="AQ1362" s="87"/>
      <c r="AR1362" s="87"/>
      <c r="BC1362" s="87"/>
      <c r="BD1362" s="87"/>
      <c r="BE1362" s="87"/>
      <c r="BF1362" s="87"/>
      <c r="BG1362" s="87"/>
      <c r="BH1362" s="87"/>
    </row>
    <row r="1363" spans="4:60" x14ac:dyDescent="0.3">
      <c r="D1363" s="87"/>
      <c r="E1363" s="87"/>
      <c r="W1363" s="87"/>
      <c r="X1363" s="87"/>
      <c r="Y1363" s="87"/>
      <c r="Z1363" s="87"/>
      <c r="AA1363" s="87"/>
      <c r="AB1363" s="87"/>
      <c r="AM1363" s="87"/>
      <c r="AN1363" s="87"/>
      <c r="AO1363" s="87"/>
      <c r="AP1363" s="87"/>
      <c r="AQ1363" s="87"/>
      <c r="AR1363" s="87"/>
      <c r="BC1363" s="87"/>
      <c r="BD1363" s="87"/>
      <c r="BE1363" s="87"/>
      <c r="BF1363" s="87"/>
      <c r="BG1363" s="87"/>
      <c r="BH1363" s="87"/>
    </row>
    <row r="1364" spans="4:60" x14ac:dyDescent="0.3">
      <c r="D1364" s="87"/>
      <c r="E1364" s="87"/>
      <c r="W1364" s="87"/>
      <c r="X1364" s="87"/>
      <c r="Y1364" s="87"/>
      <c r="Z1364" s="87"/>
      <c r="AA1364" s="87"/>
      <c r="AB1364" s="87"/>
      <c r="AM1364" s="87"/>
      <c r="AN1364" s="87"/>
      <c r="AO1364" s="87"/>
      <c r="AP1364" s="87"/>
      <c r="AQ1364" s="87"/>
      <c r="AR1364" s="87"/>
      <c r="BC1364" s="87"/>
      <c r="BD1364" s="87"/>
      <c r="BE1364" s="87"/>
      <c r="BF1364" s="87"/>
      <c r="BG1364" s="87"/>
      <c r="BH1364" s="87"/>
    </row>
    <row r="1365" spans="4:60" x14ac:dyDescent="0.3">
      <c r="D1365" s="87"/>
      <c r="E1365" s="87"/>
      <c r="W1365" s="87"/>
      <c r="X1365" s="87"/>
      <c r="Y1365" s="87"/>
      <c r="Z1365" s="87"/>
      <c r="AA1365" s="87"/>
      <c r="AB1365" s="87"/>
      <c r="AM1365" s="87"/>
      <c r="AN1365" s="87"/>
      <c r="AO1365" s="87"/>
      <c r="AP1365" s="87"/>
      <c r="AQ1365" s="87"/>
      <c r="AR1365" s="87"/>
      <c r="BC1365" s="87"/>
      <c r="BD1365" s="87"/>
      <c r="BE1365" s="87"/>
      <c r="BF1365" s="87"/>
      <c r="BG1365" s="87"/>
      <c r="BH1365" s="87"/>
    </row>
    <row r="1366" spans="4:60" x14ac:dyDescent="0.3">
      <c r="D1366" s="87"/>
      <c r="E1366" s="87"/>
      <c r="W1366" s="87"/>
      <c r="X1366" s="87"/>
      <c r="Y1366" s="87"/>
      <c r="Z1366" s="87"/>
      <c r="AA1366" s="87"/>
      <c r="AB1366" s="87"/>
      <c r="AM1366" s="87"/>
      <c r="AN1366" s="87"/>
      <c r="AO1366" s="87"/>
      <c r="AP1366" s="87"/>
      <c r="AQ1366" s="87"/>
      <c r="AR1366" s="87"/>
      <c r="BC1366" s="87"/>
      <c r="BD1366" s="87"/>
      <c r="BE1366" s="87"/>
      <c r="BF1366" s="87"/>
      <c r="BG1366" s="87"/>
      <c r="BH1366" s="87"/>
    </row>
    <row r="1367" spans="4:60" x14ac:dyDescent="0.3">
      <c r="D1367" s="87"/>
      <c r="E1367" s="87"/>
      <c r="W1367" s="87"/>
      <c r="X1367" s="87"/>
      <c r="Y1367" s="87"/>
      <c r="Z1367" s="87"/>
      <c r="AA1367" s="87"/>
      <c r="AB1367" s="87"/>
      <c r="AM1367" s="87"/>
      <c r="AN1367" s="87"/>
      <c r="AO1367" s="87"/>
      <c r="AP1367" s="87"/>
      <c r="AQ1367" s="87"/>
      <c r="AR1367" s="87"/>
      <c r="BC1367" s="87"/>
      <c r="BD1367" s="87"/>
      <c r="BE1367" s="87"/>
      <c r="BF1367" s="87"/>
      <c r="BG1367" s="87"/>
      <c r="BH1367" s="87"/>
    </row>
    <row r="1368" spans="4:60" x14ac:dyDescent="0.3">
      <c r="D1368" s="87"/>
      <c r="E1368" s="87"/>
      <c r="W1368" s="87"/>
      <c r="X1368" s="87"/>
      <c r="Y1368" s="87"/>
      <c r="Z1368" s="87"/>
      <c r="AA1368" s="87"/>
      <c r="AB1368" s="87"/>
      <c r="AM1368" s="87"/>
      <c r="AN1368" s="87"/>
      <c r="AO1368" s="87"/>
      <c r="AP1368" s="87"/>
      <c r="AQ1368" s="87"/>
      <c r="AR1368" s="87"/>
      <c r="BC1368" s="87"/>
      <c r="BD1368" s="87"/>
      <c r="BE1368" s="87"/>
      <c r="BF1368" s="87"/>
      <c r="BG1368" s="87"/>
      <c r="BH1368" s="87"/>
    </row>
    <row r="1369" spans="4:60" x14ac:dyDescent="0.3">
      <c r="D1369" s="87"/>
      <c r="E1369" s="87"/>
      <c r="W1369" s="87"/>
      <c r="X1369" s="87"/>
      <c r="Y1369" s="87"/>
      <c r="Z1369" s="87"/>
      <c r="AA1369" s="87"/>
      <c r="AB1369" s="87"/>
      <c r="AM1369" s="87"/>
      <c r="AN1369" s="87"/>
      <c r="AO1369" s="87"/>
      <c r="AP1369" s="87"/>
      <c r="AQ1369" s="87"/>
      <c r="AR1369" s="87"/>
      <c r="BC1369" s="87"/>
      <c r="BD1369" s="87"/>
      <c r="BE1369" s="87"/>
      <c r="BF1369" s="87"/>
      <c r="BG1369" s="87"/>
      <c r="BH1369" s="87"/>
    </row>
    <row r="1370" spans="4:60" x14ac:dyDescent="0.3">
      <c r="D1370" s="87"/>
      <c r="E1370" s="87"/>
      <c r="W1370" s="87"/>
      <c r="X1370" s="87"/>
      <c r="Y1370" s="87"/>
      <c r="Z1370" s="87"/>
      <c r="AA1370" s="87"/>
      <c r="AB1370" s="87"/>
      <c r="AM1370" s="87"/>
      <c r="AN1370" s="87"/>
      <c r="AO1370" s="87"/>
      <c r="AP1370" s="87"/>
      <c r="AQ1370" s="87"/>
      <c r="AR1370" s="87"/>
      <c r="BC1370" s="87"/>
      <c r="BD1370" s="87"/>
      <c r="BE1370" s="87"/>
      <c r="BF1370" s="87"/>
      <c r="BG1370" s="87"/>
      <c r="BH1370" s="87"/>
    </row>
    <row r="1371" spans="4:60" x14ac:dyDescent="0.3">
      <c r="D1371" s="87"/>
      <c r="E1371" s="87"/>
      <c r="W1371" s="87"/>
      <c r="X1371" s="87"/>
      <c r="Y1371" s="87"/>
      <c r="Z1371" s="87"/>
      <c r="AA1371" s="87"/>
      <c r="AB1371" s="87"/>
      <c r="AM1371" s="87"/>
      <c r="AN1371" s="87"/>
      <c r="AO1371" s="87"/>
      <c r="AP1371" s="87"/>
      <c r="AQ1371" s="87"/>
      <c r="AR1371" s="87"/>
      <c r="BC1371" s="87"/>
      <c r="BD1371" s="87"/>
      <c r="BE1371" s="87"/>
      <c r="BF1371" s="87"/>
      <c r="BG1371" s="87"/>
      <c r="BH1371" s="87"/>
    </row>
    <row r="1372" spans="4:60" x14ac:dyDescent="0.3">
      <c r="D1372" s="87"/>
      <c r="E1372" s="87"/>
      <c r="W1372" s="87"/>
      <c r="X1372" s="87"/>
      <c r="Y1372" s="87"/>
      <c r="Z1372" s="87"/>
      <c r="AA1372" s="87"/>
      <c r="AB1372" s="87"/>
      <c r="AM1372" s="87"/>
      <c r="AN1372" s="87"/>
      <c r="AO1372" s="87"/>
      <c r="AP1372" s="87"/>
      <c r="AQ1372" s="87"/>
      <c r="AR1372" s="87"/>
      <c r="BC1372" s="87"/>
      <c r="BD1372" s="87"/>
      <c r="BE1372" s="87"/>
      <c r="BF1372" s="87"/>
      <c r="BG1372" s="87"/>
      <c r="BH1372" s="87"/>
    </row>
    <row r="1373" spans="4:60" x14ac:dyDescent="0.3">
      <c r="D1373" s="87"/>
      <c r="E1373" s="87"/>
      <c r="W1373" s="87"/>
      <c r="X1373" s="87"/>
      <c r="Y1373" s="87"/>
      <c r="Z1373" s="87"/>
      <c r="AA1373" s="87"/>
      <c r="AB1373" s="87"/>
      <c r="AM1373" s="87"/>
      <c r="AN1373" s="87"/>
      <c r="AO1373" s="87"/>
      <c r="AP1373" s="87"/>
      <c r="AQ1373" s="87"/>
      <c r="AR1373" s="87"/>
      <c r="BC1373" s="87"/>
      <c r="BD1373" s="87"/>
      <c r="BE1373" s="87"/>
      <c r="BF1373" s="87"/>
      <c r="BG1373" s="87"/>
      <c r="BH1373" s="87"/>
    </row>
    <row r="1374" spans="4:60" x14ac:dyDescent="0.3">
      <c r="D1374" s="87"/>
      <c r="E1374" s="87"/>
      <c r="W1374" s="87"/>
      <c r="X1374" s="87"/>
      <c r="Y1374" s="87"/>
      <c r="Z1374" s="87"/>
      <c r="AA1374" s="87"/>
      <c r="AB1374" s="87"/>
      <c r="AM1374" s="87"/>
      <c r="AN1374" s="87"/>
      <c r="AO1374" s="87"/>
      <c r="AP1374" s="87"/>
      <c r="AQ1374" s="87"/>
      <c r="AR1374" s="87"/>
      <c r="BC1374" s="87"/>
      <c r="BD1374" s="87"/>
      <c r="BE1374" s="87"/>
      <c r="BF1374" s="87"/>
      <c r="BG1374" s="87"/>
      <c r="BH1374" s="87"/>
    </row>
    <row r="1375" spans="4:60" x14ac:dyDescent="0.3">
      <c r="D1375" s="87"/>
      <c r="E1375" s="87"/>
      <c r="W1375" s="87"/>
      <c r="X1375" s="87"/>
      <c r="Y1375" s="87"/>
      <c r="Z1375" s="87"/>
      <c r="AA1375" s="87"/>
      <c r="AB1375" s="87"/>
      <c r="AM1375" s="87"/>
      <c r="AN1375" s="87"/>
      <c r="AO1375" s="87"/>
      <c r="AP1375" s="87"/>
      <c r="AQ1375" s="87"/>
      <c r="AR1375" s="87"/>
      <c r="BC1375" s="87"/>
      <c r="BD1375" s="87"/>
      <c r="BE1375" s="87"/>
      <c r="BF1375" s="87"/>
      <c r="BG1375" s="87"/>
      <c r="BH1375" s="87"/>
    </row>
    <row r="1376" spans="4:60" x14ac:dyDescent="0.3">
      <c r="D1376" s="87"/>
      <c r="E1376" s="87"/>
      <c r="W1376" s="87"/>
      <c r="X1376" s="87"/>
      <c r="Y1376" s="87"/>
      <c r="Z1376" s="87"/>
      <c r="AA1376" s="87"/>
      <c r="AB1376" s="87"/>
      <c r="AM1376" s="87"/>
      <c r="AN1376" s="87"/>
      <c r="AO1376" s="87"/>
      <c r="AP1376" s="87"/>
      <c r="AQ1376" s="87"/>
      <c r="AR1376" s="87"/>
      <c r="BC1376" s="87"/>
      <c r="BD1376" s="87"/>
      <c r="BE1376" s="87"/>
      <c r="BF1376" s="87"/>
      <c r="BG1376" s="87"/>
      <c r="BH1376" s="87"/>
    </row>
    <row r="1377" spans="4:60" x14ac:dyDescent="0.3">
      <c r="D1377" s="87"/>
      <c r="E1377" s="87"/>
      <c r="W1377" s="87"/>
      <c r="X1377" s="87"/>
      <c r="Y1377" s="87"/>
      <c r="Z1377" s="87"/>
      <c r="AA1377" s="87"/>
      <c r="AB1377" s="87"/>
      <c r="AM1377" s="87"/>
      <c r="AN1377" s="87"/>
      <c r="AO1377" s="87"/>
      <c r="AP1377" s="87"/>
      <c r="AQ1377" s="87"/>
      <c r="AR1377" s="87"/>
      <c r="BC1377" s="87"/>
      <c r="BD1377" s="87"/>
      <c r="BE1377" s="87"/>
      <c r="BF1377" s="87"/>
      <c r="BG1377" s="87"/>
      <c r="BH1377" s="87"/>
    </row>
    <row r="1378" spans="4:60" x14ac:dyDescent="0.3">
      <c r="D1378" s="87"/>
      <c r="E1378" s="87"/>
      <c r="W1378" s="87"/>
      <c r="X1378" s="87"/>
      <c r="Y1378" s="87"/>
      <c r="Z1378" s="87"/>
      <c r="AA1378" s="87"/>
      <c r="AB1378" s="87"/>
      <c r="AM1378" s="87"/>
      <c r="AN1378" s="87"/>
      <c r="AO1378" s="87"/>
      <c r="AP1378" s="87"/>
      <c r="AQ1378" s="87"/>
      <c r="AR1378" s="87"/>
      <c r="BC1378" s="87"/>
      <c r="BD1378" s="87"/>
      <c r="BE1378" s="87"/>
      <c r="BF1378" s="87"/>
      <c r="BG1378" s="87"/>
      <c r="BH1378" s="87"/>
    </row>
    <row r="1379" spans="4:60" x14ac:dyDescent="0.3">
      <c r="D1379" s="87"/>
      <c r="E1379" s="87"/>
      <c r="W1379" s="87"/>
      <c r="X1379" s="87"/>
      <c r="Y1379" s="87"/>
      <c r="Z1379" s="87"/>
      <c r="AA1379" s="87"/>
      <c r="AB1379" s="87"/>
      <c r="AM1379" s="87"/>
      <c r="AN1379" s="87"/>
      <c r="AO1379" s="87"/>
      <c r="AP1379" s="87"/>
      <c r="AQ1379" s="87"/>
      <c r="AR1379" s="87"/>
      <c r="BC1379" s="87"/>
      <c r="BD1379" s="87"/>
      <c r="BE1379" s="87"/>
      <c r="BF1379" s="87"/>
      <c r="BG1379" s="87"/>
      <c r="BH1379" s="87"/>
    </row>
    <row r="1380" spans="4:60" x14ac:dyDescent="0.3">
      <c r="D1380" s="87"/>
      <c r="E1380" s="87"/>
      <c r="W1380" s="87"/>
      <c r="X1380" s="87"/>
      <c r="Y1380" s="87"/>
      <c r="Z1380" s="87"/>
      <c r="AA1380" s="87"/>
      <c r="AB1380" s="87"/>
      <c r="AM1380" s="87"/>
      <c r="AN1380" s="87"/>
      <c r="AO1380" s="87"/>
      <c r="AP1380" s="87"/>
      <c r="AQ1380" s="87"/>
      <c r="AR1380" s="87"/>
      <c r="BC1380" s="87"/>
      <c r="BD1380" s="87"/>
      <c r="BE1380" s="87"/>
      <c r="BF1380" s="87"/>
      <c r="BG1380" s="87"/>
      <c r="BH1380" s="87"/>
    </row>
    <row r="1381" spans="4:60" x14ac:dyDescent="0.3">
      <c r="D1381" s="87"/>
      <c r="E1381" s="87"/>
      <c r="W1381" s="87"/>
      <c r="X1381" s="87"/>
      <c r="Y1381" s="87"/>
      <c r="Z1381" s="87"/>
      <c r="AA1381" s="87"/>
      <c r="AB1381" s="87"/>
      <c r="AM1381" s="87"/>
      <c r="AN1381" s="87"/>
      <c r="AO1381" s="87"/>
      <c r="AP1381" s="87"/>
      <c r="AQ1381" s="87"/>
      <c r="AR1381" s="87"/>
      <c r="BC1381" s="87"/>
      <c r="BD1381" s="87"/>
      <c r="BE1381" s="87"/>
      <c r="BF1381" s="87"/>
      <c r="BG1381" s="87"/>
      <c r="BH1381" s="87"/>
    </row>
    <row r="1382" spans="4:60" x14ac:dyDescent="0.3">
      <c r="D1382" s="87"/>
      <c r="E1382" s="87"/>
      <c r="W1382" s="87"/>
      <c r="X1382" s="87"/>
      <c r="Y1382" s="87"/>
      <c r="Z1382" s="87"/>
      <c r="AA1382" s="87"/>
      <c r="AB1382" s="87"/>
      <c r="AM1382" s="87"/>
      <c r="AN1382" s="87"/>
      <c r="AO1382" s="87"/>
      <c r="AP1382" s="87"/>
      <c r="AQ1382" s="87"/>
      <c r="AR1382" s="87"/>
      <c r="BC1382" s="87"/>
      <c r="BD1382" s="87"/>
      <c r="BE1382" s="87"/>
      <c r="BF1382" s="87"/>
      <c r="BG1382" s="87"/>
      <c r="BH1382" s="87"/>
    </row>
    <row r="1383" spans="4:60" x14ac:dyDescent="0.3">
      <c r="D1383" s="87"/>
      <c r="E1383" s="87"/>
      <c r="W1383" s="87"/>
      <c r="X1383" s="87"/>
      <c r="Y1383" s="87"/>
      <c r="Z1383" s="87"/>
      <c r="AA1383" s="87"/>
      <c r="AB1383" s="87"/>
      <c r="AM1383" s="87"/>
      <c r="AN1383" s="87"/>
      <c r="AO1383" s="87"/>
      <c r="AP1383" s="87"/>
      <c r="AQ1383" s="87"/>
      <c r="AR1383" s="87"/>
      <c r="BC1383" s="87"/>
      <c r="BD1383" s="87"/>
      <c r="BE1383" s="87"/>
      <c r="BF1383" s="87"/>
      <c r="BG1383" s="87"/>
      <c r="BH1383" s="87"/>
    </row>
    <row r="1384" spans="4:60" x14ac:dyDescent="0.3">
      <c r="D1384" s="87"/>
      <c r="E1384" s="87"/>
      <c r="W1384" s="87"/>
      <c r="X1384" s="87"/>
      <c r="Y1384" s="87"/>
      <c r="Z1384" s="87"/>
      <c r="AA1384" s="87"/>
      <c r="AB1384" s="87"/>
      <c r="AM1384" s="87"/>
      <c r="AN1384" s="87"/>
      <c r="AO1384" s="87"/>
      <c r="AP1384" s="87"/>
      <c r="AQ1384" s="87"/>
      <c r="AR1384" s="87"/>
      <c r="BC1384" s="87"/>
      <c r="BD1384" s="87"/>
      <c r="BE1384" s="87"/>
      <c r="BF1384" s="87"/>
      <c r="BG1384" s="87"/>
      <c r="BH1384" s="87"/>
    </row>
    <row r="1385" spans="4:60" x14ac:dyDescent="0.3">
      <c r="D1385" s="87"/>
      <c r="E1385" s="87"/>
      <c r="W1385" s="87"/>
      <c r="X1385" s="87"/>
      <c r="Y1385" s="87"/>
      <c r="Z1385" s="87"/>
      <c r="AA1385" s="87"/>
      <c r="AB1385" s="87"/>
      <c r="AM1385" s="87"/>
      <c r="AN1385" s="87"/>
      <c r="AO1385" s="87"/>
      <c r="AP1385" s="87"/>
      <c r="AQ1385" s="87"/>
      <c r="AR1385" s="87"/>
      <c r="BC1385" s="87"/>
      <c r="BD1385" s="87"/>
      <c r="BE1385" s="87"/>
      <c r="BF1385" s="87"/>
      <c r="BG1385" s="87"/>
      <c r="BH1385" s="87"/>
    </row>
    <row r="1386" spans="4:60" x14ac:dyDescent="0.3">
      <c r="D1386" s="87"/>
      <c r="E1386" s="87"/>
      <c r="W1386" s="87"/>
      <c r="X1386" s="87"/>
      <c r="Y1386" s="87"/>
      <c r="Z1386" s="87"/>
      <c r="AA1386" s="87"/>
      <c r="AB1386" s="87"/>
      <c r="AM1386" s="87"/>
      <c r="AN1386" s="87"/>
      <c r="AO1386" s="87"/>
      <c r="AP1386" s="87"/>
      <c r="AQ1386" s="87"/>
      <c r="AR1386" s="87"/>
      <c r="BC1386" s="87"/>
      <c r="BD1386" s="87"/>
      <c r="BE1386" s="87"/>
      <c r="BF1386" s="87"/>
      <c r="BG1386" s="87"/>
      <c r="BH1386" s="87"/>
    </row>
    <row r="1387" spans="4:60" x14ac:dyDescent="0.3">
      <c r="D1387" s="87"/>
      <c r="E1387" s="87"/>
      <c r="W1387" s="87"/>
      <c r="X1387" s="87"/>
      <c r="Y1387" s="87"/>
      <c r="Z1387" s="87"/>
      <c r="AA1387" s="87"/>
      <c r="AB1387" s="87"/>
      <c r="AM1387" s="87"/>
      <c r="AN1387" s="87"/>
      <c r="AO1387" s="87"/>
      <c r="AP1387" s="87"/>
      <c r="AQ1387" s="87"/>
      <c r="AR1387" s="87"/>
      <c r="BC1387" s="87"/>
      <c r="BD1387" s="87"/>
      <c r="BE1387" s="87"/>
      <c r="BF1387" s="87"/>
      <c r="BG1387" s="87"/>
      <c r="BH1387" s="87"/>
    </row>
    <row r="1388" spans="4:60" x14ac:dyDescent="0.3">
      <c r="D1388" s="87"/>
      <c r="E1388" s="87"/>
      <c r="W1388" s="87"/>
      <c r="X1388" s="87"/>
      <c r="Y1388" s="87"/>
      <c r="Z1388" s="87"/>
      <c r="AA1388" s="87"/>
      <c r="AB1388" s="87"/>
      <c r="AM1388" s="87"/>
      <c r="AN1388" s="87"/>
      <c r="AO1388" s="87"/>
      <c r="AP1388" s="87"/>
      <c r="AQ1388" s="87"/>
      <c r="AR1388" s="87"/>
      <c r="BC1388" s="87"/>
      <c r="BD1388" s="87"/>
      <c r="BE1388" s="87"/>
      <c r="BF1388" s="87"/>
      <c r="BG1388" s="87"/>
      <c r="BH1388" s="87"/>
    </row>
    <row r="1389" spans="4:60" x14ac:dyDescent="0.3">
      <c r="D1389" s="87"/>
      <c r="E1389" s="87"/>
      <c r="W1389" s="87"/>
      <c r="X1389" s="87"/>
      <c r="Y1389" s="87"/>
      <c r="Z1389" s="87"/>
      <c r="AA1389" s="87"/>
      <c r="AB1389" s="87"/>
      <c r="AM1389" s="87"/>
      <c r="AN1389" s="87"/>
      <c r="AO1389" s="87"/>
      <c r="AP1389" s="87"/>
      <c r="AQ1389" s="87"/>
      <c r="AR1389" s="87"/>
      <c r="BC1389" s="87"/>
      <c r="BD1389" s="87"/>
      <c r="BE1389" s="87"/>
      <c r="BF1389" s="87"/>
      <c r="BG1389" s="87"/>
      <c r="BH1389" s="87"/>
    </row>
    <row r="1390" spans="4:60" x14ac:dyDescent="0.3">
      <c r="D1390" s="87"/>
      <c r="E1390" s="87"/>
      <c r="W1390" s="87"/>
      <c r="X1390" s="87"/>
      <c r="Y1390" s="87"/>
      <c r="Z1390" s="87"/>
      <c r="AA1390" s="87"/>
      <c r="AB1390" s="87"/>
      <c r="AM1390" s="87"/>
      <c r="AN1390" s="87"/>
      <c r="AO1390" s="87"/>
      <c r="AP1390" s="87"/>
      <c r="AQ1390" s="87"/>
      <c r="AR1390" s="87"/>
      <c r="BC1390" s="87"/>
      <c r="BD1390" s="87"/>
      <c r="BE1390" s="87"/>
      <c r="BF1390" s="87"/>
      <c r="BG1390" s="87"/>
      <c r="BH1390" s="87"/>
    </row>
    <row r="1391" spans="4:60" x14ac:dyDescent="0.3">
      <c r="D1391" s="87"/>
      <c r="E1391" s="87"/>
      <c r="W1391" s="87"/>
      <c r="X1391" s="87"/>
      <c r="Y1391" s="87"/>
      <c r="Z1391" s="87"/>
      <c r="AA1391" s="87"/>
      <c r="AB1391" s="87"/>
      <c r="AM1391" s="87"/>
      <c r="AN1391" s="87"/>
      <c r="AO1391" s="87"/>
      <c r="AP1391" s="87"/>
      <c r="AQ1391" s="87"/>
      <c r="AR1391" s="87"/>
      <c r="BC1391" s="87"/>
      <c r="BD1391" s="87"/>
      <c r="BE1391" s="87"/>
      <c r="BF1391" s="87"/>
      <c r="BG1391" s="87"/>
      <c r="BH1391" s="87"/>
    </row>
    <row r="1392" spans="4:60" x14ac:dyDescent="0.3">
      <c r="D1392" s="87"/>
      <c r="E1392" s="87"/>
      <c r="W1392" s="87"/>
      <c r="X1392" s="87"/>
      <c r="Y1392" s="87"/>
      <c r="Z1392" s="87"/>
      <c r="AA1392" s="87"/>
      <c r="AB1392" s="87"/>
      <c r="AM1392" s="87"/>
      <c r="AN1392" s="87"/>
      <c r="AO1392" s="87"/>
      <c r="AP1392" s="87"/>
      <c r="AQ1392" s="87"/>
      <c r="AR1392" s="87"/>
      <c r="BC1392" s="87"/>
      <c r="BD1392" s="87"/>
      <c r="BE1392" s="87"/>
      <c r="BF1392" s="87"/>
      <c r="BG1392" s="87"/>
      <c r="BH1392" s="87"/>
    </row>
    <row r="1393" spans="4:60" x14ac:dyDescent="0.3">
      <c r="D1393" s="87"/>
      <c r="E1393" s="87"/>
      <c r="W1393" s="87"/>
      <c r="X1393" s="87"/>
      <c r="Y1393" s="87"/>
      <c r="Z1393" s="87"/>
      <c r="AA1393" s="87"/>
      <c r="AB1393" s="87"/>
      <c r="AM1393" s="87"/>
      <c r="AN1393" s="87"/>
      <c r="AO1393" s="87"/>
      <c r="AP1393" s="87"/>
      <c r="AQ1393" s="87"/>
      <c r="AR1393" s="87"/>
      <c r="BC1393" s="87"/>
      <c r="BD1393" s="87"/>
      <c r="BE1393" s="87"/>
      <c r="BF1393" s="87"/>
      <c r="BG1393" s="87"/>
      <c r="BH1393" s="87"/>
    </row>
    <row r="1394" spans="4:60" x14ac:dyDescent="0.3">
      <c r="D1394" s="87"/>
      <c r="E1394" s="87"/>
      <c r="W1394" s="87"/>
      <c r="X1394" s="87"/>
      <c r="Y1394" s="87"/>
      <c r="Z1394" s="87"/>
      <c r="AA1394" s="87"/>
      <c r="AB1394" s="87"/>
      <c r="AM1394" s="87"/>
      <c r="AN1394" s="87"/>
      <c r="AO1394" s="87"/>
      <c r="AP1394" s="87"/>
      <c r="AQ1394" s="87"/>
      <c r="AR1394" s="87"/>
      <c r="BC1394" s="87"/>
      <c r="BD1394" s="87"/>
      <c r="BE1394" s="87"/>
      <c r="BF1394" s="87"/>
      <c r="BG1394" s="87"/>
      <c r="BH1394" s="87"/>
    </row>
    <row r="1395" spans="4:60" x14ac:dyDescent="0.3">
      <c r="D1395" s="87"/>
      <c r="E1395" s="87"/>
      <c r="W1395" s="87"/>
      <c r="X1395" s="87"/>
      <c r="Y1395" s="87"/>
      <c r="Z1395" s="87"/>
      <c r="AA1395" s="87"/>
      <c r="AB1395" s="87"/>
      <c r="AM1395" s="87"/>
      <c r="AN1395" s="87"/>
      <c r="AO1395" s="87"/>
      <c r="AP1395" s="87"/>
      <c r="AQ1395" s="87"/>
      <c r="AR1395" s="87"/>
      <c r="BC1395" s="87"/>
      <c r="BD1395" s="87"/>
      <c r="BE1395" s="87"/>
      <c r="BF1395" s="87"/>
      <c r="BG1395" s="87"/>
      <c r="BH1395" s="87"/>
    </row>
    <row r="1396" spans="4:60" x14ac:dyDescent="0.3">
      <c r="D1396" s="87"/>
      <c r="E1396" s="87"/>
      <c r="W1396" s="87"/>
      <c r="X1396" s="87"/>
      <c r="Y1396" s="87"/>
      <c r="Z1396" s="87"/>
      <c r="AA1396" s="87"/>
      <c r="AB1396" s="87"/>
      <c r="AM1396" s="87"/>
      <c r="AN1396" s="87"/>
      <c r="AO1396" s="87"/>
      <c r="AP1396" s="87"/>
      <c r="AQ1396" s="87"/>
      <c r="AR1396" s="87"/>
      <c r="BC1396" s="87"/>
      <c r="BD1396" s="87"/>
      <c r="BE1396" s="87"/>
      <c r="BF1396" s="87"/>
      <c r="BG1396" s="87"/>
      <c r="BH1396" s="87"/>
    </row>
    <row r="1397" spans="4:60" x14ac:dyDescent="0.3">
      <c r="D1397" s="87"/>
      <c r="E1397" s="87"/>
      <c r="W1397" s="87"/>
      <c r="X1397" s="87"/>
      <c r="Y1397" s="87"/>
      <c r="Z1397" s="87"/>
      <c r="AA1397" s="87"/>
      <c r="AB1397" s="87"/>
      <c r="AM1397" s="87"/>
      <c r="AN1397" s="87"/>
      <c r="AO1397" s="87"/>
      <c r="AP1397" s="87"/>
      <c r="AQ1397" s="87"/>
      <c r="AR1397" s="87"/>
      <c r="BC1397" s="87"/>
      <c r="BD1397" s="87"/>
      <c r="BE1397" s="87"/>
      <c r="BF1397" s="87"/>
      <c r="BG1397" s="87"/>
      <c r="BH1397" s="87"/>
    </row>
    <row r="1398" spans="4:60" x14ac:dyDescent="0.3">
      <c r="D1398" s="87"/>
      <c r="E1398" s="87"/>
      <c r="W1398" s="87"/>
      <c r="X1398" s="87"/>
      <c r="Y1398" s="87"/>
      <c r="Z1398" s="87"/>
      <c r="AA1398" s="87"/>
      <c r="AB1398" s="87"/>
      <c r="AM1398" s="87"/>
      <c r="AN1398" s="87"/>
      <c r="AO1398" s="87"/>
      <c r="AP1398" s="87"/>
      <c r="AQ1398" s="87"/>
      <c r="AR1398" s="87"/>
      <c r="BC1398" s="87"/>
      <c r="BD1398" s="87"/>
      <c r="BE1398" s="87"/>
      <c r="BF1398" s="87"/>
      <c r="BG1398" s="87"/>
      <c r="BH1398" s="87"/>
    </row>
    <row r="1399" spans="4:60" x14ac:dyDescent="0.3">
      <c r="D1399" s="87"/>
      <c r="E1399" s="87"/>
      <c r="W1399" s="87"/>
      <c r="X1399" s="87"/>
      <c r="Y1399" s="87"/>
      <c r="Z1399" s="87"/>
      <c r="AA1399" s="87"/>
      <c r="AB1399" s="87"/>
      <c r="AM1399" s="87"/>
      <c r="AN1399" s="87"/>
      <c r="AO1399" s="87"/>
      <c r="AP1399" s="87"/>
      <c r="AQ1399" s="87"/>
      <c r="AR1399" s="87"/>
      <c r="BC1399" s="87"/>
      <c r="BD1399" s="87"/>
      <c r="BE1399" s="87"/>
      <c r="BF1399" s="87"/>
      <c r="BG1399" s="87"/>
      <c r="BH1399" s="87"/>
    </row>
    <row r="1400" spans="4:60" x14ac:dyDescent="0.3">
      <c r="D1400" s="87"/>
      <c r="E1400" s="87"/>
      <c r="W1400" s="87"/>
      <c r="X1400" s="87"/>
      <c r="Y1400" s="87"/>
      <c r="Z1400" s="87"/>
      <c r="AA1400" s="87"/>
      <c r="AB1400" s="87"/>
      <c r="AM1400" s="87"/>
      <c r="AN1400" s="87"/>
      <c r="AO1400" s="87"/>
      <c r="AP1400" s="87"/>
      <c r="AQ1400" s="87"/>
      <c r="AR1400" s="87"/>
      <c r="BC1400" s="87"/>
      <c r="BD1400" s="87"/>
      <c r="BE1400" s="87"/>
      <c r="BF1400" s="87"/>
      <c r="BG1400" s="87"/>
      <c r="BH1400" s="87"/>
    </row>
    <row r="1401" spans="4:60" x14ac:dyDescent="0.3">
      <c r="D1401" s="87"/>
      <c r="E1401" s="87"/>
      <c r="W1401" s="87"/>
      <c r="X1401" s="87"/>
      <c r="Y1401" s="87"/>
      <c r="Z1401" s="87"/>
      <c r="AA1401" s="87"/>
      <c r="AB1401" s="87"/>
      <c r="AM1401" s="87"/>
      <c r="AN1401" s="87"/>
      <c r="AO1401" s="87"/>
      <c r="AP1401" s="87"/>
      <c r="AQ1401" s="87"/>
      <c r="AR1401" s="87"/>
      <c r="BC1401" s="87"/>
      <c r="BD1401" s="87"/>
      <c r="BE1401" s="87"/>
      <c r="BF1401" s="87"/>
      <c r="BG1401" s="87"/>
      <c r="BH1401" s="87"/>
    </row>
    <row r="1402" spans="4:60" x14ac:dyDescent="0.3">
      <c r="D1402" s="87"/>
      <c r="E1402" s="87"/>
      <c r="W1402" s="87"/>
      <c r="X1402" s="87"/>
      <c r="Y1402" s="87"/>
      <c r="Z1402" s="87"/>
      <c r="AA1402" s="87"/>
      <c r="AB1402" s="87"/>
      <c r="AM1402" s="87"/>
      <c r="AN1402" s="87"/>
      <c r="AO1402" s="87"/>
      <c r="AP1402" s="87"/>
      <c r="AQ1402" s="87"/>
      <c r="AR1402" s="87"/>
      <c r="BC1402" s="87"/>
      <c r="BD1402" s="87"/>
      <c r="BE1402" s="87"/>
      <c r="BF1402" s="87"/>
      <c r="BG1402" s="87"/>
      <c r="BH1402" s="87"/>
    </row>
    <row r="1403" spans="4:60" x14ac:dyDescent="0.3">
      <c r="D1403" s="87"/>
      <c r="E1403" s="87"/>
      <c r="W1403" s="87"/>
      <c r="X1403" s="87"/>
      <c r="Y1403" s="87"/>
      <c r="Z1403" s="87"/>
      <c r="AA1403" s="87"/>
      <c r="AB1403" s="87"/>
      <c r="AM1403" s="87"/>
      <c r="AN1403" s="87"/>
      <c r="AO1403" s="87"/>
      <c r="AP1403" s="87"/>
      <c r="AQ1403" s="87"/>
      <c r="AR1403" s="87"/>
      <c r="BC1403" s="87"/>
      <c r="BD1403" s="87"/>
      <c r="BE1403" s="87"/>
      <c r="BF1403" s="87"/>
      <c r="BG1403" s="87"/>
      <c r="BH1403" s="87"/>
    </row>
    <row r="1404" spans="4:60" x14ac:dyDescent="0.3">
      <c r="D1404" s="87"/>
      <c r="E1404" s="87"/>
      <c r="W1404" s="87"/>
      <c r="X1404" s="87"/>
      <c r="Y1404" s="87"/>
      <c r="Z1404" s="87"/>
      <c r="AA1404" s="87"/>
      <c r="AB1404" s="87"/>
      <c r="AM1404" s="87"/>
      <c r="AN1404" s="87"/>
      <c r="AO1404" s="87"/>
      <c r="AP1404" s="87"/>
      <c r="AQ1404" s="87"/>
      <c r="AR1404" s="87"/>
      <c r="BC1404" s="87"/>
      <c r="BD1404" s="87"/>
      <c r="BE1404" s="87"/>
      <c r="BF1404" s="87"/>
      <c r="BG1404" s="87"/>
      <c r="BH1404" s="87"/>
    </row>
    <row r="1405" spans="4:60" x14ac:dyDescent="0.3">
      <c r="D1405" s="87"/>
      <c r="E1405" s="87"/>
      <c r="W1405" s="87"/>
      <c r="X1405" s="87"/>
      <c r="Y1405" s="87"/>
      <c r="Z1405" s="87"/>
      <c r="AA1405" s="87"/>
      <c r="AB1405" s="87"/>
      <c r="AM1405" s="87"/>
      <c r="AN1405" s="87"/>
      <c r="AO1405" s="87"/>
      <c r="AP1405" s="87"/>
      <c r="AQ1405" s="87"/>
      <c r="AR1405" s="87"/>
      <c r="BC1405" s="87"/>
      <c r="BD1405" s="87"/>
      <c r="BE1405" s="87"/>
      <c r="BF1405" s="87"/>
      <c r="BG1405" s="87"/>
      <c r="BH1405" s="87"/>
    </row>
    <row r="1406" spans="4:60" x14ac:dyDescent="0.3">
      <c r="D1406" s="87"/>
      <c r="E1406" s="87"/>
      <c r="W1406" s="87"/>
      <c r="X1406" s="87"/>
      <c r="Y1406" s="87"/>
      <c r="Z1406" s="87"/>
      <c r="AA1406" s="87"/>
      <c r="AB1406" s="87"/>
      <c r="AM1406" s="87"/>
      <c r="AN1406" s="87"/>
      <c r="AO1406" s="87"/>
      <c r="AP1406" s="87"/>
      <c r="AQ1406" s="87"/>
      <c r="AR1406" s="87"/>
      <c r="BC1406" s="87"/>
      <c r="BD1406" s="87"/>
      <c r="BE1406" s="87"/>
      <c r="BF1406" s="87"/>
      <c r="BG1406" s="87"/>
      <c r="BH1406" s="87"/>
    </row>
    <row r="1407" spans="4:60" x14ac:dyDescent="0.3">
      <c r="D1407" s="87"/>
      <c r="E1407" s="87"/>
      <c r="W1407" s="87"/>
      <c r="X1407" s="87"/>
      <c r="Y1407" s="87"/>
      <c r="Z1407" s="87"/>
      <c r="AA1407" s="87"/>
      <c r="AB1407" s="87"/>
      <c r="AM1407" s="87"/>
      <c r="AN1407" s="87"/>
      <c r="AO1407" s="87"/>
      <c r="AP1407" s="87"/>
      <c r="AQ1407" s="87"/>
      <c r="AR1407" s="87"/>
      <c r="BC1407" s="87"/>
      <c r="BD1407" s="87"/>
      <c r="BE1407" s="87"/>
      <c r="BF1407" s="87"/>
      <c r="BG1407" s="87"/>
      <c r="BH1407" s="87"/>
    </row>
    <row r="1408" spans="4:60" x14ac:dyDescent="0.3">
      <c r="D1408" s="87"/>
      <c r="E1408" s="87"/>
      <c r="W1408" s="87"/>
      <c r="X1408" s="87"/>
      <c r="Y1408" s="87"/>
      <c r="Z1408" s="87"/>
      <c r="AA1408" s="87"/>
      <c r="AB1408" s="87"/>
      <c r="AM1408" s="87"/>
      <c r="AN1408" s="87"/>
      <c r="AO1408" s="87"/>
      <c r="AP1408" s="87"/>
      <c r="AQ1408" s="87"/>
      <c r="AR1408" s="87"/>
      <c r="BC1408" s="87"/>
      <c r="BD1408" s="87"/>
      <c r="BE1408" s="87"/>
      <c r="BF1408" s="87"/>
      <c r="BG1408" s="87"/>
      <c r="BH1408" s="87"/>
    </row>
    <row r="1409" spans="4:60" x14ac:dyDescent="0.3">
      <c r="D1409" s="87"/>
      <c r="E1409" s="87"/>
      <c r="W1409" s="87"/>
      <c r="X1409" s="87"/>
      <c r="Y1409" s="87"/>
      <c r="Z1409" s="87"/>
      <c r="AA1409" s="87"/>
      <c r="AB1409" s="87"/>
      <c r="AM1409" s="87"/>
      <c r="AN1409" s="87"/>
      <c r="AO1409" s="87"/>
      <c r="AP1409" s="87"/>
      <c r="AQ1409" s="87"/>
      <c r="AR1409" s="87"/>
      <c r="BC1409" s="87"/>
      <c r="BD1409" s="87"/>
      <c r="BE1409" s="87"/>
      <c r="BF1409" s="87"/>
      <c r="BG1409" s="87"/>
      <c r="BH1409" s="87"/>
    </row>
    <row r="1410" spans="4:60" x14ac:dyDescent="0.3">
      <c r="D1410" s="87"/>
      <c r="E1410" s="87"/>
      <c r="W1410" s="87"/>
      <c r="X1410" s="87"/>
      <c r="Y1410" s="87"/>
      <c r="Z1410" s="87"/>
      <c r="AA1410" s="87"/>
      <c r="AB1410" s="87"/>
      <c r="AM1410" s="87"/>
      <c r="AN1410" s="87"/>
      <c r="AO1410" s="87"/>
      <c r="AP1410" s="87"/>
      <c r="AQ1410" s="87"/>
      <c r="AR1410" s="87"/>
      <c r="BC1410" s="87"/>
      <c r="BD1410" s="87"/>
      <c r="BE1410" s="87"/>
      <c r="BF1410" s="87"/>
      <c r="BG1410" s="87"/>
      <c r="BH1410" s="87"/>
    </row>
    <row r="1411" spans="4:60" x14ac:dyDescent="0.3">
      <c r="D1411" s="87"/>
      <c r="E1411" s="87"/>
      <c r="W1411" s="87"/>
      <c r="X1411" s="87"/>
      <c r="Y1411" s="87"/>
      <c r="Z1411" s="87"/>
      <c r="AA1411" s="87"/>
      <c r="AB1411" s="87"/>
      <c r="AM1411" s="87"/>
      <c r="AN1411" s="87"/>
      <c r="AO1411" s="87"/>
      <c r="AP1411" s="87"/>
      <c r="AQ1411" s="87"/>
      <c r="AR1411" s="87"/>
      <c r="BC1411" s="87"/>
      <c r="BD1411" s="87"/>
      <c r="BE1411" s="87"/>
      <c r="BF1411" s="87"/>
      <c r="BG1411" s="87"/>
      <c r="BH1411" s="87"/>
    </row>
    <row r="1412" spans="4:60" x14ac:dyDescent="0.3">
      <c r="D1412" s="87"/>
      <c r="E1412" s="87"/>
      <c r="W1412" s="87"/>
      <c r="X1412" s="87"/>
      <c r="Y1412" s="87"/>
      <c r="Z1412" s="87"/>
      <c r="AA1412" s="87"/>
      <c r="AB1412" s="87"/>
      <c r="AM1412" s="87"/>
      <c r="AN1412" s="87"/>
      <c r="AO1412" s="87"/>
      <c r="AP1412" s="87"/>
      <c r="AQ1412" s="87"/>
      <c r="AR1412" s="87"/>
      <c r="BC1412" s="87"/>
      <c r="BD1412" s="87"/>
      <c r="BE1412" s="87"/>
      <c r="BF1412" s="87"/>
      <c r="BG1412" s="87"/>
      <c r="BH1412" s="87"/>
    </row>
    <row r="1413" spans="4:60" x14ac:dyDescent="0.3">
      <c r="D1413" s="87"/>
      <c r="E1413" s="87"/>
      <c r="W1413" s="87"/>
      <c r="X1413" s="87"/>
      <c r="Y1413" s="87"/>
      <c r="Z1413" s="87"/>
      <c r="AA1413" s="87"/>
      <c r="AB1413" s="87"/>
      <c r="AM1413" s="87"/>
      <c r="AN1413" s="87"/>
      <c r="AO1413" s="87"/>
      <c r="AP1413" s="87"/>
      <c r="AQ1413" s="87"/>
      <c r="AR1413" s="87"/>
      <c r="BC1413" s="87"/>
      <c r="BD1413" s="87"/>
      <c r="BE1413" s="87"/>
      <c r="BF1413" s="87"/>
      <c r="BG1413" s="87"/>
      <c r="BH1413" s="87"/>
    </row>
    <row r="1414" spans="4:60" x14ac:dyDescent="0.3">
      <c r="D1414" s="87"/>
      <c r="E1414" s="87"/>
      <c r="W1414" s="87"/>
      <c r="X1414" s="87"/>
      <c r="Y1414" s="87"/>
      <c r="Z1414" s="87"/>
      <c r="AA1414" s="87"/>
      <c r="AB1414" s="87"/>
      <c r="AM1414" s="87"/>
      <c r="AN1414" s="87"/>
      <c r="AO1414" s="87"/>
      <c r="AP1414" s="87"/>
      <c r="AQ1414" s="87"/>
      <c r="AR1414" s="87"/>
      <c r="BC1414" s="87"/>
      <c r="BD1414" s="87"/>
      <c r="BE1414" s="87"/>
      <c r="BF1414" s="87"/>
      <c r="BG1414" s="87"/>
      <c r="BH1414" s="87"/>
    </row>
    <row r="1415" spans="4:60" x14ac:dyDescent="0.3">
      <c r="D1415" s="87"/>
      <c r="E1415" s="87"/>
      <c r="W1415" s="87"/>
      <c r="X1415" s="87"/>
      <c r="Y1415" s="87"/>
      <c r="Z1415" s="87"/>
      <c r="AA1415" s="87"/>
      <c r="AB1415" s="87"/>
      <c r="AM1415" s="87"/>
      <c r="AN1415" s="87"/>
      <c r="AO1415" s="87"/>
      <c r="AP1415" s="87"/>
      <c r="AQ1415" s="87"/>
      <c r="AR1415" s="87"/>
      <c r="BC1415" s="87"/>
      <c r="BD1415" s="87"/>
      <c r="BE1415" s="87"/>
      <c r="BF1415" s="87"/>
      <c r="BG1415" s="87"/>
      <c r="BH1415" s="87"/>
    </row>
    <row r="1416" spans="4:60" x14ac:dyDescent="0.3">
      <c r="D1416" s="87"/>
      <c r="E1416" s="87"/>
      <c r="W1416" s="87"/>
      <c r="X1416" s="87"/>
      <c r="Y1416" s="87"/>
      <c r="Z1416" s="87"/>
      <c r="AA1416" s="87"/>
      <c r="AB1416" s="87"/>
      <c r="AM1416" s="87"/>
      <c r="AN1416" s="87"/>
      <c r="AO1416" s="87"/>
      <c r="AP1416" s="87"/>
      <c r="AQ1416" s="87"/>
      <c r="AR1416" s="87"/>
      <c r="BC1416" s="87"/>
      <c r="BD1416" s="87"/>
      <c r="BE1416" s="87"/>
      <c r="BF1416" s="87"/>
      <c r="BG1416" s="87"/>
      <c r="BH1416" s="87"/>
    </row>
    <row r="1417" spans="4:60" x14ac:dyDescent="0.3">
      <c r="D1417" s="87"/>
      <c r="E1417" s="87"/>
      <c r="W1417" s="87"/>
      <c r="X1417" s="87"/>
      <c r="Y1417" s="87"/>
      <c r="Z1417" s="87"/>
      <c r="AA1417" s="87"/>
      <c r="AB1417" s="87"/>
      <c r="AM1417" s="87"/>
      <c r="AN1417" s="87"/>
      <c r="AO1417" s="87"/>
      <c r="AP1417" s="87"/>
      <c r="AQ1417" s="87"/>
      <c r="AR1417" s="87"/>
      <c r="BC1417" s="87"/>
      <c r="BD1417" s="87"/>
      <c r="BE1417" s="87"/>
      <c r="BF1417" s="87"/>
      <c r="BG1417" s="87"/>
      <c r="BH1417" s="87"/>
    </row>
    <row r="1418" spans="4:60" x14ac:dyDescent="0.3">
      <c r="D1418" s="87"/>
      <c r="E1418" s="87"/>
      <c r="W1418" s="87"/>
      <c r="X1418" s="87"/>
      <c r="Y1418" s="87"/>
      <c r="Z1418" s="87"/>
      <c r="AA1418" s="87"/>
      <c r="AB1418" s="87"/>
      <c r="AM1418" s="87"/>
      <c r="AN1418" s="87"/>
      <c r="AO1418" s="87"/>
      <c r="AP1418" s="87"/>
      <c r="AQ1418" s="87"/>
      <c r="AR1418" s="87"/>
      <c r="BC1418" s="87"/>
      <c r="BD1418" s="87"/>
      <c r="BE1418" s="87"/>
      <c r="BF1418" s="87"/>
      <c r="BG1418" s="87"/>
      <c r="BH1418" s="87"/>
    </row>
    <row r="1419" spans="4:60" x14ac:dyDescent="0.3">
      <c r="D1419" s="87"/>
      <c r="E1419" s="87"/>
      <c r="W1419" s="87"/>
      <c r="X1419" s="87"/>
      <c r="Y1419" s="87"/>
      <c r="Z1419" s="87"/>
      <c r="AA1419" s="87"/>
      <c r="AB1419" s="87"/>
      <c r="AM1419" s="87"/>
      <c r="AN1419" s="87"/>
      <c r="AO1419" s="87"/>
      <c r="AP1419" s="87"/>
      <c r="AQ1419" s="87"/>
      <c r="AR1419" s="87"/>
      <c r="BC1419" s="87"/>
      <c r="BD1419" s="87"/>
      <c r="BE1419" s="87"/>
      <c r="BF1419" s="87"/>
      <c r="BG1419" s="87"/>
      <c r="BH1419" s="87"/>
    </row>
    <row r="1420" spans="4:60" x14ac:dyDescent="0.3">
      <c r="D1420" s="87"/>
      <c r="E1420" s="87"/>
      <c r="W1420" s="87"/>
      <c r="X1420" s="87"/>
      <c r="Y1420" s="87"/>
      <c r="Z1420" s="87"/>
      <c r="AA1420" s="87"/>
      <c r="AB1420" s="87"/>
      <c r="AM1420" s="87"/>
      <c r="AN1420" s="87"/>
      <c r="AO1420" s="87"/>
      <c r="AP1420" s="87"/>
      <c r="AQ1420" s="87"/>
      <c r="AR1420" s="87"/>
      <c r="BC1420" s="87"/>
      <c r="BD1420" s="87"/>
      <c r="BE1420" s="87"/>
      <c r="BF1420" s="87"/>
      <c r="BG1420" s="87"/>
      <c r="BH1420" s="87"/>
    </row>
    <row r="1421" spans="4:60" x14ac:dyDescent="0.3">
      <c r="D1421" s="87"/>
      <c r="E1421" s="87"/>
      <c r="W1421" s="87"/>
      <c r="X1421" s="87"/>
      <c r="Y1421" s="87"/>
      <c r="Z1421" s="87"/>
      <c r="AA1421" s="87"/>
      <c r="AB1421" s="87"/>
      <c r="AM1421" s="87"/>
      <c r="AN1421" s="87"/>
      <c r="AO1421" s="87"/>
      <c r="AP1421" s="87"/>
      <c r="AQ1421" s="87"/>
      <c r="AR1421" s="87"/>
      <c r="BC1421" s="87"/>
      <c r="BD1421" s="87"/>
      <c r="BE1421" s="87"/>
      <c r="BF1421" s="87"/>
      <c r="BG1421" s="87"/>
      <c r="BH1421" s="87"/>
    </row>
    <row r="1422" spans="4:60" x14ac:dyDescent="0.3">
      <c r="D1422" s="87"/>
      <c r="E1422" s="87"/>
      <c r="W1422" s="87"/>
      <c r="X1422" s="87"/>
      <c r="Y1422" s="87"/>
      <c r="Z1422" s="87"/>
      <c r="AA1422" s="87"/>
      <c r="AB1422" s="87"/>
      <c r="AM1422" s="87"/>
      <c r="AN1422" s="87"/>
      <c r="AO1422" s="87"/>
      <c r="AP1422" s="87"/>
      <c r="AQ1422" s="87"/>
      <c r="AR1422" s="87"/>
      <c r="BC1422" s="87"/>
      <c r="BD1422" s="87"/>
      <c r="BE1422" s="87"/>
      <c r="BF1422" s="87"/>
      <c r="BG1422" s="87"/>
      <c r="BH1422" s="87"/>
    </row>
    <row r="1423" spans="4:60" x14ac:dyDescent="0.3">
      <c r="D1423" s="87"/>
      <c r="E1423" s="87"/>
      <c r="W1423" s="87"/>
      <c r="X1423" s="87"/>
      <c r="Y1423" s="87"/>
      <c r="Z1423" s="87"/>
      <c r="AA1423" s="87"/>
      <c r="AB1423" s="87"/>
      <c r="AM1423" s="87"/>
      <c r="AN1423" s="87"/>
      <c r="AO1423" s="87"/>
      <c r="AP1423" s="87"/>
      <c r="AQ1423" s="87"/>
      <c r="AR1423" s="87"/>
      <c r="BC1423" s="87"/>
      <c r="BD1423" s="87"/>
      <c r="BE1423" s="87"/>
      <c r="BF1423" s="87"/>
      <c r="BG1423" s="87"/>
      <c r="BH1423" s="87"/>
    </row>
    <row r="1424" spans="4:60" x14ac:dyDescent="0.3">
      <c r="D1424" s="87"/>
      <c r="E1424" s="87"/>
      <c r="W1424" s="87"/>
      <c r="X1424" s="87"/>
      <c r="Y1424" s="87"/>
      <c r="Z1424" s="87"/>
      <c r="AA1424" s="87"/>
      <c r="AB1424" s="87"/>
      <c r="AM1424" s="87"/>
      <c r="AN1424" s="87"/>
      <c r="AO1424" s="87"/>
      <c r="AP1424" s="87"/>
      <c r="AQ1424" s="87"/>
      <c r="AR1424" s="87"/>
      <c r="BC1424" s="87"/>
      <c r="BD1424" s="87"/>
      <c r="BE1424" s="87"/>
      <c r="BF1424" s="87"/>
      <c r="BG1424" s="87"/>
      <c r="BH1424" s="87"/>
    </row>
    <row r="1425" spans="4:60" x14ac:dyDescent="0.3">
      <c r="D1425" s="87"/>
      <c r="E1425" s="87"/>
      <c r="W1425" s="87"/>
      <c r="X1425" s="87"/>
      <c r="Y1425" s="87"/>
      <c r="Z1425" s="87"/>
      <c r="AA1425" s="87"/>
      <c r="AB1425" s="87"/>
      <c r="AM1425" s="87"/>
      <c r="AN1425" s="87"/>
      <c r="AO1425" s="87"/>
      <c r="AP1425" s="87"/>
      <c r="AQ1425" s="87"/>
      <c r="AR1425" s="87"/>
      <c r="BC1425" s="87"/>
      <c r="BD1425" s="87"/>
      <c r="BE1425" s="87"/>
      <c r="BF1425" s="87"/>
      <c r="BG1425" s="87"/>
      <c r="BH1425" s="87"/>
    </row>
    <row r="1426" spans="4:60" x14ac:dyDescent="0.3">
      <c r="D1426" s="87"/>
      <c r="E1426" s="87"/>
      <c r="W1426" s="87"/>
      <c r="X1426" s="87"/>
      <c r="Y1426" s="87"/>
      <c r="Z1426" s="87"/>
      <c r="AA1426" s="87"/>
      <c r="AB1426" s="87"/>
      <c r="AM1426" s="87"/>
      <c r="AN1426" s="87"/>
      <c r="AO1426" s="87"/>
      <c r="AP1426" s="87"/>
      <c r="AQ1426" s="87"/>
      <c r="AR1426" s="87"/>
      <c r="BC1426" s="87"/>
      <c r="BD1426" s="87"/>
      <c r="BE1426" s="87"/>
      <c r="BF1426" s="87"/>
      <c r="BG1426" s="87"/>
      <c r="BH1426" s="87"/>
    </row>
    <row r="1427" spans="4:60" x14ac:dyDescent="0.3">
      <c r="D1427" s="87"/>
      <c r="E1427" s="87"/>
      <c r="W1427" s="87"/>
      <c r="X1427" s="87"/>
      <c r="Y1427" s="87"/>
      <c r="Z1427" s="87"/>
      <c r="AA1427" s="87"/>
      <c r="AB1427" s="87"/>
      <c r="AM1427" s="87"/>
      <c r="AN1427" s="87"/>
      <c r="AO1427" s="87"/>
      <c r="AP1427" s="87"/>
      <c r="AQ1427" s="87"/>
      <c r="AR1427" s="87"/>
      <c r="BC1427" s="87"/>
      <c r="BD1427" s="87"/>
      <c r="BE1427" s="87"/>
      <c r="BF1427" s="87"/>
      <c r="BG1427" s="87"/>
      <c r="BH1427" s="87"/>
    </row>
    <row r="1428" spans="4:60" x14ac:dyDescent="0.3">
      <c r="D1428" s="87"/>
      <c r="E1428" s="87"/>
      <c r="W1428" s="87"/>
      <c r="X1428" s="87"/>
      <c r="Y1428" s="87"/>
      <c r="Z1428" s="87"/>
      <c r="AA1428" s="87"/>
      <c r="AB1428" s="87"/>
      <c r="AM1428" s="87"/>
      <c r="AN1428" s="87"/>
      <c r="AO1428" s="87"/>
      <c r="AP1428" s="87"/>
      <c r="AQ1428" s="87"/>
      <c r="AR1428" s="87"/>
      <c r="BC1428" s="87"/>
      <c r="BD1428" s="87"/>
      <c r="BE1428" s="87"/>
      <c r="BF1428" s="87"/>
      <c r="BG1428" s="87"/>
      <c r="BH1428" s="87"/>
    </row>
    <row r="1429" spans="4:60" x14ac:dyDescent="0.3">
      <c r="D1429" s="87"/>
      <c r="E1429" s="87"/>
      <c r="W1429" s="87"/>
      <c r="X1429" s="87"/>
      <c r="Y1429" s="87"/>
      <c r="Z1429" s="87"/>
      <c r="AA1429" s="87"/>
      <c r="AB1429" s="87"/>
      <c r="AM1429" s="87"/>
      <c r="AN1429" s="87"/>
      <c r="AO1429" s="87"/>
      <c r="AP1429" s="87"/>
      <c r="AQ1429" s="87"/>
      <c r="AR1429" s="87"/>
      <c r="BC1429" s="87"/>
      <c r="BD1429" s="87"/>
      <c r="BE1429" s="87"/>
      <c r="BF1429" s="87"/>
      <c r="BG1429" s="87"/>
      <c r="BH1429" s="87"/>
    </row>
    <row r="1430" spans="4:60" x14ac:dyDescent="0.3">
      <c r="D1430" s="87"/>
      <c r="E1430" s="87"/>
      <c r="W1430" s="87"/>
      <c r="X1430" s="87"/>
      <c r="Y1430" s="87"/>
      <c r="Z1430" s="87"/>
      <c r="AA1430" s="87"/>
      <c r="AB1430" s="87"/>
      <c r="AM1430" s="87"/>
      <c r="AN1430" s="87"/>
      <c r="AO1430" s="87"/>
      <c r="AP1430" s="87"/>
      <c r="AQ1430" s="87"/>
      <c r="AR1430" s="87"/>
      <c r="BC1430" s="87"/>
      <c r="BD1430" s="87"/>
      <c r="BE1430" s="87"/>
      <c r="BF1430" s="87"/>
      <c r="BG1430" s="87"/>
      <c r="BH1430" s="87"/>
    </row>
    <row r="1431" spans="4:60" x14ac:dyDescent="0.3">
      <c r="D1431" s="87"/>
      <c r="E1431" s="87"/>
      <c r="W1431" s="87"/>
      <c r="X1431" s="87"/>
      <c r="Y1431" s="87"/>
      <c r="Z1431" s="87"/>
      <c r="AA1431" s="87"/>
      <c r="AB1431" s="87"/>
      <c r="AM1431" s="87"/>
      <c r="AN1431" s="87"/>
      <c r="AO1431" s="87"/>
      <c r="AP1431" s="87"/>
      <c r="AQ1431" s="87"/>
      <c r="AR1431" s="87"/>
      <c r="BC1431" s="87"/>
      <c r="BD1431" s="87"/>
      <c r="BE1431" s="87"/>
      <c r="BF1431" s="87"/>
      <c r="BG1431" s="87"/>
      <c r="BH1431" s="87"/>
    </row>
    <row r="1432" spans="4:60" x14ac:dyDescent="0.3">
      <c r="D1432" s="87"/>
      <c r="E1432" s="87"/>
      <c r="W1432" s="87"/>
      <c r="X1432" s="87"/>
      <c r="Y1432" s="87"/>
      <c r="Z1432" s="87"/>
      <c r="AA1432" s="87"/>
      <c r="AB1432" s="87"/>
      <c r="AM1432" s="87"/>
      <c r="AN1432" s="87"/>
      <c r="AO1432" s="87"/>
      <c r="AP1432" s="87"/>
      <c r="AQ1432" s="87"/>
      <c r="AR1432" s="87"/>
      <c r="BC1432" s="87"/>
      <c r="BD1432" s="87"/>
      <c r="BE1432" s="87"/>
      <c r="BF1432" s="87"/>
      <c r="BG1432" s="87"/>
      <c r="BH1432" s="87"/>
    </row>
    <row r="1433" spans="4:60" x14ac:dyDescent="0.3">
      <c r="D1433" s="87"/>
      <c r="E1433" s="87"/>
      <c r="W1433" s="87"/>
      <c r="X1433" s="87"/>
      <c r="Y1433" s="87"/>
      <c r="Z1433" s="87"/>
      <c r="AA1433" s="87"/>
      <c r="AB1433" s="87"/>
      <c r="AM1433" s="87"/>
      <c r="AN1433" s="87"/>
      <c r="AO1433" s="87"/>
      <c r="AP1433" s="87"/>
      <c r="AQ1433" s="87"/>
      <c r="AR1433" s="87"/>
      <c r="BC1433" s="87"/>
      <c r="BD1433" s="87"/>
      <c r="BE1433" s="87"/>
      <c r="BF1433" s="87"/>
      <c r="BG1433" s="87"/>
      <c r="BH1433" s="87"/>
    </row>
    <row r="1434" spans="4:60" x14ac:dyDescent="0.3">
      <c r="D1434" s="87"/>
      <c r="E1434" s="87"/>
      <c r="W1434" s="87"/>
      <c r="X1434" s="87"/>
      <c r="Y1434" s="87"/>
      <c r="Z1434" s="87"/>
      <c r="AA1434" s="87"/>
      <c r="AB1434" s="87"/>
      <c r="AM1434" s="87"/>
      <c r="AN1434" s="87"/>
      <c r="AO1434" s="87"/>
      <c r="AP1434" s="87"/>
      <c r="AQ1434" s="87"/>
      <c r="AR1434" s="87"/>
      <c r="BC1434" s="87"/>
      <c r="BD1434" s="87"/>
      <c r="BE1434" s="87"/>
      <c r="BF1434" s="87"/>
      <c r="BG1434" s="87"/>
      <c r="BH1434" s="87"/>
    </row>
    <row r="1435" spans="4:60" x14ac:dyDescent="0.3">
      <c r="D1435" s="87"/>
      <c r="E1435" s="87"/>
      <c r="W1435" s="87"/>
      <c r="X1435" s="87"/>
      <c r="Y1435" s="87"/>
      <c r="Z1435" s="87"/>
      <c r="AA1435" s="87"/>
      <c r="AB1435" s="87"/>
      <c r="AM1435" s="87"/>
      <c r="AN1435" s="87"/>
      <c r="AO1435" s="87"/>
      <c r="AP1435" s="87"/>
      <c r="AQ1435" s="87"/>
      <c r="AR1435" s="87"/>
      <c r="BC1435" s="87"/>
      <c r="BD1435" s="87"/>
      <c r="BE1435" s="87"/>
      <c r="BF1435" s="87"/>
      <c r="BG1435" s="87"/>
      <c r="BH1435" s="87"/>
    </row>
    <row r="1436" spans="4:60" x14ac:dyDescent="0.3">
      <c r="D1436" s="87"/>
      <c r="E1436" s="87"/>
      <c r="W1436" s="87"/>
      <c r="X1436" s="87"/>
      <c r="Y1436" s="87"/>
      <c r="Z1436" s="87"/>
      <c r="AA1436" s="87"/>
      <c r="AB1436" s="87"/>
      <c r="AM1436" s="87"/>
      <c r="AN1436" s="87"/>
      <c r="AO1436" s="87"/>
      <c r="AP1436" s="87"/>
      <c r="AQ1436" s="87"/>
      <c r="AR1436" s="87"/>
      <c r="BC1436" s="87"/>
      <c r="BD1436" s="87"/>
      <c r="BE1436" s="87"/>
      <c r="BF1436" s="87"/>
      <c r="BG1436" s="87"/>
      <c r="BH1436" s="87"/>
    </row>
    <row r="1437" spans="4:60" x14ac:dyDescent="0.3">
      <c r="D1437" s="87"/>
      <c r="E1437" s="87"/>
      <c r="W1437" s="87"/>
      <c r="X1437" s="87"/>
      <c r="Y1437" s="87"/>
      <c r="Z1437" s="87"/>
      <c r="AA1437" s="87"/>
      <c r="AB1437" s="87"/>
      <c r="AM1437" s="87"/>
      <c r="AN1437" s="87"/>
      <c r="AO1437" s="87"/>
      <c r="AP1437" s="87"/>
      <c r="AQ1437" s="87"/>
      <c r="AR1437" s="87"/>
      <c r="BC1437" s="87"/>
      <c r="BD1437" s="87"/>
      <c r="BE1437" s="87"/>
      <c r="BF1437" s="87"/>
      <c r="BG1437" s="87"/>
      <c r="BH1437" s="87"/>
    </row>
    <row r="1438" spans="4:60" x14ac:dyDescent="0.3">
      <c r="D1438" s="87"/>
      <c r="E1438" s="87"/>
      <c r="W1438" s="87"/>
      <c r="X1438" s="87"/>
      <c r="Y1438" s="87"/>
      <c r="Z1438" s="87"/>
      <c r="AA1438" s="87"/>
      <c r="AB1438" s="87"/>
      <c r="AM1438" s="87"/>
      <c r="AN1438" s="87"/>
      <c r="AO1438" s="87"/>
      <c r="AP1438" s="87"/>
      <c r="AQ1438" s="87"/>
      <c r="AR1438" s="87"/>
      <c r="BC1438" s="87"/>
      <c r="BD1438" s="87"/>
      <c r="BE1438" s="87"/>
      <c r="BF1438" s="87"/>
      <c r="BG1438" s="87"/>
      <c r="BH1438" s="87"/>
    </row>
    <row r="1439" spans="4:60" x14ac:dyDescent="0.3">
      <c r="D1439" s="87"/>
      <c r="E1439" s="87"/>
      <c r="W1439" s="87"/>
      <c r="X1439" s="87"/>
      <c r="Y1439" s="87"/>
      <c r="Z1439" s="87"/>
      <c r="AA1439" s="87"/>
      <c r="AB1439" s="87"/>
      <c r="AM1439" s="87"/>
      <c r="AN1439" s="87"/>
      <c r="AO1439" s="87"/>
      <c r="AP1439" s="87"/>
      <c r="AQ1439" s="87"/>
      <c r="AR1439" s="87"/>
      <c r="BC1439" s="87"/>
      <c r="BD1439" s="87"/>
      <c r="BE1439" s="87"/>
      <c r="BF1439" s="87"/>
      <c r="BG1439" s="87"/>
      <c r="BH1439" s="87"/>
    </row>
    <row r="1440" spans="4:60" x14ac:dyDescent="0.3">
      <c r="D1440" s="87"/>
      <c r="E1440" s="87"/>
      <c r="W1440" s="87"/>
      <c r="X1440" s="87"/>
      <c r="Y1440" s="87"/>
      <c r="Z1440" s="87"/>
      <c r="AA1440" s="87"/>
      <c r="AB1440" s="87"/>
      <c r="AM1440" s="87"/>
      <c r="AN1440" s="87"/>
      <c r="AO1440" s="87"/>
      <c r="AP1440" s="87"/>
      <c r="AQ1440" s="87"/>
      <c r="AR1440" s="87"/>
      <c r="BC1440" s="87"/>
      <c r="BD1440" s="87"/>
      <c r="BE1440" s="87"/>
      <c r="BF1440" s="87"/>
      <c r="BG1440" s="87"/>
      <c r="BH1440" s="87"/>
    </row>
    <row r="1441" spans="4:60" x14ac:dyDescent="0.3">
      <c r="D1441" s="87"/>
      <c r="E1441" s="87"/>
      <c r="W1441" s="87"/>
      <c r="X1441" s="87"/>
      <c r="Y1441" s="87"/>
      <c r="Z1441" s="87"/>
      <c r="AA1441" s="87"/>
      <c r="AB1441" s="87"/>
      <c r="AM1441" s="87"/>
      <c r="AN1441" s="87"/>
      <c r="AO1441" s="87"/>
      <c r="AP1441" s="87"/>
      <c r="AQ1441" s="87"/>
      <c r="AR1441" s="87"/>
      <c r="BC1441" s="87"/>
      <c r="BD1441" s="87"/>
      <c r="BE1441" s="87"/>
      <c r="BF1441" s="87"/>
      <c r="BG1441" s="87"/>
      <c r="BH1441" s="87"/>
    </row>
    <row r="1442" spans="4:60" x14ac:dyDescent="0.3">
      <c r="D1442" s="87"/>
      <c r="E1442" s="87"/>
      <c r="W1442" s="87"/>
      <c r="X1442" s="87"/>
      <c r="Y1442" s="87"/>
      <c r="Z1442" s="87"/>
      <c r="AA1442" s="87"/>
      <c r="AB1442" s="87"/>
      <c r="AM1442" s="87"/>
      <c r="AN1442" s="87"/>
      <c r="AO1442" s="87"/>
      <c r="AP1442" s="87"/>
      <c r="AQ1442" s="87"/>
      <c r="AR1442" s="87"/>
      <c r="BC1442" s="87"/>
      <c r="BD1442" s="87"/>
      <c r="BE1442" s="87"/>
      <c r="BF1442" s="87"/>
      <c r="BG1442" s="87"/>
      <c r="BH1442" s="87"/>
    </row>
    <row r="1443" spans="4:60" x14ac:dyDescent="0.3">
      <c r="D1443" s="87"/>
      <c r="E1443" s="87"/>
      <c r="W1443" s="87"/>
      <c r="X1443" s="87"/>
      <c r="Y1443" s="87"/>
      <c r="Z1443" s="87"/>
      <c r="AA1443" s="87"/>
      <c r="AB1443" s="87"/>
      <c r="AM1443" s="87"/>
      <c r="AN1443" s="87"/>
      <c r="AO1443" s="87"/>
      <c r="AP1443" s="87"/>
      <c r="AQ1443" s="87"/>
      <c r="AR1443" s="87"/>
      <c r="BC1443" s="87"/>
      <c r="BD1443" s="87"/>
      <c r="BE1443" s="87"/>
      <c r="BF1443" s="87"/>
      <c r="BG1443" s="87"/>
      <c r="BH1443" s="87"/>
    </row>
    <row r="1444" spans="4:60" x14ac:dyDescent="0.3">
      <c r="D1444" s="87"/>
      <c r="E1444" s="87"/>
      <c r="W1444" s="87"/>
      <c r="X1444" s="87"/>
      <c r="Y1444" s="87"/>
      <c r="Z1444" s="87"/>
      <c r="AA1444" s="87"/>
      <c r="AB1444" s="87"/>
      <c r="AM1444" s="87"/>
      <c r="AN1444" s="87"/>
      <c r="AO1444" s="87"/>
      <c r="AP1444" s="87"/>
      <c r="AQ1444" s="87"/>
      <c r="AR1444" s="87"/>
      <c r="BC1444" s="87"/>
      <c r="BD1444" s="87"/>
      <c r="BE1444" s="87"/>
      <c r="BF1444" s="87"/>
      <c r="BG1444" s="87"/>
      <c r="BH1444" s="87"/>
    </row>
    <row r="1445" spans="4:60" x14ac:dyDescent="0.3">
      <c r="D1445" s="87"/>
      <c r="E1445" s="87"/>
      <c r="W1445" s="87"/>
      <c r="X1445" s="87"/>
      <c r="Y1445" s="87"/>
      <c r="Z1445" s="87"/>
      <c r="AA1445" s="87"/>
      <c r="AB1445" s="87"/>
      <c r="AM1445" s="87"/>
      <c r="AN1445" s="87"/>
      <c r="AO1445" s="87"/>
      <c r="AP1445" s="87"/>
      <c r="AQ1445" s="87"/>
      <c r="AR1445" s="87"/>
      <c r="BC1445" s="87"/>
      <c r="BD1445" s="87"/>
      <c r="BE1445" s="87"/>
      <c r="BF1445" s="87"/>
      <c r="BG1445" s="87"/>
      <c r="BH1445" s="87"/>
    </row>
    <row r="1446" spans="4:60" x14ac:dyDescent="0.3">
      <c r="D1446" s="87"/>
      <c r="E1446" s="87"/>
      <c r="W1446" s="87"/>
      <c r="X1446" s="87"/>
      <c r="Y1446" s="87"/>
      <c r="Z1446" s="87"/>
      <c r="AA1446" s="87"/>
      <c r="AB1446" s="87"/>
      <c r="AM1446" s="87"/>
      <c r="AN1446" s="87"/>
      <c r="AO1446" s="87"/>
      <c r="AP1446" s="87"/>
      <c r="AQ1446" s="87"/>
      <c r="AR1446" s="87"/>
      <c r="BC1446" s="87"/>
      <c r="BD1446" s="87"/>
      <c r="BE1446" s="87"/>
      <c r="BF1446" s="87"/>
      <c r="BG1446" s="87"/>
      <c r="BH1446" s="87"/>
    </row>
    <row r="1447" spans="4:60" x14ac:dyDescent="0.3">
      <c r="D1447" s="87"/>
      <c r="E1447" s="87"/>
      <c r="W1447" s="87"/>
      <c r="X1447" s="87"/>
      <c r="Y1447" s="87"/>
      <c r="Z1447" s="87"/>
      <c r="AA1447" s="87"/>
      <c r="AB1447" s="87"/>
      <c r="AM1447" s="87"/>
      <c r="AN1447" s="87"/>
      <c r="AO1447" s="87"/>
      <c r="AP1447" s="87"/>
      <c r="AQ1447" s="87"/>
      <c r="AR1447" s="87"/>
      <c r="BC1447" s="87"/>
      <c r="BD1447" s="87"/>
      <c r="BE1447" s="87"/>
      <c r="BF1447" s="87"/>
      <c r="BG1447" s="87"/>
      <c r="BH1447" s="87"/>
    </row>
    <row r="1448" spans="4:60" x14ac:dyDescent="0.3">
      <c r="D1448" s="87"/>
      <c r="E1448" s="87"/>
      <c r="W1448" s="87"/>
      <c r="X1448" s="87"/>
      <c r="Y1448" s="87"/>
      <c r="Z1448" s="87"/>
      <c r="AA1448" s="87"/>
      <c r="AB1448" s="87"/>
      <c r="AM1448" s="87"/>
      <c r="AN1448" s="87"/>
      <c r="AO1448" s="87"/>
      <c r="AP1448" s="87"/>
      <c r="AQ1448" s="87"/>
      <c r="AR1448" s="87"/>
      <c r="BC1448" s="87"/>
      <c r="BD1448" s="87"/>
      <c r="BE1448" s="87"/>
      <c r="BF1448" s="87"/>
      <c r="BG1448" s="87"/>
      <c r="BH1448" s="87"/>
    </row>
    <row r="1449" spans="4:60" x14ac:dyDescent="0.3">
      <c r="D1449" s="87"/>
      <c r="E1449" s="87"/>
      <c r="W1449" s="87"/>
      <c r="X1449" s="87"/>
      <c r="Y1449" s="87"/>
      <c r="Z1449" s="87"/>
      <c r="AA1449" s="87"/>
      <c r="AB1449" s="87"/>
      <c r="AM1449" s="87"/>
      <c r="AN1449" s="87"/>
      <c r="AO1449" s="87"/>
      <c r="AP1449" s="87"/>
      <c r="AQ1449" s="87"/>
      <c r="AR1449" s="87"/>
      <c r="BC1449" s="87"/>
      <c r="BD1449" s="87"/>
      <c r="BE1449" s="87"/>
      <c r="BF1449" s="87"/>
      <c r="BG1449" s="87"/>
      <c r="BH1449" s="87"/>
    </row>
    <row r="1450" spans="4:60" x14ac:dyDescent="0.3">
      <c r="D1450" s="87"/>
      <c r="E1450" s="87"/>
      <c r="W1450" s="87"/>
      <c r="X1450" s="87"/>
      <c r="Y1450" s="87"/>
      <c r="Z1450" s="87"/>
      <c r="AA1450" s="87"/>
      <c r="AB1450" s="87"/>
      <c r="AM1450" s="87"/>
      <c r="AN1450" s="87"/>
      <c r="AO1450" s="87"/>
      <c r="AP1450" s="87"/>
      <c r="AQ1450" s="87"/>
      <c r="AR1450" s="87"/>
      <c r="BC1450" s="87"/>
      <c r="BD1450" s="87"/>
      <c r="BE1450" s="87"/>
      <c r="BF1450" s="87"/>
      <c r="BG1450" s="87"/>
      <c r="BH1450" s="87"/>
    </row>
    <row r="1451" spans="4:60" x14ac:dyDescent="0.3">
      <c r="D1451" s="87"/>
      <c r="E1451" s="87"/>
      <c r="W1451" s="87"/>
      <c r="X1451" s="87"/>
      <c r="Y1451" s="87"/>
      <c r="Z1451" s="87"/>
      <c r="AA1451" s="87"/>
      <c r="AB1451" s="87"/>
      <c r="AM1451" s="87"/>
      <c r="AN1451" s="87"/>
      <c r="AO1451" s="87"/>
      <c r="AP1451" s="87"/>
      <c r="AQ1451" s="87"/>
      <c r="AR1451" s="87"/>
      <c r="BC1451" s="87"/>
      <c r="BD1451" s="87"/>
      <c r="BE1451" s="87"/>
      <c r="BF1451" s="87"/>
      <c r="BG1451" s="87"/>
      <c r="BH1451" s="87"/>
    </row>
    <row r="1452" spans="4:60" x14ac:dyDescent="0.3">
      <c r="D1452" s="87"/>
      <c r="E1452" s="87"/>
      <c r="W1452" s="87"/>
      <c r="X1452" s="87"/>
      <c r="Y1452" s="87"/>
      <c r="Z1452" s="87"/>
      <c r="AA1452" s="87"/>
      <c r="AB1452" s="87"/>
      <c r="AM1452" s="87"/>
      <c r="AN1452" s="87"/>
      <c r="AO1452" s="87"/>
      <c r="AP1452" s="87"/>
      <c r="AQ1452" s="87"/>
      <c r="AR1452" s="87"/>
      <c r="BC1452" s="87"/>
      <c r="BD1452" s="87"/>
      <c r="BE1452" s="87"/>
      <c r="BF1452" s="87"/>
      <c r="BG1452" s="87"/>
      <c r="BH1452" s="87"/>
    </row>
    <row r="1453" spans="4:60" x14ac:dyDescent="0.3">
      <c r="D1453" s="87"/>
      <c r="E1453" s="87"/>
      <c r="W1453" s="87"/>
      <c r="X1453" s="87"/>
      <c r="Y1453" s="87"/>
      <c r="Z1453" s="87"/>
      <c r="AA1453" s="87"/>
      <c r="AB1453" s="87"/>
      <c r="AM1453" s="87"/>
      <c r="AN1453" s="87"/>
      <c r="AO1453" s="87"/>
      <c r="AP1453" s="87"/>
      <c r="AQ1453" s="87"/>
      <c r="AR1453" s="87"/>
      <c r="BC1453" s="87"/>
      <c r="BD1453" s="87"/>
      <c r="BE1453" s="87"/>
      <c r="BF1453" s="87"/>
      <c r="BG1453" s="87"/>
      <c r="BH1453" s="87"/>
    </row>
    <row r="1454" spans="4:60" x14ac:dyDescent="0.3">
      <c r="D1454" s="87"/>
      <c r="E1454" s="87"/>
      <c r="W1454" s="87"/>
      <c r="X1454" s="87"/>
      <c r="Y1454" s="87"/>
      <c r="Z1454" s="87"/>
      <c r="AA1454" s="87"/>
      <c r="AB1454" s="87"/>
      <c r="AM1454" s="87"/>
      <c r="AN1454" s="87"/>
      <c r="AO1454" s="87"/>
      <c r="AP1454" s="87"/>
      <c r="AQ1454" s="87"/>
      <c r="AR1454" s="87"/>
      <c r="BC1454" s="87"/>
      <c r="BD1454" s="87"/>
      <c r="BE1454" s="87"/>
      <c r="BF1454" s="87"/>
      <c r="BG1454" s="87"/>
      <c r="BH1454" s="87"/>
    </row>
    <row r="1455" spans="4:60" x14ac:dyDescent="0.3">
      <c r="D1455" s="87"/>
      <c r="E1455" s="87"/>
      <c r="W1455" s="87"/>
      <c r="X1455" s="87"/>
      <c r="Y1455" s="87"/>
      <c r="Z1455" s="87"/>
      <c r="AA1455" s="87"/>
      <c r="AB1455" s="87"/>
      <c r="AM1455" s="87"/>
      <c r="AN1455" s="87"/>
      <c r="AO1455" s="87"/>
      <c r="AP1455" s="87"/>
      <c r="AQ1455" s="87"/>
      <c r="AR1455" s="87"/>
      <c r="BC1455" s="87"/>
      <c r="BD1455" s="87"/>
      <c r="BE1455" s="87"/>
      <c r="BF1455" s="87"/>
      <c r="BG1455" s="87"/>
      <c r="BH1455" s="87"/>
    </row>
    <row r="1456" spans="4:60" x14ac:dyDescent="0.3">
      <c r="D1456" s="87"/>
      <c r="E1456" s="87"/>
      <c r="W1456" s="87"/>
      <c r="X1456" s="87"/>
      <c r="Y1456" s="87"/>
      <c r="Z1456" s="87"/>
      <c r="AA1456" s="87"/>
      <c r="AB1456" s="87"/>
      <c r="AM1456" s="87"/>
      <c r="AN1456" s="87"/>
      <c r="AO1456" s="87"/>
      <c r="AP1456" s="87"/>
      <c r="AQ1456" s="87"/>
      <c r="AR1456" s="87"/>
      <c r="BC1456" s="87"/>
      <c r="BD1456" s="87"/>
      <c r="BE1456" s="87"/>
      <c r="BF1456" s="87"/>
      <c r="BG1456" s="87"/>
      <c r="BH1456" s="87"/>
    </row>
    <row r="1457" spans="4:60" x14ac:dyDescent="0.3">
      <c r="D1457" s="87"/>
      <c r="E1457" s="87"/>
      <c r="W1457" s="87"/>
      <c r="X1457" s="87"/>
      <c r="Y1457" s="87"/>
      <c r="Z1457" s="87"/>
      <c r="AA1457" s="87"/>
      <c r="AB1457" s="87"/>
      <c r="AM1457" s="87"/>
      <c r="AN1457" s="87"/>
      <c r="AO1457" s="87"/>
      <c r="AP1457" s="87"/>
      <c r="AQ1457" s="87"/>
      <c r="AR1457" s="87"/>
      <c r="BC1457" s="87"/>
      <c r="BD1457" s="87"/>
      <c r="BE1457" s="87"/>
      <c r="BF1457" s="87"/>
      <c r="BG1457" s="87"/>
      <c r="BH1457" s="87"/>
    </row>
    <row r="1458" spans="4:60" x14ac:dyDescent="0.3">
      <c r="D1458" s="87"/>
      <c r="E1458" s="87"/>
      <c r="W1458" s="87"/>
      <c r="X1458" s="87"/>
      <c r="Y1458" s="87"/>
      <c r="Z1458" s="87"/>
      <c r="AA1458" s="87"/>
      <c r="AB1458" s="87"/>
      <c r="AM1458" s="87"/>
      <c r="AN1458" s="87"/>
      <c r="AO1458" s="87"/>
      <c r="AP1458" s="87"/>
      <c r="AQ1458" s="87"/>
      <c r="AR1458" s="87"/>
      <c r="BC1458" s="87"/>
      <c r="BD1458" s="87"/>
      <c r="BE1458" s="87"/>
      <c r="BF1458" s="87"/>
      <c r="BG1458" s="87"/>
      <c r="BH1458" s="87"/>
    </row>
    <row r="1459" spans="4:60" x14ac:dyDescent="0.3">
      <c r="D1459" s="87"/>
      <c r="E1459" s="87"/>
      <c r="W1459" s="87"/>
      <c r="X1459" s="87"/>
      <c r="Y1459" s="87"/>
      <c r="Z1459" s="87"/>
      <c r="AA1459" s="87"/>
      <c r="AB1459" s="87"/>
      <c r="AM1459" s="87"/>
      <c r="AN1459" s="87"/>
      <c r="AO1459" s="87"/>
      <c r="AP1459" s="87"/>
      <c r="AQ1459" s="87"/>
      <c r="AR1459" s="87"/>
      <c r="BC1459" s="87"/>
      <c r="BD1459" s="87"/>
      <c r="BE1459" s="87"/>
      <c r="BF1459" s="87"/>
      <c r="BG1459" s="87"/>
      <c r="BH1459" s="87"/>
    </row>
    <row r="1460" spans="4:60" x14ac:dyDescent="0.3">
      <c r="D1460" s="87"/>
      <c r="E1460" s="87"/>
      <c r="W1460" s="87"/>
      <c r="X1460" s="87"/>
      <c r="Y1460" s="87"/>
      <c r="Z1460" s="87"/>
      <c r="AA1460" s="87"/>
      <c r="AB1460" s="87"/>
      <c r="AM1460" s="87"/>
      <c r="AN1460" s="87"/>
      <c r="AO1460" s="87"/>
      <c r="AP1460" s="87"/>
      <c r="AQ1460" s="87"/>
      <c r="AR1460" s="87"/>
      <c r="BC1460" s="87"/>
      <c r="BD1460" s="87"/>
      <c r="BE1460" s="87"/>
      <c r="BF1460" s="87"/>
      <c r="BG1460" s="87"/>
      <c r="BH1460" s="87"/>
    </row>
    <row r="1461" spans="4:60" x14ac:dyDescent="0.3">
      <c r="D1461" s="87"/>
      <c r="E1461" s="87"/>
      <c r="W1461" s="87"/>
      <c r="X1461" s="87"/>
      <c r="Y1461" s="87"/>
      <c r="Z1461" s="87"/>
      <c r="AA1461" s="87"/>
      <c r="AB1461" s="87"/>
      <c r="AM1461" s="87"/>
      <c r="AN1461" s="87"/>
      <c r="AO1461" s="87"/>
      <c r="AP1461" s="87"/>
      <c r="AQ1461" s="87"/>
      <c r="AR1461" s="87"/>
      <c r="BC1461" s="87"/>
      <c r="BD1461" s="87"/>
      <c r="BE1461" s="87"/>
      <c r="BF1461" s="87"/>
      <c r="BG1461" s="87"/>
      <c r="BH1461" s="87"/>
    </row>
    <row r="1462" spans="4:60" x14ac:dyDescent="0.3">
      <c r="D1462" s="87"/>
      <c r="E1462" s="87"/>
      <c r="W1462" s="87"/>
      <c r="X1462" s="87"/>
      <c r="Y1462" s="87"/>
      <c r="Z1462" s="87"/>
      <c r="AA1462" s="87"/>
      <c r="AB1462" s="87"/>
      <c r="AM1462" s="87"/>
      <c r="AN1462" s="87"/>
      <c r="AO1462" s="87"/>
      <c r="AP1462" s="87"/>
      <c r="AQ1462" s="87"/>
      <c r="AR1462" s="87"/>
      <c r="BC1462" s="87"/>
      <c r="BD1462" s="87"/>
      <c r="BE1462" s="87"/>
      <c r="BF1462" s="87"/>
      <c r="BG1462" s="87"/>
      <c r="BH1462" s="87"/>
    </row>
    <row r="1463" spans="4:60" x14ac:dyDescent="0.3">
      <c r="D1463" s="87"/>
      <c r="E1463" s="87"/>
      <c r="W1463" s="87"/>
      <c r="X1463" s="87"/>
      <c r="Y1463" s="87"/>
      <c r="Z1463" s="87"/>
      <c r="AA1463" s="87"/>
      <c r="AB1463" s="87"/>
      <c r="AM1463" s="87"/>
      <c r="AN1463" s="87"/>
      <c r="AO1463" s="87"/>
      <c r="AP1463" s="87"/>
      <c r="AQ1463" s="87"/>
      <c r="AR1463" s="87"/>
      <c r="BC1463" s="87"/>
      <c r="BD1463" s="87"/>
      <c r="BE1463" s="87"/>
      <c r="BF1463" s="87"/>
      <c r="BG1463" s="87"/>
      <c r="BH1463" s="87"/>
    </row>
    <row r="1464" spans="4:60" x14ac:dyDescent="0.3">
      <c r="D1464" s="87"/>
      <c r="E1464" s="87"/>
      <c r="W1464" s="87"/>
      <c r="X1464" s="87"/>
      <c r="Y1464" s="87"/>
      <c r="Z1464" s="87"/>
      <c r="AA1464" s="87"/>
      <c r="AB1464" s="87"/>
      <c r="AM1464" s="87"/>
      <c r="AN1464" s="87"/>
      <c r="AO1464" s="87"/>
      <c r="AP1464" s="87"/>
      <c r="AQ1464" s="87"/>
      <c r="AR1464" s="87"/>
      <c r="BC1464" s="87"/>
      <c r="BD1464" s="87"/>
      <c r="BE1464" s="87"/>
      <c r="BF1464" s="87"/>
      <c r="BG1464" s="87"/>
      <c r="BH1464" s="87"/>
    </row>
    <row r="1465" spans="4:60" x14ac:dyDescent="0.3">
      <c r="D1465" s="87"/>
      <c r="E1465" s="87"/>
      <c r="W1465" s="87"/>
      <c r="X1465" s="87"/>
      <c r="Y1465" s="87"/>
      <c r="Z1465" s="87"/>
      <c r="AA1465" s="87"/>
      <c r="AB1465" s="87"/>
      <c r="AM1465" s="87"/>
      <c r="AN1465" s="87"/>
      <c r="AO1465" s="87"/>
      <c r="AP1465" s="87"/>
      <c r="AQ1465" s="87"/>
      <c r="AR1465" s="87"/>
      <c r="BC1465" s="87"/>
      <c r="BD1465" s="87"/>
      <c r="BE1465" s="87"/>
      <c r="BF1465" s="87"/>
      <c r="BG1465" s="87"/>
      <c r="BH1465" s="87"/>
    </row>
    <row r="1466" spans="4:60" x14ac:dyDescent="0.3">
      <c r="D1466" s="87"/>
      <c r="E1466" s="87"/>
      <c r="W1466" s="87"/>
      <c r="X1466" s="87"/>
      <c r="Y1466" s="87"/>
      <c r="Z1466" s="87"/>
      <c r="AA1466" s="87"/>
      <c r="AB1466" s="87"/>
      <c r="AM1466" s="87"/>
      <c r="AN1466" s="87"/>
      <c r="AO1466" s="87"/>
      <c r="AP1466" s="87"/>
      <c r="AQ1466" s="87"/>
      <c r="AR1466" s="87"/>
      <c r="BC1466" s="87"/>
      <c r="BD1466" s="87"/>
      <c r="BE1466" s="87"/>
      <c r="BF1466" s="87"/>
      <c r="BG1466" s="87"/>
      <c r="BH1466" s="87"/>
    </row>
    <row r="1467" spans="4:60" x14ac:dyDescent="0.3">
      <c r="D1467" s="87"/>
      <c r="E1467" s="87"/>
      <c r="W1467" s="87"/>
      <c r="X1467" s="87"/>
      <c r="Y1467" s="87"/>
      <c r="Z1467" s="87"/>
      <c r="AA1467" s="87"/>
      <c r="AB1467" s="87"/>
      <c r="AM1467" s="87"/>
      <c r="AN1467" s="87"/>
      <c r="AO1467" s="87"/>
      <c r="AP1467" s="87"/>
      <c r="AQ1467" s="87"/>
      <c r="AR1467" s="87"/>
      <c r="BC1467" s="87"/>
      <c r="BD1467" s="87"/>
      <c r="BE1467" s="87"/>
      <c r="BF1467" s="87"/>
      <c r="BG1467" s="87"/>
      <c r="BH1467" s="87"/>
    </row>
    <row r="1468" spans="4:60" x14ac:dyDescent="0.3">
      <c r="D1468" s="87"/>
      <c r="E1468" s="87"/>
      <c r="W1468" s="87"/>
      <c r="X1468" s="87"/>
      <c r="Y1468" s="87"/>
      <c r="Z1468" s="87"/>
      <c r="AA1468" s="87"/>
      <c r="AB1468" s="87"/>
      <c r="AM1468" s="87"/>
      <c r="AN1468" s="87"/>
      <c r="AO1468" s="87"/>
      <c r="AP1468" s="87"/>
      <c r="AQ1468" s="87"/>
      <c r="AR1468" s="87"/>
      <c r="BC1468" s="87"/>
      <c r="BD1468" s="87"/>
      <c r="BE1468" s="87"/>
      <c r="BF1468" s="87"/>
      <c r="BG1468" s="87"/>
      <c r="BH1468" s="87"/>
    </row>
    <row r="1469" spans="4:60" x14ac:dyDescent="0.3">
      <c r="D1469" s="87"/>
      <c r="E1469" s="87"/>
      <c r="W1469" s="87"/>
      <c r="X1469" s="87"/>
      <c r="Y1469" s="87"/>
      <c r="Z1469" s="87"/>
      <c r="AA1469" s="87"/>
      <c r="AB1469" s="87"/>
      <c r="AM1469" s="87"/>
      <c r="AN1469" s="87"/>
      <c r="AO1469" s="87"/>
      <c r="AP1469" s="87"/>
      <c r="AQ1469" s="87"/>
      <c r="AR1469" s="87"/>
      <c r="BC1469" s="87"/>
      <c r="BD1469" s="87"/>
      <c r="BE1469" s="87"/>
      <c r="BF1469" s="87"/>
      <c r="BG1469" s="87"/>
      <c r="BH1469" s="87"/>
    </row>
    <row r="1470" spans="4:60" x14ac:dyDescent="0.3">
      <c r="D1470" s="87"/>
      <c r="E1470" s="87"/>
      <c r="W1470" s="87"/>
      <c r="X1470" s="87"/>
      <c r="Y1470" s="87"/>
      <c r="Z1470" s="87"/>
      <c r="AA1470" s="87"/>
      <c r="AB1470" s="87"/>
      <c r="AM1470" s="87"/>
      <c r="AN1470" s="87"/>
      <c r="AO1470" s="87"/>
      <c r="AP1470" s="87"/>
      <c r="AQ1470" s="87"/>
      <c r="AR1470" s="87"/>
      <c r="BC1470" s="87"/>
      <c r="BD1470" s="87"/>
      <c r="BE1470" s="87"/>
      <c r="BF1470" s="87"/>
      <c r="BG1470" s="87"/>
      <c r="BH1470" s="87"/>
    </row>
    <row r="1471" spans="4:60" x14ac:dyDescent="0.3">
      <c r="D1471" s="87"/>
      <c r="E1471" s="87"/>
      <c r="W1471" s="87"/>
      <c r="X1471" s="87"/>
      <c r="Y1471" s="87"/>
      <c r="Z1471" s="87"/>
      <c r="AA1471" s="87"/>
      <c r="AB1471" s="87"/>
      <c r="AM1471" s="87"/>
      <c r="AN1471" s="87"/>
      <c r="AO1471" s="87"/>
      <c r="AP1471" s="87"/>
      <c r="AQ1471" s="87"/>
      <c r="AR1471" s="87"/>
      <c r="BC1471" s="87"/>
      <c r="BD1471" s="87"/>
      <c r="BE1471" s="87"/>
      <c r="BF1471" s="87"/>
      <c r="BG1471" s="87"/>
      <c r="BH1471" s="87"/>
    </row>
    <row r="1472" spans="4:60" x14ac:dyDescent="0.3">
      <c r="D1472" s="87"/>
      <c r="E1472" s="87"/>
      <c r="W1472" s="87"/>
      <c r="X1472" s="87"/>
      <c r="Y1472" s="87"/>
      <c r="Z1472" s="87"/>
      <c r="AA1472" s="87"/>
      <c r="AB1472" s="87"/>
      <c r="AM1472" s="87"/>
      <c r="AN1472" s="87"/>
      <c r="AO1472" s="87"/>
      <c r="AP1472" s="87"/>
      <c r="AQ1472" s="87"/>
      <c r="AR1472" s="87"/>
      <c r="BC1472" s="87"/>
      <c r="BD1472" s="87"/>
      <c r="BE1472" s="87"/>
      <c r="BF1472" s="87"/>
      <c r="BG1472" s="87"/>
      <c r="BH1472" s="87"/>
    </row>
    <row r="1473" spans="4:60" x14ac:dyDescent="0.3">
      <c r="D1473" s="87"/>
      <c r="E1473" s="87"/>
      <c r="W1473" s="87"/>
      <c r="X1473" s="87"/>
      <c r="Y1473" s="87"/>
      <c r="Z1473" s="87"/>
      <c r="AA1473" s="87"/>
      <c r="AB1473" s="87"/>
      <c r="AM1473" s="87"/>
      <c r="AN1473" s="87"/>
      <c r="AO1473" s="87"/>
      <c r="AP1473" s="87"/>
      <c r="AQ1473" s="87"/>
      <c r="AR1473" s="87"/>
      <c r="BC1473" s="87"/>
      <c r="BD1473" s="87"/>
      <c r="BE1473" s="87"/>
      <c r="BF1473" s="87"/>
      <c r="BG1473" s="87"/>
      <c r="BH1473" s="87"/>
    </row>
    <row r="1474" spans="4:60" x14ac:dyDescent="0.3">
      <c r="D1474" s="87"/>
      <c r="E1474" s="87"/>
      <c r="W1474" s="87"/>
      <c r="X1474" s="87"/>
      <c r="Y1474" s="87"/>
      <c r="Z1474" s="87"/>
      <c r="AA1474" s="87"/>
      <c r="AB1474" s="87"/>
      <c r="AM1474" s="87"/>
      <c r="AN1474" s="87"/>
      <c r="AO1474" s="87"/>
      <c r="AP1474" s="87"/>
      <c r="AQ1474" s="87"/>
      <c r="AR1474" s="87"/>
      <c r="BC1474" s="87"/>
      <c r="BD1474" s="87"/>
      <c r="BE1474" s="87"/>
      <c r="BF1474" s="87"/>
      <c r="BG1474" s="87"/>
      <c r="BH1474" s="87"/>
    </row>
    <row r="1475" spans="4:60" x14ac:dyDescent="0.3">
      <c r="D1475" s="87"/>
      <c r="E1475" s="87"/>
      <c r="W1475" s="87"/>
      <c r="X1475" s="87"/>
      <c r="Y1475" s="87"/>
      <c r="Z1475" s="87"/>
      <c r="AA1475" s="87"/>
      <c r="AB1475" s="87"/>
      <c r="AM1475" s="87"/>
      <c r="AN1475" s="87"/>
      <c r="AO1475" s="87"/>
      <c r="AP1475" s="87"/>
      <c r="AQ1475" s="87"/>
      <c r="AR1475" s="87"/>
      <c r="BC1475" s="87"/>
      <c r="BD1475" s="87"/>
      <c r="BE1475" s="87"/>
      <c r="BF1475" s="87"/>
      <c r="BG1475" s="87"/>
      <c r="BH1475" s="87"/>
    </row>
    <row r="1476" spans="4:60" x14ac:dyDescent="0.3">
      <c r="D1476" s="87"/>
      <c r="E1476" s="87"/>
      <c r="W1476" s="87"/>
      <c r="X1476" s="87"/>
      <c r="Y1476" s="87"/>
      <c r="Z1476" s="87"/>
      <c r="AA1476" s="87"/>
      <c r="AB1476" s="87"/>
      <c r="AM1476" s="87"/>
      <c r="AN1476" s="87"/>
      <c r="AO1476" s="87"/>
      <c r="AP1476" s="87"/>
      <c r="AQ1476" s="87"/>
      <c r="AR1476" s="87"/>
      <c r="BC1476" s="87"/>
      <c r="BD1476" s="87"/>
      <c r="BE1476" s="87"/>
      <c r="BF1476" s="87"/>
      <c r="BG1476" s="87"/>
      <c r="BH1476" s="87"/>
    </row>
    <row r="1477" spans="4:60" x14ac:dyDescent="0.3">
      <c r="D1477" s="87"/>
      <c r="E1477" s="87"/>
      <c r="W1477" s="87"/>
      <c r="X1477" s="87"/>
      <c r="Y1477" s="87"/>
      <c r="Z1477" s="87"/>
      <c r="AA1477" s="87"/>
      <c r="AB1477" s="87"/>
      <c r="AM1477" s="87"/>
      <c r="AN1477" s="87"/>
      <c r="AO1477" s="87"/>
      <c r="AP1477" s="87"/>
      <c r="AQ1477" s="87"/>
      <c r="AR1477" s="87"/>
      <c r="BC1477" s="87"/>
      <c r="BD1477" s="87"/>
      <c r="BE1477" s="87"/>
      <c r="BF1477" s="87"/>
      <c r="BG1477" s="87"/>
      <c r="BH1477" s="87"/>
    </row>
    <row r="1478" spans="4:60" x14ac:dyDescent="0.3">
      <c r="D1478" s="87"/>
      <c r="E1478" s="87"/>
      <c r="W1478" s="87"/>
      <c r="X1478" s="87"/>
      <c r="Y1478" s="87"/>
      <c r="Z1478" s="87"/>
      <c r="AA1478" s="87"/>
      <c r="AB1478" s="87"/>
      <c r="AM1478" s="87"/>
      <c r="AN1478" s="87"/>
      <c r="AO1478" s="87"/>
      <c r="AP1478" s="87"/>
      <c r="AQ1478" s="87"/>
      <c r="AR1478" s="87"/>
      <c r="BC1478" s="87"/>
      <c r="BD1478" s="87"/>
      <c r="BE1478" s="87"/>
      <c r="BF1478" s="87"/>
      <c r="BG1478" s="87"/>
      <c r="BH1478" s="87"/>
    </row>
    <row r="1479" spans="4:60" x14ac:dyDescent="0.3">
      <c r="D1479" s="87"/>
      <c r="E1479" s="87"/>
      <c r="W1479" s="87"/>
      <c r="X1479" s="87"/>
      <c r="Y1479" s="87"/>
      <c r="Z1479" s="87"/>
      <c r="AA1479" s="87"/>
      <c r="AB1479" s="87"/>
      <c r="AM1479" s="87"/>
      <c r="AN1479" s="87"/>
      <c r="AO1479" s="87"/>
      <c r="AP1479" s="87"/>
      <c r="AQ1479" s="87"/>
      <c r="AR1479" s="87"/>
      <c r="BC1479" s="87"/>
      <c r="BD1479" s="87"/>
      <c r="BE1479" s="87"/>
      <c r="BF1479" s="87"/>
      <c r="BG1479" s="87"/>
      <c r="BH1479" s="87"/>
    </row>
    <row r="1480" spans="4:60" x14ac:dyDescent="0.3">
      <c r="D1480" s="87"/>
      <c r="E1480" s="87"/>
      <c r="W1480" s="87"/>
      <c r="X1480" s="87"/>
      <c r="Y1480" s="87"/>
      <c r="Z1480" s="87"/>
      <c r="AA1480" s="87"/>
      <c r="AB1480" s="87"/>
      <c r="AM1480" s="87"/>
      <c r="AN1480" s="87"/>
      <c r="AO1480" s="87"/>
      <c r="AP1480" s="87"/>
      <c r="AQ1480" s="87"/>
      <c r="AR1480" s="87"/>
      <c r="BC1480" s="87"/>
      <c r="BD1480" s="87"/>
      <c r="BE1480" s="87"/>
      <c r="BF1480" s="87"/>
      <c r="BG1480" s="87"/>
      <c r="BH1480" s="87"/>
    </row>
    <row r="1481" spans="4:60" x14ac:dyDescent="0.3">
      <c r="D1481" s="87"/>
      <c r="E1481" s="87"/>
      <c r="W1481" s="87"/>
      <c r="X1481" s="87"/>
      <c r="Y1481" s="87"/>
      <c r="Z1481" s="87"/>
      <c r="AA1481" s="87"/>
      <c r="AB1481" s="87"/>
      <c r="AM1481" s="87"/>
      <c r="AN1481" s="87"/>
      <c r="AO1481" s="87"/>
      <c r="AP1481" s="87"/>
      <c r="AQ1481" s="87"/>
      <c r="AR1481" s="87"/>
      <c r="BC1481" s="87"/>
      <c r="BD1481" s="87"/>
      <c r="BE1481" s="87"/>
      <c r="BF1481" s="87"/>
      <c r="BG1481" s="87"/>
      <c r="BH1481" s="87"/>
    </row>
    <row r="1482" spans="4:60" x14ac:dyDescent="0.3">
      <c r="D1482" s="87"/>
      <c r="E1482" s="87"/>
      <c r="W1482" s="87"/>
      <c r="X1482" s="87"/>
      <c r="Y1482" s="87"/>
      <c r="Z1482" s="87"/>
      <c r="AA1482" s="87"/>
      <c r="AB1482" s="87"/>
      <c r="AM1482" s="87"/>
      <c r="AN1482" s="87"/>
      <c r="AO1482" s="87"/>
      <c r="AP1482" s="87"/>
      <c r="AQ1482" s="87"/>
      <c r="AR1482" s="87"/>
      <c r="BC1482" s="87"/>
      <c r="BD1482" s="87"/>
      <c r="BE1482" s="87"/>
      <c r="BF1482" s="87"/>
      <c r="BG1482" s="87"/>
      <c r="BH1482" s="87"/>
    </row>
    <row r="1483" spans="4:60" x14ac:dyDescent="0.3">
      <c r="D1483" s="87"/>
      <c r="E1483" s="87"/>
      <c r="W1483" s="87"/>
      <c r="X1483" s="87"/>
      <c r="Y1483" s="87"/>
      <c r="Z1483" s="87"/>
      <c r="AA1483" s="87"/>
      <c r="AB1483" s="87"/>
      <c r="AM1483" s="87"/>
      <c r="AN1483" s="87"/>
      <c r="AO1483" s="87"/>
      <c r="AP1483" s="87"/>
      <c r="AQ1483" s="87"/>
      <c r="AR1483" s="87"/>
      <c r="BC1483" s="87"/>
      <c r="BD1483" s="87"/>
      <c r="BE1483" s="87"/>
      <c r="BF1483" s="87"/>
      <c r="BG1483" s="87"/>
      <c r="BH1483" s="87"/>
    </row>
    <row r="1484" spans="4:60" x14ac:dyDescent="0.3">
      <c r="D1484" s="87"/>
      <c r="E1484" s="87"/>
      <c r="W1484" s="87"/>
      <c r="X1484" s="87"/>
      <c r="Y1484" s="87"/>
      <c r="Z1484" s="87"/>
      <c r="AA1484" s="87"/>
      <c r="AB1484" s="87"/>
      <c r="AM1484" s="87"/>
      <c r="AN1484" s="87"/>
      <c r="AO1484" s="87"/>
      <c r="AP1484" s="87"/>
      <c r="AQ1484" s="87"/>
      <c r="AR1484" s="87"/>
      <c r="BC1484" s="87"/>
      <c r="BD1484" s="87"/>
      <c r="BE1484" s="87"/>
      <c r="BF1484" s="87"/>
      <c r="BG1484" s="87"/>
      <c r="BH1484" s="87"/>
    </row>
    <row r="1485" spans="4:60" x14ac:dyDescent="0.3">
      <c r="D1485" s="87"/>
      <c r="E1485" s="87"/>
      <c r="W1485" s="87"/>
      <c r="X1485" s="87"/>
      <c r="Y1485" s="87"/>
      <c r="Z1485" s="87"/>
      <c r="AA1485" s="87"/>
      <c r="AB1485" s="87"/>
      <c r="AM1485" s="87"/>
      <c r="AN1485" s="87"/>
      <c r="AO1485" s="87"/>
      <c r="AP1485" s="87"/>
      <c r="AQ1485" s="87"/>
      <c r="AR1485" s="87"/>
      <c r="BC1485" s="87"/>
      <c r="BD1485" s="87"/>
      <c r="BE1485" s="87"/>
      <c r="BF1485" s="87"/>
      <c r="BG1485" s="87"/>
      <c r="BH1485" s="87"/>
    </row>
    <row r="1486" spans="4:60" x14ac:dyDescent="0.3">
      <c r="D1486" s="87"/>
      <c r="E1486" s="87"/>
      <c r="W1486" s="87"/>
      <c r="X1486" s="87"/>
      <c r="Y1486" s="87"/>
      <c r="Z1486" s="87"/>
      <c r="AA1486" s="87"/>
      <c r="AB1486" s="87"/>
      <c r="AM1486" s="87"/>
      <c r="AN1486" s="87"/>
      <c r="AO1486" s="87"/>
      <c r="AP1486" s="87"/>
      <c r="AQ1486" s="87"/>
      <c r="AR1486" s="87"/>
      <c r="BC1486" s="87"/>
      <c r="BD1486" s="87"/>
      <c r="BE1486" s="87"/>
      <c r="BF1486" s="87"/>
      <c r="BG1486" s="87"/>
      <c r="BH1486" s="87"/>
    </row>
    <row r="1487" spans="4:60" x14ac:dyDescent="0.3">
      <c r="D1487" s="87"/>
      <c r="E1487" s="87"/>
      <c r="W1487" s="87"/>
      <c r="X1487" s="87"/>
      <c r="Y1487" s="87"/>
      <c r="Z1487" s="87"/>
      <c r="AA1487" s="87"/>
      <c r="AB1487" s="87"/>
      <c r="AM1487" s="87"/>
      <c r="AN1487" s="87"/>
      <c r="AO1487" s="87"/>
      <c r="AP1487" s="87"/>
      <c r="AQ1487" s="87"/>
      <c r="AR1487" s="87"/>
      <c r="BC1487" s="87"/>
      <c r="BD1487" s="87"/>
      <c r="BE1487" s="87"/>
      <c r="BF1487" s="87"/>
      <c r="BG1487" s="87"/>
      <c r="BH1487" s="87"/>
    </row>
    <row r="1488" spans="4:60" x14ac:dyDescent="0.3">
      <c r="D1488" s="87"/>
      <c r="E1488" s="87"/>
      <c r="W1488" s="87"/>
      <c r="X1488" s="87"/>
      <c r="Y1488" s="87"/>
      <c r="Z1488" s="87"/>
      <c r="AA1488" s="87"/>
      <c r="AB1488" s="87"/>
      <c r="AM1488" s="87"/>
      <c r="AN1488" s="87"/>
      <c r="AO1488" s="87"/>
      <c r="AP1488" s="87"/>
      <c r="AQ1488" s="87"/>
      <c r="AR1488" s="87"/>
      <c r="BC1488" s="87"/>
      <c r="BD1488" s="87"/>
      <c r="BE1488" s="87"/>
      <c r="BF1488" s="87"/>
      <c r="BG1488" s="87"/>
      <c r="BH1488" s="87"/>
    </row>
    <row r="1489" spans="4:60" x14ac:dyDescent="0.3">
      <c r="D1489" s="87"/>
      <c r="E1489" s="87"/>
      <c r="W1489" s="87"/>
      <c r="X1489" s="87"/>
      <c r="Y1489" s="87"/>
      <c r="Z1489" s="87"/>
      <c r="AA1489" s="87"/>
      <c r="AB1489" s="87"/>
      <c r="AM1489" s="87"/>
      <c r="AN1489" s="87"/>
      <c r="AO1489" s="87"/>
      <c r="AP1489" s="87"/>
      <c r="AQ1489" s="87"/>
      <c r="AR1489" s="87"/>
      <c r="BC1489" s="87"/>
      <c r="BD1489" s="87"/>
      <c r="BE1489" s="87"/>
      <c r="BF1489" s="87"/>
      <c r="BG1489" s="87"/>
      <c r="BH1489" s="87"/>
    </row>
    <row r="1490" spans="4:60" x14ac:dyDescent="0.3">
      <c r="D1490" s="87"/>
      <c r="E1490" s="87"/>
      <c r="W1490" s="87"/>
      <c r="X1490" s="87"/>
      <c r="Y1490" s="87"/>
      <c r="Z1490" s="87"/>
      <c r="AA1490" s="87"/>
      <c r="AB1490" s="87"/>
      <c r="AM1490" s="87"/>
      <c r="AN1490" s="87"/>
      <c r="AO1490" s="87"/>
      <c r="AP1490" s="87"/>
      <c r="AQ1490" s="87"/>
      <c r="AR1490" s="87"/>
      <c r="BC1490" s="87"/>
      <c r="BD1490" s="87"/>
      <c r="BE1490" s="87"/>
      <c r="BF1490" s="87"/>
      <c r="BG1490" s="87"/>
      <c r="BH1490" s="87"/>
    </row>
    <row r="1491" spans="4:60" x14ac:dyDescent="0.3">
      <c r="D1491" s="87"/>
      <c r="E1491" s="87"/>
      <c r="W1491" s="87"/>
      <c r="X1491" s="87"/>
      <c r="Y1491" s="87"/>
      <c r="Z1491" s="87"/>
      <c r="AA1491" s="87"/>
      <c r="AB1491" s="87"/>
      <c r="AM1491" s="87"/>
      <c r="AN1491" s="87"/>
      <c r="AO1491" s="87"/>
      <c r="AP1491" s="87"/>
      <c r="AQ1491" s="87"/>
      <c r="AR1491" s="87"/>
      <c r="BC1491" s="87"/>
      <c r="BD1491" s="87"/>
      <c r="BE1491" s="87"/>
      <c r="BF1491" s="87"/>
      <c r="BG1491" s="87"/>
      <c r="BH1491" s="87"/>
    </row>
    <row r="1492" spans="4:60" x14ac:dyDescent="0.3">
      <c r="D1492" s="87"/>
      <c r="E1492" s="87"/>
      <c r="W1492" s="87"/>
      <c r="X1492" s="87"/>
      <c r="Y1492" s="87"/>
      <c r="Z1492" s="87"/>
      <c r="AA1492" s="87"/>
      <c r="AB1492" s="87"/>
      <c r="AM1492" s="87"/>
      <c r="AN1492" s="87"/>
      <c r="AO1492" s="87"/>
      <c r="AP1492" s="87"/>
      <c r="AQ1492" s="87"/>
      <c r="AR1492" s="87"/>
      <c r="BC1492" s="87"/>
      <c r="BD1492" s="87"/>
      <c r="BE1492" s="87"/>
      <c r="BF1492" s="87"/>
      <c r="BG1492" s="87"/>
      <c r="BH1492" s="87"/>
    </row>
    <row r="1493" spans="4:60" x14ac:dyDescent="0.3">
      <c r="D1493" s="87"/>
      <c r="E1493" s="87"/>
      <c r="W1493" s="87"/>
      <c r="X1493" s="87"/>
      <c r="Y1493" s="87"/>
      <c r="Z1493" s="87"/>
      <c r="AA1493" s="87"/>
      <c r="AB1493" s="87"/>
      <c r="AM1493" s="87"/>
      <c r="AN1493" s="87"/>
      <c r="AO1493" s="87"/>
      <c r="AP1493" s="87"/>
      <c r="AQ1493" s="87"/>
      <c r="AR1493" s="87"/>
      <c r="BC1493" s="87"/>
      <c r="BD1493" s="87"/>
      <c r="BE1493" s="87"/>
      <c r="BF1493" s="87"/>
      <c r="BG1493" s="87"/>
      <c r="BH1493" s="87"/>
    </row>
    <row r="1494" spans="4:60" x14ac:dyDescent="0.3">
      <c r="D1494" s="87"/>
      <c r="E1494" s="87"/>
      <c r="W1494" s="87"/>
      <c r="X1494" s="87"/>
      <c r="Y1494" s="87"/>
      <c r="Z1494" s="87"/>
      <c r="AA1494" s="87"/>
      <c r="AB1494" s="87"/>
      <c r="AM1494" s="87"/>
      <c r="AN1494" s="87"/>
      <c r="AO1494" s="87"/>
      <c r="AP1494" s="87"/>
      <c r="AQ1494" s="87"/>
      <c r="AR1494" s="87"/>
      <c r="BC1494" s="87"/>
      <c r="BD1494" s="87"/>
      <c r="BE1494" s="87"/>
      <c r="BF1494" s="87"/>
      <c r="BG1494" s="87"/>
      <c r="BH1494" s="87"/>
    </row>
    <row r="1495" spans="4:60" x14ac:dyDescent="0.3">
      <c r="D1495" s="87"/>
      <c r="E1495" s="87"/>
      <c r="W1495" s="87"/>
      <c r="X1495" s="87"/>
      <c r="Y1495" s="87"/>
      <c r="Z1495" s="87"/>
      <c r="AA1495" s="87"/>
      <c r="AB1495" s="87"/>
      <c r="AM1495" s="87"/>
      <c r="AN1495" s="87"/>
      <c r="AO1495" s="87"/>
      <c r="AP1495" s="87"/>
      <c r="AQ1495" s="87"/>
      <c r="AR1495" s="87"/>
      <c r="BC1495" s="87"/>
      <c r="BD1495" s="87"/>
      <c r="BE1495" s="87"/>
      <c r="BF1495" s="87"/>
      <c r="BG1495" s="87"/>
      <c r="BH1495" s="87"/>
    </row>
    <row r="1496" spans="4:60" x14ac:dyDescent="0.3">
      <c r="D1496" s="87"/>
      <c r="E1496" s="87"/>
      <c r="W1496" s="87"/>
      <c r="X1496" s="87"/>
      <c r="Y1496" s="87"/>
      <c r="Z1496" s="87"/>
      <c r="AA1496" s="87"/>
      <c r="AB1496" s="87"/>
      <c r="AM1496" s="87"/>
      <c r="AN1496" s="87"/>
      <c r="AO1496" s="87"/>
      <c r="AP1496" s="87"/>
      <c r="AQ1496" s="87"/>
      <c r="AR1496" s="87"/>
      <c r="BC1496" s="87"/>
      <c r="BD1496" s="87"/>
      <c r="BE1496" s="87"/>
      <c r="BF1496" s="87"/>
      <c r="BG1496" s="87"/>
      <c r="BH1496" s="87"/>
    </row>
    <row r="1497" spans="4:60" x14ac:dyDescent="0.3">
      <c r="D1497" s="87"/>
      <c r="E1497" s="87"/>
      <c r="W1497" s="87"/>
      <c r="X1497" s="87"/>
      <c r="Y1497" s="87"/>
      <c r="Z1497" s="87"/>
      <c r="AA1497" s="87"/>
      <c r="AB1497" s="87"/>
      <c r="AM1497" s="87"/>
      <c r="AN1497" s="87"/>
      <c r="AO1497" s="87"/>
      <c r="AP1497" s="87"/>
      <c r="AQ1497" s="87"/>
      <c r="AR1497" s="87"/>
      <c r="BC1497" s="87"/>
      <c r="BD1497" s="87"/>
      <c r="BE1497" s="87"/>
      <c r="BF1497" s="87"/>
      <c r="BG1497" s="87"/>
      <c r="BH1497" s="87"/>
    </row>
    <row r="1498" spans="4:60" x14ac:dyDescent="0.3">
      <c r="D1498" s="87"/>
      <c r="E1498" s="87"/>
      <c r="W1498" s="87"/>
      <c r="X1498" s="87"/>
      <c r="Y1498" s="87"/>
      <c r="Z1498" s="87"/>
      <c r="AA1498" s="87"/>
      <c r="AB1498" s="87"/>
      <c r="AM1498" s="87"/>
      <c r="AN1498" s="87"/>
      <c r="AO1498" s="87"/>
      <c r="AP1498" s="87"/>
      <c r="AQ1498" s="87"/>
      <c r="AR1498" s="87"/>
      <c r="BC1498" s="87"/>
      <c r="BD1498" s="87"/>
      <c r="BE1498" s="87"/>
      <c r="BF1498" s="87"/>
      <c r="BG1498" s="87"/>
      <c r="BH1498" s="87"/>
    </row>
    <row r="1499" spans="4:60" x14ac:dyDescent="0.3">
      <c r="D1499" s="87"/>
      <c r="E1499" s="87"/>
      <c r="W1499" s="87"/>
      <c r="X1499" s="87"/>
      <c r="Y1499" s="87"/>
      <c r="Z1499" s="87"/>
      <c r="AA1499" s="87"/>
      <c r="AB1499" s="87"/>
      <c r="AM1499" s="87"/>
      <c r="AN1499" s="87"/>
      <c r="AO1499" s="87"/>
      <c r="AP1499" s="87"/>
      <c r="AQ1499" s="87"/>
      <c r="AR1499" s="87"/>
      <c r="BC1499" s="87"/>
      <c r="BD1499" s="87"/>
      <c r="BE1499" s="87"/>
      <c r="BF1499" s="87"/>
      <c r="BG1499" s="87"/>
      <c r="BH1499" s="87"/>
    </row>
    <row r="1500" spans="4:60" x14ac:dyDescent="0.3">
      <c r="D1500" s="87"/>
      <c r="E1500" s="87"/>
      <c r="W1500" s="87"/>
      <c r="X1500" s="87"/>
      <c r="Y1500" s="87"/>
      <c r="Z1500" s="87"/>
      <c r="AA1500" s="87"/>
      <c r="AB1500" s="87"/>
      <c r="AM1500" s="87"/>
      <c r="AN1500" s="87"/>
      <c r="AO1500" s="87"/>
      <c r="AP1500" s="87"/>
      <c r="AQ1500" s="87"/>
      <c r="AR1500" s="87"/>
      <c r="BC1500" s="87"/>
      <c r="BD1500" s="87"/>
      <c r="BE1500" s="87"/>
      <c r="BF1500" s="87"/>
      <c r="BG1500" s="87"/>
      <c r="BH1500" s="87"/>
    </row>
    <row r="1501" spans="4:60" x14ac:dyDescent="0.3">
      <c r="D1501" s="87"/>
      <c r="E1501" s="87"/>
      <c r="W1501" s="87"/>
      <c r="X1501" s="87"/>
      <c r="Y1501" s="87"/>
      <c r="Z1501" s="87"/>
      <c r="AA1501" s="87"/>
      <c r="AB1501" s="87"/>
      <c r="AM1501" s="87"/>
      <c r="AN1501" s="87"/>
      <c r="AO1501" s="87"/>
      <c r="AP1501" s="87"/>
      <c r="AQ1501" s="87"/>
      <c r="AR1501" s="87"/>
      <c r="BC1501" s="87"/>
      <c r="BD1501" s="87"/>
      <c r="BE1501" s="87"/>
      <c r="BF1501" s="87"/>
      <c r="BG1501" s="87"/>
      <c r="BH1501" s="87"/>
    </row>
    <row r="1502" spans="4:60" x14ac:dyDescent="0.3">
      <c r="D1502" s="87"/>
      <c r="E1502" s="87"/>
      <c r="W1502" s="87"/>
      <c r="X1502" s="87"/>
      <c r="Y1502" s="87"/>
      <c r="Z1502" s="87"/>
      <c r="AA1502" s="87"/>
      <c r="AB1502" s="87"/>
      <c r="AM1502" s="87"/>
      <c r="AN1502" s="87"/>
      <c r="AO1502" s="87"/>
      <c r="AP1502" s="87"/>
      <c r="AQ1502" s="87"/>
      <c r="AR1502" s="87"/>
      <c r="BC1502" s="87"/>
      <c r="BD1502" s="87"/>
      <c r="BE1502" s="87"/>
      <c r="BF1502" s="87"/>
      <c r="BG1502" s="87"/>
      <c r="BH1502" s="87"/>
    </row>
    <row r="1503" spans="4:60" x14ac:dyDescent="0.3">
      <c r="D1503" s="87"/>
      <c r="E1503" s="87"/>
      <c r="W1503" s="87"/>
      <c r="X1503" s="87"/>
      <c r="Y1503" s="87"/>
      <c r="Z1503" s="87"/>
      <c r="AA1503" s="87"/>
      <c r="AB1503" s="87"/>
      <c r="AM1503" s="87"/>
      <c r="AN1503" s="87"/>
      <c r="AO1503" s="87"/>
      <c r="AP1503" s="87"/>
      <c r="AQ1503" s="87"/>
      <c r="AR1503" s="87"/>
      <c r="BC1503" s="87"/>
      <c r="BD1503" s="87"/>
      <c r="BE1503" s="87"/>
      <c r="BF1503" s="87"/>
      <c r="BG1503" s="87"/>
      <c r="BH1503" s="87"/>
    </row>
    <row r="1504" spans="4:60" x14ac:dyDescent="0.3">
      <c r="D1504" s="87"/>
      <c r="E1504" s="87"/>
      <c r="W1504" s="87"/>
      <c r="X1504" s="87"/>
      <c r="Y1504" s="87"/>
      <c r="Z1504" s="87"/>
      <c r="AA1504" s="87"/>
      <c r="AB1504" s="87"/>
      <c r="AM1504" s="87"/>
      <c r="AN1504" s="87"/>
      <c r="AO1504" s="87"/>
      <c r="AP1504" s="87"/>
      <c r="AQ1504" s="87"/>
      <c r="AR1504" s="87"/>
      <c r="BC1504" s="87"/>
      <c r="BD1504" s="87"/>
      <c r="BE1504" s="87"/>
      <c r="BF1504" s="87"/>
      <c r="BG1504" s="87"/>
      <c r="BH1504" s="87"/>
    </row>
    <row r="1505" spans="4:60" x14ac:dyDescent="0.3">
      <c r="D1505" s="87"/>
      <c r="E1505" s="87"/>
      <c r="W1505" s="87"/>
      <c r="X1505" s="87"/>
      <c r="Y1505" s="87"/>
      <c r="Z1505" s="87"/>
      <c r="AA1505" s="87"/>
      <c r="AB1505" s="87"/>
      <c r="AM1505" s="87"/>
      <c r="AN1505" s="87"/>
      <c r="AO1505" s="87"/>
      <c r="AP1505" s="87"/>
      <c r="AQ1505" s="87"/>
      <c r="AR1505" s="87"/>
      <c r="BC1505" s="87"/>
      <c r="BD1505" s="87"/>
      <c r="BE1505" s="87"/>
      <c r="BF1505" s="87"/>
      <c r="BG1505" s="87"/>
      <c r="BH1505" s="87"/>
    </row>
    <row r="1506" spans="4:60" x14ac:dyDescent="0.3">
      <c r="D1506" s="87"/>
      <c r="E1506" s="87"/>
      <c r="W1506" s="87"/>
      <c r="X1506" s="87"/>
      <c r="Y1506" s="87"/>
      <c r="Z1506" s="87"/>
      <c r="AA1506" s="87"/>
      <c r="AB1506" s="87"/>
      <c r="AM1506" s="87"/>
      <c r="AN1506" s="87"/>
      <c r="AO1506" s="87"/>
      <c r="AP1506" s="87"/>
      <c r="AQ1506" s="87"/>
      <c r="AR1506" s="87"/>
      <c r="BC1506" s="87"/>
      <c r="BD1506" s="87"/>
      <c r="BE1506" s="87"/>
      <c r="BF1506" s="87"/>
      <c r="BG1506" s="87"/>
      <c r="BH1506" s="87"/>
    </row>
    <row r="1507" spans="4:60" x14ac:dyDescent="0.3">
      <c r="D1507" s="87"/>
      <c r="E1507" s="87"/>
      <c r="W1507" s="87"/>
      <c r="X1507" s="87"/>
      <c r="Y1507" s="87"/>
      <c r="Z1507" s="87"/>
      <c r="AA1507" s="87"/>
      <c r="AB1507" s="87"/>
      <c r="AM1507" s="87"/>
      <c r="AN1507" s="87"/>
      <c r="AO1507" s="87"/>
      <c r="AP1507" s="87"/>
      <c r="AQ1507" s="87"/>
      <c r="AR1507" s="87"/>
      <c r="BC1507" s="87"/>
      <c r="BD1507" s="87"/>
      <c r="BE1507" s="87"/>
      <c r="BF1507" s="87"/>
      <c r="BG1507" s="87"/>
      <c r="BH1507" s="87"/>
    </row>
    <row r="1508" spans="4:60" x14ac:dyDescent="0.3">
      <c r="D1508" s="87"/>
      <c r="E1508" s="87"/>
      <c r="W1508" s="87"/>
      <c r="X1508" s="87"/>
      <c r="Y1508" s="87"/>
      <c r="Z1508" s="87"/>
      <c r="AA1508" s="87"/>
      <c r="AB1508" s="87"/>
      <c r="AM1508" s="87"/>
      <c r="AN1508" s="87"/>
      <c r="AO1508" s="87"/>
      <c r="AP1508" s="87"/>
      <c r="AQ1508" s="87"/>
      <c r="AR1508" s="87"/>
      <c r="BC1508" s="87"/>
      <c r="BD1508" s="87"/>
      <c r="BE1508" s="87"/>
      <c r="BF1508" s="87"/>
      <c r="BG1508" s="87"/>
      <c r="BH1508" s="87"/>
    </row>
    <row r="1509" spans="4:60" x14ac:dyDescent="0.3">
      <c r="D1509" s="87"/>
      <c r="E1509" s="87"/>
      <c r="W1509" s="87"/>
      <c r="X1509" s="87"/>
      <c r="Y1509" s="87"/>
      <c r="Z1509" s="87"/>
      <c r="AA1509" s="87"/>
      <c r="AB1509" s="87"/>
      <c r="AM1509" s="87"/>
      <c r="AN1509" s="87"/>
      <c r="AO1509" s="87"/>
      <c r="AP1509" s="87"/>
      <c r="AQ1509" s="87"/>
      <c r="AR1509" s="87"/>
      <c r="BC1509" s="87"/>
      <c r="BD1509" s="87"/>
      <c r="BE1509" s="87"/>
      <c r="BF1509" s="87"/>
      <c r="BG1509" s="87"/>
      <c r="BH1509" s="87"/>
    </row>
    <row r="1510" spans="4:60" x14ac:dyDescent="0.3">
      <c r="D1510" s="87"/>
      <c r="E1510" s="87"/>
      <c r="W1510" s="87"/>
      <c r="X1510" s="87"/>
      <c r="Y1510" s="87"/>
      <c r="Z1510" s="87"/>
      <c r="AA1510" s="87"/>
      <c r="AB1510" s="87"/>
      <c r="AM1510" s="87"/>
      <c r="AN1510" s="87"/>
      <c r="AO1510" s="87"/>
      <c r="AP1510" s="87"/>
      <c r="AQ1510" s="87"/>
      <c r="AR1510" s="87"/>
      <c r="BC1510" s="87"/>
      <c r="BD1510" s="87"/>
      <c r="BE1510" s="87"/>
      <c r="BF1510" s="87"/>
      <c r="BG1510" s="87"/>
      <c r="BH1510" s="87"/>
    </row>
    <row r="1511" spans="4:60" x14ac:dyDescent="0.3">
      <c r="D1511" s="87"/>
      <c r="E1511" s="87"/>
      <c r="W1511" s="87"/>
      <c r="X1511" s="87"/>
      <c r="Y1511" s="87"/>
      <c r="Z1511" s="87"/>
      <c r="AA1511" s="87"/>
      <c r="AB1511" s="87"/>
      <c r="AM1511" s="87"/>
      <c r="AN1511" s="87"/>
      <c r="AO1511" s="87"/>
      <c r="AP1511" s="87"/>
      <c r="AQ1511" s="87"/>
      <c r="AR1511" s="87"/>
      <c r="BC1511" s="87"/>
      <c r="BD1511" s="87"/>
      <c r="BE1511" s="87"/>
      <c r="BF1511" s="87"/>
      <c r="BG1511" s="87"/>
      <c r="BH1511" s="87"/>
    </row>
    <row r="1512" spans="4:60" x14ac:dyDescent="0.3">
      <c r="D1512" s="87"/>
      <c r="E1512" s="87"/>
      <c r="W1512" s="87"/>
      <c r="X1512" s="87"/>
      <c r="Y1512" s="87"/>
      <c r="Z1512" s="87"/>
      <c r="AA1512" s="87"/>
      <c r="AB1512" s="87"/>
      <c r="AM1512" s="87"/>
      <c r="AN1512" s="87"/>
      <c r="AO1512" s="87"/>
      <c r="AP1512" s="87"/>
      <c r="AQ1512" s="87"/>
      <c r="AR1512" s="87"/>
      <c r="BC1512" s="87"/>
      <c r="BD1512" s="87"/>
      <c r="BE1512" s="87"/>
      <c r="BF1512" s="87"/>
      <c r="BG1512" s="87"/>
      <c r="BH1512" s="87"/>
    </row>
    <row r="1513" spans="4:60" x14ac:dyDescent="0.3">
      <c r="D1513" s="87"/>
      <c r="E1513" s="87"/>
      <c r="W1513" s="87"/>
      <c r="X1513" s="87"/>
      <c r="Y1513" s="87"/>
      <c r="Z1513" s="87"/>
      <c r="AA1513" s="87"/>
      <c r="AB1513" s="87"/>
      <c r="AM1513" s="87"/>
      <c r="AN1513" s="87"/>
      <c r="AO1513" s="87"/>
      <c r="AP1513" s="87"/>
      <c r="AQ1513" s="87"/>
      <c r="AR1513" s="87"/>
      <c r="BC1513" s="87"/>
      <c r="BD1513" s="87"/>
      <c r="BE1513" s="87"/>
      <c r="BF1513" s="87"/>
      <c r="BG1513" s="87"/>
      <c r="BH1513" s="87"/>
    </row>
    <row r="1514" spans="4:60" x14ac:dyDescent="0.3">
      <c r="D1514" s="87"/>
      <c r="E1514" s="87"/>
      <c r="W1514" s="87"/>
      <c r="X1514" s="87"/>
      <c r="Y1514" s="87"/>
      <c r="Z1514" s="87"/>
      <c r="AA1514" s="87"/>
      <c r="AB1514" s="87"/>
      <c r="AM1514" s="87"/>
      <c r="AN1514" s="87"/>
      <c r="AO1514" s="87"/>
      <c r="AP1514" s="87"/>
      <c r="AQ1514" s="87"/>
      <c r="AR1514" s="87"/>
      <c r="BC1514" s="87"/>
      <c r="BD1514" s="87"/>
      <c r="BE1514" s="87"/>
      <c r="BF1514" s="87"/>
      <c r="BG1514" s="87"/>
      <c r="BH1514" s="87"/>
    </row>
    <row r="1515" spans="4:60" x14ac:dyDescent="0.3">
      <c r="D1515" s="87"/>
      <c r="E1515" s="87"/>
      <c r="W1515" s="87"/>
      <c r="X1515" s="87"/>
      <c r="Y1515" s="87"/>
      <c r="Z1515" s="87"/>
      <c r="AA1515" s="87"/>
      <c r="AB1515" s="87"/>
      <c r="AM1515" s="87"/>
      <c r="AN1515" s="87"/>
      <c r="AO1515" s="87"/>
      <c r="AP1515" s="87"/>
      <c r="AQ1515" s="87"/>
      <c r="AR1515" s="87"/>
      <c r="BC1515" s="87"/>
      <c r="BD1515" s="87"/>
      <c r="BE1515" s="87"/>
      <c r="BF1515" s="87"/>
      <c r="BG1515" s="87"/>
      <c r="BH1515" s="87"/>
    </row>
    <row r="1516" spans="4:60" x14ac:dyDescent="0.3">
      <c r="D1516" s="87"/>
      <c r="E1516" s="87"/>
      <c r="W1516" s="87"/>
      <c r="X1516" s="87"/>
      <c r="Y1516" s="87"/>
      <c r="Z1516" s="87"/>
      <c r="AA1516" s="87"/>
      <c r="AB1516" s="87"/>
      <c r="AM1516" s="87"/>
      <c r="AN1516" s="87"/>
      <c r="AO1516" s="87"/>
      <c r="AP1516" s="87"/>
      <c r="AQ1516" s="87"/>
      <c r="AR1516" s="87"/>
      <c r="BC1516" s="87"/>
      <c r="BD1516" s="87"/>
      <c r="BE1516" s="87"/>
      <c r="BF1516" s="87"/>
      <c r="BG1516" s="87"/>
      <c r="BH1516" s="87"/>
    </row>
    <row r="1517" spans="4:60" x14ac:dyDescent="0.3">
      <c r="W1517" s="87"/>
      <c r="X1517" s="87"/>
      <c r="Y1517" s="87"/>
      <c r="Z1517" s="87"/>
      <c r="AA1517" s="87"/>
      <c r="AB1517" s="87"/>
      <c r="AM1517" s="87"/>
      <c r="AN1517" s="87"/>
      <c r="AO1517" s="87"/>
      <c r="AP1517" s="87"/>
      <c r="AQ1517" s="87"/>
      <c r="AR1517" s="87"/>
      <c r="BC1517" s="87"/>
      <c r="BD1517" s="87"/>
      <c r="BE1517" s="87"/>
      <c r="BF1517" s="87"/>
      <c r="BG1517" s="87"/>
      <c r="BH1517" s="87"/>
    </row>
    <row r="1518" spans="4:60" x14ac:dyDescent="0.3">
      <c r="W1518" s="87"/>
      <c r="X1518" s="87"/>
      <c r="Y1518" s="87"/>
      <c r="Z1518" s="87"/>
      <c r="AA1518" s="87"/>
      <c r="AB1518" s="87"/>
      <c r="AM1518" s="87"/>
      <c r="AN1518" s="87"/>
      <c r="AO1518" s="87"/>
      <c r="AP1518" s="87"/>
      <c r="AQ1518" s="87"/>
      <c r="AR1518" s="87"/>
      <c r="BC1518" s="87"/>
      <c r="BD1518" s="87"/>
      <c r="BE1518" s="87"/>
      <c r="BF1518" s="87"/>
      <c r="BG1518" s="87"/>
      <c r="BH1518" s="87"/>
    </row>
    <row r="1519" spans="4:60" x14ac:dyDescent="0.3">
      <c r="W1519" s="87"/>
      <c r="X1519" s="87"/>
      <c r="Y1519" s="87"/>
      <c r="Z1519" s="87"/>
      <c r="AA1519" s="87"/>
      <c r="AB1519" s="87"/>
      <c r="AM1519" s="87"/>
      <c r="AN1519" s="87"/>
      <c r="AO1519" s="87"/>
      <c r="AP1519" s="87"/>
      <c r="AQ1519" s="87"/>
      <c r="AR1519" s="87"/>
      <c r="BC1519" s="87"/>
      <c r="BD1519" s="87"/>
      <c r="BE1519" s="87"/>
      <c r="BF1519" s="87"/>
      <c r="BG1519" s="87"/>
      <c r="BH1519" s="87"/>
    </row>
    <row r="1520" spans="4:60" x14ac:dyDescent="0.3">
      <c r="W1520" s="87"/>
      <c r="X1520" s="87"/>
      <c r="Y1520" s="87"/>
      <c r="Z1520" s="87"/>
      <c r="AA1520" s="87"/>
      <c r="AB1520" s="87"/>
      <c r="AM1520" s="87"/>
      <c r="AN1520" s="87"/>
      <c r="AO1520" s="87"/>
      <c r="AP1520" s="87"/>
      <c r="AQ1520" s="87"/>
      <c r="AR1520" s="87"/>
      <c r="BC1520" s="87"/>
      <c r="BD1520" s="87"/>
      <c r="BE1520" s="87"/>
      <c r="BF1520" s="87"/>
      <c r="BG1520" s="87"/>
      <c r="BH1520" s="87"/>
    </row>
    <row r="1521" spans="23:60" x14ac:dyDescent="0.3">
      <c r="W1521" s="87"/>
      <c r="X1521" s="87"/>
      <c r="Y1521" s="87"/>
      <c r="Z1521" s="87"/>
      <c r="AA1521" s="87"/>
      <c r="AB1521" s="87"/>
      <c r="AM1521" s="87"/>
      <c r="AN1521" s="87"/>
      <c r="AO1521" s="87"/>
      <c r="AP1521" s="87"/>
      <c r="AQ1521" s="87"/>
      <c r="AR1521" s="87"/>
      <c r="BC1521" s="87"/>
      <c r="BD1521" s="87"/>
      <c r="BE1521" s="87"/>
      <c r="BF1521" s="87"/>
      <c r="BG1521" s="87"/>
      <c r="BH1521" s="87"/>
    </row>
    <row r="1522" spans="23:60" x14ac:dyDescent="0.3">
      <c r="W1522" s="87"/>
      <c r="X1522" s="87"/>
      <c r="Y1522" s="87"/>
      <c r="Z1522" s="87"/>
      <c r="AA1522" s="87"/>
      <c r="AB1522" s="87"/>
      <c r="AM1522" s="87"/>
      <c r="AN1522" s="87"/>
      <c r="AO1522" s="87"/>
      <c r="AP1522" s="87"/>
      <c r="AQ1522" s="87"/>
      <c r="AR1522" s="87"/>
      <c r="BC1522" s="87"/>
      <c r="BD1522" s="87"/>
      <c r="BE1522" s="87"/>
      <c r="BF1522" s="87"/>
      <c r="BG1522" s="87"/>
      <c r="BH1522" s="87"/>
    </row>
    <row r="1523" spans="23:60" x14ac:dyDescent="0.3">
      <c r="W1523" s="87"/>
      <c r="X1523" s="87"/>
      <c r="Y1523" s="87"/>
      <c r="Z1523" s="87"/>
      <c r="AA1523" s="87"/>
      <c r="AB1523" s="87"/>
      <c r="AM1523" s="87"/>
      <c r="AN1523" s="87"/>
      <c r="AO1523" s="87"/>
      <c r="AP1523" s="87"/>
      <c r="AQ1523" s="87"/>
      <c r="AR1523" s="87"/>
      <c r="BC1523" s="87"/>
      <c r="BD1523" s="87"/>
      <c r="BE1523" s="87"/>
      <c r="BF1523" s="87"/>
      <c r="BG1523" s="87"/>
      <c r="BH1523" s="87"/>
    </row>
    <row r="1524" spans="23:60" x14ac:dyDescent="0.3">
      <c r="W1524" s="87"/>
      <c r="X1524" s="87"/>
      <c r="Y1524" s="87"/>
      <c r="Z1524" s="87"/>
      <c r="AA1524" s="87"/>
      <c r="AB1524" s="87"/>
      <c r="AM1524" s="87"/>
      <c r="AN1524" s="87"/>
      <c r="AO1524" s="87"/>
      <c r="AP1524" s="87"/>
      <c r="AQ1524" s="87"/>
      <c r="AR1524" s="87"/>
      <c r="BC1524" s="87"/>
      <c r="BD1524" s="87"/>
      <c r="BE1524" s="87"/>
      <c r="BF1524" s="87"/>
      <c r="BG1524" s="87"/>
      <c r="BH1524" s="87"/>
    </row>
    <row r="1525" spans="23:60" x14ac:dyDescent="0.3">
      <c r="W1525" s="87"/>
      <c r="X1525" s="87"/>
      <c r="Y1525" s="87"/>
      <c r="Z1525" s="87"/>
      <c r="AA1525" s="87"/>
      <c r="AB1525" s="87"/>
      <c r="AM1525" s="87"/>
      <c r="AN1525" s="87"/>
      <c r="AO1525" s="87"/>
      <c r="AP1525" s="87"/>
      <c r="AQ1525" s="87"/>
      <c r="AR1525" s="87"/>
      <c r="BC1525" s="87"/>
      <c r="BD1525" s="87"/>
      <c r="BE1525" s="87"/>
      <c r="BF1525" s="87"/>
      <c r="BG1525" s="87"/>
      <c r="BH1525" s="87"/>
    </row>
    <row r="1526" spans="23:60" x14ac:dyDescent="0.3">
      <c r="W1526" s="87"/>
      <c r="X1526" s="87"/>
      <c r="Y1526" s="87"/>
      <c r="Z1526" s="87"/>
      <c r="AA1526" s="87"/>
      <c r="AB1526" s="87"/>
      <c r="AM1526" s="87"/>
      <c r="AN1526" s="87"/>
      <c r="AO1526" s="87"/>
      <c r="AP1526" s="87"/>
      <c r="AQ1526" s="87"/>
      <c r="AR1526" s="87"/>
      <c r="BC1526" s="87"/>
      <c r="BD1526" s="87"/>
      <c r="BE1526" s="87"/>
      <c r="BF1526" s="87"/>
      <c r="BG1526" s="87"/>
      <c r="BH1526" s="87"/>
    </row>
    <row r="1527" spans="23:60" x14ac:dyDescent="0.3">
      <c r="W1527" s="87"/>
      <c r="X1527" s="87"/>
      <c r="Y1527" s="87"/>
      <c r="Z1527" s="87"/>
      <c r="AA1527" s="87"/>
      <c r="AB1527" s="87"/>
      <c r="AM1527" s="87"/>
      <c r="AN1527" s="87"/>
      <c r="AO1527" s="87"/>
      <c r="AP1527" s="87"/>
      <c r="AQ1527" s="87"/>
      <c r="AR1527" s="87"/>
      <c r="BC1527" s="87"/>
      <c r="BD1527" s="87"/>
      <c r="BE1527" s="87"/>
      <c r="BF1527" s="87"/>
      <c r="BG1527" s="87"/>
      <c r="BH1527" s="87"/>
    </row>
    <row r="1528" spans="23:60" x14ac:dyDescent="0.3">
      <c r="W1528" s="87"/>
      <c r="X1528" s="87"/>
      <c r="Y1528" s="87"/>
      <c r="Z1528" s="87"/>
      <c r="AA1528" s="87"/>
      <c r="AB1528" s="87"/>
      <c r="AM1528" s="87"/>
      <c r="AN1528" s="87"/>
      <c r="AO1528" s="87"/>
      <c r="AP1528" s="87"/>
      <c r="AQ1528" s="87"/>
      <c r="AR1528" s="87"/>
      <c r="BC1528" s="87"/>
      <c r="BD1528" s="87"/>
      <c r="BE1528" s="87"/>
      <c r="BF1528" s="87"/>
      <c r="BG1528" s="87"/>
      <c r="BH1528" s="87"/>
    </row>
    <row r="1529" spans="23:60" x14ac:dyDescent="0.3">
      <c r="W1529" s="87"/>
      <c r="X1529" s="87"/>
      <c r="Y1529" s="87"/>
      <c r="Z1529" s="87"/>
      <c r="AA1529" s="87"/>
      <c r="AB1529" s="87"/>
      <c r="AM1529" s="87"/>
      <c r="AN1529" s="87"/>
      <c r="AO1529" s="87"/>
      <c r="AP1529" s="87"/>
      <c r="AQ1529" s="87"/>
      <c r="AR1529" s="87"/>
      <c r="BC1529" s="87"/>
      <c r="BD1529" s="87"/>
      <c r="BE1529" s="87"/>
      <c r="BF1529" s="87"/>
      <c r="BG1529" s="87"/>
      <c r="BH1529" s="87"/>
    </row>
    <row r="1530" spans="23:60" x14ac:dyDescent="0.3">
      <c r="W1530" s="87"/>
      <c r="X1530" s="87"/>
      <c r="Y1530" s="87"/>
      <c r="Z1530" s="87"/>
      <c r="AA1530" s="87"/>
      <c r="AB1530" s="87"/>
      <c r="AM1530" s="87"/>
      <c r="AN1530" s="87"/>
      <c r="AO1530" s="87"/>
      <c r="AP1530" s="87"/>
      <c r="AQ1530" s="87"/>
      <c r="AR1530" s="87"/>
      <c r="BC1530" s="87"/>
      <c r="BD1530" s="87"/>
      <c r="BE1530" s="87"/>
      <c r="BF1530" s="87"/>
      <c r="BG1530" s="87"/>
      <c r="BH1530" s="87"/>
    </row>
    <row r="1531" spans="23:60" x14ac:dyDescent="0.3">
      <c r="W1531" s="87"/>
      <c r="X1531" s="87"/>
      <c r="Y1531" s="87"/>
      <c r="Z1531" s="87"/>
      <c r="AA1531" s="87"/>
      <c r="AB1531" s="87"/>
      <c r="AM1531" s="87"/>
      <c r="AN1531" s="87"/>
      <c r="AO1531" s="87"/>
      <c r="AP1531" s="87"/>
      <c r="AQ1531" s="87"/>
      <c r="AR1531" s="87"/>
      <c r="BC1531" s="87"/>
      <c r="BD1531" s="87"/>
      <c r="BE1531" s="87"/>
      <c r="BF1531" s="87"/>
      <c r="BG1531" s="87"/>
      <c r="BH1531" s="87"/>
    </row>
    <row r="1532" spans="23:60" x14ac:dyDescent="0.3">
      <c r="W1532" s="87"/>
      <c r="X1532" s="87"/>
      <c r="Y1532" s="87"/>
      <c r="Z1532" s="87"/>
      <c r="AA1532" s="87"/>
      <c r="AB1532" s="87"/>
      <c r="AM1532" s="87"/>
      <c r="AN1532" s="87"/>
      <c r="AO1532" s="87"/>
      <c r="AP1532" s="87"/>
      <c r="AQ1532" s="87"/>
      <c r="AR1532" s="87"/>
      <c r="BC1532" s="87"/>
      <c r="BD1532" s="87"/>
      <c r="BE1532" s="87"/>
      <c r="BF1532" s="87"/>
      <c r="BG1532" s="87"/>
      <c r="BH1532" s="87"/>
    </row>
    <row r="1533" spans="23:60" x14ac:dyDescent="0.3">
      <c r="W1533" s="87"/>
      <c r="X1533" s="87"/>
      <c r="Y1533" s="87"/>
      <c r="Z1533" s="87"/>
      <c r="AA1533" s="87"/>
      <c r="AB1533" s="87"/>
      <c r="AM1533" s="87"/>
      <c r="AN1533" s="87"/>
      <c r="AO1533" s="87"/>
      <c r="AP1533" s="87"/>
      <c r="AQ1533" s="87"/>
      <c r="AR1533" s="87"/>
      <c r="BC1533" s="87"/>
      <c r="BD1533" s="87"/>
      <c r="BE1533" s="87"/>
      <c r="BF1533" s="87"/>
      <c r="BG1533" s="87"/>
      <c r="BH1533" s="87"/>
    </row>
    <row r="1534" spans="23:60" x14ac:dyDescent="0.3">
      <c r="W1534" s="87"/>
      <c r="X1534" s="87"/>
      <c r="Y1534" s="87"/>
      <c r="Z1534" s="87"/>
      <c r="AA1534" s="87"/>
      <c r="AB1534" s="87"/>
      <c r="AM1534" s="87"/>
      <c r="AN1534" s="87"/>
      <c r="AO1534" s="87"/>
      <c r="AP1534" s="87"/>
      <c r="AQ1534" s="87"/>
      <c r="AR1534" s="87"/>
      <c r="BC1534" s="87"/>
      <c r="BD1534" s="87"/>
      <c r="BE1534" s="87"/>
      <c r="BF1534" s="87"/>
      <c r="BG1534" s="87"/>
      <c r="BH1534" s="87"/>
    </row>
    <row r="1535" spans="23:60" x14ac:dyDescent="0.3">
      <c r="W1535" s="87"/>
      <c r="X1535" s="87"/>
      <c r="Y1535" s="87"/>
      <c r="Z1535" s="87"/>
      <c r="AA1535" s="87"/>
      <c r="AB1535" s="87"/>
      <c r="AM1535" s="87"/>
      <c r="AN1535" s="87"/>
      <c r="AO1535" s="87"/>
      <c r="AP1535" s="87"/>
      <c r="AQ1535" s="87"/>
      <c r="AR1535" s="87"/>
      <c r="BC1535" s="87"/>
      <c r="BD1535" s="87"/>
      <c r="BE1535" s="87"/>
      <c r="BF1535" s="87"/>
      <c r="BG1535" s="87"/>
      <c r="BH1535" s="87"/>
    </row>
    <row r="1536" spans="23:60" x14ac:dyDescent="0.3">
      <c r="W1536" s="87"/>
      <c r="X1536" s="87"/>
      <c r="Y1536" s="87"/>
      <c r="Z1536" s="87"/>
      <c r="AA1536" s="87"/>
      <c r="AB1536" s="87"/>
      <c r="AM1536" s="87"/>
      <c r="AN1536" s="87"/>
      <c r="AO1536" s="87"/>
      <c r="AP1536" s="87"/>
      <c r="AQ1536" s="87"/>
      <c r="AR1536" s="87"/>
      <c r="BC1536" s="87"/>
      <c r="BD1536" s="87"/>
      <c r="BE1536" s="87"/>
      <c r="BF1536" s="87"/>
      <c r="BG1536" s="87"/>
      <c r="BH1536" s="87"/>
    </row>
    <row r="1537" spans="23:60" x14ac:dyDescent="0.3">
      <c r="W1537" s="87"/>
      <c r="X1537" s="87"/>
      <c r="Y1537" s="87"/>
      <c r="Z1537" s="87"/>
      <c r="AA1537" s="87"/>
      <c r="AB1537" s="87"/>
      <c r="AM1537" s="87"/>
      <c r="AN1537" s="87"/>
      <c r="AO1537" s="87"/>
      <c r="AP1537" s="87"/>
      <c r="AQ1537" s="87"/>
      <c r="AR1537" s="87"/>
      <c r="BC1537" s="87"/>
      <c r="BD1537" s="87"/>
      <c r="BE1537" s="87"/>
      <c r="BF1537" s="87"/>
      <c r="BG1537" s="87"/>
      <c r="BH1537" s="87"/>
    </row>
    <row r="1538" spans="23:60" x14ac:dyDescent="0.3">
      <c r="W1538" s="87"/>
      <c r="X1538" s="87"/>
      <c r="Y1538" s="87"/>
      <c r="Z1538" s="87"/>
      <c r="AA1538" s="87"/>
      <c r="AB1538" s="87"/>
      <c r="AM1538" s="87"/>
      <c r="AN1538" s="87"/>
      <c r="AO1538" s="87"/>
      <c r="AP1538" s="87"/>
      <c r="AQ1538" s="87"/>
      <c r="AR1538" s="87"/>
      <c r="BC1538" s="87"/>
      <c r="BD1538" s="87"/>
      <c r="BE1538" s="87"/>
      <c r="BF1538" s="87"/>
      <c r="BG1538" s="87"/>
      <c r="BH1538" s="87"/>
    </row>
    <row r="1539" spans="23:60" x14ac:dyDescent="0.3">
      <c r="W1539" s="87"/>
      <c r="X1539" s="87"/>
      <c r="Y1539" s="87"/>
      <c r="Z1539" s="87"/>
      <c r="AA1539" s="87"/>
      <c r="AB1539" s="87"/>
      <c r="AM1539" s="87"/>
      <c r="AN1539" s="87"/>
      <c r="AO1539" s="87"/>
      <c r="AP1539" s="87"/>
      <c r="AQ1539" s="87"/>
      <c r="AR1539" s="87"/>
      <c r="BC1539" s="87"/>
      <c r="BD1539" s="87"/>
      <c r="BE1539" s="87"/>
      <c r="BF1539" s="87"/>
      <c r="BG1539" s="87"/>
      <c r="BH1539" s="87"/>
    </row>
    <row r="1540" spans="23:60" x14ac:dyDescent="0.3">
      <c r="W1540" s="87"/>
      <c r="X1540" s="87"/>
      <c r="Y1540" s="87"/>
      <c r="Z1540" s="87"/>
      <c r="AA1540" s="87"/>
      <c r="AB1540" s="87"/>
      <c r="AM1540" s="87"/>
      <c r="AN1540" s="87"/>
      <c r="AO1540" s="87"/>
      <c r="AP1540" s="87"/>
      <c r="AQ1540" s="87"/>
      <c r="AR1540" s="87"/>
      <c r="BC1540" s="87"/>
      <c r="BD1540" s="87"/>
      <c r="BE1540" s="87"/>
      <c r="BF1540" s="87"/>
      <c r="BG1540" s="87"/>
      <c r="BH1540" s="87"/>
    </row>
    <row r="1541" spans="23:60" x14ac:dyDescent="0.3">
      <c r="W1541" s="87"/>
      <c r="X1541" s="87"/>
      <c r="Y1541" s="87"/>
      <c r="Z1541" s="87"/>
      <c r="AA1541" s="87"/>
      <c r="AB1541" s="87"/>
      <c r="AM1541" s="87"/>
      <c r="AN1541" s="87"/>
      <c r="AO1541" s="87"/>
      <c r="AP1541" s="87"/>
      <c r="AQ1541" s="87"/>
      <c r="AR1541" s="87"/>
      <c r="BC1541" s="87"/>
      <c r="BD1541" s="87"/>
      <c r="BE1541" s="87"/>
      <c r="BF1541" s="87"/>
      <c r="BG1541" s="87"/>
      <c r="BH1541" s="87"/>
    </row>
    <row r="1542" spans="23:60" x14ac:dyDescent="0.3">
      <c r="W1542" s="87"/>
      <c r="X1542" s="87"/>
      <c r="Y1542" s="87"/>
      <c r="Z1542" s="87"/>
      <c r="AA1542" s="87"/>
      <c r="AB1542" s="87"/>
      <c r="AM1542" s="87"/>
      <c r="AN1542" s="87"/>
      <c r="AO1542" s="87"/>
      <c r="AP1542" s="87"/>
      <c r="AQ1542" s="87"/>
      <c r="AR1542" s="87"/>
      <c r="BC1542" s="87"/>
      <c r="BD1542" s="87"/>
      <c r="BE1542" s="87"/>
      <c r="BF1542" s="87"/>
      <c r="BG1542" s="87"/>
      <c r="BH1542" s="87"/>
    </row>
    <row r="1543" spans="23:60" x14ac:dyDescent="0.3">
      <c r="W1543" s="87"/>
      <c r="X1543" s="87"/>
      <c r="Y1543" s="87"/>
      <c r="Z1543" s="87"/>
      <c r="AA1543" s="87"/>
      <c r="AB1543" s="87"/>
      <c r="AM1543" s="87"/>
      <c r="AN1543" s="87"/>
      <c r="AO1543" s="87"/>
      <c r="AP1543" s="87"/>
      <c r="AQ1543" s="87"/>
      <c r="AR1543" s="87"/>
      <c r="BC1543" s="87"/>
      <c r="BD1543" s="87"/>
      <c r="BE1543" s="87"/>
      <c r="BF1543" s="87"/>
      <c r="BG1543" s="87"/>
      <c r="BH1543" s="87"/>
    </row>
    <row r="1544" spans="23:60" x14ac:dyDescent="0.3">
      <c r="W1544" s="87"/>
      <c r="X1544" s="87"/>
      <c r="Y1544" s="87"/>
      <c r="Z1544" s="87"/>
      <c r="AA1544" s="87"/>
      <c r="AB1544" s="87"/>
      <c r="AM1544" s="87"/>
      <c r="AN1544" s="87"/>
      <c r="AO1544" s="87"/>
      <c r="AP1544" s="87"/>
      <c r="AQ1544" s="87"/>
      <c r="AR1544" s="87"/>
      <c r="BC1544" s="87"/>
      <c r="BD1544" s="87"/>
      <c r="BE1544" s="87"/>
      <c r="BF1544" s="87"/>
      <c r="BG1544" s="87"/>
      <c r="BH1544" s="87"/>
    </row>
    <row r="1545" spans="23:60" x14ac:dyDescent="0.3">
      <c r="W1545" s="87"/>
      <c r="X1545" s="87"/>
      <c r="Y1545" s="87"/>
      <c r="Z1545" s="87"/>
      <c r="AA1545" s="87"/>
      <c r="AB1545" s="87"/>
      <c r="AM1545" s="87"/>
      <c r="AN1545" s="87"/>
      <c r="AO1545" s="87"/>
      <c r="AP1545" s="87"/>
      <c r="AQ1545" s="87"/>
      <c r="AR1545" s="87"/>
      <c r="BC1545" s="87"/>
      <c r="BD1545" s="87"/>
      <c r="BE1545" s="87"/>
      <c r="BF1545" s="87"/>
      <c r="BG1545" s="87"/>
      <c r="BH1545" s="87"/>
    </row>
    <row r="1546" spans="23:60" x14ac:dyDescent="0.3">
      <c r="W1546" s="87"/>
      <c r="X1546" s="87"/>
      <c r="Y1546" s="87"/>
      <c r="Z1546" s="87"/>
      <c r="AA1546" s="87"/>
      <c r="AB1546" s="87"/>
      <c r="AM1546" s="87"/>
      <c r="AN1546" s="87"/>
      <c r="AO1546" s="87"/>
      <c r="AP1546" s="87"/>
      <c r="AQ1546" s="87"/>
      <c r="AR1546" s="87"/>
      <c r="BC1546" s="87"/>
      <c r="BD1546" s="87"/>
      <c r="BE1546" s="87"/>
      <c r="BF1546" s="87"/>
      <c r="BG1546" s="87"/>
      <c r="BH1546" s="87"/>
    </row>
    <row r="1547" spans="23:60" x14ac:dyDescent="0.3">
      <c r="W1547" s="87"/>
      <c r="X1547" s="87"/>
      <c r="Y1547" s="87"/>
      <c r="Z1547" s="87"/>
      <c r="AA1547" s="87"/>
      <c r="AB1547" s="87"/>
      <c r="AM1547" s="87"/>
      <c r="AN1547" s="87"/>
      <c r="AO1547" s="87"/>
      <c r="AP1547" s="87"/>
      <c r="AQ1547" s="87"/>
      <c r="AR1547" s="87"/>
      <c r="BC1547" s="87"/>
      <c r="BD1547" s="87"/>
      <c r="BE1547" s="87"/>
      <c r="BF1547" s="87"/>
      <c r="BG1547" s="87"/>
      <c r="BH1547" s="87"/>
    </row>
    <row r="1548" spans="23:60" x14ac:dyDescent="0.3">
      <c r="W1548" s="87"/>
      <c r="X1548" s="87"/>
      <c r="Y1548" s="87"/>
      <c r="Z1548" s="87"/>
      <c r="AA1548" s="87"/>
      <c r="AB1548" s="87"/>
      <c r="AM1548" s="87"/>
      <c r="AN1548" s="87"/>
      <c r="AO1548" s="87"/>
      <c r="AP1548" s="87"/>
      <c r="AQ1548" s="87"/>
      <c r="AR1548" s="87"/>
      <c r="BC1548" s="87"/>
      <c r="BD1548" s="87"/>
      <c r="BE1548" s="87"/>
      <c r="BF1548" s="87"/>
      <c r="BG1548" s="87"/>
      <c r="BH1548" s="87"/>
    </row>
    <row r="1549" spans="23:60" x14ac:dyDescent="0.3">
      <c r="W1549" s="87"/>
      <c r="X1549" s="87"/>
      <c r="Y1549" s="87"/>
      <c r="Z1549" s="87"/>
      <c r="AA1549" s="87"/>
      <c r="AB1549" s="87"/>
      <c r="AM1549" s="87"/>
      <c r="AN1549" s="87"/>
      <c r="AO1549" s="87"/>
      <c r="AP1549" s="87"/>
      <c r="AQ1549" s="87"/>
      <c r="AR1549" s="87"/>
      <c r="BC1549" s="87"/>
      <c r="BD1549" s="87"/>
      <c r="BE1549" s="87"/>
      <c r="BF1549" s="87"/>
      <c r="BG1549" s="87"/>
      <c r="BH1549" s="87"/>
    </row>
    <row r="1550" spans="23:60" x14ac:dyDescent="0.3">
      <c r="W1550" s="87"/>
      <c r="X1550" s="87"/>
      <c r="Y1550" s="87"/>
      <c r="Z1550" s="87"/>
      <c r="AA1550" s="87"/>
      <c r="AB1550" s="87"/>
      <c r="AM1550" s="87"/>
      <c r="AN1550" s="87"/>
      <c r="AO1550" s="87"/>
      <c r="AP1550" s="87"/>
      <c r="AQ1550" s="87"/>
      <c r="AR1550" s="87"/>
      <c r="BC1550" s="87"/>
      <c r="BD1550" s="87"/>
      <c r="BE1550" s="87"/>
      <c r="BF1550" s="87"/>
      <c r="BG1550" s="87"/>
      <c r="BH1550" s="87"/>
    </row>
    <row r="1551" spans="23:60" x14ac:dyDescent="0.3">
      <c r="W1551" s="87"/>
      <c r="X1551" s="87"/>
      <c r="Y1551" s="87"/>
      <c r="Z1551" s="87"/>
      <c r="AA1551" s="87"/>
      <c r="AB1551" s="87"/>
      <c r="AM1551" s="87"/>
      <c r="AN1551" s="87"/>
      <c r="AO1551" s="87"/>
      <c r="AP1551" s="87"/>
      <c r="AQ1551" s="87"/>
      <c r="AR1551" s="87"/>
      <c r="BC1551" s="87"/>
      <c r="BD1551" s="87"/>
      <c r="BE1551" s="87"/>
      <c r="BF1551" s="87"/>
      <c r="BG1551" s="87"/>
      <c r="BH1551" s="87"/>
    </row>
    <row r="1552" spans="23:60" x14ac:dyDescent="0.3">
      <c r="W1552" s="87"/>
      <c r="X1552" s="87"/>
      <c r="Y1552" s="87"/>
      <c r="Z1552" s="87"/>
      <c r="AA1552" s="87"/>
      <c r="AB1552" s="87"/>
      <c r="AM1552" s="87"/>
      <c r="AN1552" s="87"/>
      <c r="AO1552" s="87"/>
      <c r="AP1552" s="87"/>
      <c r="AQ1552" s="87"/>
      <c r="AR1552" s="87"/>
      <c r="BC1552" s="87"/>
      <c r="BD1552" s="87"/>
      <c r="BE1552" s="87"/>
      <c r="BF1552" s="87"/>
      <c r="BG1552" s="87"/>
      <c r="BH1552" s="87"/>
    </row>
    <row r="1553" spans="23:60" x14ac:dyDescent="0.3">
      <c r="W1553" s="87"/>
      <c r="X1553" s="87"/>
      <c r="Y1553" s="87"/>
      <c r="Z1553" s="87"/>
      <c r="AA1553" s="87"/>
      <c r="AB1553" s="87"/>
      <c r="AM1553" s="87"/>
      <c r="AN1553" s="87"/>
      <c r="AO1553" s="87"/>
      <c r="AP1553" s="87"/>
      <c r="AQ1553" s="87"/>
      <c r="AR1553" s="87"/>
      <c r="BC1553" s="87"/>
      <c r="BD1553" s="87"/>
      <c r="BE1553" s="87"/>
      <c r="BF1553" s="87"/>
      <c r="BG1553" s="87"/>
      <c r="BH1553" s="87"/>
    </row>
    <row r="1554" spans="23:60" x14ac:dyDescent="0.3">
      <c r="W1554" s="87"/>
      <c r="X1554" s="87"/>
      <c r="Y1554" s="87"/>
      <c r="Z1554" s="87"/>
      <c r="AA1554" s="87"/>
      <c r="AB1554" s="87"/>
      <c r="AM1554" s="87"/>
      <c r="AN1554" s="87"/>
      <c r="AO1554" s="87"/>
      <c r="AP1554" s="87"/>
      <c r="AQ1554" s="87"/>
      <c r="AR1554" s="87"/>
      <c r="BC1554" s="87"/>
      <c r="BD1554" s="87"/>
      <c r="BE1554" s="87"/>
      <c r="BF1554" s="87"/>
      <c r="BG1554" s="87"/>
      <c r="BH1554" s="87"/>
    </row>
    <row r="1555" spans="23:60" x14ac:dyDescent="0.3">
      <c r="W1555" s="87"/>
      <c r="X1555" s="87"/>
      <c r="Y1555" s="87"/>
      <c r="Z1555" s="87"/>
      <c r="AA1555" s="87"/>
      <c r="AB1555" s="87"/>
      <c r="AM1555" s="87"/>
      <c r="AN1555" s="87"/>
      <c r="AO1555" s="87"/>
      <c r="AP1555" s="87"/>
      <c r="AQ1555" s="87"/>
      <c r="AR1555" s="87"/>
      <c r="BC1555" s="87"/>
      <c r="BD1555" s="87"/>
      <c r="BE1555" s="87"/>
      <c r="BF1555" s="87"/>
      <c r="BG1555" s="87"/>
      <c r="BH1555" s="87"/>
    </row>
    <row r="1556" spans="23:60" x14ac:dyDescent="0.3">
      <c r="W1556" s="87"/>
      <c r="X1556" s="87"/>
      <c r="Y1556" s="87"/>
      <c r="Z1556" s="87"/>
      <c r="AA1556" s="87"/>
      <c r="AB1556" s="87"/>
      <c r="AM1556" s="87"/>
      <c r="AN1556" s="87"/>
      <c r="AO1556" s="87"/>
      <c r="AP1556" s="87"/>
      <c r="AQ1556" s="87"/>
      <c r="AR1556" s="87"/>
      <c r="BC1556" s="87"/>
      <c r="BD1556" s="87"/>
      <c r="BE1556" s="87"/>
      <c r="BF1556" s="87"/>
      <c r="BG1556" s="87"/>
      <c r="BH1556" s="87"/>
    </row>
    <row r="1557" spans="23:60" x14ac:dyDescent="0.3">
      <c r="W1557" s="87"/>
      <c r="X1557" s="87"/>
      <c r="Y1557" s="87"/>
      <c r="Z1557" s="87"/>
      <c r="AA1557" s="87"/>
      <c r="AB1557" s="87"/>
      <c r="AM1557" s="87"/>
      <c r="AN1557" s="87"/>
      <c r="AO1557" s="87"/>
      <c r="AP1557" s="87"/>
      <c r="AQ1557" s="87"/>
      <c r="AR1557" s="87"/>
      <c r="BC1557" s="87"/>
      <c r="BD1557" s="87"/>
      <c r="BE1557" s="87"/>
      <c r="BF1557" s="87"/>
      <c r="BG1557" s="87"/>
      <c r="BH1557" s="87"/>
    </row>
    <row r="1558" spans="23:60" x14ac:dyDescent="0.3">
      <c r="W1558" s="87"/>
      <c r="X1558" s="87"/>
      <c r="Y1558" s="87"/>
      <c r="Z1558" s="87"/>
      <c r="AA1558" s="87"/>
      <c r="AB1558" s="87"/>
      <c r="AM1558" s="87"/>
      <c r="AN1558" s="87"/>
      <c r="AO1558" s="87"/>
      <c r="AP1558" s="87"/>
      <c r="AQ1558" s="87"/>
      <c r="AR1558" s="87"/>
      <c r="BC1558" s="87"/>
      <c r="BD1558" s="87"/>
      <c r="BE1558" s="87"/>
      <c r="BF1558" s="87"/>
      <c r="BG1558" s="87"/>
      <c r="BH1558" s="87"/>
    </row>
    <row r="1559" spans="23:60" x14ac:dyDescent="0.3">
      <c r="W1559" s="87"/>
      <c r="X1559" s="87"/>
      <c r="Y1559" s="87"/>
      <c r="Z1559" s="87"/>
      <c r="AA1559" s="87"/>
      <c r="AB1559" s="87"/>
      <c r="AM1559" s="87"/>
      <c r="AN1559" s="87"/>
      <c r="AO1559" s="87"/>
      <c r="AP1559" s="87"/>
      <c r="AQ1559" s="87"/>
      <c r="AR1559" s="87"/>
      <c r="BC1559" s="87"/>
      <c r="BD1559" s="87"/>
      <c r="BE1559" s="87"/>
      <c r="BF1559" s="87"/>
      <c r="BG1559" s="87"/>
      <c r="BH1559" s="87"/>
    </row>
    <row r="1560" spans="23:60" x14ac:dyDescent="0.3">
      <c r="W1560" s="87"/>
      <c r="X1560" s="87"/>
      <c r="Y1560" s="87"/>
      <c r="Z1560" s="87"/>
      <c r="AA1560" s="87"/>
      <c r="AB1560" s="87"/>
      <c r="AM1560" s="87"/>
      <c r="AN1560" s="87"/>
      <c r="AO1560" s="87"/>
      <c r="AP1560" s="87"/>
      <c r="AQ1560" s="87"/>
      <c r="AR1560" s="87"/>
      <c r="BC1560" s="87"/>
      <c r="BD1560" s="87"/>
      <c r="BE1560" s="87"/>
      <c r="BF1560" s="87"/>
      <c r="BG1560" s="87"/>
      <c r="BH1560" s="87"/>
    </row>
    <row r="1561" spans="23:60" x14ac:dyDescent="0.3">
      <c r="W1561" s="87"/>
      <c r="X1561" s="87"/>
      <c r="Y1561" s="87"/>
      <c r="Z1561" s="87"/>
      <c r="AA1561" s="87"/>
      <c r="AB1561" s="87"/>
      <c r="AM1561" s="87"/>
      <c r="AN1561" s="87"/>
      <c r="AO1561" s="87"/>
      <c r="AP1561" s="87"/>
      <c r="AQ1561" s="87"/>
      <c r="AR1561" s="87"/>
      <c r="BC1561" s="87"/>
      <c r="BD1561" s="87"/>
      <c r="BE1561" s="87"/>
      <c r="BF1561" s="87"/>
      <c r="BG1561" s="87"/>
      <c r="BH1561" s="87"/>
    </row>
    <row r="1562" spans="23:60" x14ac:dyDescent="0.3">
      <c r="W1562" s="87"/>
      <c r="X1562" s="87"/>
      <c r="Y1562" s="87"/>
      <c r="Z1562" s="87"/>
      <c r="AA1562" s="87"/>
      <c r="AB1562" s="87"/>
      <c r="AM1562" s="87"/>
      <c r="AN1562" s="87"/>
      <c r="AO1562" s="87"/>
      <c r="AP1562" s="87"/>
      <c r="AQ1562" s="87"/>
      <c r="AR1562" s="87"/>
      <c r="BC1562" s="87"/>
      <c r="BD1562" s="87"/>
      <c r="BE1562" s="87"/>
      <c r="BF1562" s="87"/>
      <c r="BG1562" s="87"/>
      <c r="BH1562" s="87"/>
    </row>
    <row r="1563" spans="23:60" x14ac:dyDescent="0.3">
      <c r="W1563" s="87"/>
      <c r="X1563" s="87"/>
      <c r="Y1563" s="87"/>
      <c r="Z1563" s="87"/>
      <c r="AA1563" s="87"/>
      <c r="AB1563" s="87"/>
      <c r="AM1563" s="87"/>
      <c r="AN1563" s="87"/>
      <c r="AO1563" s="87"/>
      <c r="AP1563" s="87"/>
      <c r="AQ1563" s="87"/>
      <c r="AR1563" s="87"/>
      <c r="BC1563" s="87"/>
      <c r="BD1563" s="87"/>
      <c r="BE1563" s="87"/>
      <c r="BF1563" s="87"/>
      <c r="BG1563" s="87"/>
      <c r="BH1563" s="87"/>
    </row>
    <row r="1564" spans="23:60" x14ac:dyDescent="0.3">
      <c r="W1564" s="87"/>
      <c r="X1564" s="87"/>
      <c r="Y1564" s="87"/>
      <c r="Z1564" s="87"/>
      <c r="AA1564" s="87"/>
      <c r="AB1564" s="87"/>
      <c r="AM1564" s="87"/>
      <c r="AN1564" s="87"/>
      <c r="AO1564" s="87"/>
      <c r="AP1564" s="87"/>
      <c r="AQ1564" s="87"/>
      <c r="AR1564" s="87"/>
      <c r="BC1564" s="87"/>
      <c r="BD1564" s="87"/>
      <c r="BE1564" s="87"/>
      <c r="BF1564" s="87"/>
      <c r="BG1564" s="87"/>
      <c r="BH1564" s="87"/>
    </row>
    <row r="1565" spans="23:60" x14ac:dyDescent="0.3">
      <c r="W1565" s="87"/>
      <c r="X1565" s="87"/>
      <c r="Y1565" s="87"/>
      <c r="Z1565" s="87"/>
      <c r="AA1565" s="87"/>
      <c r="AB1565" s="87"/>
      <c r="AM1565" s="87"/>
      <c r="AN1565" s="87"/>
      <c r="AO1565" s="87"/>
      <c r="AP1565" s="87"/>
      <c r="AQ1565" s="87"/>
      <c r="AR1565" s="87"/>
      <c r="BC1565" s="87"/>
      <c r="BD1565" s="87"/>
      <c r="BE1565" s="87"/>
      <c r="BF1565" s="87"/>
      <c r="BG1565" s="87"/>
      <c r="BH1565" s="87"/>
    </row>
    <row r="1566" spans="23:60" x14ac:dyDescent="0.3">
      <c r="W1566" s="87"/>
      <c r="X1566" s="87"/>
      <c r="Y1566" s="87"/>
      <c r="Z1566" s="87"/>
      <c r="AA1566" s="87"/>
      <c r="AB1566" s="87"/>
      <c r="AM1566" s="87"/>
      <c r="AN1566" s="87"/>
      <c r="AO1566" s="87"/>
      <c r="AP1566" s="87"/>
      <c r="AQ1566" s="87"/>
      <c r="AR1566" s="87"/>
      <c r="BC1566" s="87"/>
      <c r="BD1566" s="87"/>
      <c r="BE1566" s="87"/>
      <c r="BF1566" s="87"/>
      <c r="BG1566" s="87"/>
      <c r="BH1566" s="87"/>
    </row>
    <row r="1567" spans="23:60" x14ac:dyDescent="0.3">
      <c r="W1567" s="87"/>
      <c r="X1567" s="87"/>
      <c r="Y1567" s="87"/>
      <c r="Z1567" s="87"/>
      <c r="AA1567" s="87"/>
      <c r="AB1567" s="87"/>
      <c r="AM1567" s="87"/>
      <c r="AN1567" s="87"/>
      <c r="AO1567" s="87"/>
      <c r="AP1567" s="87"/>
      <c r="AQ1567" s="87"/>
      <c r="AR1567" s="87"/>
      <c r="BC1567" s="87"/>
      <c r="BD1567" s="87"/>
      <c r="BE1567" s="87"/>
      <c r="BF1567" s="87"/>
      <c r="BG1567" s="87"/>
      <c r="BH1567" s="87"/>
    </row>
    <row r="1568" spans="23:60" x14ac:dyDescent="0.3">
      <c r="W1568" s="87"/>
      <c r="X1568" s="87"/>
      <c r="Y1568" s="87"/>
      <c r="Z1568" s="87"/>
      <c r="AA1568" s="87"/>
      <c r="AB1568" s="87"/>
      <c r="AM1568" s="87"/>
      <c r="AN1568" s="87"/>
      <c r="AO1568" s="87"/>
      <c r="AP1568" s="87"/>
      <c r="AQ1568" s="87"/>
      <c r="AR1568" s="87"/>
      <c r="BC1568" s="87"/>
      <c r="BD1568" s="87"/>
      <c r="BE1568" s="87"/>
      <c r="BF1568" s="87"/>
      <c r="BG1568" s="87"/>
      <c r="BH1568" s="87"/>
    </row>
    <row r="1569" spans="23:60" x14ac:dyDescent="0.3">
      <c r="W1569" s="87"/>
      <c r="X1569" s="87"/>
      <c r="Y1569" s="87"/>
      <c r="Z1569" s="87"/>
      <c r="AA1569" s="87"/>
      <c r="AB1569" s="87"/>
      <c r="AM1569" s="87"/>
      <c r="AN1569" s="87"/>
      <c r="AO1569" s="87"/>
      <c r="AP1569" s="87"/>
      <c r="AQ1569" s="87"/>
      <c r="AR1569" s="87"/>
      <c r="BC1569" s="87"/>
      <c r="BD1569" s="87"/>
      <c r="BE1569" s="87"/>
      <c r="BF1569" s="87"/>
      <c r="BG1569" s="87"/>
      <c r="BH1569" s="87"/>
    </row>
    <row r="1570" spans="23:60" x14ac:dyDescent="0.3">
      <c r="W1570" s="87"/>
      <c r="X1570" s="87"/>
      <c r="Y1570" s="87"/>
      <c r="Z1570" s="87"/>
      <c r="AA1570" s="87"/>
      <c r="AB1570" s="87"/>
      <c r="AM1570" s="87"/>
      <c r="AN1570" s="87"/>
      <c r="AO1570" s="87"/>
      <c r="AP1570" s="87"/>
      <c r="AQ1570" s="87"/>
      <c r="AR1570" s="87"/>
      <c r="BC1570" s="87"/>
      <c r="BD1570" s="87"/>
      <c r="BE1570" s="87"/>
      <c r="BF1570" s="87"/>
      <c r="BG1570" s="87"/>
      <c r="BH1570" s="87"/>
    </row>
    <row r="1571" spans="23:60" x14ac:dyDescent="0.3">
      <c r="W1571" s="87"/>
      <c r="X1571" s="87"/>
      <c r="Y1571" s="87"/>
      <c r="Z1571" s="87"/>
      <c r="AA1571" s="87"/>
      <c r="AB1571" s="87"/>
      <c r="AM1571" s="87"/>
      <c r="AN1571" s="87"/>
      <c r="AO1571" s="87"/>
      <c r="AP1571" s="87"/>
      <c r="AQ1571" s="87"/>
      <c r="AR1571" s="87"/>
      <c r="BC1571" s="87"/>
      <c r="BD1571" s="87"/>
      <c r="BE1571" s="87"/>
      <c r="BF1571" s="87"/>
      <c r="BG1571" s="87"/>
      <c r="BH1571" s="87"/>
    </row>
    <row r="1572" spans="23:60" x14ac:dyDescent="0.3">
      <c r="W1572" s="87"/>
      <c r="X1572" s="87"/>
      <c r="Y1572" s="87"/>
      <c r="Z1572" s="87"/>
      <c r="AA1572" s="87"/>
      <c r="AB1572" s="87"/>
      <c r="AM1572" s="87"/>
      <c r="AN1572" s="87"/>
      <c r="AO1572" s="87"/>
      <c r="AP1572" s="87"/>
      <c r="AQ1572" s="87"/>
      <c r="AR1572" s="87"/>
      <c r="BC1572" s="87"/>
      <c r="BD1572" s="87"/>
      <c r="BE1572" s="87"/>
      <c r="BF1572" s="87"/>
      <c r="BG1572" s="87"/>
      <c r="BH1572" s="87"/>
    </row>
    <row r="1573" spans="23:60" x14ac:dyDescent="0.3">
      <c r="W1573" s="87"/>
      <c r="X1573" s="87"/>
      <c r="Y1573" s="87"/>
      <c r="Z1573" s="87"/>
      <c r="AA1573" s="87"/>
      <c r="AB1573" s="87"/>
      <c r="AM1573" s="87"/>
      <c r="AN1573" s="87"/>
      <c r="AO1573" s="87"/>
      <c r="AP1573" s="87"/>
      <c r="AQ1573" s="87"/>
      <c r="AR1573" s="87"/>
      <c r="BC1573" s="87"/>
      <c r="BD1573" s="87"/>
      <c r="BE1573" s="87"/>
      <c r="BF1573" s="87"/>
      <c r="BG1573" s="87"/>
      <c r="BH1573" s="87"/>
    </row>
    <row r="1574" spans="23:60" x14ac:dyDescent="0.3">
      <c r="W1574" s="87"/>
      <c r="X1574" s="87"/>
      <c r="Y1574" s="87"/>
      <c r="Z1574" s="87"/>
      <c r="AA1574" s="87"/>
      <c r="AB1574" s="87"/>
      <c r="AM1574" s="87"/>
      <c r="AN1574" s="87"/>
      <c r="AO1574" s="87"/>
      <c r="AP1574" s="87"/>
      <c r="AQ1574" s="87"/>
      <c r="AR1574" s="87"/>
      <c r="BC1574" s="87"/>
      <c r="BD1574" s="87"/>
      <c r="BE1574" s="87"/>
      <c r="BF1574" s="87"/>
      <c r="BG1574" s="87"/>
      <c r="BH1574" s="87"/>
    </row>
    <row r="1575" spans="23:60" x14ac:dyDescent="0.3">
      <c r="W1575" s="87"/>
      <c r="X1575" s="87"/>
      <c r="Y1575" s="87"/>
      <c r="Z1575" s="87"/>
      <c r="AA1575" s="87"/>
      <c r="AB1575" s="87"/>
      <c r="AM1575" s="87"/>
      <c r="AN1575" s="87"/>
      <c r="AO1575" s="87"/>
      <c r="AP1575" s="87"/>
      <c r="AQ1575" s="87"/>
      <c r="AR1575" s="87"/>
      <c r="BC1575" s="87"/>
      <c r="BD1575" s="87"/>
      <c r="BE1575" s="87"/>
      <c r="BF1575" s="87"/>
      <c r="BG1575" s="87"/>
      <c r="BH1575" s="87"/>
    </row>
    <row r="1576" spans="23:60" x14ac:dyDescent="0.3">
      <c r="W1576" s="87"/>
      <c r="X1576" s="87"/>
      <c r="Y1576" s="87"/>
      <c r="Z1576" s="87"/>
      <c r="AA1576" s="87"/>
      <c r="AB1576" s="87"/>
      <c r="AM1576" s="87"/>
      <c r="AN1576" s="87"/>
      <c r="AO1576" s="87"/>
      <c r="AP1576" s="87"/>
      <c r="AQ1576" s="87"/>
      <c r="AR1576" s="87"/>
      <c r="BC1576" s="87"/>
      <c r="BD1576" s="87"/>
      <c r="BE1576" s="87"/>
      <c r="BF1576" s="87"/>
      <c r="BG1576" s="87"/>
      <c r="BH1576" s="87"/>
    </row>
    <row r="1577" spans="23:60" x14ac:dyDescent="0.3">
      <c r="W1577" s="87"/>
      <c r="X1577" s="87"/>
      <c r="Y1577" s="87"/>
      <c r="Z1577" s="87"/>
      <c r="AA1577" s="87"/>
      <c r="AB1577" s="87"/>
      <c r="AM1577" s="87"/>
      <c r="AN1577" s="87"/>
      <c r="AO1577" s="87"/>
      <c r="AP1577" s="87"/>
      <c r="AQ1577" s="87"/>
      <c r="AR1577" s="87"/>
      <c r="BC1577" s="87"/>
      <c r="BD1577" s="87"/>
      <c r="BE1577" s="87"/>
      <c r="BF1577" s="87"/>
      <c r="BG1577" s="87"/>
      <c r="BH1577" s="87"/>
    </row>
    <row r="1578" spans="23:60" x14ac:dyDescent="0.3">
      <c r="W1578" s="87"/>
      <c r="X1578" s="87"/>
      <c r="Y1578" s="87"/>
      <c r="Z1578" s="87"/>
      <c r="AA1578" s="87"/>
      <c r="AB1578" s="87"/>
      <c r="AM1578" s="87"/>
      <c r="AN1578" s="87"/>
      <c r="AO1578" s="87"/>
      <c r="AP1578" s="87"/>
      <c r="AQ1578" s="87"/>
      <c r="AR1578" s="87"/>
      <c r="BC1578" s="87"/>
      <c r="BD1578" s="87"/>
      <c r="BE1578" s="87"/>
      <c r="BF1578" s="87"/>
      <c r="BG1578" s="87"/>
      <c r="BH1578" s="87"/>
    </row>
    <row r="1579" spans="23:60" x14ac:dyDescent="0.3">
      <c r="W1579" s="87"/>
      <c r="X1579" s="87"/>
      <c r="Y1579" s="87"/>
      <c r="Z1579" s="87"/>
      <c r="AA1579" s="87"/>
      <c r="AB1579" s="87"/>
      <c r="AM1579" s="87"/>
      <c r="AN1579" s="87"/>
      <c r="AO1579" s="87"/>
      <c r="AP1579" s="87"/>
      <c r="AQ1579" s="87"/>
      <c r="AR1579" s="87"/>
      <c r="BC1579" s="87"/>
      <c r="BD1579" s="87"/>
      <c r="BE1579" s="87"/>
      <c r="BF1579" s="87"/>
      <c r="BG1579" s="87"/>
      <c r="BH1579" s="87"/>
    </row>
    <row r="1580" spans="23:60" x14ac:dyDescent="0.3">
      <c r="W1580" s="87"/>
      <c r="X1580" s="87"/>
      <c r="Y1580" s="87"/>
      <c r="Z1580" s="87"/>
      <c r="AA1580" s="87"/>
      <c r="AB1580" s="87"/>
      <c r="AM1580" s="87"/>
      <c r="AN1580" s="87"/>
      <c r="AO1580" s="87"/>
      <c r="AP1580" s="87"/>
      <c r="AQ1580" s="87"/>
      <c r="AR1580" s="87"/>
      <c r="BC1580" s="87"/>
      <c r="BD1580" s="87"/>
      <c r="BE1580" s="87"/>
      <c r="BF1580" s="87"/>
      <c r="BG1580" s="87"/>
      <c r="BH1580" s="87"/>
    </row>
    <row r="1581" spans="23:60" x14ac:dyDescent="0.3">
      <c r="W1581" s="87"/>
      <c r="X1581" s="87"/>
      <c r="Y1581" s="87"/>
      <c r="Z1581" s="87"/>
      <c r="AA1581" s="87"/>
      <c r="AB1581" s="87"/>
      <c r="AM1581" s="87"/>
      <c r="AN1581" s="87"/>
      <c r="AO1581" s="87"/>
      <c r="AP1581" s="87"/>
      <c r="AQ1581" s="87"/>
      <c r="AR1581" s="87"/>
      <c r="BC1581" s="87"/>
      <c r="BD1581" s="87"/>
      <c r="BE1581" s="87"/>
      <c r="BF1581" s="87"/>
      <c r="BG1581" s="87"/>
      <c r="BH1581" s="87"/>
    </row>
    <row r="1582" spans="23:60" x14ac:dyDescent="0.3">
      <c r="W1582" s="87"/>
      <c r="X1582" s="87"/>
      <c r="Y1582" s="87"/>
      <c r="Z1582" s="87"/>
      <c r="AA1582" s="87"/>
      <c r="AB1582" s="87"/>
      <c r="AM1582" s="87"/>
      <c r="AN1582" s="87"/>
      <c r="AO1582" s="87"/>
      <c r="AP1582" s="87"/>
      <c r="AQ1582" s="87"/>
      <c r="AR1582" s="87"/>
      <c r="BC1582" s="87"/>
      <c r="BD1582" s="87"/>
      <c r="BE1582" s="87"/>
      <c r="BF1582" s="87"/>
      <c r="BG1582" s="87"/>
      <c r="BH1582" s="87"/>
    </row>
    <row r="1583" spans="23:60" x14ac:dyDescent="0.3">
      <c r="W1583" s="87"/>
      <c r="X1583" s="87"/>
      <c r="Y1583" s="87"/>
      <c r="Z1583" s="87"/>
      <c r="AA1583" s="87"/>
      <c r="AB1583" s="87"/>
      <c r="AM1583" s="87"/>
      <c r="AN1583" s="87"/>
      <c r="AO1583" s="87"/>
      <c r="AP1583" s="87"/>
      <c r="AQ1583" s="87"/>
      <c r="AR1583" s="87"/>
      <c r="BC1583" s="87"/>
      <c r="BD1583" s="87"/>
      <c r="BE1583" s="87"/>
      <c r="BF1583" s="87"/>
      <c r="BG1583" s="87"/>
      <c r="BH1583" s="87"/>
    </row>
    <row r="1584" spans="23:60" x14ac:dyDescent="0.3">
      <c r="W1584" s="87"/>
      <c r="X1584" s="87"/>
      <c r="Y1584" s="87"/>
      <c r="Z1584" s="87"/>
      <c r="AA1584" s="87"/>
      <c r="AB1584" s="87"/>
      <c r="AM1584" s="87"/>
      <c r="AN1584" s="87"/>
      <c r="AO1584" s="87"/>
      <c r="AP1584" s="87"/>
      <c r="AQ1584" s="87"/>
      <c r="AR1584" s="87"/>
      <c r="BC1584" s="87"/>
      <c r="BD1584" s="87"/>
      <c r="BE1584" s="87"/>
      <c r="BF1584" s="87"/>
      <c r="BG1584" s="87"/>
      <c r="BH1584" s="87"/>
    </row>
    <row r="1585" spans="23:60" x14ac:dyDescent="0.3">
      <c r="W1585" s="87"/>
      <c r="X1585" s="87"/>
      <c r="Y1585" s="87"/>
      <c r="Z1585" s="87"/>
      <c r="AA1585" s="87"/>
      <c r="AB1585" s="87"/>
      <c r="AM1585" s="87"/>
      <c r="AN1585" s="87"/>
      <c r="AO1585" s="87"/>
      <c r="AP1585" s="87"/>
      <c r="AQ1585" s="87"/>
      <c r="AR1585" s="87"/>
      <c r="BC1585" s="87"/>
      <c r="BD1585" s="87"/>
      <c r="BE1585" s="87"/>
      <c r="BF1585" s="87"/>
      <c r="BG1585" s="87"/>
      <c r="BH1585" s="87"/>
    </row>
    <row r="1586" spans="23:60" x14ac:dyDescent="0.3">
      <c r="W1586" s="87"/>
      <c r="X1586" s="87"/>
      <c r="Y1586" s="87"/>
      <c r="Z1586" s="87"/>
      <c r="AA1586" s="87"/>
      <c r="AB1586" s="87"/>
      <c r="AM1586" s="87"/>
      <c r="AN1586" s="87"/>
      <c r="AO1586" s="87"/>
      <c r="AP1586" s="87"/>
      <c r="AQ1586" s="87"/>
      <c r="AR1586" s="87"/>
      <c r="BC1586" s="87"/>
      <c r="BD1586" s="87"/>
      <c r="BE1586" s="87"/>
      <c r="BF1586" s="87"/>
      <c r="BG1586" s="87"/>
      <c r="BH1586" s="87"/>
    </row>
    <row r="1587" spans="23:60" x14ac:dyDescent="0.3">
      <c r="W1587" s="87"/>
      <c r="X1587" s="87"/>
      <c r="Y1587" s="87"/>
      <c r="Z1587" s="87"/>
      <c r="AA1587" s="87"/>
      <c r="AB1587" s="87"/>
      <c r="AM1587" s="87"/>
      <c r="AN1587" s="87"/>
      <c r="AO1587" s="87"/>
      <c r="AP1587" s="87"/>
      <c r="AQ1587" s="87"/>
      <c r="AR1587" s="87"/>
      <c r="BC1587" s="87"/>
      <c r="BD1587" s="87"/>
      <c r="BE1587" s="87"/>
      <c r="BF1587" s="87"/>
      <c r="BG1587" s="87"/>
      <c r="BH1587" s="87"/>
    </row>
    <row r="1588" spans="23:60" x14ac:dyDescent="0.3">
      <c r="W1588" s="87"/>
      <c r="X1588" s="87"/>
      <c r="Y1588" s="87"/>
      <c r="Z1588" s="87"/>
      <c r="AA1588" s="87"/>
      <c r="AB1588" s="87"/>
      <c r="AM1588" s="87"/>
      <c r="AN1588" s="87"/>
      <c r="AO1588" s="87"/>
      <c r="AP1588" s="87"/>
      <c r="AQ1588" s="87"/>
      <c r="AR1588" s="87"/>
      <c r="BC1588" s="87"/>
      <c r="BD1588" s="87"/>
      <c r="BE1588" s="87"/>
      <c r="BF1588" s="87"/>
      <c r="BG1588" s="87"/>
      <c r="BH1588" s="87"/>
    </row>
    <row r="1589" spans="23:60" x14ac:dyDescent="0.3">
      <c r="W1589" s="87"/>
      <c r="X1589" s="87"/>
      <c r="Y1589" s="87"/>
      <c r="Z1589" s="87"/>
      <c r="AA1589" s="87"/>
      <c r="AB1589" s="87"/>
      <c r="AM1589" s="87"/>
      <c r="AN1589" s="87"/>
      <c r="AO1589" s="87"/>
      <c r="AP1589" s="87"/>
      <c r="AQ1589" s="87"/>
      <c r="AR1589" s="87"/>
      <c r="BC1589" s="87"/>
      <c r="BD1589" s="87"/>
      <c r="BE1589" s="87"/>
      <c r="BF1589" s="87"/>
      <c r="BG1589" s="87"/>
      <c r="BH1589" s="87"/>
    </row>
    <row r="1590" spans="23:60" x14ac:dyDescent="0.3">
      <c r="W1590" s="87"/>
      <c r="X1590" s="87"/>
      <c r="Y1590" s="87"/>
      <c r="Z1590" s="87"/>
      <c r="AA1590" s="87"/>
      <c r="AB1590" s="87"/>
      <c r="AM1590" s="87"/>
      <c r="AN1590" s="87"/>
      <c r="AO1590" s="87"/>
      <c r="AP1590" s="87"/>
      <c r="AQ1590" s="87"/>
      <c r="AR1590" s="87"/>
      <c r="BC1590" s="87"/>
      <c r="BD1590" s="87"/>
      <c r="BE1590" s="87"/>
      <c r="BF1590" s="87"/>
      <c r="BG1590" s="87"/>
      <c r="BH1590" s="87"/>
    </row>
    <row r="1591" spans="23:60" x14ac:dyDescent="0.3">
      <c r="W1591" s="87"/>
      <c r="X1591" s="87"/>
      <c r="Y1591" s="87"/>
      <c r="Z1591" s="87"/>
      <c r="AA1591" s="87"/>
      <c r="AB1591" s="87"/>
      <c r="AM1591" s="87"/>
      <c r="AN1591" s="87"/>
      <c r="AO1591" s="87"/>
      <c r="AP1591" s="87"/>
      <c r="AQ1591" s="87"/>
      <c r="AR1591" s="87"/>
      <c r="BC1591" s="87"/>
      <c r="BD1591" s="87"/>
      <c r="BE1591" s="87"/>
      <c r="BF1591" s="87"/>
      <c r="BG1591" s="87"/>
      <c r="BH1591" s="87"/>
    </row>
    <row r="1592" spans="23:60" x14ac:dyDescent="0.3">
      <c r="W1592" s="87"/>
      <c r="X1592" s="87"/>
      <c r="Y1592" s="87"/>
      <c r="Z1592" s="87"/>
      <c r="AA1592" s="87"/>
      <c r="AB1592" s="87"/>
      <c r="AM1592" s="87"/>
      <c r="AN1592" s="87"/>
      <c r="AO1592" s="87"/>
      <c r="AP1592" s="87"/>
      <c r="AQ1592" s="87"/>
      <c r="AR1592" s="87"/>
      <c r="BC1592" s="87"/>
      <c r="BD1592" s="87"/>
      <c r="BE1592" s="87"/>
      <c r="BF1592" s="87"/>
      <c r="BG1592" s="87"/>
      <c r="BH1592" s="87"/>
    </row>
    <row r="1593" spans="23:60" x14ac:dyDescent="0.3">
      <c r="W1593" s="87"/>
      <c r="X1593" s="87"/>
      <c r="Y1593" s="87"/>
      <c r="Z1593" s="87"/>
      <c r="AA1593" s="87"/>
      <c r="AB1593" s="87"/>
      <c r="AM1593" s="87"/>
      <c r="AN1593" s="87"/>
      <c r="AO1593" s="87"/>
      <c r="AP1593" s="87"/>
      <c r="AQ1593" s="87"/>
      <c r="AR1593" s="87"/>
      <c r="BC1593" s="87"/>
      <c r="BD1593" s="87"/>
      <c r="BE1593" s="87"/>
      <c r="BF1593" s="87"/>
      <c r="BG1593" s="87"/>
      <c r="BH1593" s="87"/>
    </row>
    <row r="1594" spans="23:60" x14ac:dyDescent="0.3">
      <c r="W1594" s="87"/>
      <c r="X1594" s="87"/>
      <c r="Y1594" s="87"/>
      <c r="Z1594" s="87"/>
      <c r="AA1594" s="87"/>
      <c r="AB1594" s="87"/>
      <c r="AM1594" s="87"/>
      <c r="AN1594" s="87"/>
      <c r="AO1594" s="87"/>
      <c r="AP1594" s="87"/>
      <c r="AQ1594" s="87"/>
      <c r="AR1594" s="87"/>
      <c r="BC1594" s="87"/>
      <c r="BD1594" s="87"/>
      <c r="BE1594" s="87"/>
      <c r="BF1594" s="87"/>
      <c r="BG1594" s="87"/>
      <c r="BH1594" s="87"/>
    </row>
    <row r="1595" spans="23:60" x14ac:dyDescent="0.3">
      <c r="W1595" s="87"/>
      <c r="X1595" s="87"/>
      <c r="Y1595" s="87"/>
      <c r="Z1595" s="87"/>
      <c r="AA1595" s="87"/>
      <c r="AB1595" s="87"/>
      <c r="AM1595" s="87"/>
      <c r="AN1595" s="87"/>
      <c r="AO1595" s="87"/>
      <c r="AP1595" s="87"/>
      <c r="AQ1595" s="87"/>
      <c r="AR1595" s="87"/>
      <c r="BC1595" s="87"/>
      <c r="BD1595" s="87"/>
      <c r="BE1595" s="87"/>
      <c r="BF1595" s="87"/>
      <c r="BG1595" s="87"/>
      <c r="BH1595" s="87"/>
    </row>
    <row r="1596" spans="23:60" x14ac:dyDescent="0.3">
      <c r="W1596" s="87"/>
      <c r="X1596" s="87"/>
      <c r="Y1596" s="87"/>
      <c r="Z1596" s="87"/>
      <c r="AA1596" s="87"/>
      <c r="AB1596" s="87"/>
      <c r="AM1596" s="87"/>
      <c r="AN1596" s="87"/>
      <c r="AO1596" s="87"/>
      <c r="AP1596" s="87"/>
      <c r="AQ1596" s="87"/>
      <c r="AR1596" s="87"/>
      <c r="BC1596" s="87"/>
      <c r="BD1596" s="87"/>
      <c r="BE1596" s="87"/>
      <c r="BF1596" s="87"/>
      <c r="BG1596" s="87"/>
      <c r="BH1596" s="87"/>
    </row>
    <row r="1597" spans="23:60" x14ac:dyDescent="0.3">
      <c r="W1597" s="87"/>
      <c r="X1597" s="87"/>
      <c r="Y1597" s="87"/>
      <c r="Z1597" s="87"/>
      <c r="AA1597" s="87"/>
      <c r="AB1597" s="87"/>
      <c r="AM1597" s="87"/>
      <c r="AN1597" s="87"/>
      <c r="AO1597" s="87"/>
      <c r="AP1597" s="87"/>
      <c r="AQ1597" s="87"/>
      <c r="AR1597" s="87"/>
      <c r="BC1597" s="87"/>
      <c r="BD1597" s="87"/>
      <c r="BE1597" s="87"/>
      <c r="BF1597" s="87"/>
      <c r="BG1597" s="87"/>
      <c r="BH1597" s="87"/>
    </row>
    <row r="1598" spans="23:60" x14ac:dyDescent="0.3">
      <c r="W1598" s="87"/>
      <c r="X1598" s="87"/>
      <c r="Y1598" s="87"/>
      <c r="Z1598" s="87"/>
      <c r="AA1598" s="87"/>
      <c r="AB1598" s="87"/>
      <c r="AM1598" s="87"/>
      <c r="AN1598" s="87"/>
      <c r="AO1598" s="87"/>
      <c r="AP1598" s="87"/>
      <c r="AQ1598" s="87"/>
      <c r="AR1598" s="87"/>
      <c r="BC1598" s="87"/>
      <c r="BD1598" s="87"/>
      <c r="BE1598" s="87"/>
      <c r="BF1598" s="87"/>
      <c r="BG1598" s="87"/>
      <c r="BH1598" s="87"/>
    </row>
    <row r="1599" spans="23:60" x14ac:dyDescent="0.3">
      <c r="W1599" s="87"/>
      <c r="X1599" s="87"/>
      <c r="Y1599" s="87"/>
      <c r="Z1599" s="87"/>
      <c r="AA1599" s="87"/>
      <c r="AB1599" s="87"/>
      <c r="AM1599" s="87"/>
      <c r="AN1599" s="87"/>
      <c r="AO1599" s="87"/>
      <c r="AP1599" s="87"/>
      <c r="AQ1599" s="87"/>
      <c r="AR1599" s="87"/>
      <c r="BC1599" s="87"/>
      <c r="BD1599" s="87"/>
      <c r="BE1599" s="87"/>
      <c r="BF1599" s="87"/>
      <c r="BG1599" s="87"/>
      <c r="BH1599" s="87"/>
    </row>
    <row r="1600" spans="23:60" x14ac:dyDescent="0.3">
      <c r="W1600" s="87"/>
      <c r="X1600" s="87"/>
      <c r="Y1600" s="87"/>
      <c r="Z1600" s="87"/>
      <c r="AA1600" s="87"/>
      <c r="AB1600" s="87"/>
      <c r="AM1600" s="87"/>
      <c r="AN1600" s="87"/>
      <c r="AO1600" s="87"/>
      <c r="AP1600" s="87"/>
      <c r="AQ1600" s="87"/>
      <c r="AR1600" s="87"/>
      <c r="BC1600" s="87"/>
      <c r="BD1600" s="87"/>
      <c r="BE1600" s="87"/>
      <c r="BF1600" s="87"/>
      <c r="BG1600" s="87"/>
      <c r="BH1600" s="87"/>
    </row>
    <row r="1601" spans="23:60" x14ac:dyDescent="0.3">
      <c r="W1601" s="87"/>
      <c r="X1601" s="87"/>
      <c r="Y1601" s="87"/>
      <c r="Z1601" s="87"/>
      <c r="AA1601" s="87"/>
      <c r="AB1601" s="87"/>
      <c r="AM1601" s="87"/>
      <c r="AN1601" s="87"/>
      <c r="AO1601" s="87"/>
      <c r="AP1601" s="87"/>
      <c r="AQ1601" s="87"/>
      <c r="AR1601" s="87"/>
      <c r="BC1601" s="87"/>
      <c r="BD1601" s="87"/>
      <c r="BE1601" s="87"/>
      <c r="BF1601" s="87"/>
      <c r="BG1601" s="87"/>
      <c r="BH1601" s="87"/>
    </row>
    <row r="1602" spans="23:60" x14ac:dyDescent="0.3">
      <c r="W1602" s="87"/>
      <c r="X1602" s="87"/>
      <c r="Y1602" s="87"/>
      <c r="Z1602" s="87"/>
      <c r="AA1602" s="87"/>
      <c r="AB1602" s="87"/>
      <c r="AM1602" s="87"/>
      <c r="AN1602" s="87"/>
      <c r="AO1602" s="87"/>
      <c r="AP1602" s="87"/>
      <c r="AQ1602" s="87"/>
      <c r="AR1602" s="87"/>
      <c r="BC1602" s="87"/>
      <c r="BD1602" s="87"/>
      <c r="BE1602" s="87"/>
      <c r="BF1602" s="87"/>
      <c r="BG1602" s="87"/>
      <c r="BH1602" s="87"/>
    </row>
    <row r="1603" spans="23:60" x14ac:dyDescent="0.3">
      <c r="W1603" s="87"/>
      <c r="X1603" s="87"/>
      <c r="Y1603" s="87"/>
      <c r="Z1603" s="87"/>
      <c r="AA1603" s="87"/>
      <c r="AB1603" s="87"/>
      <c r="AM1603" s="87"/>
      <c r="AN1603" s="87"/>
      <c r="AO1603" s="87"/>
      <c r="AP1603" s="87"/>
      <c r="AQ1603" s="87"/>
      <c r="AR1603" s="87"/>
      <c r="BC1603" s="87"/>
      <c r="BD1603" s="87"/>
      <c r="BE1603" s="87"/>
      <c r="BF1603" s="87"/>
      <c r="BG1603" s="87"/>
      <c r="BH1603" s="87"/>
    </row>
    <row r="1604" spans="23:60" x14ac:dyDescent="0.3">
      <c r="W1604" s="87"/>
      <c r="X1604" s="87"/>
      <c r="Y1604" s="87"/>
      <c r="Z1604" s="87"/>
      <c r="AA1604" s="87"/>
      <c r="AB1604" s="87"/>
      <c r="AM1604" s="87"/>
      <c r="AN1604" s="87"/>
      <c r="AO1604" s="87"/>
      <c r="AP1604" s="87"/>
      <c r="AQ1604" s="87"/>
      <c r="AR1604" s="87"/>
      <c r="BC1604" s="87"/>
      <c r="BD1604" s="87"/>
      <c r="BE1604" s="87"/>
      <c r="BF1604" s="87"/>
      <c r="BG1604" s="87"/>
      <c r="BH1604" s="87"/>
    </row>
    <row r="1605" spans="23:60" x14ac:dyDescent="0.3">
      <c r="W1605" s="87"/>
      <c r="X1605" s="87"/>
      <c r="Y1605" s="87"/>
      <c r="Z1605" s="87"/>
      <c r="AA1605" s="87"/>
      <c r="AB1605" s="87"/>
      <c r="AM1605" s="87"/>
      <c r="AN1605" s="87"/>
      <c r="AO1605" s="87"/>
      <c r="AP1605" s="87"/>
      <c r="AQ1605" s="87"/>
      <c r="AR1605" s="87"/>
      <c r="BC1605" s="87"/>
      <c r="BD1605" s="87"/>
      <c r="BE1605" s="87"/>
      <c r="BF1605" s="87"/>
      <c r="BG1605" s="87"/>
      <c r="BH1605" s="87"/>
    </row>
    <row r="1606" spans="23:60" x14ac:dyDescent="0.3">
      <c r="W1606" s="87"/>
      <c r="X1606" s="87"/>
      <c r="Y1606" s="87"/>
      <c r="Z1606" s="87"/>
      <c r="AA1606" s="87"/>
      <c r="AB1606" s="87"/>
      <c r="AM1606" s="87"/>
      <c r="AN1606" s="87"/>
      <c r="AO1606" s="87"/>
      <c r="AP1606" s="87"/>
      <c r="AQ1606" s="87"/>
      <c r="AR1606" s="87"/>
      <c r="BC1606" s="87"/>
      <c r="BD1606" s="87"/>
      <c r="BE1606" s="87"/>
      <c r="BF1606" s="87"/>
      <c r="BG1606" s="87"/>
      <c r="BH1606" s="87"/>
    </row>
    <row r="1607" spans="23:60" x14ac:dyDescent="0.3">
      <c r="W1607" s="87"/>
      <c r="X1607" s="87"/>
      <c r="Y1607" s="87"/>
      <c r="Z1607" s="87"/>
      <c r="AA1607" s="87"/>
      <c r="AB1607" s="87"/>
      <c r="AM1607" s="87"/>
      <c r="AN1607" s="87"/>
      <c r="AO1607" s="87"/>
      <c r="AP1607" s="87"/>
      <c r="AQ1607" s="87"/>
      <c r="AR1607" s="87"/>
      <c r="BC1607" s="87"/>
      <c r="BD1607" s="87"/>
      <c r="BE1607" s="87"/>
      <c r="BF1607" s="87"/>
      <c r="BG1607" s="87"/>
      <c r="BH1607" s="87"/>
    </row>
    <row r="1608" spans="23:60" x14ac:dyDescent="0.3">
      <c r="W1608" s="87"/>
      <c r="X1608" s="87"/>
      <c r="Y1608" s="87"/>
      <c r="Z1608" s="87"/>
      <c r="AA1608" s="87"/>
      <c r="AB1608" s="87"/>
      <c r="AM1608" s="87"/>
      <c r="AN1608" s="87"/>
      <c r="AO1608" s="87"/>
      <c r="AP1608" s="87"/>
      <c r="AQ1608" s="87"/>
      <c r="AR1608" s="87"/>
      <c r="BC1608" s="87"/>
      <c r="BD1608" s="87"/>
      <c r="BE1608" s="87"/>
      <c r="BF1608" s="87"/>
      <c r="BG1608" s="87"/>
      <c r="BH1608" s="87"/>
    </row>
    <row r="1609" spans="23:60" x14ac:dyDescent="0.3">
      <c r="W1609" s="87"/>
      <c r="X1609" s="87"/>
      <c r="Y1609" s="87"/>
      <c r="Z1609" s="87"/>
      <c r="AA1609" s="87"/>
      <c r="AB1609" s="87"/>
      <c r="AM1609" s="87"/>
      <c r="AN1609" s="87"/>
      <c r="AO1609" s="87"/>
      <c r="AP1609" s="87"/>
      <c r="AQ1609" s="87"/>
      <c r="AR1609" s="87"/>
      <c r="BC1609" s="87"/>
      <c r="BD1609" s="87"/>
      <c r="BE1609" s="87"/>
      <c r="BF1609" s="87"/>
      <c r="BG1609" s="87"/>
      <c r="BH1609" s="87"/>
    </row>
    <row r="1610" spans="23:60" x14ac:dyDescent="0.3">
      <c r="W1610" s="87"/>
      <c r="X1610" s="87"/>
      <c r="Y1610" s="87"/>
      <c r="Z1610" s="87"/>
      <c r="AA1610" s="87"/>
      <c r="AB1610" s="87"/>
      <c r="AM1610" s="87"/>
      <c r="AN1610" s="87"/>
      <c r="AO1610" s="87"/>
      <c r="AP1610" s="87"/>
      <c r="AQ1610" s="87"/>
      <c r="AR1610" s="87"/>
      <c r="BC1610" s="87"/>
      <c r="BD1610" s="87"/>
      <c r="BE1610" s="87"/>
      <c r="BF1610" s="87"/>
      <c r="BG1610" s="87"/>
      <c r="BH1610" s="87"/>
    </row>
    <row r="1611" spans="23:60" x14ac:dyDescent="0.3">
      <c r="W1611" s="87"/>
      <c r="X1611" s="87"/>
      <c r="Y1611" s="87"/>
      <c r="Z1611" s="87"/>
      <c r="AA1611" s="87"/>
      <c r="AB1611" s="87"/>
      <c r="AM1611" s="87"/>
      <c r="AN1611" s="87"/>
      <c r="AO1611" s="87"/>
      <c r="AP1611" s="87"/>
      <c r="AQ1611" s="87"/>
      <c r="AR1611" s="87"/>
      <c r="BC1611" s="87"/>
      <c r="BD1611" s="87"/>
      <c r="BE1611" s="87"/>
      <c r="BF1611" s="87"/>
      <c r="BG1611" s="87"/>
      <c r="BH1611" s="87"/>
    </row>
    <row r="1612" spans="23:60" x14ac:dyDescent="0.3">
      <c r="W1612" s="87"/>
      <c r="X1612" s="87"/>
      <c r="Y1612" s="87"/>
      <c r="Z1612" s="87"/>
      <c r="AA1612" s="87"/>
      <c r="AB1612" s="87"/>
      <c r="AM1612" s="87"/>
      <c r="AN1612" s="87"/>
      <c r="AO1612" s="87"/>
      <c r="AP1612" s="87"/>
      <c r="AQ1612" s="87"/>
      <c r="AR1612" s="87"/>
      <c r="BC1612" s="87"/>
      <c r="BD1612" s="87"/>
      <c r="BE1612" s="87"/>
      <c r="BF1612" s="87"/>
      <c r="BG1612" s="87"/>
      <c r="BH1612" s="87"/>
    </row>
    <row r="1613" spans="23:60" x14ac:dyDescent="0.3">
      <c r="W1613" s="87"/>
      <c r="X1613" s="87"/>
      <c r="Y1613" s="87"/>
      <c r="Z1613" s="87"/>
      <c r="AA1613" s="87"/>
      <c r="AB1613" s="87"/>
      <c r="AM1613" s="87"/>
      <c r="AN1613" s="87"/>
      <c r="AO1613" s="87"/>
      <c r="AP1613" s="87"/>
      <c r="AQ1613" s="87"/>
      <c r="AR1613" s="87"/>
      <c r="BC1613" s="87"/>
      <c r="BD1613" s="87"/>
      <c r="BE1613" s="87"/>
      <c r="BF1613" s="87"/>
      <c r="BG1613" s="87"/>
      <c r="BH1613" s="87"/>
    </row>
    <row r="1614" spans="23:60" x14ac:dyDescent="0.3">
      <c r="W1614" s="87"/>
      <c r="X1614" s="87"/>
      <c r="Y1614" s="87"/>
      <c r="Z1614" s="87"/>
      <c r="AA1614" s="87"/>
      <c r="AB1614" s="87"/>
      <c r="AM1614" s="87"/>
      <c r="AN1614" s="87"/>
      <c r="AO1614" s="87"/>
      <c r="AP1614" s="87"/>
      <c r="AQ1614" s="87"/>
      <c r="AR1614" s="87"/>
      <c r="BC1614" s="87"/>
      <c r="BD1614" s="87"/>
      <c r="BE1614" s="87"/>
      <c r="BF1614" s="87"/>
      <c r="BG1614" s="87"/>
      <c r="BH1614" s="87"/>
    </row>
    <row r="1615" spans="23:60" x14ac:dyDescent="0.3">
      <c r="W1615" s="87"/>
      <c r="X1615" s="87"/>
      <c r="Y1615" s="87"/>
      <c r="Z1615" s="87"/>
      <c r="AA1615" s="87"/>
      <c r="AB1615" s="87"/>
      <c r="AM1615" s="87"/>
      <c r="AN1615" s="87"/>
      <c r="AO1615" s="87"/>
      <c r="AP1615" s="87"/>
      <c r="AQ1615" s="87"/>
      <c r="AR1615" s="87"/>
      <c r="BC1615" s="87"/>
      <c r="BD1615" s="87"/>
      <c r="BE1615" s="87"/>
      <c r="BF1615" s="87"/>
      <c r="BG1615" s="87"/>
      <c r="BH1615" s="87"/>
    </row>
    <row r="1616" spans="23:60" x14ac:dyDescent="0.3">
      <c r="W1616" s="87"/>
      <c r="X1616" s="87"/>
      <c r="Y1616" s="87"/>
      <c r="Z1616" s="87"/>
      <c r="AA1616" s="87"/>
      <c r="AB1616" s="87"/>
      <c r="AM1616" s="87"/>
      <c r="AN1616" s="87"/>
      <c r="AO1616" s="87"/>
      <c r="AP1616" s="87"/>
      <c r="AQ1616" s="87"/>
      <c r="AR1616" s="87"/>
      <c r="BC1616" s="87"/>
      <c r="BD1616" s="87"/>
      <c r="BE1616" s="87"/>
      <c r="BF1616" s="87"/>
      <c r="BG1616" s="87"/>
      <c r="BH1616" s="87"/>
    </row>
    <row r="1617" spans="23:60" x14ac:dyDescent="0.3">
      <c r="W1617" s="87"/>
      <c r="X1617" s="87"/>
      <c r="Y1617" s="87"/>
      <c r="Z1617" s="87"/>
      <c r="AA1617" s="87"/>
      <c r="AB1617" s="87"/>
      <c r="AM1617" s="87"/>
      <c r="AN1617" s="87"/>
      <c r="AO1617" s="87"/>
      <c r="AP1617" s="87"/>
      <c r="AQ1617" s="87"/>
      <c r="AR1617" s="87"/>
      <c r="BC1617" s="87"/>
      <c r="BD1617" s="87"/>
      <c r="BE1617" s="87"/>
      <c r="BF1617" s="87"/>
      <c r="BG1617" s="87"/>
      <c r="BH1617" s="87"/>
    </row>
    <row r="1618" spans="23:60" x14ac:dyDescent="0.3">
      <c r="W1618" s="87"/>
      <c r="X1618" s="87"/>
      <c r="Y1618" s="87"/>
      <c r="Z1618" s="87"/>
      <c r="AA1618" s="87"/>
      <c r="AB1618" s="87"/>
      <c r="AM1618" s="87"/>
      <c r="AN1618" s="87"/>
      <c r="AO1618" s="87"/>
      <c r="AP1618" s="87"/>
      <c r="AQ1618" s="87"/>
      <c r="AR1618" s="87"/>
      <c r="BC1618" s="87"/>
      <c r="BD1618" s="87"/>
      <c r="BE1618" s="87"/>
      <c r="BF1618" s="87"/>
      <c r="BG1618" s="87"/>
      <c r="BH1618" s="87"/>
    </row>
    <row r="1619" spans="23:60" x14ac:dyDescent="0.3">
      <c r="W1619" s="87"/>
      <c r="X1619" s="87"/>
      <c r="Y1619" s="87"/>
      <c r="Z1619" s="87"/>
      <c r="AA1619" s="87"/>
      <c r="AB1619" s="87"/>
      <c r="AM1619" s="87"/>
      <c r="AN1619" s="87"/>
      <c r="AO1619" s="87"/>
      <c r="AP1619" s="87"/>
      <c r="AQ1619" s="87"/>
      <c r="AR1619" s="87"/>
      <c r="BC1619" s="87"/>
      <c r="BD1619" s="87"/>
      <c r="BE1619" s="87"/>
      <c r="BF1619" s="87"/>
      <c r="BG1619" s="87"/>
      <c r="BH1619" s="87"/>
    </row>
    <row r="1620" spans="23:60" x14ac:dyDescent="0.3">
      <c r="W1620" s="87"/>
      <c r="X1620" s="87"/>
      <c r="Y1620" s="87"/>
      <c r="Z1620" s="87"/>
      <c r="AA1620" s="87"/>
      <c r="AB1620" s="87"/>
      <c r="AM1620" s="87"/>
      <c r="AN1620" s="87"/>
      <c r="AO1620" s="87"/>
      <c r="AP1620" s="87"/>
      <c r="AQ1620" s="87"/>
      <c r="AR1620" s="87"/>
      <c r="BC1620" s="87"/>
      <c r="BD1620" s="87"/>
      <c r="BE1620" s="87"/>
      <c r="BF1620" s="87"/>
      <c r="BG1620" s="87"/>
      <c r="BH1620" s="87"/>
    </row>
    <row r="1621" spans="23:60" x14ac:dyDescent="0.3">
      <c r="W1621" s="87"/>
      <c r="X1621" s="87"/>
      <c r="Y1621" s="87"/>
      <c r="Z1621" s="87"/>
      <c r="AA1621" s="87"/>
      <c r="AB1621" s="87"/>
      <c r="AM1621" s="87"/>
      <c r="AN1621" s="87"/>
      <c r="AO1621" s="87"/>
      <c r="AP1621" s="87"/>
      <c r="AQ1621" s="87"/>
      <c r="AR1621" s="87"/>
      <c r="BC1621" s="87"/>
      <c r="BD1621" s="87"/>
      <c r="BE1621" s="87"/>
      <c r="BF1621" s="87"/>
      <c r="BG1621" s="87"/>
      <c r="BH1621" s="87"/>
    </row>
    <row r="1622" spans="23:60" x14ac:dyDescent="0.3">
      <c r="W1622" s="87"/>
      <c r="X1622" s="87"/>
      <c r="Y1622" s="87"/>
      <c r="Z1622" s="87"/>
      <c r="AA1622" s="87"/>
      <c r="AB1622" s="87"/>
      <c r="AM1622" s="87"/>
      <c r="AN1622" s="87"/>
      <c r="AO1622" s="87"/>
      <c r="AP1622" s="87"/>
      <c r="AQ1622" s="87"/>
      <c r="AR1622" s="87"/>
      <c r="BC1622" s="87"/>
      <c r="BD1622" s="87"/>
      <c r="BE1622" s="87"/>
      <c r="BF1622" s="87"/>
      <c r="BG1622" s="87"/>
      <c r="BH1622" s="87"/>
    </row>
    <row r="1623" spans="23:60" x14ac:dyDescent="0.3">
      <c r="W1623" s="87"/>
      <c r="X1623" s="87"/>
      <c r="Y1623" s="87"/>
      <c r="Z1623" s="87"/>
      <c r="AA1623" s="87"/>
      <c r="AB1623" s="87"/>
      <c r="AM1623" s="87"/>
      <c r="AN1623" s="87"/>
      <c r="AO1623" s="87"/>
      <c r="AP1623" s="87"/>
      <c r="AQ1623" s="87"/>
      <c r="AR1623" s="87"/>
      <c r="BC1623" s="87"/>
      <c r="BD1623" s="87"/>
      <c r="BE1623" s="87"/>
      <c r="BF1623" s="87"/>
      <c r="BG1623" s="87"/>
      <c r="BH1623" s="87"/>
    </row>
    <row r="1624" spans="23:60" x14ac:dyDescent="0.3">
      <c r="W1624" s="87"/>
      <c r="X1624" s="87"/>
      <c r="Y1624" s="87"/>
      <c r="Z1624" s="87"/>
      <c r="AA1624" s="87"/>
      <c r="AB1624" s="87"/>
      <c r="AM1624" s="87"/>
      <c r="AN1624" s="87"/>
      <c r="AO1624" s="87"/>
      <c r="AP1624" s="87"/>
      <c r="AQ1624" s="87"/>
      <c r="AR1624" s="87"/>
      <c r="BC1624" s="87"/>
      <c r="BD1624" s="87"/>
      <c r="BE1624" s="87"/>
      <c r="BF1624" s="87"/>
      <c r="BG1624" s="87"/>
      <c r="BH1624" s="87"/>
    </row>
    <row r="1625" spans="23:60" x14ac:dyDescent="0.3">
      <c r="W1625" s="87"/>
      <c r="X1625" s="87"/>
      <c r="Y1625" s="87"/>
      <c r="Z1625" s="87"/>
      <c r="AA1625" s="87"/>
      <c r="AB1625" s="87"/>
      <c r="AM1625" s="87"/>
      <c r="AN1625" s="87"/>
      <c r="AO1625" s="87"/>
      <c r="AP1625" s="87"/>
      <c r="AQ1625" s="87"/>
      <c r="AR1625" s="87"/>
      <c r="BC1625" s="87"/>
      <c r="BD1625" s="87"/>
      <c r="BE1625" s="87"/>
      <c r="BF1625" s="87"/>
      <c r="BG1625" s="87"/>
      <c r="BH1625" s="87"/>
    </row>
    <row r="1626" spans="23:60" x14ac:dyDescent="0.3">
      <c r="W1626" s="87"/>
      <c r="X1626" s="87"/>
      <c r="Y1626" s="87"/>
      <c r="Z1626" s="87"/>
      <c r="AA1626" s="87"/>
      <c r="AB1626" s="87"/>
      <c r="AM1626" s="87"/>
      <c r="AN1626" s="87"/>
      <c r="AO1626" s="87"/>
      <c r="AP1626" s="87"/>
      <c r="AQ1626" s="87"/>
      <c r="AR1626" s="87"/>
      <c r="BC1626" s="87"/>
      <c r="BD1626" s="87"/>
      <c r="BE1626" s="87"/>
      <c r="BF1626" s="87"/>
      <c r="BG1626" s="87"/>
      <c r="BH1626" s="87"/>
    </row>
    <row r="1627" spans="23:60" x14ac:dyDescent="0.3">
      <c r="W1627" s="87"/>
      <c r="X1627" s="87"/>
      <c r="Y1627" s="87"/>
      <c r="Z1627" s="87"/>
      <c r="AA1627" s="87"/>
      <c r="AB1627" s="87"/>
      <c r="AM1627" s="87"/>
      <c r="AN1627" s="87"/>
      <c r="AO1627" s="87"/>
      <c r="AP1627" s="87"/>
      <c r="AQ1627" s="87"/>
      <c r="AR1627" s="87"/>
      <c r="BC1627" s="87"/>
      <c r="BD1627" s="87"/>
      <c r="BE1627" s="87"/>
      <c r="BF1627" s="87"/>
      <c r="BG1627" s="87"/>
      <c r="BH1627" s="87"/>
    </row>
    <row r="1628" spans="23:60" x14ac:dyDescent="0.3">
      <c r="W1628" s="87"/>
      <c r="X1628" s="87"/>
      <c r="Y1628" s="87"/>
      <c r="Z1628" s="87"/>
      <c r="AA1628" s="87"/>
      <c r="AB1628" s="87"/>
      <c r="AM1628" s="87"/>
      <c r="AN1628" s="87"/>
      <c r="AO1628" s="87"/>
      <c r="AP1628" s="87"/>
      <c r="AQ1628" s="87"/>
      <c r="AR1628" s="87"/>
      <c r="BC1628" s="87"/>
      <c r="BD1628" s="87"/>
      <c r="BE1628" s="87"/>
      <c r="BF1628" s="87"/>
      <c r="BG1628" s="87"/>
      <c r="BH1628" s="87"/>
    </row>
    <row r="1629" spans="23:60" x14ac:dyDescent="0.3">
      <c r="W1629" s="87"/>
      <c r="X1629" s="87"/>
      <c r="Y1629" s="87"/>
      <c r="Z1629" s="87"/>
      <c r="AA1629" s="87"/>
      <c r="AB1629" s="87"/>
      <c r="AM1629" s="87"/>
      <c r="AN1629" s="87"/>
      <c r="AO1629" s="87"/>
      <c r="AP1629" s="87"/>
      <c r="AQ1629" s="87"/>
      <c r="AR1629" s="87"/>
      <c r="BC1629" s="87"/>
      <c r="BD1629" s="87"/>
      <c r="BE1629" s="87"/>
      <c r="BF1629" s="87"/>
      <c r="BG1629" s="87"/>
      <c r="BH1629" s="87"/>
    </row>
    <row r="1630" spans="23:60" x14ac:dyDescent="0.3">
      <c r="W1630" s="87"/>
      <c r="X1630" s="87"/>
      <c r="Y1630" s="87"/>
      <c r="Z1630" s="87"/>
      <c r="AA1630" s="87"/>
      <c r="AB1630" s="87"/>
      <c r="AM1630" s="87"/>
      <c r="AN1630" s="87"/>
      <c r="AO1630" s="87"/>
      <c r="AP1630" s="87"/>
      <c r="AQ1630" s="87"/>
      <c r="AR1630" s="87"/>
      <c r="BC1630" s="87"/>
      <c r="BD1630" s="87"/>
      <c r="BE1630" s="87"/>
      <c r="BF1630" s="87"/>
      <c r="BG1630" s="87"/>
      <c r="BH1630" s="87"/>
    </row>
    <row r="1631" spans="23:60" x14ac:dyDescent="0.3">
      <c r="W1631" s="87"/>
      <c r="X1631" s="87"/>
      <c r="Y1631" s="87"/>
      <c r="Z1631" s="87"/>
      <c r="AA1631" s="87"/>
      <c r="AB1631" s="87"/>
      <c r="AM1631" s="87"/>
      <c r="AN1631" s="87"/>
      <c r="AO1631" s="87"/>
      <c r="AP1631" s="87"/>
      <c r="AQ1631" s="87"/>
      <c r="AR1631" s="87"/>
      <c r="BC1631" s="87"/>
      <c r="BD1631" s="87"/>
      <c r="BE1631" s="87"/>
      <c r="BF1631" s="87"/>
      <c r="BG1631" s="87"/>
      <c r="BH1631" s="87"/>
    </row>
    <row r="1632" spans="23:60" x14ac:dyDescent="0.3">
      <c r="W1632" s="87"/>
      <c r="X1632" s="87"/>
      <c r="Y1632" s="87"/>
      <c r="Z1632" s="87"/>
      <c r="AA1632" s="87"/>
      <c r="AB1632" s="87"/>
      <c r="AM1632" s="87"/>
      <c r="AN1632" s="87"/>
      <c r="AO1632" s="87"/>
      <c r="AP1632" s="87"/>
      <c r="AQ1632" s="87"/>
      <c r="AR1632" s="87"/>
      <c r="BC1632" s="87"/>
      <c r="BD1632" s="87"/>
      <c r="BE1632" s="87"/>
      <c r="BF1632" s="87"/>
      <c r="BG1632" s="87"/>
      <c r="BH1632" s="87"/>
    </row>
    <row r="1633" spans="23:60" x14ac:dyDescent="0.3">
      <c r="W1633" s="87"/>
      <c r="X1633" s="87"/>
      <c r="Y1633" s="87"/>
      <c r="Z1633" s="87"/>
      <c r="AA1633" s="87"/>
      <c r="AB1633" s="87"/>
      <c r="AM1633" s="87"/>
      <c r="AN1633" s="87"/>
      <c r="AO1633" s="87"/>
      <c r="AP1633" s="87"/>
      <c r="AQ1633" s="87"/>
      <c r="AR1633" s="87"/>
      <c r="BC1633" s="87"/>
      <c r="BD1633" s="87"/>
      <c r="BE1633" s="87"/>
      <c r="BF1633" s="87"/>
      <c r="BG1633" s="87"/>
      <c r="BH1633" s="87"/>
    </row>
    <row r="1634" spans="23:60" x14ac:dyDescent="0.3">
      <c r="W1634" s="87"/>
      <c r="X1634" s="87"/>
      <c r="Y1634" s="87"/>
      <c r="Z1634" s="87"/>
      <c r="AA1634" s="87"/>
      <c r="AB1634" s="87"/>
      <c r="AM1634" s="87"/>
      <c r="AN1634" s="87"/>
      <c r="AO1634" s="87"/>
      <c r="AP1634" s="87"/>
      <c r="AQ1634" s="87"/>
      <c r="AR1634" s="87"/>
      <c r="BC1634" s="87"/>
      <c r="BD1634" s="87"/>
      <c r="BE1634" s="87"/>
      <c r="BF1634" s="87"/>
      <c r="BG1634" s="87"/>
      <c r="BH1634" s="87"/>
    </row>
    <row r="1635" spans="23:60" x14ac:dyDescent="0.3">
      <c r="W1635" s="87"/>
      <c r="X1635" s="87"/>
      <c r="Y1635" s="87"/>
      <c r="Z1635" s="87"/>
      <c r="AA1635" s="87"/>
      <c r="AB1635" s="87"/>
      <c r="AM1635" s="87"/>
      <c r="AN1635" s="87"/>
      <c r="AO1635" s="87"/>
      <c r="AP1635" s="87"/>
      <c r="AQ1635" s="87"/>
      <c r="AR1635" s="87"/>
      <c r="BC1635" s="87"/>
      <c r="BD1635" s="87"/>
      <c r="BE1635" s="87"/>
      <c r="BF1635" s="87"/>
      <c r="BG1635" s="87"/>
      <c r="BH1635" s="87"/>
    </row>
    <row r="1636" spans="23:60" x14ac:dyDescent="0.3">
      <c r="W1636" s="87"/>
      <c r="X1636" s="87"/>
      <c r="Y1636" s="87"/>
      <c r="Z1636" s="87"/>
      <c r="AA1636" s="87"/>
      <c r="AB1636" s="87"/>
      <c r="AM1636" s="87"/>
      <c r="AN1636" s="87"/>
      <c r="AO1636" s="87"/>
      <c r="AP1636" s="87"/>
      <c r="AQ1636" s="87"/>
      <c r="AR1636" s="87"/>
      <c r="BC1636" s="87"/>
      <c r="BD1636" s="87"/>
      <c r="BE1636" s="87"/>
      <c r="BF1636" s="87"/>
      <c r="BG1636" s="87"/>
      <c r="BH1636" s="87"/>
    </row>
    <row r="1637" spans="23:60" x14ac:dyDescent="0.3">
      <c r="W1637" s="87"/>
      <c r="X1637" s="87"/>
      <c r="Y1637" s="87"/>
      <c r="Z1637" s="87"/>
      <c r="AA1637" s="87"/>
      <c r="AB1637" s="87"/>
      <c r="AM1637" s="87"/>
      <c r="AN1637" s="87"/>
      <c r="AO1637" s="87"/>
      <c r="AP1637" s="87"/>
      <c r="AQ1637" s="87"/>
      <c r="AR1637" s="87"/>
      <c r="BC1637" s="87"/>
      <c r="BD1637" s="87"/>
      <c r="BE1637" s="87"/>
      <c r="BF1637" s="87"/>
      <c r="BG1637" s="87"/>
      <c r="BH1637" s="87"/>
    </row>
    <row r="1638" spans="23:60" x14ac:dyDescent="0.3">
      <c r="W1638" s="87"/>
      <c r="X1638" s="87"/>
      <c r="Y1638" s="87"/>
      <c r="Z1638" s="87"/>
      <c r="AA1638" s="87"/>
      <c r="AB1638" s="87"/>
      <c r="AM1638" s="87"/>
      <c r="AN1638" s="87"/>
      <c r="AO1638" s="87"/>
      <c r="AP1638" s="87"/>
      <c r="AQ1638" s="87"/>
      <c r="AR1638" s="87"/>
      <c r="BC1638" s="87"/>
      <c r="BD1638" s="87"/>
      <c r="BE1638" s="87"/>
      <c r="BF1638" s="87"/>
      <c r="BG1638" s="87"/>
      <c r="BH1638" s="87"/>
    </row>
    <row r="1639" spans="23:60" x14ac:dyDescent="0.3">
      <c r="W1639" s="87"/>
      <c r="X1639" s="87"/>
      <c r="Y1639" s="87"/>
      <c r="Z1639" s="87"/>
      <c r="AA1639" s="87"/>
      <c r="AB1639" s="87"/>
      <c r="AM1639" s="87"/>
      <c r="AN1639" s="87"/>
      <c r="AO1639" s="87"/>
      <c r="AP1639" s="87"/>
      <c r="AQ1639" s="87"/>
      <c r="AR1639" s="87"/>
      <c r="BC1639" s="87"/>
      <c r="BD1639" s="87"/>
      <c r="BE1639" s="87"/>
      <c r="BF1639" s="87"/>
      <c r="BG1639" s="87"/>
      <c r="BH1639" s="87"/>
    </row>
    <row r="1640" spans="23:60" x14ac:dyDescent="0.3">
      <c r="W1640" s="87"/>
      <c r="X1640" s="87"/>
      <c r="Y1640" s="87"/>
      <c r="Z1640" s="87"/>
      <c r="AA1640" s="87"/>
      <c r="AB1640" s="87"/>
      <c r="AM1640" s="87"/>
      <c r="AN1640" s="87"/>
      <c r="AO1640" s="87"/>
      <c r="AP1640" s="87"/>
      <c r="AQ1640" s="87"/>
      <c r="AR1640" s="87"/>
      <c r="BC1640" s="87"/>
      <c r="BD1640" s="87"/>
      <c r="BE1640" s="87"/>
      <c r="BF1640" s="87"/>
      <c r="BG1640" s="87"/>
      <c r="BH1640" s="87"/>
    </row>
    <row r="1641" spans="23:60" x14ac:dyDescent="0.3">
      <c r="W1641" s="87"/>
      <c r="X1641" s="87"/>
      <c r="Y1641" s="87"/>
      <c r="Z1641" s="87"/>
      <c r="AA1641" s="87"/>
      <c r="AB1641" s="87"/>
      <c r="AM1641" s="87"/>
      <c r="AN1641" s="87"/>
      <c r="AO1641" s="87"/>
      <c r="AP1641" s="87"/>
      <c r="AQ1641" s="87"/>
      <c r="AR1641" s="87"/>
      <c r="BC1641" s="87"/>
      <c r="BD1641" s="87"/>
      <c r="BE1641" s="87"/>
      <c r="BF1641" s="87"/>
      <c r="BG1641" s="87"/>
      <c r="BH1641" s="87"/>
    </row>
    <row r="1642" spans="23:60" x14ac:dyDescent="0.3">
      <c r="W1642" s="87"/>
      <c r="X1642" s="87"/>
      <c r="Y1642" s="87"/>
      <c r="Z1642" s="87"/>
      <c r="AA1642" s="87"/>
      <c r="AB1642" s="87"/>
      <c r="AM1642" s="87"/>
      <c r="AN1642" s="87"/>
      <c r="AO1642" s="87"/>
      <c r="AP1642" s="87"/>
      <c r="AQ1642" s="87"/>
      <c r="AR1642" s="87"/>
      <c r="BC1642" s="87"/>
      <c r="BD1642" s="87"/>
      <c r="BE1642" s="87"/>
      <c r="BF1642" s="87"/>
      <c r="BG1642" s="87"/>
      <c r="BH1642" s="87"/>
    </row>
    <row r="1643" spans="23:60" x14ac:dyDescent="0.3">
      <c r="W1643" s="87"/>
      <c r="X1643" s="87"/>
      <c r="Y1643" s="87"/>
      <c r="Z1643" s="87"/>
      <c r="AA1643" s="87"/>
      <c r="AB1643" s="87"/>
      <c r="AM1643" s="87"/>
      <c r="AN1643" s="87"/>
      <c r="AO1643" s="87"/>
      <c r="AP1643" s="87"/>
      <c r="AQ1643" s="87"/>
      <c r="AR1643" s="87"/>
      <c r="BC1643" s="87"/>
      <c r="BD1643" s="87"/>
      <c r="BE1643" s="87"/>
      <c r="BF1643" s="87"/>
      <c r="BG1643" s="87"/>
      <c r="BH1643" s="87"/>
    </row>
    <row r="1644" spans="23:60" x14ac:dyDescent="0.3">
      <c r="W1644" s="87"/>
      <c r="X1644" s="87"/>
      <c r="Y1644" s="87"/>
      <c r="Z1644" s="87"/>
      <c r="AA1644" s="87"/>
      <c r="AB1644" s="87"/>
      <c r="AM1644" s="87"/>
      <c r="AN1644" s="87"/>
      <c r="AO1644" s="87"/>
      <c r="AP1644" s="87"/>
      <c r="AQ1644" s="87"/>
      <c r="AR1644" s="87"/>
      <c r="BC1644" s="87"/>
      <c r="BD1644" s="87"/>
      <c r="BE1644" s="87"/>
      <c r="BF1644" s="87"/>
      <c r="BG1644" s="87"/>
      <c r="BH1644" s="87"/>
    </row>
    <row r="1645" spans="23:60" x14ac:dyDescent="0.3">
      <c r="W1645" s="87"/>
      <c r="X1645" s="87"/>
      <c r="Y1645" s="87"/>
      <c r="Z1645" s="87"/>
      <c r="AA1645" s="87"/>
      <c r="AB1645" s="87"/>
      <c r="AM1645" s="87"/>
      <c r="AN1645" s="87"/>
      <c r="AO1645" s="87"/>
      <c r="AP1645" s="87"/>
      <c r="AQ1645" s="87"/>
      <c r="AR1645" s="87"/>
      <c r="BC1645" s="87"/>
      <c r="BD1645" s="87"/>
      <c r="BE1645" s="87"/>
      <c r="BF1645" s="87"/>
      <c r="BG1645" s="87"/>
      <c r="BH1645" s="87"/>
    </row>
    <row r="1646" spans="23:60" x14ac:dyDescent="0.3">
      <c r="W1646" s="87"/>
      <c r="X1646" s="87"/>
      <c r="Y1646" s="87"/>
      <c r="Z1646" s="87"/>
      <c r="AA1646" s="87"/>
      <c r="AB1646" s="87"/>
      <c r="AM1646" s="87"/>
      <c r="AN1646" s="87"/>
      <c r="AO1646" s="87"/>
      <c r="AP1646" s="87"/>
      <c r="AQ1646" s="87"/>
      <c r="AR1646" s="87"/>
      <c r="BC1646" s="87"/>
      <c r="BD1646" s="87"/>
      <c r="BE1646" s="87"/>
      <c r="BF1646" s="87"/>
      <c r="BG1646" s="87"/>
      <c r="BH1646" s="87"/>
    </row>
    <row r="1647" spans="23:60" x14ac:dyDescent="0.3">
      <c r="W1647" s="87"/>
      <c r="X1647" s="87"/>
      <c r="Y1647" s="87"/>
      <c r="Z1647" s="87"/>
      <c r="AA1647" s="87"/>
      <c r="AB1647" s="87"/>
      <c r="AM1647" s="87"/>
      <c r="AN1647" s="87"/>
      <c r="AO1647" s="87"/>
      <c r="AP1647" s="87"/>
      <c r="AQ1647" s="87"/>
      <c r="AR1647" s="87"/>
      <c r="BC1647" s="87"/>
      <c r="BD1647" s="87"/>
      <c r="BE1647" s="87"/>
      <c r="BF1647" s="87"/>
      <c r="BG1647" s="87"/>
      <c r="BH1647" s="87"/>
    </row>
    <row r="1648" spans="23:60" x14ac:dyDescent="0.3">
      <c r="W1648" s="87"/>
      <c r="X1648" s="87"/>
      <c r="Y1648" s="87"/>
      <c r="Z1648" s="87"/>
      <c r="AA1648" s="87"/>
      <c r="AB1648" s="87"/>
      <c r="AM1648" s="87"/>
      <c r="AN1648" s="87"/>
      <c r="AO1648" s="87"/>
      <c r="AP1648" s="87"/>
      <c r="AQ1648" s="87"/>
      <c r="AR1648" s="87"/>
      <c r="BC1648" s="87"/>
      <c r="BD1648" s="87"/>
      <c r="BE1648" s="87"/>
      <c r="BF1648" s="87"/>
      <c r="BG1648" s="87"/>
      <c r="BH1648" s="87"/>
    </row>
    <row r="1649" spans="23:60" x14ac:dyDescent="0.3">
      <c r="W1649" s="87"/>
      <c r="X1649" s="87"/>
      <c r="Y1649" s="87"/>
      <c r="Z1649" s="87"/>
      <c r="AA1649" s="87"/>
      <c r="AB1649" s="87"/>
      <c r="AM1649" s="87"/>
      <c r="AN1649" s="87"/>
      <c r="AO1649" s="87"/>
      <c r="AP1649" s="87"/>
      <c r="AQ1649" s="87"/>
      <c r="AR1649" s="87"/>
      <c r="BC1649" s="87"/>
      <c r="BD1649" s="87"/>
      <c r="BE1649" s="87"/>
      <c r="BF1649" s="87"/>
      <c r="BG1649" s="87"/>
      <c r="BH1649" s="87"/>
    </row>
    <row r="1650" spans="23:60" x14ac:dyDescent="0.3">
      <c r="W1650" s="87"/>
      <c r="X1650" s="87"/>
      <c r="Y1650" s="87"/>
      <c r="Z1650" s="87"/>
      <c r="AA1650" s="87"/>
      <c r="AB1650" s="87"/>
      <c r="AM1650" s="87"/>
      <c r="AN1650" s="87"/>
      <c r="AO1650" s="87"/>
      <c r="AP1650" s="87"/>
      <c r="AQ1650" s="87"/>
      <c r="AR1650" s="87"/>
      <c r="BC1650" s="87"/>
      <c r="BD1650" s="87"/>
      <c r="BE1650" s="87"/>
      <c r="BF1650" s="87"/>
      <c r="BG1650" s="87"/>
      <c r="BH1650" s="87"/>
    </row>
    <row r="1651" spans="23:60" x14ac:dyDescent="0.3">
      <c r="W1651" s="87"/>
      <c r="X1651" s="87"/>
      <c r="Y1651" s="87"/>
      <c r="Z1651" s="87"/>
      <c r="AA1651" s="87"/>
      <c r="AB1651" s="87"/>
      <c r="AM1651" s="87"/>
      <c r="AN1651" s="87"/>
      <c r="AO1651" s="87"/>
      <c r="AP1651" s="87"/>
      <c r="AQ1651" s="87"/>
      <c r="AR1651" s="87"/>
      <c r="BC1651" s="87"/>
      <c r="BD1651" s="87"/>
      <c r="BE1651" s="87"/>
      <c r="BF1651" s="87"/>
      <c r="BG1651" s="87"/>
      <c r="BH1651" s="87"/>
    </row>
    <row r="1652" spans="23:60" x14ac:dyDescent="0.3">
      <c r="W1652" s="87"/>
      <c r="X1652" s="87"/>
      <c r="Y1652" s="87"/>
      <c r="Z1652" s="87"/>
      <c r="AA1652" s="87"/>
      <c r="AB1652" s="87"/>
      <c r="AM1652" s="87"/>
      <c r="AN1652" s="87"/>
      <c r="AO1652" s="87"/>
      <c r="AP1652" s="87"/>
      <c r="AQ1652" s="87"/>
      <c r="AR1652" s="87"/>
      <c r="BC1652" s="87"/>
      <c r="BD1652" s="87"/>
      <c r="BE1652" s="87"/>
      <c r="BF1652" s="87"/>
      <c r="BG1652" s="87"/>
      <c r="BH1652" s="87"/>
    </row>
    <row r="1653" spans="23:60" x14ac:dyDescent="0.3">
      <c r="W1653" s="87"/>
      <c r="X1653" s="87"/>
      <c r="Y1653" s="87"/>
      <c r="Z1653" s="87"/>
      <c r="AA1653" s="87"/>
      <c r="AB1653" s="87"/>
      <c r="AM1653" s="87"/>
      <c r="AN1653" s="87"/>
      <c r="AO1653" s="87"/>
      <c r="AP1653" s="87"/>
      <c r="AQ1653" s="87"/>
      <c r="AR1653" s="87"/>
      <c r="BC1653" s="87"/>
      <c r="BD1653" s="87"/>
      <c r="BE1653" s="87"/>
      <c r="BF1653" s="87"/>
      <c r="BG1653" s="87"/>
      <c r="BH1653" s="87"/>
    </row>
    <row r="1654" spans="23:60" x14ac:dyDescent="0.3">
      <c r="W1654" s="87"/>
      <c r="X1654" s="87"/>
      <c r="Y1654" s="87"/>
      <c r="Z1654" s="87"/>
      <c r="AA1654" s="87"/>
      <c r="AB1654" s="87"/>
      <c r="AM1654" s="87"/>
      <c r="AN1654" s="87"/>
      <c r="AO1654" s="87"/>
      <c r="AP1654" s="87"/>
      <c r="AQ1654" s="87"/>
      <c r="AR1654" s="87"/>
      <c r="BC1654" s="87"/>
      <c r="BD1654" s="87"/>
      <c r="BE1654" s="87"/>
      <c r="BF1654" s="87"/>
      <c r="BG1654" s="87"/>
      <c r="BH1654" s="87"/>
    </row>
    <row r="1655" spans="23:60" x14ac:dyDescent="0.3">
      <c r="W1655" s="87"/>
      <c r="X1655" s="87"/>
      <c r="Y1655" s="87"/>
      <c r="Z1655" s="87"/>
      <c r="AA1655" s="87"/>
      <c r="AB1655" s="87"/>
      <c r="AM1655" s="87"/>
      <c r="AN1655" s="87"/>
      <c r="AO1655" s="87"/>
      <c r="AP1655" s="87"/>
      <c r="AQ1655" s="87"/>
      <c r="AR1655" s="87"/>
      <c r="BC1655" s="87"/>
      <c r="BD1655" s="87"/>
      <c r="BE1655" s="87"/>
      <c r="BF1655" s="87"/>
      <c r="BG1655" s="87"/>
      <c r="BH1655" s="87"/>
    </row>
    <row r="1656" spans="23:60" x14ac:dyDescent="0.3">
      <c r="W1656" s="87"/>
      <c r="X1656" s="87"/>
      <c r="Y1656" s="87"/>
      <c r="Z1656" s="87"/>
      <c r="AA1656" s="87"/>
      <c r="AB1656" s="87"/>
      <c r="AM1656" s="87"/>
      <c r="AN1656" s="87"/>
      <c r="AO1656" s="87"/>
      <c r="AP1656" s="87"/>
      <c r="AQ1656" s="87"/>
      <c r="AR1656" s="87"/>
      <c r="BC1656" s="87"/>
      <c r="BD1656" s="87"/>
      <c r="BE1656" s="87"/>
      <c r="BF1656" s="87"/>
      <c r="BG1656" s="87"/>
      <c r="BH1656" s="87"/>
    </row>
    <row r="1657" spans="23:60" x14ac:dyDescent="0.3">
      <c r="W1657" s="87"/>
      <c r="X1657" s="87"/>
      <c r="Y1657" s="87"/>
      <c r="Z1657" s="87"/>
      <c r="AA1657" s="87"/>
      <c r="AB1657" s="87"/>
      <c r="AM1657" s="87"/>
      <c r="AN1657" s="87"/>
      <c r="AO1657" s="87"/>
      <c r="AP1657" s="87"/>
      <c r="AQ1657" s="87"/>
      <c r="AR1657" s="87"/>
      <c r="BC1657" s="87"/>
      <c r="BD1657" s="87"/>
      <c r="BE1657" s="87"/>
      <c r="BF1657" s="87"/>
      <c r="BG1657" s="87"/>
      <c r="BH1657" s="87"/>
    </row>
    <row r="1658" spans="23:60" x14ac:dyDescent="0.3">
      <c r="W1658" s="87"/>
      <c r="X1658" s="87"/>
      <c r="Y1658" s="87"/>
      <c r="Z1658" s="87"/>
      <c r="AA1658" s="87"/>
      <c r="AB1658" s="87"/>
      <c r="AM1658" s="87"/>
      <c r="AN1658" s="87"/>
      <c r="AO1658" s="87"/>
      <c r="AP1658" s="87"/>
      <c r="AQ1658" s="87"/>
      <c r="AR1658" s="87"/>
      <c r="BC1658" s="87"/>
      <c r="BD1658" s="87"/>
      <c r="BE1658" s="87"/>
      <c r="BF1658" s="87"/>
      <c r="BG1658" s="87"/>
      <c r="BH1658" s="87"/>
    </row>
    <row r="1659" spans="23:60" x14ac:dyDescent="0.3">
      <c r="W1659" s="87"/>
      <c r="X1659" s="87"/>
      <c r="Y1659" s="87"/>
      <c r="Z1659" s="87"/>
      <c r="AA1659" s="87"/>
      <c r="AB1659" s="87"/>
      <c r="AM1659" s="87"/>
      <c r="AN1659" s="87"/>
      <c r="AO1659" s="87"/>
      <c r="AP1659" s="87"/>
      <c r="AQ1659" s="87"/>
      <c r="AR1659" s="87"/>
      <c r="BC1659" s="87"/>
      <c r="BD1659" s="87"/>
      <c r="BE1659" s="87"/>
      <c r="BF1659" s="87"/>
      <c r="BG1659" s="87"/>
      <c r="BH1659" s="87"/>
    </row>
    <row r="1660" spans="23:60" x14ac:dyDescent="0.3">
      <c r="W1660" s="87"/>
      <c r="X1660" s="87"/>
      <c r="Y1660" s="87"/>
      <c r="Z1660" s="87"/>
      <c r="AA1660" s="87"/>
      <c r="AB1660" s="87"/>
      <c r="AM1660" s="87"/>
      <c r="AN1660" s="87"/>
      <c r="AO1660" s="87"/>
      <c r="AP1660" s="87"/>
      <c r="AQ1660" s="87"/>
      <c r="AR1660" s="87"/>
      <c r="BC1660" s="87"/>
      <c r="BD1660" s="87"/>
      <c r="BE1660" s="87"/>
      <c r="BF1660" s="87"/>
      <c r="BG1660" s="87"/>
      <c r="BH1660" s="87"/>
    </row>
    <row r="1661" spans="23:60" x14ac:dyDescent="0.3">
      <c r="W1661" s="87"/>
      <c r="X1661" s="87"/>
      <c r="Y1661" s="87"/>
      <c r="Z1661" s="87"/>
      <c r="AA1661" s="87"/>
      <c r="AB1661" s="87"/>
      <c r="AM1661" s="87"/>
      <c r="AN1661" s="87"/>
      <c r="AO1661" s="87"/>
      <c r="AP1661" s="87"/>
      <c r="AQ1661" s="87"/>
      <c r="AR1661" s="87"/>
      <c r="BC1661" s="87"/>
      <c r="BD1661" s="87"/>
      <c r="BE1661" s="87"/>
      <c r="BF1661" s="87"/>
      <c r="BG1661" s="87"/>
      <c r="BH1661" s="87"/>
    </row>
    <row r="1662" spans="23:60" x14ac:dyDescent="0.3">
      <c r="W1662" s="87"/>
      <c r="X1662" s="87"/>
      <c r="Y1662" s="87"/>
      <c r="Z1662" s="87"/>
      <c r="AA1662" s="87"/>
      <c r="AB1662" s="87"/>
      <c r="AM1662" s="87"/>
      <c r="AN1662" s="87"/>
      <c r="AO1662" s="87"/>
      <c r="AP1662" s="87"/>
      <c r="AQ1662" s="87"/>
      <c r="AR1662" s="87"/>
      <c r="BC1662" s="87"/>
      <c r="BD1662" s="87"/>
      <c r="BE1662" s="87"/>
      <c r="BF1662" s="87"/>
      <c r="BG1662" s="87"/>
      <c r="BH1662" s="87"/>
    </row>
    <row r="1663" spans="23:60" x14ac:dyDescent="0.3">
      <c r="W1663" s="87"/>
      <c r="X1663" s="87"/>
      <c r="Y1663" s="87"/>
      <c r="Z1663" s="87"/>
      <c r="AA1663" s="87"/>
      <c r="AB1663" s="87"/>
      <c r="AM1663" s="87"/>
      <c r="AN1663" s="87"/>
      <c r="AO1663" s="87"/>
      <c r="AP1663" s="87"/>
      <c r="AQ1663" s="87"/>
      <c r="AR1663" s="87"/>
      <c r="BC1663" s="87"/>
      <c r="BD1663" s="87"/>
      <c r="BE1663" s="87"/>
      <c r="BF1663" s="87"/>
      <c r="BG1663" s="87"/>
      <c r="BH1663" s="87"/>
    </row>
    <row r="1664" spans="23:60" x14ac:dyDescent="0.3">
      <c r="W1664" s="87"/>
      <c r="X1664" s="87"/>
      <c r="Y1664" s="87"/>
      <c r="Z1664" s="87"/>
      <c r="AA1664" s="87"/>
      <c r="AB1664" s="87"/>
      <c r="AM1664" s="87"/>
      <c r="AN1664" s="87"/>
      <c r="AO1664" s="87"/>
      <c r="AP1664" s="87"/>
      <c r="AQ1664" s="87"/>
      <c r="AR1664" s="87"/>
      <c r="BC1664" s="87"/>
      <c r="BD1664" s="87"/>
      <c r="BE1664" s="87"/>
      <c r="BF1664" s="87"/>
      <c r="BG1664" s="87"/>
      <c r="BH1664" s="87"/>
    </row>
    <row r="1665" spans="23:60" x14ac:dyDescent="0.3">
      <c r="W1665" s="87"/>
      <c r="X1665" s="87"/>
      <c r="Y1665" s="87"/>
      <c r="Z1665" s="87"/>
      <c r="AA1665" s="87"/>
      <c r="AB1665" s="87"/>
      <c r="AM1665" s="87"/>
      <c r="AN1665" s="87"/>
      <c r="AO1665" s="87"/>
      <c r="AP1665" s="87"/>
      <c r="AQ1665" s="87"/>
      <c r="AR1665" s="87"/>
      <c r="BC1665" s="87"/>
      <c r="BD1665" s="87"/>
      <c r="BE1665" s="87"/>
      <c r="BF1665" s="87"/>
      <c r="BG1665" s="87"/>
      <c r="BH1665" s="87"/>
    </row>
    <row r="1666" spans="23:60" x14ac:dyDescent="0.3">
      <c r="W1666" s="87"/>
      <c r="X1666" s="87"/>
      <c r="Y1666" s="87"/>
      <c r="Z1666" s="87"/>
      <c r="AA1666" s="87"/>
      <c r="AB1666" s="87"/>
      <c r="AM1666" s="87"/>
      <c r="AN1666" s="87"/>
      <c r="AO1666" s="87"/>
      <c r="AP1666" s="87"/>
      <c r="AQ1666" s="87"/>
      <c r="AR1666" s="87"/>
      <c r="BC1666" s="87"/>
      <c r="BD1666" s="87"/>
      <c r="BE1666" s="87"/>
      <c r="BF1666" s="87"/>
      <c r="BG1666" s="87"/>
      <c r="BH1666" s="87"/>
    </row>
    <row r="1667" spans="23:60" x14ac:dyDescent="0.3">
      <c r="W1667" s="87"/>
      <c r="X1667" s="87"/>
      <c r="Y1667" s="87"/>
      <c r="Z1667" s="87"/>
      <c r="AA1667" s="87"/>
      <c r="AB1667" s="87"/>
      <c r="AM1667" s="87"/>
      <c r="AN1667" s="87"/>
      <c r="AO1667" s="87"/>
      <c r="AP1667" s="87"/>
      <c r="AQ1667" s="87"/>
      <c r="AR1667" s="87"/>
      <c r="BC1667" s="87"/>
      <c r="BD1667" s="87"/>
      <c r="BE1667" s="87"/>
      <c r="BF1667" s="87"/>
      <c r="BG1667" s="87"/>
      <c r="BH1667" s="87"/>
    </row>
    <row r="1668" spans="23:60" x14ac:dyDescent="0.3">
      <c r="W1668" s="87"/>
      <c r="X1668" s="87"/>
      <c r="Y1668" s="87"/>
      <c r="Z1668" s="87"/>
      <c r="AA1668" s="87"/>
      <c r="AB1668" s="87"/>
      <c r="AM1668" s="87"/>
      <c r="AN1668" s="87"/>
      <c r="AO1668" s="87"/>
      <c r="AP1668" s="87"/>
      <c r="AQ1668" s="87"/>
      <c r="AR1668" s="87"/>
      <c r="BC1668" s="87"/>
      <c r="BD1668" s="87"/>
      <c r="BE1668" s="87"/>
      <c r="BF1668" s="87"/>
      <c r="BG1668" s="87"/>
      <c r="BH1668" s="87"/>
    </row>
    <row r="1669" spans="23:60" x14ac:dyDescent="0.3">
      <c r="W1669" s="87"/>
      <c r="X1669" s="87"/>
      <c r="Y1669" s="87"/>
      <c r="Z1669" s="87"/>
      <c r="AA1669" s="87"/>
      <c r="AB1669" s="87"/>
      <c r="AM1669" s="87"/>
      <c r="AN1669" s="87"/>
      <c r="AO1669" s="87"/>
      <c r="AP1669" s="87"/>
      <c r="AQ1669" s="87"/>
      <c r="AR1669" s="87"/>
      <c r="BC1669" s="87"/>
      <c r="BD1669" s="87"/>
      <c r="BE1669" s="87"/>
      <c r="BF1669" s="87"/>
      <c r="BG1669" s="87"/>
      <c r="BH1669" s="87"/>
    </row>
    <row r="1670" spans="23:60" x14ac:dyDescent="0.3">
      <c r="W1670" s="87"/>
      <c r="X1670" s="87"/>
      <c r="Y1670" s="87"/>
      <c r="Z1670" s="87"/>
      <c r="AA1670" s="87"/>
      <c r="AB1670" s="87"/>
      <c r="AM1670" s="87"/>
      <c r="AN1670" s="87"/>
      <c r="AO1670" s="87"/>
      <c r="AP1670" s="87"/>
      <c r="AQ1670" s="87"/>
      <c r="AR1670" s="87"/>
      <c r="BC1670" s="87"/>
      <c r="BD1670" s="87"/>
      <c r="BE1670" s="87"/>
      <c r="BF1670" s="87"/>
      <c r="BG1670" s="87"/>
      <c r="BH1670" s="87"/>
    </row>
    <row r="1671" spans="23:60" x14ac:dyDescent="0.3">
      <c r="W1671" s="87"/>
      <c r="X1671" s="87"/>
      <c r="Y1671" s="87"/>
      <c r="Z1671" s="87"/>
      <c r="AA1671" s="87"/>
      <c r="AB1671" s="87"/>
      <c r="AM1671" s="87"/>
      <c r="AN1671" s="87"/>
      <c r="AO1671" s="87"/>
      <c r="AP1671" s="87"/>
      <c r="AQ1671" s="87"/>
      <c r="AR1671" s="87"/>
      <c r="BC1671" s="87"/>
      <c r="BD1671" s="87"/>
      <c r="BE1671" s="87"/>
      <c r="BF1671" s="87"/>
      <c r="BG1671" s="87"/>
      <c r="BH1671" s="87"/>
    </row>
    <row r="1672" spans="23:60" x14ac:dyDescent="0.3">
      <c r="W1672" s="87"/>
      <c r="X1672" s="87"/>
      <c r="Y1672" s="87"/>
      <c r="Z1672" s="87"/>
      <c r="AA1672" s="87"/>
      <c r="AB1672" s="87"/>
      <c r="AM1672" s="87"/>
      <c r="AN1672" s="87"/>
      <c r="AO1672" s="87"/>
      <c r="AP1672" s="87"/>
      <c r="AQ1672" s="87"/>
      <c r="AR1672" s="87"/>
      <c r="BC1672" s="87"/>
      <c r="BD1672" s="87"/>
      <c r="BE1672" s="87"/>
      <c r="BF1672" s="87"/>
      <c r="BG1672" s="87"/>
      <c r="BH1672" s="87"/>
    </row>
    <row r="1673" spans="23:60" x14ac:dyDescent="0.3">
      <c r="W1673" s="87"/>
      <c r="X1673" s="87"/>
      <c r="Y1673" s="87"/>
      <c r="Z1673" s="87"/>
      <c r="AA1673" s="87"/>
      <c r="AB1673" s="87"/>
      <c r="AM1673" s="87"/>
      <c r="AN1673" s="87"/>
      <c r="AO1673" s="87"/>
      <c r="AP1673" s="87"/>
      <c r="AQ1673" s="87"/>
      <c r="AR1673" s="87"/>
      <c r="BC1673" s="87"/>
      <c r="BD1673" s="87"/>
      <c r="BE1673" s="87"/>
      <c r="BF1673" s="87"/>
      <c r="BG1673" s="87"/>
      <c r="BH1673" s="87"/>
    </row>
    <row r="1674" spans="23:60" x14ac:dyDescent="0.3">
      <c r="W1674" s="87"/>
      <c r="X1674" s="87"/>
      <c r="Y1674" s="87"/>
      <c r="Z1674" s="87"/>
      <c r="AA1674" s="87"/>
      <c r="AB1674" s="87"/>
      <c r="AM1674" s="87"/>
      <c r="AN1674" s="87"/>
      <c r="AO1674" s="87"/>
      <c r="AP1674" s="87"/>
      <c r="AQ1674" s="87"/>
      <c r="AR1674" s="87"/>
      <c r="BC1674" s="87"/>
      <c r="BD1674" s="87"/>
      <c r="BE1674" s="87"/>
      <c r="BF1674" s="87"/>
      <c r="BG1674" s="87"/>
      <c r="BH1674" s="87"/>
    </row>
    <row r="1675" spans="23:60" x14ac:dyDescent="0.3">
      <c r="W1675" s="87"/>
      <c r="X1675" s="87"/>
      <c r="Y1675" s="87"/>
      <c r="Z1675" s="87"/>
      <c r="AA1675" s="87"/>
      <c r="AB1675" s="87"/>
      <c r="AM1675" s="87"/>
      <c r="AN1675" s="87"/>
      <c r="AO1675" s="87"/>
      <c r="AP1675" s="87"/>
      <c r="AQ1675" s="87"/>
      <c r="AR1675" s="87"/>
      <c r="BC1675" s="87"/>
      <c r="BD1675" s="87"/>
      <c r="BE1675" s="87"/>
      <c r="BF1675" s="87"/>
      <c r="BG1675" s="87"/>
      <c r="BH1675" s="87"/>
    </row>
    <row r="1676" spans="23:60" x14ac:dyDescent="0.3">
      <c r="W1676" s="87"/>
      <c r="X1676" s="87"/>
      <c r="Y1676" s="87"/>
      <c r="Z1676" s="87"/>
      <c r="AA1676" s="87"/>
      <c r="AB1676" s="87"/>
      <c r="AM1676" s="87"/>
      <c r="AN1676" s="87"/>
      <c r="AO1676" s="87"/>
      <c r="AP1676" s="87"/>
      <c r="AQ1676" s="87"/>
      <c r="AR1676" s="87"/>
      <c r="BC1676" s="87"/>
      <c r="BD1676" s="87"/>
      <c r="BE1676" s="87"/>
      <c r="BF1676" s="87"/>
      <c r="BG1676" s="87"/>
      <c r="BH1676" s="87"/>
    </row>
    <row r="1677" spans="23:60" x14ac:dyDescent="0.3">
      <c r="W1677" s="87"/>
      <c r="X1677" s="87"/>
      <c r="Y1677" s="87"/>
      <c r="Z1677" s="87"/>
      <c r="AA1677" s="87"/>
      <c r="AB1677" s="87"/>
      <c r="AM1677" s="87"/>
      <c r="AN1677" s="87"/>
      <c r="AO1677" s="87"/>
      <c r="AP1677" s="87"/>
      <c r="AQ1677" s="87"/>
      <c r="AR1677" s="87"/>
      <c r="BC1677" s="87"/>
      <c r="BD1677" s="87"/>
      <c r="BE1677" s="87"/>
      <c r="BF1677" s="87"/>
      <c r="BG1677" s="87"/>
      <c r="BH1677" s="87"/>
    </row>
    <row r="1678" spans="23:60" x14ac:dyDescent="0.3">
      <c r="W1678" s="87"/>
      <c r="X1678" s="87"/>
      <c r="Y1678" s="87"/>
      <c r="Z1678" s="87"/>
      <c r="AA1678" s="87"/>
      <c r="AB1678" s="87"/>
      <c r="AM1678" s="87"/>
      <c r="AN1678" s="87"/>
      <c r="AO1678" s="87"/>
      <c r="AP1678" s="87"/>
      <c r="AQ1678" s="87"/>
      <c r="AR1678" s="87"/>
      <c r="BC1678" s="87"/>
      <c r="BD1678" s="87"/>
      <c r="BE1678" s="87"/>
      <c r="BF1678" s="87"/>
      <c r="BG1678" s="87"/>
      <c r="BH1678" s="87"/>
    </row>
    <row r="1679" spans="23:60" x14ac:dyDescent="0.3">
      <c r="W1679" s="87"/>
      <c r="X1679" s="87"/>
      <c r="Y1679" s="87"/>
      <c r="Z1679" s="87"/>
      <c r="AA1679" s="87"/>
      <c r="AB1679" s="87"/>
      <c r="AM1679" s="87"/>
      <c r="AN1679" s="87"/>
      <c r="AO1679" s="87"/>
      <c r="AP1679" s="87"/>
      <c r="AQ1679" s="87"/>
      <c r="AR1679" s="87"/>
      <c r="BC1679" s="87"/>
      <c r="BD1679" s="87"/>
      <c r="BE1679" s="87"/>
      <c r="BF1679" s="87"/>
      <c r="BG1679" s="87"/>
      <c r="BH1679" s="87"/>
    </row>
    <row r="1680" spans="23:60" x14ac:dyDescent="0.3">
      <c r="W1680" s="87"/>
      <c r="X1680" s="87"/>
      <c r="Y1680" s="87"/>
      <c r="Z1680" s="87"/>
      <c r="AA1680" s="87"/>
      <c r="AB1680" s="87"/>
      <c r="AM1680" s="87"/>
      <c r="AN1680" s="87"/>
      <c r="AO1680" s="87"/>
      <c r="AP1680" s="87"/>
      <c r="AQ1680" s="87"/>
      <c r="AR1680" s="87"/>
      <c r="BC1680" s="87"/>
      <c r="BD1680" s="87"/>
      <c r="BE1680" s="87"/>
      <c r="BF1680" s="87"/>
      <c r="BG1680" s="87"/>
      <c r="BH1680" s="87"/>
    </row>
    <row r="1681" spans="23:60" x14ac:dyDescent="0.3">
      <c r="W1681" s="87"/>
      <c r="X1681" s="87"/>
      <c r="Y1681" s="87"/>
      <c r="Z1681" s="87"/>
      <c r="AA1681" s="87"/>
      <c r="AB1681" s="87"/>
      <c r="AM1681" s="87"/>
      <c r="AN1681" s="87"/>
      <c r="AO1681" s="87"/>
      <c r="AP1681" s="87"/>
      <c r="AQ1681" s="87"/>
      <c r="AR1681" s="87"/>
      <c r="BC1681" s="87"/>
      <c r="BD1681" s="87"/>
      <c r="BE1681" s="87"/>
      <c r="BF1681" s="87"/>
      <c r="BG1681" s="87"/>
      <c r="BH1681" s="87"/>
    </row>
    <row r="1682" spans="23:60" x14ac:dyDescent="0.3">
      <c r="W1682" s="87"/>
      <c r="X1682" s="87"/>
      <c r="Y1682" s="87"/>
      <c r="Z1682" s="87"/>
      <c r="AA1682" s="87"/>
      <c r="AB1682" s="87"/>
      <c r="AM1682" s="87"/>
      <c r="AN1682" s="87"/>
      <c r="AO1682" s="87"/>
      <c r="AP1682" s="87"/>
      <c r="AQ1682" s="87"/>
      <c r="AR1682" s="87"/>
      <c r="BC1682" s="87"/>
      <c r="BD1682" s="87"/>
      <c r="BE1682" s="87"/>
      <c r="BF1682" s="87"/>
      <c r="BG1682" s="87"/>
      <c r="BH1682" s="87"/>
    </row>
    <row r="1683" spans="23:60" x14ac:dyDescent="0.3">
      <c r="W1683" s="87"/>
      <c r="X1683" s="87"/>
      <c r="Y1683" s="87"/>
      <c r="Z1683" s="87"/>
      <c r="AA1683" s="87"/>
      <c r="AB1683" s="87"/>
      <c r="AM1683" s="87"/>
      <c r="AN1683" s="87"/>
      <c r="AO1683" s="87"/>
      <c r="AP1683" s="87"/>
      <c r="AQ1683" s="87"/>
      <c r="AR1683" s="87"/>
      <c r="BC1683" s="87"/>
      <c r="BD1683" s="87"/>
      <c r="BE1683" s="87"/>
      <c r="BF1683" s="87"/>
      <c r="BG1683" s="87"/>
      <c r="BH1683" s="87"/>
    </row>
    <row r="1684" spans="23:60" x14ac:dyDescent="0.3">
      <c r="W1684" s="87"/>
      <c r="X1684" s="87"/>
      <c r="Y1684" s="87"/>
      <c r="Z1684" s="87"/>
      <c r="AA1684" s="87"/>
      <c r="AB1684" s="87"/>
      <c r="AM1684" s="87"/>
      <c r="AN1684" s="87"/>
      <c r="AO1684" s="87"/>
      <c r="AP1684" s="87"/>
      <c r="AQ1684" s="87"/>
      <c r="AR1684" s="87"/>
      <c r="BC1684" s="87"/>
      <c r="BD1684" s="87"/>
      <c r="BE1684" s="87"/>
      <c r="BF1684" s="87"/>
      <c r="BG1684" s="87"/>
      <c r="BH1684" s="87"/>
    </row>
    <row r="1685" spans="23:60" x14ac:dyDescent="0.3">
      <c r="W1685" s="87"/>
      <c r="X1685" s="87"/>
      <c r="Y1685" s="87"/>
      <c r="Z1685" s="87"/>
      <c r="AA1685" s="87"/>
      <c r="AB1685" s="87"/>
      <c r="AM1685" s="87"/>
      <c r="AN1685" s="87"/>
      <c r="AO1685" s="87"/>
      <c r="AP1685" s="87"/>
      <c r="AQ1685" s="87"/>
      <c r="AR1685" s="87"/>
      <c r="BC1685" s="87"/>
      <c r="BD1685" s="87"/>
      <c r="BE1685" s="87"/>
      <c r="BF1685" s="87"/>
      <c r="BG1685" s="87"/>
      <c r="BH1685" s="87"/>
    </row>
    <row r="1686" spans="23:60" x14ac:dyDescent="0.3">
      <c r="W1686" s="87"/>
      <c r="X1686" s="87"/>
      <c r="Y1686" s="87"/>
      <c r="Z1686" s="87"/>
      <c r="AA1686" s="87"/>
      <c r="AB1686" s="87"/>
      <c r="AM1686" s="87"/>
      <c r="AN1686" s="87"/>
      <c r="AO1686" s="87"/>
      <c r="AP1686" s="87"/>
      <c r="AQ1686" s="87"/>
      <c r="AR1686" s="87"/>
      <c r="BC1686" s="87"/>
      <c r="BD1686" s="87"/>
      <c r="BE1686" s="87"/>
      <c r="BF1686" s="87"/>
      <c r="BG1686" s="87"/>
      <c r="BH1686" s="87"/>
    </row>
    <row r="1687" spans="23:60" x14ac:dyDescent="0.3">
      <c r="W1687" s="87"/>
      <c r="X1687" s="87"/>
      <c r="Y1687" s="87"/>
      <c r="Z1687" s="87"/>
      <c r="AA1687" s="87"/>
      <c r="AB1687" s="87"/>
      <c r="AM1687" s="87"/>
      <c r="AN1687" s="87"/>
      <c r="AO1687" s="87"/>
      <c r="AP1687" s="87"/>
      <c r="AQ1687" s="87"/>
      <c r="AR1687" s="87"/>
      <c r="BC1687" s="87"/>
      <c r="BD1687" s="87"/>
      <c r="BE1687" s="87"/>
      <c r="BF1687" s="87"/>
      <c r="BG1687" s="87"/>
      <c r="BH1687" s="87"/>
    </row>
    <row r="1688" spans="23:60" x14ac:dyDescent="0.3">
      <c r="W1688" s="87"/>
      <c r="X1688" s="87"/>
      <c r="Y1688" s="87"/>
      <c r="Z1688" s="87"/>
      <c r="AA1688" s="87"/>
      <c r="AB1688" s="87"/>
      <c r="AM1688" s="87"/>
      <c r="AN1688" s="87"/>
      <c r="AO1688" s="87"/>
      <c r="AP1688" s="87"/>
      <c r="AQ1688" s="87"/>
      <c r="AR1688" s="87"/>
      <c r="BC1688" s="87"/>
      <c r="BD1688" s="87"/>
      <c r="BE1688" s="87"/>
      <c r="BF1688" s="87"/>
      <c r="BG1688" s="87"/>
      <c r="BH1688" s="87"/>
    </row>
    <row r="1689" spans="23:60" x14ac:dyDescent="0.3">
      <c r="W1689" s="87"/>
      <c r="X1689" s="87"/>
      <c r="Y1689" s="87"/>
      <c r="Z1689" s="87"/>
      <c r="AA1689" s="87"/>
      <c r="AB1689" s="87"/>
      <c r="AM1689" s="87"/>
      <c r="AN1689" s="87"/>
      <c r="AO1689" s="87"/>
      <c r="AP1689" s="87"/>
      <c r="AQ1689" s="87"/>
      <c r="AR1689" s="87"/>
      <c r="BC1689" s="87"/>
      <c r="BD1689" s="87"/>
      <c r="BE1689" s="87"/>
      <c r="BF1689" s="87"/>
      <c r="BG1689" s="87"/>
      <c r="BH1689" s="87"/>
    </row>
    <row r="1690" spans="23:60" x14ac:dyDescent="0.3">
      <c r="W1690" s="87"/>
      <c r="X1690" s="87"/>
      <c r="Y1690" s="87"/>
      <c r="Z1690" s="87"/>
      <c r="AA1690" s="87"/>
      <c r="AB1690" s="87"/>
      <c r="AM1690" s="87"/>
      <c r="AN1690" s="87"/>
      <c r="AO1690" s="87"/>
      <c r="AP1690" s="87"/>
      <c r="AQ1690" s="87"/>
      <c r="AR1690" s="87"/>
      <c r="BC1690" s="87"/>
      <c r="BD1690" s="87"/>
      <c r="BE1690" s="87"/>
      <c r="BF1690" s="87"/>
      <c r="BG1690" s="87"/>
      <c r="BH1690" s="87"/>
    </row>
    <row r="1691" spans="23:60" x14ac:dyDescent="0.3">
      <c r="W1691" s="87"/>
      <c r="X1691" s="87"/>
      <c r="Y1691" s="87"/>
      <c r="Z1691" s="87"/>
      <c r="AA1691" s="87"/>
      <c r="AB1691" s="87"/>
      <c r="AM1691" s="87"/>
      <c r="AN1691" s="87"/>
      <c r="AO1691" s="87"/>
      <c r="AP1691" s="87"/>
      <c r="AQ1691" s="87"/>
      <c r="AR1691" s="87"/>
      <c r="BC1691" s="87"/>
      <c r="BD1691" s="87"/>
      <c r="BE1691" s="87"/>
      <c r="BF1691" s="87"/>
      <c r="BG1691" s="87"/>
      <c r="BH1691" s="87"/>
    </row>
    <row r="1692" spans="23:60" x14ac:dyDescent="0.3">
      <c r="W1692" s="87"/>
      <c r="X1692" s="87"/>
      <c r="Y1692" s="87"/>
      <c r="Z1692" s="87"/>
      <c r="AA1692" s="87"/>
      <c r="AB1692" s="87"/>
      <c r="AM1692" s="87"/>
      <c r="AN1692" s="87"/>
      <c r="AO1692" s="87"/>
      <c r="AP1692" s="87"/>
      <c r="AQ1692" s="87"/>
      <c r="AR1692" s="87"/>
      <c r="BC1692" s="87"/>
      <c r="BD1692" s="87"/>
      <c r="BE1692" s="87"/>
      <c r="BF1692" s="87"/>
      <c r="BG1692" s="87"/>
      <c r="BH1692" s="87"/>
    </row>
    <row r="1693" spans="23:60" x14ac:dyDescent="0.3">
      <c r="W1693" s="87"/>
      <c r="X1693" s="87"/>
      <c r="Y1693" s="87"/>
      <c r="Z1693" s="87"/>
      <c r="AA1693" s="87"/>
      <c r="AB1693" s="87"/>
      <c r="AM1693" s="87"/>
      <c r="AN1693" s="87"/>
      <c r="AO1693" s="87"/>
      <c r="AP1693" s="87"/>
      <c r="AQ1693" s="87"/>
      <c r="AR1693" s="87"/>
      <c r="BC1693" s="87"/>
      <c r="BD1693" s="87"/>
      <c r="BE1693" s="87"/>
      <c r="BF1693" s="87"/>
      <c r="BG1693" s="87"/>
      <c r="BH1693" s="87"/>
    </row>
    <row r="1694" spans="23:60" x14ac:dyDescent="0.3">
      <c r="W1694" s="87"/>
      <c r="X1694" s="87"/>
      <c r="Y1694" s="87"/>
      <c r="Z1694" s="87"/>
      <c r="AA1694" s="87"/>
      <c r="AB1694" s="87"/>
      <c r="AM1694" s="87"/>
      <c r="AN1694" s="87"/>
      <c r="AO1694" s="87"/>
      <c r="AP1694" s="87"/>
      <c r="AQ1694" s="87"/>
      <c r="AR1694" s="87"/>
      <c r="BC1694" s="87"/>
      <c r="BD1694" s="87"/>
      <c r="BE1694" s="87"/>
      <c r="BF1694" s="87"/>
      <c r="BG1694" s="87"/>
      <c r="BH1694" s="87"/>
    </row>
    <row r="1695" spans="23:60" x14ac:dyDescent="0.3">
      <c r="W1695" s="87"/>
      <c r="X1695" s="87"/>
      <c r="Y1695" s="87"/>
      <c r="Z1695" s="87"/>
      <c r="AA1695" s="87"/>
      <c r="AB1695" s="87"/>
      <c r="AM1695" s="87"/>
      <c r="AN1695" s="87"/>
      <c r="AO1695" s="87"/>
      <c r="AP1695" s="87"/>
      <c r="AQ1695" s="87"/>
      <c r="AR1695" s="87"/>
      <c r="BC1695" s="87"/>
      <c r="BD1695" s="87"/>
      <c r="BE1695" s="87"/>
      <c r="BF1695" s="87"/>
      <c r="BG1695" s="87"/>
      <c r="BH1695" s="87"/>
    </row>
    <row r="1696" spans="23:60" x14ac:dyDescent="0.3">
      <c r="W1696" s="87"/>
      <c r="X1696" s="87"/>
      <c r="Y1696" s="87"/>
      <c r="Z1696" s="87"/>
      <c r="AA1696" s="87"/>
      <c r="AB1696" s="87"/>
      <c r="AM1696" s="87"/>
      <c r="AN1696" s="87"/>
      <c r="AO1696" s="87"/>
      <c r="AP1696" s="87"/>
      <c r="AQ1696" s="87"/>
      <c r="AR1696" s="87"/>
      <c r="BC1696" s="87"/>
      <c r="BD1696" s="87"/>
      <c r="BE1696" s="87"/>
      <c r="BF1696" s="87"/>
      <c r="BG1696" s="87"/>
      <c r="BH1696" s="87"/>
    </row>
    <row r="1697" spans="23:60" x14ac:dyDescent="0.3">
      <c r="W1697" s="87"/>
      <c r="X1697" s="87"/>
      <c r="Y1697" s="87"/>
      <c r="Z1697" s="87"/>
      <c r="AA1697" s="87"/>
      <c r="AB1697" s="87"/>
      <c r="AM1697" s="87"/>
      <c r="AN1697" s="87"/>
      <c r="AO1697" s="87"/>
      <c r="AP1697" s="87"/>
      <c r="AQ1697" s="87"/>
      <c r="AR1697" s="87"/>
      <c r="BC1697" s="87"/>
      <c r="BD1697" s="87"/>
      <c r="BE1697" s="87"/>
      <c r="BF1697" s="87"/>
      <c r="BG1697" s="87"/>
      <c r="BH1697" s="87"/>
    </row>
    <row r="1698" spans="23:60" x14ac:dyDescent="0.3">
      <c r="W1698" s="87"/>
      <c r="X1698" s="87"/>
      <c r="Y1698" s="87"/>
      <c r="Z1698" s="87"/>
      <c r="AA1698" s="87"/>
      <c r="AB1698" s="87"/>
      <c r="AM1698" s="87"/>
      <c r="AN1698" s="87"/>
      <c r="AO1698" s="87"/>
      <c r="AP1698" s="87"/>
      <c r="AQ1698" s="87"/>
      <c r="AR1698" s="87"/>
      <c r="BC1698" s="87"/>
      <c r="BD1698" s="87"/>
      <c r="BE1698" s="87"/>
      <c r="BF1698" s="87"/>
      <c r="BG1698" s="87"/>
      <c r="BH1698" s="87"/>
    </row>
    <row r="1699" spans="23:60" x14ac:dyDescent="0.3">
      <c r="W1699" s="87"/>
      <c r="X1699" s="87"/>
      <c r="Y1699" s="87"/>
      <c r="Z1699" s="87"/>
      <c r="AA1699" s="87"/>
      <c r="AB1699" s="87"/>
      <c r="AM1699" s="87"/>
      <c r="AN1699" s="87"/>
      <c r="AO1699" s="87"/>
      <c r="AP1699" s="87"/>
      <c r="AQ1699" s="87"/>
      <c r="AR1699" s="87"/>
      <c r="BC1699" s="87"/>
      <c r="BD1699" s="87"/>
      <c r="BE1699" s="87"/>
      <c r="BF1699" s="87"/>
      <c r="BG1699" s="87"/>
      <c r="BH1699" s="87"/>
    </row>
    <row r="1700" spans="23:60" x14ac:dyDescent="0.3">
      <c r="W1700" s="87"/>
      <c r="X1700" s="87"/>
      <c r="Y1700" s="87"/>
      <c r="Z1700" s="87"/>
      <c r="AA1700" s="87"/>
      <c r="AB1700" s="87"/>
      <c r="AM1700" s="87"/>
      <c r="AN1700" s="87"/>
      <c r="AO1700" s="87"/>
      <c r="AP1700" s="87"/>
      <c r="AQ1700" s="87"/>
      <c r="AR1700" s="87"/>
      <c r="BC1700" s="87"/>
      <c r="BD1700" s="87"/>
      <c r="BE1700" s="87"/>
      <c r="BF1700" s="87"/>
      <c r="BG1700" s="87"/>
      <c r="BH1700" s="87"/>
    </row>
    <row r="1701" spans="23:60" x14ac:dyDescent="0.3">
      <c r="W1701" s="87"/>
      <c r="X1701" s="87"/>
      <c r="Y1701" s="87"/>
      <c r="Z1701" s="87"/>
      <c r="AA1701" s="87"/>
      <c r="AB1701" s="87"/>
      <c r="AM1701" s="87"/>
      <c r="AN1701" s="87"/>
      <c r="AO1701" s="87"/>
      <c r="AP1701" s="87"/>
      <c r="AQ1701" s="87"/>
      <c r="AR1701" s="87"/>
      <c r="BC1701" s="87"/>
      <c r="BD1701" s="87"/>
      <c r="BE1701" s="87"/>
      <c r="BF1701" s="87"/>
      <c r="BG1701" s="87"/>
      <c r="BH1701" s="87"/>
    </row>
    <row r="1702" spans="23:60" x14ac:dyDescent="0.3">
      <c r="W1702" s="87"/>
      <c r="X1702" s="87"/>
      <c r="Y1702" s="87"/>
      <c r="Z1702" s="87"/>
      <c r="AA1702" s="87"/>
      <c r="AB1702" s="87"/>
      <c r="AM1702" s="87"/>
      <c r="AN1702" s="87"/>
      <c r="AO1702" s="87"/>
      <c r="AP1702" s="87"/>
      <c r="AQ1702" s="87"/>
      <c r="AR1702" s="87"/>
      <c r="BC1702" s="87"/>
      <c r="BD1702" s="87"/>
      <c r="BE1702" s="87"/>
      <c r="BF1702" s="87"/>
      <c r="BG1702" s="87"/>
      <c r="BH1702" s="87"/>
    </row>
    <row r="1703" spans="23:60" x14ac:dyDescent="0.3">
      <c r="W1703" s="87"/>
      <c r="X1703" s="87"/>
      <c r="Y1703" s="87"/>
      <c r="Z1703" s="87"/>
      <c r="AA1703" s="87"/>
      <c r="AB1703" s="87"/>
      <c r="AM1703" s="87"/>
      <c r="AN1703" s="87"/>
      <c r="AO1703" s="87"/>
      <c r="AP1703" s="87"/>
      <c r="AQ1703" s="87"/>
      <c r="AR1703" s="87"/>
      <c r="BC1703" s="87"/>
      <c r="BD1703" s="87"/>
      <c r="BE1703" s="87"/>
      <c r="BF1703" s="87"/>
      <c r="BG1703" s="87"/>
      <c r="BH1703" s="87"/>
    </row>
    <row r="1704" spans="23:60" x14ac:dyDescent="0.3">
      <c r="W1704" s="87"/>
      <c r="X1704" s="87"/>
      <c r="Y1704" s="87"/>
      <c r="Z1704" s="87"/>
      <c r="AA1704" s="87"/>
      <c r="AB1704" s="87"/>
      <c r="AM1704" s="87"/>
      <c r="AN1704" s="87"/>
      <c r="AO1704" s="87"/>
      <c r="AP1704" s="87"/>
      <c r="AQ1704" s="87"/>
      <c r="AR1704" s="87"/>
      <c r="BC1704" s="87"/>
      <c r="BD1704" s="87"/>
      <c r="BE1704" s="87"/>
      <c r="BF1704" s="87"/>
      <c r="BG1704" s="87"/>
      <c r="BH1704" s="87"/>
    </row>
    <row r="1705" spans="23:60" x14ac:dyDescent="0.3">
      <c r="W1705" s="87"/>
      <c r="X1705" s="87"/>
      <c r="Y1705" s="87"/>
      <c r="Z1705" s="87"/>
      <c r="AA1705" s="87"/>
      <c r="AB1705" s="87"/>
      <c r="AM1705" s="87"/>
      <c r="AN1705" s="87"/>
      <c r="AO1705" s="87"/>
      <c r="AP1705" s="87"/>
      <c r="AQ1705" s="87"/>
      <c r="AR1705" s="87"/>
      <c r="BC1705" s="87"/>
      <c r="BD1705" s="87"/>
      <c r="BE1705" s="87"/>
      <c r="BF1705" s="87"/>
      <c r="BG1705" s="87"/>
      <c r="BH1705" s="87"/>
    </row>
    <row r="1706" spans="23:60" x14ac:dyDescent="0.3">
      <c r="W1706" s="87"/>
      <c r="X1706" s="87"/>
      <c r="Y1706" s="87"/>
      <c r="Z1706" s="87"/>
      <c r="AA1706" s="87"/>
      <c r="AB1706" s="87"/>
      <c r="AM1706" s="87"/>
      <c r="AN1706" s="87"/>
      <c r="AO1706" s="87"/>
      <c r="AP1706" s="87"/>
      <c r="AQ1706" s="87"/>
      <c r="AR1706" s="87"/>
      <c r="BC1706" s="87"/>
      <c r="BD1706" s="87"/>
      <c r="BE1706" s="87"/>
      <c r="BF1706" s="87"/>
      <c r="BG1706" s="87"/>
      <c r="BH1706" s="87"/>
    </row>
    <row r="1707" spans="23:60" x14ac:dyDescent="0.3">
      <c r="W1707" s="87"/>
      <c r="X1707" s="87"/>
      <c r="Y1707" s="87"/>
      <c r="Z1707" s="87"/>
      <c r="AA1707" s="87"/>
      <c r="AB1707" s="87"/>
      <c r="AM1707" s="87"/>
      <c r="AN1707" s="87"/>
      <c r="AO1707" s="87"/>
      <c r="AP1707" s="87"/>
      <c r="AQ1707" s="87"/>
      <c r="AR1707" s="87"/>
      <c r="BC1707" s="87"/>
      <c r="BD1707" s="87"/>
      <c r="BE1707" s="87"/>
      <c r="BF1707" s="87"/>
      <c r="BG1707" s="87"/>
      <c r="BH1707" s="87"/>
    </row>
    <row r="1708" spans="23:60" x14ac:dyDescent="0.3">
      <c r="W1708" s="87"/>
      <c r="X1708" s="87"/>
      <c r="Y1708" s="87"/>
      <c r="Z1708" s="87"/>
      <c r="AA1708" s="87"/>
      <c r="AB1708" s="87"/>
      <c r="AM1708" s="87"/>
      <c r="AN1708" s="87"/>
      <c r="AO1708" s="87"/>
      <c r="AP1708" s="87"/>
      <c r="AQ1708" s="87"/>
      <c r="AR1708" s="87"/>
      <c r="BC1708" s="87"/>
      <c r="BD1708" s="87"/>
      <c r="BE1708" s="87"/>
      <c r="BF1708" s="87"/>
      <c r="BG1708" s="87"/>
      <c r="BH1708" s="87"/>
    </row>
    <row r="1709" spans="23:60" x14ac:dyDescent="0.3">
      <c r="W1709" s="87"/>
      <c r="X1709" s="87"/>
      <c r="Y1709" s="87"/>
      <c r="Z1709" s="87"/>
      <c r="AA1709" s="87"/>
      <c r="AB1709" s="87"/>
      <c r="AM1709" s="87"/>
      <c r="AN1709" s="87"/>
      <c r="AO1709" s="87"/>
      <c r="AP1709" s="87"/>
      <c r="AQ1709" s="87"/>
      <c r="AR1709" s="87"/>
      <c r="BC1709" s="87"/>
      <c r="BD1709" s="87"/>
      <c r="BE1709" s="87"/>
      <c r="BF1709" s="87"/>
      <c r="BG1709" s="87"/>
      <c r="BH1709" s="87"/>
    </row>
    <row r="1710" spans="23:60" x14ac:dyDescent="0.3">
      <c r="W1710" s="87"/>
      <c r="X1710" s="87"/>
      <c r="Y1710" s="87"/>
      <c r="Z1710" s="87"/>
      <c r="AA1710" s="87"/>
      <c r="AB1710" s="87"/>
      <c r="AM1710" s="87"/>
      <c r="AN1710" s="87"/>
      <c r="AO1710" s="87"/>
      <c r="AP1710" s="87"/>
      <c r="AQ1710" s="87"/>
      <c r="AR1710" s="87"/>
      <c r="BC1710" s="87"/>
      <c r="BD1710" s="87"/>
      <c r="BE1710" s="87"/>
      <c r="BF1710" s="87"/>
      <c r="BG1710" s="87"/>
      <c r="BH1710" s="87"/>
    </row>
    <row r="1711" spans="23:60" x14ac:dyDescent="0.3">
      <c r="W1711" s="87"/>
      <c r="X1711" s="87"/>
      <c r="Y1711" s="87"/>
      <c r="Z1711" s="87"/>
      <c r="AA1711" s="87"/>
      <c r="AB1711" s="87"/>
      <c r="AM1711" s="87"/>
      <c r="AN1711" s="87"/>
      <c r="AO1711" s="87"/>
      <c r="AP1711" s="87"/>
      <c r="AQ1711" s="87"/>
      <c r="AR1711" s="87"/>
      <c r="BC1711" s="87"/>
      <c r="BD1711" s="87"/>
      <c r="BE1711" s="87"/>
      <c r="BF1711" s="87"/>
      <c r="BG1711" s="87"/>
      <c r="BH1711" s="87"/>
    </row>
    <row r="1712" spans="23:60" x14ac:dyDescent="0.3">
      <c r="W1712" s="87"/>
      <c r="X1712" s="87"/>
      <c r="Y1712" s="87"/>
      <c r="Z1712" s="87"/>
      <c r="AA1712" s="87"/>
      <c r="AB1712" s="87"/>
      <c r="AM1712" s="87"/>
      <c r="AN1712" s="87"/>
      <c r="AO1712" s="87"/>
      <c r="AP1712" s="87"/>
      <c r="AQ1712" s="87"/>
      <c r="AR1712" s="87"/>
      <c r="BC1712" s="87"/>
      <c r="BD1712" s="87"/>
      <c r="BE1712" s="87"/>
      <c r="BF1712" s="87"/>
      <c r="BG1712" s="87"/>
      <c r="BH1712" s="87"/>
    </row>
    <row r="1713" spans="23:60" x14ac:dyDescent="0.3">
      <c r="W1713" s="87"/>
      <c r="X1713" s="87"/>
      <c r="Y1713" s="87"/>
      <c r="Z1713" s="87"/>
      <c r="AA1713" s="87"/>
      <c r="AB1713" s="87"/>
      <c r="AM1713" s="87"/>
      <c r="AN1713" s="87"/>
      <c r="AO1713" s="87"/>
      <c r="AP1713" s="87"/>
      <c r="AQ1713" s="87"/>
      <c r="AR1713" s="87"/>
      <c r="BC1713" s="87"/>
      <c r="BD1713" s="87"/>
      <c r="BE1713" s="87"/>
      <c r="BF1713" s="87"/>
      <c r="BG1713" s="87"/>
      <c r="BH1713" s="87"/>
    </row>
    <row r="1714" spans="23:60" x14ac:dyDescent="0.3">
      <c r="W1714" s="87"/>
      <c r="X1714" s="87"/>
      <c r="Y1714" s="87"/>
      <c r="Z1714" s="87"/>
      <c r="AA1714" s="87"/>
      <c r="AB1714" s="87"/>
      <c r="AM1714" s="87"/>
      <c r="AN1714" s="87"/>
      <c r="AO1714" s="87"/>
      <c r="AP1714" s="87"/>
      <c r="AQ1714" s="87"/>
      <c r="AR1714" s="87"/>
      <c r="BC1714" s="87"/>
      <c r="BD1714" s="87"/>
      <c r="BE1714" s="87"/>
      <c r="BF1714" s="87"/>
      <c r="BG1714" s="87"/>
      <c r="BH1714" s="87"/>
    </row>
    <row r="1715" spans="23:60" x14ac:dyDescent="0.3">
      <c r="W1715" s="87"/>
      <c r="X1715" s="87"/>
      <c r="Y1715" s="87"/>
      <c r="Z1715" s="87"/>
      <c r="AA1715" s="87"/>
      <c r="AB1715" s="87"/>
      <c r="AM1715" s="87"/>
      <c r="AN1715" s="87"/>
      <c r="AO1715" s="87"/>
      <c r="AP1715" s="87"/>
      <c r="AQ1715" s="87"/>
      <c r="AR1715" s="87"/>
      <c r="BC1715" s="87"/>
      <c r="BD1715" s="87"/>
      <c r="BE1715" s="87"/>
      <c r="BF1715" s="87"/>
      <c r="BG1715" s="87"/>
      <c r="BH1715" s="87"/>
    </row>
    <row r="1716" spans="23:60" x14ac:dyDescent="0.3">
      <c r="W1716" s="87"/>
      <c r="X1716" s="87"/>
      <c r="Y1716" s="87"/>
      <c r="Z1716" s="87"/>
      <c r="AA1716" s="87"/>
      <c r="AB1716" s="87"/>
      <c r="AM1716" s="87"/>
      <c r="AN1716" s="87"/>
      <c r="AO1716" s="87"/>
      <c r="AP1716" s="87"/>
      <c r="AQ1716" s="87"/>
      <c r="AR1716" s="87"/>
      <c r="BC1716" s="87"/>
      <c r="BD1716" s="87"/>
      <c r="BE1716" s="87"/>
      <c r="BF1716" s="87"/>
      <c r="BG1716" s="87"/>
      <c r="BH1716" s="87"/>
    </row>
    <row r="1717" spans="23:60" x14ac:dyDescent="0.3">
      <c r="W1717" s="87"/>
      <c r="X1717" s="87"/>
      <c r="Y1717" s="87"/>
      <c r="Z1717" s="87"/>
      <c r="AA1717" s="87"/>
      <c r="AB1717" s="87"/>
      <c r="AM1717" s="87"/>
      <c r="AN1717" s="87"/>
      <c r="AO1717" s="87"/>
      <c r="AP1717" s="87"/>
      <c r="AQ1717" s="87"/>
      <c r="AR1717" s="87"/>
      <c r="BC1717" s="87"/>
      <c r="BD1717" s="87"/>
      <c r="BE1717" s="87"/>
      <c r="BF1717" s="87"/>
      <c r="BG1717" s="87"/>
      <c r="BH1717" s="87"/>
    </row>
    <row r="1718" spans="23:60" x14ac:dyDescent="0.3">
      <c r="W1718" s="87"/>
      <c r="X1718" s="87"/>
      <c r="Y1718" s="87"/>
      <c r="Z1718" s="87"/>
      <c r="AA1718" s="87"/>
      <c r="AB1718" s="87"/>
      <c r="AM1718" s="87"/>
      <c r="AN1718" s="87"/>
      <c r="AO1718" s="87"/>
      <c r="AP1718" s="87"/>
      <c r="AQ1718" s="87"/>
      <c r="AR1718" s="87"/>
      <c r="BC1718" s="87"/>
      <c r="BD1718" s="87"/>
      <c r="BE1718" s="87"/>
      <c r="BF1718" s="87"/>
      <c r="BG1718" s="87"/>
      <c r="BH1718" s="87"/>
    </row>
    <row r="1719" spans="23:60" x14ac:dyDescent="0.3">
      <c r="W1719" s="87"/>
      <c r="X1719" s="87"/>
      <c r="Y1719" s="87"/>
      <c r="Z1719" s="87"/>
      <c r="AA1719" s="87"/>
      <c r="AB1719" s="87"/>
      <c r="AM1719" s="87"/>
      <c r="AN1719" s="87"/>
      <c r="AO1719" s="87"/>
      <c r="AP1719" s="87"/>
      <c r="AQ1719" s="87"/>
      <c r="AR1719" s="87"/>
      <c r="BC1719" s="87"/>
      <c r="BD1719" s="87"/>
      <c r="BE1719" s="87"/>
      <c r="BF1719" s="87"/>
      <c r="BG1719" s="87"/>
      <c r="BH1719" s="87"/>
    </row>
    <row r="1720" spans="23:60" x14ac:dyDescent="0.3">
      <c r="W1720" s="87"/>
      <c r="X1720" s="87"/>
      <c r="Y1720" s="87"/>
      <c r="Z1720" s="87"/>
      <c r="AA1720" s="87"/>
      <c r="AB1720" s="87"/>
      <c r="AM1720" s="87"/>
      <c r="AN1720" s="87"/>
      <c r="AO1720" s="87"/>
      <c r="AP1720" s="87"/>
      <c r="AQ1720" s="87"/>
      <c r="AR1720" s="87"/>
      <c r="BC1720" s="87"/>
      <c r="BD1720" s="87"/>
      <c r="BE1720" s="87"/>
      <c r="BF1720" s="87"/>
      <c r="BG1720" s="87"/>
      <c r="BH1720" s="87"/>
    </row>
    <row r="1721" spans="23:60" x14ac:dyDescent="0.3">
      <c r="W1721" s="87"/>
      <c r="X1721" s="87"/>
      <c r="Y1721" s="87"/>
      <c r="Z1721" s="87"/>
      <c r="AA1721" s="87"/>
      <c r="AB1721" s="87"/>
      <c r="AM1721" s="87"/>
      <c r="AN1721" s="87"/>
      <c r="AO1721" s="87"/>
      <c r="AP1721" s="87"/>
      <c r="AQ1721" s="87"/>
      <c r="AR1721" s="87"/>
      <c r="BC1721" s="87"/>
      <c r="BD1721" s="87"/>
      <c r="BE1721" s="87"/>
      <c r="BF1721" s="87"/>
      <c r="BG1721" s="87"/>
      <c r="BH1721" s="87"/>
    </row>
    <row r="1722" spans="23:60" x14ac:dyDescent="0.3">
      <c r="W1722" s="87"/>
      <c r="X1722" s="87"/>
      <c r="Y1722" s="87"/>
      <c r="Z1722" s="87"/>
      <c r="AA1722" s="87"/>
      <c r="AB1722" s="87"/>
      <c r="AM1722" s="87"/>
      <c r="AN1722" s="87"/>
      <c r="AO1722" s="87"/>
      <c r="AP1722" s="87"/>
      <c r="AQ1722" s="87"/>
      <c r="AR1722" s="87"/>
      <c r="BC1722" s="87"/>
      <c r="BD1722" s="87"/>
      <c r="BE1722" s="87"/>
      <c r="BF1722" s="87"/>
      <c r="BG1722" s="87"/>
      <c r="BH1722" s="87"/>
    </row>
    <row r="1723" spans="23:60" x14ac:dyDescent="0.3">
      <c r="W1723" s="87"/>
      <c r="X1723" s="87"/>
      <c r="Y1723" s="87"/>
      <c r="Z1723" s="87"/>
      <c r="AA1723" s="87"/>
      <c r="AB1723" s="87"/>
      <c r="AM1723" s="87"/>
      <c r="AN1723" s="87"/>
      <c r="AO1723" s="87"/>
      <c r="AP1723" s="87"/>
      <c r="AQ1723" s="87"/>
      <c r="AR1723" s="87"/>
      <c r="BC1723" s="87"/>
      <c r="BD1723" s="87"/>
      <c r="BE1723" s="87"/>
      <c r="BF1723" s="87"/>
      <c r="BG1723" s="87"/>
      <c r="BH1723" s="87"/>
    </row>
    <row r="1724" spans="23:60" x14ac:dyDescent="0.3">
      <c r="W1724" s="87"/>
      <c r="X1724" s="87"/>
      <c r="Y1724" s="87"/>
      <c r="Z1724" s="87"/>
      <c r="AA1724" s="87"/>
      <c r="AB1724" s="87"/>
      <c r="AM1724" s="87"/>
      <c r="AN1724" s="87"/>
      <c r="AO1724" s="87"/>
      <c r="AP1724" s="87"/>
      <c r="AQ1724" s="87"/>
      <c r="AR1724" s="87"/>
      <c r="BC1724" s="87"/>
      <c r="BD1724" s="87"/>
      <c r="BE1724" s="87"/>
      <c r="BF1724" s="87"/>
      <c r="BG1724" s="87"/>
      <c r="BH1724" s="87"/>
    </row>
    <row r="1725" spans="23:60" x14ac:dyDescent="0.3">
      <c r="W1725" s="87"/>
      <c r="X1725" s="87"/>
      <c r="Y1725" s="87"/>
      <c r="Z1725" s="87"/>
      <c r="AA1725" s="87"/>
      <c r="AB1725" s="87"/>
      <c r="AM1725" s="87"/>
      <c r="AN1725" s="87"/>
      <c r="AO1725" s="87"/>
      <c r="AP1725" s="87"/>
      <c r="AQ1725" s="87"/>
      <c r="AR1725" s="87"/>
      <c r="BC1725" s="87"/>
      <c r="BD1725" s="87"/>
      <c r="BE1725" s="87"/>
      <c r="BF1725" s="87"/>
      <c r="BG1725" s="87"/>
      <c r="BH1725" s="87"/>
    </row>
    <row r="1726" spans="23:60" x14ac:dyDescent="0.3">
      <c r="W1726" s="87"/>
      <c r="X1726" s="87"/>
      <c r="Y1726" s="87"/>
      <c r="Z1726" s="87"/>
      <c r="AA1726" s="87"/>
      <c r="AB1726" s="87"/>
      <c r="AM1726" s="87"/>
      <c r="AN1726" s="87"/>
      <c r="AO1726" s="87"/>
      <c r="AP1726" s="87"/>
      <c r="AQ1726" s="87"/>
      <c r="AR1726" s="87"/>
      <c r="BC1726" s="87"/>
      <c r="BD1726" s="87"/>
      <c r="BE1726" s="87"/>
      <c r="BF1726" s="87"/>
      <c r="BG1726" s="87"/>
      <c r="BH1726" s="87"/>
    </row>
    <row r="1727" spans="23:60" x14ac:dyDescent="0.3">
      <c r="W1727" s="87"/>
      <c r="X1727" s="87"/>
      <c r="Y1727" s="87"/>
      <c r="Z1727" s="87"/>
      <c r="AA1727" s="87"/>
      <c r="AB1727" s="87"/>
      <c r="AM1727" s="87"/>
      <c r="AN1727" s="87"/>
      <c r="AO1727" s="87"/>
      <c r="AP1727" s="87"/>
      <c r="AQ1727" s="87"/>
      <c r="AR1727" s="87"/>
      <c r="BC1727" s="87"/>
      <c r="BD1727" s="87"/>
      <c r="BE1727" s="87"/>
      <c r="BF1727" s="87"/>
      <c r="BG1727" s="87"/>
      <c r="BH1727" s="87"/>
    </row>
    <row r="1728" spans="23:60" x14ac:dyDescent="0.3">
      <c r="W1728" s="87"/>
      <c r="X1728" s="87"/>
      <c r="Y1728" s="87"/>
      <c r="Z1728" s="87"/>
      <c r="AA1728" s="87"/>
      <c r="AB1728" s="87"/>
      <c r="AM1728" s="87"/>
      <c r="AN1728" s="87"/>
      <c r="AO1728" s="87"/>
      <c r="AP1728" s="87"/>
      <c r="AQ1728" s="87"/>
      <c r="AR1728" s="87"/>
      <c r="BC1728" s="87"/>
      <c r="BD1728" s="87"/>
      <c r="BE1728" s="87"/>
      <c r="BF1728" s="87"/>
      <c r="BG1728" s="87"/>
      <c r="BH1728" s="87"/>
    </row>
    <row r="1729" spans="23:60" x14ac:dyDescent="0.3">
      <c r="W1729" s="87"/>
      <c r="X1729" s="87"/>
      <c r="Y1729" s="87"/>
      <c r="Z1729" s="87"/>
      <c r="AA1729" s="87"/>
      <c r="AB1729" s="87"/>
      <c r="AM1729" s="87"/>
      <c r="AN1729" s="87"/>
      <c r="AO1729" s="87"/>
      <c r="AP1729" s="87"/>
      <c r="AQ1729" s="87"/>
      <c r="AR1729" s="87"/>
      <c r="BC1729" s="87"/>
      <c r="BD1729" s="87"/>
      <c r="BE1729" s="87"/>
      <c r="BF1729" s="87"/>
      <c r="BG1729" s="87"/>
      <c r="BH1729" s="87"/>
    </row>
    <row r="1730" spans="23:60" x14ac:dyDescent="0.3">
      <c r="W1730" s="87"/>
      <c r="X1730" s="87"/>
      <c r="Y1730" s="87"/>
      <c r="Z1730" s="87"/>
      <c r="AA1730" s="87"/>
      <c r="AB1730" s="87"/>
      <c r="AM1730" s="87"/>
      <c r="AN1730" s="87"/>
      <c r="AO1730" s="87"/>
      <c r="AP1730" s="87"/>
      <c r="AQ1730" s="87"/>
      <c r="AR1730" s="87"/>
      <c r="BC1730" s="87"/>
      <c r="BD1730" s="87"/>
      <c r="BE1730" s="87"/>
      <c r="BF1730" s="87"/>
      <c r="BG1730" s="87"/>
      <c r="BH1730" s="87"/>
    </row>
    <row r="1731" spans="23:60" x14ac:dyDescent="0.3">
      <c r="W1731" s="87"/>
      <c r="X1731" s="87"/>
      <c r="Y1731" s="87"/>
      <c r="Z1731" s="87"/>
      <c r="AA1731" s="87"/>
      <c r="AB1731" s="87"/>
      <c r="AM1731" s="87"/>
      <c r="AN1731" s="87"/>
      <c r="AO1731" s="87"/>
      <c r="AP1731" s="87"/>
      <c r="AQ1731" s="87"/>
      <c r="AR1731" s="87"/>
      <c r="BC1731" s="87"/>
      <c r="BD1731" s="87"/>
      <c r="BE1731" s="87"/>
      <c r="BF1731" s="87"/>
      <c r="BG1731" s="87"/>
      <c r="BH1731" s="87"/>
    </row>
    <row r="1732" spans="23:60" x14ac:dyDescent="0.3">
      <c r="W1732" s="87"/>
      <c r="X1732" s="87"/>
      <c r="Y1732" s="87"/>
      <c r="Z1732" s="87"/>
      <c r="AA1732" s="87"/>
      <c r="AB1732" s="87"/>
      <c r="AM1732" s="87"/>
      <c r="AN1732" s="87"/>
      <c r="AO1732" s="87"/>
      <c r="AP1732" s="87"/>
      <c r="AQ1732" s="87"/>
      <c r="AR1732" s="87"/>
      <c r="BC1732" s="87"/>
      <c r="BD1732" s="87"/>
      <c r="BE1732" s="87"/>
      <c r="BF1732" s="87"/>
      <c r="BG1732" s="87"/>
      <c r="BH1732" s="87"/>
    </row>
    <row r="1733" spans="23:60" x14ac:dyDescent="0.3">
      <c r="W1733" s="87"/>
      <c r="X1733" s="87"/>
      <c r="Y1733" s="87"/>
      <c r="Z1733" s="87"/>
      <c r="AA1733" s="87"/>
      <c r="AB1733" s="87"/>
      <c r="AM1733" s="87"/>
      <c r="AN1733" s="87"/>
      <c r="AO1733" s="87"/>
      <c r="AP1733" s="87"/>
      <c r="AQ1733" s="87"/>
      <c r="AR1733" s="87"/>
      <c r="BC1733" s="87"/>
      <c r="BD1733" s="87"/>
      <c r="BE1733" s="87"/>
      <c r="BF1733" s="87"/>
      <c r="BG1733" s="87"/>
      <c r="BH1733" s="87"/>
    </row>
    <row r="1734" spans="23:60" x14ac:dyDescent="0.3">
      <c r="W1734" s="87"/>
      <c r="X1734" s="87"/>
      <c r="Y1734" s="87"/>
      <c r="Z1734" s="87"/>
      <c r="AA1734" s="87"/>
      <c r="AB1734" s="87"/>
      <c r="AM1734" s="87"/>
      <c r="AN1734" s="87"/>
      <c r="AO1734" s="87"/>
      <c r="AP1734" s="87"/>
      <c r="AQ1734" s="87"/>
      <c r="AR1734" s="87"/>
      <c r="BC1734" s="87"/>
      <c r="BD1734" s="87"/>
      <c r="BE1734" s="87"/>
      <c r="BF1734" s="87"/>
      <c r="BG1734" s="87"/>
      <c r="BH1734" s="87"/>
    </row>
    <row r="1735" spans="23:60" x14ac:dyDescent="0.3">
      <c r="W1735" s="87"/>
      <c r="X1735" s="87"/>
      <c r="Y1735" s="87"/>
      <c r="Z1735" s="87"/>
      <c r="AA1735" s="87"/>
      <c r="AB1735" s="87"/>
      <c r="AM1735" s="87"/>
      <c r="AN1735" s="87"/>
      <c r="AO1735" s="87"/>
      <c r="AP1735" s="87"/>
      <c r="AQ1735" s="87"/>
      <c r="AR1735" s="87"/>
      <c r="BC1735" s="87"/>
      <c r="BD1735" s="87"/>
      <c r="BE1735" s="87"/>
      <c r="BF1735" s="87"/>
      <c r="BG1735" s="87"/>
      <c r="BH1735" s="87"/>
    </row>
    <row r="1736" spans="23:60" x14ac:dyDescent="0.3">
      <c r="W1736" s="87"/>
      <c r="X1736" s="87"/>
      <c r="Y1736" s="87"/>
      <c r="Z1736" s="87"/>
      <c r="AA1736" s="87"/>
      <c r="AB1736" s="87"/>
      <c r="AM1736" s="87"/>
      <c r="AN1736" s="87"/>
      <c r="AO1736" s="87"/>
      <c r="AP1736" s="87"/>
      <c r="AQ1736" s="87"/>
      <c r="AR1736" s="87"/>
      <c r="BC1736" s="87"/>
      <c r="BD1736" s="87"/>
      <c r="BE1736" s="87"/>
      <c r="BF1736" s="87"/>
      <c r="BG1736" s="87"/>
      <c r="BH1736" s="87"/>
    </row>
    <row r="1737" spans="23:60" x14ac:dyDescent="0.3">
      <c r="W1737" s="87"/>
      <c r="X1737" s="87"/>
      <c r="Y1737" s="87"/>
      <c r="Z1737" s="87"/>
      <c r="AA1737" s="87"/>
      <c r="AB1737" s="87"/>
      <c r="AM1737" s="87"/>
      <c r="AN1737" s="87"/>
      <c r="AO1737" s="87"/>
      <c r="AP1737" s="87"/>
      <c r="AQ1737" s="87"/>
      <c r="AR1737" s="87"/>
      <c r="BC1737" s="87"/>
      <c r="BD1737" s="87"/>
      <c r="BE1737" s="87"/>
      <c r="BF1737" s="87"/>
      <c r="BG1737" s="87"/>
      <c r="BH1737" s="87"/>
    </row>
    <row r="1738" spans="23:60" x14ac:dyDescent="0.3">
      <c r="W1738" s="87"/>
      <c r="X1738" s="87"/>
      <c r="Y1738" s="87"/>
      <c r="Z1738" s="87"/>
      <c r="AA1738" s="87"/>
      <c r="AB1738" s="87"/>
      <c r="AM1738" s="87"/>
      <c r="AN1738" s="87"/>
      <c r="AO1738" s="87"/>
      <c r="AP1738" s="87"/>
      <c r="AQ1738" s="87"/>
      <c r="AR1738" s="87"/>
      <c r="BC1738" s="87"/>
      <c r="BD1738" s="87"/>
      <c r="BE1738" s="87"/>
      <c r="BF1738" s="87"/>
      <c r="BG1738" s="87"/>
      <c r="BH1738" s="87"/>
    </row>
    <row r="1739" spans="23:60" x14ac:dyDescent="0.3">
      <c r="W1739" s="87"/>
      <c r="X1739" s="87"/>
      <c r="Y1739" s="87"/>
      <c r="Z1739" s="87"/>
      <c r="AA1739" s="87"/>
      <c r="AB1739" s="87"/>
      <c r="AM1739" s="87"/>
      <c r="AN1739" s="87"/>
      <c r="AO1739" s="87"/>
      <c r="AP1739" s="87"/>
      <c r="AQ1739" s="87"/>
      <c r="AR1739" s="87"/>
      <c r="BC1739" s="87"/>
      <c r="BD1739" s="87"/>
      <c r="BE1739" s="87"/>
      <c r="BF1739" s="87"/>
      <c r="BG1739" s="87"/>
      <c r="BH1739" s="87"/>
    </row>
    <row r="1740" spans="23:60" x14ac:dyDescent="0.3">
      <c r="W1740" s="87"/>
      <c r="X1740" s="87"/>
      <c r="Y1740" s="87"/>
      <c r="Z1740" s="87"/>
      <c r="AA1740" s="87"/>
      <c r="AB1740" s="87"/>
      <c r="AM1740" s="87"/>
      <c r="AN1740" s="87"/>
      <c r="AO1740" s="87"/>
      <c r="AP1740" s="87"/>
      <c r="AQ1740" s="87"/>
      <c r="AR1740" s="87"/>
      <c r="BC1740" s="87"/>
      <c r="BD1740" s="87"/>
      <c r="BE1740" s="87"/>
      <c r="BF1740" s="87"/>
      <c r="BG1740" s="87"/>
      <c r="BH1740" s="87"/>
    </row>
    <row r="1741" spans="23:60" x14ac:dyDescent="0.3">
      <c r="W1741" s="87"/>
      <c r="X1741" s="87"/>
      <c r="Y1741" s="87"/>
      <c r="Z1741" s="87"/>
      <c r="AA1741" s="87"/>
      <c r="AB1741" s="87"/>
      <c r="AM1741" s="87"/>
      <c r="AN1741" s="87"/>
      <c r="AO1741" s="87"/>
      <c r="AP1741" s="87"/>
      <c r="AQ1741" s="87"/>
      <c r="AR1741" s="87"/>
      <c r="BC1741" s="87"/>
      <c r="BD1741" s="87"/>
      <c r="BE1741" s="87"/>
      <c r="BF1741" s="87"/>
      <c r="BG1741" s="87"/>
      <c r="BH1741" s="87"/>
    </row>
    <row r="1742" spans="23:60" x14ac:dyDescent="0.3">
      <c r="W1742" s="87"/>
      <c r="X1742" s="87"/>
      <c r="Y1742" s="87"/>
      <c r="Z1742" s="87"/>
      <c r="AA1742" s="87"/>
      <c r="AB1742" s="87"/>
      <c r="AM1742" s="87"/>
      <c r="AN1742" s="87"/>
      <c r="AO1742" s="87"/>
      <c r="AP1742" s="87"/>
      <c r="AQ1742" s="87"/>
      <c r="AR1742" s="87"/>
      <c r="BC1742" s="87"/>
      <c r="BD1742" s="87"/>
      <c r="BE1742" s="87"/>
      <c r="BF1742" s="87"/>
      <c r="BG1742" s="87"/>
      <c r="BH1742" s="87"/>
    </row>
    <row r="1743" spans="23:60" x14ac:dyDescent="0.3">
      <c r="W1743" s="87"/>
      <c r="X1743" s="87"/>
      <c r="Y1743" s="87"/>
      <c r="Z1743" s="87"/>
      <c r="AA1743" s="87"/>
      <c r="AB1743" s="87"/>
      <c r="AM1743" s="87"/>
      <c r="AN1743" s="87"/>
      <c r="AO1743" s="87"/>
      <c r="AP1743" s="87"/>
      <c r="AQ1743" s="87"/>
      <c r="AR1743" s="87"/>
      <c r="BC1743" s="87"/>
      <c r="BD1743" s="87"/>
      <c r="BE1743" s="87"/>
      <c r="BF1743" s="87"/>
      <c r="BG1743" s="87"/>
      <c r="BH1743" s="87"/>
    </row>
    <row r="1744" spans="23:60" x14ac:dyDescent="0.3">
      <c r="W1744" s="87"/>
      <c r="X1744" s="87"/>
      <c r="Y1744" s="87"/>
      <c r="Z1744" s="87"/>
      <c r="AA1744" s="87"/>
      <c r="AB1744" s="87"/>
      <c r="AM1744" s="87"/>
      <c r="AN1744" s="87"/>
      <c r="AO1744" s="87"/>
      <c r="AP1744" s="87"/>
      <c r="AQ1744" s="87"/>
      <c r="AR1744" s="87"/>
      <c r="BC1744" s="87"/>
      <c r="BD1744" s="87"/>
      <c r="BE1744" s="87"/>
      <c r="BF1744" s="87"/>
      <c r="BG1744" s="87"/>
      <c r="BH1744" s="87"/>
    </row>
    <row r="1745" spans="23:60" x14ac:dyDescent="0.3">
      <c r="W1745" s="87"/>
      <c r="X1745" s="87"/>
      <c r="Y1745" s="87"/>
      <c r="Z1745" s="87"/>
      <c r="AA1745" s="87"/>
      <c r="AB1745" s="87"/>
      <c r="AM1745" s="87"/>
      <c r="AN1745" s="87"/>
      <c r="AO1745" s="87"/>
      <c r="AP1745" s="87"/>
      <c r="AQ1745" s="87"/>
      <c r="AR1745" s="87"/>
      <c r="BC1745" s="87"/>
      <c r="BD1745" s="87"/>
      <c r="BE1745" s="87"/>
      <c r="BF1745" s="87"/>
      <c r="BG1745" s="87"/>
      <c r="BH1745" s="87"/>
    </row>
    <row r="1746" spans="23:60" x14ac:dyDescent="0.3">
      <c r="W1746" s="87"/>
      <c r="X1746" s="87"/>
      <c r="Y1746" s="87"/>
      <c r="Z1746" s="87"/>
      <c r="AA1746" s="87"/>
      <c r="AB1746" s="87"/>
      <c r="AM1746" s="87"/>
      <c r="AN1746" s="87"/>
      <c r="AO1746" s="87"/>
      <c r="AP1746" s="87"/>
      <c r="AQ1746" s="87"/>
      <c r="AR1746" s="87"/>
      <c r="BC1746" s="87"/>
      <c r="BD1746" s="87"/>
      <c r="BE1746" s="87"/>
      <c r="BF1746" s="87"/>
      <c r="BG1746" s="87"/>
      <c r="BH1746" s="87"/>
    </row>
    <row r="1747" spans="23:60" x14ac:dyDescent="0.3">
      <c r="W1747" s="87"/>
      <c r="X1747" s="87"/>
      <c r="Y1747" s="87"/>
      <c r="Z1747" s="87"/>
      <c r="AA1747" s="87"/>
      <c r="AB1747" s="87"/>
      <c r="AM1747" s="87"/>
      <c r="AN1747" s="87"/>
      <c r="AO1747" s="87"/>
      <c r="AP1747" s="87"/>
      <c r="AQ1747" s="87"/>
      <c r="AR1747" s="87"/>
      <c r="BC1747" s="87"/>
      <c r="BD1747" s="87"/>
      <c r="BE1747" s="87"/>
      <c r="BF1747" s="87"/>
      <c r="BG1747" s="87"/>
      <c r="BH1747" s="87"/>
    </row>
    <row r="1748" spans="23:60" x14ac:dyDescent="0.3">
      <c r="W1748" s="87"/>
      <c r="X1748" s="87"/>
      <c r="Y1748" s="87"/>
      <c r="Z1748" s="87"/>
      <c r="AA1748" s="87"/>
      <c r="AB1748" s="87"/>
      <c r="AM1748" s="87"/>
      <c r="AN1748" s="87"/>
      <c r="AO1748" s="87"/>
      <c r="AP1748" s="87"/>
      <c r="AQ1748" s="87"/>
      <c r="AR1748" s="87"/>
      <c r="BC1748" s="87"/>
      <c r="BD1748" s="87"/>
      <c r="BE1748" s="87"/>
      <c r="BF1748" s="87"/>
      <c r="BG1748" s="87"/>
      <c r="BH1748" s="87"/>
    </row>
    <row r="1749" spans="23:60" x14ac:dyDescent="0.3">
      <c r="W1749" s="87"/>
      <c r="X1749" s="87"/>
      <c r="Y1749" s="87"/>
      <c r="Z1749" s="87"/>
      <c r="AA1749" s="87"/>
      <c r="AB1749" s="87"/>
      <c r="AM1749" s="87"/>
      <c r="AN1749" s="87"/>
      <c r="AO1749" s="87"/>
      <c r="AP1749" s="87"/>
      <c r="AQ1749" s="87"/>
      <c r="AR1749" s="87"/>
      <c r="BC1749" s="87"/>
      <c r="BD1749" s="87"/>
      <c r="BE1749" s="87"/>
      <c r="BF1749" s="87"/>
      <c r="BG1749" s="87"/>
      <c r="BH1749" s="87"/>
    </row>
    <row r="1750" spans="23:60" x14ac:dyDescent="0.3">
      <c r="W1750" s="87"/>
      <c r="X1750" s="87"/>
      <c r="Y1750" s="87"/>
      <c r="Z1750" s="87"/>
      <c r="AA1750" s="87"/>
      <c r="AB1750" s="87"/>
      <c r="AM1750" s="87"/>
      <c r="AN1750" s="87"/>
      <c r="AO1750" s="87"/>
      <c r="AP1750" s="87"/>
      <c r="AQ1750" s="87"/>
      <c r="AR1750" s="87"/>
      <c r="BC1750" s="87"/>
      <c r="BD1750" s="87"/>
      <c r="BE1750" s="87"/>
      <c r="BF1750" s="87"/>
      <c r="BG1750" s="87"/>
      <c r="BH1750" s="87"/>
    </row>
    <row r="1751" spans="23:60" x14ac:dyDescent="0.3">
      <c r="W1751" s="87"/>
      <c r="X1751" s="87"/>
      <c r="Y1751" s="87"/>
      <c r="Z1751" s="87"/>
      <c r="AA1751" s="87"/>
      <c r="AB1751" s="87"/>
      <c r="AM1751" s="87"/>
      <c r="AN1751" s="87"/>
      <c r="AO1751" s="87"/>
      <c r="AP1751" s="87"/>
      <c r="AQ1751" s="87"/>
      <c r="AR1751" s="87"/>
      <c r="BC1751" s="87"/>
      <c r="BD1751" s="87"/>
      <c r="BE1751" s="87"/>
      <c r="BF1751" s="87"/>
      <c r="BG1751" s="87"/>
      <c r="BH1751" s="87"/>
    </row>
    <row r="1752" spans="23:60" x14ac:dyDescent="0.3">
      <c r="W1752" s="87"/>
      <c r="X1752" s="87"/>
      <c r="Y1752" s="87"/>
      <c r="Z1752" s="87"/>
      <c r="AA1752" s="87"/>
      <c r="AB1752" s="87"/>
      <c r="AM1752" s="87"/>
      <c r="AN1752" s="87"/>
      <c r="AO1752" s="87"/>
      <c r="AP1752" s="87"/>
      <c r="AQ1752" s="87"/>
      <c r="AR1752" s="87"/>
      <c r="BC1752" s="87"/>
      <c r="BD1752" s="87"/>
      <c r="BE1752" s="87"/>
      <c r="BF1752" s="87"/>
      <c r="BG1752" s="87"/>
      <c r="BH1752" s="87"/>
    </row>
    <row r="1753" spans="23:60" x14ac:dyDescent="0.3">
      <c r="W1753" s="87"/>
      <c r="X1753" s="87"/>
      <c r="Y1753" s="87"/>
      <c r="Z1753" s="87"/>
      <c r="AA1753" s="87"/>
      <c r="AB1753" s="87"/>
      <c r="AM1753" s="87"/>
      <c r="AN1753" s="87"/>
      <c r="AO1753" s="87"/>
      <c r="AP1753" s="87"/>
      <c r="AQ1753" s="87"/>
      <c r="AR1753" s="87"/>
      <c r="BC1753" s="87"/>
      <c r="BD1753" s="87"/>
      <c r="BE1753" s="87"/>
      <c r="BF1753" s="87"/>
      <c r="BG1753" s="87"/>
      <c r="BH1753" s="87"/>
    </row>
    <row r="1754" spans="23:60" x14ac:dyDescent="0.3">
      <c r="W1754" s="87"/>
      <c r="X1754" s="87"/>
      <c r="Y1754" s="87"/>
      <c r="Z1754" s="87"/>
      <c r="AA1754" s="87"/>
      <c r="AB1754" s="87"/>
      <c r="AM1754" s="87"/>
      <c r="AN1754" s="87"/>
      <c r="AO1754" s="87"/>
      <c r="AP1754" s="87"/>
      <c r="AQ1754" s="87"/>
      <c r="AR1754" s="87"/>
      <c r="BC1754" s="87"/>
      <c r="BD1754" s="87"/>
      <c r="BE1754" s="87"/>
      <c r="BF1754" s="87"/>
      <c r="BG1754" s="87"/>
      <c r="BH1754" s="87"/>
    </row>
    <row r="1755" spans="23:60" x14ac:dyDescent="0.3">
      <c r="W1755" s="87"/>
      <c r="X1755" s="87"/>
      <c r="Y1755" s="87"/>
      <c r="Z1755" s="87"/>
      <c r="AA1755" s="87"/>
      <c r="AB1755" s="87"/>
      <c r="AM1755" s="87"/>
      <c r="AN1755" s="87"/>
      <c r="AO1755" s="87"/>
      <c r="AP1755" s="87"/>
      <c r="AQ1755" s="87"/>
      <c r="AR1755" s="87"/>
      <c r="BC1755" s="87"/>
      <c r="BD1755" s="87"/>
      <c r="BE1755" s="87"/>
      <c r="BF1755" s="87"/>
      <c r="BG1755" s="87"/>
      <c r="BH1755" s="87"/>
    </row>
    <row r="1756" spans="23:60" x14ac:dyDescent="0.3">
      <c r="W1756" s="87"/>
      <c r="X1756" s="87"/>
      <c r="Y1756" s="87"/>
      <c r="Z1756" s="87"/>
      <c r="AA1756" s="87"/>
      <c r="AB1756" s="87"/>
      <c r="AM1756" s="87"/>
      <c r="AN1756" s="87"/>
      <c r="AO1756" s="87"/>
      <c r="AP1756" s="87"/>
      <c r="AQ1756" s="87"/>
      <c r="AR1756" s="87"/>
      <c r="BC1756" s="87"/>
      <c r="BD1756" s="87"/>
      <c r="BE1756" s="87"/>
      <c r="BF1756" s="87"/>
      <c r="BG1756" s="87"/>
      <c r="BH1756" s="87"/>
    </row>
    <row r="1757" spans="23:60" x14ac:dyDescent="0.3">
      <c r="W1757" s="87"/>
      <c r="X1757" s="87"/>
      <c r="Y1757" s="87"/>
      <c r="Z1757" s="87"/>
      <c r="AA1757" s="87"/>
      <c r="AB1757" s="87"/>
      <c r="AM1757" s="87"/>
      <c r="AN1757" s="87"/>
      <c r="AO1757" s="87"/>
      <c r="AP1757" s="87"/>
      <c r="AQ1757" s="87"/>
      <c r="AR1757" s="87"/>
      <c r="BC1757" s="87"/>
      <c r="BD1757" s="87"/>
      <c r="BE1757" s="87"/>
      <c r="BF1757" s="87"/>
      <c r="BG1757" s="87"/>
      <c r="BH1757" s="87"/>
    </row>
    <row r="1758" spans="23:60" x14ac:dyDescent="0.3">
      <c r="W1758" s="87"/>
      <c r="X1758" s="87"/>
      <c r="Y1758" s="87"/>
      <c r="Z1758" s="87"/>
      <c r="AA1758" s="87"/>
      <c r="AB1758" s="87"/>
      <c r="AM1758" s="87"/>
      <c r="AN1758" s="87"/>
      <c r="AO1758" s="87"/>
      <c r="AP1758" s="87"/>
      <c r="AQ1758" s="87"/>
      <c r="AR1758" s="87"/>
      <c r="BC1758" s="87"/>
      <c r="BD1758" s="87"/>
      <c r="BE1758" s="87"/>
      <c r="BF1758" s="87"/>
      <c r="BG1758" s="87"/>
      <c r="BH1758" s="87"/>
    </row>
    <row r="1759" spans="23:60" x14ac:dyDescent="0.3">
      <c r="W1759" s="87"/>
      <c r="X1759" s="87"/>
      <c r="Y1759" s="87"/>
      <c r="Z1759" s="87"/>
      <c r="AA1759" s="87"/>
      <c r="AB1759" s="87"/>
      <c r="AM1759" s="87"/>
      <c r="AN1759" s="87"/>
      <c r="AO1759" s="87"/>
      <c r="AP1759" s="87"/>
      <c r="AQ1759" s="87"/>
      <c r="AR1759" s="87"/>
      <c r="BC1759" s="87"/>
      <c r="BD1759" s="87"/>
      <c r="BE1759" s="87"/>
      <c r="BF1759" s="87"/>
      <c r="BG1759" s="87"/>
      <c r="BH1759" s="87"/>
    </row>
    <row r="1760" spans="23:60" x14ac:dyDescent="0.3">
      <c r="W1760" s="87"/>
      <c r="X1760" s="87"/>
      <c r="Y1760" s="87"/>
      <c r="Z1760" s="87"/>
      <c r="AA1760" s="87"/>
      <c r="AB1760" s="87"/>
      <c r="AM1760" s="87"/>
      <c r="AN1760" s="87"/>
      <c r="AO1760" s="87"/>
      <c r="AP1760" s="87"/>
      <c r="AQ1760" s="87"/>
      <c r="AR1760" s="87"/>
      <c r="BC1760" s="87"/>
      <c r="BD1760" s="87"/>
      <c r="BE1760" s="87"/>
      <c r="BF1760" s="87"/>
      <c r="BG1760" s="87"/>
      <c r="BH1760" s="87"/>
    </row>
    <row r="1761" spans="23:60" x14ac:dyDescent="0.3">
      <c r="W1761" s="87"/>
      <c r="X1761" s="87"/>
      <c r="Y1761" s="87"/>
      <c r="Z1761" s="87"/>
      <c r="AA1761" s="87"/>
      <c r="AB1761" s="87"/>
      <c r="AM1761" s="87"/>
      <c r="AN1761" s="87"/>
      <c r="AO1761" s="87"/>
      <c r="AP1761" s="87"/>
      <c r="AQ1761" s="87"/>
      <c r="AR1761" s="87"/>
      <c r="BC1761" s="87"/>
      <c r="BD1761" s="87"/>
      <c r="BE1761" s="87"/>
      <c r="BF1761" s="87"/>
      <c r="BG1761" s="87"/>
      <c r="BH1761" s="87"/>
    </row>
    <row r="1762" spans="23:60" x14ac:dyDescent="0.3">
      <c r="W1762" s="87"/>
      <c r="X1762" s="87"/>
      <c r="Y1762" s="87"/>
      <c r="Z1762" s="87"/>
      <c r="AA1762" s="87"/>
      <c r="AB1762" s="87"/>
      <c r="AM1762" s="87"/>
      <c r="AN1762" s="87"/>
      <c r="AO1762" s="87"/>
      <c r="AP1762" s="87"/>
      <c r="AQ1762" s="87"/>
      <c r="AR1762" s="87"/>
      <c r="BC1762" s="87"/>
      <c r="BD1762" s="87"/>
      <c r="BE1762" s="87"/>
      <c r="BF1762" s="87"/>
      <c r="BG1762" s="87"/>
      <c r="BH1762" s="87"/>
    </row>
    <row r="1763" spans="23:60" x14ac:dyDescent="0.3">
      <c r="W1763" s="87"/>
      <c r="X1763" s="87"/>
      <c r="Y1763" s="87"/>
      <c r="Z1763" s="87"/>
      <c r="AA1763" s="87"/>
      <c r="AB1763" s="87"/>
      <c r="AM1763" s="87"/>
      <c r="AN1763" s="87"/>
      <c r="AO1763" s="87"/>
      <c r="AP1763" s="87"/>
      <c r="AQ1763" s="87"/>
      <c r="AR1763" s="87"/>
      <c r="BC1763" s="87"/>
      <c r="BD1763" s="87"/>
      <c r="BE1763" s="87"/>
      <c r="BF1763" s="87"/>
      <c r="BG1763" s="87"/>
      <c r="BH1763" s="87"/>
    </row>
    <row r="1764" spans="23:60" x14ac:dyDescent="0.3">
      <c r="W1764" s="87"/>
      <c r="X1764" s="87"/>
      <c r="Y1764" s="87"/>
      <c r="Z1764" s="87"/>
      <c r="AA1764" s="87"/>
      <c r="AB1764" s="87"/>
      <c r="AM1764" s="87"/>
      <c r="AN1764" s="87"/>
      <c r="AO1764" s="87"/>
      <c r="AP1764" s="87"/>
      <c r="AQ1764" s="87"/>
      <c r="AR1764" s="87"/>
      <c r="BC1764" s="87"/>
      <c r="BD1764" s="87"/>
      <c r="BE1764" s="87"/>
      <c r="BF1764" s="87"/>
      <c r="BG1764" s="87"/>
      <c r="BH1764" s="87"/>
    </row>
    <row r="1765" spans="23:60" x14ac:dyDescent="0.3">
      <c r="W1765" s="87"/>
      <c r="X1765" s="87"/>
      <c r="Y1765" s="87"/>
      <c r="Z1765" s="87"/>
      <c r="AA1765" s="87"/>
      <c r="AB1765" s="87"/>
      <c r="AM1765" s="87"/>
      <c r="AN1765" s="87"/>
      <c r="AO1765" s="87"/>
      <c r="AP1765" s="87"/>
      <c r="AQ1765" s="87"/>
      <c r="AR1765" s="87"/>
      <c r="BC1765" s="87"/>
      <c r="BD1765" s="87"/>
      <c r="BE1765" s="87"/>
      <c r="BF1765" s="87"/>
      <c r="BG1765" s="87"/>
      <c r="BH1765" s="87"/>
    </row>
    <row r="1766" spans="23:60" x14ac:dyDescent="0.3">
      <c r="W1766" s="87"/>
      <c r="X1766" s="87"/>
      <c r="Y1766" s="87"/>
      <c r="Z1766" s="87"/>
      <c r="AA1766" s="87"/>
      <c r="AB1766" s="87"/>
      <c r="AM1766" s="87"/>
      <c r="AN1766" s="87"/>
      <c r="AO1766" s="87"/>
      <c r="AP1766" s="87"/>
      <c r="AQ1766" s="87"/>
      <c r="AR1766" s="87"/>
      <c r="BC1766" s="87"/>
      <c r="BD1766" s="87"/>
      <c r="BE1766" s="87"/>
      <c r="BF1766" s="87"/>
      <c r="BG1766" s="87"/>
      <c r="BH1766" s="87"/>
    </row>
    <row r="1767" spans="23:60" x14ac:dyDescent="0.3">
      <c r="W1767" s="87"/>
      <c r="X1767" s="87"/>
      <c r="Y1767" s="87"/>
      <c r="Z1767" s="87"/>
      <c r="AA1767" s="87"/>
      <c r="AB1767" s="87"/>
      <c r="AM1767" s="87"/>
      <c r="AN1767" s="87"/>
      <c r="AO1767" s="87"/>
      <c r="AP1767" s="87"/>
      <c r="AQ1767" s="87"/>
      <c r="AR1767" s="87"/>
      <c r="BC1767" s="87"/>
      <c r="BD1767" s="87"/>
      <c r="BE1767" s="87"/>
      <c r="BF1767" s="87"/>
      <c r="BG1767" s="87"/>
      <c r="BH1767" s="87"/>
    </row>
    <row r="1768" spans="23:60" x14ac:dyDescent="0.3">
      <c r="W1768" s="87"/>
      <c r="X1768" s="87"/>
      <c r="Y1768" s="87"/>
      <c r="Z1768" s="87"/>
      <c r="AA1768" s="87"/>
      <c r="AB1768" s="87"/>
      <c r="AM1768" s="87"/>
      <c r="AN1768" s="87"/>
      <c r="AO1768" s="87"/>
      <c r="AP1768" s="87"/>
      <c r="AQ1768" s="87"/>
      <c r="AR1768" s="87"/>
      <c r="BC1768" s="87"/>
      <c r="BD1768" s="87"/>
      <c r="BE1768" s="87"/>
      <c r="BF1768" s="87"/>
      <c r="BG1768" s="87"/>
      <c r="BH1768" s="87"/>
    </row>
    <row r="1769" spans="23:60" x14ac:dyDescent="0.3">
      <c r="W1769" s="87"/>
      <c r="X1769" s="87"/>
      <c r="Y1769" s="87"/>
      <c r="Z1769" s="87"/>
      <c r="AA1769" s="87"/>
      <c r="AB1769" s="87"/>
      <c r="AM1769" s="87"/>
      <c r="AN1769" s="87"/>
      <c r="AO1769" s="87"/>
      <c r="AP1769" s="87"/>
      <c r="AQ1769" s="87"/>
      <c r="AR1769" s="87"/>
      <c r="BC1769" s="87"/>
      <c r="BD1769" s="87"/>
      <c r="BE1769" s="87"/>
      <c r="BF1769" s="87"/>
      <c r="BG1769" s="87"/>
      <c r="BH1769" s="87"/>
    </row>
    <row r="1770" spans="23:60" x14ac:dyDescent="0.3">
      <c r="W1770" s="87"/>
      <c r="X1770" s="87"/>
      <c r="Y1770" s="87"/>
      <c r="Z1770" s="87"/>
      <c r="AA1770" s="87"/>
      <c r="AB1770" s="87"/>
      <c r="AM1770" s="87"/>
      <c r="AN1770" s="87"/>
      <c r="AO1770" s="87"/>
      <c r="AP1770" s="87"/>
      <c r="AQ1770" s="87"/>
      <c r="AR1770" s="87"/>
      <c r="BC1770" s="87"/>
      <c r="BD1770" s="87"/>
      <c r="BE1770" s="87"/>
      <c r="BF1770" s="87"/>
      <c r="BG1770" s="87"/>
      <c r="BH1770" s="87"/>
    </row>
    <row r="1771" spans="23:60" x14ac:dyDescent="0.3">
      <c r="W1771" s="87"/>
      <c r="X1771" s="87"/>
      <c r="Y1771" s="87"/>
      <c r="Z1771" s="87"/>
      <c r="AA1771" s="87"/>
      <c r="AB1771" s="87"/>
      <c r="AM1771" s="87"/>
      <c r="AN1771" s="87"/>
      <c r="AO1771" s="87"/>
      <c r="AP1771" s="87"/>
      <c r="AQ1771" s="87"/>
      <c r="AR1771" s="87"/>
      <c r="BC1771" s="87"/>
      <c r="BD1771" s="87"/>
      <c r="BE1771" s="87"/>
      <c r="BF1771" s="87"/>
      <c r="BG1771" s="87"/>
      <c r="BH1771" s="87"/>
    </row>
    <row r="1772" spans="23:60" x14ac:dyDescent="0.3">
      <c r="W1772" s="87"/>
      <c r="X1772" s="87"/>
      <c r="Y1772" s="87"/>
      <c r="Z1772" s="87"/>
      <c r="AA1772" s="87"/>
      <c r="AB1772" s="87"/>
      <c r="AM1772" s="87"/>
      <c r="AN1772" s="87"/>
      <c r="AO1772" s="87"/>
      <c r="AP1772" s="87"/>
      <c r="AQ1772" s="87"/>
      <c r="AR1772" s="87"/>
      <c r="BC1772" s="87"/>
      <c r="BD1772" s="87"/>
      <c r="BE1772" s="87"/>
      <c r="BF1772" s="87"/>
      <c r="BG1772" s="87"/>
      <c r="BH1772" s="87"/>
    </row>
    <row r="1773" spans="23:60" x14ac:dyDescent="0.3">
      <c r="W1773" s="87"/>
      <c r="X1773" s="87"/>
      <c r="Y1773" s="87"/>
      <c r="Z1773" s="87"/>
      <c r="AA1773" s="87"/>
      <c r="AB1773" s="87"/>
      <c r="AM1773" s="87"/>
      <c r="AN1773" s="87"/>
      <c r="AO1773" s="87"/>
      <c r="AP1773" s="87"/>
      <c r="AQ1773" s="87"/>
      <c r="AR1773" s="87"/>
      <c r="BC1773" s="87"/>
      <c r="BD1773" s="87"/>
      <c r="BE1773" s="87"/>
      <c r="BF1773" s="87"/>
      <c r="BG1773" s="87"/>
      <c r="BH1773" s="87"/>
    </row>
    <row r="1774" spans="23:60" x14ac:dyDescent="0.3">
      <c r="W1774" s="87"/>
      <c r="X1774" s="87"/>
      <c r="Y1774" s="87"/>
      <c r="Z1774" s="87"/>
      <c r="AA1774" s="87"/>
      <c r="AB1774" s="87"/>
      <c r="AM1774" s="87"/>
      <c r="AN1774" s="87"/>
      <c r="AO1774" s="87"/>
      <c r="AP1774" s="87"/>
      <c r="AQ1774" s="87"/>
      <c r="AR1774" s="87"/>
      <c r="BC1774" s="87"/>
      <c r="BD1774" s="87"/>
      <c r="BE1774" s="87"/>
      <c r="BF1774" s="87"/>
      <c r="BG1774" s="87"/>
      <c r="BH1774" s="87"/>
    </row>
    <row r="1775" spans="23:60" x14ac:dyDescent="0.3">
      <c r="W1775" s="87"/>
      <c r="X1775" s="87"/>
      <c r="Y1775" s="87"/>
      <c r="Z1775" s="87"/>
      <c r="AA1775" s="87"/>
      <c r="AB1775" s="87"/>
      <c r="AM1775" s="87"/>
      <c r="AN1775" s="87"/>
      <c r="AO1775" s="87"/>
      <c r="AP1775" s="87"/>
      <c r="AQ1775" s="87"/>
      <c r="AR1775" s="87"/>
      <c r="BC1775" s="87"/>
      <c r="BD1775" s="87"/>
      <c r="BE1775" s="87"/>
      <c r="BF1775" s="87"/>
      <c r="BG1775" s="87"/>
      <c r="BH1775" s="87"/>
    </row>
    <row r="1776" spans="23:60" x14ac:dyDescent="0.3">
      <c r="W1776" s="87"/>
      <c r="X1776" s="87"/>
      <c r="Y1776" s="87"/>
      <c r="Z1776" s="87"/>
      <c r="AA1776" s="87"/>
      <c r="AB1776" s="87"/>
      <c r="AM1776" s="87"/>
      <c r="AN1776" s="87"/>
      <c r="AO1776" s="87"/>
      <c r="AP1776" s="87"/>
      <c r="AQ1776" s="87"/>
      <c r="AR1776" s="87"/>
      <c r="BC1776" s="87"/>
      <c r="BD1776" s="87"/>
      <c r="BE1776" s="87"/>
      <c r="BF1776" s="87"/>
      <c r="BG1776" s="87"/>
      <c r="BH1776" s="87"/>
    </row>
    <row r="1777" spans="23:60" x14ac:dyDescent="0.3">
      <c r="W1777" s="87"/>
      <c r="X1777" s="87"/>
      <c r="Y1777" s="87"/>
      <c r="Z1777" s="87"/>
      <c r="AA1777" s="87"/>
      <c r="AB1777" s="87"/>
      <c r="AM1777" s="87"/>
      <c r="AN1777" s="87"/>
      <c r="AO1777" s="87"/>
      <c r="AP1777" s="87"/>
      <c r="AQ1777" s="87"/>
      <c r="AR1777" s="87"/>
      <c r="BC1777" s="87"/>
      <c r="BD1777" s="87"/>
      <c r="BE1777" s="87"/>
      <c r="BF1777" s="87"/>
      <c r="BG1777" s="87"/>
      <c r="BH1777" s="87"/>
    </row>
    <row r="1778" spans="23:60" x14ac:dyDescent="0.3">
      <c r="W1778" s="87"/>
      <c r="X1778" s="87"/>
      <c r="Y1778" s="87"/>
      <c r="Z1778" s="87"/>
      <c r="AA1778" s="87"/>
      <c r="AB1778" s="87"/>
      <c r="AM1778" s="87"/>
      <c r="AN1778" s="87"/>
      <c r="AO1778" s="87"/>
      <c r="AP1778" s="87"/>
      <c r="AQ1778" s="87"/>
      <c r="AR1778" s="87"/>
      <c r="BC1778" s="87"/>
      <c r="BD1778" s="87"/>
      <c r="BE1778" s="87"/>
      <c r="BF1778" s="87"/>
      <c r="BG1778" s="87"/>
      <c r="BH1778" s="87"/>
    </row>
    <row r="1779" spans="23:60" x14ac:dyDescent="0.3">
      <c r="W1779" s="87"/>
      <c r="X1779" s="87"/>
      <c r="Y1779" s="87"/>
      <c r="Z1779" s="87"/>
      <c r="AA1779" s="87"/>
      <c r="AB1779" s="87"/>
      <c r="AM1779" s="87"/>
      <c r="AN1779" s="87"/>
      <c r="AO1779" s="87"/>
      <c r="AP1779" s="87"/>
      <c r="AQ1779" s="87"/>
      <c r="AR1779" s="87"/>
      <c r="BC1779" s="87"/>
      <c r="BD1779" s="87"/>
      <c r="BE1779" s="87"/>
      <c r="BF1779" s="87"/>
      <c r="BG1779" s="87"/>
      <c r="BH1779" s="87"/>
    </row>
    <row r="1780" spans="23:60" x14ac:dyDescent="0.3">
      <c r="W1780" s="87"/>
      <c r="X1780" s="87"/>
      <c r="Y1780" s="87"/>
      <c r="Z1780" s="87"/>
      <c r="AA1780" s="87"/>
      <c r="AB1780" s="87"/>
      <c r="AM1780" s="87"/>
      <c r="AN1780" s="87"/>
      <c r="AO1780" s="87"/>
      <c r="AP1780" s="87"/>
      <c r="AQ1780" s="87"/>
      <c r="AR1780" s="87"/>
      <c r="BC1780" s="87"/>
      <c r="BD1780" s="87"/>
      <c r="BE1780" s="87"/>
      <c r="BF1780" s="87"/>
      <c r="BG1780" s="87"/>
      <c r="BH1780" s="87"/>
    </row>
    <row r="1781" spans="23:60" x14ac:dyDescent="0.3">
      <c r="W1781" s="87"/>
      <c r="X1781" s="87"/>
      <c r="Y1781" s="87"/>
      <c r="Z1781" s="87"/>
      <c r="AA1781" s="87"/>
      <c r="AB1781" s="87"/>
      <c r="AM1781" s="87"/>
      <c r="AN1781" s="87"/>
      <c r="AO1781" s="87"/>
      <c r="AP1781" s="87"/>
      <c r="AQ1781" s="87"/>
      <c r="AR1781" s="87"/>
      <c r="BC1781" s="87"/>
      <c r="BD1781" s="87"/>
      <c r="BE1781" s="87"/>
      <c r="BF1781" s="87"/>
      <c r="BG1781" s="87"/>
      <c r="BH1781" s="87"/>
    </row>
    <row r="1782" spans="23:60" x14ac:dyDescent="0.3">
      <c r="W1782" s="87"/>
      <c r="X1782" s="87"/>
      <c r="Y1782" s="87"/>
      <c r="Z1782" s="87"/>
      <c r="AA1782" s="87"/>
      <c r="AB1782" s="87"/>
      <c r="AM1782" s="87"/>
      <c r="AN1782" s="87"/>
      <c r="AO1782" s="87"/>
      <c r="AP1782" s="87"/>
      <c r="AQ1782" s="87"/>
      <c r="AR1782" s="87"/>
      <c r="BC1782" s="87"/>
      <c r="BD1782" s="87"/>
      <c r="BE1782" s="87"/>
      <c r="BF1782" s="87"/>
      <c r="BG1782" s="87"/>
      <c r="BH1782" s="87"/>
    </row>
    <row r="1783" spans="23:60" x14ac:dyDescent="0.3">
      <c r="W1783" s="87"/>
      <c r="X1783" s="87"/>
      <c r="Y1783" s="87"/>
      <c r="Z1783" s="87"/>
      <c r="AA1783" s="87"/>
      <c r="AB1783" s="87"/>
      <c r="AM1783" s="87"/>
      <c r="AN1783" s="87"/>
      <c r="AO1783" s="87"/>
      <c r="AP1783" s="87"/>
      <c r="AQ1783" s="87"/>
      <c r="AR1783" s="87"/>
      <c r="BC1783" s="87"/>
      <c r="BD1783" s="87"/>
      <c r="BE1783" s="87"/>
      <c r="BF1783" s="87"/>
      <c r="BG1783" s="87"/>
      <c r="BH1783" s="87"/>
    </row>
    <row r="1784" spans="23:60" x14ac:dyDescent="0.3">
      <c r="W1784" s="87"/>
      <c r="X1784" s="87"/>
      <c r="Y1784" s="87"/>
      <c r="Z1784" s="87"/>
      <c r="AA1784" s="87"/>
      <c r="AB1784" s="87"/>
      <c r="AM1784" s="87"/>
      <c r="AN1784" s="87"/>
      <c r="AO1784" s="87"/>
      <c r="AP1784" s="87"/>
      <c r="AQ1784" s="87"/>
      <c r="AR1784" s="87"/>
      <c r="BC1784" s="87"/>
      <c r="BD1784" s="87"/>
      <c r="BE1784" s="87"/>
      <c r="BF1784" s="87"/>
      <c r="BG1784" s="87"/>
      <c r="BH1784" s="87"/>
    </row>
    <row r="1785" spans="23:60" x14ac:dyDescent="0.3">
      <c r="W1785" s="87"/>
      <c r="X1785" s="87"/>
      <c r="Y1785" s="87"/>
      <c r="Z1785" s="87"/>
      <c r="AA1785" s="87"/>
      <c r="AB1785" s="87"/>
      <c r="AM1785" s="87"/>
      <c r="AN1785" s="87"/>
      <c r="AO1785" s="87"/>
      <c r="AP1785" s="87"/>
      <c r="AQ1785" s="87"/>
      <c r="AR1785" s="87"/>
      <c r="BC1785" s="87"/>
      <c r="BD1785" s="87"/>
      <c r="BE1785" s="87"/>
      <c r="BF1785" s="87"/>
      <c r="BG1785" s="87"/>
      <c r="BH1785" s="87"/>
    </row>
    <row r="1786" spans="23:60" x14ac:dyDescent="0.3">
      <c r="W1786" s="87"/>
      <c r="X1786" s="87"/>
      <c r="Y1786" s="87"/>
      <c r="Z1786" s="87"/>
      <c r="AA1786" s="87"/>
      <c r="AB1786" s="87"/>
      <c r="AM1786" s="87"/>
      <c r="AN1786" s="87"/>
      <c r="AO1786" s="87"/>
      <c r="AP1786" s="87"/>
      <c r="AQ1786" s="87"/>
      <c r="AR1786" s="87"/>
      <c r="BC1786" s="87"/>
      <c r="BD1786" s="87"/>
      <c r="BE1786" s="87"/>
      <c r="BF1786" s="87"/>
      <c r="BG1786" s="87"/>
      <c r="BH1786" s="87"/>
    </row>
    <row r="1787" spans="23:60" x14ac:dyDescent="0.3">
      <c r="W1787" s="87"/>
      <c r="X1787" s="87"/>
      <c r="Y1787" s="87"/>
      <c r="Z1787" s="87"/>
      <c r="AA1787" s="87"/>
      <c r="AB1787" s="87"/>
      <c r="AM1787" s="87"/>
      <c r="AN1787" s="87"/>
      <c r="AO1787" s="87"/>
      <c r="AP1787" s="87"/>
      <c r="AQ1787" s="87"/>
      <c r="AR1787" s="87"/>
      <c r="BC1787" s="87"/>
      <c r="BD1787" s="87"/>
      <c r="BE1787" s="87"/>
      <c r="BF1787" s="87"/>
      <c r="BG1787" s="87"/>
      <c r="BH1787" s="87"/>
    </row>
    <row r="1788" spans="23:60" x14ac:dyDescent="0.3">
      <c r="W1788" s="87"/>
      <c r="X1788" s="87"/>
      <c r="Y1788" s="87"/>
      <c r="Z1788" s="87"/>
      <c r="AA1788" s="87"/>
      <c r="AB1788" s="87"/>
      <c r="AM1788" s="87"/>
      <c r="AN1788" s="87"/>
      <c r="AO1788" s="87"/>
      <c r="AP1788" s="87"/>
      <c r="AQ1788" s="87"/>
      <c r="AR1788" s="87"/>
      <c r="BC1788" s="87"/>
      <c r="BD1788" s="87"/>
      <c r="BE1788" s="87"/>
      <c r="BF1788" s="87"/>
      <c r="BG1788" s="87"/>
      <c r="BH1788" s="87"/>
    </row>
    <row r="1789" spans="23:60" x14ac:dyDescent="0.3">
      <c r="W1789" s="87"/>
      <c r="X1789" s="87"/>
      <c r="Y1789" s="87"/>
      <c r="Z1789" s="87"/>
      <c r="AA1789" s="87"/>
      <c r="AB1789" s="87"/>
      <c r="AM1789" s="87"/>
      <c r="AN1789" s="87"/>
      <c r="AO1789" s="87"/>
      <c r="AP1789" s="87"/>
      <c r="AQ1789" s="87"/>
      <c r="AR1789" s="87"/>
      <c r="BC1789" s="87"/>
      <c r="BD1789" s="87"/>
      <c r="BE1789" s="87"/>
      <c r="BF1789" s="87"/>
      <c r="BG1789" s="87"/>
      <c r="BH1789" s="87"/>
    </row>
    <row r="1790" spans="23:60" x14ac:dyDescent="0.3">
      <c r="W1790" s="87"/>
      <c r="X1790" s="87"/>
      <c r="Y1790" s="87"/>
      <c r="Z1790" s="87"/>
      <c r="AA1790" s="87"/>
      <c r="AB1790" s="87"/>
      <c r="AM1790" s="87"/>
      <c r="AN1790" s="87"/>
      <c r="AO1790" s="87"/>
      <c r="AP1790" s="87"/>
      <c r="AQ1790" s="87"/>
      <c r="AR1790" s="87"/>
      <c r="BC1790" s="87"/>
      <c r="BD1790" s="87"/>
      <c r="BE1790" s="87"/>
      <c r="BF1790" s="87"/>
      <c r="BG1790" s="87"/>
      <c r="BH1790" s="87"/>
    </row>
    <row r="1791" spans="23:60" x14ac:dyDescent="0.3">
      <c r="W1791" s="87"/>
      <c r="X1791" s="87"/>
      <c r="Y1791" s="87"/>
      <c r="Z1791" s="87"/>
      <c r="AA1791" s="87"/>
      <c r="AB1791" s="87"/>
      <c r="AM1791" s="87"/>
      <c r="AN1791" s="87"/>
      <c r="AO1791" s="87"/>
      <c r="AP1791" s="87"/>
      <c r="AQ1791" s="87"/>
      <c r="AR1791" s="87"/>
      <c r="BC1791" s="87"/>
      <c r="BD1791" s="87"/>
      <c r="BE1791" s="87"/>
      <c r="BF1791" s="87"/>
      <c r="BG1791" s="87"/>
      <c r="BH1791" s="87"/>
    </row>
    <row r="1792" spans="23:60" x14ac:dyDescent="0.3">
      <c r="W1792" s="87"/>
      <c r="X1792" s="87"/>
      <c r="Y1792" s="87"/>
      <c r="Z1792" s="87"/>
      <c r="AA1792" s="87"/>
      <c r="AB1792" s="87"/>
      <c r="AM1792" s="87"/>
      <c r="AN1792" s="87"/>
      <c r="AO1792" s="87"/>
      <c r="AP1792" s="87"/>
      <c r="AQ1792" s="87"/>
      <c r="AR1792" s="87"/>
      <c r="BC1792" s="87"/>
      <c r="BD1792" s="87"/>
      <c r="BE1792" s="87"/>
      <c r="BF1792" s="87"/>
      <c r="BG1792" s="87"/>
      <c r="BH1792" s="87"/>
    </row>
    <row r="1793" spans="23:60" x14ac:dyDescent="0.3">
      <c r="W1793" s="87"/>
      <c r="X1793" s="87"/>
      <c r="Y1793" s="87"/>
      <c r="Z1793" s="87"/>
      <c r="AA1793" s="87"/>
      <c r="AB1793" s="87"/>
      <c r="AM1793" s="87"/>
      <c r="AN1793" s="87"/>
      <c r="AO1793" s="87"/>
      <c r="AP1793" s="87"/>
      <c r="AQ1793" s="87"/>
      <c r="AR1793" s="87"/>
      <c r="BC1793" s="87"/>
      <c r="BD1793" s="87"/>
      <c r="BE1793" s="87"/>
      <c r="BF1793" s="87"/>
      <c r="BG1793" s="87"/>
      <c r="BH1793" s="87"/>
    </row>
    <row r="1794" spans="23:60" x14ac:dyDescent="0.3">
      <c r="W1794" s="87"/>
      <c r="X1794" s="87"/>
      <c r="Y1794" s="87"/>
      <c r="Z1794" s="87"/>
      <c r="AA1794" s="87"/>
      <c r="AB1794" s="87"/>
      <c r="AM1794" s="87"/>
      <c r="AN1794" s="87"/>
      <c r="AO1794" s="87"/>
      <c r="AP1794" s="87"/>
      <c r="AQ1794" s="87"/>
      <c r="AR1794" s="87"/>
      <c r="BC1794" s="87"/>
      <c r="BD1794" s="87"/>
      <c r="BE1794" s="87"/>
      <c r="BF1794" s="87"/>
      <c r="BG1794" s="87"/>
      <c r="BH1794" s="87"/>
    </row>
    <row r="1795" spans="23:60" x14ac:dyDescent="0.3">
      <c r="W1795" s="87"/>
      <c r="X1795" s="87"/>
      <c r="Y1795" s="87"/>
      <c r="Z1795" s="87"/>
      <c r="AA1795" s="87"/>
      <c r="AB1795" s="87"/>
      <c r="AM1795" s="87"/>
      <c r="AN1795" s="87"/>
      <c r="AO1795" s="87"/>
      <c r="AP1795" s="87"/>
      <c r="AQ1795" s="87"/>
      <c r="AR1795" s="87"/>
      <c r="BC1795" s="87"/>
      <c r="BD1795" s="87"/>
      <c r="BE1795" s="87"/>
      <c r="BF1795" s="87"/>
      <c r="BG1795" s="87"/>
      <c r="BH1795" s="87"/>
    </row>
    <row r="1796" spans="23:60" x14ac:dyDescent="0.3">
      <c r="W1796" s="87"/>
      <c r="X1796" s="87"/>
      <c r="Y1796" s="87"/>
      <c r="Z1796" s="87"/>
      <c r="AA1796" s="87"/>
      <c r="AB1796" s="87"/>
      <c r="AM1796" s="87"/>
      <c r="AN1796" s="87"/>
      <c r="AO1796" s="87"/>
      <c r="AP1796" s="87"/>
      <c r="AQ1796" s="87"/>
      <c r="AR1796" s="87"/>
      <c r="BC1796" s="87"/>
      <c r="BD1796" s="87"/>
      <c r="BE1796" s="87"/>
      <c r="BF1796" s="87"/>
      <c r="BG1796" s="87"/>
      <c r="BH1796" s="87"/>
    </row>
    <row r="1797" spans="23:60" x14ac:dyDescent="0.3">
      <c r="W1797" s="87"/>
      <c r="X1797" s="87"/>
      <c r="Y1797" s="87"/>
      <c r="Z1797" s="87"/>
      <c r="AA1797" s="87"/>
      <c r="AB1797" s="87"/>
      <c r="AM1797" s="87"/>
      <c r="AN1797" s="87"/>
      <c r="AO1797" s="87"/>
      <c r="AP1797" s="87"/>
      <c r="AQ1797" s="87"/>
      <c r="AR1797" s="87"/>
      <c r="BC1797" s="87"/>
      <c r="BD1797" s="87"/>
      <c r="BE1797" s="87"/>
      <c r="BF1797" s="87"/>
      <c r="BG1797" s="87"/>
      <c r="BH1797" s="87"/>
    </row>
    <row r="1798" spans="23:60" x14ac:dyDescent="0.3">
      <c r="W1798" s="87"/>
      <c r="X1798" s="87"/>
      <c r="Y1798" s="87"/>
      <c r="Z1798" s="87"/>
      <c r="AA1798" s="87"/>
      <c r="AB1798" s="87"/>
      <c r="AM1798" s="87"/>
      <c r="AN1798" s="87"/>
      <c r="AO1798" s="87"/>
      <c r="AP1798" s="87"/>
      <c r="AQ1798" s="87"/>
      <c r="AR1798" s="87"/>
      <c r="BC1798" s="87"/>
      <c r="BD1798" s="87"/>
      <c r="BE1798" s="87"/>
      <c r="BF1798" s="87"/>
      <c r="BG1798" s="87"/>
      <c r="BH1798" s="87"/>
    </row>
    <row r="1799" spans="23:60" x14ac:dyDescent="0.3">
      <c r="W1799" s="87"/>
      <c r="X1799" s="87"/>
      <c r="Y1799" s="87"/>
      <c r="Z1799" s="87"/>
      <c r="AA1799" s="87"/>
      <c r="AB1799" s="87"/>
      <c r="AM1799" s="87"/>
      <c r="AN1799" s="87"/>
      <c r="AO1799" s="87"/>
      <c r="AP1799" s="87"/>
      <c r="AQ1799" s="87"/>
      <c r="AR1799" s="87"/>
      <c r="BC1799" s="87"/>
      <c r="BD1799" s="87"/>
      <c r="BE1799" s="87"/>
      <c r="BF1799" s="87"/>
      <c r="BG1799" s="87"/>
      <c r="BH1799" s="87"/>
    </row>
    <row r="1800" spans="23:60" x14ac:dyDescent="0.3">
      <c r="W1800" s="87"/>
      <c r="X1800" s="87"/>
      <c r="Y1800" s="87"/>
      <c r="Z1800" s="87"/>
      <c r="AA1800" s="87"/>
      <c r="AB1800" s="87"/>
      <c r="AM1800" s="87"/>
      <c r="AN1800" s="87"/>
      <c r="AO1800" s="87"/>
      <c r="AP1800" s="87"/>
      <c r="AQ1800" s="87"/>
      <c r="AR1800" s="87"/>
      <c r="BC1800" s="87"/>
      <c r="BD1800" s="87"/>
      <c r="BE1800" s="87"/>
      <c r="BF1800" s="87"/>
      <c r="BG1800" s="87"/>
      <c r="BH1800" s="87"/>
    </row>
    <row r="1801" spans="23:60" x14ac:dyDescent="0.3">
      <c r="W1801" s="87"/>
      <c r="X1801" s="87"/>
      <c r="Y1801" s="87"/>
      <c r="Z1801" s="87"/>
      <c r="AA1801" s="87"/>
      <c r="AB1801" s="87"/>
      <c r="AM1801" s="87"/>
      <c r="AN1801" s="87"/>
      <c r="AO1801" s="87"/>
      <c r="AP1801" s="87"/>
      <c r="AQ1801" s="87"/>
      <c r="AR1801" s="87"/>
      <c r="BC1801" s="87"/>
      <c r="BD1801" s="87"/>
      <c r="BE1801" s="87"/>
      <c r="BF1801" s="87"/>
      <c r="BG1801" s="87"/>
      <c r="BH1801" s="87"/>
    </row>
    <row r="1802" spans="23:60" x14ac:dyDescent="0.3">
      <c r="W1802" s="87"/>
      <c r="X1802" s="87"/>
      <c r="Y1802" s="87"/>
      <c r="Z1802" s="87"/>
      <c r="AA1802" s="87"/>
      <c r="AB1802" s="87"/>
      <c r="AM1802" s="87"/>
      <c r="AN1802" s="87"/>
      <c r="AO1802" s="87"/>
      <c r="AP1802" s="87"/>
      <c r="AQ1802" s="87"/>
      <c r="AR1802" s="87"/>
      <c r="BC1802" s="87"/>
      <c r="BD1802" s="87"/>
      <c r="BE1802" s="87"/>
      <c r="BF1802" s="87"/>
      <c r="BG1802" s="87"/>
      <c r="BH1802" s="87"/>
    </row>
    <row r="1803" spans="23:60" x14ac:dyDescent="0.3">
      <c r="W1803" s="87"/>
      <c r="X1803" s="87"/>
      <c r="Y1803" s="87"/>
      <c r="Z1803" s="87"/>
      <c r="AA1803" s="87"/>
      <c r="AB1803" s="87"/>
      <c r="AM1803" s="87"/>
      <c r="AN1803" s="87"/>
      <c r="AO1803" s="87"/>
      <c r="AP1803" s="87"/>
      <c r="AQ1803" s="87"/>
      <c r="AR1803" s="87"/>
      <c r="BC1803" s="87"/>
      <c r="BD1803" s="87"/>
      <c r="BE1803" s="87"/>
      <c r="BF1803" s="87"/>
      <c r="BG1803" s="87"/>
      <c r="BH1803" s="87"/>
    </row>
    <row r="1804" spans="23:60" x14ac:dyDescent="0.3">
      <c r="W1804" s="87"/>
      <c r="X1804" s="87"/>
      <c r="Y1804" s="87"/>
      <c r="Z1804" s="87"/>
      <c r="AA1804" s="87"/>
      <c r="AB1804" s="87"/>
      <c r="AM1804" s="87"/>
      <c r="AN1804" s="87"/>
      <c r="AO1804" s="87"/>
      <c r="AP1804" s="87"/>
      <c r="AQ1804" s="87"/>
      <c r="AR1804" s="87"/>
      <c r="BC1804" s="87"/>
      <c r="BD1804" s="87"/>
      <c r="BE1804" s="87"/>
      <c r="BF1804" s="87"/>
      <c r="BG1804" s="87"/>
      <c r="BH1804" s="87"/>
    </row>
    <row r="1805" spans="23:60" x14ac:dyDescent="0.3">
      <c r="W1805" s="87"/>
      <c r="X1805" s="87"/>
      <c r="Y1805" s="87"/>
      <c r="Z1805" s="87"/>
      <c r="AA1805" s="87"/>
      <c r="AB1805" s="87"/>
      <c r="AM1805" s="87"/>
      <c r="AN1805" s="87"/>
      <c r="AO1805" s="87"/>
      <c r="AP1805" s="87"/>
      <c r="AQ1805" s="87"/>
      <c r="AR1805" s="87"/>
      <c r="BC1805" s="87"/>
      <c r="BD1805" s="87"/>
      <c r="BE1805" s="87"/>
      <c r="BF1805" s="87"/>
      <c r="BG1805" s="87"/>
      <c r="BH1805" s="87"/>
    </row>
    <row r="1806" spans="23:60" x14ac:dyDescent="0.3">
      <c r="W1806" s="87"/>
      <c r="X1806" s="87"/>
      <c r="Y1806" s="87"/>
      <c r="Z1806" s="87"/>
      <c r="AA1806" s="87"/>
      <c r="AB1806" s="87"/>
      <c r="AM1806" s="87"/>
      <c r="AN1806" s="87"/>
      <c r="AO1806" s="87"/>
      <c r="AP1806" s="87"/>
      <c r="AQ1806" s="87"/>
      <c r="AR1806" s="87"/>
      <c r="BC1806" s="87"/>
      <c r="BD1806" s="87"/>
      <c r="BE1806" s="87"/>
      <c r="BF1806" s="87"/>
      <c r="BG1806" s="87"/>
      <c r="BH1806" s="87"/>
    </row>
    <row r="1807" spans="23:60" x14ac:dyDescent="0.3">
      <c r="W1807" s="87"/>
      <c r="X1807" s="87"/>
      <c r="Y1807" s="87"/>
      <c r="Z1807" s="87"/>
      <c r="AA1807" s="87"/>
      <c r="AB1807" s="87"/>
      <c r="AM1807" s="87"/>
      <c r="AN1807" s="87"/>
      <c r="AO1807" s="87"/>
      <c r="AP1807" s="87"/>
      <c r="AQ1807" s="87"/>
      <c r="AR1807" s="87"/>
      <c r="BC1807" s="87"/>
      <c r="BD1807" s="87"/>
      <c r="BE1807" s="87"/>
      <c r="BF1807" s="87"/>
      <c r="BG1807" s="87"/>
      <c r="BH1807" s="87"/>
    </row>
    <row r="1808" spans="23:60" x14ac:dyDescent="0.3">
      <c r="W1808" s="87"/>
      <c r="X1808" s="87"/>
      <c r="Y1808" s="87"/>
      <c r="Z1808" s="87"/>
      <c r="AA1808" s="87"/>
      <c r="AB1808" s="87"/>
      <c r="AM1808" s="87"/>
      <c r="AN1808" s="87"/>
      <c r="AO1808" s="87"/>
      <c r="AP1808" s="87"/>
      <c r="AQ1808" s="87"/>
      <c r="AR1808" s="87"/>
      <c r="BC1808" s="87"/>
      <c r="BD1808" s="87"/>
      <c r="BE1808" s="87"/>
      <c r="BF1808" s="87"/>
      <c r="BG1808" s="87"/>
      <c r="BH1808" s="87"/>
    </row>
    <row r="1809" spans="23:60" x14ac:dyDescent="0.3">
      <c r="W1809" s="87"/>
      <c r="X1809" s="87"/>
      <c r="Y1809" s="87"/>
      <c r="Z1809" s="87"/>
      <c r="AA1809" s="87"/>
      <c r="AB1809" s="87"/>
      <c r="AM1809" s="87"/>
      <c r="AN1809" s="87"/>
      <c r="AO1809" s="87"/>
      <c r="AP1809" s="87"/>
      <c r="AQ1809" s="87"/>
      <c r="AR1809" s="87"/>
      <c r="BC1809" s="87"/>
      <c r="BD1809" s="87"/>
      <c r="BE1809" s="87"/>
      <c r="BF1809" s="87"/>
      <c r="BG1809" s="87"/>
      <c r="BH1809" s="87"/>
    </row>
    <row r="1810" spans="23:60" x14ac:dyDescent="0.3">
      <c r="W1810" s="87"/>
      <c r="X1810" s="87"/>
      <c r="Y1810" s="87"/>
      <c r="Z1810" s="87"/>
      <c r="AA1810" s="87"/>
      <c r="AB1810" s="87"/>
      <c r="AM1810" s="87"/>
      <c r="AN1810" s="87"/>
      <c r="AO1810" s="87"/>
      <c r="AP1810" s="87"/>
      <c r="AQ1810" s="87"/>
      <c r="AR1810" s="87"/>
      <c r="BC1810" s="87"/>
      <c r="BD1810" s="87"/>
      <c r="BE1810" s="87"/>
      <c r="BF1810" s="87"/>
      <c r="BG1810" s="87"/>
      <c r="BH1810" s="87"/>
    </row>
    <row r="1811" spans="23:60" x14ac:dyDescent="0.3">
      <c r="W1811" s="87"/>
      <c r="X1811" s="87"/>
      <c r="Y1811" s="87"/>
      <c r="Z1811" s="87"/>
      <c r="AA1811" s="87"/>
      <c r="AB1811" s="87"/>
      <c r="AM1811" s="87"/>
      <c r="AN1811" s="87"/>
      <c r="AO1811" s="87"/>
      <c r="AP1811" s="87"/>
      <c r="AQ1811" s="87"/>
      <c r="AR1811" s="87"/>
      <c r="BC1811" s="87"/>
      <c r="BD1811" s="87"/>
      <c r="BE1811" s="87"/>
      <c r="BF1811" s="87"/>
      <c r="BG1811" s="87"/>
      <c r="BH1811" s="87"/>
    </row>
    <row r="1812" spans="23:60" x14ac:dyDescent="0.3">
      <c r="W1812" s="87"/>
      <c r="X1812" s="87"/>
      <c r="Y1812" s="87"/>
      <c r="Z1812" s="87"/>
      <c r="AA1812" s="87"/>
      <c r="AB1812" s="87"/>
      <c r="AM1812" s="87"/>
      <c r="AN1812" s="87"/>
      <c r="AO1812" s="87"/>
      <c r="AP1812" s="87"/>
      <c r="AQ1812" s="87"/>
      <c r="AR1812" s="87"/>
      <c r="BC1812" s="87"/>
      <c r="BD1812" s="87"/>
      <c r="BE1812" s="87"/>
      <c r="BF1812" s="87"/>
      <c r="BG1812" s="87"/>
      <c r="BH1812" s="87"/>
    </row>
    <row r="1813" spans="23:60" x14ac:dyDescent="0.3">
      <c r="W1813" s="87"/>
      <c r="X1813" s="87"/>
      <c r="Y1813" s="87"/>
      <c r="Z1813" s="87"/>
      <c r="AA1813" s="87"/>
      <c r="AB1813" s="87"/>
      <c r="AM1813" s="87"/>
      <c r="AN1813" s="87"/>
      <c r="AO1813" s="87"/>
      <c r="AP1813" s="87"/>
      <c r="AQ1813" s="87"/>
      <c r="AR1813" s="87"/>
      <c r="BC1813" s="87"/>
      <c r="BD1813" s="87"/>
      <c r="BE1813" s="87"/>
      <c r="BF1813" s="87"/>
      <c r="BG1813" s="87"/>
      <c r="BH1813" s="87"/>
    </row>
    <row r="1814" spans="23:60" x14ac:dyDescent="0.3">
      <c r="W1814" s="87"/>
      <c r="X1814" s="87"/>
      <c r="Y1814" s="87"/>
      <c r="Z1814" s="87"/>
      <c r="AA1814" s="87"/>
      <c r="AB1814" s="87"/>
      <c r="AM1814" s="87"/>
      <c r="AN1814" s="87"/>
      <c r="AO1814" s="87"/>
      <c r="AP1814" s="87"/>
      <c r="AQ1814" s="87"/>
      <c r="AR1814" s="87"/>
      <c r="BC1814" s="87"/>
      <c r="BD1814" s="87"/>
      <c r="BE1814" s="87"/>
      <c r="BF1814" s="87"/>
      <c r="BG1814" s="87"/>
      <c r="BH1814" s="87"/>
    </row>
    <row r="1815" spans="23:60" x14ac:dyDescent="0.3">
      <c r="W1815" s="87"/>
      <c r="X1815" s="87"/>
      <c r="Y1815" s="87"/>
      <c r="Z1815" s="87"/>
      <c r="AA1815" s="87"/>
      <c r="AB1815" s="87"/>
      <c r="AM1815" s="87"/>
      <c r="AN1815" s="87"/>
      <c r="AO1815" s="87"/>
      <c r="AP1815" s="87"/>
      <c r="AQ1815" s="87"/>
      <c r="AR1815" s="87"/>
      <c r="BC1815" s="87"/>
      <c r="BD1815" s="87"/>
      <c r="BE1815" s="87"/>
      <c r="BF1815" s="87"/>
      <c r="BG1815" s="87"/>
      <c r="BH1815" s="87"/>
    </row>
    <row r="1816" spans="23:60" x14ac:dyDescent="0.3">
      <c r="W1816" s="87"/>
      <c r="X1816" s="87"/>
      <c r="Y1816" s="87"/>
      <c r="Z1816" s="87"/>
      <c r="AA1816" s="87"/>
      <c r="AB1816" s="87"/>
      <c r="AM1816" s="87"/>
      <c r="AN1816" s="87"/>
      <c r="AO1816" s="87"/>
      <c r="AP1816" s="87"/>
      <c r="AQ1816" s="87"/>
      <c r="AR1816" s="87"/>
      <c r="BC1816" s="87"/>
      <c r="BD1816" s="87"/>
      <c r="BE1816" s="87"/>
      <c r="BF1816" s="87"/>
      <c r="BG1816" s="87"/>
      <c r="BH1816" s="87"/>
    </row>
    <row r="1817" spans="23:60" x14ac:dyDescent="0.3">
      <c r="W1817" s="87"/>
      <c r="X1817" s="87"/>
      <c r="Y1817" s="87"/>
      <c r="Z1817" s="87"/>
      <c r="AA1817" s="87"/>
      <c r="AB1817" s="87"/>
      <c r="AM1817" s="87"/>
      <c r="AN1817" s="87"/>
      <c r="AO1817" s="87"/>
      <c r="AP1817" s="87"/>
      <c r="AQ1817" s="87"/>
      <c r="AR1817" s="87"/>
      <c r="BC1817" s="87"/>
      <c r="BD1817" s="87"/>
      <c r="BE1817" s="87"/>
      <c r="BF1817" s="87"/>
      <c r="BG1817" s="87"/>
      <c r="BH1817" s="87"/>
    </row>
    <row r="1818" spans="23:60" x14ac:dyDescent="0.3">
      <c r="W1818" s="87"/>
      <c r="X1818" s="87"/>
      <c r="Y1818" s="87"/>
      <c r="Z1818" s="87"/>
      <c r="AA1818" s="87"/>
      <c r="AB1818" s="87"/>
      <c r="AM1818" s="87"/>
      <c r="AN1818" s="87"/>
      <c r="AO1818" s="87"/>
      <c r="AP1818" s="87"/>
      <c r="AQ1818" s="87"/>
      <c r="AR1818" s="87"/>
      <c r="BC1818" s="87"/>
      <c r="BD1818" s="87"/>
      <c r="BE1818" s="87"/>
      <c r="BF1818" s="87"/>
      <c r="BG1818" s="87"/>
      <c r="BH1818" s="87"/>
    </row>
    <row r="1819" spans="23:60" x14ac:dyDescent="0.3">
      <c r="W1819" s="87"/>
      <c r="X1819" s="87"/>
      <c r="Y1819" s="87"/>
      <c r="Z1819" s="87"/>
      <c r="AA1819" s="87"/>
      <c r="AB1819" s="87"/>
      <c r="AM1819" s="87"/>
      <c r="AN1819" s="87"/>
      <c r="AO1819" s="87"/>
      <c r="AP1819" s="87"/>
      <c r="AQ1819" s="87"/>
      <c r="AR1819" s="87"/>
      <c r="BC1819" s="87"/>
      <c r="BD1819" s="87"/>
      <c r="BE1819" s="87"/>
      <c r="BF1819" s="87"/>
      <c r="BG1819" s="87"/>
      <c r="BH1819" s="87"/>
    </row>
    <row r="1820" spans="23:60" x14ac:dyDescent="0.3">
      <c r="W1820" s="87"/>
      <c r="X1820" s="87"/>
      <c r="Y1820" s="87"/>
      <c r="Z1820" s="87"/>
      <c r="AA1820" s="87"/>
      <c r="AB1820" s="87"/>
      <c r="AM1820" s="87"/>
      <c r="AN1820" s="87"/>
      <c r="AO1820" s="87"/>
      <c r="AP1820" s="87"/>
      <c r="AQ1820" s="87"/>
      <c r="AR1820" s="87"/>
      <c r="BC1820" s="87"/>
      <c r="BD1820" s="87"/>
      <c r="BE1820" s="87"/>
      <c r="BF1820" s="87"/>
      <c r="BG1820" s="87"/>
      <c r="BH1820" s="87"/>
    </row>
    <row r="1821" spans="23:60" x14ac:dyDescent="0.3">
      <c r="W1821" s="87"/>
      <c r="X1821" s="87"/>
      <c r="Y1821" s="87"/>
      <c r="Z1821" s="87"/>
      <c r="AA1821" s="87"/>
      <c r="AB1821" s="87"/>
      <c r="AM1821" s="87"/>
      <c r="AN1821" s="87"/>
      <c r="AO1821" s="87"/>
      <c r="AP1821" s="87"/>
      <c r="AQ1821" s="87"/>
      <c r="AR1821" s="87"/>
      <c r="BC1821" s="87"/>
      <c r="BD1821" s="87"/>
      <c r="BE1821" s="87"/>
      <c r="BF1821" s="87"/>
      <c r="BG1821" s="87"/>
      <c r="BH1821" s="87"/>
    </row>
    <row r="1822" spans="23:60" x14ac:dyDescent="0.3">
      <c r="W1822" s="87"/>
      <c r="X1822" s="87"/>
      <c r="Y1822" s="87"/>
      <c r="Z1822" s="87"/>
      <c r="AA1822" s="87"/>
      <c r="AB1822" s="87"/>
      <c r="AM1822" s="87"/>
      <c r="AN1822" s="87"/>
      <c r="AO1822" s="87"/>
      <c r="AP1822" s="87"/>
      <c r="AQ1822" s="87"/>
      <c r="AR1822" s="87"/>
      <c r="BC1822" s="87"/>
      <c r="BD1822" s="87"/>
      <c r="BE1822" s="87"/>
      <c r="BF1822" s="87"/>
      <c r="BG1822" s="87"/>
      <c r="BH1822" s="87"/>
    </row>
    <row r="1823" spans="23:60" x14ac:dyDescent="0.3">
      <c r="W1823" s="87"/>
      <c r="X1823" s="87"/>
      <c r="Y1823" s="87"/>
      <c r="Z1823" s="87"/>
      <c r="AA1823" s="87"/>
      <c r="AB1823" s="87"/>
      <c r="AM1823" s="87"/>
      <c r="AN1823" s="87"/>
      <c r="AO1823" s="87"/>
      <c r="AP1823" s="87"/>
      <c r="AQ1823" s="87"/>
      <c r="AR1823" s="87"/>
      <c r="BC1823" s="87"/>
      <c r="BD1823" s="87"/>
      <c r="BE1823" s="87"/>
      <c r="BF1823" s="87"/>
      <c r="BG1823" s="87"/>
      <c r="BH1823" s="87"/>
    </row>
    <row r="1824" spans="23:60" x14ac:dyDescent="0.3">
      <c r="W1824" s="87"/>
      <c r="X1824" s="87"/>
      <c r="Y1824" s="87"/>
      <c r="Z1824" s="87"/>
      <c r="AA1824" s="87"/>
      <c r="AB1824" s="87"/>
      <c r="AM1824" s="87"/>
      <c r="AN1824" s="87"/>
      <c r="AO1824" s="87"/>
      <c r="AP1824" s="87"/>
      <c r="AQ1824" s="87"/>
      <c r="AR1824" s="87"/>
      <c r="BC1824" s="87"/>
      <c r="BD1824" s="87"/>
      <c r="BE1824" s="87"/>
      <c r="BF1824" s="87"/>
      <c r="BG1824" s="87"/>
      <c r="BH1824" s="87"/>
    </row>
    <row r="1825" spans="23:60" x14ac:dyDescent="0.3">
      <c r="W1825" s="87"/>
      <c r="X1825" s="87"/>
      <c r="Y1825" s="87"/>
      <c r="Z1825" s="87"/>
      <c r="AA1825" s="87"/>
      <c r="AB1825" s="87"/>
      <c r="AM1825" s="87"/>
      <c r="AN1825" s="87"/>
      <c r="AO1825" s="87"/>
      <c r="AP1825" s="87"/>
      <c r="AQ1825" s="87"/>
      <c r="AR1825" s="87"/>
      <c r="BC1825" s="87"/>
      <c r="BD1825" s="87"/>
      <c r="BE1825" s="87"/>
      <c r="BF1825" s="87"/>
      <c r="BG1825" s="87"/>
      <c r="BH1825" s="87"/>
    </row>
    <row r="1826" spans="23:60" x14ac:dyDescent="0.3">
      <c r="W1826" s="87"/>
      <c r="X1826" s="87"/>
      <c r="Y1826" s="87"/>
      <c r="Z1826" s="87"/>
      <c r="AA1826" s="87"/>
      <c r="AB1826" s="87"/>
      <c r="AM1826" s="87"/>
      <c r="AN1826" s="87"/>
      <c r="AO1826" s="87"/>
      <c r="AP1826" s="87"/>
      <c r="AQ1826" s="87"/>
      <c r="AR1826" s="87"/>
      <c r="BC1826" s="87"/>
      <c r="BD1826" s="87"/>
      <c r="BE1826" s="87"/>
      <c r="BF1826" s="87"/>
      <c r="BG1826" s="87"/>
      <c r="BH1826" s="87"/>
    </row>
    <row r="1827" spans="23:60" x14ac:dyDescent="0.3">
      <c r="W1827" s="87"/>
      <c r="X1827" s="87"/>
      <c r="Y1827" s="87"/>
      <c r="Z1827" s="87"/>
      <c r="AA1827" s="87"/>
      <c r="AB1827" s="87"/>
      <c r="AM1827" s="87"/>
      <c r="AN1827" s="87"/>
      <c r="AO1827" s="87"/>
      <c r="AP1827" s="87"/>
      <c r="AQ1827" s="87"/>
      <c r="AR1827" s="87"/>
      <c r="BC1827" s="87"/>
      <c r="BD1827" s="87"/>
      <c r="BE1827" s="87"/>
      <c r="BF1827" s="87"/>
      <c r="BG1827" s="87"/>
      <c r="BH1827" s="87"/>
    </row>
    <row r="1828" spans="23:60" x14ac:dyDescent="0.3">
      <c r="W1828" s="87"/>
      <c r="X1828" s="87"/>
      <c r="Y1828" s="87"/>
      <c r="Z1828" s="87"/>
      <c r="AA1828" s="87"/>
      <c r="AB1828" s="87"/>
      <c r="AM1828" s="87"/>
      <c r="AN1828" s="87"/>
      <c r="AO1828" s="87"/>
      <c r="AP1828" s="87"/>
      <c r="AQ1828" s="87"/>
      <c r="AR1828" s="87"/>
      <c r="BC1828" s="87"/>
      <c r="BD1828" s="87"/>
      <c r="BE1828" s="87"/>
      <c r="BF1828" s="87"/>
      <c r="BG1828" s="87"/>
      <c r="BH1828" s="87"/>
    </row>
    <row r="1829" spans="23:60" x14ac:dyDescent="0.3">
      <c r="W1829" s="87"/>
      <c r="X1829" s="87"/>
      <c r="Y1829" s="87"/>
      <c r="Z1829" s="87"/>
      <c r="AA1829" s="87"/>
      <c r="AB1829" s="87"/>
      <c r="AM1829" s="87"/>
      <c r="AN1829" s="87"/>
      <c r="AO1829" s="87"/>
      <c r="AP1829" s="87"/>
      <c r="AQ1829" s="87"/>
      <c r="AR1829" s="87"/>
      <c r="BC1829" s="87"/>
      <c r="BD1829" s="87"/>
      <c r="BE1829" s="87"/>
      <c r="BF1829" s="87"/>
      <c r="BG1829" s="87"/>
      <c r="BH1829" s="87"/>
    </row>
    <row r="1830" spans="23:60" x14ac:dyDescent="0.3">
      <c r="W1830" s="87"/>
      <c r="X1830" s="87"/>
      <c r="Y1830" s="87"/>
      <c r="Z1830" s="87"/>
      <c r="AA1830" s="87"/>
      <c r="AB1830" s="87"/>
      <c r="AM1830" s="87"/>
      <c r="AN1830" s="87"/>
      <c r="AO1830" s="87"/>
      <c r="AP1830" s="87"/>
      <c r="AQ1830" s="87"/>
      <c r="AR1830" s="87"/>
      <c r="BC1830" s="87"/>
      <c r="BD1830" s="87"/>
      <c r="BE1830" s="87"/>
      <c r="BF1830" s="87"/>
      <c r="BG1830" s="87"/>
      <c r="BH1830" s="87"/>
    </row>
    <row r="1831" spans="23:60" x14ac:dyDescent="0.3">
      <c r="W1831" s="87"/>
      <c r="X1831" s="87"/>
      <c r="Y1831" s="87"/>
      <c r="Z1831" s="87"/>
      <c r="AA1831" s="87"/>
      <c r="AB1831" s="87"/>
      <c r="AM1831" s="87"/>
      <c r="AN1831" s="87"/>
      <c r="AO1831" s="87"/>
      <c r="AP1831" s="87"/>
      <c r="AQ1831" s="87"/>
      <c r="AR1831" s="87"/>
      <c r="BC1831" s="87"/>
      <c r="BD1831" s="87"/>
      <c r="BE1831" s="87"/>
      <c r="BF1831" s="87"/>
      <c r="BG1831" s="87"/>
      <c r="BH1831" s="87"/>
    </row>
    <row r="1832" spans="23:60" x14ac:dyDescent="0.3">
      <c r="W1832" s="87"/>
      <c r="X1832" s="87"/>
      <c r="Y1832" s="87"/>
      <c r="Z1832" s="87"/>
      <c r="AA1832" s="87"/>
      <c r="AB1832" s="87"/>
      <c r="AM1832" s="87"/>
      <c r="AN1832" s="87"/>
      <c r="AO1832" s="87"/>
      <c r="AP1832" s="87"/>
      <c r="AQ1832" s="87"/>
      <c r="AR1832" s="87"/>
      <c r="BC1832" s="87"/>
      <c r="BD1832" s="87"/>
      <c r="BE1832" s="87"/>
      <c r="BF1832" s="87"/>
      <c r="BG1832" s="87"/>
      <c r="BH1832" s="87"/>
    </row>
    <row r="1833" spans="23:60" x14ac:dyDescent="0.3">
      <c r="W1833" s="87"/>
      <c r="X1833" s="87"/>
      <c r="Y1833" s="87"/>
      <c r="Z1833" s="87"/>
      <c r="AA1833" s="87"/>
      <c r="AB1833" s="87"/>
      <c r="AM1833" s="87"/>
      <c r="AN1833" s="87"/>
      <c r="AO1833" s="87"/>
      <c r="AP1833" s="87"/>
      <c r="AQ1833" s="87"/>
      <c r="AR1833" s="87"/>
      <c r="BC1833" s="87"/>
      <c r="BD1833" s="87"/>
      <c r="BE1833" s="87"/>
      <c r="BF1833" s="87"/>
      <c r="BG1833" s="87"/>
      <c r="BH1833" s="87"/>
    </row>
    <row r="1834" spans="23:60" x14ac:dyDescent="0.3">
      <c r="W1834" s="87"/>
      <c r="X1834" s="87"/>
      <c r="Y1834" s="87"/>
      <c r="Z1834" s="87"/>
      <c r="AA1834" s="87"/>
      <c r="AB1834" s="87"/>
      <c r="AM1834" s="87"/>
      <c r="AN1834" s="87"/>
      <c r="AO1834" s="87"/>
      <c r="AP1834" s="87"/>
      <c r="AQ1834" s="87"/>
      <c r="AR1834" s="87"/>
      <c r="BC1834" s="87"/>
      <c r="BD1834" s="87"/>
      <c r="BE1834" s="87"/>
      <c r="BF1834" s="87"/>
      <c r="BG1834" s="87"/>
      <c r="BH1834" s="87"/>
    </row>
    <row r="1835" spans="23:60" x14ac:dyDescent="0.3">
      <c r="W1835" s="87"/>
      <c r="X1835" s="87"/>
      <c r="Y1835" s="87"/>
      <c r="Z1835" s="87"/>
      <c r="AA1835" s="87"/>
      <c r="AB1835" s="87"/>
      <c r="AM1835" s="87"/>
      <c r="AN1835" s="87"/>
      <c r="AO1835" s="87"/>
      <c r="AP1835" s="87"/>
      <c r="AQ1835" s="87"/>
      <c r="AR1835" s="87"/>
      <c r="BC1835" s="87"/>
      <c r="BD1835" s="87"/>
      <c r="BE1835" s="87"/>
      <c r="BF1835" s="87"/>
      <c r="BG1835" s="87"/>
      <c r="BH1835" s="87"/>
    </row>
    <row r="1836" spans="23:60" x14ac:dyDescent="0.3">
      <c r="W1836" s="87"/>
      <c r="X1836" s="87"/>
      <c r="Y1836" s="87"/>
      <c r="Z1836" s="87"/>
      <c r="AA1836" s="87"/>
      <c r="AB1836" s="87"/>
      <c r="AM1836" s="87"/>
      <c r="AN1836" s="87"/>
      <c r="AO1836" s="87"/>
      <c r="AP1836" s="87"/>
      <c r="AQ1836" s="87"/>
      <c r="AR1836" s="87"/>
      <c r="BC1836" s="87"/>
      <c r="BD1836" s="87"/>
      <c r="BE1836" s="87"/>
      <c r="BF1836" s="87"/>
      <c r="BG1836" s="87"/>
      <c r="BH1836" s="87"/>
    </row>
    <row r="1837" spans="23:60" x14ac:dyDescent="0.3">
      <c r="W1837" s="87"/>
      <c r="X1837" s="87"/>
      <c r="Y1837" s="87"/>
      <c r="Z1837" s="87"/>
      <c r="AA1837" s="87"/>
      <c r="AB1837" s="87"/>
      <c r="AM1837" s="87"/>
      <c r="AN1837" s="87"/>
      <c r="AO1837" s="87"/>
      <c r="AP1837" s="87"/>
      <c r="AQ1837" s="87"/>
      <c r="AR1837" s="87"/>
      <c r="BC1837" s="87"/>
      <c r="BD1837" s="87"/>
      <c r="BE1837" s="87"/>
      <c r="BF1837" s="87"/>
      <c r="BG1837" s="87"/>
      <c r="BH1837" s="87"/>
    </row>
    <row r="1838" spans="23:60" x14ac:dyDescent="0.3">
      <c r="W1838" s="87"/>
      <c r="X1838" s="87"/>
      <c r="Y1838" s="87"/>
      <c r="Z1838" s="87"/>
      <c r="AA1838" s="87"/>
      <c r="AB1838" s="87"/>
      <c r="AM1838" s="87"/>
      <c r="AN1838" s="87"/>
      <c r="AO1838" s="87"/>
      <c r="AP1838" s="87"/>
      <c r="AQ1838" s="87"/>
      <c r="AR1838" s="87"/>
      <c r="BC1838" s="87"/>
      <c r="BD1838" s="87"/>
      <c r="BE1838" s="87"/>
      <c r="BF1838" s="87"/>
      <c r="BG1838" s="87"/>
      <c r="BH1838" s="87"/>
    </row>
    <row r="1839" spans="23:60" x14ac:dyDescent="0.3">
      <c r="W1839" s="87"/>
      <c r="X1839" s="87"/>
      <c r="Y1839" s="87"/>
      <c r="Z1839" s="87"/>
      <c r="AA1839" s="87"/>
      <c r="AB1839" s="87"/>
      <c r="AM1839" s="87"/>
      <c r="AN1839" s="87"/>
      <c r="AO1839" s="87"/>
      <c r="AP1839" s="87"/>
      <c r="AQ1839" s="87"/>
      <c r="AR1839" s="87"/>
      <c r="BC1839" s="87"/>
      <c r="BD1839" s="87"/>
      <c r="BE1839" s="87"/>
      <c r="BF1839" s="87"/>
      <c r="BG1839" s="87"/>
      <c r="BH1839" s="87"/>
    </row>
    <row r="1840" spans="23:60" x14ac:dyDescent="0.3">
      <c r="W1840" s="87"/>
      <c r="X1840" s="87"/>
      <c r="Y1840" s="87"/>
      <c r="Z1840" s="87"/>
      <c r="AA1840" s="87"/>
      <c r="AB1840" s="87"/>
      <c r="AM1840" s="87"/>
      <c r="AN1840" s="87"/>
      <c r="AO1840" s="87"/>
      <c r="AP1840" s="87"/>
      <c r="AQ1840" s="87"/>
      <c r="AR1840" s="87"/>
      <c r="BC1840" s="87"/>
      <c r="BD1840" s="87"/>
      <c r="BE1840" s="87"/>
      <c r="BF1840" s="87"/>
      <c r="BG1840" s="87"/>
      <c r="BH1840" s="87"/>
    </row>
    <row r="1841" spans="23:60" x14ac:dyDescent="0.3">
      <c r="W1841" s="87"/>
      <c r="X1841" s="87"/>
      <c r="Y1841" s="87"/>
      <c r="Z1841" s="87"/>
      <c r="AA1841" s="87"/>
      <c r="AB1841" s="87"/>
      <c r="AM1841" s="87"/>
      <c r="AN1841" s="87"/>
      <c r="AO1841" s="87"/>
      <c r="AP1841" s="87"/>
      <c r="AQ1841" s="87"/>
      <c r="AR1841" s="87"/>
      <c r="BC1841" s="87"/>
      <c r="BD1841" s="87"/>
      <c r="BE1841" s="87"/>
      <c r="BF1841" s="87"/>
      <c r="BG1841" s="87"/>
      <c r="BH1841" s="87"/>
    </row>
    <row r="1842" spans="23:60" x14ac:dyDescent="0.3">
      <c r="W1842" s="87"/>
      <c r="X1842" s="87"/>
      <c r="Y1842" s="87"/>
      <c r="Z1842" s="87"/>
      <c r="AA1842" s="87"/>
      <c r="AB1842" s="87"/>
      <c r="AM1842" s="87"/>
      <c r="AN1842" s="87"/>
      <c r="AO1842" s="87"/>
      <c r="AP1842" s="87"/>
      <c r="AQ1842" s="87"/>
      <c r="AR1842" s="87"/>
      <c r="BC1842" s="87"/>
      <c r="BD1842" s="87"/>
      <c r="BE1842" s="87"/>
      <c r="BF1842" s="87"/>
      <c r="BG1842" s="87"/>
      <c r="BH1842" s="87"/>
    </row>
    <row r="1843" spans="23:60" x14ac:dyDescent="0.3">
      <c r="W1843" s="87"/>
      <c r="X1843" s="87"/>
      <c r="Y1843" s="87"/>
      <c r="Z1843" s="87"/>
      <c r="AA1843" s="87"/>
      <c r="AB1843" s="87"/>
      <c r="AM1843" s="87"/>
      <c r="AN1843" s="87"/>
      <c r="AO1843" s="87"/>
      <c r="AP1843" s="87"/>
      <c r="AQ1843" s="87"/>
      <c r="AR1843" s="87"/>
      <c r="BC1843" s="87"/>
      <c r="BD1843" s="87"/>
      <c r="BE1843" s="87"/>
      <c r="BF1843" s="87"/>
      <c r="BG1843" s="87"/>
      <c r="BH1843" s="87"/>
    </row>
    <row r="1844" spans="23:60" x14ac:dyDescent="0.3">
      <c r="W1844" s="87"/>
      <c r="X1844" s="87"/>
      <c r="Y1844" s="87"/>
      <c r="Z1844" s="87"/>
      <c r="AA1844" s="87"/>
      <c r="AB1844" s="87"/>
      <c r="AM1844" s="87"/>
      <c r="AN1844" s="87"/>
      <c r="AO1844" s="87"/>
      <c r="AP1844" s="87"/>
      <c r="AQ1844" s="87"/>
      <c r="AR1844" s="87"/>
      <c r="BC1844" s="87"/>
      <c r="BD1844" s="87"/>
      <c r="BE1844" s="87"/>
      <c r="BF1844" s="87"/>
      <c r="BG1844" s="87"/>
      <c r="BH1844" s="87"/>
    </row>
    <row r="1845" spans="23:60" x14ac:dyDescent="0.3">
      <c r="W1845" s="87"/>
      <c r="X1845" s="87"/>
      <c r="Y1845" s="87"/>
      <c r="Z1845" s="87"/>
      <c r="AA1845" s="87"/>
      <c r="AB1845" s="87"/>
      <c r="AM1845" s="87"/>
      <c r="AN1845" s="87"/>
      <c r="AO1845" s="87"/>
      <c r="AP1845" s="87"/>
      <c r="AQ1845" s="87"/>
      <c r="AR1845" s="87"/>
      <c r="BC1845" s="87"/>
      <c r="BD1845" s="87"/>
      <c r="BE1845" s="87"/>
      <c r="BF1845" s="87"/>
      <c r="BG1845" s="87"/>
      <c r="BH1845" s="87"/>
    </row>
    <row r="1846" spans="23:60" x14ac:dyDescent="0.3">
      <c r="W1846" s="87"/>
      <c r="X1846" s="87"/>
      <c r="Y1846" s="87"/>
      <c r="Z1846" s="87"/>
      <c r="AA1846" s="87"/>
      <c r="AB1846" s="87"/>
      <c r="AM1846" s="87"/>
      <c r="AN1846" s="87"/>
      <c r="AO1846" s="87"/>
      <c r="AP1846" s="87"/>
      <c r="AQ1846" s="87"/>
      <c r="AR1846" s="87"/>
      <c r="BC1846" s="87"/>
      <c r="BD1846" s="87"/>
      <c r="BE1846" s="87"/>
      <c r="BF1846" s="87"/>
      <c r="BG1846" s="87"/>
      <c r="BH1846" s="87"/>
    </row>
    <row r="1847" spans="23:60" x14ac:dyDescent="0.3">
      <c r="W1847" s="87"/>
      <c r="X1847" s="87"/>
      <c r="Y1847" s="87"/>
      <c r="Z1847" s="87"/>
      <c r="AA1847" s="87"/>
      <c r="AB1847" s="87"/>
      <c r="AM1847" s="87"/>
      <c r="AN1847" s="87"/>
      <c r="AO1847" s="87"/>
      <c r="AP1847" s="87"/>
      <c r="AQ1847" s="87"/>
      <c r="AR1847" s="87"/>
      <c r="BC1847" s="87"/>
      <c r="BD1847" s="87"/>
      <c r="BE1847" s="87"/>
      <c r="BF1847" s="87"/>
      <c r="BG1847" s="87"/>
      <c r="BH1847" s="87"/>
    </row>
    <row r="1848" spans="23:60" x14ac:dyDescent="0.3">
      <c r="W1848" s="87"/>
      <c r="X1848" s="87"/>
      <c r="Y1848" s="87"/>
      <c r="Z1848" s="87"/>
      <c r="AA1848" s="87"/>
      <c r="AB1848" s="87"/>
      <c r="AM1848" s="87"/>
      <c r="AN1848" s="87"/>
      <c r="AO1848" s="87"/>
      <c r="AP1848" s="87"/>
      <c r="AQ1848" s="87"/>
      <c r="AR1848" s="87"/>
      <c r="BC1848" s="87"/>
      <c r="BD1848" s="87"/>
      <c r="BE1848" s="87"/>
      <c r="BF1848" s="87"/>
      <c r="BG1848" s="87"/>
      <c r="BH1848" s="87"/>
    </row>
    <row r="1849" spans="23:60" x14ac:dyDescent="0.3">
      <c r="W1849" s="87"/>
      <c r="X1849" s="87"/>
      <c r="Y1849" s="87"/>
      <c r="Z1849" s="87"/>
      <c r="AA1849" s="87"/>
      <c r="AB1849" s="87"/>
      <c r="AM1849" s="87"/>
      <c r="AN1849" s="87"/>
      <c r="AO1849" s="87"/>
      <c r="AP1849" s="87"/>
      <c r="AQ1849" s="87"/>
      <c r="AR1849" s="87"/>
      <c r="BC1849" s="87"/>
      <c r="BD1849" s="87"/>
      <c r="BE1849" s="87"/>
      <c r="BF1849" s="87"/>
      <c r="BG1849" s="87"/>
      <c r="BH1849" s="87"/>
    </row>
    <row r="1850" spans="23:60" x14ac:dyDescent="0.3">
      <c r="W1850" s="87"/>
      <c r="X1850" s="87"/>
      <c r="Y1850" s="87"/>
      <c r="Z1850" s="87"/>
      <c r="AA1850" s="87"/>
      <c r="AB1850" s="87"/>
      <c r="AM1850" s="87"/>
      <c r="AN1850" s="87"/>
      <c r="AO1850" s="87"/>
      <c r="AP1850" s="87"/>
      <c r="AQ1850" s="87"/>
      <c r="AR1850" s="87"/>
      <c r="BC1850" s="87"/>
      <c r="BD1850" s="87"/>
      <c r="BE1850" s="87"/>
      <c r="BF1850" s="87"/>
      <c r="BG1850" s="87"/>
      <c r="BH1850" s="87"/>
    </row>
    <row r="1851" spans="23:60" x14ac:dyDescent="0.3">
      <c r="W1851" s="87"/>
      <c r="X1851" s="87"/>
      <c r="Y1851" s="87"/>
      <c r="Z1851" s="87"/>
      <c r="AA1851" s="87"/>
      <c r="AB1851" s="87"/>
      <c r="AM1851" s="87"/>
      <c r="AN1851" s="87"/>
      <c r="AO1851" s="87"/>
      <c r="AP1851" s="87"/>
      <c r="AQ1851" s="87"/>
      <c r="AR1851" s="87"/>
      <c r="BC1851" s="87"/>
      <c r="BD1851" s="87"/>
      <c r="BE1851" s="87"/>
      <c r="BF1851" s="87"/>
      <c r="BG1851" s="87"/>
      <c r="BH1851" s="87"/>
    </row>
    <row r="1852" spans="23:60" x14ac:dyDescent="0.3">
      <c r="W1852" s="87"/>
      <c r="X1852" s="87"/>
      <c r="Y1852" s="87"/>
      <c r="Z1852" s="87"/>
      <c r="AA1852" s="87"/>
      <c r="AB1852" s="87"/>
      <c r="AM1852" s="87"/>
      <c r="AN1852" s="87"/>
      <c r="AO1852" s="87"/>
      <c r="AP1852" s="87"/>
      <c r="AQ1852" s="87"/>
      <c r="AR1852" s="87"/>
      <c r="BC1852" s="87"/>
      <c r="BD1852" s="87"/>
      <c r="BE1852" s="87"/>
      <c r="BF1852" s="87"/>
      <c r="BG1852" s="87"/>
      <c r="BH1852" s="87"/>
    </row>
    <row r="1853" spans="23:60" x14ac:dyDescent="0.3">
      <c r="W1853" s="87"/>
      <c r="X1853" s="87"/>
      <c r="Y1853" s="87"/>
      <c r="Z1853" s="87"/>
      <c r="AA1853" s="87"/>
      <c r="AB1853" s="87"/>
      <c r="AM1853" s="87"/>
      <c r="AN1853" s="87"/>
      <c r="AO1853" s="87"/>
      <c r="AP1853" s="87"/>
      <c r="AQ1853" s="87"/>
      <c r="AR1853" s="87"/>
      <c r="BC1853" s="87"/>
      <c r="BD1853" s="87"/>
      <c r="BE1853" s="87"/>
      <c r="BF1853" s="87"/>
      <c r="BG1853" s="87"/>
      <c r="BH1853" s="87"/>
    </row>
    <row r="1854" spans="23:60" x14ac:dyDescent="0.3">
      <c r="W1854" s="87"/>
      <c r="X1854" s="87"/>
      <c r="Y1854" s="87"/>
      <c r="Z1854" s="87"/>
      <c r="AA1854" s="87"/>
      <c r="AB1854" s="87"/>
      <c r="AM1854" s="87"/>
      <c r="AN1854" s="87"/>
      <c r="AO1854" s="87"/>
      <c r="AP1854" s="87"/>
      <c r="AQ1854" s="87"/>
      <c r="AR1854" s="87"/>
      <c r="BC1854" s="87"/>
      <c r="BD1854" s="87"/>
      <c r="BE1854" s="87"/>
      <c r="BF1854" s="87"/>
      <c r="BG1854" s="87"/>
      <c r="BH1854" s="87"/>
    </row>
    <row r="1855" spans="23:60" x14ac:dyDescent="0.3">
      <c r="W1855" s="87"/>
      <c r="X1855" s="87"/>
      <c r="Y1855" s="87"/>
      <c r="Z1855" s="87"/>
      <c r="AA1855" s="87"/>
      <c r="AB1855" s="87"/>
      <c r="AM1855" s="87"/>
      <c r="AN1855" s="87"/>
      <c r="AO1855" s="87"/>
      <c r="AP1855" s="87"/>
      <c r="AQ1855" s="87"/>
      <c r="AR1855" s="87"/>
      <c r="BC1855" s="87"/>
      <c r="BD1855" s="87"/>
      <c r="BE1855" s="87"/>
      <c r="BF1855" s="87"/>
      <c r="BG1855" s="87"/>
      <c r="BH1855" s="87"/>
    </row>
    <row r="1856" spans="23:60" x14ac:dyDescent="0.3">
      <c r="W1856" s="87"/>
      <c r="X1856" s="87"/>
      <c r="Y1856" s="87"/>
      <c r="Z1856" s="87"/>
      <c r="AA1856" s="87"/>
      <c r="AB1856" s="87"/>
      <c r="AM1856" s="87"/>
      <c r="AN1856" s="87"/>
      <c r="AO1856" s="87"/>
      <c r="AP1856" s="87"/>
      <c r="AQ1856" s="87"/>
      <c r="AR1856" s="87"/>
      <c r="BC1856" s="87"/>
      <c r="BD1856" s="87"/>
      <c r="BE1856" s="87"/>
      <c r="BF1856" s="87"/>
      <c r="BG1856" s="87"/>
      <c r="BH1856" s="87"/>
    </row>
    <row r="1857" spans="23:60" x14ac:dyDescent="0.3">
      <c r="W1857" s="87"/>
      <c r="X1857" s="87"/>
      <c r="Y1857" s="87"/>
      <c r="Z1857" s="87"/>
      <c r="AA1857" s="87"/>
      <c r="AB1857" s="87"/>
      <c r="AM1857" s="87"/>
      <c r="AN1857" s="87"/>
      <c r="AO1857" s="87"/>
      <c r="AP1857" s="87"/>
      <c r="AQ1857" s="87"/>
      <c r="AR1857" s="87"/>
      <c r="BC1857" s="87"/>
      <c r="BD1857" s="87"/>
      <c r="BE1857" s="87"/>
      <c r="BF1857" s="87"/>
      <c r="BG1857" s="87"/>
      <c r="BH1857" s="87"/>
    </row>
    <row r="1858" spans="23:60" x14ac:dyDescent="0.3">
      <c r="W1858" s="87"/>
      <c r="X1858" s="87"/>
      <c r="Y1858" s="87"/>
      <c r="Z1858" s="87"/>
      <c r="AA1858" s="87"/>
      <c r="AB1858" s="87"/>
      <c r="AM1858" s="87"/>
      <c r="AN1858" s="87"/>
      <c r="AO1858" s="87"/>
      <c r="AP1858" s="87"/>
      <c r="AQ1858" s="87"/>
      <c r="AR1858" s="87"/>
      <c r="BC1858" s="87"/>
      <c r="BD1858" s="87"/>
      <c r="BE1858" s="87"/>
      <c r="BF1858" s="87"/>
      <c r="BG1858" s="87"/>
      <c r="BH1858" s="87"/>
    </row>
    <row r="1859" spans="23:60" x14ac:dyDescent="0.3">
      <c r="W1859" s="87"/>
      <c r="X1859" s="87"/>
      <c r="Y1859" s="87"/>
      <c r="Z1859" s="87"/>
      <c r="AA1859" s="87"/>
      <c r="AB1859" s="87"/>
      <c r="AM1859" s="87"/>
      <c r="AN1859" s="87"/>
      <c r="AO1859" s="87"/>
      <c r="AP1859" s="87"/>
      <c r="AQ1859" s="87"/>
      <c r="AR1859" s="87"/>
      <c r="BC1859" s="87"/>
      <c r="BD1859" s="87"/>
      <c r="BE1859" s="87"/>
      <c r="BF1859" s="87"/>
      <c r="BG1859" s="87"/>
      <c r="BH1859" s="87"/>
    </row>
    <row r="1860" spans="23:60" x14ac:dyDescent="0.3">
      <c r="W1860" s="87"/>
      <c r="X1860" s="87"/>
      <c r="Y1860" s="87"/>
      <c r="Z1860" s="87"/>
      <c r="AA1860" s="87"/>
      <c r="AB1860" s="87"/>
      <c r="AM1860" s="87"/>
      <c r="AN1860" s="87"/>
      <c r="AO1860" s="87"/>
      <c r="AP1860" s="87"/>
      <c r="AQ1860" s="87"/>
      <c r="AR1860" s="87"/>
      <c r="BC1860" s="87"/>
      <c r="BD1860" s="87"/>
      <c r="BE1860" s="87"/>
      <c r="BF1860" s="87"/>
      <c r="BG1860" s="87"/>
      <c r="BH1860" s="87"/>
    </row>
    <row r="1861" spans="23:60" x14ac:dyDescent="0.3">
      <c r="W1861" s="87"/>
      <c r="X1861" s="87"/>
      <c r="Y1861" s="87"/>
      <c r="Z1861" s="87"/>
      <c r="AA1861" s="87"/>
      <c r="AB1861" s="87"/>
      <c r="AM1861" s="87"/>
      <c r="AN1861" s="87"/>
      <c r="AO1861" s="87"/>
      <c r="AP1861" s="87"/>
      <c r="AQ1861" s="87"/>
      <c r="AR1861" s="87"/>
      <c r="BC1861" s="87"/>
      <c r="BD1861" s="87"/>
      <c r="BE1861" s="87"/>
      <c r="BF1861" s="87"/>
      <c r="BG1861" s="87"/>
      <c r="BH1861" s="87"/>
    </row>
    <row r="1862" spans="23:60" x14ac:dyDescent="0.3">
      <c r="W1862" s="87"/>
      <c r="X1862" s="87"/>
      <c r="Y1862" s="87"/>
      <c r="Z1862" s="87"/>
      <c r="AA1862" s="87"/>
      <c r="AB1862" s="87"/>
      <c r="AM1862" s="87"/>
      <c r="AN1862" s="87"/>
      <c r="AO1862" s="87"/>
      <c r="AP1862" s="87"/>
      <c r="AQ1862" s="87"/>
      <c r="AR1862" s="87"/>
      <c r="BC1862" s="87"/>
      <c r="BD1862" s="87"/>
      <c r="BE1862" s="87"/>
      <c r="BF1862" s="87"/>
      <c r="BG1862" s="87"/>
      <c r="BH1862" s="87"/>
    </row>
    <row r="1863" spans="23:60" x14ac:dyDescent="0.3">
      <c r="W1863" s="87"/>
      <c r="X1863" s="87"/>
      <c r="Y1863" s="87"/>
      <c r="Z1863" s="87"/>
      <c r="AA1863" s="87"/>
      <c r="AB1863" s="87"/>
      <c r="AM1863" s="87"/>
      <c r="AN1863" s="87"/>
      <c r="AO1863" s="87"/>
      <c r="AP1863" s="87"/>
      <c r="AQ1863" s="87"/>
      <c r="AR1863" s="87"/>
      <c r="BC1863" s="87"/>
      <c r="BD1863" s="87"/>
      <c r="BE1863" s="87"/>
      <c r="BF1863" s="87"/>
      <c r="BG1863" s="87"/>
      <c r="BH1863" s="87"/>
    </row>
    <row r="1864" spans="23:60" x14ac:dyDescent="0.3">
      <c r="W1864" s="87"/>
      <c r="X1864" s="87"/>
      <c r="Y1864" s="87"/>
      <c r="Z1864" s="87"/>
      <c r="AA1864" s="87"/>
      <c r="AB1864" s="87"/>
      <c r="AM1864" s="87"/>
      <c r="AN1864" s="87"/>
      <c r="AO1864" s="87"/>
      <c r="AP1864" s="87"/>
      <c r="AQ1864" s="87"/>
      <c r="AR1864" s="87"/>
      <c r="BC1864" s="87"/>
      <c r="BD1864" s="87"/>
      <c r="BE1864" s="87"/>
      <c r="BF1864" s="87"/>
      <c r="BG1864" s="87"/>
      <c r="BH1864" s="87"/>
    </row>
    <row r="1865" spans="23:60" x14ac:dyDescent="0.3">
      <c r="W1865" s="87"/>
      <c r="X1865" s="87"/>
      <c r="Y1865" s="87"/>
      <c r="Z1865" s="87"/>
      <c r="AA1865" s="87"/>
      <c r="AB1865" s="87"/>
      <c r="AM1865" s="87"/>
      <c r="AN1865" s="87"/>
      <c r="AO1865" s="87"/>
      <c r="AP1865" s="87"/>
      <c r="AQ1865" s="87"/>
      <c r="AR1865" s="87"/>
      <c r="BC1865" s="87"/>
      <c r="BD1865" s="87"/>
      <c r="BE1865" s="87"/>
      <c r="BF1865" s="87"/>
      <c r="BG1865" s="87"/>
      <c r="BH1865" s="87"/>
    </row>
    <row r="1866" spans="23:60" x14ac:dyDescent="0.3">
      <c r="W1866" s="87"/>
      <c r="X1866" s="87"/>
      <c r="Y1866" s="87"/>
      <c r="Z1866" s="87"/>
      <c r="AA1866" s="87"/>
      <c r="AB1866" s="87"/>
      <c r="AM1866" s="87"/>
      <c r="AN1866" s="87"/>
      <c r="AO1866" s="87"/>
      <c r="AP1866" s="87"/>
      <c r="AQ1866" s="87"/>
      <c r="AR1866" s="87"/>
      <c r="BC1866" s="87"/>
      <c r="BD1866" s="87"/>
      <c r="BE1866" s="87"/>
      <c r="BF1866" s="87"/>
      <c r="BG1866" s="87"/>
      <c r="BH1866" s="87"/>
    </row>
    <row r="1867" spans="23:60" x14ac:dyDescent="0.3">
      <c r="W1867" s="87"/>
      <c r="X1867" s="87"/>
      <c r="Y1867" s="87"/>
      <c r="Z1867" s="87"/>
      <c r="AA1867" s="87"/>
      <c r="AB1867" s="87"/>
      <c r="AM1867" s="87"/>
      <c r="AN1867" s="87"/>
      <c r="AO1867" s="87"/>
      <c r="AP1867" s="87"/>
      <c r="AQ1867" s="87"/>
      <c r="AR1867" s="87"/>
      <c r="BC1867" s="87"/>
      <c r="BD1867" s="87"/>
      <c r="BE1867" s="87"/>
      <c r="BF1867" s="87"/>
      <c r="BG1867" s="87"/>
      <c r="BH1867" s="87"/>
    </row>
    <row r="1868" spans="23:60" x14ac:dyDescent="0.3">
      <c r="W1868" s="87"/>
      <c r="X1868" s="87"/>
      <c r="Y1868" s="87"/>
      <c r="Z1868" s="87"/>
      <c r="AA1868" s="87"/>
      <c r="AB1868" s="87"/>
      <c r="AM1868" s="87"/>
      <c r="AN1868" s="87"/>
      <c r="AO1868" s="87"/>
      <c r="AP1868" s="87"/>
      <c r="AQ1868" s="87"/>
      <c r="AR1868" s="87"/>
      <c r="BC1868" s="87"/>
      <c r="BD1868" s="87"/>
      <c r="BE1868" s="87"/>
      <c r="BF1868" s="87"/>
      <c r="BG1868" s="87"/>
      <c r="BH1868" s="87"/>
    </row>
    <row r="1869" spans="23:60" x14ac:dyDescent="0.3">
      <c r="W1869" s="87"/>
      <c r="X1869" s="87"/>
      <c r="Y1869" s="87"/>
      <c r="Z1869" s="87"/>
      <c r="AA1869" s="87"/>
      <c r="AB1869" s="87"/>
      <c r="AM1869" s="87"/>
      <c r="AN1869" s="87"/>
      <c r="AO1869" s="87"/>
      <c r="AP1869" s="87"/>
      <c r="AQ1869" s="87"/>
      <c r="AR1869" s="87"/>
      <c r="BC1869" s="87"/>
      <c r="BD1869" s="87"/>
      <c r="BE1869" s="87"/>
      <c r="BF1869" s="87"/>
      <c r="BG1869" s="87"/>
      <c r="BH1869" s="87"/>
    </row>
    <row r="1870" spans="23:60" x14ac:dyDescent="0.3">
      <c r="W1870" s="87"/>
      <c r="X1870" s="87"/>
      <c r="Y1870" s="87"/>
      <c r="Z1870" s="87"/>
      <c r="AA1870" s="87"/>
      <c r="AB1870" s="87"/>
      <c r="AM1870" s="87"/>
      <c r="AN1870" s="87"/>
      <c r="AO1870" s="87"/>
      <c r="AP1870" s="87"/>
      <c r="AQ1870" s="87"/>
      <c r="AR1870" s="87"/>
      <c r="BC1870" s="87"/>
      <c r="BD1870" s="87"/>
      <c r="BE1870" s="87"/>
      <c r="BF1870" s="87"/>
      <c r="BG1870" s="87"/>
      <c r="BH1870" s="87"/>
    </row>
    <row r="1871" spans="23:60" x14ac:dyDescent="0.3">
      <c r="W1871" s="87"/>
      <c r="X1871" s="87"/>
      <c r="Y1871" s="87"/>
      <c r="Z1871" s="87"/>
      <c r="AA1871" s="87"/>
      <c r="AB1871" s="87"/>
      <c r="AM1871" s="87"/>
      <c r="AN1871" s="87"/>
      <c r="AO1871" s="87"/>
      <c r="AP1871" s="87"/>
      <c r="AQ1871" s="87"/>
      <c r="AR1871" s="87"/>
      <c r="BC1871" s="87"/>
      <c r="BD1871" s="87"/>
      <c r="BE1871" s="87"/>
      <c r="BF1871" s="87"/>
      <c r="BG1871" s="87"/>
      <c r="BH1871" s="87"/>
    </row>
    <row r="1872" spans="23:60" x14ac:dyDescent="0.3">
      <c r="W1872" s="87"/>
      <c r="X1872" s="87"/>
      <c r="Y1872" s="87"/>
      <c r="Z1872" s="87"/>
      <c r="AA1872" s="87"/>
      <c r="AB1872" s="87"/>
      <c r="AM1872" s="87"/>
      <c r="AN1872" s="87"/>
      <c r="AO1872" s="87"/>
      <c r="AP1872" s="87"/>
      <c r="AQ1872" s="87"/>
      <c r="AR1872" s="87"/>
      <c r="BC1872" s="87"/>
      <c r="BD1872" s="87"/>
      <c r="BE1872" s="87"/>
      <c r="BF1872" s="87"/>
      <c r="BG1872" s="87"/>
      <c r="BH1872" s="87"/>
    </row>
    <row r="1873" spans="23:60" x14ac:dyDescent="0.3">
      <c r="W1873" s="87"/>
      <c r="X1873" s="87"/>
      <c r="Y1873" s="87"/>
      <c r="Z1873" s="87"/>
      <c r="AA1873" s="87"/>
      <c r="AB1873" s="87"/>
      <c r="AM1873" s="87"/>
      <c r="AN1873" s="87"/>
      <c r="AO1873" s="87"/>
      <c r="AP1873" s="87"/>
      <c r="AQ1873" s="87"/>
      <c r="AR1873" s="87"/>
      <c r="BC1873" s="87"/>
      <c r="BD1873" s="87"/>
      <c r="BE1873" s="87"/>
      <c r="BF1873" s="87"/>
      <c r="BG1873" s="87"/>
      <c r="BH1873" s="87"/>
    </row>
    <row r="1874" spans="23:60" x14ac:dyDescent="0.3">
      <c r="W1874" s="87"/>
      <c r="X1874" s="87"/>
      <c r="Y1874" s="87"/>
      <c r="Z1874" s="87"/>
      <c r="AA1874" s="87"/>
      <c r="AB1874" s="87"/>
      <c r="AM1874" s="87"/>
      <c r="AN1874" s="87"/>
      <c r="AO1874" s="87"/>
      <c r="AP1874" s="87"/>
      <c r="AQ1874" s="87"/>
      <c r="AR1874" s="87"/>
      <c r="BC1874" s="87"/>
      <c r="BD1874" s="87"/>
      <c r="BE1874" s="87"/>
      <c r="BF1874" s="87"/>
      <c r="BG1874" s="87"/>
      <c r="BH1874" s="87"/>
    </row>
    <row r="1875" spans="23:60" x14ac:dyDescent="0.3">
      <c r="W1875" s="87"/>
      <c r="X1875" s="87"/>
      <c r="Y1875" s="87"/>
      <c r="Z1875" s="87"/>
      <c r="AA1875" s="87"/>
      <c r="AB1875" s="87"/>
      <c r="AM1875" s="87"/>
      <c r="AN1875" s="87"/>
      <c r="AO1875" s="87"/>
      <c r="AP1875" s="87"/>
      <c r="AQ1875" s="87"/>
      <c r="AR1875" s="87"/>
      <c r="BC1875" s="87"/>
      <c r="BD1875" s="87"/>
      <c r="BE1875" s="87"/>
      <c r="BF1875" s="87"/>
      <c r="BG1875" s="87"/>
      <c r="BH1875" s="87"/>
    </row>
    <row r="1876" spans="23:60" x14ac:dyDescent="0.3">
      <c r="W1876" s="87"/>
      <c r="X1876" s="87"/>
      <c r="Y1876" s="87"/>
      <c r="Z1876" s="87"/>
      <c r="AA1876" s="87"/>
      <c r="AB1876" s="87"/>
      <c r="AM1876" s="87"/>
      <c r="AN1876" s="87"/>
      <c r="AO1876" s="87"/>
      <c r="AP1876" s="87"/>
      <c r="AQ1876" s="87"/>
      <c r="AR1876" s="87"/>
      <c r="BC1876" s="87"/>
      <c r="BD1876" s="87"/>
      <c r="BE1876" s="87"/>
      <c r="BF1876" s="87"/>
      <c r="BG1876" s="87"/>
      <c r="BH1876" s="87"/>
    </row>
    <row r="1877" spans="23:60" x14ac:dyDescent="0.3">
      <c r="W1877" s="87"/>
      <c r="X1877" s="87"/>
      <c r="Y1877" s="87"/>
      <c r="Z1877" s="87"/>
      <c r="AA1877" s="87"/>
      <c r="AB1877" s="87"/>
      <c r="AM1877" s="87"/>
      <c r="AN1877" s="87"/>
      <c r="AO1877" s="87"/>
      <c r="AP1877" s="87"/>
      <c r="AQ1877" s="87"/>
      <c r="AR1877" s="87"/>
      <c r="BC1877" s="87"/>
      <c r="BD1877" s="87"/>
      <c r="BE1877" s="87"/>
      <c r="BF1877" s="87"/>
      <c r="BG1877" s="87"/>
      <c r="BH1877" s="87"/>
    </row>
    <row r="1878" spans="23:60" x14ac:dyDescent="0.3">
      <c r="W1878" s="87"/>
      <c r="X1878" s="87"/>
      <c r="Y1878" s="87"/>
      <c r="Z1878" s="87"/>
      <c r="AA1878" s="87"/>
      <c r="AB1878" s="87"/>
      <c r="AM1878" s="87"/>
      <c r="AN1878" s="87"/>
      <c r="AO1878" s="87"/>
      <c r="AP1878" s="87"/>
      <c r="AQ1878" s="87"/>
      <c r="AR1878" s="87"/>
      <c r="BC1878" s="87"/>
      <c r="BD1878" s="87"/>
      <c r="BE1878" s="87"/>
      <c r="BF1878" s="87"/>
      <c r="BG1878" s="87"/>
      <c r="BH1878" s="87"/>
    </row>
    <row r="1879" spans="23:60" x14ac:dyDescent="0.3">
      <c r="W1879" s="87"/>
      <c r="X1879" s="87"/>
      <c r="Y1879" s="87"/>
      <c r="Z1879" s="87"/>
      <c r="AA1879" s="87"/>
      <c r="AB1879" s="87"/>
      <c r="AM1879" s="87"/>
      <c r="AN1879" s="87"/>
      <c r="AO1879" s="87"/>
      <c r="AP1879" s="87"/>
      <c r="AQ1879" s="87"/>
      <c r="AR1879" s="87"/>
      <c r="BC1879" s="87"/>
      <c r="BD1879" s="87"/>
      <c r="BE1879" s="87"/>
      <c r="BF1879" s="87"/>
      <c r="BG1879" s="87"/>
      <c r="BH1879" s="87"/>
    </row>
    <row r="1880" spans="23:60" x14ac:dyDescent="0.3">
      <c r="W1880" s="87"/>
      <c r="X1880" s="87"/>
      <c r="Y1880" s="87"/>
      <c r="Z1880" s="87"/>
      <c r="AA1880" s="87"/>
      <c r="AB1880" s="87"/>
      <c r="AM1880" s="87"/>
      <c r="AN1880" s="87"/>
      <c r="AO1880" s="87"/>
      <c r="AP1880" s="87"/>
      <c r="AQ1880" s="87"/>
      <c r="AR1880" s="87"/>
      <c r="BC1880" s="87"/>
      <c r="BD1880" s="87"/>
      <c r="BE1880" s="87"/>
      <c r="BF1880" s="87"/>
      <c r="BG1880" s="87"/>
      <c r="BH1880" s="87"/>
    </row>
    <row r="1881" spans="23:60" x14ac:dyDescent="0.3">
      <c r="W1881" s="87"/>
      <c r="X1881" s="87"/>
      <c r="Y1881" s="87"/>
      <c r="Z1881" s="87"/>
      <c r="AA1881" s="87"/>
      <c r="AB1881" s="87"/>
      <c r="AM1881" s="87"/>
      <c r="AN1881" s="87"/>
      <c r="AO1881" s="87"/>
      <c r="AP1881" s="87"/>
      <c r="AQ1881" s="87"/>
      <c r="AR1881" s="87"/>
      <c r="BC1881" s="87"/>
      <c r="BD1881" s="87"/>
      <c r="BE1881" s="87"/>
      <c r="BF1881" s="87"/>
      <c r="BG1881" s="87"/>
      <c r="BH1881" s="87"/>
    </row>
    <row r="1882" spans="23:60" x14ac:dyDescent="0.3">
      <c r="W1882" s="87"/>
      <c r="X1882" s="87"/>
      <c r="Y1882" s="87"/>
      <c r="Z1882" s="87"/>
      <c r="AA1882" s="87"/>
      <c r="AB1882" s="87"/>
      <c r="AM1882" s="87"/>
      <c r="AN1882" s="87"/>
      <c r="AO1882" s="87"/>
      <c r="AP1882" s="87"/>
      <c r="AQ1882" s="87"/>
      <c r="AR1882" s="87"/>
      <c r="BC1882" s="87"/>
      <c r="BD1882" s="87"/>
      <c r="BE1882" s="87"/>
      <c r="BF1882" s="87"/>
      <c r="BG1882" s="87"/>
      <c r="BH1882" s="87"/>
    </row>
    <row r="1883" spans="23:60" x14ac:dyDescent="0.3">
      <c r="W1883" s="87"/>
      <c r="X1883" s="87"/>
      <c r="Y1883" s="87"/>
      <c r="Z1883" s="87"/>
      <c r="AA1883" s="87"/>
      <c r="AB1883" s="87"/>
      <c r="AM1883" s="87"/>
      <c r="AN1883" s="87"/>
      <c r="AO1883" s="87"/>
      <c r="AP1883" s="87"/>
      <c r="AQ1883" s="87"/>
      <c r="AR1883" s="87"/>
      <c r="BC1883" s="87"/>
      <c r="BD1883" s="87"/>
      <c r="BE1883" s="87"/>
      <c r="BF1883" s="87"/>
      <c r="BG1883" s="87"/>
      <c r="BH1883" s="87"/>
    </row>
    <row r="1884" spans="23:60" x14ac:dyDescent="0.3">
      <c r="W1884" s="87"/>
      <c r="X1884" s="87"/>
      <c r="Y1884" s="87"/>
      <c r="Z1884" s="87"/>
      <c r="AA1884" s="87"/>
      <c r="AB1884" s="87"/>
      <c r="AM1884" s="87"/>
      <c r="AN1884" s="87"/>
      <c r="AO1884" s="87"/>
      <c r="AP1884" s="87"/>
      <c r="AQ1884" s="87"/>
      <c r="AR1884" s="87"/>
      <c r="BC1884" s="87"/>
      <c r="BD1884" s="87"/>
      <c r="BE1884" s="87"/>
      <c r="BF1884" s="87"/>
      <c r="BG1884" s="87"/>
      <c r="BH1884" s="87"/>
    </row>
    <row r="1885" spans="23:60" x14ac:dyDescent="0.3">
      <c r="W1885" s="87"/>
      <c r="X1885" s="87"/>
      <c r="Y1885" s="87"/>
      <c r="Z1885" s="87"/>
      <c r="AA1885" s="87"/>
      <c r="AB1885" s="87"/>
      <c r="AM1885" s="87"/>
      <c r="AN1885" s="87"/>
      <c r="AO1885" s="87"/>
      <c r="AP1885" s="87"/>
      <c r="AQ1885" s="87"/>
      <c r="AR1885" s="87"/>
      <c r="BC1885" s="87"/>
      <c r="BD1885" s="87"/>
      <c r="BE1885" s="87"/>
      <c r="BF1885" s="87"/>
      <c r="BG1885" s="87"/>
      <c r="BH1885" s="87"/>
    </row>
    <row r="1886" spans="23:60" x14ac:dyDescent="0.3">
      <c r="W1886" s="87"/>
      <c r="X1886" s="87"/>
      <c r="Y1886" s="87"/>
      <c r="Z1886" s="87"/>
      <c r="AA1886" s="87"/>
      <c r="AB1886" s="87"/>
      <c r="AM1886" s="87"/>
      <c r="AN1886" s="87"/>
      <c r="AO1886" s="87"/>
      <c r="AP1886" s="87"/>
      <c r="AQ1886" s="87"/>
      <c r="AR1886" s="87"/>
      <c r="BC1886" s="87"/>
      <c r="BD1886" s="87"/>
      <c r="BE1886" s="87"/>
      <c r="BF1886" s="87"/>
      <c r="BG1886" s="87"/>
      <c r="BH1886" s="87"/>
    </row>
    <row r="1887" spans="23:60" x14ac:dyDescent="0.3">
      <c r="W1887" s="87"/>
      <c r="X1887" s="87"/>
      <c r="Y1887" s="87"/>
      <c r="Z1887" s="87"/>
      <c r="AA1887" s="87"/>
      <c r="AB1887" s="87"/>
      <c r="AM1887" s="87"/>
      <c r="AN1887" s="87"/>
      <c r="AO1887" s="87"/>
      <c r="AP1887" s="87"/>
      <c r="AQ1887" s="87"/>
      <c r="AR1887" s="87"/>
      <c r="BC1887" s="87"/>
      <c r="BD1887" s="87"/>
      <c r="BE1887" s="87"/>
      <c r="BF1887" s="87"/>
      <c r="BG1887" s="87"/>
      <c r="BH1887" s="87"/>
    </row>
    <row r="1888" spans="23:60" x14ac:dyDescent="0.3">
      <c r="W1888" s="87"/>
      <c r="X1888" s="87"/>
      <c r="Y1888" s="87"/>
      <c r="Z1888" s="87"/>
      <c r="AA1888" s="87"/>
      <c r="AB1888" s="87"/>
      <c r="AM1888" s="87"/>
      <c r="AN1888" s="87"/>
      <c r="AO1888" s="87"/>
      <c r="AP1888" s="87"/>
      <c r="AQ1888" s="87"/>
      <c r="AR1888" s="87"/>
      <c r="BC1888" s="87"/>
      <c r="BD1888" s="87"/>
      <c r="BE1888" s="87"/>
      <c r="BF1888" s="87"/>
      <c r="BG1888" s="87"/>
      <c r="BH1888" s="87"/>
    </row>
    <row r="1889" spans="23:60" x14ac:dyDescent="0.3">
      <c r="W1889" s="87"/>
      <c r="X1889" s="87"/>
      <c r="Y1889" s="87"/>
      <c r="Z1889" s="87"/>
      <c r="AA1889" s="87"/>
      <c r="AB1889" s="87"/>
      <c r="AM1889" s="87"/>
      <c r="AN1889" s="87"/>
      <c r="AO1889" s="87"/>
      <c r="AP1889" s="87"/>
      <c r="AQ1889" s="87"/>
      <c r="AR1889" s="87"/>
      <c r="BC1889" s="87"/>
      <c r="BD1889" s="87"/>
      <c r="BE1889" s="87"/>
      <c r="BF1889" s="87"/>
      <c r="BG1889" s="87"/>
      <c r="BH1889" s="87"/>
    </row>
    <row r="1890" spans="23:60" x14ac:dyDescent="0.3">
      <c r="W1890" s="87"/>
      <c r="X1890" s="87"/>
      <c r="Y1890" s="87"/>
      <c r="Z1890" s="87"/>
      <c r="AA1890" s="87"/>
      <c r="AB1890" s="87"/>
      <c r="AM1890" s="87"/>
      <c r="AN1890" s="87"/>
      <c r="AO1890" s="87"/>
      <c r="AP1890" s="87"/>
      <c r="AQ1890" s="87"/>
      <c r="AR1890" s="87"/>
      <c r="BC1890" s="87"/>
      <c r="BD1890" s="87"/>
      <c r="BE1890" s="87"/>
      <c r="BF1890" s="87"/>
      <c r="BG1890" s="87"/>
      <c r="BH1890" s="87"/>
    </row>
    <row r="1891" spans="23:60" x14ac:dyDescent="0.3">
      <c r="W1891" s="87"/>
      <c r="X1891" s="87"/>
      <c r="Y1891" s="87"/>
      <c r="Z1891" s="87"/>
      <c r="AA1891" s="87"/>
      <c r="AB1891" s="87"/>
      <c r="AM1891" s="87"/>
      <c r="AN1891" s="87"/>
      <c r="AO1891" s="87"/>
      <c r="AP1891" s="87"/>
      <c r="AQ1891" s="87"/>
      <c r="AR1891" s="87"/>
      <c r="BC1891" s="87"/>
      <c r="BD1891" s="87"/>
      <c r="BE1891" s="87"/>
      <c r="BF1891" s="87"/>
      <c r="BG1891" s="87"/>
      <c r="BH1891" s="87"/>
    </row>
    <row r="1892" spans="23:60" x14ac:dyDescent="0.3">
      <c r="W1892" s="87"/>
      <c r="X1892" s="87"/>
      <c r="Y1892" s="87"/>
      <c r="Z1892" s="87"/>
      <c r="AA1892" s="87"/>
      <c r="AB1892" s="87"/>
      <c r="AM1892" s="87"/>
      <c r="AN1892" s="87"/>
      <c r="AO1892" s="87"/>
      <c r="AP1892" s="87"/>
      <c r="AQ1892" s="87"/>
      <c r="AR1892" s="87"/>
      <c r="BC1892" s="87"/>
      <c r="BD1892" s="87"/>
      <c r="BE1892" s="87"/>
      <c r="BF1892" s="87"/>
      <c r="BG1892" s="87"/>
      <c r="BH1892" s="87"/>
    </row>
    <row r="1893" spans="23:60" x14ac:dyDescent="0.3">
      <c r="W1893" s="87"/>
      <c r="X1893" s="87"/>
      <c r="Y1893" s="87"/>
      <c r="Z1893" s="87"/>
      <c r="AA1893" s="87"/>
      <c r="AB1893" s="87"/>
      <c r="AM1893" s="87"/>
      <c r="AN1893" s="87"/>
      <c r="AO1893" s="87"/>
      <c r="AP1893" s="87"/>
      <c r="AQ1893" s="87"/>
      <c r="AR1893" s="87"/>
      <c r="BC1893" s="87"/>
      <c r="BD1893" s="87"/>
      <c r="BE1893" s="87"/>
      <c r="BF1893" s="87"/>
      <c r="BG1893" s="87"/>
      <c r="BH1893" s="87"/>
    </row>
    <row r="1894" spans="23:60" x14ac:dyDescent="0.3">
      <c r="W1894" s="87"/>
      <c r="X1894" s="87"/>
      <c r="Y1894" s="87"/>
      <c r="Z1894" s="87"/>
      <c r="AA1894" s="87"/>
      <c r="AB1894" s="87"/>
      <c r="AM1894" s="87"/>
      <c r="AN1894" s="87"/>
      <c r="AO1894" s="87"/>
      <c r="AP1894" s="87"/>
      <c r="AQ1894" s="87"/>
      <c r="AR1894" s="87"/>
      <c r="BC1894" s="87"/>
      <c r="BD1894" s="87"/>
      <c r="BE1894" s="87"/>
      <c r="BF1894" s="87"/>
      <c r="BG1894" s="87"/>
      <c r="BH1894" s="87"/>
    </row>
    <row r="1895" spans="23:60" x14ac:dyDescent="0.3">
      <c r="W1895" s="87"/>
      <c r="X1895" s="87"/>
      <c r="Y1895" s="87"/>
      <c r="Z1895" s="87"/>
      <c r="AA1895" s="87"/>
      <c r="AB1895" s="87"/>
      <c r="AM1895" s="87"/>
      <c r="AN1895" s="87"/>
      <c r="AO1895" s="87"/>
      <c r="AP1895" s="87"/>
      <c r="AQ1895" s="87"/>
      <c r="AR1895" s="87"/>
      <c r="BC1895" s="87"/>
      <c r="BD1895" s="87"/>
      <c r="BE1895" s="87"/>
      <c r="BF1895" s="87"/>
      <c r="BG1895" s="87"/>
      <c r="BH1895" s="87"/>
    </row>
    <row r="1896" spans="23:60" x14ac:dyDescent="0.3">
      <c r="W1896" s="87"/>
      <c r="X1896" s="87"/>
      <c r="Y1896" s="87"/>
      <c r="Z1896" s="87"/>
      <c r="AA1896" s="87"/>
      <c r="AB1896" s="87"/>
      <c r="AM1896" s="87"/>
      <c r="AN1896" s="87"/>
      <c r="AO1896" s="87"/>
      <c r="AP1896" s="87"/>
      <c r="AQ1896" s="87"/>
      <c r="AR1896" s="87"/>
      <c r="BC1896" s="87"/>
      <c r="BD1896" s="87"/>
      <c r="BE1896" s="87"/>
      <c r="BF1896" s="87"/>
      <c r="BG1896" s="87"/>
      <c r="BH1896" s="87"/>
    </row>
    <row r="1897" spans="23:60" x14ac:dyDescent="0.3">
      <c r="W1897" s="87"/>
      <c r="X1897" s="87"/>
      <c r="Y1897" s="87"/>
      <c r="Z1897" s="87"/>
      <c r="AA1897" s="87"/>
      <c r="AB1897" s="87"/>
      <c r="AM1897" s="87"/>
      <c r="AN1897" s="87"/>
      <c r="AO1897" s="87"/>
      <c r="AP1897" s="87"/>
      <c r="AQ1897" s="87"/>
      <c r="AR1897" s="87"/>
      <c r="BC1897" s="87"/>
      <c r="BD1897" s="87"/>
      <c r="BE1897" s="87"/>
      <c r="BF1897" s="87"/>
      <c r="BG1897" s="87"/>
      <c r="BH1897" s="87"/>
    </row>
    <row r="1898" spans="23:60" x14ac:dyDescent="0.3">
      <c r="W1898" s="87"/>
      <c r="X1898" s="87"/>
      <c r="Y1898" s="87"/>
      <c r="Z1898" s="87"/>
      <c r="AA1898" s="87"/>
      <c r="AB1898" s="87"/>
      <c r="AM1898" s="87"/>
      <c r="AN1898" s="87"/>
      <c r="AO1898" s="87"/>
      <c r="AP1898" s="87"/>
      <c r="AQ1898" s="87"/>
      <c r="AR1898" s="87"/>
      <c r="BC1898" s="87"/>
      <c r="BD1898" s="87"/>
      <c r="BE1898" s="87"/>
      <c r="BF1898" s="87"/>
      <c r="BG1898" s="87"/>
      <c r="BH1898" s="87"/>
    </row>
    <row r="1899" spans="23:60" x14ac:dyDescent="0.3">
      <c r="W1899" s="87"/>
      <c r="X1899" s="87"/>
      <c r="Y1899" s="87"/>
      <c r="Z1899" s="87"/>
      <c r="AA1899" s="87"/>
      <c r="AB1899" s="87"/>
      <c r="AM1899" s="87"/>
      <c r="AN1899" s="87"/>
      <c r="AO1899" s="87"/>
      <c r="AP1899" s="87"/>
      <c r="AQ1899" s="87"/>
      <c r="AR1899" s="87"/>
      <c r="BC1899" s="87"/>
      <c r="BD1899" s="87"/>
      <c r="BE1899" s="87"/>
      <c r="BF1899" s="87"/>
      <c r="BG1899" s="87"/>
      <c r="BH1899" s="87"/>
    </row>
    <row r="1900" spans="23:60" x14ac:dyDescent="0.3">
      <c r="W1900" s="87"/>
      <c r="X1900" s="87"/>
      <c r="Y1900" s="87"/>
      <c r="Z1900" s="87"/>
      <c r="AA1900" s="87"/>
      <c r="AB1900" s="87"/>
      <c r="AM1900" s="87"/>
      <c r="AN1900" s="87"/>
      <c r="AO1900" s="87"/>
      <c r="AP1900" s="87"/>
      <c r="AQ1900" s="87"/>
      <c r="AR1900" s="87"/>
      <c r="BC1900" s="87"/>
      <c r="BD1900" s="87"/>
      <c r="BE1900" s="87"/>
      <c r="BF1900" s="87"/>
      <c r="BG1900" s="87"/>
      <c r="BH1900" s="87"/>
    </row>
    <row r="1901" spans="23:60" x14ac:dyDescent="0.3">
      <c r="W1901" s="87"/>
      <c r="X1901" s="87"/>
      <c r="Y1901" s="87"/>
      <c r="Z1901" s="87"/>
      <c r="AA1901" s="87"/>
      <c r="AB1901" s="87"/>
      <c r="AM1901" s="87"/>
      <c r="AN1901" s="87"/>
      <c r="AO1901" s="87"/>
      <c r="AP1901" s="87"/>
      <c r="AQ1901" s="87"/>
      <c r="AR1901" s="87"/>
      <c r="BC1901" s="87"/>
      <c r="BD1901" s="87"/>
      <c r="BE1901" s="87"/>
      <c r="BF1901" s="87"/>
      <c r="BG1901" s="87"/>
      <c r="BH1901" s="87"/>
    </row>
    <row r="1902" spans="23:60" x14ac:dyDescent="0.3">
      <c r="W1902" s="87"/>
      <c r="X1902" s="87"/>
      <c r="Y1902" s="87"/>
      <c r="Z1902" s="87"/>
      <c r="AA1902" s="87"/>
      <c r="AB1902" s="87"/>
      <c r="AM1902" s="87"/>
      <c r="AN1902" s="87"/>
      <c r="AO1902" s="87"/>
      <c r="AP1902" s="87"/>
      <c r="AQ1902" s="87"/>
      <c r="AR1902" s="87"/>
      <c r="BC1902" s="87"/>
      <c r="BD1902" s="87"/>
      <c r="BE1902" s="87"/>
      <c r="BF1902" s="87"/>
      <c r="BG1902" s="87"/>
      <c r="BH1902" s="87"/>
    </row>
    <row r="1903" spans="23:60" x14ac:dyDescent="0.3">
      <c r="W1903" s="87"/>
      <c r="X1903" s="87"/>
      <c r="Y1903" s="87"/>
      <c r="Z1903" s="87"/>
      <c r="AA1903" s="87"/>
      <c r="AB1903" s="87"/>
      <c r="AM1903" s="87"/>
      <c r="AN1903" s="87"/>
      <c r="AO1903" s="87"/>
      <c r="AP1903" s="87"/>
      <c r="AQ1903" s="87"/>
      <c r="AR1903" s="87"/>
      <c r="BC1903" s="87"/>
      <c r="BD1903" s="87"/>
      <c r="BE1903" s="87"/>
      <c r="BF1903" s="87"/>
      <c r="BG1903" s="87"/>
      <c r="BH1903" s="87"/>
    </row>
    <row r="1904" spans="23:60" x14ac:dyDescent="0.3">
      <c r="W1904" s="87"/>
      <c r="X1904" s="87"/>
      <c r="Y1904" s="87"/>
      <c r="Z1904" s="87"/>
      <c r="AA1904" s="87"/>
      <c r="AB1904" s="87"/>
      <c r="AM1904" s="87"/>
      <c r="AN1904" s="87"/>
      <c r="AO1904" s="87"/>
      <c r="AP1904" s="87"/>
      <c r="AQ1904" s="87"/>
      <c r="AR1904" s="87"/>
      <c r="BC1904" s="87"/>
      <c r="BD1904" s="87"/>
      <c r="BE1904" s="87"/>
      <c r="BF1904" s="87"/>
      <c r="BG1904" s="87"/>
      <c r="BH1904" s="87"/>
    </row>
    <row r="1905" spans="23:60" x14ac:dyDescent="0.3">
      <c r="W1905" s="87"/>
      <c r="X1905" s="87"/>
      <c r="Y1905" s="87"/>
      <c r="Z1905" s="87"/>
      <c r="AA1905" s="87"/>
      <c r="AB1905" s="87"/>
      <c r="AM1905" s="87"/>
      <c r="AN1905" s="87"/>
      <c r="AO1905" s="87"/>
      <c r="AP1905" s="87"/>
      <c r="AQ1905" s="87"/>
      <c r="AR1905" s="87"/>
      <c r="BC1905" s="87"/>
      <c r="BD1905" s="87"/>
      <c r="BE1905" s="87"/>
      <c r="BF1905" s="87"/>
      <c r="BG1905" s="87"/>
      <c r="BH1905" s="87"/>
    </row>
    <row r="1906" spans="23:60" x14ac:dyDescent="0.3">
      <c r="W1906" s="87"/>
      <c r="X1906" s="87"/>
      <c r="Y1906" s="87"/>
      <c r="Z1906" s="87"/>
      <c r="AA1906" s="87"/>
      <c r="AB1906" s="87"/>
      <c r="AM1906" s="87"/>
      <c r="AN1906" s="87"/>
      <c r="AO1906" s="87"/>
      <c r="AP1906" s="87"/>
      <c r="AQ1906" s="87"/>
      <c r="AR1906" s="87"/>
      <c r="BC1906" s="87"/>
      <c r="BD1906" s="87"/>
      <c r="BE1906" s="87"/>
      <c r="BF1906" s="87"/>
      <c r="BG1906" s="87"/>
      <c r="BH1906" s="87"/>
    </row>
    <row r="1907" spans="23:60" x14ac:dyDescent="0.3">
      <c r="W1907" s="87"/>
      <c r="X1907" s="87"/>
      <c r="Y1907" s="87"/>
      <c r="Z1907" s="87"/>
      <c r="AA1907" s="87"/>
      <c r="AB1907" s="87"/>
      <c r="AM1907" s="87"/>
      <c r="AN1907" s="87"/>
      <c r="AO1907" s="87"/>
      <c r="AP1907" s="87"/>
      <c r="AQ1907" s="87"/>
      <c r="AR1907" s="87"/>
      <c r="BC1907" s="87"/>
      <c r="BD1907" s="87"/>
      <c r="BE1907" s="87"/>
      <c r="BF1907" s="87"/>
      <c r="BG1907" s="87"/>
      <c r="BH1907" s="87"/>
    </row>
    <row r="1908" spans="23:60" x14ac:dyDescent="0.3">
      <c r="W1908" s="87"/>
      <c r="X1908" s="87"/>
      <c r="Y1908" s="87"/>
      <c r="Z1908" s="87"/>
      <c r="AA1908" s="87"/>
      <c r="AB1908" s="87"/>
      <c r="AM1908" s="87"/>
      <c r="AN1908" s="87"/>
      <c r="AO1908" s="87"/>
      <c r="AP1908" s="87"/>
      <c r="AQ1908" s="87"/>
      <c r="AR1908" s="87"/>
      <c r="BC1908" s="87"/>
      <c r="BD1908" s="87"/>
      <c r="BE1908" s="87"/>
      <c r="BF1908" s="87"/>
      <c r="BG1908" s="87"/>
      <c r="BH1908" s="87"/>
    </row>
    <row r="1909" spans="23:60" x14ac:dyDescent="0.3">
      <c r="W1909" s="87"/>
      <c r="X1909" s="87"/>
      <c r="Y1909" s="87"/>
      <c r="Z1909" s="87"/>
      <c r="AA1909" s="87"/>
      <c r="AB1909" s="87"/>
      <c r="AM1909" s="87"/>
      <c r="AN1909" s="87"/>
      <c r="AO1909" s="87"/>
      <c r="AP1909" s="87"/>
      <c r="AQ1909" s="87"/>
      <c r="AR1909" s="87"/>
      <c r="BC1909" s="87"/>
      <c r="BD1909" s="87"/>
      <c r="BE1909" s="87"/>
      <c r="BF1909" s="87"/>
      <c r="BG1909" s="87"/>
      <c r="BH1909" s="87"/>
    </row>
    <row r="1910" spans="23:60" x14ac:dyDescent="0.3">
      <c r="W1910" s="87"/>
      <c r="X1910" s="87"/>
      <c r="Y1910" s="87"/>
      <c r="Z1910" s="87"/>
      <c r="AA1910" s="87"/>
      <c r="AB1910" s="87"/>
      <c r="AM1910" s="87"/>
      <c r="AN1910" s="87"/>
      <c r="AO1910" s="87"/>
      <c r="AP1910" s="87"/>
      <c r="AQ1910" s="87"/>
      <c r="AR1910" s="87"/>
      <c r="BC1910" s="87"/>
      <c r="BD1910" s="87"/>
      <c r="BE1910" s="87"/>
      <c r="BF1910" s="87"/>
      <c r="BG1910" s="87"/>
      <c r="BH1910" s="87"/>
    </row>
    <row r="1911" spans="23:60" x14ac:dyDescent="0.3">
      <c r="W1911" s="87"/>
      <c r="X1911" s="87"/>
      <c r="Y1911" s="87"/>
      <c r="Z1911" s="87"/>
      <c r="AA1911" s="87"/>
      <c r="AB1911" s="87"/>
      <c r="AM1911" s="87"/>
      <c r="AN1911" s="87"/>
      <c r="AO1911" s="87"/>
      <c r="AP1911" s="87"/>
      <c r="AQ1911" s="87"/>
      <c r="AR1911" s="87"/>
      <c r="BC1911" s="87"/>
      <c r="BD1911" s="87"/>
      <c r="BE1911" s="87"/>
      <c r="BF1911" s="87"/>
      <c r="BG1911" s="87"/>
      <c r="BH1911" s="87"/>
    </row>
    <row r="1912" spans="23:60" x14ac:dyDescent="0.3">
      <c r="W1912" s="87"/>
      <c r="X1912" s="87"/>
      <c r="Y1912" s="87"/>
      <c r="Z1912" s="87"/>
      <c r="AA1912" s="87"/>
      <c r="AB1912" s="87"/>
      <c r="AM1912" s="87"/>
      <c r="AN1912" s="87"/>
      <c r="AO1912" s="87"/>
      <c r="AP1912" s="87"/>
      <c r="AQ1912" s="87"/>
      <c r="AR1912" s="87"/>
      <c r="BC1912" s="87"/>
      <c r="BD1912" s="87"/>
      <c r="BE1912" s="87"/>
      <c r="BF1912" s="87"/>
      <c r="BG1912" s="87"/>
      <c r="BH1912" s="87"/>
    </row>
    <row r="1913" spans="23:60" x14ac:dyDescent="0.3">
      <c r="W1913" s="87"/>
      <c r="X1913" s="87"/>
      <c r="Y1913" s="87"/>
      <c r="Z1913" s="87"/>
      <c r="AA1913" s="87"/>
      <c r="AB1913" s="87"/>
      <c r="AM1913" s="87"/>
      <c r="AN1913" s="87"/>
      <c r="AO1913" s="87"/>
      <c r="AP1913" s="87"/>
      <c r="AQ1913" s="87"/>
      <c r="AR1913" s="87"/>
      <c r="BC1913" s="87"/>
      <c r="BD1913" s="87"/>
      <c r="BE1913" s="87"/>
      <c r="BF1913" s="87"/>
      <c r="BG1913" s="87"/>
      <c r="BH1913" s="87"/>
    </row>
    <row r="1914" spans="23:60" x14ac:dyDescent="0.3">
      <c r="W1914" s="87"/>
      <c r="X1914" s="87"/>
      <c r="Y1914" s="87"/>
      <c r="Z1914" s="87"/>
      <c r="AA1914" s="87"/>
      <c r="AB1914" s="87"/>
      <c r="AM1914" s="87"/>
      <c r="AN1914" s="87"/>
      <c r="AO1914" s="87"/>
      <c r="AP1914" s="87"/>
      <c r="AQ1914" s="87"/>
      <c r="AR1914" s="87"/>
      <c r="BC1914" s="87"/>
      <c r="BD1914" s="87"/>
      <c r="BE1914" s="87"/>
      <c r="BF1914" s="87"/>
      <c r="BG1914" s="87"/>
      <c r="BH1914" s="87"/>
    </row>
    <row r="1915" spans="23:60" x14ac:dyDescent="0.3">
      <c r="W1915" s="87"/>
      <c r="X1915" s="87"/>
      <c r="Y1915" s="87"/>
      <c r="Z1915" s="87"/>
      <c r="AA1915" s="87"/>
      <c r="AB1915" s="87"/>
      <c r="AM1915" s="87"/>
      <c r="AN1915" s="87"/>
      <c r="AO1915" s="87"/>
      <c r="AP1915" s="87"/>
      <c r="AQ1915" s="87"/>
      <c r="AR1915" s="87"/>
      <c r="BC1915" s="87"/>
      <c r="BD1915" s="87"/>
      <c r="BE1915" s="87"/>
      <c r="BF1915" s="87"/>
      <c r="BG1915" s="87"/>
      <c r="BH1915" s="87"/>
    </row>
    <row r="1916" spans="23:60" x14ac:dyDescent="0.3">
      <c r="W1916" s="87"/>
      <c r="X1916" s="87"/>
      <c r="Y1916" s="87"/>
      <c r="Z1916" s="87"/>
      <c r="AA1916" s="87"/>
      <c r="AB1916" s="87"/>
      <c r="AM1916" s="87"/>
      <c r="AN1916" s="87"/>
      <c r="AO1916" s="87"/>
      <c r="AP1916" s="87"/>
      <c r="AQ1916" s="87"/>
      <c r="AR1916" s="87"/>
      <c r="BC1916" s="87"/>
      <c r="BD1916" s="87"/>
      <c r="BE1916" s="87"/>
      <c r="BF1916" s="87"/>
      <c r="BG1916" s="87"/>
      <c r="BH1916" s="87"/>
    </row>
    <row r="1917" spans="23:60" x14ac:dyDescent="0.3">
      <c r="W1917" s="87"/>
      <c r="X1917" s="87"/>
      <c r="Y1917" s="87"/>
      <c r="Z1917" s="87"/>
      <c r="AA1917" s="87"/>
      <c r="AB1917" s="87"/>
      <c r="AM1917" s="87"/>
      <c r="AN1917" s="87"/>
      <c r="AO1917" s="87"/>
      <c r="AP1917" s="87"/>
      <c r="AQ1917" s="87"/>
      <c r="AR1917" s="87"/>
      <c r="BC1917" s="87"/>
      <c r="BD1917" s="87"/>
      <c r="BE1917" s="87"/>
      <c r="BF1917" s="87"/>
      <c r="BG1917" s="87"/>
      <c r="BH1917" s="87"/>
    </row>
    <row r="1918" spans="23:60" x14ac:dyDescent="0.3">
      <c r="W1918" s="87"/>
      <c r="X1918" s="87"/>
      <c r="Y1918" s="87"/>
      <c r="Z1918" s="87"/>
      <c r="AA1918" s="87"/>
      <c r="AB1918" s="87"/>
      <c r="AM1918" s="87"/>
      <c r="AN1918" s="87"/>
      <c r="AO1918" s="87"/>
      <c r="AP1918" s="87"/>
      <c r="AQ1918" s="87"/>
      <c r="AR1918" s="87"/>
      <c r="BC1918" s="87"/>
      <c r="BD1918" s="87"/>
      <c r="BE1918" s="87"/>
      <c r="BF1918" s="87"/>
      <c r="BG1918" s="87"/>
      <c r="BH1918" s="87"/>
    </row>
    <row r="1919" spans="23:60" x14ac:dyDescent="0.3">
      <c r="W1919" s="87"/>
      <c r="X1919" s="87"/>
      <c r="Y1919" s="87"/>
      <c r="Z1919" s="87"/>
      <c r="AA1919" s="87"/>
      <c r="AB1919" s="87"/>
      <c r="AM1919" s="87"/>
      <c r="AN1919" s="87"/>
      <c r="AO1919" s="87"/>
      <c r="AP1919" s="87"/>
      <c r="AQ1919" s="87"/>
      <c r="AR1919" s="87"/>
      <c r="BC1919" s="87"/>
      <c r="BD1919" s="87"/>
      <c r="BE1919" s="87"/>
      <c r="BF1919" s="87"/>
      <c r="BG1919" s="87"/>
      <c r="BH1919" s="87"/>
    </row>
    <row r="1920" spans="23:60" x14ac:dyDescent="0.3">
      <c r="W1920" s="87"/>
      <c r="X1920" s="87"/>
      <c r="Y1920" s="87"/>
      <c r="Z1920" s="87"/>
      <c r="AA1920" s="87"/>
      <c r="AB1920" s="87"/>
      <c r="AM1920" s="87"/>
      <c r="AN1920" s="87"/>
      <c r="AO1920" s="87"/>
      <c r="AP1920" s="87"/>
      <c r="AQ1920" s="87"/>
      <c r="AR1920" s="87"/>
      <c r="BC1920" s="87"/>
      <c r="BD1920" s="87"/>
      <c r="BE1920" s="87"/>
      <c r="BF1920" s="87"/>
      <c r="BG1920" s="87"/>
      <c r="BH1920" s="87"/>
    </row>
    <row r="1921" spans="23:60" x14ac:dyDescent="0.3">
      <c r="W1921" s="87"/>
      <c r="X1921" s="87"/>
      <c r="Y1921" s="87"/>
      <c r="Z1921" s="87"/>
      <c r="AA1921" s="87"/>
      <c r="AB1921" s="87"/>
      <c r="AM1921" s="87"/>
      <c r="AN1921" s="87"/>
      <c r="AO1921" s="87"/>
      <c r="AP1921" s="87"/>
      <c r="AQ1921" s="87"/>
      <c r="AR1921" s="87"/>
      <c r="BC1921" s="87"/>
      <c r="BD1921" s="87"/>
      <c r="BE1921" s="87"/>
      <c r="BF1921" s="87"/>
      <c r="BG1921" s="87"/>
      <c r="BH1921" s="87"/>
    </row>
    <row r="1922" spans="23:60" x14ac:dyDescent="0.3">
      <c r="W1922" s="87"/>
      <c r="X1922" s="87"/>
      <c r="Y1922" s="87"/>
      <c r="Z1922" s="87"/>
      <c r="AA1922" s="87"/>
      <c r="AB1922" s="87"/>
      <c r="AM1922" s="87"/>
      <c r="AN1922" s="87"/>
      <c r="AO1922" s="87"/>
      <c r="AP1922" s="87"/>
      <c r="AQ1922" s="87"/>
      <c r="AR1922" s="87"/>
      <c r="BC1922" s="87"/>
      <c r="BD1922" s="87"/>
      <c r="BE1922" s="87"/>
      <c r="BF1922" s="87"/>
      <c r="BG1922" s="87"/>
      <c r="BH1922" s="87"/>
    </row>
    <row r="1923" spans="23:60" x14ac:dyDescent="0.3">
      <c r="W1923" s="87"/>
      <c r="X1923" s="87"/>
      <c r="Y1923" s="87"/>
      <c r="Z1923" s="87"/>
      <c r="AA1923" s="87"/>
      <c r="AB1923" s="87"/>
      <c r="AM1923" s="87"/>
      <c r="AN1923" s="87"/>
      <c r="AO1923" s="87"/>
      <c r="AP1923" s="87"/>
      <c r="AQ1923" s="87"/>
      <c r="AR1923" s="87"/>
      <c r="BC1923" s="87"/>
      <c r="BD1923" s="87"/>
      <c r="BE1923" s="87"/>
      <c r="BF1923" s="87"/>
      <c r="BG1923" s="87"/>
      <c r="BH1923" s="87"/>
    </row>
    <row r="1924" spans="23:60" x14ac:dyDescent="0.3">
      <c r="W1924" s="87"/>
      <c r="X1924" s="87"/>
      <c r="Y1924" s="87"/>
      <c r="Z1924" s="87"/>
      <c r="AA1924" s="87"/>
      <c r="AB1924" s="87"/>
      <c r="AM1924" s="87"/>
      <c r="AN1924" s="87"/>
      <c r="AO1924" s="87"/>
      <c r="AP1924" s="87"/>
      <c r="AQ1924" s="87"/>
      <c r="AR1924" s="87"/>
      <c r="BC1924" s="87"/>
      <c r="BD1924" s="87"/>
      <c r="BE1924" s="87"/>
      <c r="BF1924" s="87"/>
      <c r="BG1924" s="87"/>
      <c r="BH1924" s="87"/>
    </row>
    <row r="1925" spans="23:60" x14ac:dyDescent="0.3">
      <c r="W1925" s="87"/>
      <c r="X1925" s="87"/>
      <c r="Y1925" s="87"/>
      <c r="Z1925" s="87"/>
      <c r="AA1925" s="87"/>
      <c r="AB1925" s="87"/>
      <c r="AM1925" s="87"/>
      <c r="AN1925" s="87"/>
      <c r="AO1925" s="87"/>
      <c r="AP1925" s="87"/>
      <c r="AQ1925" s="87"/>
      <c r="AR1925" s="87"/>
      <c r="BC1925" s="87"/>
      <c r="BD1925" s="87"/>
      <c r="BE1925" s="87"/>
      <c r="BF1925" s="87"/>
      <c r="BG1925" s="87"/>
      <c r="BH1925" s="87"/>
    </row>
    <row r="1926" spans="23:60" x14ac:dyDescent="0.3">
      <c r="W1926" s="87"/>
      <c r="X1926" s="87"/>
      <c r="Y1926" s="87"/>
      <c r="Z1926" s="87"/>
      <c r="AA1926" s="87"/>
      <c r="AB1926" s="87"/>
      <c r="AM1926" s="87"/>
      <c r="AN1926" s="87"/>
      <c r="AO1926" s="87"/>
      <c r="AP1926" s="87"/>
      <c r="AQ1926" s="87"/>
      <c r="AR1926" s="87"/>
      <c r="BC1926" s="87"/>
      <c r="BD1926" s="87"/>
      <c r="BE1926" s="87"/>
      <c r="BF1926" s="87"/>
      <c r="BG1926" s="87"/>
      <c r="BH1926" s="87"/>
    </row>
    <row r="1927" spans="23:60" x14ac:dyDescent="0.3">
      <c r="W1927" s="87"/>
      <c r="X1927" s="87"/>
      <c r="Y1927" s="87"/>
      <c r="Z1927" s="87"/>
      <c r="AA1927" s="87"/>
      <c r="AB1927" s="87"/>
      <c r="AM1927" s="87"/>
      <c r="AN1927" s="87"/>
      <c r="AO1927" s="87"/>
      <c r="AP1927" s="87"/>
      <c r="AQ1927" s="87"/>
      <c r="AR1927" s="87"/>
      <c r="BC1927" s="87"/>
      <c r="BD1927" s="87"/>
      <c r="BE1927" s="87"/>
      <c r="BF1927" s="87"/>
      <c r="BG1927" s="87"/>
      <c r="BH1927" s="87"/>
    </row>
    <row r="1928" spans="23:60" x14ac:dyDescent="0.3">
      <c r="W1928" s="87"/>
      <c r="X1928" s="87"/>
      <c r="Y1928" s="87"/>
      <c r="Z1928" s="87"/>
      <c r="AA1928" s="87"/>
      <c r="AB1928" s="87"/>
      <c r="AM1928" s="87"/>
      <c r="AN1928" s="87"/>
      <c r="AO1928" s="87"/>
      <c r="AP1928" s="87"/>
      <c r="AQ1928" s="87"/>
      <c r="AR1928" s="87"/>
      <c r="BC1928" s="87"/>
      <c r="BD1928" s="87"/>
      <c r="BE1928" s="87"/>
      <c r="BF1928" s="87"/>
      <c r="BG1928" s="87"/>
      <c r="BH1928" s="87"/>
    </row>
    <row r="1929" spans="23:60" x14ac:dyDescent="0.3">
      <c r="W1929" s="87"/>
      <c r="X1929" s="87"/>
      <c r="Y1929" s="87"/>
      <c r="Z1929" s="87"/>
      <c r="AA1929" s="87"/>
      <c r="AB1929" s="87"/>
      <c r="AM1929" s="87"/>
      <c r="AN1929" s="87"/>
      <c r="AO1929" s="87"/>
      <c r="AP1929" s="87"/>
      <c r="AQ1929" s="87"/>
      <c r="AR1929" s="87"/>
      <c r="BC1929" s="87"/>
      <c r="BD1929" s="87"/>
      <c r="BE1929" s="87"/>
      <c r="BF1929" s="87"/>
      <c r="BG1929" s="87"/>
      <c r="BH1929" s="87"/>
    </row>
    <row r="1930" spans="23:60" x14ac:dyDescent="0.3">
      <c r="W1930" s="87"/>
      <c r="X1930" s="87"/>
      <c r="Y1930" s="87"/>
      <c r="Z1930" s="87"/>
      <c r="AA1930" s="87"/>
      <c r="AB1930" s="87"/>
      <c r="AM1930" s="87"/>
      <c r="AN1930" s="87"/>
      <c r="AO1930" s="87"/>
      <c r="AP1930" s="87"/>
      <c r="AQ1930" s="87"/>
      <c r="AR1930" s="87"/>
      <c r="BC1930" s="87"/>
      <c r="BD1930" s="87"/>
      <c r="BE1930" s="87"/>
      <c r="BF1930" s="87"/>
      <c r="BG1930" s="87"/>
      <c r="BH1930" s="87"/>
    </row>
    <row r="1931" spans="23:60" x14ac:dyDescent="0.3">
      <c r="W1931" s="87"/>
      <c r="X1931" s="87"/>
      <c r="Y1931" s="87"/>
      <c r="Z1931" s="87"/>
      <c r="AA1931" s="87"/>
      <c r="AB1931" s="87"/>
      <c r="AM1931" s="87"/>
      <c r="AN1931" s="87"/>
      <c r="AO1931" s="87"/>
      <c r="AP1931" s="87"/>
      <c r="AQ1931" s="87"/>
      <c r="AR1931" s="87"/>
      <c r="BC1931" s="87"/>
      <c r="BD1931" s="87"/>
      <c r="BE1931" s="87"/>
      <c r="BF1931" s="87"/>
      <c r="BG1931" s="87"/>
      <c r="BH1931" s="87"/>
    </row>
    <row r="1932" spans="23:60" x14ac:dyDescent="0.3">
      <c r="W1932" s="87"/>
      <c r="X1932" s="87"/>
      <c r="Y1932" s="87"/>
      <c r="Z1932" s="87"/>
      <c r="AA1932" s="87"/>
      <c r="AB1932" s="87"/>
      <c r="AM1932" s="87"/>
      <c r="AN1932" s="87"/>
      <c r="AO1932" s="87"/>
      <c r="AP1932" s="87"/>
      <c r="AQ1932" s="87"/>
      <c r="AR1932" s="87"/>
      <c r="BC1932" s="87"/>
      <c r="BD1932" s="87"/>
      <c r="BE1932" s="87"/>
      <c r="BF1932" s="87"/>
      <c r="BG1932" s="87"/>
      <c r="BH1932" s="87"/>
    </row>
    <row r="1933" spans="23:60" x14ac:dyDescent="0.3">
      <c r="W1933" s="87"/>
      <c r="X1933" s="87"/>
      <c r="Y1933" s="87"/>
      <c r="Z1933" s="87"/>
      <c r="AA1933" s="87"/>
      <c r="AB1933" s="87"/>
      <c r="AM1933" s="87"/>
      <c r="AN1933" s="87"/>
      <c r="AO1933" s="87"/>
      <c r="AP1933" s="87"/>
      <c r="AQ1933" s="87"/>
      <c r="AR1933" s="87"/>
      <c r="BC1933" s="87"/>
      <c r="BD1933" s="87"/>
      <c r="BE1933" s="87"/>
      <c r="BF1933" s="87"/>
      <c r="BG1933" s="87"/>
      <c r="BH1933" s="87"/>
    </row>
    <row r="1934" spans="23:60" x14ac:dyDescent="0.3">
      <c r="W1934" s="87"/>
      <c r="X1934" s="87"/>
      <c r="Y1934" s="87"/>
      <c r="Z1934" s="87"/>
      <c r="AA1934" s="87"/>
      <c r="AB1934" s="87"/>
      <c r="AM1934" s="87"/>
      <c r="AN1934" s="87"/>
      <c r="AO1934" s="87"/>
      <c r="AP1934" s="87"/>
      <c r="AQ1934" s="87"/>
      <c r="AR1934" s="87"/>
      <c r="BC1934" s="87"/>
      <c r="BD1934" s="87"/>
      <c r="BE1934" s="87"/>
      <c r="BF1934" s="87"/>
      <c r="BG1934" s="87"/>
      <c r="BH1934" s="87"/>
    </row>
    <row r="1935" spans="23:60" x14ac:dyDescent="0.3">
      <c r="W1935" s="87"/>
      <c r="X1935" s="87"/>
      <c r="Y1935" s="87"/>
      <c r="Z1935" s="87"/>
      <c r="AA1935" s="87"/>
      <c r="AB1935" s="87"/>
      <c r="AM1935" s="87"/>
      <c r="AN1935" s="87"/>
      <c r="AO1935" s="87"/>
      <c r="AP1935" s="87"/>
      <c r="AQ1935" s="87"/>
      <c r="AR1935" s="87"/>
      <c r="BC1935" s="87"/>
      <c r="BD1935" s="87"/>
      <c r="BE1935" s="87"/>
      <c r="BF1935" s="87"/>
      <c r="BG1935" s="87"/>
      <c r="BH1935" s="87"/>
    </row>
    <row r="1936" spans="23:60" x14ac:dyDescent="0.3">
      <c r="W1936" s="87"/>
      <c r="X1936" s="87"/>
      <c r="Y1936" s="87"/>
      <c r="Z1936" s="87"/>
      <c r="AA1936" s="87"/>
      <c r="AB1936" s="87"/>
      <c r="AM1936" s="87"/>
      <c r="AN1936" s="87"/>
      <c r="AO1936" s="87"/>
      <c r="AP1936" s="87"/>
      <c r="AQ1936" s="87"/>
      <c r="AR1936" s="87"/>
      <c r="BC1936" s="87"/>
      <c r="BD1936" s="87"/>
      <c r="BE1936" s="87"/>
      <c r="BF1936" s="87"/>
      <c r="BG1936" s="87"/>
      <c r="BH1936" s="87"/>
    </row>
    <row r="1937" spans="23:60" x14ac:dyDescent="0.3">
      <c r="W1937" s="87"/>
      <c r="X1937" s="87"/>
      <c r="Y1937" s="87"/>
      <c r="Z1937" s="87"/>
      <c r="AA1937" s="87"/>
      <c r="AB1937" s="87"/>
      <c r="AM1937" s="87"/>
      <c r="AN1937" s="87"/>
      <c r="AO1937" s="87"/>
      <c r="AP1937" s="87"/>
      <c r="AQ1937" s="87"/>
      <c r="AR1937" s="87"/>
      <c r="BC1937" s="87"/>
      <c r="BD1937" s="87"/>
      <c r="BE1937" s="87"/>
      <c r="BF1937" s="87"/>
      <c r="BG1937" s="87"/>
      <c r="BH1937" s="87"/>
    </row>
    <row r="1938" spans="23:60" x14ac:dyDescent="0.3">
      <c r="W1938" s="87"/>
      <c r="X1938" s="87"/>
      <c r="Y1938" s="87"/>
      <c r="Z1938" s="87"/>
      <c r="AA1938" s="87"/>
      <c r="AB1938" s="87"/>
      <c r="AM1938" s="87"/>
      <c r="AN1938" s="87"/>
      <c r="AO1938" s="87"/>
      <c r="AP1938" s="87"/>
      <c r="AQ1938" s="87"/>
      <c r="AR1938" s="87"/>
      <c r="BC1938" s="87"/>
      <c r="BD1938" s="87"/>
      <c r="BE1938" s="87"/>
      <c r="BF1938" s="87"/>
      <c r="BG1938" s="87"/>
      <c r="BH1938" s="87"/>
    </row>
    <row r="1939" spans="23:60" x14ac:dyDescent="0.3">
      <c r="W1939" s="87"/>
      <c r="X1939" s="87"/>
      <c r="Y1939" s="87"/>
      <c r="Z1939" s="87"/>
      <c r="AA1939" s="87"/>
      <c r="AB1939" s="87"/>
      <c r="AM1939" s="87"/>
      <c r="AN1939" s="87"/>
      <c r="AO1939" s="87"/>
      <c r="AP1939" s="87"/>
      <c r="AQ1939" s="87"/>
      <c r="AR1939" s="87"/>
      <c r="BC1939" s="87"/>
      <c r="BD1939" s="87"/>
      <c r="BE1939" s="87"/>
      <c r="BF1939" s="87"/>
      <c r="BG1939" s="87"/>
      <c r="BH1939" s="87"/>
    </row>
    <row r="1940" spans="23:60" x14ac:dyDescent="0.3">
      <c r="W1940" s="87"/>
      <c r="X1940" s="87"/>
      <c r="Y1940" s="87"/>
      <c r="Z1940" s="87"/>
      <c r="AA1940" s="87"/>
      <c r="AB1940" s="87"/>
      <c r="AM1940" s="87"/>
      <c r="AN1940" s="87"/>
      <c r="AO1940" s="87"/>
      <c r="AP1940" s="87"/>
      <c r="AQ1940" s="87"/>
      <c r="AR1940" s="87"/>
      <c r="BC1940" s="87"/>
      <c r="BD1940" s="87"/>
      <c r="BE1940" s="87"/>
      <c r="BF1940" s="87"/>
      <c r="BG1940" s="87"/>
      <c r="BH1940" s="87"/>
    </row>
    <row r="1941" spans="23:60" x14ac:dyDescent="0.3">
      <c r="W1941" s="87"/>
      <c r="X1941" s="87"/>
      <c r="Y1941" s="87"/>
      <c r="Z1941" s="87"/>
      <c r="AA1941" s="87"/>
      <c r="AB1941" s="87"/>
      <c r="AM1941" s="87"/>
      <c r="AN1941" s="87"/>
      <c r="AO1941" s="87"/>
      <c r="AP1941" s="87"/>
      <c r="AQ1941" s="87"/>
      <c r="AR1941" s="87"/>
      <c r="BC1941" s="87"/>
      <c r="BD1941" s="87"/>
      <c r="BE1941" s="87"/>
      <c r="BF1941" s="87"/>
      <c r="BG1941" s="87"/>
      <c r="BH1941" s="87"/>
    </row>
    <row r="1942" spans="23:60" x14ac:dyDescent="0.3">
      <c r="W1942" s="87"/>
      <c r="X1942" s="87"/>
      <c r="Y1942" s="87"/>
      <c r="Z1942" s="87"/>
      <c r="AA1942" s="87"/>
      <c r="AB1942" s="87"/>
      <c r="AM1942" s="87"/>
      <c r="AN1942" s="87"/>
      <c r="AO1942" s="87"/>
      <c r="AP1942" s="87"/>
      <c r="AQ1942" s="87"/>
      <c r="AR1942" s="87"/>
      <c r="BC1942" s="87"/>
      <c r="BD1942" s="87"/>
      <c r="BE1942" s="87"/>
      <c r="BF1942" s="87"/>
      <c r="BG1942" s="87"/>
      <c r="BH1942" s="87"/>
    </row>
    <row r="1943" spans="23:60" x14ac:dyDescent="0.3">
      <c r="W1943" s="87"/>
      <c r="X1943" s="87"/>
      <c r="Y1943" s="87"/>
      <c r="Z1943" s="87"/>
      <c r="AA1943" s="87"/>
      <c r="AB1943" s="87"/>
      <c r="AM1943" s="87"/>
      <c r="AN1943" s="87"/>
      <c r="AO1943" s="87"/>
      <c r="AP1943" s="87"/>
      <c r="AQ1943" s="87"/>
      <c r="AR1943" s="87"/>
      <c r="BC1943" s="87"/>
      <c r="BD1943" s="87"/>
      <c r="BE1943" s="87"/>
      <c r="BF1943" s="87"/>
      <c r="BG1943" s="87"/>
      <c r="BH1943" s="87"/>
    </row>
    <row r="1944" spans="23:60" x14ac:dyDescent="0.3">
      <c r="W1944" s="87"/>
      <c r="X1944" s="87"/>
      <c r="Y1944" s="87"/>
      <c r="Z1944" s="87"/>
      <c r="AA1944" s="87"/>
      <c r="AB1944" s="87"/>
      <c r="AM1944" s="87"/>
      <c r="AN1944" s="87"/>
      <c r="AO1944" s="87"/>
      <c r="AP1944" s="87"/>
      <c r="AQ1944" s="87"/>
      <c r="AR1944" s="87"/>
      <c r="BC1944" s="87"/>
      <c r="BD1944" s="87"/>
      <c r="BE1944" s="87"/>
      <c r="BF1944" s="87"/>
      <c r="BG1944" s="87"/>
      <c r="BH1944" s="87"/>
    </row>
    <row r="1945" spans="23:60" x14ac:dyDescent="0.3">
      <c r="W1945" s="87"/>
      <c r="X1945" s="87"/>
      <c r="Y1945" s="87"/>
      <c r="Z1945" s="87"/>
      <c r="AA1945" s="87"/>
      <c r="AB1945" s="87"/>
      <c r="AM1945" s="87"/>
      <c r="AN1945" s="87"/>
      <c r="AO1945" s="87"/>
      <c r="AP1945" s="87"/>
      <c r="AQ1945" s="87"/>
      <c r="AR1945" s="87"/>
      <c r="BC1945" s="87"/>
      <c r="BD1945" s="87"/>
      <c r="BE1945" s="87"/>
      <c r="BF1945" s="87"/>
      <c r="BG1945" s="87"/>
      <c r="BH1945" s="87"/>
    </row>
    <row r="1946" spans="23:60" x14ac:dyDescent="0.3">
      <c r="W1946" s="87"/>
      <c r="X1946" s="87"/>
      <c r="Y1946" s="87"/>
      <c r="Z1946" s="87"/>
      <c r="AA1946" s="87"/>
      <c r="AB1946" s="87"/>
      <c r="AM1946" s="87"/>
      <c r="AN1946" s="87"/>
      <c r="AO1946" s="87"/>
      <c r="AP1946" s="87"/>
      <c r="AQ1946" s="87"/>
      <c r="AR1946" s="87"/>
      <c r="BC1946" s="87"/>
      <c r="BD1946" s="87"/>
      <c r="BE1946" s="87"/>
      <c r="BF1946" s="87"/>
      <c r="BG1946" s="87"/>
      <c r="BH1946" s="87"/>
    </row>
    <row r="1947" spans="23:60" x14ac:dyDescent="0.3">
      <c r="W1947" s="87"/>
      <c r="X1947" s="87"/>
      <c r="Y1947" s="87"/>
      <c r="Z1947" s="87"/>
      <c r="AA1947" s="87"/>
      <c r="AB1947" s="87"/>
      <c r="AM1947" s="87"/>
      <c r="AN1947" s="87"/>
      <c r="AO1947" s="87"/>
      <c r="AP1947" s="87"/>
      <c r="AQ1947" s="87"/>
      <c r="AR1947" s="87"/>
      <c r="BC1947" s="87"/>
      <c r="BD1947" s="87"/>
      <c r="BE1947" s="87"/>
      <c r="BF1947" s="87"/>
      <c r="BG1947" s="87"/>
      <c r="BH1947" s="87"/>
    </row>
    <row r="1948" spans="23:60" x14ac:dyDescent="0.3">
      <c r="W1948" s="87"/>
      <c r="X1948" s="87"/>
      <c r="Y1948" s="87"/>
      <c r="Z1948" s="87"/>
      <c r="AA1948" s="87"/>
      <c r="AB1948" s="87"/>
      <c r="AM1948" s="87"/>
      <c r="AN1948" s="87"/>
      <c r="AO1948" s="87"/>
      <c r="AP1948" s="87"/>
      <c r="AQ1948" s="87"/>
      <c r="AR1948" s="87"/>
      <c r="BC1948" s="87"/>
      <c r="BD1948" s="87"/>
      <c r="BE1948" s="87"/>
      <c r="BF1948" s="87"/>
      <c r="BG1948" s="87"/>
      <c r="BH1948" s="87"/>
    </row>
    <row r="1949" spans="23:60" x14ac:dyDescent="0.3">
      <c r="W1949" s="87"/>
      <c r="X1949" s="87"/>
      <c r="Y1949" s="87"/>
      <c r="Z1949" s="87"/>
      <c r="AA1949" s="87"/>
      <c r="AB1949" s="87"/>
      <c r="AM1949" s="87"/>
      <c r="AN1949" s="87"/>
      <c r="AO1949" s="87"/>
      <c r="AP1949" s="87"/>
      <c r="AQ1949" s="87"/>
      <c r="AR1949" s="87"/>
      <c r="BC1949" s="87"/>
      <c r="BD1949" s="87"/>
      <c r="BE1949" s="87"/>
      <c r="BF1949" s="87"/>
      <c r="BG1949" s="87"/>
      <c r="BH1949" s="87"/>
    </row>
    <row r="1950" spans="23:60" x14ac:dyDescent="0.3">
      <c r="W1950" s="87"/>
      <c r="X1950" s="87"/>
      <c r="Y1950" s="87"/>
      <c r="Z1950" s="87"/>
      <c r="AA1950" s="87"/>
      <c r="AB1950" s="87"/>
      <c r="AM1950" s="87"/>
      <c r="AN1950" s="87"/>
      <c r="AO1950" s="87"/>
      <c r="AP1950" s="87"/>
      <c r="AQ1950" s="87"/>
      <c r="AR1950" s="87"/>
      <c r="BC1950" s="87"/>
      <c r="BD1950" s="87"/>
      <c r="BE1950" s="87"/>
      <c r="BF1950" s="87"/>
      <c r="BG1950" s="87"/>
      <c r="BH1950" s="87"/>
    </row>
    <row r="1951" spans="23:60" x14ac:dyDescent="0.3">
      <c r="W1951" s="87"/>
      <c r="X1951" s="87"/>
      <c r="Y1951" s="87"/>
      <c r="Z1951" s="87"/>
      <c r="AA1951" s="87"/>
      <c r="AB1951" s="87"/>
      <c r="AM1951" s="87"/>
      <c r="AN1951" s="87"/>
      <c r="AO1951" s="87"/>
      <c r="AP1951" s="87"/>
      <c r="AQ1951" s="87"/>
      <c r="AR1951" s="87"/>
      <c r="BC1951" s="87"/>
      <c r="BD1951" s="87"/>
      <c r="BE1951" s="87"/>
      <c r="BF1951" s="87"/>
      <c r="BG1951" s="87"/>
      <c r="BH1951" s="87"/>
    </row>
    <row r="1952" spans="23:60" x14ac:dyDescent="0.3">
      <c r="W1952" s="87"/>
      <c r="X1952" s="87"/>
      <c r="Y1952" s="87"/>
      <c r="Z1952" s="87"/>
      <c r="AA1952" s="87"/>
      <c r="AB1952" s="87"/>
      <c r="AM1952" s="87"/>
      <c r="AN1952" s="87"/>
      <c r="AO1952" s="87"/>
      <c r="AP1952" s="87"/>
      <c r="AQ1952" s="87"/>
      <c r="AR1952" s="87"/>
      <c r="BC1952" s="87"/>
      <c r="BD1952" s="87"/>
      <c r="BE1952" s="87"/>
      <c r="BF1952" s="87"/>
      <c r="BG1952" s="87"/>
      <c r="BH1952" s="87"/>
    </row>
    <row r="1953" spans="23:60" x14ac:dyDescent="0.3">
      <c r="W1953" s="87"/>
      <c r="X1953" s="87"/>
      <c r="Y1953" s="87"/>
      <c r="Z1953" s="87"/>
      <c r="AA1953" s="87"/>
      <c r="AB1953" s="87"/>
      <c r="AM1953" s="87"/>
      <c r="AN1953" s="87"/>
      <c r="AO1953" s="87"/>
      <c r="AP1953" s="87"/>
      <c r="AQ1953" s="87"/>
      <c r="AR1953" s="87"/>
      <c r="BC1953" s="87"/>
      <c r="BD1953" s="87"/>
      <c r="BE1953" s="87"/>
      <c r="BF1953" s="87"/>
      <c r="BG1953" s="87"/>
      <c r="BH1953" s="87"/>
    </row>
    <row r="1954" spans="23:60" x14ac:dyDescent="0.3">
      <c r="W1954" s="87"/>
      <c r="X1954" s="87"/>
      <c r="Y1954" s="87"/>
      <c r="Z1954" s="87"/>
      <c r="AA1954" s="87"/>
      <c r="AB1954" s="87"/>
      <c r="AM1954" s="87"/>
      <c r="AN1954" s="87"/>
      <c r="AO1954" s="87"/>
      <c r="AP1954" s="87"/>
      <c r="AQ1954" s="87"/>
      <c r="AR1954" s="87"/>
      <c r="BC1954" s="87"/>
      <c r="BD1954" s="87"/>
      <c r="BE1954" s="87"/>
      <c r="BF1954" s="87"/>
      <c r="BG1954" s="87"/>
      <c r="BH1954" s="87"/>
    </row>
    <row r="1955" spans="23:60" x14ac:dyDescent="0.3">
      <c r="W1955" s="87"/>
      <c r="X1955" s="87"/>
      <c r="Y1955" s="87"/>
      <c r="Z1955" s="87"/>
      <c r="AA1955" s="87"/>
      <c r="AB1955" s="87"/>
      <c r="AM1955" s="87"/>
      <c r="AN1955" s="87"/>
      <c r="AO1955" s="87"/>
      <c r="AP1955" s="87"/>
      <c r="AQ1955" s="87"/>
      <c r="AR1955" s="87"/>
      <c r="BC1955" s="87"/>
      <c r="BD1955" s="87"/>
      <c r="BE1955" s="87"/>
      <c r="BF1955" s="87"/>
      <c r="BG1955" s="87"/>
      <c r="BH1955" s="87"/>
    </row>
    <row r="1956" spans="23:60" x14ac:dyDescent="0.3">
      <c r="W1956" s="87"/>
      <c r="X1956" s="87"/>
      <c r="Y1956" s="87"/>
      <c r="Z1956" s="87"/>
      <c r="AA1956" s="87"/>
      <c r="AB1956" s="87"/>
      <c r="AM1956" s="87"/>
      <c r="AN1956" s="87"/>
      <c r="AO1956" s="87"/>
      <c r="AP1956" s="87"/>
      <c r="AQ1956" s="87"/>
      <c r="AR1956" s="87"/>
      <c r="BC1956" s="87"/>
      <c r="BD1956" s="87"/>
      <c r="BE1956" s="87"/>
      <c r="BF1956" s="87"/>
      <c r="BG1956" s="87"/>
      <c r="BH1956" s="87"/>
    </row>
    <row r="1957" spans="23:60" x14ac:dyDescent="0.3">
      <c r="W1957" s="87"/>
      <c r="X1957" s="87"/>
      <c r="Y1957" s="87"/>
      <c r="Z1957" s="87"/>
      <c r="AA1957" s="87"/>
      <c r="AB1957" s="87"/>
      <c r="AM1957" s="87"/>
      <c r="AN1957" s="87"/>
      <c r="AO1957" s="87"/>
      <c r="AP1957" s="87"/>
      <c r="AQ1957" s="87"/>
      <c r="AR1957" s="87"/>
      <c r="BC1957" s="87"/>
      <c r="BD1957" s="87"/>
      <c r="BE1957" s="87"/>
      <c r="BF1957" s="87"/>
      <c r="BG1957" s="87"/>
      <c r="BH1957" s="87"/>
    </row>
    <row r="1958" spans="23:60" x14ac:dyDescent="0.3">
      <c r="W1958" s="87"/>
      <c r="X1958" s="87"/>
      <c r="Y1958" s="87"/>
      <c r="Z1958" s="87"/>
      <c r="AA1958" s="87"/>
      <c r="AB1958" s="87"/>
      <c r="AM1958" s="87"/>
      <c r="AN1958" s="87"/>
      <c r="AO1958" s="87"/>
      <c r="AP1958" s="87"/>
      <c r="AQ1958" s="87"/>
      <c r="AR1958" s="87"/>
      <c r="BC1958" s="87"/>
      <c r="BD1958" s="87"/>
      <c r="BE1958" s="87"/>
      <c r="BF1958" s="87"/>
      <c r="BG1958" s="87"/>
      <c r="BH1958" s="87"/>
    </row>
    <row r="1959" spans="23:60" x14ac:dyDescent="0.3">
      <c r="W1959" s="87"/>
      <c r="X1959" s="87"/>
      <c r="Y1959" s="87"/>
      <c r="Z1959" s="87"/>
      <c r="AA1959" s="87"/>
      <c r="AB1959" s="87"/>
      <c r="AM1959" s="87"/>
      <c r="AN1959" s="87"/>
      <c r="AO1959" s="87"/>
      <c r="AP1959" s="87"/>
      <c r="AQ1959" s="87"/>
      <c r="AR1959" s="87"/>
      <c r="BC1959" s="87"/>
      <c r="BD1959" s="87"/>
      <c r="BE1959" s="87"/>
      <c r="BF1959" s="87"/>
      <c r="BG1959" s="87"/>
      <c r="BH1959" s="87"/>
    </row>
    <row r="1960" spans="23:60" x14ac:dyDescent="0.3">
      <c r="W1960" s="87"/>
      <c r="X1960" s="87"/>
      <c r="Y1960" s="87"/>
      <c r="Z1960" s="87"/>
      <c r="AA1960" s="87"/>
      <c r="AB1960" s="87"/>
      <c r="AM1960" s="87"/>
      <c r="AN1960" s="87"/>
      <c r="AO1960" s="87"/>
      <c r="AP1960" s="87"/>
      <c r="AQ1960" s="87"/>
      <c r="AR1960" s="87"/>
      <c r="BC1960" s="87"/>
      <c r="BD1960" s="87"/>
      <c r="BE1960" s="87"/>
      <c r="BF1960" s="87"/>
      <c r="BG1960" s="87"/>
      <c r="BH1960" s="87"/>
    </row>
    <row r="1961" spans="23:60" x14ac:dyDescent="0.3">
      <c r="W1961" s="87"/>
      <c r="X1961" s="87"/>
      <c r="Y1961" s="87"/>
      <c r="Z1961" s="87"/>
      <c r="AA1961" s="87"/>
      <c r="AB1961" s="87"/>
      <c r="AM1961" s="87"/>
      <c r="AN1961" s="87"/>
      <c r="AO1961" s="87"/>
      <c r="AP1961" s="87"/>
      <c r="AQ1961" s="87"/>
      <c r="AR1961" s="87"/>
      <c r="BC1961" s="87"/>
      <c r="BD1961" s="87"/>
      <c r="BE1961" s="87"/>
      <c r="BF1961" s="87"/>
      <c r="BG1961" s="87"/>
      <c r="BH1961" s="87"/>
    </row>
    <row r="1962" spans="23:60" x14ac:dyDescent="0.3">
      <c r="W1962" s="87"/>
      <c r="X1962" s="87"/>
      <c r="Y1962" s="87"/>
      <c r="Z1962" s="87"/>
      <c r="AA1962" s="87"/>
      <c r="AB1962" s="87"/>
      <c r="AM1962" s="87"/>
      <c r="AN1962" s="87"/>
      <c r="AO1962" s="87"/>
      <c r="AP1962" s="87"/>
      <c r="AQ1962" s="87"/>
      <c r="AR1962" s="87"/>
      <c r="BC1962" s="87"/>
      <c r="BD1962" s="87"/>
      <c r="BE1962" s="87"/>
      <c r="BF1962" s="87"/>
      <c r="BG1962" s="87"/>
      <c r="BH1962" s="87"/>
    </row>
    <row r="1963" spans="23:60" x14ac:dyDescent="0.3">
      <c r="W1963" s="87"/>
      <c r="X1963" s="87"/>
      <c r="Y1963" s="87"/>
      <c r="Z1963" s="87"/>
      <c r="AA1963" s="87"/>
      <c r="AB1963" s="87"/>
      <c r="AM1963" s="87"/>
      <c r="AN1963" s="87"/>
      <c r="AO1963" s="87"/>
      <c r="AP1963" s="87"/>
      <c r="AQ1963" s="87"/>
      <c r="AR1963" s="87"/>
      <c r="BC1963" s="87"/>
      <c r="BD1963" s="87"/>
      <c r="BE1963" s="87"/>
      <c r="BF1963" s="87"/>
      <c r="BG1963" s="87"/>
      <c r="BH1963" s="87"/>
    </row>
    <row r="1964" spans="23:60" x14ac:dyDescent="0.3">
      <c r="W1964" s="87"/>
      <c r="X1964" s="87"/>
      <c r="Y1964" s="87"/>
      <c r="Z1964" s="87"/>
      <c r="AA1964" s="87"/>
      <c r="AB1964" s="87"/>
      <c r="AM1964" s="87"/>
      <c r="AN1964" s="87"/>
      <c r="AO1964" s="87"/>
      <c r="AP1964" s="87"/>
      <c r="AQ1964" s="87"/>
      <c r="AR1964" s="87"/>
      <c r="BC1964" s="87"/>
      <c r="BD1964" s="87"/>
      <c r="BE1964" s="87"/>
      <c r="BF1964" s="87"/>
      <c r="BG1964" s="87"/>
      <c r="BH1964" s="87"/>
    </row>
    <row r="1965" spans="23:60" x14ac:dyDescent="0.3">
      <c r="W1965" s="87"/>
      <c r="X1965" s="87"/>
      <c r="Y1965" s="87"/>
      <c r="Z1965" s="87"/>
      <c r="AA1965" s="87"/>
      <c r="AB1965" s="87"/>
      <c r="AM1965" s="87"/>
      <c r="AN1965" s="87"/>
      <c r="AO1965" s="87"/>
      <c r="AP1965" s="87"/>
      <c r="AQ1965" s="87"/>
      <c r="AR1965" s="87"/>
      <c r="BC1965" s="87"/>
      <c r="BD1965" s="87"/>
      <c r="BE1965" s="87"/>
      <c r="BF1965" s="87"/>
      <c r="BG1965" s="87"/>
      <c r="BH1965" s="87"/>
    </row>
    <row r="1966" spans="23:60" x14ac:dyDescent="0.3">
      <c r="W1966" s="87"/>
      <c r="X1966" s="87"/>
      <c r="Y1966" s="87"/>
      <c r="Z1966" s="87"/>
      <c r="AA1966" s="87"/>
      <c r="AB1966" s="87"/>
      <c r="AM1966" s="87"/>
      <c r="AN1966" s="87"/>
      <c r="AO1966" s="87"/>
      <c r="AP1966" s="87"/>
      <c r="AQ1966" s="87"/>
      <c r="AR1966" s="87"/>
      <c r="BC1966" s="87"/>
      <c r="BD1966" s="87"/>
      <c r="BE1966" s="87"/>
      <c r="BF1966" s="87"/>
      <c r="BG1966" s="87"/>
      <c r="BH1966" s="87"/>
    </row>
    <row r="1967" spans="23:60" x14ac:dyDescent="0.3">
      <c r="W1967" s="87"/>
      <c r="X1967" s="87"/>
      <c r="Y1967" s="87"/>
      <c r="Z1967" s="87"/>
      <c r="AA1967" s="87"/>
      <c r="AB1967" s="87"/>
      <c r="AM1967" s="87"/>
      <c r="AN1967" s="87"/>
      <c r="AO1967" s="87"/>
      <c r="AP1967" s="87"/>
      <c r="AQ1967" s="87"/>
      <c r="AR1967" s="87"/>
      <c r="BC1967" s="87"/>
      <c r="BD1967" s="87"/>
      <c r="BE1967" s="87"/>
      <c r="BF1967" s="87"/>
      <c r="BG1967" s="87"/>
      <c r="BH1967" s="87"/>
    </row>
    <row r="1968" spans="23:60" x14ac:dyDescent="0.3">
      <c r="W1968" s="87"/>
      <c r="X1968" s="87"/>
      <c r="Y1968" s="87"/>
      <c r="Z1968" s="87"/>
      <c r="AA1968" s="87"/>
      <c r="AB1968" s="87"/>
      <c r="AM1968" s="87"/>
      <c r="AN1968" s="87"/>
      <c r="AO1968" s="87"/>
      <c r="AP1968" s="87"/>
      <c r="AQ1968" s="87"/>
      <c r="AR1968" s="87"/>
      <c r="BC1968" s="87"/>
      <c r="BD1968" s="87"/>
      <c r="BE1968" s="87"/>
      <c r="BF1968" s="87"/>
      <c r="BG1968" s="87"/>
      <c r="BH1968" s="87"/>
    </row>
    <row r="1969" spans="23:60" x14ac:dyDescent="0.3">
      <c r="W1969" s="87"/>
      <c r="X1969" s="87"/>
      <c r="Y1969" s="87"/>
      <c r="Z1969" s="87"/>
      <c r="AA1969" s="87"/>
      <c r="AB1969" s="87"/>
      <c r="AM1969" s="87"/>
      <c r="AN1969" s="87"/>
      <c r="AO1969" s="87"/>
      <c r="AP1969" s="87"/>
      <c r="AQ1969" s="87"/>
      <c r="AR1969" s="87"/>
      <c r="BC1969" s="87"/>
      <c r="BD1969" s="87"/>
      <c r="BE1969" s="87"/>
      <c r="BF1969" s="87"/>
      <c r="BG1969" s="87"/>
      <c r="BH1969" s="87"/>
    </row>
    <row r="1970" spans="23:60" x14ac:dyDescent="0.3">
      <c r="W1970" s="87"/>
      <c r="X1970" s="87"/>
      <c r="Y1970" s="87"/>
      <c r="Z1970" s="87"/>
      <c r="AA1970" s="87"/>
      <c r="AB1970" s="87"/>
      <c r="AM1970" s="87"/>
      <c r="AN1970" s="87"/>
      <c r="AO1970" s="87"/>
      <c r="AP1970" s="87"/>
      <c r="AQ1970" s="87"/>
      <c r="AR1970" s="87"/>
      <c r="BC1970" s="87"/>
      <c r="BD1970" s="87"/>
      <c r="BE1970" s="87"/>
      <c r="BF1970" s="87"/>
      <c r="BG1970" s="87"/>
      <c r="BH1970" s="87"/>
    </row>
    <row r="1971" spans="23:60" x14ac:dyDescent="0.3">
      <c r="W1971" s="87"/>
      <c r="X1971" s="87"/>
      <c r="Y1971" s="87"/>
      <c r="Z1971" s="87"/>
      <c r="AA1971" s="87"/>
      <c r="AB1971" s="87"/>
      <c r="AM1971" s="87"/>
      <c r="AN1971" s="87"/>
      <c r="AO1971" s="87"/>
      <c r="AP1971" s="87"/>
      <c r="AQ1971" s="87"/>
      <c r="AR1971" s="87"/>
      <c r="BC1971" s="87"/>
      <c r="BD1971" s="87"/>
      <c r="BE1971" s="87"/>
      <c r="BF1971" s="87"/>
      <c r="BG1971" s="87"/>
      <c r="BH1971" s="87"/>
    </row>
    <row r="1972" spans="23:60" x14ac:dyDescent="0.3">
      <c r="W1972" s="87"/>
      <c r="X1972" s="87"/>
      <c r="Y1972" s="87"/>
      <c r="Z1972" s="87"/>
      <c r="AA1972" s="87"/>
      <c r="AB1972" s="87"/>
      <c r="AM1972" s="87"/>
      <c r="AN1972" s="87"/>
      <c r="AO1972" s="87"/>
      <c r="AP1972" s="87"/>
      <c r="AQ1972" s="87"/>
      <c r="AR1972" s="87"/>
      <c r="BC1972" s="87"/>
      <c r="BD1972" s="87"/>
      <c r="BE1972" s="87"/>
      <c r="BF1972" s="87"/>
      <c r="BG1972" s="87"/>
      <c r="BH1972" s="87"/>
    </row>
    <row r="1973" spans="23:60" x14ac:dyDescent="0.3">
      <c r="W1973" s="87"/>
      <c r="X1973" s="87"/>
      <c r="Y1973" s="87"/>
      <c r="Z1973" s="87"/>
      <c r="AA1973" s="87"/>
      <c r="AB1973" s="87"/>
      <c r="AM1973" s="87"/>
      <c r="AN1973" s="87"/>
      <c r="AO1973" s="87"/>
      <c r="AP1973" s="87"/>
      <c r="AQ1973" s="87"/>
      <c r="AR1973" s="87"/>
      <c r="BC1973" s="87"/>
      <c r="BD1973" s="87"/>
      <c r="BE1973" s="87"/>
      <c r="BF1973" s="87"/>
      <c r="BG1973" s="87"/>
      <c r="BH1973" s="87"/>
    </row>
    <row r="1974" spans="23:60" x14ac:dyDescent="0.3">
      <c r="W1974" s="87"/>
      <c r="X1974" s="87"/>
      <c r="Y1974" s="87"/>
      <c r="Z1974" s="87"/>
      <c r="AA1974" s="87"/>
      <c r="AB1974" s="87"/>
      <c r="AM1974" s="87"/>
      <c r="AN1974" s="87"/>
      <c r="AO1974" s="87"/>
      <c r="AP1974" s="87"/>
      <c r="AQ1974" s="87"/>
      <c r="AR1974" s="87"/>
      <c r="BC1974" s="87"/>
      <c r="BD1974" s="87"/>
      <c r="BE1974" s="87"/>
      <c r="BF1974" s="87"/>
      <c r="BG1974" s="87"/>
      <c r="BH1974" s="87"/>
    </row>
    <row r="1975" spans="23:60" x14ac:dyDescent="0.3">
      <c r="W1975" s="87"/>
      <c r="X1975" s="87"/>
      <c r="Y1975" s="87"/>
      <c r="Z1975" s="87"/>
      <c r="AA1975" s="87"/>
      <c r="AB1975" s="87"/>
      <c r="AM1975" s="87"/>
      <c r="AN1975" s="87"/>
      <c r="AO1975" s="87"/>
      <c r="AP1975" s="87"/>
      <c r="AQ1975" s="87"/>
      <c r="AR1975" s="87"/>
      <c r="BC1975" s="87"/>
      <c r="BD1975" s="87"/>
      <c r="BE1975" s="87"/>
      <c r="BF1975" s="87"/>
      <c r="BG1975" s="87"/>
      <c r="BH1975" s="87"/>
    </row>
    <row r="1976" spans="23:60" x14ac:dyDescent="0.3">
      <c r="W1976" s="87"/>
      <c r="X1976" s="87"/>
      <c r="Y1976" s="87"/>
      <c r="Z1976" s="87"/>
      <c r="AA1976" s="87"/>
      <c r="AB1976" s="87"/>
      <c r="AM1976" s="87"/>
      <c r="AN1976" s="87"/>
      <c r="AO1976" s="87"/>
      <c r="AP1976" s="87"/>
      <c r="AQ1976" s="87"/>
      <c r="AR1976" s="87"/>
      <c r="BC1976" s="87"/>
      <c r="BD1976" s="87"/>
      <c r="BE1976" s="87"/>
      <c r="BF1976" s="87"/>
      <c r="BG1976" s="87"/>
      <c r="BH1976" s="87"/>
    </row>
    <row r="1977" spans="23:60" x14ac:dyDescent="0.3">
      <c r="W1977" s="87"/>
      <c r="X1977" s="87"/>
      <c r="Y1977" s="87"/>
      <c r="Z1977" s="87"/>
      <c r="AA1977" s="87"/>
      <c r="AB1977" s="87"/>
      <c r="AM1977" s="87"/>
      <c r="AN1977" s="87"/>
      <c r="AO1977" s="87"/>
      <c r="AP1977" s="87"/>
      <c r="AQ1977" s="87"/>
      <c r="AR1977" s="87"/>
      <c r="BC1977" s="87"/>
      <c r="BD1977" s="87"/>
      <c r="BE1977" s="87"/>
      <c r="BF1977" s="87"/>
      <c r="BG1977" s="87"/>
      <c r="BH1977" s="87"/>
    </row>
    <row r="1978" spans="23:60" x14ac:dyDescent="0.3">
      <c r="W1978" s="87"/>
      <c r="X1978" s="87"/>
      <c r="Y1978" s="87"/>
      <c r="Z1978" s="87"/>
      <c r="AA1978" s="87"/>
      <c r="AB1978" s="87"/>
      <c r="AM1978" s="87"/>
      <c r="AN1978" s="87"/>
      <c r="AO1978" s="87"/>
      <c r="AP1978" s="87"/>
      <c r="AQ1978" s="87"/>
      <c r="AR1978" s="87"/>
      <c r="BC1978" s="87"/>
      <c r="BD1978" s="87"/>
      <c r="BE1978" s="87"/>
      <c r="BF1978" s="87"/>
      <c r="BG1978" s="87"/>
      <c r="BH1978" s="87"/>
    </row>
    <row r="1979" spans="23:60" x14ac:dyDescent="0.3">
      <c r="W1979" s="87"/>
      <c r="X1979" s="87"/>
      <c r="Y1979" s="87"/>
      <c r="Z1979" s="87"/>
      <c r="AA1979" s="87"/>
      <c r="AB1979" s="87"/>
      <c r="AM1979" s="87"/>
      <c r="AN1979" s="87"/>
      <c r="AO1979" s="87"/>
      <c r="AP1979" s="87"/>
      <c r="AQ1979" s="87"/>
      <c r="AR1979" s="87"/>
      <c r="BC1979" s="87"/>
      <c r="BD1979" s="87"/>
      <c r="BE1979" s="87"/>
      <c r="BF1979" s="87"/>
      <c r="BG1979" s="87"/>
      <c r="BH1979" s="87"/>
    </row>
    <row r="1980" spans="23:60" x14ac:dyDescent="0.3">
      <c r="W1980" s="87"/>
      <c r="X1980" s="87"/>
      <c r="Y1980" s="87"/>
      <c r="Z1980" s="87"/>
      <c r="AA1980" s="87"/>
      <c r="AB1980" s="87"/>
      <c r="AM1980" s="87"/>
      <c r="AN1980" s="87"/>
      <c r="AO1980" s="87"/>
      <c r="AP1980" s="87"/>
      <c r="AQ1980" s="87"/>
      <c r="AR1980" s="87"/>
      <c r="BC1980" s="87"/>
      <c r="BD1980" s="87"/>
      <c r="BE1980" s="87"/>
      <c r="BF1980" s="87"/>
      <c r="BG1980" s="87"/>
      <c r="BH1980" s="87"/>
    </row>
    <row r="1981" spans="23:60" x14ac:dyDescent="0.3">
      <c r="W1981" s="87"/>
      <c r="X1981" s="87"/>
      <c r="Y1981" s="87"/>
      <c r="Z1981" s="87"/>
      <c r="AA1981" s="87"/>
      <c r="AB1981" s="87"/>
      <c r="AM1981" s="87"/>
      <c r="AN1981" s="87"/>
      <c r="AO1981" s="87"/>
      <c r="AP1981" s="87"/>
      <c r="AQ1981" s="87"/>
      <c r="AR1981" s="87"/>
      <c r="BC1981" s="87"/>
      <c r="BD1981" s="87"/>
      <c r="BE1981" s="87"/>
      <c r="BF1981" s="87"/>
      <c r="BG1981" s="87"/>
      <c r="BH1981" s="87"/>
    </row>
    <row r="1982" spans="23:60" x14ac:dyDescent="0.3">
      <c r="W1982" s="87"/>
      <c r="X1982" s="87"/>
      <c r="Y1982" s="87"/>
      <c r="Z1982" s="87"/>
      <c r="AA1982" s="87"/>
      <c r="AB1982" s="87"/>
      <c r="AM1982" s="87"/>
      <c r="AN1982" s="87"/>
      <c r="AO1982" s="87"/>
      <c r="AP1982" s="87"/>
      <c r="AQ1982" s="87"/>
      <c r="AR1982" s="87"/>
      <c r="BC1982" s="87"/>
      <c r="BD1982" s="87"/>
      <c r="BE1982" s="87"/>
      <c r="BF1982" s="87"/>
      <c r="BG1982" s="87"/>
      <c r="BH1982" s="87"/>
    </row>
    <row r="1983" spans="23:60" x14ac:dyDescent="0.3">
      <c r="W1983" s="87"/>
      <c r="X1983" s="87"/>
      <c r="Y1983" s="87"/>
      <c r="Z1983" s="87"/>
      <c r="AA1983" s="87"/>
      <c r="AB1983" s="87"/>
      <c r="AM1983" s="87"/>
      <c r="AN1983" s="87"/>
      <c r="AO1983" s="87"/>
      <c r="AP1983" s="87"/>
      <c r="AQ1983" s="87"/>
      <c r="AR1983" s="87"/>
      <c r="BC1983" s="87"/>
      <c r="BD1983" s="87"/>
      <c r="BE1983" s="87"/>
      <c r="BF1983" s="87"/>
      <c r="BG1983" s="87"/>
      <c r="BH1983" s="87"/>
    </row>
    <row r="1984" spans="23:60" x14ac:dyDescent="0.3">
      <c r="W1984" s="87"/>
      <c r="X1984" s="87"/>
      <c r="Y1984" s="87"/>
      <c r="Z1984" s="87"/>
      <c r="AA1984" s="87"/>
      <c r="AB1984" s="87"/>
      <c r="AM1984" s="87"/>
      <c r="AN1984" s="87"/>
      <c r="AO1984" s="87"/>
      <c r="AP1984" s="87"/>
      <c r="AQ1984" s="87"/>
      <c r="AR1984" s="87"/>
      <c r="BC1984" s="87"/>
      <c r="BD1984" s="87"/>
      <c r="BE1984" s="87"/>
      <c r="BF1984" s="87"/>
      <c r="BG1984" s="87"/>
      <c r="BH1984" s="87"/>
    </row>
    <row r="1985" spans="23:60" x14ac:dyDescent="0.3">
      <c r="W1985" s="87"/>
      <c r="X1985" s="87"/>
      <c r="Y1985" s="87"/>
      <c r="Z1985" s="87"/>
      <c r="AA1985" s="87"/>
      <c r="AB1985" s="87"/>
      <c r="AM1985" s="87"/>
      <c r="AN1985" s="87"/>
      <c r="AO1985" s="87"/>
      <c r="AP1985" s="87"/>
      <c r="AQ1985" s="87"/>
      <c r="AR1985" s="87"/>
      <c r="BC1985" s="87"/>
      <c r="BD1985" s="87"/>
      <c r="BE1985" s="87"/>
      <c r="BF1985" s="87"/>
      <c r="BG1985" s="87"/>
      <c r="BH1985" s="87"/>
    </row>
    <row r="1986" spans="23:60" x14ac:dyDescent="0.3">
      <c r="W1986" s="87"/>
      <c r="X1986" s="87"/>
      <c r="Y1986" s="87"/>
      <c r="Z1986" s="87"/>
      <c r="AA1986" s="87"/>
      <c r="AB1986" s="87"/>
      <c r="AM1986" s="87"/>
      <c r="AN1986" s="87"/>
      <c r="AO1986" s="87"/>
      <c r="AP1986" s="87"/>
      <c r="AQ1986" s="87"/>
      <c r="AR1986" s="87"/>
      <c r="BC1986" s="87"/>
      <c r="BD1986" s="87"/>
      <c r="BE1986" s="87"/>
      <c r="BF1986" s="87"/>
      <c r="BG1986" s="87"/>
      <c r="BH1986" s="87"/>
    </row>
    <row r="1987" spans="23:60" x14ac:dyDescent="0.3">
      <c r="W1987" s="87"/>
      <c r="X1987" s="87"/>
      <c r="Y1987" s="87"/>
      <c r="Z1987" s="87"/>
      <c r="AA1987" s="87"/>
      <c r="AB1987" s="87"/>
      <c r="AM1987" s="87"/>
      <c r="AN1987" s="87"/>
      <c r="AO1987" s="87"/>
      <c r="AP1987" s="87"/>
      <c r="AQ1987" s="87"/>
      <c r="AR1987" s="87"/>
      <c r="BC1987" s="87"/>
      <c r="BD1987" s="87"/>
      <c r="BE1987" s="87"/>
      <c r="BF1987" s="87"/>
      <c r="BG1987" s="87"/>
      <c r="BH1987" s="87"/>
    </row>
    <row r="1988" spans="23:60" x14ac:dyDescent="0.3">
      <c r="W1988" s="87"/>
      <c r="X1988" s="87"/>
      <c r="Y1988" s="87"/>
      <c r="Z1988" s="87"/>
      <c r="AA1988" s="87"/>
      <c r="AB1988" s="87"/>
      <c r="AM1988" s="87"/>
      <c r="AN1988" s="87"/>
      <c r="AO1988" s="87"/>
      <c r="AP1988" s="87"/>
      <c r="AQ1988" s="87"/>
      <c r="AR1988" s="87"/>
      <c r="BC1988" s="87"/>
      <c r="BD1988" s="87"/>
      <c r="BE1988" s="87"/>
      <c r="BF1988" s="87"/>
      <c r="BG1988" s="87"/>
      <c r="BH1988" s="87"/>
    </row>
    <row r="1989" spans="23:60" x14ac:dyDescent="0.3">
      <c r="W1989" s="87"/>
      <c r="X1989" s="87"/>
      <c r="Y1989" s="87"/>
      <c r="Z1989" s="87"/>
      <c r="AA1989" s="87"/>
      <c r="AB1989" s="87"/>
      <c r="AM1989" s="87"/>
      <c r="AN1989" s="87"/>
      <c r="AO1989" s="87"/>
      <c r="AP1989" s="87"/>
      <c r="AQ1989" s="87"/>
      <c r="AR1989" s="87"/>
      <c r="BC1989" s="87"/>
      <c r="BD1989" s="87"/>
      <c r="BE1989" s="87"/>
      <c r="BF1989" s="87"/>
      <c r="BG1989" s="87"/>
      <c r="BH1989" s="87"/>
    </row>
    <row r="1990" spans="23:60" x14ac:dyDescent="0.3">
      <c r="W1990" s="87"/>
      <c r="X1990" s="87"/>
      <c r="Y1990" s="87"/>
      <c r="Z1990" s="87"/>
      <c r="AA1990" s="87"/>
      <c r="AB1990" s="87"/>
      <c r="AM1990" s="87"/>
      <c r="AN1990" s="87"/>
      <c r="AO1990" s="87"/>
      <c r="AP1990" s="87"/>
      <c r="AQ1990" s="87"/>
      <c r="AR1990" s="87"/>
      <c r="BC1990" s="87"/>
      <c r="BD1990" s="87"/>
      <c r="BE1990" s="87"/>
      <c r="BF1990" s="87"/>
      <c r="BG1990" s="87"/>
      <c r="BH1990" s="87"/>
    </row>
    <row r="1991" spans="23:60" x14ac:dyDescent="0.3">
      <c r="W1991" s="87"/>
      <c r="X1991" s="87"/>
      <c r="Y1991" s="87"/>
      <c r="Z1991" s="87"/>
      <c r="AA1991" s="87"/>
      <c r="AB1991" s="87"/>
      <c r="AM1991" s="87"/>
      <c r="AN1991" s="87"/>
      <c r="AO1991" s="87"/>
      <c r="AP1991" s="87"/>
      <c r="AQ1991" s="87"/>
      <c r="AR1991" s="87"/>
      <c r="BC1991" s="87"/>
      <c r="BD1991" s="87"/>
      <c r="BE1991" s="87"/>
      <c r="BF1991" s="87"/>
      <c r="BG1991" s="87"/>
      <c r="BH1991" s="87"/>
    </row>
    <row r="1992" spans="23:60" x14ac:dyDescent="0.3">
      <c r="W1992" s="87"/>
      <c r="X1992" s="87"/>
      <c r="Y1992" s="87"/>
      <c r="Z1992" s="87"/>
      <c r="AA1992" s="87"/>
      <c r="AB1992" s="87"/>
      <c r="AM1992" s="87"/>
      <c r="AN1992" s="87"/>
      <c r="AO1992" s="87"/>
      <c r="AP1992" s="87"/>
      <c r="AQ1992" s="87"/>
      <c r="AR1992" s="87"/>
      <c r="BC1992" s="87"/>
      <c r="BD1992" s="87"/>
      <c r="BE1992" s="87"/>
      <c r="BF1992" s="87"/>
      <c r="BG1992" s="87"/>
      <c r="BH1992" s="87"/>
    </row>
    <row r="1993" spans="23:60" x14ac:dyDescent="0.3">
      <c r="W1993" s="87"/>
      <c r="X1993" s="87"/>
      <c r="Y1993" s="87"/>
      <c r="Z1993" s="87"/>
      <c r="AA1993" s="87"/>
      <c r="AB1993" s="87"/>
      <c r="AM1993" s="87"/>
      <c r="AN1993" s="87"/>
      <c r="AO1993" s="87"/>
      <c r="AP1993" s="87"/>
      <c r="AQ1993" s="87"/>
      <c r="AR1993" s="87"/>
      <c r="BC1993" s="87"/>
      <c r="BD1993" s="87"/>
      <c r="BE1993" s="87"/>
      <c r="BF1993" s="87"/>
      <c r="BG1993" s="87"/>
      <c r="BH1993" s="87"/>
    </row>
    <row r="1994" spans="23:60" x14ac:dyDescent="0.3">
      <c r="W1994" s="87"/>
      <c r="X1994" s="87"/>
      <c r="Y1994" s="87"/>
      <c r="Z1994" s="87"/>
      <c r="AA1994" s="87"/>
      <c r="AB1994" s="87"/>
      <c r="AM1994" s="87"/>
      <c r="AN1994" s="87"/>
      <c r="AO1994" s="87"/>
      <c r="AP1994" s="87"/>
      <c r="AQ1994" s="87"/>
      <c r="AR1994" s="87"/>
      <c r="BC1994" s="87"/>
      <c r="BD1994" s="87"/>
      <c r="BE1994" s="87"/>
      <c r="BF1994" s="87"/>
      <c r="BG1994" s="87"/>
      <c r="BH1994" s="87"/>
    </row>
    <row r="1995" spans="23:60" x14ac:dyDescent="0.3">
      <c r="W1995" s="87"/>
      <c r="X1995" s="87"/>
      <c r="Y1995" s="87"/>
      <c r="Z1995" s="87"/>
      <c r="AA1995" s="87"/>
      <c r="AB1995" s="87"/>
      <c r="AM1995" s="87"/>
      <c r="AN1995" s="87"/>
      <c r="AO1995" s="87"/>
      <c r="AP1995" s="87"/>
      <c r="AQ1995" s="87"/>
      <c r="AR1995" s="87"/>
      <c r="BC1995" s="87"/>
      <c r="BD1995" s="87"/>
      <c r="BE1995" s="87"/>
      <c r="BF1995" s="87"/>
      <c r="BG1995" s="87"/>
      <c r="BH1995" s="87"/>
    </row>
    <row r="1996" spans="23:60" x14ac:dyDescent="0.3">
      <c r="W1996" s="87"/>
      <c r="X1996" s="87"/>
      <c r="Y1996" s="87"/>
      <c r="Z1996" s="87"/>
      <c r="AA1996" s="87"/>
      <c r="AB1996" s="87"/>
      <c r="AM1996" s="87"/>
      <c r="AN1996" s="87"/>
      <c r="AO1996" s="87"/>
      <c r="AP1996" s="87"/>
      <c r="AQ1996" s="87"/>
      <c r="AR1996" s="87"/>
      <c r="BC1996" s="87"/>
      <c r="BD1996" s="87"/>
      <c r="BE1996" s="87"/>
      <c r="BF1996" s="87"/>
      <c r="BG1996" s="87"/>
      <c r="BH1996" s="87"/>
    </row>
    <row r="1997" spans="23:60" x14ac:dyDescent="0.3">
      <c r="W1997" s="87"/>
      <c r="X1997" s="87"/>
      <c r="Y1997" s="87"/>
      <c r="Z1997" s="87"/>
      <c r="AA1997" s="87"/>
      <c r="AB1997" s="87"/>
      <c r="AM1997" s="87"/>
      <c r="AN1997" s="87"/>
      <c r="AO1997" s="87"/>
      <c r="AP1997" s="87"/>
      <c r="AQ1997" s="87"/>
      <c r="AR1997" s="87"/>
      <c r="BC1997" s="87"/>
      <c r="BD1997" s="87"/>
      <c r="BE1997" s="87"/>
      <c r="BF1997" s="87"/>
      <c r="BG1997" s="87"/>
      <c r="BH1997" s="87"/>
    </row>
    <row r="1998" spans="23:60" x14ac:dyDescent="0.3">
      <c r="W1998" s="87"/>
      <c r="X1998" s="87"/>
      <c r="Y1998" s="87"/>
      <c r="Z1998" s="87"/>
      <c r="AA1998" s="87"/>
      <c r="AB1998" s="87"/>
      <c r="AM1998" s="87"/>
      <c r="AN1998" s="87"/>
      <c r="AO1998" s="87"/>
      <c r="AP1998" s="87"/>
      <c r="AQ1998" s="87"/>
      <c r="AR1998" s="87"/>
      <c r="BC1998" s="87"/>
      <c r="BD1998" s="87"/>
      <c r="BE1998" s="87"/>
      <c r="BF1998" s="87"/>
      <c r="BG1998" s="87"/>
      <c r="BH1998" s="87"/>
    </row>
    <row r="1999" spans="23:60" x14ac:dyDescent="0.3">
      <c r="W1999" s="87"/>
      <c r="X1999" s="87"/>
      <c r="Y1999" s="87"/>
      <c r="Z1999" s="87"/>
      <c r="AA1999" s="87"/>
      <c r="AB1999" s="87"/>
      <c r="AM1999" s="87"/>
      <c r="AN1999" s="87"/>
      <c r="AO1999" s="87"/>
      <c r="AP1999" s="87"/>
      <c r="AQ1999" s="87"/>
      <c r="AR1999" s="87"/>
      <c r="BC1999" s="87"/>
      <c r="BD1999" s="87"/>
      <c r="BE1999" s="87"/>
      <c r="BF1999" s="87"/>
      <c r="BG1999" s="87"/>
      <c r="BH1999" s="87"/>
    </row>
    <row r="2000" spans="23:60" x14ac:dyDescent="0.3">
      <c r="W2000" s="87"/>
      <c r="X2000" s="87"/>
      <c r="Y2000" s="87"/>
      <c r="Z2000" s="87"/>
      <c r="AA2000" s="87"/>
      <c r="AB2000" s="87"/>
      <c r="AM2000" s="87"/>
      <c r="AN2000" s="87"/>
      <c r="AO2000" s="87"/>
      <c r="AP2000" s="87"/>
      <c r="AQ2000" s="87"/>
      <c r="AR2000" s="87"/>
      <c r="BC2000" s="87"/>
      <c r="BD2000" s="87"/>
      <c r="BE2000" s="87"/>
      <c r="BF2000" s="87"/>
      <c r="BG2000" s="87"/>
      <c r="BH2000" s="87"/>
    </row>
    <row r="2001" spans="23:60" x14ac:dyDescent="0.3">
      <c r="W2001" s="87"/>
      <c r="X2001" s="87"/>
      <c r="Y2001" s="87"/>
      <c r="Z2001" s="87"/>
      <c r="AA2001" s="87"/>
      <c r="AB2001" s="87"/>
      <c r="AM2001" s="87"/>
      <c r="AN2001" s="87"/>
      <c r="AO2001" s="87"/>
      <c r="AP2001" s="87"/>
      <c r="AQ2001" s="87"/>
      <c r="AR2001" s="87"/>
      <c r="BC2001" s="87"/>
      <c r="BD2001" s="87"/>
      <c r="BE2001" s="87"/>
      <c r="BF2001" s="87"/>
      <c r="BG2001" s="87"/>
      <c r="BH2001" s="87"/>
    </row>
    <row r="2002" spans="23:60" x14ac:dyDescent="0.3">
      <c r="W2002" s="87"/>
      <c r="X2002" s="87"/>
      <c r="Y2002" s="87"/>
      <c r="Z2002" s="87"/>
      <c r="AA2002" s="87"/>
      <c r="AB2002" s="87"/>
      <c r="AM2002" s="87"/>
      <c r="AN2002" s="87"/>
      <c r="AO2002" s="87"/>
      <c r="AP2002" s="87"/>
      <c r="AQ2002" s="87"/>
      <c r="AR2002" s="87"/>
      <c r="BC2002" s="87"/>
      <c r="BD2002" s="87"/>
      <c r="BE2002" s="87"/>
      <c r="BF2002" s="87"/>
      <c r="BG2002" s="87"/>
      <c r="BH2002" s="87"/>
    </row>
    <row r="2003" spans="23:60" x14ac:dyDescent="0.3">
      <c r="W2003" s="87"/>
      <c r="X2003" s="87"/>
      <c r="Y2003" s="87"/>
      <c r="Z2003" s="87"/>
      <c r="AA2003" s="87"/>
      <c r="AB2003" s="87"/>
      <c r="AM2003" s="87"/>
      <c r="AN2003" s="87"/>
      <c r="AO2003" s="87"/>
      <c r="AP2003" s="87"/>
      <c r="AQ2003" s="87"/>
      <c r="AR2003" s="87"/>
      <c r="BC2003" s="87"/>
      <c r="BD2003" s="87"/>
      <c r="BE2003" s="87"/>
      <c r="BF2003" s="87"/>
      <c r="BG2003" s="87"/>
      <c r="BH2003" s="87"/>
    </row>
    <row r="2004" spans="23:60" x14ac:dyDescent="0.3">
      <c r="W2004" s="87"/>
      <c r="X2004" s="87"/>
      <c r="Y2004" s="87"/>
      <c r="Z2004" s="87"/>
      <c r="AA2004" s="87"/>
      <c r="AB2004" s="87"/>
      <c r="AM2004" s="87"/>
      <c r="AN2004" s="87"/>
      <c r="AO2004" s="87"/>
      <c r="AP2004" s="87"/>
      <c r="AQ2004" s="87"/>
      <c r="AR2004" s="87"/>
      <c r="BC2004" s="87"/>
      <c r="BD2004" s="87"/>
      <c r="BE2004" s="87"/>
      <c r="BF2004" s="87"/>
      <c r="BG2004" s="87"/>
      <c r="BH2004" s="87"/>
    </row>
    <row r="2005" spans="23:60" x14ac:dyDescent="0.3">
      <c r="W2005" s="87"/>
      <c r="X2005" s="87"/>
      <c r="Y2005" s="87"/>
      <c r="Z2005" s="87"/>
      <c r="AA2005" s="87"/>
      <c r="AB2005" s="87"/>
      <c r="AM2005" s="87"/>
      <c r="AN2005" s="87"/>
      <c r="AO2005" s="87"/>
      <c r="AP2005" s="87"/>
      <c r="AQ2005" s="87"/>
      <c r="AR2005" s="87"/>
      <c r="BC2005" s="87"/>
      <c r="BD2005" s="87"/>
      <c r="BE2005" s="87"/>
      <c r="BF2005" s="87"/>
      <c r="BG2005" s="87"/>
      <c r="BH2005" s="87"/>
    </row>
    <row r="2006" spans="23:60" x14ac:dyDescent="0.3">
      <c r="W2006" s="87"/>
      <c r="X2006" s="87"/>
      <c r="Y2006" s="87"/>
      <c r="Z2006" s="87"/>
      <c r="AA2006" s="87"/>
      <c r="AB2006" s="87"/>
      <c r="AM2006" s="87"/>
      <c r="AN2006" s="87"/>
      <c r="AO2006" s="87"/>
      <c r="AP2006" s="87"/>
      <c r="AQ2006" s="87"/>
      <c r="AR2006" s="87"/>
      <c r="BC2006" s="87"/>
      <c r="BD2006" s="87"/>
      <c r="BE2006" s="87"/>
      <c r="BF2006" s="87"/>
      <c r="BG2006" s="87"/>
      <c r="BH2006" s="87"/>
    </row>
    <row r="2007" spans="23:60" x14ac:dyDescent="0.3">
      <c r="W2007" s="87"/>
      <c r="X2007" s="87"/>
      <c r="Y2007" s="87"/>
      <c r="Z2007" s="87"/>
      <c r="AA2007" s="87"/>
      <c r="AB2007" s="87"/>
      <c r="AM2007" s="87"/>
      <c r="AN2007" s="87"/>
      <c r="AO2007" s="87"/>
      <c r="AP2007" s="87"/>
      <c r="AQ2007" s="87"/>
      <c r="AR2007" s="87"/>
      <c r="BC2007" s="87"/>
      <c r="BD2007" s="87"/>
      <c r="BE2007" s="87"/>
      <c r="BF2007" s="87"/>
      <c r="BG2007" s="87"/>
      <c r="BH2007" s="87"/>
    </row>
    <row r="2008" spans="23:60" x14ac:dyDescent="0.3">
      <c r="W2008" s="87"/>
      <c r="X2008" s="87"/>
      <c r="Y2008" s="87"/>
      <c r="Z2008" s="87"/>
      <c r="AA2008" s="87"/>
      <c r="AB2008" s="87"/>
      <c r="AM2008" s="87"/>
      <c r="AN2008" s="87"/>
      <c r="AO2008" s="87"/>
      <c r="AP2008" s="87"/>
      <c r="AQ2008" s="87"/>
      <c r="AR2008" s="87"/>
      <c r="BC2008" s="87"/>
      <c r="BD2008" s="87"/>
      <c r="BE2008" s="87"/>
      <c r="BF2008" s="87"/>
      <c r="BG2008" s="87"/>
      <c r="BH2008" s="87"/>
    </row>
    <row r="2009" spans="23:60" x14ac:dyDescent="0.3">
      <c r="W2009" s="87"/>
      <c r="X2009" s="87"/>
      <c r="Y2009" s="87"/>
      <c r="Z2009" s="87"/>
      <c r="AA2009" s="87"/>
      <c r="AB2009" s="87"/>
      <c r="AM2009" s="87"/>
      <c r="AN2009" s="87"/>
      <c r="AO2009" s="87"/>
      <c r="AP2009" s="87"/>
      <c r="AQ2009" s="87"/>
      <c r="AR2009" s="87"/>
      <c r="BC2009" s="87"/>
      <c r="BD2009" s="87"/>
      <c r="BE2009" s="87"/>
      <c r="BF2009" s="87"/>
      <c r="BG2009" s="87"/>
      <c r="BH2009" s="87"/>
    </row>
    <row r="2010" spans="23:60" x14ac:dyDescent="0.3">
      <c r="W2010" s="87"/>
      <c r="X2010" s="87"/>
      <c r="Y2010" s="87"/>
      <c r="Z2010" s="87"/>
      <c r="AA2010" s="87"/>
      <c r="AB2010" s="87"/>
      <c r="AM2010" s="87"/>
      <c r="AN2010" s="87"/>
      <c r="AO2010" s="87"/>
      <c r="AP2010" s="87"/>
      <c r="AQ2010" s="87"/>
      <c r="AR2010" s="87"/>
      <c r="BC2010" s="87"/>
      <c r="BD2010" s="87"/>
      <c r="BE2010" s="87"/>
      <c r="BF2010" s="87"/>
      <c r="BG2010" s="87"/>
      <c r="BH2010" s="87"/>
    </row>
    <row r="2011" spans="23:60" x14ac:dyDescent="0.3">
      <c r="W2011" s="87"/>
      <c r="X2011" s="87"/>
      <c r="Y2011" s="87"/>
      <c r="Z2011" s="87"/>
      <c r="AA2011" s="87"/>
      <c r="AB2011" s="87"/>
      <c r="AM2011" s="87"/>
      <c r="AN2011" s="87"/>
      <c r="AO2011" s="87"/>
      <c r="AP2011" s="87"/>
      <c r="AQ2011" s="87"/>
      <c r="AR2011" s="87"/>
      <c r="BC2011" s="87"/>
      <c r="BD2011" s="87"/>
      <c r="BE2011" s="87"/>
      <c r="BF2011" s="87"/>
      <c r="BG2011" s="87"/>
      <c r="BH2011" s="87"/>
    </row>
    <row r="2012" spans="23:60" x14ac:dyDescent="0.3">
      <c r="W2012" s="87"/>
      <c r="X2012" s="87"/>
      <c r="Y2012" s="87"/>
      <c r="Z2012" s="87"/>
      <c r="AA2012" s="87"/>
      <c r="AB2012" s="87"/>
      <c r="AM2012" s="87"/>
      <c r="AN2012" s="87"/>
      <c r="AO2012" s="87"/>
      <c r="AP2012" s="87"/>
      <c r="AQ2012" s="87"/>
      <c r="AR2012" s="87"/>
      <c r="BC2012" s="87"/>
      <c r="BD2012" s="87"/>
      <c r="BE2012" s="87"/>
      <c r="BF2012" s="87"/>
      <c r="BG2012" s="87"/>
      <c r="BH2012" s="87"/>
    </row>
    <row r="2013" spans="23:60" x14ac:dyDescent="0.3">
      <c r="W2013" s="87"/>
      <c r="X2013" s="87"/>
      <c r="Y2013" s="87"/>
      <c r="Z2013" s="87"/>
      <c r="AA2013" s="87"/>
      <c r="AB2013" s="87"/>
      <c r="AM2013" s="87"/>
      <c r="AN2013" s="87"/>
      <c r="AO2013" s="87"/>
      <c r="AP2013" s="87"/>
      <c r="AQ2013" s="87"/>
      <c r="AR2013" s="87"/>
      <c r="BC2013" s="87"/>
      <c r="BD2013" s="87"/>
      <c r="BE2013" s="87"/>
      <c r="BF2013" s="87"/>
      <c r="BG2013" s="87"/>
      <c r="BH2013" s="87"/>
    </row>
    <row r="2014" spans="23:60" x14ac:dyDescent="0.3">
      <c r="W2014" s="87"/>
      <c r="X2014" s="87"/>
      <c r="Y2014" s="87"/>
      <c r="Z2014" s="87"/>
      <c r="AA2014" s="87"/>
      <c r="AB2014" s="87"/>
      <c r="AM2014" s="87"/>
      <c r="AN2014" s="87"/>
      <c r="AO2014" s="87"/>
      <c r="AP2014" s="87"/>
      <c r="AQ2014" s="87"/>
      <c r="AR2014" s="87"/>
      <c r="BC2014" s="87"/>
      <c r="BD2014" s="87"/>
      <c r="BE2014" s="87"/>
      <c r="BF2014" s="87"/>
      <c r="BG2014" s="87"/>
      <c r="BH2014" s="87"/>
    </row>
    <row r="2015" spans="23:60" x14ac:dyDescent="0.3">
      <c r="W2015" s="87"/>
      <c r="X2015" s="87"/>
      <c r="Y2015" s="87"/>
      <c r="Z2015" s="87"/>
      <c r="AA2015" s="87"/>
      <c r="AB2015" s="87"/>
      <c r="AM2015" s="87"/>
      <c r="AN2015" s="87"/>
      <c r="AO2015" s="87"/>
      <c r="AP2015" s="87"/>
      <c r="AQ2015" s="87"/>
      <c r="AR2015" s="87"/>
      <c r="BC2015" s="87"/>
      <c r="BD2015" s="87"/>
      <c r="BE2015" s="87"/>
      <c r="BF2015" s="87"/>
      <c r="BG2015" s="87"/>
      <c r="BH2015" s="87"/>
    </row>
    <row r="2016" spans="23:60" x14ac:dyDescent="0.3">
      <c r="W2016" s="87"/>
      <c r="X2016" s="87"/>
      <c r="Y2016" s="87"/>
      <c r="Z2016" s="87"/>
      <c r="AA2016" s="87"/>
      <c r="AB2016" s="87"/>
      <c r="AM2016" s="87"/>
      <c r="AN2016" s="87"/>
      <c r="AO2016" s="87"/>
      <c r="AP2016" s="87"/>
      <c r="AQ2016" s="87"/>
      <c r="AR2016" s="87"/>
      <c r="BC2016" s="87"/>
      <c r="BD2016" s="87"/>
      <c r="BE2016" s="87"/>
      <c r="BF2016" s="87"/>
      <c r="BG2016" s="87"/>
      <c r="BH2016" s="87"/>
    </row>
    <row r="2017" spans="23:60" x14ac:dyDescent="0.3">
      <c r="W2017" s="87"/>
      <c r="X2017" s="87"/>
      <c r="Y2017" s="87"/>
      <c r="Z2017" s="87"/>
      <c r="AA2017" s="87"/>
      <c r="AB2017" s="87"/>
      <c r="AM2017" s="87"/>
      <c r="AN2017" s="87"/>
      <c r="AO2017" s="87"/>
      <c r="AP2017" s="87"/>
      <c r="AQ2017" s="87"/>
      <c r="AR2017" s="87"/>
      <c r="BC2017" s="87"/>
      <c r="BD2017" s="87"/>
      <c r="BE2017" s="87"/>
      <c r="BF2017" s="87"/>
      <c r="BG2017" s="87"/>
      <c r="BH2017" s="87"/>
    </row>
    <row r="2018" spans="23:60" x14ac:dyDescent="0.3">
      <c r="W2018" s="87"/>
      <c r="X2018" s="87"/>
      <c r="Y2018" s="87"/>
      <c r="Z2018" s="87"/>
      <c r="AA2018" s="87"/>
      <c r="AB2018" s="87"/>
      <c r="AM2018" s="87"/>
      <c r="AN2018" s="87"/>
      <c r="AO2018" s="87"/>
      <c r="AP2018" s="87"/>
      <c r="AQ2018" s="87"/>
      <c r="AR2018" s="87"/>
      <c r="BC2018" s="87"/>
      <c r="BD2018" s="87"/>
      <c r="BE2018" s="87"/>
      <c r="BF2018" s="87"/>
      <c r="BG2018" s="87"/>
      <c r="BH2018" s="87"/>
    </row>
    <row r="2019" spans="23:60" x14ac:dyDescent="0.3">
      <c r="W2019" s="87"/>
      <c r="X2019" s="87"/>
      <c r="Y2019" s="87"/>
      <c r="Z2019" s="87"/>
      <c r="AA2019" s="87"/>
      <c r="AB2019" s="87"/>
      <c r="AM2019" s="87"/>
      <c r="AN2019" s="87"/>
      <c r="AO2019" s="87"/>
      <c r="AP2019" s="87"/>
      <c r="AQ2019" s="87"/>
      <c r="AR2019" s="87"/>
      <c r="BC2019" s="87"/>
      <c r="BD2019" s="87"/>
      <c r="BE2019" s="87"/>
      <c r="BF2019" s="87"/>
      <c r="BG2019" s="87"/>
      <c r="BH2019" s="87"/>
    </row>
    <row r="2020" spans="23:60" x14ac:dyDescent="0.3">
      <c r="W2020" s="87"/>
      <c r="X2020" s="87"/>
      <c r="Y2020" s="87"/>
      <c r="Z2020" s="87"/>
      <c r="AA2020" s="87"/>
      <c r="AB2020" s="87"/>
      <c r="AM2020" s="87"/>
      <c r="AN2020" s="87"/>
      <c r="AO2020" s="87"/>
      <c r="AP2020" s="87"/>
      <c r="AQ2020" s="87"/>
      <c r="AR2020" s="87"/>
      <c r="BC2020" s="87"/>
      <c r="BD2020" s="87"/>
      <c r="BE2020" s="87"/>
      <c r="BF2020" s="87"/>
      <c r="BG2020" s="87"/>
      <c r="BH2020" s="87"/>
    </row>
    <row r="2021" spans="23:60" x14ac:dyDescent="0.3">
      <c r="W2021" s="87"/>
      <c r="X2021" s="87"/>
      <c r="Y2021" s="87"/>
      <c r="Z2021" s="87"/>
      <c r="AA2021" s="87"/>
      <c r="AB2021" s="87"/>
      <c r="AM2021" s="87"/>
      <c r="AN2021" s="87"/>
      <c r="AO2021" s="87"/>
      <c r="AP2021" s="87"/>
      <c r="AQ2021" s="87"/>
      <c r="AR2021" s="87"/>
      <c r="BC2021" s="87"/>
      <c r="BD2021" s="87"/>
      <c r="BE2021" s="87"/>
      <c r="BF2021" s="87"/>
      <c r="BG2021" s="87"/>
      <c r="BH2021" s="87"/>
    </row>
    <row r="2022" spans="23:60" x14ac:dyDescent="0.3">
      <c r="W2022" s="87"/>
      <c r="X2022" s="87"/>
      <c r="Y2022" s="87"/>
      <c r="Z2022" s="87"/>
      <c r="AA2022" s="87"/>
      <c r="AB2022" s="87"/>
      <c r="AM2022" s="87"/>
      <c r="AN2022" s="87"/>
      <c r="AO2022" s="87"/>
      <c r="AP2022" s="87"/>
      <c r="AQ2022" s="87"/>
      <c r="AR2022" s="87"/>
      <c r="BC2022" s="87"/>
      <c r="BD2022" s="87"/>
      <c r="BE2022" s="87"/>
      <c r="BF2022" s="87"/>
      <c r="BG2022" s="87"/>
      <c r="BH2022" s="87"/>
    </row>
    <row r="2023" spans="23:60" x14ac:dyDescent="0.3">
      <c r="W2023" s="87"/>
      <c r="X2023" s="87"/>
      <c r="Y2023" s="87"/>
      <c r="Z2023" s="87"/>
      <c r="AA2023" s="87"/>
      <c r="AB2023" s="87"/>
      <c r="AM2023" s="87"/>
      <c r="AN2023" s="87"/>
      <c r="AO2023" s="87"/>
      <c r="AP2023" s="87"/>
      <c r="AQ2023" s="87"/>
      <c r="AR2023" s="87"/>
      <c r="BC2023" s="87"/>
      <c r="BD2023" s="87"/>
      <c r="BE2023" s="87"/>
      <c r="BF2023" s="87"/>
      <c r="BG2023" s="87"/>
      <c r="BH2023" s="87"/>
    </row>
    <row r="2024" spans="23:60" x14ac:dyDescent="0.3">
      <c r="W2024" s="87"/>
      <c r="X2024" s="87"/>
      <c r="Y2024" s="87"/>
      <c r="Z2024" s="87"/>
      <c r="AA2024" s="87"/>
      <c r="AB2024" s="87"/>
      <c r="AM2024" s="87"/>
      <c r="AN2024" s="87"/>
      <c r="AO2024" s="87"/>
      <c r="AP2024" s="87"/>
      <c r="AQ2024" s="87"/>
      <c r="AR2024" s="87"/>
      <c r="BC2024" s="87"/>
      <c r="BD2024" s="87"/>
      <c r="BE2024" s="87"/>
      <c r="BF2024" s="87"/>
      <c r="BG2024" s="87"/>
      <c r="BH2024" s="87"/>
    </row>
    <row r="2025" spans="23:60" x14ac:dyDescent="0.3">
      <c r="W2025" s="87"/>
      <c r="X2025" s="87"/>
      <c r="Y2025" s="87"/>
      <c r="Z2025" s="87"/>
      <c r="AA2025" s="87"/>
      <c r="AB2025" s="87"/>
      <c r="AM2025" s="87"/>
      <c r="AN2025" s="87"/>
      <c r="AO2025" s="87"/>
      <c r="AP2025" s="87"/>
      <c r="AQ2025" s="87"/>
      <c r="AR2025" s="87"/>
      <c r="BC2025" s="87"/>
      <c r="BD2025" s="87"/>
      <c r="BE2025" s="87"/>
      <c r="BF2025" s="87"/>
      <c r="BG2025" s="87"/>
      <c r="BH2025" s="87"/>
    </row>
    <row r="2026" spans="23:60" x14ac:dyDescent="0.3">
      <c r="W2026" s="87"/>
      <c r="X2026" s="87"/>
      <c r="Y2026" s="87"/>
      <c r="Z2026" s="87"/>
      <c r="AA2026" s="87"/>
      <c r="AB2026" s="87"/>
      <c r="AM2026" s="87"/>
      <c r="AN2026" s="87"/>
      <c r="AO2026" s="87"/>
      <c r="AP2026" s="87"/>
      <c r="AQ2026" s="87"/>
      <c r="AR2026" s="87"/>
      <c r="BC2026" s="87"/>
      <c r="BD2026" s="87"/>
      <c r="BE2026" s="87"/>
      <c r="BF2026" s="87"/>
      <c r="BG2026" s="87"/>
      <c r="BH2026" s="87"/>
    </row>
    <row r="2027" spans="23:60" x14ac:dyDescent="0.3">
      <c r="W2027" s="87"/>
      <c r="X2027" s="87"/>
      <c r="Y2027" s="87"/>
      <c r="Z2027" s="87"/>
      <c r="AA2027" s="87"/>
      <c r="AB2027" s="87"/>
      <c r="AM2027" s="87"/>
      <c r="AN2027" s="87"/>
      <c r="AO2027" s="87"/>
      <c r="AP2027" s="87"/>
      <c r="AQ2027" s="87"/>
      <c r="AR2027" s="87"/>
      <c r="BC2027" s="87"/>
      <c r="BD2027" s="87"/>
      <c r="BE2027" s="87"/>
      <c r="BF2027" s="87"/>
      <c r="BG2027" s="87"/>
      <c r="BH2027" s="87"/>
    </row>
    <row r="2028" spans="23:60" x14ac:dyDescent="0.3">
      <c r="W2028" s="87"/>
      <c r="X2028" s="87"/>
      <c r="Y2028" s="87"/>
      <c r="Z2028" s="87"/>
      <c r="AA2028" s="87"/>
      <c r="AB2028" s="87"/>
      <c r="AM2028" s="87"/>
      <c r="AN2028" s="87"/>
      <c r="AO2028" s="87"/>
      <c r="AP2028" s="87"/>
      <c r="AQ2028" s="87"/>
      <c r="AR2028" s="87"/>
      <c r="BC2028" s="87"/>
      <c r="BD2028" s="87"/>
      <c r="BE2028" s="87"/>
      <c r="BF2028" s="87"/>
      <c r="BG2028" s="87"/>
      <c r="BH2028" s="87"/>
    </row>
    <row r="2029" spans="23:60" x14ac:dyDescent="0.3">
      <c r="W2029" s="87"/>
      <c r="X2029" s="87"/>
      <c r="Y2029" s="87"/>
      <c r="Z2029" s="87"/>
      <c r="AA2029" s="87"/>
      <c r="AB2029" s="87"/>
      <c r="AM2029" s="87"/>
      <c r="AN2029" s="87"/>
      <c r="AO2029" s="87"/>
      <c r="AP2029" s="87"/>
      <c r="AQ2029" s="87"/>
      <c r="AR2029" s="87"/>
      <c r="BC2029" s="87"/>
      <c r="BD2029" s="87"/>
      <c r="BE2029" s="87"/>
      <c r="BF2029" s="87"/>
      <c r="BG2029" s="87"/>
      <c r="BH2029" s="87"/>
    </row>
    <row r="2030" spans="23:60" x14ac:dyDescent="0.3">
      <c r="W2030" s="87"/>
      <c r="X2030" s="87"/>
      <c r="Y2030" s="87"/>
      <c r="Z2030" s="87"/>
      <c r="AA2030" s="87"/>
      <c r="AB2030" s="87"/>
      <c r="AM2030" s="87"/>
      <c r="AN2030" s="87"/>
      <c r="AO2030" s="87"/>
      <c r="AP2030" s="87"/>
      <c r="AQ2030" s="87"/>
      <c r="AR2030" s="87"/>
      <c r="BC2030" s="87"/>
      <c r="BD2030" s="87"/>
      <c r="BE2030" s="87"/>
      <c r="BF2030" s="87"/>
      <c r="BG2030" s="87"/>
      <c r="BH2030" s="87"/>
    </row>
    <row r="2031" spans="23:60" x14ac:dyDescent="0.3">
      <c r="W2031" s="87"/>
      <c r="X2031" s="87"/>
      <c r="Y2031" s="87"/>
      <c r="Z2031" s="87"/>
      <c r="AA2031" s="87"/>
      <c r="AB2031" s="87"/>
      <c r="AM2031" s="87"/>
      <c r="AN2031" s="87"/>
      <c r="AO2031" s="87"/>
      <c r="AP2031" s="87"/>
      <c r="AQ2031" s="87"/>
      <c r="AR2031" s="87"/>
      <c r="BC2031" s="87"/>
      <c r="BD2031" s="87"/>
      <c r="BE2031" s="87"/>
      <c r="BF2031" s="87"/>
      <c r="BG2031" s="87"/>
      <c r="BH2031" s="87"/>
    </row>
    <row r="2032" spans="23:60" x14ac:dyDescent="0.3">
      <c r="W2032" s="87"/>
      <c r="X2032" s="87"/>
      <c r="Y2032" s="87"/>
      <c r="Z2032" s="87"/>
      <c r="AA2032" s="87"/>
      <c r="AB2032" s="87"/>
      <c r="AM2032" s="87"/>
      <c r="AN2032" s="87"/>
      <c r="AO2032" s="87"/>
      <c r="AP2032" s="87"/>
      <c r="AQ2032" s="87"/>
      <c r="AR2032" s="87"/>
      <c r="BC2032" s="87"/>
      <c r="BD2032" s="87"/>
      <c r="BE2032" s="87"/>
      <c r="BF2032" s="87"/>
      <c r="BG2032" s="87"/>
      <c r="BH2032" s="87"/>
    </row>
    <row r="2033" spans="23:60" x14ac:dyDescent="0.3">
      <c r="W2033" s="87"/>
      <c r="X2033" s="87"/>
      <c r="Y2033" s="87"/>
      <c r="Z2033" s="87"/>
      <c r="AA2033" s="87"/>
      <c r="AB2033" s="87"/>
      <c r="AM2033" s="87"/>
      <c r="AN2033" s="87"/>
      <c r="AO2033" s="87"/>
      <c r="AP2033" s="87"/>
      <c r="AQ2033" s="87"/>
      <c r="AR2033" s="87"/>
      <c r="BC2033" s="87"/>
      <c r="BD2033" s="87"/>
      <c r="BE2033" s="87"/>
      <c r="BF2033" s="87"/>
      <c r="BG2033" s="87"/>
      <c r="BH2033" s="87"/>
    </row>
    <row r="2034" spans="23:60" x14ac:dyDescent="0.3">
      <c r="W2034" s="87"/>
      <c r="X2034" s="87"/>
      <c r="Y2034" s="87"/>
      <c r="Z2034" s="87"/>
      <c r="AA2034" s="87"/>
      <c r="AB2034" s="87"/>
      <c r="AM2034" s="87"/>
      <c r="AN2034" s="87"/>
      <c r="AO2034" s="87"/>
      <c r="AP2034" s="87"/>
      <c r="AQ2034" s="87"/>
      <c r="AR2034" s="87"/>
      <c r="BC2034" s="87"/>
      <c r="BD2034" s="87"/>
      <c r="BE2034" s="87"/>
      <c r="BF2034" s="87"/>
      <c r="BG2034" s="87"/>
      <c r="BH2034" s="87"/>
    </row>
    <row r="2035" spans="23:60" x14ac:dyDescent="0.3">
      <c r="W2035" s="87"/>
      <c r="X2035" s="87"/>
      <c r="Y2035" s="87"/>
      <c r="Z2035" s="87"/>
      <c r="AA2035" s="87"/>
      <c r="AB2035" s="87"/>
      <c r="AM2035" s="87"/>
      <c r="AN2035" s="87"/>
      <c r="AO2035" s="87"/>
      <c r="AP2035" s="87"/>
      <c r="AQ2035" s="87"/>
      <c r="AR2035" s="87"/>
      <c r="BC2035" s="87"/>
      <c r="BD2035" s="87"/>
      <c r="BE2035" s="87"/>
      <c r="BF2035" s="87"/>
      <c r="BG2035" s="87"/>
      <c r="BH2035" s="87"/>
    </row>
    <row r="2036" spans="23:60" x14ac:dyDescent="0.3">
      <c r="W2036" s="87"/>
      <c r="X2036" s="87"/>
      <c r="Y2036" s="87"/>
      <c r="Z2036" s="87"/>
      <c r="AA2036" s="87"/>
      <c r="AB2036" s="87"/>
      <c r="AM2036" s="87"/>
      <c r="AN2036" s="87"/>
      <c r="AO2036" s="87"/>
      <c r="AP2036" s="87"/>
      <c r="AQ2036" s="87"/>
      <c r="AR2036" s="87"/>
      <c r="BC2036" s="87"/>
      <c r="BD2036" s="87"/>
      <c r="BE2036" s="87"/>
      <c r="BF2036" s="87"/>
      <c r="BG2036" s="87"/>
      <c r="BH2036" s="87"/>
    </row>
    <row r="2037" spans="23:60" x14ac:dyDescent="0.3">
      <c r="W2037" s="87"/>
      <c r="X2037" s="87"/>
      <c r="Y2037" s="87"/>
      <c r="Z2037" s="87"/>
      <c r="AA2037" s="87"/>
      <c r="AB2037" s="87"/>
      <c r="AM2037" s="87"/>
      <c r="AN2037" s="87"/>
      <c r="AO2037" s="87"/>
      <c r="AP2037" s="87"/>
      <c r="AQ2037" s="87"/>
      <c r="AR2037" s="87"/>
      <c r="BC2037" s="87"/>
      <c r="BD2037" s="87"/>
      <c r="BE2037" s="87"/>
      <c r="BF2037" s="87"/>
      <c r="BG2037" s="87"/>
      <c r="BH2037" s="87"/>
    </row>
    <row r="2038" spans="23:60" x14ac:dyDescent="0.3">
      <c r="W2038" s="87"/>
      <c r="X2038" s="87"/>
      <c r="Y2038" s="87"/>
      <c r="Z2038" s="87"/>
      <c r="AA2038" s="87"/>
      <c r="AB2038" s="87"/>
      <c r="AM2038" s="87"/>
      <c r="AN2038" s="87"/>
      <c r="AO2038" s="87"/>
      <c r="AP2038" s="87"/>
      <c r="AQ2038" s="87"/>
      <c r="AR2038" s="87"/>
      <c r="BC2038" s="87"/>
      <c r="BD2038" s="87"/>
      <c r="BE2038" s="87"/>
      <c r="BF2038" s="87"/>
      <c r="BG2038" s="87"/>
      <c r="BH2038" s="87"/>
    </row>
    <row r="2039" spans="23:60" x14ac:dyDescent="0.3">
      <c r="W2039" s="87"/>
      <c r="X2039" s="87"/>
      <c r="Y2039" s="87"/>
      <c r="Z2039" s="87"/>
      <c r="AA2039" s="87"/>
      <c r="AB2039" s="87"/>
      <c r="AM2039" s="87"/>
      <c r="AN2039" s="87"/>
      <c r="AO2039" s="87"/>
      <c r="AP2039" s="87"/>
      <c r="AQ2039" s="87"/>
      <c r="AR2039" s="87"/>
      <c r="BC2039" s="87"/>
      <c r="BD2039" s="87"/>
      <c r="BE2039" s="87"/>
      <c r="BF2039" s="87"/>
      <c r="BG2039" s="87"/>
      <c r="BH2039" s="87"/>
    </row>
    <row r="2040" spans="23:60" x14ac:dyDescent="0.3">
      <c r="W2040" s="87"/>
      <c r="X2040" s="87"/>
      <c r="Y2040" s="87"/>
      <c r="Z2040" s="87"/>
      <c r="AA2040" s="87"/>
      <c r="AB2040" s="87"/>
      <c r="AM2040" s="87"/>
      <c r="AN2040" s="87"/>
      <c r="AO2040" s="87"/>
      <c r="AP2040" s="87"/>
      <c r="AQ2040" s="87"/>
      <c r="AR2040" s="87"/>
      <c r="BC2040" s="87"/>
      <c r="BD2040" s="87"/>
      <c r="BE2040" s="87"/>
      <c r="BF2040" s="87"/>
      <c r="BG2040" s="87"/>
      <c r="BH2040" s="87"/>
    </row>
    <row r="2041" spans="23:60" x14ac:dyDescent="0.3">
      <c r="W2041" s="87"/>
      <c r="X2041" s="87"/>
      <c r="Y2041" s="87"/>
      <c r="Z2041" s="87"/>
      <c r="AA2041" s="87"/>
      <c r="AB2041" s="87"/>
      <c r="AM2041" s="87"/>
      <c r="AN2041" s="87"/>
      <c r="AO2041" s="87"/>
      <c r="AP2041" s="87"/>
      <c r="AQ2041" s="87"/>
      <c r="AR2041" s="87"/>
      <c r="BC2041" s="87"/>
      <c r="BD2041" s="87"/>
      <c r="BE2041" s="87"/>
      <c r="BF2041" s="87"/>
      <c r="BG2041" s="87"/>
      <c r="BH2041" s="87"/>
    </row>
    <row r="2042" spans="23:60" x14ac:dyDescent="0.3">
      <c r="W2042" s="87"/>
      <c r="X2042" s="87"/>
      <c r="Y2042" s="87"/>
      <c r="Z2042" s="87"/>
      <c r="AA2042" s="87"/>
      <c r="AB2042" s="87"/>
      <c r="AM2042" s="87"/>
      <c r="AN2042" s="87"/>
      <c r="AO2042" s="87"/>
      <c r="AP2042" s="87"/>
      <c r="AQ2042" s="87"/>
      <c r="AR2042" s="87"/>
      <c r="BC2042" s="87"/>
      <c r="BD2042" s="87"/>
      <c r="BE2042" s="87"/>
      <c r="BF2042" s="87"/>
      <c r="BG2042" s="87"/>
      <c r="BH2042" s="87"/>
    </row>
    <row r="2043" spans="23:60" x14ac:dyDescent="0.3">
      <c r="W2043" s="87"/>
      <c r="X2043" s="87"/>
      <c r="Y2043" s="87"/>
      <c r="Z2043" s="87"/>
      <c r="AA2043" s="87"/>
      <c r="AB2043" s="87"/>
      <c r="AM2043" s="87"/>
      <c r="AN2043" s="87"/>
      <c r="AO2043" s="87"/>
      <c r="AP2043" s="87"/>
      <c r="AQ2043" s="87"/>
      <c r="AR2043" s="87"/>
      <c r="BC2043" s="87"/>
      <c r="BD2043" s="87"/>
      <c r="BE2043" s="87"/>
      <c r="BF2043" s="87"/>
      <c r="BG2043" s="87"/>
      <c r="BH2043" s="87"/>
    </row>
    <row r="2044" spans="23:60" x14ac:dyDescent="0.3">
      <c r="W2044" s="87"/>
      <c r="X2044" s="87"/>
      <c r="Y2044" s="87"/>
      <c r="Z2044" s="87"/>
      <c r="AA2044" s="87"/>
      <c r="AB2044" s="87"/>
      <c r="AM2044" s="87"/>
      <c r="AN2044" s="87"/>
      <c r="AO2044" s="87"/>
      <c r="AP2044" s="87"/>
      <c r="AQ2044" s="87"/>
      <c r="AR2044" s="87"/>
      <c r="BC2044" s="87"/>
      <c r="BD2044" s="87"/>
      <c r="BE2044" s="87"/>
      <c r="BF2044" s="87"/>
      <c r="BG2044" s="87"/>
      <c r="BH2044" s="87"/>
    </row>
    <row r="2045" spans="23:60" x14ac:dyDescent="0.3">
      <c r="W2045" s="87"/>
      <c r="X2045" s="87"/>
      <c r="Y2045" s="87"/>
      <c r="Z2045" s="87"/>
      <c r="AA2045" s="87"/>
      <c r="AB2045" s="87"/>
      <c r="AM2045" s="87"/>
      <c r="AN2045" s="87"/>
      <c r="AO2045" s="87"/>
      <c r="AP2045" s="87"/>
      <c r="AQ2045" s="87"/>
      <c r="AR2045" s="87"/>
      <c r="BC2045" s="87"/>
      <c r="BD2045" s="87"/>
      <c r="BE2045" s="87"/>
      <c r="BF2045" s="87"/>
      <c r="BG2045" s="87"/>
      <c r="BH2045" s="87"/>
    </row>
    <row r="2046" spans="23:60" x14ac:dyDescent="0.3">
      <c r="W2046" s="87"/>
      <c r="X2046" s="87"/>
      <c r="Y2046" s="87"/>
      <c r="Z2046" s="87"/>
      <c r="AA2046" s="87"/>
      <c r="AB2046" s="87"/>
      <c r="AM2046" s="87"/>
      <c r="AN2046" s="87"/>
      <c r="AO2046" s="87"/>
      <c r="AP2046" s="87"/>
      <c r="AQ2046" s="87"/>
      <c r="AR2046" s="87"/>
      <c r="BC2046" s="87"/>
      <c r="BD2046" s="87"/>
      <c r="BE2046" s="87"/>
      <c r="BF2046" s="87"/>
      <c r="BG2046" s="87"/>
      <c r="BH2046" s="87"/>
    </row>
    <row r="2047" spans="23:60" x14ac:dyDescent="0.3">
      <c r="W2047" s="87"/>
      <c r="X2047" s="87"/>
      <c r="Y2047" s="87"/>
      <c r="Z2047" s="87"/>
      <c r="AA2047" s="87"/>
      <c r="AB2047" s="87"/>
      <c r="AM2047" s="87"/>
      <c r="AN2047" s="87"/>
      <c r="AO2047" s="87"/>
      <c r="AP2047" s="87"/>
      <c r="AQ2047" s="87"/>
      <c r="AR2047" s="87"/>
      <c r="BC2047" s="87"/>
      <c r="BD2047" s="87"/>
      <c r="BE2047" s="87"/>
      <c r="BF2047" s="87"/>
      <c r="BG2047" s="87"/>
      <c r="BH2047" s="87"/>
    </row>
    <row r="2048" spans="23:60" x14ac:dyDescent="0.3">
      <c r="W2048" s="87"/>
      <c r="X2048" s="87"/>
      <c r="Y2048" s="87"/>
      <c r="Z2048" s="87"/>
      <c r="AA2048" s="87"/>
      <c r="AB2048" s="87"/>
      <c r="AM2048" s="87"/>
      <c r="AN2048" s="87"/>
      <c r="AO2048" s="87"/>
      <c r="AP2048" s="87"/>
      <c r="AQ2048" s="87"/>
      <c r="AR2048" s="87"/>
      <c r="BC2048" s="87"/>
      <c r="BD2048" s="87"/>
      <c r="BE2048" s="87"/>
      <c r="BF2048" s="87"/>
      <c r="BG2048" s="87"/>
      <c r="BH2048" s="87"/>
    </row>
    <row r="2049" spans="23:60" x14ac:dyDescent="0.3">
      <c r="W2049" s="87"/>
      <c r="X2049" s="87"/>
      <c r="Y2049" s="87"/>
      <c r="Z2049" s="87"/>
      <c r="AA2049" s="87"/>
      <c r="AB2049" s="87"/>
      <c r="AM2049" s="87"/>
      <c r="AN2049" s="87"/>
      <c r="AO2049" s="87"/>
      <c r="AP2049" s="87"/>
      <c r="AQ2049" s="87"/>
      <c r="AR2049" s="87"/>
      <c r="BC2049" s="87"/>
      <c r="BD2049" s="87"/>
      <c r="BE2049" s="87"/>
      <c r="BF2049" s="87"/>
      <c r="BG2049" s="87"/>
      <c r="BH2049" s="87"/>
    </row>
    <row r="2050" spans="23:60" x14ac:dyDescent="0.3">
      <c r="W2050" s="87"/>
      <c r="X2050" s="87"/>
      <c r="Y2050" s="87"/>
      <c r="Z2050" s="87"/>
      <c r="AA2050" s="87"/>
      <c r="AB2050" s="87"/>
      <c r="AM2050" s="87"/>
      <c r="AN2050" s="87"/>
      <c r="AO2050" s="87"/>
      <c r="AP2050" s="87"/>
      <c r="AQ2050" s="87"/>
      <c r="AR2050" s="87"/>
      <c r="BC2050" s="87"/>
      <c r="BD2050" s="87"/>
      <c r="BE2050" s="87"/>
      <c r="BF2050" s="87"/>
      <c r="BG2050" s="87"/>
      <c r="BH2050" s="87"/>
    </row>
    <row r="2051" spans="23:60" x14ac:dyDescent="0.3">
      <c r="W2051" s="87"/>
      <c r="X2051" s="87"/>
      <c r="Y2051" s="87"/>
      <c r="Z2051" s="87"/>
      <c r="AA2051" s="87"/>
      <c r="AB2051" s="87"/>
      <c r="AM2051" s="87"/>
      <c r="AN2051" s="87"/>
      <c r="AO2051" s="87"/>
      <c r="AP2051" s="87"/>
      <c r="AQ2051" s="87"/>
      <c r="AR2051" s="87"/>
      <c r="BC2051" s="87"/>
      <c r="BD2051" s="87"/>
      <c r="BE2051" s="87"/>
      <c r="BF2051" s="87"/>
      <c r="BG2051" s="87"/>
      <c r="BH2051" s="87"/>
    </row>
    <row r="2052" spans="23:60" x14ac:dyDescent="0.3">
      <c r="W2052" s="87"/>
      <c r="X2052" s="87"/>
      <c r="Y2052" s="87"/>
      <c r="Z2052" s="87"/>
      <c r="AA2052" s="87"/>
      <c r="AB2052" s="87"/>
      <c r="AM2052" s="87"/>
      <c r="AN2052" s="87"/>
      <c r="AO2052" s="87"/>
      <c r="AP2052" s="87"/>
      <c r="AQ2052" s="87"/>
      <c r="AR2052" s="87"/>
      <c r="BC2052" s="87"/>
      <c r="BD2052" s="87"/>
      <c r="BE2052" s="87"/>
      <c r="BF2052" s="87"/>
      <c r="BG2052" s="87"/>
      <c r="BH2052" s="87"/>
    </row>
    <row r="2053" spans="23:60" x14ac:dyDescent="0.3">
      <c r="W2053" s="87"/>
      <c r="X2053" s="87"/>
      <c r="Y2053" s="87"/>
      <c r="Z2053" s="87"/>
      <c r="AA2053" s="87"/>
      <c r="AB2053" s="87"/>
      <c r="AM2053" s="87"/>
      <c r="AN2053" s="87"/>
      <c r="AO2053" s="87"/>
      <c r="AP2053" s="87"/>
      <c r="AQ2053" s="87"/>
      <c r="AR2053" s="87"/>
      <c r="BC2053" s="87"/>
      <c r="BD2053" s="87"/>
      <c r="BE2053" s="87"/>
      <c r="BF2053" s="87"/>
      <c r="BG2053" s="87"/>
      <c r="BH2053" s="87"/>
    </row>
    <row r="2054" spans="23:60" x14ac:dyDescent="0.3">
      <c r="W2054" s="87"/>
      <c r="X2054" s="87"/>
      <c r="Y2054" s="87"/>
      <c r="Z2054" s="87"/>
      <c r="AA2054" s="87"/>
      <c r="AB2054" s="87"/>
      <c r="AM2054" s="87"/>
      <c r="AN2054" s="87"/>
      <c r="AO2054" s="87"/>
      <c r="AP2054" s="87"/>
      <c r="AQ2054" s="87"/>
      <c r="AR2054" s="87"/>
      <c r="BC2054" s="87"/>
      <c r="BD2054" s="87"/>
      <c r="BE2054" s="87"/>
      <c r="BF2054" s="87"/>
      <c r="BG2054" s="87"/>
      <c r="BH2054" s="87"/>
    </row>
    <row r="2055" spans="23:60" x14ac:dyDescent="0.3">
      <c r="W2055" s="87"/>
      <c r="X2055" s="87"/>
      <c r="Y2055" s="87"/>
      <c r="Z2055" s="87"/>
      <c r="AA2055" s="87"/>
      <c r="AB2055" s="87"/>
      <c r="AM2055" s="87"/>
      <c r="AN2055" s="87"/>
      <c r="AO2055" s="87"/>
      <c r="AP2055" s="87"/>
      <c r="AQ2055" s="87"/>
      <c r="AR2055" s="87"/>
      <c r="BC2055" s="87"/>
      <c r="BD2055" s="87"/>
      <c r="BE2055" s="87"/>
      <c r="BF2055" s="87"/>
      <c r="BG2055" s="87"/>
      <c r="BH2055" s="87"/>
    </row>
    <row r="2056" spans="23:60" x14ac:dyDescent="0.3">
      <c r="W2056" s="87"/>
      <c r="X2056" s="87"/>
      <c r="Y2056" s="87"/>
      <c r="Z2056" s="87"/>
      <c r="AA2056" s="87"/>
      <c r="AB2056" s="87"/>
      <c r="AM2056" s="87"/>
      <c r="AN2056" s="87"/>
      <c r="AO2056" s="87"/>
      <c r="AP2056" s="87"/>
      <c r="AQ2056" s="87"/>
      <c r="AR2056" s="87"/>
      <c r="BC2056" s="87"/>
      <c r="BD2056" s="87"/>
      <c r="BE2056" s="87"/>
      <c r="BF2056" s="87"/>
      <c r="BG2056" s="87"/>
      <c r="BH2056" s="87"/>
    </row>
    <row r="2057" spans="23:60" x14ac:dyDescent="0.3">
      <c r="W2057" s="87"/>
      <c r="X2057" s="87"/>
      <c r="Y2057" s="87"/>
      <c r="Z2057" s="87"/>
      <c r="AA2057" s="87"/>
      <c r="AB2057" s="87"/>
      <c r="AM2057" s="87"/>
      <c r="AN2057" s="87"/>
      <c r="AO2057" s="87"/>
      <c r="AP2057" s="87"/>
      <c r="AQ2057" s="87"/>
      <c r="AR2057" s="87"/>
      <c r="BC2057" s="87"/>
      <c r="BD2057" s="87"/>
      <c r="BE2057" s="87"/>
      <c r="BF2057" s="87"/>
      <c r="BG2057" s="87"/>
      <c r="BH2057" s="87"/>
    </row>
    <row r="2058" spans="23:60" x14ac:dyDescent="0.3">
      <c r="W2058" s="87"/>
      <c r="X2058" s="87"/>
      <c r="Y2058" s="87"/>
      <c r="Z2058" s="87"/>
      <c r="AA2058" s="87"/>
      <c r="AB2058" s="87"/>
      <c r="AM2058" s="87"/>
      <c r="AN2058" s="87"/>
      <c r="AO2058" s="87"/>
      <c r="AP2058" s="87"/>
      <c r="AQ2058" s="87"/>
      <c r="AR2058" s="87"/>
      <c r="BC2058" s="87"/>
      <c r="BD2058" s="87"/>
      <c r="BE2058" s="87"/>
      <c r="BF2058" s="87"/>
      <c r="BG2058" s="87"/>
      <c r="BH2058" s="87"/>
    </row>
    <row r="2059" spans="23:60" x14ac:dyDescent="0.3">
      <c r="W2059" s="87"/>
      <c r="X2059" s="87"/>
      <c r="Y2059" s="87"/>
      <c r="Z2059" s="87"/>
      <c r="AA2059" s="87"/>
      <c r="AB2059" s="87"/>
      <c r="AM2059" s="87"/>
      <c r="AN2059" s="87"/>
      <c r="AO2059" s="87"/>
      <c r="AP2059" s="87"/>
      <c r="AQ2059" s="87"/>
      <c r="AR2059" s="87"/>
      <c r="BC2059" s="87"/>
      <c r="BD2059" s="87"/>
      <c r="BE2059" s="87"/>
      <c r="BF2059" s="87"/>
      <c r="BG2059" s="87"/>
      <c r="BH2059" s="87"/>
    </row>
    <row r="2060" spans="23:60" x14ac:dyDescent="0.3">
      <c r="W2060" s="87"/>
      <c r="X2060" s="87"/>
      <c r="Y2060" s="87"/>
      <c r="Z2060" s="87"/>
      <c r="AA2060" s="87"/>
      <c r="AB2060" s="87"/>
      <c r="AM2060" s="87"/>
      <c r="AN2060" s="87"/>
      <c r="AO2060" s="87"/>
      <c r="AP2060" s="87"/>
      <c r="AQ2060" s="87"/>
      <c r="AR2060" s="87"/>
      <c r="BC2060" s="87"/>
      <c r="BD2060" s="87"/>
      <c r="BE2060" s="87"/>
      <c r="BF2060" s="87"/>
      <c r="BG2060" s="87"/>
      <c r="BH2060" s="87"/>
    </row>
    <row r="2061" spans="23:60" x14ac:dyDescent="0.3">
      <c r="W2061" s="87"/>
      <c r="X2061" s="87"/>
      <c r="Y2061" s="87"/>
      <c r="Z2061" s="87"/>
      <c r="AA2061" s="87"/>
      <c r="AB2061" s="87"/>
      <c r="AM2061" s="87"/>
      <c r="AN2061" s="87"/>
      <c r="AO2061" s="87"/>
      <c r="AP2061" s="87"/>
      <c r="AQ2061" s="87"/>
      <c r="AR2061" s="87"/>
      <c r="BC2061" s="87"/>
      <c r="BD2061" s="87"/>
      <c r="BE2061" s="87"/>
      <c r="BF2061" s="87"/>
      <c r="BG2061" s="87"/>
      <c r="BH2061" s="87"/>
    </row>
    <row r="2062" spans="23:60" x14ac:dyDescent="0.3">
      <c r="W2062" s="87"/>
      <c r="X2062" s="87"/>
      <c r="Y2062" s="87"/>
      <c r="Z2062" s="87"/>
      <c r="AA2062" s="87"/>
      <c r="AB2062" s="87"/>
      <c r="AM2062" s="87"/>
      <c r="AN2062" s="87"/>
      <c r="AO2062" s="87"/>
      <c r="AP2062" s="87"/>
      <c r="AQ2062" s="87"/>
      <c r="AR2062" s="87"/>
      <c r="BC2062" s="87"/>
      <c r="BD2062" s="87"/>
      <c r="BE2062" s="87"/>
      <c r="BF2062" s="87"/>
      <c r="BG2062" s="87"/>
      <c r="BH2062" s="87"/>
    </row>
    <row r="2063" spans="23:60" x14ac:dyDescent="0.3">
      <c r="W2063" s="87"/>
      <c r="X2063" s="87"/>
      <c r="Y2063" s="87"/>
      <c r="Z2063" s="87"/>
      <c r="AA2063" s="87"/>
      <c r="AB2063" s="87"/>
      <c r="AM2063" s="87"/>
      <c r="AN2063" s="87"/>
      <c r="AO2063" s="87"/>
      <c r="AP2063" s="87"/>
      <c r="AQ2063" s="87"/>
      <c r="AR2063" s="87"/>
      <c r="BC2063" s="87"/>
      <c r="BD2063" s="87"/>
      <c r="BE2063" s="87"/>
      <c r="BF2063" s="87"/>
      <c r="BG2063" s="87"/>
      <c r="BH2063" s="87"/>
    </row>
    <row r="2064" spans="23:60" x14ac:dyDescent="0.3">
      <c r="W2064" s="87"/>
      <c r="X2064" s="87"/>
      <c r="Y2064" s="87"/>
      <c r="Z2064" s="87"/>
      <c r="AA2064" s="87"/>
      <c r="AB2064" s="87"/>
      <c r="AM2064" s="87"/>
      <c r="AN2064" s="87"/>
      <c r="AO2064" s="87"/>
      <c r="AP2064" s="87"/>
      <c r="AQ2064" s="87"/>
      <c r="AR2064" s="87"/>
      <c r="BC2064" s="87"/>
      <c r="BD2064" s="87"/>
      <c r="BE2064" s="87"/>
      <c r="BF2064" s="87"/>
      <c r="BG2064" s="87"/>
      <c r="BH2064" s="87"/>
    </row>
  </sheetData>
  <mergeCells count="3">
    <mergeCell ref="J45:K45"/>
    <mergeCell ref="L45:M45"/>
    <mergeCell ref="R4:S4"/>
  </mergeCells>
  <conditionalFormatting sqref="Q6:Q18">
    <cfRule type="cellIs" dxfId="14" priority="2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2060"/>
  </sheetPr>
  <dimension ref="A1:AB112"/>
  <sheetViews>
    <sheetView showGridLines="0" tabSelected="1" zoomScaleNormal="100" workbookViewId="0">
      <selection activeCell="H23" sqref="H23"/>
    </sheetView>
  </sheetViews>
  <sheetFormatPr defaultRowHeight="14.4" x14ac:dyDescent="0.3"/>
  <cols>
    <col min="1" max="1" width="29.5546875" customWidth="1"/>
    <col min="2" max="2" width="19" customWidth="1"/>
    <col min="3" max="3" width="14.5546875" customWidth="1"/>
    <col min="4" max="4" width="14.88671875" customWidth="1"/>
    <col min="6" max="6" width="8.5546875" customWidth="1"/>
    <col min="7" max="8" width="8.88671875" style="2"/>
    <col min="9" max="9" width="10" style="2" bestFit="1" customWidth="1"/>
    <col min="10" max="12" width="8.88671875" style="2"/>
    <col min="13" max="13" width="8.88671875" style="2" customWidth="1"/>
    <col min="14" max="18" width="8.88671875" style="2"/>
    <col min="22" max="27" width="8.88671875" style="3"/>
    <col min="28" max="28" width="9.109375" style="3"/>
  </cols>
  <sheetData>
    <row r="1" spans="1:28" x14ac:dyDescent="0.3">
      <c r="A1" s="183" t="str">
        <f>Calculation!J36</f>
        <v>Аэрофлот, П01-БО-01</v>
      </c>
      <c r="B1" s="183"/>
      <c r="C1" s="42"/>
      <c r="D1" s="43"/>
      <c r="E1" s="43"/>
      <c r="F1" s="43"/>
      <c r="V1" s="4" t="s">
        <v>30</v>
      </c>
      <c r="W1" s="5">
        <f>B76</f>
        <v>0.12920000000000001</v>
      </c>
      <c r="X1" s="6">
        <f>B77</f>
        <v>0.1671</v>
      </c>
      <c r="Y1" s="6">
        <f>F76</f>
        <v>0.15210000000000001</v>
      </c>
      <c r="Z1" s="6">
        <f>F77</f>
        <v>0.21440000000000001</v>
      </c>
      <c r="AA1" s="6">
        <f>B78</f>
        <v>0.2555</v>
      </c>
      <c r="AB1" s="6">
        <f>B41/100</f>
        <v>0.15095224117229999</v>
      </c>
    </row>
    <row r="2" spans="1:28" x14ac:dyDescent="0.3">
      <c r="A2" s="44" t="s">
        <v>1</v>
      </c>
      <c r="B2" s="184" t="str">
        <f>Calculation!B1</f>
        <v>RU000A103943</v>
      </c>
      <c r="C2" s="184"/>
      <c r="D2" s="184"/>
      <c r="E2" s="45"/>
      <c r="F2" s="45"/>
      <c r="I2" s="2" t="s">
        <v>1065</v>
      </c>
      <c r="V2" s="4"/>
      <c r="W2" s="5"/>
      <c r="X2" s="6"/>
      <c r="Y2" s="6"/>
      <c r="Z2" s="6"/>
      <c r="AA2" s="6"/>
      <c r="AB2" s="6"/>
    </row>
    <row r="3" spans="1:28" ht="28.5" customHeight="1" x14ac:dyDescent="0.3">
      <c r="A3" s="46" t="s">
        <v>2</v>
      </c>
      <c r="B3" s="185" t="str">
        <f>Calculation!O2</f>
        <v>"Аэрофлот - российские авиалинии", ПАО</v>
      </c>
      <c r="C3" s="185"/>
      <c r="D3" s="185"/>
      <c r="E3" s="47"/>
      <c r="F3" s="47"/>
      <c r="I3" s="90" t="s">
        <v>1277</v>
      </c>
      <c r="J3" s="90"/>
      <c r="K3" s="90"/>
      <c r="L3" s="103"/>
      <c r="M3" s="103"/>
      <c r="N3" s="103"/>
      <c r="O3" s="103"/>
      <c r="P3" s="103"/>
      <c r="Q3" s="103"/>
      <c r="V3" s="4"/>
      <c r="W3" s="5"/>
      <c r="X3" s="6"/>
      <c r="Y3" s="6"/>
      <c r="Z3" s="6"/>
      <c r="AA3" s="6"/>
      <c r="AB3" s="6"/>
    </row>
    <row r="4" spans="1:28" x14ac:dyDescent="0.3">
      <c r="A4" s="46" t="s">
        <v>25</v>
      </c>
      <c r="B4" s="187" t="str">
        <f>Calculation!J2</f>
        <v>Россия</v>
      </c>
      <c r="C4" s="187"/>
      <c r="D4" s="187"/>
      <c r="E4" s="116"/>
      <c r="F4" s="47"/>
      <c r="I4" s="90" t="s">
        <v>2028</v>
      </c>
      <c r="J4" s="90"/>
      <c r="K4" s="90"/>
      <c r="L4" s="90"/>
      <c r="M4" s="103"/>
      <c r="N4" s="103"/>
      <c r="O4" s="103"/>
      <c r="V4" s="4" t="s">
        <v>32</v>
      </c>
      <c r="W4" s="4">
        <v>0.85</v>
      </c>
      <c r="X4" s="4">
        <v>0.85</v>
      </c>
      <c r="Y4" s="4">
        <v>0.85</v>
      </c>
      <c r="Z4" s="4">
        <v>0.85</v>
      </c>
      <c r="AA4" s="4">
        <v>0.85</v>
      </c>
      <c r="AB4" s="4">
        <v>0.85</v>
      </c>
    </row>
    <row r="5" spans="1:28" x14ac:dyDescent="0.3">
      <c r="A5" s="48" t="s">
        <v>4</v>
      </c>
      <c r="B5" s="187" t="str">
        <f>Calculation!P2</f>
        <v>Корпоративный</v>
      </c>
      <c r="C5" s="187"/>
      <c r="D5" s="187"/>
      <c r="E5" s="48"/>
      <c r="F5" s="48"/>
      <c r="I5" s="90" t="s">
        <v>1292</v>
      </c>
      <c r="J5" s="90"/>
      <c r="K5" s="90"/>
      <c r="L5" s="90"/>
      <c r="M5" s="90"/>
      <c r="N5" s="103"/>
      <c r="O5" s="103"/>
      <c r="V5" s="7"/>
      <c r="W5" s="7"/>
      <c r="X5" s="7"/>
      <c r="Y5" s="7"/>
      <c r="Z5" s="7"/>
      <c r="AA5" s="7"/>
      <c r="AB5" s="7"/>
    </row>
    <row r="6" spans="1:28" x14ac:dyDescent="0.3">
      <c r="A6" s="48" t="s">
        <v>370</v>
      </c>
      <c r="B6" s="186" t="str">
        <f>Calculation!K2</f>
        <v>Воздушный транспорт</v>
      </c>
      <c r="C6" s="186"/>
      <c r="D6" s="186"/>
      <c r="E6" s="48"/>
      <c r="F6" s="48"/>
      <c r="I6" s="90" t="s">
        <v>1417</v>
      </c>
      <c r="J6" s="90"/>
      <c r="K6" s="103"/>
      <c r="L6" s="103"/>
      <c r="M6" s="103"/>
      <c r="N6" s="103"/>
      <c r="O6" s="103"/>
    </row>
    <row r="7" spans="1:28" ht="27.6" x14ac:dyDescent="0.3">
      <c r="A7" s="49" t="s">
        <v>26</v>
      </c>
      <c r="B7" s="182">
        <f>Calculation!CL7</f>
        <v>3</v>
      </c>
      <c r="C7" s="182"/>
      <c r="D7" s="182"/>
      <c r="E7" s="50"/>
      <c r="F7" s="50"/>
      <c r="I7" s="90" t="s">
        <v>1418</v>
      </c>
      <c r="J7" s="90"/>
      <c r="K7" s="90"/>
      <c r="L7" s="90"/>
      <c r="M7" s="103"/>
      <c r="N7" s="103"/>
      <c r="O7" s="103"/>
    </row>
    <row r="8" spans="1:28" ht="15.6" x14ac:dyDescent="0.3">
      <c r="A8" s="52" t="s">
        <v>27</v>
      </c>
      <c r="B8" s="52"/>
      <c r="C8" s="52"/>
      <c r="D8" s="52"/>
      <c r="E8" s="52"/>
      <c r="F8" s="52"/>
      <c r="I8" s="90" t="s">
        <v>1419</v>
      </c>
      <c r="J8" s="90"/>
      <c r="K8" s="90"/>
      <c r="L8" s="90"/>
      <c r="M8" s="90"/>
      <c r="N8" s="127"/>
      <c r="O8" s="103"/>
      <c r="P8" s="103"/>
    </row>
    <row r="9" spans="1:28" ht="15.6" x14ac:dyDescent="0.3">
      <c r="A9" s="51" t="str">
        <f>IFERROR(Calculation!BV7,"")</f>
        <v>Эксперт РА</v>
      </c>
      <c r="B9" s="51" t="str">
        <f>IFERROR(Calculation!BT7,"")</f>
        <v>ruAA</v>
      </c>
      <c r="C9" s="91">
        <f>IFERROR(Calculation!BU7,"")</f>
        <v>45961</v>
      </c>
      <c r="D9" s="52"/>
      <c r="E9" s="52"/>
      <c r="F9" s="52"/>
    </row>
    <row r="10" spans="1:28" ht="15.6" x14ac:dyDescent="0.3">
      <c r="A10" s="51" t="str">
        <f>IFERROR(Calculation!BV8,"")</f>
        <v>АКРА</v>
      </c>
      <c r="B10" s="51" t="str">
        <f>IFERROR(Calculation!BT8,"")</f>
        <v>AA(RU)</v>
      </c>
      <c r="C10" s="91">
        <f>IFERROR(Calculation!BU8,"")</f>
        <v>45831</v>
      </c>
      <c r="D10" s="81"/>
      <c r="E10" s="81"/>
      <c r="F10" s="81"/>
      <c r="I10" s="2" t="s">
        <v>1251</v>
      </c>
    </row>
    <row r="11" spans="1:28" ht="15.6" x14ac:dyDescent="0.3">
      <c r="A11" s="51" t="str">
        <f>IFERROR(Calculation!BV9,"")</f>
        <v>НКР</v>
      </c>
      <c r="B11" s="51" t="str">
        <f>IFERROR(Calculation!BT9,"")</f>
        <v/>
      </c>
      <c r="C11" s="91" t="str">
        <f>IFERROR(Calculation!BU9,"")</f>
        <v/>
      </c>
      <c r="D11" s="101"/>
      <c r="E11" s="101"/>
      <c r="F11" s="101"/>
      <c r="J11" s="2" t="str">
        <f>IF(COUNTIF(Calculation!Q6:Q18, "&lt;= 0") &gt; 0,"ВНИМАНИЕ: G-spread имеет значения меньше 0!", "Ошибок по G-spread нет")</f>
        <v>Ошибок по G-spread нет</v>
      </c>
    </row>
    <row r="12" spans="1:28" ht="15.6" x14ac:dyDescent="0.3">
      <c r="A12" s="51" t="str">
        <f>IFERROR(Calculation!BV10,"")</f>
        <v>RAEX-Europe</v>
      </c>
      <c r="B12" s="51" t="str">
        <f>IFERROR(Calculation!BT10,"")</f>
        <v/>
      </c>
      <c r="C12" s="91" t="str">
        <f>IFERROR(Calculation!BU10,"")</f>
        <v/>
      </c>
      <c r="D12" s="101"/>
      <c r="E12" s="101"/>
      <c r="F12" s="101"/>
      <c r="J12" s="2" t="str">
        <f>IF(COUNTIF(Calculation!L6:N18, "") &gt; 0,"ВНИМАНИЕ: в выгрузке присутствуют пустые значения", "Пустых значений в выгрузке нет")</f>
        <v>Пустых значений в выгрузке нет</v>
      </c>
    </row>
    <row r="13" spans="1:28" ht="15.6" x14ac:dyDescent="0.3">
      <c r="A13" s="52" t="s">
        <v>1246</v>
      </c>
      <c r="B13" s="51"/>
      <c r="C13" s="91"/>
      <c r="D13" s="101"/>
      <c r="E13" s="101"/>
      <c r="F13" s="101"/>
      <c r="J13" s="2" t="str">
        <f>IF(B33 = "рынок не активный","ВНИМАНИЕ: рынок по данной бумаге неактивный, требуется ручная проверка данных", "Рынок по данной бумаге активный")</f>
        <v>Рынок по данной бумаге активный</v>
      </c>
    </row>
    <row r="14" spans="1:28" ht="15.6" x14ac:dyDescent="0.3">
      <c r="A14" s="51" t="str">
        <f>IFERROR(Calculation!BV15,"")</f>
        <v>Эксперт РА</v>
      </c>
      <c r="B14" s="51" t="str">
        <f>IFERROR(Calculation!BT15,"")</f>
        <v>ruAA/Стабильный</v>
      </c>
      <c r="C14" s="91">
        <f>IFERROR(Calculation!BU15,"")</f>
        <v>45957</v>
      </c>
      <c r="D14" s="101"/>
      <c r="E14" s="101"/>
      <c r="F14" s="101"/>
      <c r="J14" s="2" t="str">
        <f>IF(COUNTIF('Double test'!E6:E19,"Ок")/COUNTA('Double test'!E6:E19) &lt;&gt; 1,"ВНИМАНИЕ: данные выгрузки не сходятся с выгрузкой с cbonds", "Выгрузка произведена корректно")</f>
        <v>ВНИМАНИЕ: данные выгрузки не сходятся с выгрузкой с cbonds</v>
      </c>
    </row>
    <row r="15" spans="1:28" ht="15.6" x14ac:dyDescent="0.3">
      <c r="A15" s="51" t="str">
        <f>IFERROR(Calculation!BV16,"")</f>
        <v>АКРА</v>
      </c>
      <c r="B15" s="51" t="str">
        <f>IFERROR(Calculation!BT16,"")</f>
        <v>aa-(ru)/Стабильный</v>
      </c>
      <c r="C15" s="91">
        <f>IFERROR(Calculation!BU16,"")</f>
        <v>45831</v>
      </c>
      <c r="D15" s="101"/>
      <c r="E15" s="101"/>
      <c r="F15" s="101"/>
    </row>
    <row r="16" spans="1:28" ht="15.6" x14ac:dyDescent="0.3">
      <c r="A16" s="51" t="str">
        <f>IFERROR(Calculation!BV17,"")</f>
        <v>НКР</v>
      </c>
      <c r="B16" s="51" t="str">
        <f>IFERROR(Calculation!BT17,"")</f>
        <v/>
      </c>
      <c r="C16" s="91" t="str">
        <f>IFERROR(Calculation!BU17,"")</f>
        <v/>
      </c>
      <c r="D16" s="101"/>
      <c r="E16" s="101"/>
      <c r="F16" s="101"/>
    </row>
    <row r="17" spans="1:28" ht="15.6" x14ac:dyDescent="0.3">
      <c r="A17" s="51" t="str">
        <f>IFERROR(Calculation!BV18,"")</f>
        <v>RAEX-Europe</v>
      </c>
      <c r="B17" s="51" t="str">
        <f>IFERROR(Calculation!BT18,"")</f>
        <v/>
      </c>
      <c r="C17" s="91" t="str">
        <f>IFERROR(Calculation!BU18,"")</f>
        <v/>
      </c>
      <c r="D17" s="101"/>
      <c r="E17" s="101"/>
      <c r="F17" s="101"/>
    </row>
    <row r="18" spans="1:28" ht="15.6" x14ac:dyDescent="0.3">
      <c r="A18" s="52" t="s">
        <v>1247</v>
      </c>
      <c r="B18" s="51"/>
      <c r="C18" s="91"/>
      <c r="D18" s="102"/>
      <c r="E18" s="102"/>
      <c r="F18" s="102"/>
    </row>
    <row r="19" spans="1:28" ht="15.6" x14ac:dyDescent="0.3">
      <c r="A19" s="51" t="str">
        <f>IFERROR(Calculation!BV23,"")</f>
        <v>Эксперт РА</v>
      </c>
      <c r="B19" s="51" t="str">
        <f>IFERROR(Calculation!BT23,"")</f>
        <v/>
      </c>
      <c r="C19" s="91" t="str">
        <f>IFERROR(Calculation!BU23,"")</f>
        <v/>
      </c>
      <c r="D19" s="102"/>
      <c r="E19" s="102"/>
      <c r="F19" s="102"/>
    </row>
    <row r="20" spans="1:28" ht="15.6" x14ac:dyDescent="0.3">
      <c r="A20" s="51" t="str">
        <f>IFERROR(Calculation!BV24,"")</f>
        <v>АКРА</v>
      </c>
      <c r="B20" s="51" t="str">
        <f>IFERROR(Calculation!BT24,"")</f>
        <v/>
      </c>
      <c r="C20" s="91" t="str">
        <f>IFERROR(Calculation!BU24,"")</f>
        <v/>
      </c>
      <c r="D20" s="102"/>
      <c r="E20" s="102"/>
      <c r="F20" s="102"/>
    </row>
    <row r="21" spans="1:28" ht="15.6" x14ac:dyDescent="0.3">
      <c r="A21" s="51" t="str">
        <f>IFERROR(Calculation!BV25,"")</f>
        <v>НКР</v>
      </c>
      <c r="B21" s="51" t="str">
        <f>IFERROR(Calculation!BT25,"")</f>
        <v/>
      </c>
      <c r="C21" s="91" t="str">
        <f>IFERROR(Calculation!BU25,"")</f>
        <v/>
      </c>
      <c r="D21" s="102"/>
      <c r="E21" s="102"/>
      <c r="F21" s="102"/>
    </row>
    <row r="22" spans="1:28" ht="15.6" x14ac:dyDescent="0.3">
      <c r="A22" s="51" t="str">
        <f>IFERROR(Calculation!BV26,"")</f>
        <v>RAEX-Europe</v>
      </c>
      <c r="B22" s="51" t="str">
        <f>IFERROR(Calculation!BT26,"")</f>
        <v/>
      </c>
      <c r="C22" s="91" t="str">
        <f>IFERROR(Calculation!BU26,"")</f>
        <v/>
      </c>
      <c r="D22" s="102"/>
      <c r="E22" s="102"/>
      <c r="F22" s="102"/>
    </row>
    <row r="23" spans="1:28" ht="15.6" x14ac:dyDescent="0.3">
      <c r="A23" s="175" t="s">
        <v>29</v>
      </c>
      <c r="B23" s="175"/>
      <c r="C23" s="175"/>
      <c r="D23" s="175"/>
      <c r="E23" s="175"/>
      <c r="F23" s="175"/>
    </row>
    <row r="24" spans="1:28" x14ac:dyDescent="0.3">
      <c r="A24" s="54" t="s">
        <v>31</v>
      </c>
      <c r="B24" s="99">
        <f>Calculation!B7</f>
        <v>44364</v>
      </c>
      <c r="C24" s="55"/>
      <c r="D24" s="53"/>
      <c r="E24" s="53"/>
      <c r="F24" s="53"/>
    </row>
    <row r="25" spans="1:28" x14ac:dyDescent="0.3">
      <c r="A25" s="54" t="str">
        <f>"Объем в обращении,"&amp;" "&amp;Calculation!B17</f>
        <v>Объем в обращении, RUB</v>
      </c>
      <c r="B25" s="113">
        <f>Calculation!B8</f>
        <v>24650000000</v>
      </c>
      <c r="C25" s="55"/>
      <c r="D25" s="53"/>
      <c r="E25" s="53"/>
      <c r="F25" s="53"/>
    </row>
    <row r="26" spans="1:28" s="2" customFormat="1" x14ac:dyDescent="0.3">
      <c r="A26" s="54" t="str">
        <f>IF(Calculation!B23 = "Put", "Дата оферты (put)", IF(Calculation!B23 = "Call", "Дата оферты (call)", "Без оферты"))</f>
        <v>Без оферты</v>
      </c>
      <c r="B26" s="99" t="str">
        <f>IFERROR(Calculation!B25, "")</f>
        <v/>
      </c>
      <c r="C26" s="55"/>
      <c r="D26" s="53"/>
      <c r="S26"/>
      <c r="T26"/>
      <c r="U26"/>
      <c r="V26" s="3"/>
      <c r="W26" s="3"/>
      <c r="X26" s="3"/>
      <c r="Y26" s="3"/>
      <c r="Z26" s="3"/>
      <c r="AA26" s="3"/>
      <c r="AB26" s="3"/>
    </row>
    <row r="27" spans="1:28" s="2" customFormat="1" x14ac:dyDescent="0.3">
      <c r="A27" s="54" t="s">
        <v>33</v>
      </c>
      <c r="B27" s="99">
        <f>Calculation!B9</f>
        <v>46184</v>
      </c>
      <c r="C27" s="55"/>
      <c r="D27" s="53"/>
      <c r="E27" s="53"/>
      <c r="F27" s="53"/>
      <c r="S27"/>
      <c r="T27"/>
      <c r="U27"/>
      <c r="V27" s="3"/>
      <c r="W27" s="3"/>
      <c r="X27" s="3"/>
      <c r="Y27" s="3"/>
      <c r="Z27" s="3"/>
      <c r="AA27" s="3"/>
      <c r="AB27" s="3"/>
    </row>
    <row r="28" spans="1:28" s="2" customFormat="1" x14ac:dyDescent="0.3">
      <c r="A28" s="54" t="s">
        <v>34</v>
      </c>
      <c r="B28" s="57">
        <f>Calculation!B11/100</f>
        <v>8.3499999999999991E-2</v>
      </c>
      <c r="C28" s="55"/>
      <c r="D28" s="53"/>
      <c r="E28" s="53"/>
      <c r="F28" s="53"/>
      <c r="S28"/>
      <c r="T28"/>
      <c r="U28"/>
      <c r="V28" s="3"/>
      <c r="W28" s="3"/>
      <c r="X28" s="3"/>
      <c r="Y28" s="3"/>
      <c r="Z28" s="3"/>
      <c r="AA28" s="3"/>
      <c r="AB28" s="3"/>
    </row>
    <row r="29" spans="1:28" s="2" customFormat="1" x14ac:dyDescent="0.3">
      <c r="A29" s="54" t="str">
        <f>"Номинал,"&amp;" "&amp;Calculation!B17</f>
        <v>Номинал, RUB</v>
      </c>
      <c r="B29" s="56">
        <f>Calculation!B12</f>
        <v>1000</v>
      </c>
      <c r="C29" s="55"/>
      <c r="D29" s="53"/>
      <c r="E29" s="53"/>
      <c r="F29" s="53"/>
      <c r="S29"/>
      <c r="T29"/>
      <c r="U29"/>
      <c r="V29" s="3"/>
      <c r="W29" s="3"/>
      <c r="X29" s="3"/>
      <c r="Y29" s="3"/>
      <c r="Z29" s="3"/>
      <c r="AA29" s="3"/>
      <c r="AB29" s="3"/>
    </row>
    <row r="30" spans="1:28" s="2" customFormat="1" ht="12.75" customHeight="1" x14ac:dyDescent="0.3">
      <c r="A30" s="58" t="s">
        <v>35</v>
      </c>
      <c r="B30" s="59">
        <f>Calculation!B13</f>
        <v>4</v>
      </c>
      <c r="C30" s="60"/>
      <c r="D30" s="61"/>
      <c r="E30" s="61"/>
      <c r="F30" s="61"/>
      <c r="S30"/>
      <c r="T30"/>
      <c r="U30"/>
      <c r="V30" s="3"/>
      <c r="W30" s="3"/>
      <c r="X30" s="3"/>
      <c r="Y30" s="3"/>
      <c r="Z30" s="3"/>
      <c r="AA30" s="3"/>
      <c r="AB30" s="3"/>
    </row>
    <row r="31" spans="1:28" s="2" customFormat="1" x14ac:dyDescent="0.3">
      <c r="A31" s="53"/>
      <c r="B31" s="62" t="s">
        <v>36</v>
      </c>
      <c r="C31" s="62" t="s">
        <v>37</v>
      </c>
      <c r="D31" s="48"/>
      <c r="E31" s="48"/>
      <c r="F31" s="48"/>
      <c r="S31"/>
      <c r="T31"/>
      <c r="U31"/>
      <c r="V31" s="3"/>
      <c r="W31" s="3"/>
      <c r="X31" s="3"/>
      <c r="Y31" s="3"/>
      <c r="Z31" s="3"/>
      <c r="AA31" s="3"/>
      <c r="AB31" s="3"/>
    </row>
    <row r="32" spans="1:28" s="2" customFormat="1" x14ac:dyDescent="0.3">
      <c r="A32" s="54" t="s">
        <v>38</v>
      </c>
      <c r="B32" s="78">
        <f>Calculation!J7</f>
        <v>45992</v>
      </c>
      <c r="C32" s="78">
        <f>Calculation!J6</f>
        <v>46023</v>
      </c>
      <c r="D32" s="48"/>
      <c r="E32" s="48"/>
      <c r="F32" s="48"/>
      <c r="S32"/>
      <c r="T32"/>
      <c r="U32"/>
      <c r="V32" s="3"/>
      <c r="W32" s="3"/>
      <c r="X32" s="3"/>
      <c r="Y32" s="3"/>
      <c r="Z32" s="3"/>
      <c r="AA32" s="3"/>
      <c r="AB32" s="3"/>
    </row>
    <row r="33" spans="1:28" s="2" customFormat="1" x14ac:dyDescent="0.3">
      <c r="A33" s="54" t="s">
        <v>39</v>
      </c>
      <c r="B33" s="176" t="str">
        <f>IF(OR(B35="нарушен",B36="нарушен",B37="нарушен"),"рынок не активный","активный")</f>
        <v>активный</v>
      </c>
      <c r="C33" s="176"/>
      <c r="D33" s="48"/>
      <c r="E33" s="48"/>
      <c r="F33" s="48"/>
      <c r="S33"/>
      <c r="T33"/>
      <c r="U33"/>
      <c r="V33" s="3"/>
      <c r="W33" s="3"/>
      <c r="X33" s="3"/>
      <c r="Y33" s="3"/>
      <c r="Z33" s="3"/>
      <c r="AA33" s="3"/>
      <c r="AB33" s="3"/>
    </row>
    <row r="34" spans="1:28" s="2" customFormat="1" ht="15.6" x14ac:dyDescent="0.3">
      <c r="A34" s="169" t="s">
        <v>40</v>
      </c>
      <c r="B34" s="169"/>
      <c r="C34" s="181" t="s">
        <v>41</v>
      </c>
      <c r="D34" s="181" t="s">
        <v>42</v>
      </c>
      <c r="E34" s="181"/>
      <c r="F34" s="181"/>
      <c r="S34"/>
      <c r="T34"/>
      <c r="U34"/>
      <c r="V34" s="3"/>
      <c r="W34" s="3"/>
      <c r="X34" s="3"/>
      <c r="Y34" s="3"/>
      <c r="Z34" s="3"/>
      <c r="AA34" s="3"/>
      <c r="AB34" s="3"/>
    </row>
    <row r="35" spans="1:28" x14ac:dyDescent="0.3">
      <c r="A35" s="63" t="s">
        <v>43</v>
      </c>
      <c r="B35" s="8" t="str">
        <f>IF(C35&lt;5,"нарушен","выполняется")</f>
        <v>выполняется</v>
      </c>
      <c r="C35" s="123">
        <f>Calculation!J22</f>
        <v>21</v>
      </c>
      <c r="D35" s="177">
        <v>5</v>
      </c>
      <c r="E35" s="177"/>
      <c r="F35" s="177"/>
    </row>
    <row r="36" spans="1:28" ht="14.25" customHeight="1" x14ac:dyDescent="0.3">
      <c r="A36" s="63" t="s">
        <v>44</v>
      </c>
      <c r="B36" s="9" t="str">
        <f>IF(C36&lt;10,"нарушен","выполняется")</f>
        <v>выполняется</v>
      </c>
      <c r="C36" s="10">
        <f>Calculation!I22</f>
        <v>7793</v>
      </c>
      <c r="D36" s="178">
        <v>10</v>
      </c>
      <c r="E36" s="178"/>
      <c r="F36" s="178"/>
    </row>
    <row r="37" spans="1:28" ht="24.75" customHeight="1" x14ac:dyDescent="0.3">
      <c r="A37" s="63" t="s">
        <v>45</v>
      </c>
      <c r="B37" s="9" t="str">
        <f>IF(C37&lt;0.001,"нарушен","выполняется")</f>
        <v>выполняется</v>
      </c>
      <c r="C37" s="64">
        <f>Calculation!M22</f>
        <v>2.0600145310344826E-2</v>
      </c>
      <c r="D37" s="179">
        <v>1E-3</v>
      </c>
      <c r="E37" s="179"/>
      <c r="F37" s="179"/>
    </row>
    <row r="38" spans="1:28" ht="27.6" x14ac:dyDescent="0.3">
      <c r="A38" s="58" t="s">
        <v>46</v>
      </c>
      <c r="B38" s="11" t="str">
        <f>IF(C38 = "да","выполняется","нарушен")</f>
        <v>выполняется</v>
      </c>
      <c r="C38" s="12" t="s">
        <v>47</v>
      </c>
      <c r="D38" s="180"/>
      <c r="E38" s="180"/>
      <c r="F38" s="180"/>
    </row>
    <row r="39" spans="1:28" s="2" customFormat="1" x14ac:dyDescent="0.3">
      <c r="A39" s="63" t="s">
        <v>48</v>
      </c>
      <c r="B39" s="65" t="s">
        <v>360</v>
      </c>
      <c r="C39"/>
      <c r="D39"/>
      <c r="E39"/>
      <c r="F39"/>
      <c r="S39"/>
      <c r="T39"/>
      <c r="U39"/>
      <c r="V39" s="3"/>
      <c r="W39" s="3"/>
      <c r="X39" s="3"/>
      <c r="Y39" s="3"/>
      <c r="Z39" s="3"/>
      <c r="AA39" s="3"/>
      <c r="AB39" s="3"/>
    </row>
    <row r="40" spans="1:28" s="2" customFormat="1" ht="27.6" x14ac:dyDescent="0.3">
      <c r="A40" s="63" t="s">
        <v>49</v>
      </c>
      <c r="B40" s="159">
        <f>Calculation!L6</f>
        <v>97.46</v>
      </c>
      <c r="C40"/>
      <c r="D40"/>
      <c r="E40"/>
      <c r="F40"/>
      <c r="S40"/>
      <c r="T40"/>
      <c r="U40"/>
      <c r="V40" s="3"/>
      <c r="W40" s="3"/>
      <c r="X40" s="3"/>
      <c r="Y40" s="3"/>
      <c r="Z40" s="3"/>
      <c r="AA40" s="3"/>
      <c r="AB40" s="3"/>
    </row>
    <row r="41" spans="1:28" s="2" customFormat="1" x14ac:dyDescent="0.3">
      <c r="A41" s="63" t="str">
        <f>IF(Calculation!B10 = "", "Доходность к погашению, % rub", "Доходность к пут оферте, % rub")</f>
        <v>Доходность к погашению, % rub</v>
      </c>
      <c r="B41" s="137">
        <f>Calculation!R6</f>
        <v>15.09522411723</v>
      </c>
      <c r="C41"/>
      <c r="D41"/>
      <c r="E41"/>
      <c r="F41"/>
      <c r="S41"/>
      <c r="T41"/>
      <c r="U41"/>
      <c r="V41" s="3"/>
      <c r="W41" s="3"/>
      <c r="X41" s="3"/>
      <c r="Y41" s="3"/>
      <c r="Z41" s="3"/>
      <c r="AA41" s="3"/>
      <c r="AB41" s="3"/>
    </row>
    <row r="42" spans="1:28" s="2" customFormat="1" ht="14.25" customHeight="1" x14ac:dyDescent="0.3">
      <c r="A42" s="63" t="str">
        <f>IF(Calculation!B10 = "", "Дюрация к погашению, лет", "Дюрация к пут оферте, лет")</f>
        <v>Дюрация к погашению, лет</v>
      </c>
      <c r="B42" s="66">
        <f>Calculation!O6</f>
        <v>0.4414180168707123</v>
      </c>
      <c r="C42" s="82"/>
      <c r="D42" s="83"/>
      <c r="E42" s="83"/>
      <c r="F42" s="83"/>
      <c r="S42"/>
      <c r="T42"/>
      <c r="U42"/>
      <c r="V42" s="3"/>
      <c r="W42" s="3"/>
      <c r="X42" s="3"/>
      <c r="Y42" s="3"/>
      <c r="Z42" s="3"/>
      <c r="AA42" s="3"/>
      <c r="AB42" s="3"/>
    </row>
    <row r="43" spans="1:28" s="2" customFormat="1" ht="15.75" customHeight="1" x14ac:dyDescent="0.3">
      <c r="A43" s="63" t="s">
        <v>50</v>
      </c>
      <c r="B43" s="66">
        <f>(B41-B44)*100</f>
        <v>268.44774142308995</v>
      </c>
      <c r="C43"/>
      <c r="D43" s="13"/>
      <c r="E43"/>
      <c r="F43"/>
      <c r="S43"/>
      <c r="T43"/>
      <c r="U43"/>
      <c r="V43" s="3"/>
      <c r="W43" s="3"/>
      <c r="X43" s="3"/>
      <c r="Y43" s="3"/>
      <c r="Z43" s="3"/>
      <c r="AA43" s="3"/>
      <c r="AB43" s="3"/>
    </row>
    <row r="44" spans="1:28" s="2" customFormat="1" ht="27.6" x14ac:dyDescent="0.3">
      <c r="A44" s="58" t="s">
        <v>2018</v>
      </c>
      <c r="B44" s="153">
        <f>Calculation!S6</f>
        <v>12.4107467029991</v>
      </c>
      <c r="C44" s="67"/>
      <c r="D44" s="68"/>
      <c r="E44" s="68"/>
      <c r="F44" s="68"/>
      <c r="S44"/>
      <c r="T44"/>
      <c r="U44"/>
      <c r="V44" s="3"/>
      <c r="W44" s="3"/>
      <c r="X44" s="3"/>
      <c r="Y44" s="3"/>
      <c r="Z44" s="3"/>
      <c r="AA44" s="3"/>
      <c r="AB44" s="3"/>
    </row>
    <row r="58" spans="1:28" s="2" customFormat="1" ht="15.6" x14ac:dyDescent="0.3">
      <c r="A58" s="169" t="s">
        <v>51</v>
      </c>
      <c r="B58" s="169"/>
      <c r="C58" s="181"/>
      <c r="D58" s="181"/>
      <c r="E58" s="181"/>
      <c r="F58" s="181"/>
      <c r="S58"/>
      <c r="T58"/>
      <c r="U58"/>
      <c r="V58" s="3"/>
      <c r="W58" s="3"/>
      <c r="X58" s="3"/>
      <c r="Y58" s="3"/>
      <c r="Z58" s="3"/>
      <c r="AA58" s="3"/>
      <c r="AB58" s="3"/>
    </row>
    <row r="59" spans="1:28" s="2" customFormat="1" x14ac:dyDescent="0.3">
      <c r="A59" s="54" t="str">
        <f>IF(Calculation!B10 = "", "Мод. дюрация (к погашению)", "Мод. дюрация (к оферте)")</f>
        <v>Мод. дюрация (к погашению)</v>
      </c>
      <c r="B59" s="66">
        <f>Calculation!B15</f>
        <v>0.38236807</v>
      </c>
      <c r="C59" s="69"/>
      <c r="D59" s="174"/>
      <c r="E59" s="174"/>
      <c r="F59" s="70"/>
      <c r="S59"/>
      <c r="T59"/>
      <c r="U59"/>
      <c r="V59" s="3"/>
      <c r="W59" s="3"/>
      <c r="X59" s="3"/>
      <c r="Y59" s="3"/>
      <c r="Z59" s="3"/>
      <c r="AA59" s="3"/>
      <c r="AB59" s="3"/>
    </row>
    <row r="60" spans="1:28" s="2" customFormat="1" x14ac:dyDescent="0.3">
      <c r="A60" s="54" t="str">
        <f>IF(Calculation!B10 = "", "Выпуклость (к погашению)", "Выпуклость (к оферте)")</f>
        <v>Выпуклость (к погашению)</v>
      </c>
      <c r="B60" s="66">
        <f>Calculation!B14</f>
        <v>0.47837113999999997</v>
      </c>
      <c r="C60" s="18"/>
      <c r="D60" s="174"/>
      <c r="E60" s="174"/>
      <c r="F60" s="70"/>
      <c r="S60"/>
      <c r="T60"/>
      <c r="U60"/>
      <c r="V60" s="3"/>
      <c r="W60" s="3"/>
      <c r="X60" s="3"/>
      <c r="Y60" s="3"/>
      <c r="Z60" s="3"/>
      <c r="AA60" s="3"/>
      <c r="AB60" s="3"/>
    </row>
    <row r="61" spans="1:28" s="2" customFormat="1" x14ac:dyDescent="0.3">
      <c r="A61" s="63" t="s">
        <v>52</v>
      </c>
      <c r="B61" s="71">
        <f>ABS(1000000*((-B59*0.0001)+(0.5*B60*0.0001*0.0001)))</f>
        <v>38.234415144300009</v>
      </c>
      <c r="C61" s="72"/>
      <c r="D61" s="73"/>
      <c r="E61" s="73"/>
      <c r="F61" s="70"/>
      <c r="S61"/>
      <c r="T61"/>
      <c r="U61"/>
      <c r="V61" s="3"/>
      <c r="W61" s="3"/>
      <c r="X61" s="3"/>
      <c r="Y61" s="3"/>
      <c r="Z61" s="3"/>
      <c r="AA61" s="3"/>
      <c r="AB61" s="3"/>
    </row>
    <row r="62" spans="1:28" s="2" customFormat="1" ht="15.6" x14ac:dyDescent="0.3">
      <c r="A62" s="169" t="s">
        <v>53</v>
      </c>
      <c r="B62" s="169"/>
      <c r="C62" s="169"/>
      <c r="D62" s="169"/>
      <c r="E62" s="169"/>
      <c r="F62" s="169"/>
      <c r="S62"/>
      <c r="T62"/>
      <c r="U62"/>
      <c r="V62" s="3"/>
      <c r="W62" s="3"/>
      <c r="X62" s="3"/>
      <c r="Y62" s="3"/>
      <c r="Z62" s="3"/>
      <c r="AA62" s="3"/>
      <c r="AB62" s="3"/>
    </row>
    <row r="74" spans="1:28" ht="21" customHeight="1" x14ac:dyDescent="0.3"/>
    <row r="75" spans="1:28" s="2" customFormat="1" ht="15.6" x14ac:dyDescent="0.3">
      <c r="A75" s="169" t="s">
        <v>54</v>
      </c>
      <c r="B75" s="169"/>
      <c r="C75" s="169"/>
      <c r="D75" s="169"/>
      <c r="E75" s="169"/>
      <c r="F75" s="169"/>
      <c r="S75"/>
      <c r="T75"/>
      <c r="U75"/>
      <c r="V75" s="3"/>
      <c r="W75" s="3"/>
      <c r="X75" s="3"/>
      <c r="Y75" s="3"/>
      <c r="Z75" s="3"/>
      <c r="AA75" s="3"/>
      <c r="AB75" s="3"/>
    </row>
    <row r="76" spans="1:28" s="2" customFormat="1" ht="42" customHeight="1" x14ac:dyDescent="0.3">
      <c r="A76" s="63" t="str">
        <f>IF(Calculation!O6 &lt; 1, "Доходность индекса государственных облигаций (менее года)",IF(Calculation!O6 &lt; 3, "Доходность индекса государственных облигаций (1-3 года)", IF(Calculation!O6 &lt; 5, "Доходность индекса государственных облигаций (3-5 лет)", "Доходность индекса государственных облигаций (более 5 лет)")))</f>
        <v>Доходность индекса государственных облигаций (менее года)</v>
      </c>
      <c r="B76" s="75">
        <f>IF(Calculation!O6 &lt; 1, Calculation!CC7/100, IF(Calculation!O6 &lt; 3, Calculation!CC11/100, IF(Calculation!O6 &lt; 5, Calculation!CC15/100, Calculation!CC19/100)))</f>
        <v>0.12920000000000001</v>
      </c>
      <c r="C76" s="170" t="str">
        <f>IF(Calculation!O6 &lt; 1, "Доходность индекса корпоративных облигаций с рейтингом AAA", IF(Calculation!O6 &lt; 3, "Доходность индекса корпоративных облигаций с рейтингом AAA (1-3 года)", "Доходность индекса корпоративных облигаций с рейтингом AAA (3-5 лет)"))</f>
        <v>Доходность индекса корпоративных облигаций с рейтингом AAA</v>
      </c>
      <c r="D76" s="170"/>
      <c r="E76" s="170"/>
      <c r="F76" s="75">
        <f>IF(Calculation!O6 &lt; 1, Calculation!CC8/100, IF(Calculation!O6 &lt; 3, Calculation!CC12/100, Calculation!CC16/100))</f>
        <v>0.15210000000000001</v>
      </c>
      <c r="G76" s="14"/>
      <c r="S76"/>
      <c r="T76"/>
      <c r="U76"/>
      <c r="V76" s="3"/>
      <c r="W76" s="3"/>
      <c r="X76" s="3"/>
      <c r="Y76" s="3"/>
      <c r="Z76" s="3"/>
      <c r="AA76" s="3"/>
      <c r="AB76" s="3"/>
    </row>
    <row r="77" spans="1:28" s="2" customFormat="1" ht="42" customHeight="1" x14ac:dyDescent="0.3">
      <c r="A77" s="63" t="str">
        <f>IF(Calculation!O6 &lt; 1, "Доходность индекса корпоративных облигаций с рейтингом AA", IF(Calculation!O6 &lt; 3, "Доходность индекса корпоративных облигаций с рейтингом AA (1-3 года)", "Доходность индекса корпоративных облигаций с рейтингом AA (от 1 года)"))</f>
        <v>Доходность индекса корпоративных облигаций с рейтингом AA</v>
      </c>
      <c r="B77" s="75">
        <f>IF(Calculation!O6 &lt; 1, Calculation!CC9/100, IF(Calculation!O6 &lt; 3, Calculation!CC13/100, Calculation!CC17/100))</f>
        <v>0.1671</v>
      </c>
      <c r="C77" s="171" t="str">
        <f>IF(Calculation!O6 &lt; 1, "Доходность индекса корпоративных облигаций с рейтингом A", IF(Calculation!O6 &lt; 3, "Доходность индекса корпоративных облигаций с рейтингом A (1-3 года)", "Доходность индекса корпоративных облигаций с рейтингом A (от 1 года)"))</f>
        <v>Доходность индекса корпоративных облигаций с рейтингом A</v>
      </c>
      <c r="D77" s="171"/>
      <c r="E77" s="171"/>
      <c r="F77" s="75">
        <f>IF(Calculation!O6 &lt; 1, Calculation!CC10/100, IF(Calculation!O6 &lt; 3, Calculation!CC14/100, Calculation!CC18/100))</f>
        <v>0.21440000000000001</v>
      </c>
      <c r="G77" s="14"/>
      <c r="S77"/>
      <c r="T77"/>
      <c r="U77"/>
      <c r="V77" s="3"/>
      <c r="W77" s="3"/>
      <c r="X77" s="3"/>
      <c r="Y77" s="3"/>
      <c r="Z77" s="3"/>
      <c r="AA77" s="3"/>
      <c r="AB77" s="3"/>
    </row>
    <row r="78" spans="1:28" s="2" customFormat="1" ht="42" customHeight="1" x14ac:dyDescent="0.3">
      <c r="A78" s="122" t="s">
        <v>1308</v>
      </c>
      <c r="B78" s="75">
        <f>Calculation!CC20/100</f>
        <v>0.2555</v>
      </c>
      <c r="C78" s="122"/>
      <c r="D78" s="122"/>
      <c r="E78" s="122"/>
      <c r="F78" s="75"/>
      <c r="G78" s="14"/>
      <c r="S78"/>
      <c r="T78"/>
      <c r="U78"/>
      <c r="V78" s="3"/>
      <c r="W78" s="3"/>
      <c r="X78" s="3"/>
      <c r="Y78" s="3"/>
      <c r="Z78" s="3"/>
      <c r="AA78" s="3"/>
      <c r="AB78" s="3"/>
    </row>
    <row r="79" spans="1:28" s="2" customFormat="1" x14ac:dyDescent="0.3">
      <c r="A79"/>
      <c r="B79"/>
      <c r="C79"/>
      <c r="D79"/>
      <c r="E79"/>
      <c r="F79"/>
      <c r="S79"/>
      <c r="T79"/>
      <c r="U79"/>
      <c r="V79" s="3"/>
      <c r="W79" s="3"/>
      <c r="X79" s="3"/>
      <c r="Y79" s="3"/>
      <c r="Z79" s="3"/>
      <c r="AA79" s="3"/>
      <c r="AB79" s="3"/>
    </row>
    <row r="80" spans="1:28" s="2" customFormat="1" x14ac:dyDescent="0.3">
      <c r="A80"/>
      <c r="B80"/>
      <c r="C80"/>
      <c r="D80"/>
      <c r="E80"/>
      <c r="F80"/>
      <c r="S80"/>
      <c r="T80"/>
      <c r="U80"/>
      <c r="V80" s="3"/>
      <c r="W80" s="3"/>
      <c r="X80" s="3"/>
      <c r="Y80" s="3"/>
      <c r="Z80" s="3"/>
      <c r="AA80" s="3"/>
      <c r="AB80" s="3"/>
    </row>
    <row r="85" spans="1:28" s="2" customFormat="1" ht="15.6" x14ac:dyDescent="0.3">
      <c r="A85" s="169" t="s">
        <v>55</v>
      </c>
      <c r="B85" s="169"/>
      <c r="C85" s="169"/>
      <c r="D85" s="169"/>
      <c r="E85" s="169"/>
      <c r="F85" s="169"/>
      <c r="S85"/>
      <c r="T85"/>
      <c r="U85"/>
      <c r="V85" s="3"/>
      <c r="W85" s="3"/>
      <c r="X85" s="3"/>
      <c r="Y85" s="3"/>
      <c r="Z85" s="3"/>
      <c r="AA85" s="3"/>
      <c r="AB85" s="3"/>
    </row>
    <row r="99" spans="1:28" s="2" customFormat="1" ht="18" customHeight="1" x14ac:dyDescent="0.3">
      <c r="A99" s="169" t="str">
        <f>"Корпоративные события"</f>
        <v>Корпоративные события</v>
      </c>
      <c r="B99" s="169"/>
      <c r="C99" s="169"/>
      <c r="D99" s="169"/>
      <c r="E99" s="169"/>
      <c r="F99" s="169"/>
      <c r="S99"/>
      <c r="T99"/>
      <c r="U99"/>
      <c r="V99" s="3"/>
      <c r="W99" s="3"/>
      <c r="X99" s="3"/>
      <c r="Y99" s="3"/>
      <c r="Z99" s="3"/>
      <c r="AA99" s="3"/>
      <c r="AB99" s="3"/>
    </row>
    <row r="100" spans="1:28" ht="54" customHeight="1" x14ac:dyDescent="0.3">
      <c r="A100" s="93" t="s">
        <v>2017</v>
      </c>
      <c r="B100" s="173" t="s">
        <v>1067</v>
      </c>
      <c r="C100" s="173"/>
      <c r="D100" s="173"/>
      <c r="E100" s="173"/>
      <c r="F100" s="173"/>
    </row>
    <row r="101" spans="1:28" ht="52.5" customHeight="1" x14ac:dyDescent="0.3">
      <c r="A101" s="93" t="s">
        <v>2016</v>
      </c>
      <c r="B101" s="172" t="s">
        <v>1067</v>
      </c>
      <c r="C101" s="172"/>
      <c r="D101" s="172"/>
      <c r="E101" s="172"/>
      <c r="F101" s="172"/>
    </row>
    <row r="102" spans="1:28" ht="34.5" customHeight="1" x14ac:dyDescent="0.3">
      <c r="A102" s="79"/>
      <c r="B102" s="168"/>
      <c r="C102" s="168"/>
      <c r="D102" s="168"/>
      <c r="E102" s="168"/>
      <c r="F102" s="168"/>
    </row>
    <row r="103" spans="1:28" ht="34.5" customHeight="1" x14ac:dyDescent="0.3">
      <c r="A103" s="79"/>
      <c r="B103" s="168"/>
      <c r="C103" s="168"/>
      <c r="D103" s="168"/>
      <c r="E103" s="168"/>
      <c r="F103" s="168"/>
    </row>
    <row r="104" spans="1:28" ht="34.5" customHeight="1" x14ac:dyDescent="0.3">
      <c r="A104" s="74"/>
      <c r="B104" s="168"/>
      <c r="C104" s="168"/>
      <c r="D104" s="168"/>
      <c r="E104" s="168"/>
      <c r="F104" s="168"/>
    </row>
    <row r="105" spans="1:28" ht="34.5" customHeight="1" x14ac:dyDescent="0.3">
      <c r="A105" s="74"/>
      <c r="B105" s="168"/>
      <c r="C105" s="168"/>
      <c r="D105" s="168"/>
      <c r="E105" s="168"/>
      <c r="F105" s="168"/>
    </row>
    <row r="106" spans="1:28" ht="48" customHeight="1" x14ac:dyDescent="0.3">
      <c r="A106" s="74"/>
      <c r="B106" s="168"/>
      <c r="C106" s="168"/>
      <c r="D106" s="168"/>
      <c r="E106" s="168"/>
      <c r="F106" s="168"/>
    </row>
    <row r="107" spans="1:28" ht="26.4" customHeight="1" x14ac:dyDescent="0.3">
      <c r="A107" s="74"/>
      <c r="B107" s="168"/>
      <c r="C107" s="168"/>
      <c r="D107" s="168"/>
      <c r="E107" s="168"/>
      <c r="F107" s="168"/>
    </row>
    <row r="108" spans="1:28" ht="34.5" customHeight="1" x14ac:dyDescent="0.3">
      <c r="A108" s="74"/>
      <c r="B108" s="167"/>
      <c r="C108" s="167"/>
      <c r="D108" s="167"/>
      <c r="E108" s="167"/>
      <c r="F108" s="167"/>
    </row>
    <row r="109" spans="1:28" ht="34.5" customHeight="1" x14ac:dyDescent="0.3">
      <c r="A109" s="74"/>
      <c r="B109" s="167"/>
      <c r="C109" s="167"/>
      <c r="D109" s="167"/>
      <c r="E109" s="167"/>
      <c r="F109" s="167"/>
    </row>
    <row r="110" spans="1:28" ht="34.5" customHeight="1" x14ac:dyDescent="0.3">
      <c r="A110" s="74"/>
      <c r="B110" s="167"/>
      <c r="C110" s="167"/>
      <c r="D110" s="167"/>
      <c r="E110" s="167"/>
      <c r="F110" s="167"/>
    </row>
    <row r="111" spans="1:28" ht="34.5" customHeight="1" x14ac:dyDescent="0.3">
      <c r="A111" s="74"/>
      <c r="B111" s="167"/>
      <c r="C111" s="167"/>
      <c r="D111" s="167"/>
      <c r="E111" s="167"/>
      <c r="F111" s="167"/>
    </row>
    <row r="112" spans="1:28" ht="49.5" customHeight="1" x14ac:dyDescent="0.3">
      <c r="A112" s="74"/>
      <c r="B112" s="168"/>
      <c r="C112" s="168"/>
      <c r="D112" s="168"/>
      <c r="E112" s="168"/>
      <c r="F112" s="168"/>
    </row>
  </sheetData>
  <mergeCells count="36">
    <mergeCell ref="B7:D7"/>
    <mergeCell ref="A1:B1"/>
    <mergeCell ref="B2:D2"/>
    <mergeCell ref="B3:D3"/>
    <mergeCell ref="B6:D6"/>
    <mergeCell ref="B5:D5"/>
    <mergeCell ref="B4:D4"/>
    <mergeCell ref="D60:E60"/>
    <mergeCell ref="A23:F23"/>
    <mergeCell ref="B33:C33"/>
    <mergeCell ref="D35:F35"/>
    <mergeCell ref="D36:F36"/>
    <mergeCell ref="D37:F37"/>
    <mergeCell ref="D38:F38"/>
    <mergeCell ref="A58:F58"/>
    <mergeCell ref="D59:E59"/>
    <mergeCell ref="A34:F34"/>
    <mergeCell ref="B104:F104"/>
    <mergeCell ref="A62:F62"/>
    <mergeCell ref="A75:F75"/>
    <mergeCell ref="C76:E76"/>
    <mergeCell ref="C77:E77"/>
    <mergeCell ref="A85:F85"/>
    <mergeCell ref="A99:F99"/>
    <mergeCell ref="B101:F101"/>
    <mergeCell ref="B102:F102"/>
    <mergeCell ref="B103:F103"/>
    <mergeCell ref="B100:F100"/>
    <mergeCell ref="B111:F111"/>
    <mergeCell ref="B112:F112"/>
    <mergeCell ref="B105:F105"/>
    <mergeCell ref="B106:F106"/>
    <mergeCell ref="B107:F107"/>
    <mergeCell ref="B108:F108"/>
    <mergeCell ref="B109:F109"/>
    <mergeCell ref="B110:F110"/>
  </mergeCells>
  <conditionalFormatting sqref="I12">
    <cfRule type="expression" dxfId="13" priority="11">
      <formula>$J$12="ВНИМАНИЕ: в выгрузке присутствуют пустые значения"</formula>
    </cfRule>
    <cfRule type="expression" dxfId="12" priority="12">
      <formula>$J$12="Пустых значений в выгрузке нет"</formula>
    </cfRule>
  </conditionalFormatting>
  <conditionalFormatting sqref="I11">
    <cfRule type="expression" dxfId="11" priority="9">
      <formula>$J$11="ВНИМАНИЕ: G-spread имеет значения меньше 0!"</formula>
    </cfRule>
    <cfRule type="expression" dxfId="10" priority="10">
      <formula>$J$11="Ошибок по G-spread нет"</formula>
    </cfRule>
  </conditionalFormatting>
  <conditionalFormatting sqref="I13">
    <cfRule type="expression" dxfId="9" priority="7">
      <formula>$J$13="ВНИМАНИЕ: рынок по данной бумаге неактивный, требуется ручная проверка данных"</formula>
    </cfRule>
    <cfRule type="expression" dxfId="8" priority="8">
      <formula>$J$13="Рынок по данной бумаге активный"</formula>
    </cfRule>
  </conditionalFormatting>
  <conditionalFormatting sqref="I14">
    <cfRule type="expression" dxfId="7" priority="5">
      <formula>$J$14="ВНИМАНИЕ: данные выгрузки не сходятся с выгрузкой с cbonds"</formula>
    </cfRule>
    <cfRule type="expression" dxfId="6" priority="6">
      <formula>$J$14="Выгрузка произведена корректно"</formula>
    </cfRule>
  </conditionalFormatting>
  <conditionalFormatting sqref="B35">
    <cfRule type="cellIs" dxfId="5" priority="4" operator="equal">
      <formula>"Выполняется"</formula>
    </cfRule>
    <cfRule type="cellIs" dxfId="4" priority="3" operator="equal">
      <formula>"нарушен"</formula>
    </cfRule>
  </conditionalFormatting>
  <conditionalFormatting sqref="B36:B38">
    <cfRule type="cellIs" dxfId="3" priority="1" operator="equal">
      <formula>"нарушен"</formula>
    </cfRule>
    <cfRule type="cellIs" dxfId="2" priority="2" operator="equal">
      <formula>"Выполняется"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py_value">
                <anchor moveWithCells="1" sizeWithCells="1">
                  <from>
                    <xdr:col>16</xdr:col>
                    <xdr:colOff>571500</xdr:colOff>
                    <xdr:row>6</xdr:row>
                    <xdr:rowOff>220980</xdr:rowOff>
                  </from>
                  <to>
                    <xdr:col>19</xdr:col>
                    <xdr:colOff>137160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Макрос1">
                <anchor moveWithCells="1">
                  <from>
                    <xdr:col>16</xdr:col>
                    <xdr:colOff>571500</xdr:colOff>
                    <xdr:row>3</xdr:row>
                    <xdr:rowOff>160020</xdr:rowOff>
                  </from>
                  <to>
                    <xdr:col>19</xdr:col>
                    <xdr:colOff>175260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onds_outstanding">
                <anchor moveWithCells="1" sizeWithCells="1">
                  <from>
                    <xdr:col>17</xdr:col>
                    <xdr:colOff>0</xdr:colOff>
                    <xdr:row>1</xdr:row>
                    <xdr:rowOff>160020</xdr:rowOff>
                  </from>
                  <to>
                    <xdr:col>19</xdr:col>
                    <xdr:colOff>152400</xdr:colOff>
                    <xdr:row>2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 tint="-0.499984740745262"/>
  </sheetPr>
  <dimension ref="A1:F354"/>
  <sheetViews>
    <sheetView zoomScaleNormal="100" workbookViewId="0">
      <selection activeCell="B89" sqref="B89"/>
    </sheetView>
  </sheetViews>
  <sheetFormatPr defaultRowHeight="14.4" x14ac:dyDescent="0.3"/>
  <cols>
    <col min="1" max="1" width="21" bestFit="1" customWidth="1"/>
    <col min="2" max="2" width="34.88671875" bestFit="1" customWidth="1"/>
    <col min="3" max="3" width="14.44140625" bestFit="1" customWidth="1"/>
    <col min="4" max="4" width="10.5546875" bestFit="1" customWidth="1"/>
    <col min="5" max="5" width="25.33203125" bestFit="1" customWidth="1"/>
    <col min="6" max="6" width="30.44140625" bestFit="1" customWidth="1"/>
  </cols>
  <sheetData>
    <row r="1" spans="1:6" x14ac:dyDescent="0.3">
      <c r="A1" s="24" t="s">
        <v>64</v>
      </c>
      <c r="B1" s="24" t="s">
        <v>67</v>
      </c>
      <c r="C1" s="34" t="s">
        <v>65</v>
      </c>
      <c r="E1" s="24" t="s">
        <v>336</v>
      </c>
      <c r="F1" s="24" t="s">
        <v>342</v>
      </c>
    </row>
    <row r="2" spans="1:6" x14ac:dyDescent="0.3">
      <c r="A2" s="32">
        <v>45261</v>
      </c>
      <c r="B2" s="32">
        <v>45231</v>
      </c>
      <c r="C2" s="32">
        <v>45260</v>
      </c>
      <c r="E2" s="26" t="s">
        <v>146</v>
      </c>
      <c r="F2" s="26" t="s">
        <v>78</v>
      </c>
    </row>
    <row r="3" spans="1:6" x14ac:dyDescent="0.3">
      <c r="A3" s="32">
        <v>44835</v>
      </c>
      <c r="B3" s="32">
        <v>44805</v>
      </c>
      <c r="C3" s="32">
        <v>44834</v>
      </c>
      <c r="E3" s="26" t="s">
        <v>189</v>
      </c>
      <c r="F3" s="26" t="s">
        <v>1322</v>
      </c>
    </row>
    <row r="4" spans="1:6" x14ac:dyDescent="0.3">
      <c r="A4" s="32">
        <v>44470</v>
      </c>
      <c r="B4" s="32">
        <v>44440</v>
      </c>
      <c r="C4" s="32">
        <v>44469</v>
      </c>
      <c r="E4" s="26" t="s">
        <v>175</v>
      </c>
      <c r="F4" s="26" t="s">
        <v>1322</v>
      </c>
    </row>
    <row r="5" spans="1:6" x14ac:dyDescent="0.3">
      <c r="A5" s="32">
        <v>44440</v>
      </c>
      <c r="B5" s="32">
        <v>44409</v>
      </c>
      <c r="C5" s="32">
        <v>44439</v>
      </c>
      <c r="E5" s="26" t="s">
        <v>192</v>
      </c>
      <c r="F5" s="26" t="s">
        <v>1322</v>
      </c>
    </row>
    <row r="6" spans="1:6" x14ac:dyDescent="0.3">
      <c r="A6" s="32">
        <v>44317</v>
      </c>
      <c r="B6" s="32">
        <v>44287</v>
      </c>
      <c r="C6" s="32">
        <v>44316</v>
      </c>
      <c r="E6" s="26" t="s">
        <v>188</v>
      </c>
      <c r="F6" s="26" t="s">
        <v>1322</v>
      </c>
    </row>
    <row r="7" spans="1:6" x14ac:dyDescent="0.3">
      <c r="A7" s="32">
        <v>45017</v>
      </c>
      <c r="B7" s="32">
        <v>44986</v>
      </c>
      <c r="C7" s="32">
        <v>45016</v>
      </c>
      <c r="E7" s="26" t="s">
        <v>176</v>
      </c>
      <c r="F7" s="26" t="s">
        <v>1322</v>
      </c>
    </row>
    <row r="8" spans="1:6" x14ac:dyDescent="0.3">
      <c r="A8" s="32">
        <v>44986</v>
      </c>
      <c r="B8" s="32">
        <v>44958</v>
      </c>
      <c r="C8" s="32">
        <v>44985</v>
      </c>
      <c r="E8" s="26" t="s">
        <v>179</v>
      </c>
      <c r="F8" s="26" t="s">
        <v>1322</v>
      </c>
    </row>
    <row r="9" spans="1:6" x14ac:dyDescent="0.3">
      <c r="A9" s="32">
        <v>44348</v>
      </c>
      <c r="B9" s="32">
        <v>44317</v>
      </c>
      <c r="C9" s="32">
        <v>44347</v>
      </c>
      <c r="E9" s="26" t="s">
        <v>191</v>
      </c>
      <c r="F9" s="26" t="s">
        <v>1322</v>
      </c>
    </row>
    <row r="10" spans="1:6" x14ac:dyDescent="0.3">
      <c r="A10" s="32">
        <v>45231</v>
      </c>
      <c r="B10" s="32">
        <v>45200</v>
      </c>
      <c r="C10" s="32">
        <v>45230</v>
      </c>
      <c r="E10" s="26" t="s">
        <v>177</v>
      </c>
      <c r="F10" s="26" t="s">
        <v>1322</v>
      </c>
    </row>
    <row r="11" spans="1:6" x14ac:dyDescent="0.3">
      <c r="A11" s="32">
        <v>45200</v>
      </c>
      <c r="B11" s="32">
        <v>45170</v>
      </c>
      <c r="C11" s="32">
        <v>45198</v>
      </c>
      <c r="E11" s="26" t="s">
        <v>180</v>
      </c>
      <c r="F11" s="26" t="s">
        <v>1322</v>
      </c>
    </row>
    <row r="12" spans="1:6" x14ac:dyDescent="0.3">
      <c r="A12" s="32">
        <v>45108</v>
      </c>
      <c r="B12" s="32">
        <v>45078</v>
      </c>
      <c r="C12" s="32">
        <v>45107</v>
      </c>
      <c r="E12" s="26" t="s">
        <v>204</v>
      </c>
      <c r="F12" s="26" t="s">
        <v>74</v>
      </c>
    </row>
    <row r="13" spans="1:6" x14ac:dyDescent="0.3">
      <c r="A13" s="32">
        <v>45139</v>
      </c>
      <c r="B13" s="32">
        <v>45108</v>
      </c>
      <c r="C13" s="32">
        <v>45138</v>
      </c>
      <c r="E13" s="26" t="s">
        <v>207</v>
      </c>
      <c r="F13" s="26" t="s">
        <v>74</v>
      </c>
    </row>
    <row r="14" spans="1:6" x14ac:dyDescent="0.3">
      <c r="A14" s="32">
        <v>44409</v>
      </c>
      <c r="B14" s="32">
        <v>44378</v>
      </c>
      <c r="C14" s="32">
        <v>44407</v>
      </c>
      <c r="E14" s="26" t="s">
        <v>210</v>
      </c>
      <c r="F14" s="26" t="s">
        <v>74</v>
      </c>
    </row>
    <row r="15" spans="1:6" x14ac:dyDescent="0.3">
      <c r="A15" s="32">
        <v>45078</v>
      </c>
      <c r="B15" s="32">
        <v>45047</v>
      </c>
      <c r="C15" s="32">
        <v>45077</v>
      </c>
      <c r="E15" s="26" t="s">
        <v>208</v>
      </c>
      <c r="F15" s="26" t="s">
        <v>74</v>
      </c>
    </row>
    <row r="16" spans="1:6" x14ac:dyDescent="0.3">
      <c r="A16" s="32">
        <v>44713</v>
      </c>
      <c r="B16" s="32">
        <v>44682</v>
      </c>
      <c r="C16" s="32">
        <v>44712</v>
      </c>
      <c r="E16" s="26" t="s">
        <v>228</v>
      </c>
      <c r="F16" s="26" t="s">
        <v>1321</v>
      </c>
    </row>
    <row r="17" spans="1:6" x14ac:dyDescent="0.3">
      <c r="A17" s="32">
        <v>44197</v>
      </c>
      <c r="B17" s="32">
        <v>44166</v>
      </c>
      <c r="C17" s="32">
        <v>44195</v>
      </c>
      <c r="E17" s="26" t="s">
        <v>248</v>
      </c>
      <c r="F17" s="26" t="s">
        <v>1321</v>
      </c>
    </row>
    <row r="18" spans="1:6" x14ac:dyDescent="0.3">
      <c r="A18" s="32">
        <v>44228</v>
      </c>
      <c r="B18" s="32">
        <v>44197</v>
      </c>
      <c r="C18" s="32">
        <v>44225</v>
      </c>
      <c r="D18" s="20"/>
      <c r="E18" s="26" t="s">
        <v>249</v>
      </c>
      <c r="F18" s="26" t="s">
        <v>1321</v>
      </c>
    </row>
    <row r="19" spans="1:6" x14ac:dyDescent="0.3">
      <c r="A19" s="32">
        <v>44774</v>
      </c>
      <c r="B19" s="32">
        <v>44743</v>
      </c>
      <c r="C19" s="32">
        <v>44771</v>
      </c>
      <c r="E19" s="26" t="s">
        <v>252</v>
      </c>
      <c r="F19" s="26" t="s">
        <v>1321</v>
      </c>
    </row>
    <row r="20" spans="1:6" x14ac:dyDescent="0.3">
      <c r="A20" s="32">
        <v>44501</v>
      </c>
      <c r="B20" s="32">
        <v>44470</v>
      </c>
      <c r="C20" s="32">
        <v>44498</v>
      </c>
      <c r="E20" s="26" t="s">
        <v>221</v>
      </c>
      <c r="F20" s="26" t="s">
        <v>1321</v>
      </c>
    </row>
    <row r="21" spans="1:6" x14ac:dyDescent="0.3">
      <c r="A21" s="32">
        <v>44652</v>
      </c>
      <c r="B21" s="32">
        <v>44621</v>
      </c>
      <c r="C21" s="32">
        <v>44651</v>
      </c>
      <c r="E21" s="26" t="s">
        <v>226</v>
      </c>
      <c r="F21" s="26" t="s">
        <v>1321</v>
      </c>
    </row>
    <row r="22" spans="1:6" x14ac:dyDescent="0.3">
      <c r="A22" s="32">
        <v>44682</v>
      </c>
      <c r="B22" s="32">
        <v>44652</v>
      </c>
      <c r="C22" s="32">
        <v>44680</v>
      </c>
      <c r="E22" s="26" t="s">
        <v>227</v>
      </c>
      <c r="F22" s="26" t="s">
        <v>1321</v>
      </c>
    </row>
    <row r="23" spans="1:6" x14ac:dyDescent="0.3">
      <c r="A23" s="32">
        <v>45047</v>
      </c>
      <c r="B23" s="32">
        <v>45017</v>
      </c>
      <c r="C23" s="32">
        <v>45044</v>
      </c>
      <c r="E23" s="26" t="s">
        <v>253</v>
      </c>
      <c r="F23" s="26" t="s">
        <v>1321</v>
      </c>
    </row>
    <row r="24" spans="1:6" x14ac:dyDescent="0.3">
      <c r="A24" s="32">
        <v>44593</v>
      </c>
      <c r="B24" s="32">
        <v>44562</v>
      </c>
      <c r="C24" s="32">
        <v>44592</v>
      </c>
      <c r="E24" s="26" t="s">
        <v>224</v>
      </c>
      <c r="F24" s="26" t="s">
        <v>1321</v>
      </c>
    </row>
    <row r="25" spans="1:6" x14ac:dyDescent="0.3">
      <c r="A25" s="32">
        <v>44621</v>
      </c>
      <c r="B25" s="32">
        <v>44593</v>
      </c>
      <c r="C25" s="32">
        <v>44620</v>
      </c>
      <c r="E25" s="26" t="s">
        <v>225</v>
      </c>
      <c r="F25" s="26" t="s">
        <v>1321</v>
      </c>
    </row>
    <row r="26" spans="1:6" x14ac:dyDescent="0.3">
      <c r="A26" s="32">
        <v>44531</v>
      </c>
      <c r="B26" s="32">
        <v>44501</v>
      </c>
      <c r="C26" s="32">
        <v>44530</v>
      </c>
      <c r="E26" s="26" t="s">
        <v>222</v>
      </c>
      <c r="F26" s="26" t="s">
        <v>1321</v>
      </c>
    </row>
    <row r="27" spans="1:6" x14ac:dyDescent="0.3">
      <c r="A27" s="32">
        <v>44562</v>
      </c>
      <c r="B27" s="32">
        <v>44531</v>
      </c>
      <c r="C27" s="32">
        <v>44560</v>
      </c>
      <c r="E27" s="26" t="s">
        <v>223</v>
      </c>
      <c r="F27" s="26" t="s">
        <v>1321</v>
      </c>
    </row>
    <row r="28" spans="1:6" x14ac:dyDescent="0.3">
      <c r="A28" s="32">
        <v>44866</v>
      </c>
      <c r="B28" s="32">
        <v>44835</v>
      </c>
      <c r="C28" s="32">
        <v>44865</v>
      </c>
      <c r="E28" s="26" t="s">
        <v>267</v>
      </c>
      <c r="F28" s="26" t="s">
        <v>1324</v>
      </c>
    </row>
    <row r="29" spans="1:6" x14ac:dyDescent="0.3">
      <c r="A29" s="32">
        <v>44927</v>
      </c>
      <c r="B29" s="32">
        <v>44896</v>
      </c>
      <c r="C29" s="32">
        <v>44925</v>
      </c>
      <c r="E29" s="26" t="s">
        <v>279</v>
      </c>
      <c r="F29" s="26" t="s">
        <v>82</v>
      </c>
    </row>
    <row r="30" spans="1:6" x14ac:dyDescent="0.3">
      <c r="A30" s="32">
        <v>45170</v>
      </c>
      <c r="B30" s="32">
        <v>45139</v>
      </c>
      <c r="C30" s="32">
        <v>45169</v>
      </c>
      <c r="E30" s="26" t="s">
        <v>280</v>
      </c>
      <c r="F30" s="26" t="s">
        <v>82</v>
      </c>
    </row>
    <row r="31" spans="1:6" x14ac:dyDescent="0.3">
      <c r="A31" s="32">
        <v>44743</v>
      </c>
      <c r="B31" s="32">
        <v>44713</v>
      </c>
      <c r="C31" s="32">
        <v>44742</v>
      </c>
      <c r="E31" s="26" t="s">
        <v>283</v>
      </c>
      <c r="F31" s="26" t="s">
        <v>82</v>
      </c>
    </row>
    <row r="32" spans="1:6" x14ac:dyDescent="0.3">
      <c r="A32" s="32">
        <v>44896</v>
      </c>
      <c r="B32" s="32">
        <v>44866</v>
      </c>
      <c r="C32" s="32">
        <v>44895</v>
      </c>
      <c r="E32" s="26" t="s">
        <v>284</v>
      </c>
      <c r="F32" s="26" t="s">
        <v>82</v>
      </c>
    </row>
    <row r="33" spans="1:6" x14ac:dyDescent="0.3">
      <c r="A33" s="32">
        <v>44378</v>
      </c>
      <c r="B33" s="32">
        <v>44348</v>
      </c>
      <c r="C33" s="32">
        <v>44377</v>
      </c>
      <c r="E33" s="26" t="s">
        <v>282</v>
      </c>
      <c r="F33" s="26" t="s">
        <v>82</v>
      </c>
    </row>
    <row r="34" spans="1:6" x14ac:dyDescent="0.3">
      <c r="A34" s="32">
        <v>44958</v>
      </c>
      <c r="B34" s="32">
        <v>44927</v>
      </c>
      <c r="C34" s="32">
        <v>44957</v>
      </c>
      <c r="E34" s="26" t="s">
        <v>285</v>
      </c>
      <c r="F34" s="26" t="s">
        <v>82</v>
      </c>
    </row>
    <row r="35" spans="1:6" x14ac:dyDescent="0.3">
      <c r="A35" s="32">
        <v>44256</v>
      </c>
      <c r="B35" s="32">
        <v>44228</v>
      </c>
      <c r="C35" s="32">
        <v>44253</v>
      </c>
      <c r="E35" s="26" t="s">
        <v>308</v>
      </c>
      <c r="F35" s="26" t="s">
        <v>84</v>
      </c>
    </row>
    <row r="36" spans="1:6" x14ac:dyDescent="0.3">
      <c r="A36" s="32">
        <v>44287</v>
      </c>
      <c r="B36" s="32">
        <v>44256</v>
      </c>
      <c r="C36" s="32">
        <v>44286</v>
      </c>
      <c r="E36" s="26" t="s">
        <v>312</v>
      </c>
      <c r="F36" s="26" t="s">
        <v>84</v>
      </c>
    </row>
    <row r="37" spans="1:6" x14ac:dyDescent="0.3">
      <c r="A37" s="32">
        <v>44805</v>
      </c>
      <c r="B37" s="32">
        <v>44774</v>
      </c>
      <c r="C37" s="32">
        <v>44804</v>
      </c>
      <c r="E37" s="26" t="s">
        <v>139</v>
      </c>
      <c r="F37" s="26" t="s">
        <v>1323</v>
      </c>
    </row>
    <row r="38" spans="1:6" x14ac:dyDescent="0.3">
      <c r="A38" s="32">
        <v>45292</v>
      </c>
      <c r="B38" s="32">
        <v>45261</v>
      </c>
      <c r="C38" s="32">
        <v>45289</v>
      </c>
      <c r="E38" s="26" t="s">
        <v>309</v>
      </c>
      <c r="F38" s="26" t="s">
        <v>84</v>
      </c>
    </row>
    <row r="39" spans="1:6" x14ac:dyDescent="0.3">
      <c r="A39" s="32">
        <v>45323</v>
      </c>
      <c r="B39" s="32">
        <v>45292</v>
      </c>
      <c r="C39" s="32">
        <v>45322</v>
      </c>
      <c r="E39" s="26" t="s">
        <v>305</v>
      </c>
      <c r="F39" s="26" t="s">
        <v>84</v>
      </c>
    </row>
    <row r="40" spans="1:6" x14ac:dyDescent="0.3">
      <c r="A40" s="32">
        <v>45352</v>
      </c>
      <c r="B40" s="32">
        <v>45323</v>
      </c>
      <c r="C40" s="32">
        <v>45351</v>
      </c>
      <c r="E40" s="26" t="s">
        <v>269</v>
      </c>
      <c r="F40" s="26" t="s">
        <v>82</v>
      </c>
    </row>
    <row r="41" spans="1:6" x14ac:dyDescent="0.3">
      <c r="A41" s="32">
        <v>45383</v>
      </c>
      <c r="B41" s="32">
        <v>45352</v>
      </c>
      <c r="C41" s="32">
        <v>45380</v>
      </c>
      <c r="E41" s="26" t="s">
        <v>229</v>
      </c>
      <c r="F41" s="26" t="s">
        <v>1321</v>
      </c>
    </row>
    <row r="42" spans="1:6" x14ac:dyDescent="0.3">
      <c r="A42" s="32">
        <v>45413</v>
      </c>
      <c r="B42" s="32">
        <v>45383</v>
      </c>
      <c r="C42" s="32">
        <v>45412</v>
      </c>
      <c r="E42" s="26" t="s">
        <v>254</v>
      </c>
      <c r="F42" s="26" t="s">
        <v>1321</v>
      </c>
    </row>
    <row r="43" spans="1:6" x14ac:dyDescent="0.3">
      <c r="A43" s="32">
        <v>45444</v>
      </c>
      <c r="B43" s="32">
        <v>45413</v>
      </c>
      <c r="C43" s="32">
        <v>45443</v>
      </c>
      <c r="E43" s="26" t="s">
        <v>181</v>
      </c>
      <c r="F43" s="26" t="s">
        <v>1322</v>
      </c>
    </row>
    <row r="44" spans="1:6" x14ac:dyDescent="0.3">
      <c r="A44" s="32">
        <v>45474</v>
      </c>
      <c r="B44" s="32">
        <v>45444</v>
      </c>
      <c r="C44" s="32">
        <v>45471</v>
      </c>
      <c r="E44" s="26" t="s">
        <v>135</v>
      </c>
      <c r="F44" s="26" t="s">
        <v>1323</v>
      </c>
    </row>
    <row r="45" spans="1:6" x14ac:dyDescent="0.3">
      <c r="A45" s="32">
        <v>45505</v>
      </c>
      <c r="B45" s="32">
        <v>45474</v>
      </c>
      <c r="C45" s="32">
        <v>45504</v>
      </c>
      <c r="E45" s="26" t="s">
        <v>133</v>
      </c>
      <c r="F45" s="26" t="s">
        <v>1323</v>
      </c>
    </row>
    <row r="46" spans="1:6" x14ac:dyDescent="0.3">
      <c r="A46" s="32">
        <v>45536</v>
      </c>
      <c r="B46" s="32">
        <v>45505</v>
      </c>
      <c r="C46" s="32">
        <v>45534</v>
      </c>
      <c r="E46" s="26" t="s">
        <v>119</v>
      </c>
      <c r="F46" s="26" t="s">
        <v>1321</v>
      </c>
    </row>
    <row r="47" spans="1:6" x14ac:dyDescent="0.3">
      <c r="A47" s="32">
        <v>45566</v>
      </c>
      <c r="B47" s="32">
        <v>45536</v>
      </c>
      <c r="C47" s="32">
        <v>45565</v>
      </c>
      <c r="E47" s="26" t="s">
        <v>104</v>
      </c>
      <c r="F47" s="26" t="s">
        <v>1322</v>
      </c>
    </row>
    <row r="48" spans="1:6" x14ac:dyDescent="0.3">
      <c r="A48" s="32">
        <v>45597</v>
      </c>
      <c r="B48" s="32">
        <v>45566</v>
      </c>
      <c r="C48" s="32">
        <v>45596</v>
      </c>
      <c r="E48" s="26" t="s">
        <v>108</v>
      </c>
      <c r="F48" s="26" t="s">
        <v>74</v>
      </c>
    </row>
    <row r="49" spans="1:6" x14ac:dyDescent="0.3">
      <c r="A49" s="32">
        <v>45627</v>
      </c>
      <c r="B49" s="32">
        <v>45597</v>
      </c>
      <c r="C49" s="32">
        <v>45625</v>
      </c>
      <c r="E49" s="26" t="s">
        <v>125</v>
      </c>
      <c r="F49" s="26" t="s">
        <v>1324</v>
      </c>
    </row>
    <row r="50" spans="1:6" x14ac:dyDescent="0.3">
      <c r="A50" s="32">
        <v>45658</v>
      </c>
      <c r="B50" s="32">
        <v>45627</v>
      </c>
      <c r="C50" s="32">
        <v>45656</v>
      </c>
      <c r="E50" s="26" t="s">
        <v>128</v>
      </c>
      <c r="F50" s="26" t="s">
        <v>84</v>
      </c>
    </row>
    <row r="51" spans="1:6" x14ac:dyDescent="0.3">
      <c r="A51" s="32">
        <v>45689</v>
      </c>
      <c r="B51" s="32">
        <v>45658</v>
      </c>
      <c r="C51" s="32">
        <v>45688</v>
      </c>
      <c r="E51" s="26" t="s">
        <v>106</v>
      </c>
      <c r="F51" s="26" t="s">
        <v>74</v>
      </c>
    </row>
    <row r="52" spans="1:6" x14ac:dyDescent="0.3">
      <c r="A52" s="32">
        <v>45717</v>
      </c>
      <c r="B52" s="32">
        <v>45689</v>
      </c>
      <c r="C52" s="32">
        <v>45716</v>
      </c>
      <c r="E52" s="26" t="s">
        <v>116</v>
      </c>
      <c r="F52" s="26" t="s">
        <v>80</v>
      </c>
    </row>
    <row r="53" spans="1:6" x14ac:dyDescent="0.3">
      <c r="A53" s="32">
        <v>45748</v>
      </c>
      <c r="B53" s="32">
        <v>45717</v>
      </c>
      <c r="C53" s="32">
        <v>45747</v>
      </c>
      <c r="E53" s="26" t="s">
        <v>114</v>
      </c>
      <c r="F53" s="26" t="s">
        <v>80</v>
      </c>
    </row>
    <row r="54" spans="1:6" x14ac:dyDescent="0.3">
      <c r="A54" s="32">
        <v>45778</v>
      </c>
      <c r="B54" s="32">
        <v>45748</v>
      </c>
      <c r="C54" s="32">
        <v>45777</v>
      </c>
      <c r="E54" s="26" t="s">
        <v>126</v>
      </c>
      <c r="F54" s="26" t="s">
        <v>82</v>
      </c>
    </row>
    <row r="55" spans="1:6" x14ac:dyDescent="0.3">
      <c r="A55" s="32">
        <v>45809</v>
      </c>
      <c r="B55" s="32">
        <v>45778</v>
      </c>
      <c r="C55" s="32">
        <v>45807</v>
      </c>
      <c r="E55" s="26" t="s">
        <v>129</v>
      </c>
      <c r="F55" s="26" t="s">
        <v>84</v>
      </c>
    </row>
    <row r="56" spans="1:6" x14ac:dyDescent="0.3">
      <c r="A56" s="32">
        <v>45839</v>
      </c>
      <c r="B56" s="32">
        <v>45809</v>
      </c>
      <c r="C56" s="32">
        <v>45838</v>
      </c>
      <c r="E56" s="26" t="s">
        <v>113</v>
      </c>
      <c r="F56" s="26" t="s">
        <v>80</v>
      </c>
    </row>
    <row r="57" spans="1:6" x14ac:dyDescent="0.3">
      <c r="A57" s="32">
        <v>45870</v>
      </c>
      <c r="B57" s="32">
        <v>45839</v>
      </c>
      <c r="C57" s="32">
        <v>45869</v>
      </c>
      <c r="E57" s="26" t="s">
        <v>115</v>
      </c>
      <c r="F57" s="26" t="s">
        <v>80</v>
      </c>
    </row>
    <row r="58" spans="1:6" x14ac:dyDescent="0.3">
      <c r="A58" s="32">
        <v>45901</v>
      </c>
      <c r="B58" s="32">
        <v>45870</v>
      </c>
      <c r="C58" s="32">
        <v>45898</v>
      </c>
      <c r="E58" s="26" t="s">
        <v>134</v>
      </c>
      <c r="F58" s="26" t="s">
        <v>1323</v>
      </c>
    </row>
    <row r="59" spans="1:6" x14ac:dyDescent="0.3">
      <c r="A59" s="32">
        <v>45931</v>
      </c>
      <c r="B59" s="32">
        <v>45901</v>
      </c>
      <c r="C59" s="32">
        <v>45930</v>
      </c>
      <c r="E59" s="26" t="s">
        <v>136</v>
      </c>
      <c r="F59" s="26" t="s">
        <v>1323</v>
      </c>
    </row>
    <row r="60" spans="1:6" x14ac:dyDescent="0.3">
      <c r="A60" s="32">
        <v>45962</v>
      </c>
      <c r="B60" s="32">
        <v>45931</v>
      </c>
      <c r="C60" s="32">
        <v>45961</v>
      </c>
      <c r="E60" s="26" t="s">
        <v>109</v>
      </c>
      <c r="F60" s="26" t="s">
        <v>74</v>
      </c>
    </row>
    <row r="61" spans="1:6" x14ac:dyDescent="0.3">
      <c r="A61" s="32">
        <v>45992</v>
      </c>
      <c r="B61" s="32">
        <v>45962</v>
      </c>
      <c r="C61" s="32">
        <v>45989</v>
      </c>
      <c r="E61" s="26" t="s">
        <v>334</v>
      </c>
      <c r="F61" s="26" t="s">
        <v>86</v>
      </c>
    </row>
    <row r="62" spans="1:6" x14ac:dyDescent="0.3">
      <c r="A62" s="32">
        <v>46023</v>
      </c>
      <c r="B62" s="32">
        <v>45992</v>
      </c>
      <c r="C62" s="32">
        <v>46021</v>
      </c>
      <c r="E62" s="26" t="s">
        <v>127</v>
      </c>
      <c r="F62" s="26" t="s">
        <v>83</v>
      </c>
    </row>
    <row r="63" spans="1:6" x14ac:dyDescent="0.3">
      <c r="A63" s="32">
        <v>46054</v>
      </c>
      <c r="B63" s="32">
        <v>46023</v>
      </c>
      <c r="C63" s="32">
        <v>46052</v>
      </c>
      <c r="E63" s="26" t="s">
        <v>120</v>
      </c>
      <c r="F63" s="26" t="s">
        <v>1321</v>
      </c>
    </row>
    <row r="64" spans="1:6" x14ac:dyDescent="0.3">
      <c r="A64" s="32">
        <v>46082</v>
      </c>
      <c r="B64" s="32">
        <v>46054</v>
      </c>
      <c r="C64" s="32">
        <v>46080</v>
      </c>
      <c r="E64" s="26" t="s">
        <v>230</v>
      </c>
      <c r="F64" s="26" t="s">
        <v>1321</v>
      </c>
    </row>
    <row r="65" spans="1:6" x14ac:dyDescent="0.3">
      <c r="A65" s="32">
        <v>46113</v>
      </c>
      <c r="B65" s="32">
        <v>46082</v>
      </c>
      <c r="C65" s="32">
        <v>46112</v>
      </c>
      <c r="E65" s="26" t="s">
        <v>23</v>
      </c>
      <c r="F65" s="26" t="s">
        <v>80</v>
      </c>
    </row>
    <row r="66" spans="1:6" x14ac:dyDescent="0.3">
      <c r="A66" s="32">
        <v>46143</v>
      </c>
      <c r="B66" s="32">
        <v>46113</v>
      </c>
      <c r="C66" s="32">
        <v>46142</v>
      </c>
      <c r="E66" s="26" t="s">
        <v>24</v>
      </c>
      <c r="F66" s="26" t="s">
        <v>80</v>
      </c>
    </row>
    <row r="67" spans="1:6" x14ac:dyDescent="0.3">
      <c r="A67" s="32">
        <v>46174</v>
      </c>
      <c r="B67" s="32">
        <v>46143</v>
      </c>
      <c r="C67" s="32">
        <v>46171</v>
      </c>
      <c r="E67" s="26" t="s">
        <v>231</v>
      </c>
      <c r="F67" s="26" t="s">
        <v>1321</v>
      </c>
    </row>
    <row r="68" spans="1:6" x14ac:dyDescent="0.3">
      <c r="A68" s="32">
        <v>46204</v>
      </c>
      <c r="B68" s="32">
        <v>46174</v>
      </c>
      <c r="C68" s="32">
        <v>46203</v>
      </c>
      <c r="E68" s="26" t="s">
        <v>321</v>
      </c>
      <c r="F68" s="26" t="s">
        <v>1323</v>
      </c>
    </row>
    <row r="69" spans="1:6" x14ac:dyDescent="0.3">
      <c r="A69" s="32">
        <v>46235</v>
      </c>
      <c r="B69" s="32">
        <v>46204</v>
      </c>
      <c r="C69" s="32">
        <v>46234</v>
      </c>
      <c r="E69" s="26" t="s">
        <v>178</v>
      </c>
      <c r="F69" s="26" t="s">
        <v>1322</v>
      </c>
    </row>
    <row r="70" spans="1:6" x14ac:dyDescent="0.3">
      <c r="A70" s="32">
        <v>46266</v>
      </c>
      <c r="B70" s="32">
        <v>46235</v>
      </c>
      <c r="C70" s="32">
        <v>46265</v>
      </c>
      <c r="E70" s="26" t="s">
        <v>11</v>
      </c>
      <c r="F70" s="26" t="s">
        <v>1324</v>
      </c>
    </row>
    <row r="71" spans="1:6" x14ac:dyDescent="0.3">
      <c r="A71" s="32">
        <v>46296</v>
      </c>
      <c r="B71" s="32">
        <v>46266</v>
      </c>
      <c r="C71" s="32">
        <v>46295</v>
      </c>
      <c r="E71" s="26" t="s">
        <v>193</v>
      </c>
      <c r="F71" s="26" t="s">
        <v>1322</v>
      </c>
    </row>
    <row r="72" spans="1:6" x14ac:dyDescent="0.3">
      <c r="A72" s="32">
        <v>46327</v>
      </c>
      <c r="B72" s="32">
        <v>46296</v>
      </c>
      <c r="C72" s="32">
        <v>46325</v>
      </c>
      <c r="E72" s="26" t="s">
        <v>194</v>
      </c>
      <c r="F72" s="26" t="s">
        <v>1322</v>
      </c>
    </row>
    <row r="73" spans="1:6" x14ac:dyDescent="0.3">
      <c r="A73" s="32">
        <v>46357</v>
      </c>
      <c r="B73" s="32">
        <v>46327</v>
      </c>
      <c r="C73" s="32">
        <v>46356</v>
      </c>
      <c r="E73" s="26" t="s">
        <v>232</v>
      </c>
      <c r="F73" s="26" t="s">
        <v>1321</v>
      </c>
    </row>
    <row r="74" spans="1:6" x14ac:dyDescent="0.3">
      <c r="A74" s="32">
        <v>46388</v>
      </c>
      <c r="B74" s="32">
        <v>46357</v>
      </c>
      <c r="C74" s="32">
        <v>46387</v>
      </c>
      <c r="E74" s="26" t="s">
        <v>212</v>
      </c>
      <c r="F74" s="26" t="s">
        <v>74</v>
      </c>
    </row>
    <row r="75" spans="1:6" x14ac:dyDescent="0.3">
      <c r="A75" s="32">
        <v>46419</v>
      </c>
      <c r="B75" s="32">
        <v>46388</v>
      </c>
      <c r="C75" s="32">
        <v>46416</v>
      </c>
      <c r="E75" s="26" t="s">
        <v>121</v>
      </c>
      <c r="F75" s="26" t="s">
        <v>1321</v>
      </c>
    </row>
    <row r="76" spans="1:6" x14ac:dyDescent="0.3">
      <c r="E76" s="26" t="s">
        <v>112</v>
      </c>
      <c r="F76" s="26" t="s">
        <v>74</v>
      </c>
    </row>
    <row r="77" spans="1:6" x14ac:dyDescent="0.3">
      <c r="E77" s="26" t="s">
        <v>124</v>
      </c>
      <c r="F77" s="26" t="s">
        <v>1321</v>
      </c>
    </row>
    <row r="78" spans="1:6" x14ac:dyDescent="0.3">
      <c r="E78" s="26" t="s">
        <v>140</v>
      </c>
      <c r="F78" s="26" t="s">
        <v>1323</v>
      </c>
    </row>
    <row r="79" spans="1:6" x14ac:dyDescent="0.3">
      <c r="E79" s="26" t="s">
        <v>268</v>
      </c>
      <c r="F79" s="26" t="s">
        <v>1324</v>
      </c>
    </row>
    <row r="80" spans="1:6" x14ac:dyDescent="0.3">
      <c r="E80" s="26" t="s">
        <v>270</v>
      </c>
      <c r="F80" s="26" t="s">
        <v>82</v>
      </c>
    </row>
    <row r="81" spans="5:6" x14ac:dyDescent="0.3">
      <c r="E81" s="26" t="s">
        <v>89</v>
      </c>
      <c r="F81" s="26" t="s">
        <v>78</v>
      </c>
    </row>
    <row r="82" spans="5:6" x14ac:dyDescent="0.3">
      <c r="E82" s="26" t="s">
        <v>90</v>
      </c>
      <c r="F82" s="26" t="s">
        <v>78</v>
      </c>
    </row>
    <row r="83" spans="5:6" x14ac:dyDescent="0.3">
      <c r="E83" s="26" t="s">
        <v>105</v>
      </c>
      <c r="F83" s="26" t="s">
        <v>1322</v>
      </c>
    </row>
    <row r="84" spans="5:6" x14ac:dyDescent="0.3">
      <c r="E84" s="26" t="s">
        <v>131</v>
      </c>
      <c r="F84" s="26" t="s">
        <v>84</v>
      </c>
    </row>
    <row r="85" spans="5:6" x14ac:dyDescent="0.3">
      <c r="E85" s="26" t="s">
        <v>132</v>
      </c>
      <c r="F85" s="26" t="s">
        <v>84</v>
      </c>
    </row>
    <row r="86" spans="5:6" x14ac:dyDescent="0.3">
      <c r="E86" s="26" t="s">
        <v>130</v>
      </c>
      <c r="F86" s="26" t="s">
        <v>84</v>
      </c>
    </row>
    <row r="87" spans="5:6" x14ac:dyDescent="0.3">
      <c r="E87" s="26" t="s">
        <v>335</v>
      </c>
      <c r="F87" s="26" t="s">
        <v>1323</v>
      </c>
    </row>
    <row r="88" spans="5:6" x14ac:dyDescent="0.3">
      <c r="E88" s="26" t="s">
        <v>327</v>
      </c>
      <c r="F88" s="26" t="s">
        <v>74</v>
      </c>
    </row>
    <row r="89" spans="5:6" x14ac:dyDescent="0.3">
      <c r="E89" s="26" t="s">
        <v>328</v>
      </c>
      <c r="F89" s="26" t="s">
        <v>1321</v>
      </c>
    </row>
    <row r="90" spans="5:6" x14ac:dyDescent="0.3">
      <c r="E90" s="26" t="s">
        <v>329</v>
      </c>
      <c r="F90" s="26" t="s">
        <v>1321</v>
      </c>
    </row>
    <row r="91" spans="5:6" x14ac:dyDescent="0.3">
      <c r="E91" s="26" t="s">
        <v>330</v>
      </c>
      <c r="F91" s="26" t="s">
        <v>1321</v>
      </c>
    </row>
    <row r="92" spans="5:6" x14ac:dyDescent="0.3">
      <c r="E92" s="26" t="s">
        <v>331</v>
      </c>
      <c r="F92" s="26" t="s">
        <v>1321</v>
      </c>
    </row>
    <row r="93" spans="5:6" x14ac:dyDescent="0.3">
      <c r="E93" s="26" t="s">
        <v>332</v>
      </c>
      <c r="F93" s="26" t="s">
        <v>1321</v>
      </c>
    </row>
    <row r="94" spans="5:6" x14ac:dyDescent="0.3">
      <c r="E94" s="26" t="s">
        <v>333</v>
      </c>
      <c r="F94" s="26" t="s">
        <v>1321</v>
      </c>
    </row>
    <row r="95" spans="5:6" x14ac:dyDescent="0.3">
      <c r="E95" s="26" t="s">
        <v>182</v>
      </c>
      <c r="F95" s="26" t="s">
        <v>1322</v>
      </c>
    </row>
    <row r="96" spans="5:6" x14ac:dyDescent="0.3">
      <c r="E96" s="26" t="s">
        <v>233</v>
      </c>
      <c r="F96" s="26" t="s">
        <v>1321</v>
      </c>
    </row>
    <row r="97" spans="5:6" x14ac:dyDescent="0.3">
      <c r="E97" s="26" t="s">
        <v>14</v>
      </c>
      <c r="F97" s="26" t="s">
        <v>1323</v>
      </c>
    </row>
    <row r="98" spans="5:6" x14ac:dyDescent="0.3">
      <c r="E98" s="26" t="s">
        <v>15</v>
      </c>
      <c r="F98" s="26" t="s">
        <v>1323</v>
      </c>
    </row>
    <row r="99" spans="5:6" x14ac:dyDescent="0.3">
      <c r="E99" s="26" t="s">
        <v>265</v>
      </c>
      <c r="F99" s="26" t="s">
        <v>1321</v>
      </c>
    </row>
    <row r="100" spans="5:6" x14ac:dyDescent="0.3">
      <c r="E100" s="26" t="s">
        <v>325</v>
      </c>
      <c r="F100" s="26" t="s">
        <v>1323</v>
      </c>
    </row>
    <row r="101" spans="5:6" x14ac:dyDescent="0.3">
      <c r="E101" s="26" t="s">
        <v>234</v>
      </c>
      <c r="F101" s="26" t="s">
        <v>1321</v>
      </c>
    </row>
    <row r="102" spans="5:6" x14ac:dyDescent="0.3">
      <c r="E102" s="26" t="s">
        <v>19</v>
      </c>
      <c r="F102" s="26" t="s">
        <v>74</v>
      </c>
    </row>
    <row r="103" spans="5:6" x14ac:dyDescent="0.3">
      <c r="E103" s="26" t="s">
        <v>213</v>
      </c>
      <c r="F103" s="26" t="s">
        <v>74</v>
      </c>
    </row>
    <row r="104" spans="5:6" x14ac:dyDescent="0.3">
      <c r="E104" s="26" t="s">
        <v>214</v>
      </c>
      <c r="F104" s="26" t="s">
        <v>74</v>
      </c>
    </row>
    <row r="105" spans="5:6" x14ac:dyDescent="0.3">
      <c r="E105" s="26" t="s">
        <v>201</v>
      </c>
      <c r="F105" s="26" t="s">
        <v>74</v>
      </c>
    </row>
    <row r="106" spans="5:6" x14ac:dyDescent="0.3">
      <c r="E106" s="26" t="s">
        <v>322</v>
      </c>
      <c r="F106" s="26" t="s">
        <v>1323</v>
      </c>
    </row>
    <row r="107" spans="5:6" x14ac:dyDescent="0.3">
      <c r="E107" s="26" t="s">
        <v>16</v>
      </c>
      <c r="F107" s="26" t="s">
        <v>1321</v>
      </c>
    </row>
    <row r="108" spans="5:6" x14ac:dyDescent="0.3">
      <c r="E108" s="26" t="s">
        <v>205</v>
      </c>
      <c r="F108" s="26" t="s">
        <v>74</v>
      </c>
    </row>
    <row r="109" spans="5:6" x14ac:dyDescent="0.3">
      <c r="E109" s="26" t="s">
        <v>255</v>
      </c>
      <c r="F109" s="26" t="s">
        <v>1321</v>
      </c>
    </row>
    <row r="110" spans="5:6" x14ac:dyDescent="0.3">
      <c r="E110" s="26" t="s">
        <v>202</v>
      </c>
      <c r="F110" s="26" t="s">
        <v>74</v>
      </c>
    </row>
    <row r="111" spans="5:6" x14ac:dyDescent="0.3">
      <c r="E111" s="26" t="s">
        <v>203</v>
      </c>
      <c r="F111" s="26" t="s">
        <v>74</v>
      </c>
    </row>
    <row r="112" spans="5:6" x14ac:dyDescent="0.3">
      <c r="E112" s="26" t="s">
        <v>206</v>
      </c>
      <c r="F112" s="26" t="s">
        <v>74</v>
      </c>
    </row>
    <row r="113" spans="5:6" x14ac:dyDescent="0.3">
      <c r="E113" s="26" t="s">
        <v>286</v>
      </c>
      <c r="F113" s="26" t="s">
        <v>82</v>
      </c>
    </row>
    <row r="114" spans="5:6" x14ac:dyDescent="0.3">
      <c r="E114" s="26" t="s">
        <v>235</v>
      </c>
      <c r="F114" s="26" t="s">
        <v>1321</v>
      </c>
    </row>
    <row r="115" spans="5:6" x14ac:dyDescent="0.3">
      <c r="E115" s="26" t="s">
        <v>256</v>
      </c>
      <c r="F115" s="26" t="s">
        <v>1321</v>
      </c>
    </row>
    <row r="116" spans="5:6" x14ac:dyDescent="0.3">
      <c r="E116" s="26" t="s">
        <v>315</v>
      </c>
      <c r="F116" s="26" t="s">
        <v>1323</v>
      </c>
    </row>
    <row r="117" spans="5:6" x14ac:dyDescent="0.3">
      <c r="E117" s="26" t="s">
        <v>236</v>
      </c>
      <c r="F117" s="26" t="s">
        <v>1321</v>
      </c>
    </row>
    <row r="118" spans="5:6" x14ac:dyDescent="0.3">
      <c r="E118" s="26" t="s">
        <v>257</v>
      </c>
      <c r="F118" s="26" t="s">
        <v>1321</v>
      </c>
    </row>
    <row r="119" spans="5:6" x14ac:dyDescent="0.3">
      <c r="E119" s="26" t="s">
        <v>319</v>
      </c>
      <c r="F119" s="26" t="s">
        <v>1323</v>
      </c>
    </row>
    <row r="120" spans="5:6" x14ac:dyDescent="0.3">
      <c r="E120" s="26" t="s">
        <v>320</v>
      </c>
      <c r="F120" s="26" t="s">
        <v>1323</v>
      </c>
    </row>
    <row r="121" spans="5:6" x14ac:dyDescent="0.3">
      <c r="E121" s="26" t="s">
        <v>237</v>
      </c>
      <c r="F121" s="26" t="s">
        <v>1321</v>
      </c>
    </row>
    <row r="122" spans="5:6" x14ac:dyDescent="0.3">
      <c r="E122" s="26" t="s">
        <v>287</v>
      </c>
      <c r="F122" s="26" t="s">
        <v>82</v>
      </c>
    </row>
    <row r="123" spans="5:6" x14ac:dyDescent="0.3">
      <c r="E123" s="26" t="s">
        <v>288</v>
      </c>
      <c r="F123" s="26" t="s">
        <v>82</v>
      </c>
    </row>
    <row r="124" spans="5:6" x14ac:dyDescent="0.3">
      <c r="E124" s="26" t="s">
        <v>250</v>
      </c>
      <c r="F124" s="26" t="s">
        <v>1321</v>
      </c>
    </row>
    <row r="125" spans="5:6" x14ac:dyDescent="0.3">
      <c r="E125" s="26" t="s">
        <v>289</v>
      </c>
      <c r="F125" s="26" t="s">
        <v>82</v>
      </c>
    </row>
    <row r="126" spans="5:6" x14ac:dyDescent="0.3">
      <c r="E126" s="26" t="s">
        <v>238</v>
      </c>
      <c r="F126" s="26" t="s">
        <v>1321</v>
      </c>
    </row>
    <row r="127" spans="5:6" x14ac:dyDescent="0.3">
      <c r="E127" s="26" t="s">
        <v>306</v>
      </c>
      <c r="F127" s="26" t="s">
        <v>84</v>
      </c>
    </row>
    <row r="128" spans="5:6" x14ac:dyDescent="0.3">
      <c r="E128" s="26" t="s">
        <v>183</v>
      </c>
      <c r="F128" s="26" t="s">
        <v>1322</v>
      </c>
    </row>
    <row r="129" spans="5:6" x14ac:dyDescent="0.3">
      <c r="E129" s="26" t="s">
        <v>184</v>
      </c>
      <c r="F129" s="26" t="s">
        <v>1322</v>
      </c>
    </row>
    <row r="130" spans="5:6" x14ac:dyDescent="0.3">
      <c r="E130" s="26" t="s">
        <v>271</v>
      </c>
      <c r="F130" s="26" t="s">
        <v>82</v>
      </c>
    </row>
    <row r="131" spans="5:6" x14ac:dyDescent="0.3">
      <c r="E131" s="26" t="s">
        <v>18</v>
      </c>
      <c r="F131" s="26" t="s">
        <v>1322</v>
      </c>
    </row>
    <row r="132" spans="5:6" x14ac:dyDescent="0.3">
      <c r="E132" s="26" t="s">
        <v>304</v>
      </c>
      <c r="F132" s="26" t="s">
        <v>84</v>
      </c>
    </row>
    <row r="133" spans="5:6" x14ac:dyDescent="0.3">
      <c r="E133" s="26" t="s">
        <v>290</v>
      </c>
      <c r="F133" s="26" t="s">
        <v>82</v>
      </c>
    </row>
    <row r="134" spans="5:6" x14ac:dyDescent="0.3">
      <c r="E134" s="26" t="s">
        <v>310</v>
      </c>
      <c r="F134" s="26" t="s">
        <v>84</v>
      </c>
    </row>
    <row r="135" spans="5:6" x14ac:dyDescent="0.3">
      <c r="E135" s="26" t="s">
        <v>211</v>
      </c>
      <c r="F135" s="26" t="s">
        <v>74</v>
      </c>
    </row>
    <row r="136" spans="5:6" x14ac:dyDescent="0.3">
      <c r="E136" s="26" t="s">
        <v>291</v>
      </c>
      <c r="F136" s="26" t="s">
        <v>82</v>
      </c>
    </row>
    <row r="137" spans="5:6" x14ac:dyDescent="0.3">
      <c r="E137" s="26" t="s">
        <v>292</v>
      </c>
      <c r="F137" s="26" t="s">
        <v>82</v>
      </c>
    </row>
    <row r="138" spans="5:6" x14ac:dyDescent="0.3">
      <c r="E138" s="26" t="s">
        <v>293</v>
      </c>
      <c r="F138" s="26" t="s">
        <v>82</v>
      </c>
    </row>
    <row r="139" spans="5:6" x14ac:dyDescent="0.3">
      <c r="E139" s="26" t="s">
        <v>195</v>
      </c>
      <c r="F139" s="26" t="s">
        <v>1322</v>
      </c>
    </row>
    <row r="140" spans="5:6" x14ac:dyDescent="0.3">
      <c r="E140" s="26" t="s">
        <v>196</v>
      </c>
      <c r="F140" s="26" t="s">
        <v>1322</v>
      </c>
    </row>
    <row r="141" spans="5:6" x14ac:dyDescent="0.3">
      <c r="E141" s="26" t="s">
        <v>313</v>
      </c>
      <c r="F141" s="26" t="s">
        <v>84</v>
      </c>
    </row>
    <row r="142" spans="5:6" x14ac:dyDescent="0.3">
      <c r="E142" s="26" t="s">
        <v>314</v>
      </c>
      <c r="F142" s="26" t="s">
        <v>84</v>
      </c>
    </row>
    <row r="143" spans="5:6" x14ac:dyDescent="0.3">
      <c r="E143" s="26" t="s">
        <v>21</v>
      </c>
      <c r="F143" s="26" t="s">
        <v>80</v>
      </c>
    </row>
    <row r="144" spans="5:6" x14ac:dyDescent="0.3">
      <c r="E144" s="26" t="s">
        <v>22</v>
      </c>
      <c r="F144" s="26" t="s">
        <v>80</v>
      </c>
    </row>
    <row r="145" spans="5:6" x14ac:dyDescent="0.3">
      <c r="E145" s="26" t="s">
        <v>20</v>
      </c>
      <c r="F145" s="26" t="s">
        <v>1321</v>
      </c>
    </row>
    <row r="146" spans="5:6" x14ac:dyDescent="0.3">
      <c r="E146" s="26" t="s">
        <v>251</v>
      </c>
      <c r="F146" s="26" t="s">
        <v>1321</v>
      </c>
    </row>
    <row r="147" spans="5:6" x14ac:dyDescent="0.3">
      <c r="E147" s="26" t="s">
        <v>12</v>
      </c>
      <c r="F147" s="26" t="s">
        <v>1321</v>
      </c>
    </row>
    <row r="148" spans="5:6" x14ac:dyDescent="0.3">
      <c r="E148" s="26" t="s">
        <v>147</v>
      </c>
      <c r="F148" s="26" t="s">
        <v>78</v>
      </c>
    </row>
    <row r="149" spans="5:6" x14ac:dyDescent="0.3">
      <c r="E149" s="26" t="s">
        <v>143</v>
      </c>
      <c r="F149" s="26" t="s">
        <v>78</v>
      </c>
    </row>
    <row r="150" spans="5:6" x14ac:dyDescent="0.3">
      <c r="E150" s="26" t="s">
        <v>148</v>
      </c>
      <c r="F150" s="26" t="s">
        <v>78</v>
      </c>
    </row>
    <row r="151" spans="5:6" x14ac:dyDescent="0.3">
      <c r="E151" s="26" t="s">
        <v>144</v>
      </c>
      <c r="F151" s="26" t="s">
        <v>78</v>
      </c>
    </row>
    <row r="152" spans="5:6" x14ac:dyDescent="0.3">
      <c r="E152" s="26" t="s">
        <v>307</v>
      </c>
      <c r="F152" s="26" t="s">
        <v>84</v>
      </c>
    </row>
    <row r="153" spans="5:6" x14ac:dyDescent="0.3">
      <c r="E153" s="26" t="s">
        <v>311</v>
      </c>
      <c r="F153" s="26" t="s">
        <v>84</v>
      </c>
    </row>
    <row r="154" spans="5:6" x14ac:dyDescent="0.3">
      <c r="E154" s="26" t="s">
        <v>294</v>
      </c>
      <c r="F154" s="26" t="s">
        <v>82</v>
      </c>
    </row>
    <row r="155" spans="5:6" x14ac:dyDescent="0.3">
      <c r="E155" s="26" t="s">
        <v>149</v>
      </c>
      <c r="F155" s="26" t="s">
        <v>78</v>
      </c>
    </row>
    <row r="156" spans="5:6" x14ac:dyDescent="0.3">
      <c r="E156" s="26" t="s">
        <v>266</v>
      </c>
      <c r="F156" s="26" t="s">
        <v>1321</v>
      </c>
    </row>
    <row r="157" spans="5:6" x14ac:dyDescent="0.3">
      <c r="E157" s="26" t="s">
        <v>301</v>
      </c>
      <c r="F157" s="26" t="s">
        <v>83</v>
      </c>
    </row>
    <row r="158" spans="5:6" x14ac:dyDescent="0.3">
      <c r="E158" s="26" t="s">
        <v>302</v>
      </c>
      <c r="F158" s="26" t="s">
        <v>83</v>
      </c>
    </row>
    <row r="159" spans="5:6" x14ac:dyDescent="0.3">
      <c r="E159" s="26" t="s">
        <v>303</v>
      </c>
      <c r="F159" s="26" t="s">
        <v>83</v>
      </c>
    </row>
    <row r="160" spans="5:6" x14ac:dyDescent="0.3">
      <c r="E160" s="26" t="s">
        <v>1325</v>
      </c>
      <c r="F160" s="26" t="s">
        <v>77</v>
      </c>
    </row>
    <row r="161" spans="5:6" x14ac:dyDescent="0.3">
      <c r="E161" s="26" t="s">
        <v>142</v>
      </c>
      <c r="F161" s="26" t="s">
        <v>77</v>
      </c>
    </row>
    <row r="162" spans="5:6" x14ac:dyDescent="0.3">
      <c r="E162" s="26" t="s">
        <v>239</v>
      </c>
      <c r="F162" s="26" t="s">
        <v>1321</v>
      </c>
    </row>
    <row r="163" spans="5:6" x14ac:dyDescent="0.3">
      <c r="E163" s="26" t="s">
        <v>215</v>
      </c>
      <c r="F163" s="26" t="s">
        <v>74</v>
      </c>
    </row>
    <row r="164" spans="5:6" x14ac:dyDescent="0.3">
      <c r="E164" s="26" t="s">
        <v>240</v>
      </c>
      <c r="F164" s="26" t="s">
        <v>1321</v>
      </c>
    </row>
    <row r="165" spans="5:6" x14ac:dyDescent="0.3">
      <c r="E165" s="26" t="s">
        <v>197</v>
      </c>
      <c r="F165" s="26" t="s">
        <v>1322</v>
      </c>
    </row>
    <row r="166" spans="5:6" x14ac:dyDescent="0.3">
      <c r="E166" s="26" t="s">
        <v>219</v>
      </c>
      <c r="F166" s="26" t="s">
        <v>81</v>
      </c>
    </row>
    <row r="167" spans="5:6" x14ac:dyDescent="0.3">
      <c r="E167" s="26" t="s">
        <v>295</v>
      </c>
      <c r="F167" s="26" t="s">
        <v>82</v>
      </c>
    </row>
    <row r="168" spans="5:6" x14ac:dyDescent="0.3">
      <c r="E168" s="26" t="s">
        <v>100</v>
      </c>
      <c r="F168" s="26" t="s">
        <v>1322</v>
      </c>
    </row>
    <row r="169" spans="5:6" x14ac:dyDescent="0.3">
      <c r="E169" s="26" t="s">
        <v>1326</v>
      </c>
      <c r="F169" s="26" t="s">
        <v>1321</v>
      </c>
    </row>
    <row r="170" spans="5:6" x14ac:dyDescent="0.3">
      <c r="E170" s="26" t="s">
        <v>1327</v>
      </c>
      <c r="F170" s="26" t="s">
        <v>1321</v>
      </c>
    </row>
    <row r="171" spans="5:6" x14ac:dyDescent="0.3">
      <c r="E171" s="26" t="s">
        <v>1328</v>
      </c>
      <c r="F171" s="26" t="s">
        <v>1321</v>
      </c>
    </row>
    <row r="172" spans="5:6" x14ac:dyDescent="0.3">
      <c r="E172" s="26" t="s">
        <v>1329</v>
      </c>
      <c r="F172" s="26" t="s">
        <v>1321</v>
      </c>
    </row>
    <row r="173" spans="5:6" x14ac:dyDescent="0.3">
      <c r="E173" s="26" t="s">
        <v>1330</v>
      </c>
      <c r="F173" s="26" t="s">
        <v>1321</v>
      </c>
    </row>
    <row r="174" spans="5:6" x14ac:dyDescent="0.3">
      <c r="E174" s="26" t="s">
        <v>1331</v>
      </c>
      <c r="F174" s="26" t="s">
        <v>1321</v>
      </c>
    </row>
    <row r="175" spans="5:6" x14ac:dyDescent="0.3">
      <c r="E175" s="26" t="s">
        <v>1332</v>
      </c>
      <c r="F175" s="26" t="s">
        <v>1321</v>
      </c>
    </row>
    <row r="176" spans="5:6" x14ac:dyDescent="0.3">
      <c r="E176" s="26" t="s">
        <v>1333</v>
      </c>
      <c r="F176" s="26" t="s">
        <v>1321</v>
      </c>
    </row>
    <row r="177" spans="5:6" x14ac:dyDescent="0.3">
      <c r="E177" s="26" t="s">
        <v>1334</v>
      </c>
      <c r="F177" s="26" t="s">
        <v>1321</v>
      </c>
    </row>
    <row r="178" spans="5:6" x14ac:dyDescent="0.3">
      <c r="E178" s="26" t="s">
        <v>1335</v>
      </c>
      <c r="F178" s="26" t="s">
        <v>82</v>
      </c>
    </row>
    <row r="179" spans="5:6" x14ac:dyDescent="0.3">
      <c r="E179" s="26" t="s">
        <v>1336</v>
      </c>
      <c r="F179" s="26" t="s">
        <v>82</v>
      </c>
    </row>
    <row r="180" spans="5:6" x14ac:dyDescent="0.3">
      <c r="E180" s="26" t="s">
        <v>1337</v>
      </c>
      <c r="F180" s="26" t="s">
        <v>82</v>
      </c>
    </row>
    <row r="181" spans="5:6" x14ac:dyDescent="0.3">
      <c r="E181" s="26" t="s">
        <v>190</v>
      </c>
      <c r="F181" s="26" t="s">
        <v>1322</v>
      </c>
    </row>
    <row r="182" spans="5:6" x14ac:dyDescent="0.3">
      <c r="E182" s="26" t="s">
        <v>91</v>
      </c>
      <c r="F182" s="26" t="s">
        <v>1338</v>
      </c>
    </row>
    <row r="183" spans="5:6" x14ac:dyDescent="0.3">
      <c r="E183" s="26" t="s">
        <v>88</v>
      </c>
      <c r="F183" s="26" t="s">
        <v>78</v>
      </c>
    </row>
    <row r="184" spans="5:6" x14ac:dyDescent="0.3">
      <c r="E184" s="26" t="s">
        <v>17</v>
      </c>
      <c r="F184" s="26" t="s">
        <v>1324</v>
      </c>
    </row>
    <row r="185" spans="5:6" x14ac:dyDescent="0.3">
      <c r="E185" s="26" t="s">
        <v>185</v>
      </c>
      <c r="F185" s="26" t="s">
        <v>1322</v>
      </c>
    </row>
    <row r="186" spans="5:6" x14ac:dyDescent="0.3">
      <c r="E186" s="26" t="s">
        <v>258</v>
      </c>
      <c r="F186" s="26" t="s">
        <v>1321</v>
      </c>
    </row>
    <row r="187" spans="5:6" x14ac:dyDescent="0.3">
      <c r="E187" s="26" t="s">
        <v>141</v>
      </c>
      <c r="F187" s="26" t="s">
        <v>1339</v>
      </c>
    </row>
    <row r="188" spans="5:6" x14ac:dyDescent="0.3">
      <c r="E188" s="26" t="s">
        <v>1340</v>
      </c>
      <c r="F188" s="26" t="s">
        <v>1321</v>
      </c>
    </row>
    <row r="189" spans="5:6" x14ac:dyDescent="0.3">
      <c r="E189" s="26" t="s">
        <v>1341</v>
      </c>
      <c r="F189" s="26" t="s">
        <v>1321</v>
      </c>
    </row>
    <row r="190" spans="5:6" x14ac:dyDescent="0.3">
      <c r="E190" s="26" t="s">
        <v>1342</v>
      </c>
      <c r="F190" s="26" t="s">
        <v>1321</v>
      </c>
    </row>
    <row r="191" spans="5:6" x14ac:dyDescent="0.3">
      <c r="E191" s="26" t="s">
        <v>1343</v>
      </c>
      <c r="F191" s="26" t="s">
        <v>1321</v>
      </c>
    </row>
    <row r="192" spans="5:6" x14ac:dyDescent="0.3">
      <c r="E192" s="26" t="s">
        <v>1344</v>
      </c>
      <c r="F192" s="26" t="s">
        <v>1321</v>
      </c>
    </row>
    <row r="193" spans="5:6" x14ac:dyDescent="0.3">
      <c r="E193" s="26" t="s">
        <v>1345</v>
      </c>
      <c r="F193" s="26" t="s">
        <v>1321</v>
      </c>
    </row>
    <row r="194" spans="5:6" x14ac:dyDescent="0.3">
      <c r="E194" s="26" t="s">
        <v>1346</v>
      </c>
      <c r="F194" s="26" t="s">
        <v>1321</v>
      </c>
    </row>
    <row r="195" spans="5:6" x14ac:dyDescent="0.3">
      <c r="E195" s="26" t="s">
        <v>1347</v>
      </c>
      <c r="F195" s="26" t="s">
        <v>1321</v>
      </c>
    </row>
    <row r="196" spans="5:6" x14ac:dyDescent="0.3">
      <c r="E196" s="26" t="s">
        <v>1348</v>
      </c>
      <c r="F196" s="26" t="s">
        <v>1321</v>
      </c>
    </row>
    <row r="197" spans="5:6" x14ac:dyDescent="0.3">
      <c r="E197" s="26" t="s">
        <v>1349</v>
      </c>
      <c r="F197" s="26" t="s">
        <v>1321</v>
      </c>
    </row>
    <row r="198" spans="5:6" x14ac:dyDescent="0.3">
      <c r="E198" s="26" t="s">
        <v>1350</v>
      </c>
      <c r="F198" s="26" t="s">
        <v>1321</v>
      </c>
    </row>
    <row r="199" spans="5:6" x14ac:dyDescent="0.3">
      <c r="E199" s="26" t="s">
        <v>1351</v>
      </c>
      <c r="F199" s="26" t="s">
        <v>1321</v>
      </c>
    </row>
    <row r="200" spans="5:6" x14ac:dyDescent="0.3">
      <c r="E200" s="26" t="s">
        <v>1352</v>
      </c>
      <c r="F200" s="26" t="s">
        <v>1321</v>
      </c>
    </row>
    <row r="201" spans="5:6" x14ac:dyDescent="0.3">
      <c r="E201" s="26" t="s">
        <v>1353</v>
      </c>
      <c r="F201" s="26" t="s">
        <v>1321</v>
      </c>
    </row>
    <row r="202" spans="5:6" x14ac:dyDescent="0.3">
      <c r="E202" s="26" t="s">
        <v>1354</v>
      </c>
      <c r="F202" s="26" t="s">
        <v>1321</v>
      </c>
    </row>
    <row r="203" spans="5:6" x14ac:dyDescent="0.3">
      <c r="E203" s="26" t="s">
        <v>1355</v>
      </c>
      <c r="F203" s="26" t="s">
        <v>1321</v>
      </c>
    </row>
    <row r="204" spans="5:6" x14ac:dyDescent="0.3">
      <c r="E204" s="26" t="s">
        <v>1356</v>
      </c>
      <c r="F204" s="26" t="s">
        <v>1321</v>
      </c>
    </row>
    <row r="205" spans="5:6" x14ac:dyDescent="0.3">
      <c r="E205" s="26" t="s">
        <v>1357</v>
      </c>
      <c r="F205" s="26" t="s">
        <v>1321</v>
      </c>
    </row>
    <row r="206" spans="5:6" x14ac:dyDescent="0.3">
      <c r="E206" s="26" t="s">
        <v>1358</v>
      </c>
      <c r="F206" s="26" t="s">
        <v>1321</v>
      </c>
    </row>
    <row r="207" spans="5:6" x14ac:dyDescent="0.3">
      <c r="E207" s="26" t="s">
        <v>1359</v>
      </c>
      <c r="F207" s="26" t="s">
        <v>1321</v>
      </c>
    </row>
    <row r="208" spans="5:6" x14ac:dyDescent="0.3">
      <c r="E208" s="26" t="s">
        <v>153</v>
      </c>
      <c r="F208" s="26" t="s">
        <v>78</v>
      </c>
    </row>
    <row r="209" spans="5:6" x14ac:dyDescent="0.3">
      <c r="E209" s="26" t="s">
        <v>150</v>
      </c>
      <c r="F209" s="26" t="s">
        <v>78</v>
      </c>
    </row>
    <row r="210" spans="5:6" x14ac:dyDescent="0.3">
      <c r="E210" s="26" t="s">
        <v>151</v>
      </c>
      <c r="F210" s="26" t="s">
        <v>78</v>
      </c>
    </row>
    <row r="211" spans="5:6" x14ac:dyDescent="0.3">
      <c r="E211" s="26" t="s">
        <v>145</v>
      </c>
      <c r="F211" s="26" t="s">
        <v>78</v>
      </c>
    </row>
    <row r="212" spans="5:6" x14ac:dyDescent="0.3">
      <c r="E212" s="26" t="s">
        <v>111</v>
      </c>
      <c r="F212" s="26" t="s">
        <v>74</v>
      </c>
    </row>
    <row r="213" spans="5:6" x14ac:dyDescent="0.3">
      <c r="E213" s="26" t="s">
        <v>138</v>
      </c>
      <c r="F213" s="26" t="s">
        <v>1323</v>
      </c>
    </row>
    <row r="214" spans="5:6" x14ac:dyDescent="0.3">
      <c r="E214" s="26" t="s">
        <v>122</v>
      </c>
      <c r="F214" s="26" t="s">
        <v>1321</v>
      </c>
    </row>
    <row r="215" spans="5:6" x14ac:dyDescent="0.3">
      <c r="E215" s="26" t="s">
        <v>198</v>
      </c>
      <c r="F215" s="26" t="s">
        <v>1322</v>
      </c>
    </row>
    <row r="216" spans="5:6" x14ac:dyDescent="0.3">
      <c r="E216" s="26" t="s">
        <v>166</v>
      </c>
      <c r="F216" s="26" t="s">
        <v>85</v>
      </c>
    </row>
    <row r="217" spans="5:6" x14ac:dyDescent="0.3">
      <c r="E217" s="26" t="s">
        <v>171</v>
      </c>
      <c r="F217" s="26" t="s">
        <v>85</v>
      </c>
    </row>
    <row r="218" spans="5:6" x14ac:dyDescent="0.3">
      <c r="E218" s="26" t="s">
        <v>10</v>
      </c>
      <c r="F218" s="26" t="s">
        <v>1322</v>
      </c>
    </row>
    <row r="219" spans="5:6" x14ac:dyDescent="0.3">
      <c r="E219" s="26" t="s">
        <v>216</v>
      </c>
      <c r="F219" s="26" t="s">
        <v>81</v>
      </c>
    </row>
    <row r="220" spans="5:6" x14ac:dyDescent="0.3">
      <c r="E220" s="26" t="s">
        <v>154</v>
      </c>
      <c r="F220" s="26" t="s">
        <v>1338</v>
      </c>
    </row>
    <row r="221" spans="5:6" x14ac:dyDescent="0.3">
      <c r="E221" s="26" t="s">
        <v>155</v>
      </c>
      <c r="F221" s="26" t="s">
        <v>1338</v>
      </c>
    </row>
    <row r="222" spans="5:6" x14ac:dyDescent="0.3">
      <c r="E222" s="26" t="s">
        <v>160</v>
      </c>
      <c r="F222" s="26" t="s">
        <v>1338</v>
      </c>
    </row>
    <row r="223" spans="5:6" x14ac:dyDescent="0.3">
      <c r="E223" s="26" t="s">
        <v>161</v>
      </c>
      <c r="F223" s="26" t="s">
        <v>1338</v>
      </c>
    </row>
    <row r="224" spans="5:6" x14ac:dyDescent="0.3">
      <c r="E224" s="26" t="s">
        <v>1360</v>
      </c>
      <c r="F224" s="26" t="s">
        <v>1321</v>
      </c>
    </row>
    <row r="225" spans="5:6" x14ac:dyDescent="0.3">
      <c r="E225" s="26" t="s">
        <v>1361</v>
      </c>
      <c r="F225" s="26" t="s">
        <v>1321</v>
      </c>
    </row>
    <row r="226" spans="5:6" x14ac:dyDescent="0.3">
      <c r="E226" s="26" t="s">
        <v>1362</v>
      </c>
      <c r="F226" s="26" t="s">
        <v>1321</v>
      </c>
    </row>
    <row r="227" spans="5:6" x14ac:dyDescent="0.3">
      <c r="E227" s="26" t="s">
        <v>1363</v>
      </c>
      <c r="F227" s="26" t="s">
        <v>1321</v>
      </c>
    </row>
    <row r="228" spans="5:6" x14ac:dyDescent="0.3">
      <c r="E228" s="26" t="s">
        <v>1364</v>
      </c>
      <c r="F228" s="26" t="s">
        <v>1321</v>
      </c>
    </row>
    <row r="229" spans="5:6" x14ac:dyDescent="0.3">
      <c r="E229" s="26" t="s">
        <v>1365</v>
      </c>
      <c r="F229" s="26" t="s">
        <v>1321</v>
      </c>
    </row>
    <row r="230" spans="5:6" x14ac:dyDescent="0.3">
      <c r="E230" s="26" t="s">
        <v>1366</v>
      </c>
      <c r="F230" s="26" t="s">
        <v>1321</v>
      </c>
    </row>
    <row r="231" spans="5:6" x14ac:dyDescent="0.3">
      <c r="E231" s="26" t="s">
        <v>1367</v>
      </c>
      <c r="F231" s="26" t="s">
        <v>1321</v>
      </c>
    </row>
    <row r="232" spans="5:6" x14ac:dyDescent="0.3">
      <c r="E232" s="26" t="s">
        <v>1368</v>
      </c>
      <c r="F232" s="26" t="s">
        <v>1321</v>
      </c>
    </row>
    <row r="233" spans="5:6" x14ac:dyDescent="0.3">
      <c r="E233" s="26" t="s">
        <v>1369</v>
      </c>
      <c r="F233" s="26" t="s">
        <v>1322</v>
      </c>
    </row>
    <row r="234" spans="5:6" x14ac:dyDescent="0.3">
      <c r="E234" s="26" t="s">
        <v>1370</v>
      </c>
      <c r="F234" s="26" t="s">
        <v>1321</v>
      </c>
    </row>
    <row r="235" spans="5:6" x14ac:dyDescent="0.3">
      <c r="E235" s="26" t="s">
        <v>158</v>
      </c>
      <c r="F235" s="26" t="s">
        <v>1338</v>
      </c>
    </row>
    <row r="236" spans="5:6" x14ac:dyDescent="0.3">
      <c r="E236" s="26" t="s">
        <v>96</v>
      </c>
      <c r="F236" s="26" t="s">
        <v>79</v>
      </c>
    </row>
    <row r="237" spans="5:6" x14ac:dyDescent="0.3">
      <c r="E237" s="26" t="s">
        <v>97</v>
      </c>
      <c r="F237" s="26" t="s">
        <v>79</v>
      </c>
    </row>
    <row r="238" spans="5:6" x14ac:dyDescent="0.3">
      <c r="E238" s="26" t="s">
        <v>98</v>
      </c>
      <c r="F238" s="26" t="s">
        <v>79</v>
      </c>
    </row>
    <row r="239" spans="5:6" x14ac:dyDescent="0.3">
      <c r="E239" s="26" t="s">
        <v>99</v>
      </c>
      <c r="F239" s="26" t="s">
        <v>79</v>
      </c>
    </row>
    <row r="240" spans="5:6" x14ac:dyDescent="0.3">
      <c r="E240" s="26" t="s">
        <v>167</v>
      </c>
      <c r="F240" s="26" t="s">
        <v>85</v>
      </c>
    </row>
    <row r="241" spans="5:6" x14ac:dyDescent="0.3">
      <c r="E241" s="26" t="s">
        <v>172</v>
      </c>
      <c r="F241" s="26" t="s">
        <v>85</v>
      </c>
    </row>
    <row r="242" spans="5:6" x14ac:dyDescent="0.3">
      <c r="E242" s="26" t="s">
        <v>168</v>
      </c>
      <c r="F242" s="26" t="s">
        <v>85</v>
      </c>
    </row>
    <row r="243" spans="5:6" x14ac:dyDescent="0.3">
      <c r="E243" s="26" t="s">
        <v>169</v>
      </c>
      <c r="F243" s="26" t="s">
        <v>85</v>
      </c>
    </row>
    <row r="244" spans="5:6" x14ac:dyDescent="0.3">
      <c r="E244" s="26" t="s">
        <v>220</v>
      </c>
      <c r="F244" s="26" t="s">
        <v>81</v>
      </c>
    </row>
    <row r="245" spans="5:6" x14ac:dyDescent="0.3">
      <c r="E245" s="26" t="s">
        <v>117</v>
      </c>
      <c r="F245" s="26" t="s">
        <v>81</v>
      </c>
    </row>
    <row r="246" spans="5:6" x14ac:dyDescent="0.3">
      <c r="E246" s="26" t="s">
        <v>118</v>
      </c>
      <c r="F246" s="26" t="s">
        <v>81</v>
      </c>
    </row>
    <row r="247" spans="5:6" x14ac:dyDescent="0.3">
      <c r="E247" s="26" t="s">
        <v>217</v>
      </c>
      <c r="F247" s="26" t="s">
        <v>81</v>
      </c>
    </row>
    <row r="248" spans="5:6" x14ac:dyDescent="0.3">
      <c r="E248" s="26" t="s">
        <v>218</v>
      </c>
      <c r="F248" s="26" t="s">
        <v>81</v>
      </c>
    </row>
    <row r="249" spans="5:6" x14ac:dyDescent="0.3">
      <c r="E249" s="26" t="s">
        <v>296</v>
      </c>
      <c r="F249" s="26" t="s">
        <v>82</v>
      </c>
    </row>
    <row r="250" spans="5:6" x14ac:dyDescent="0.3">
      <c r="E250" s="26" t="s">
        <v>297</v>
      </c>
      <c r="F250" s="26" t="s">
        <v>82</v>
      </c>
    </row>
    <row r="251" spans="5:6" x14ac:dyDescent="0.3">
      <c r="E251" s="26" t="s">
        <v>156</v>
      </c>
      <c r="F251" s="26" t="s">
        <v>1338</v>
      </c>
    </row>
    <row r="252" spans="5:6" x14ac:dyDescent="0.3">
      <c r="E252" s="26" t="s">
        <v>157</v>
      </c>
      <c r="F252" s="26" t="s">
        <v>1338</v>
      </c>
    </row>
    <row r="253" spans="5:6" x14ac:dyDescent="0.3">
      <c r="E253" s="26" t="s">
        <v>1371</v>
      </c>
      <c r="F253" s="26" t="s">
        <v>1321</v>
      </c>
    </row>
    <row r="254" spans="5:6" x14ac:dyDescent="0.3">
      <c r="E254" s="26" t="s">
        <v>1372</v>
      </c>
      <c r="F254" s="26" t="s">
        <v>1321</v>
      </c>
    </row>
    <row r="255" spans="5:6" x14ac:dyDescent="0.3">
      <c r="E255" s="26" t="s">
        <v>1373</v>
      </c>
      <c r="F255" s="26" t="s">
        <v>1321</v>
      </c>
    </row>
    <row r="256" spans="5:6" x14ac:dyDescent="0.3">
      <c r="E256" s="26" t="s">
        <v>1374</v>
      </c>
      <c r="F256" s="26" t="s">
        <v>1321</v>
      </c>
    </row>
    <row r="257" spans="5:6" x14ac:dyDescent="0.3">
      <c r="E257" s="26" t="s">
        <v>1375</v>
      </c>
      <c r="F257" s="26" t="s">
        <v>1321</v>
      </c>
    </row>
    <row r="258" spans="5:6" x14ac:dyDescent="0.3">
      <c r="E258" s="26" t="s">
        <v>1376</v>
      </c>
      <c r="F258" s="26" t="s">
        <v>82</v>
      </c>
    </row>
    <row r="259" spans="5:6" x14ac:dyDescent="0.3">
      <c r="E259" s="26" t="s">
        <v>1377</v>
      </c>
      <c r="F259" s="26" t="s">
        <v>1338</v>
      </c>
    </row>
    <row r="260" spans="5:6" x14ac:dyDescent="0.3">
      <c r="E260" s="26" t="s">
        <v>290</v>
      </c>
      <c r="F260" s="26" t="s">
        <v>82</v>
      </c>
    </row>
    <row r="261" spans="5:6" x14ac:dyDescent="0.3">
      <c r="E261" s="26" t="s">
        <v>13</v>
      </c>
      <c r="F261" s="26" t="s">
        <v>1323</v>
      </c>
    </row>
    <row r="262" spans="5:6" x14ac:dyDescent="0.3">
      <c r="E262" s="26" t="s">
        <v>152</v>
      </c>
      <c r="F262" s="26" t="s">
        <v>78</v>
      </c>
    </row>
    <row r="263" spans="5:6" x14ac:dyDescent="0.3">
      <c r="E263" s="26" t="s">
        <v>241</v>
      </c>
      <c r="F263" s="26" t="s">
        <v>1321</v>
      </c>
    </row>
    <row r="264" spans="5:6" x14ac:dyDescent="0.3">
      <c r="E264" s="26" t="s">
        <v>170</v>
      </c>
      <c r="F264" s="26" t="s">
        <v>85</v>
      </c>
    </row>
    <row r="265" spans="5:6" x14ac:dyDescent="0.3">
      <c r="E265" s="26" t="s">
        <v>173</v>
      </c>
      <c r="F265" s="26" t="s">
        <v>85</v>
      </c>
    </row>
    <row r="266" spans="5:6" x14ac:dyDescent="0.3">
      <c r="E266" s="26" t="s">
        <v>174</v>
      </c>
      <c r="F266" s="26" t="s">
        <v>85</v>
      </c>
    </row>
    <row r="267" spans="5:6" x14ac:dyDescent="0.3">
      <c r="E267" s="26" t="s">
        <v>242</v>
      </c>
      <c r="F267" s="26" t="s">
        <v>1321</v>
      </c>
    </row>
    <row r="268" spans="5:6" x14ac:dyDescent="0.3">
      <c r="E268" s="26" t="s">
        <v>243</v>
      </c>
      <c r="F268" s="26" t="s">
        <v>1321</v>
      </c>
    </row>
    <row r="269" spans="5:6" x14ac:dyDescent="0.3">
      <c r="E269" s="26" t="s">
        <v>259</v>
      </c>
      <c r="F269" s="26" t="s">
        <v>1321</v>
      </c>
    </row>
    <row r="270" spans="5:6" x14ac:dyDescent="0.3">
      <c r="E270" s="26" t="s">
        <v>260</v>
      </c>
      <c r="F270" s="26" t="s">
        <v>1321</v>
      </c>
    </row>
    <row r="271" spans="5:6" x14ac:dyDescent="0.3">
      <c r="E271" s="26" t="s">
        <v>316</v>
      </c>
      <c r="F271" s="26" t="s">
        <v>1323</v>
      </c>
    </row>
    <row r="272" spans="5:6" x14ac:dyDescent="0.3">
      <c r="E272" s="26" t="s">
        <v>317</v>
      </c>
      <c r="F272" s="26" t="s">
        <v>1323</v>
      </c>
    </row>
    <row r="273" spans="5:6" x14ac:dyDescent="0.3">
      <c r="E273" s="26" t="s">
        <v>323</v>
      </c>
      <c r="F273" s="26" t="s">
        <v>1323</v>
      </c>
    </row>
    <row r="274" spans="5:6" x14ac:dyDescent="0.3">
      <c r="E274" s="26" t="s">
        <v>324</v>
      </c>
      <c r="F274" s="26" t="s">
        <v>1323</v>
      </c>
    </row>
    <row r="275" spans="5:6" x14ac:dyDescent="0.3">
      <c r="E275" s="26" t="s">
        <v>1378</v>
      </c>
      <c r="F275" s="26" t="s">
        <v>1339</v>
      </c>
    </row>
    <row r="276" spans="5:6" x14ac:dyDescent="0.3">
      <c r="E276" s="26" t="s">
        <v>326</v>
      </c>
      <c r="F276" s="26" t="s">
        <v>1339</v>
      </c>
    </row>
    <row r="277" spans="5:6" x14ac:dyDescent="0.3">
      <c r="E277" s="26" t="s">
        <v>272</v>
      </c>
      <c r="F277" s="26" t="s">
        <v>82</v>
      </c>
    </row>
    <row r="278" spans="5:6" x14ac:dyDescent="0.3">
      <c r="E278" s="26" t="s">
        <v>318</v>
      </c>
      <c r="F278" s="26" t="s">
        <v>1323</v>
      </c>
    </row>
    <row r="279" spans="5:6" x14ac:dyDescent="0.3">
      <c r="E279" s="26" t="s">
        <v>101</v>
      </c>
      <c r="F279" s="26" t="s">
        <v>1322</v>
      </c>
    </row>
    <row r="280" spans="5:6" x14ac:dyDescent="0.3">
      <c r="E280" s="26" t="s">
        <v>1379</v>
      </c>
      <c r="F280" s="26" t="s">
        <v>1338</v>
      </c>
    </row>
    <row r="281" spans="5:6" x14ac:dyDescent="0.3">
      <c r="E281" s="26" t="s">
        <v>1380</v>
      </c>
      <c r="F281" s="26" t="s">
        <v>1321</v>
      </c>
    </row>
    <row r="282" spans="5:6" x14ac:dyDescent="0.3">
      <c r="E282" s="26" t="s">
        <v>1381</v>
      </c>
      <c r="F282" s="26" t="s">
        <v>1321</v>
      </c>
    </row>
    <row r="283" spans="5:6" x14ac:dyDescent="0.3">
      <c r="E283" s="26" t="s">
        <v>1382</v>
      </c>
      <c r="F283" s="26" t="s">
        <v>1321</v>
      </c>
    </row>
    <row r="284" spans="5:6" x14ac:dyDescent="0.3">
      <c r="E284" s="26" t="s">
        <v>1383</v>
      </c>
      <c r="F284" s="26" t="s">
        <v>1321</v>
      </c>
    </row>
    <row r="285" spans="5:6" x14ac:dyDescent="0.3">
      <c r="E285" s="26" t="s">
        <v>1384</v>
      </c>
      <c r="F285" s="26" t="s">
        <v>1321</v>
      </c>
    </row>
    <row r="286" spans="5:6" x14ac:dyDescent="0.3">
      <c r="E286" s="26" t="s">
        <v>1385</v>
      </c>
      <c r="F286" s="26" t="s">
        <v>1321</v>
      </c>
    </row>
    <row r="287" spans="5:6" x14ac:dyDescent="0.3">
      <c r="E287" s="26" t="s">
        <v>1386</v>
      </c>
      <c r="F287" s="26" t="s">
        <v>1321</v>
      </c>
    </row>
    <row r="288" spans="5:6" x14ac:dyDescent="0.3">
      <c r="E288" s="26" t="s">
        <v>1337</v>
      </c>
      <c r="F288" s="26" t="s">
        <v>82</v>
      </c>
    </row>
    <row r="289" spans="5:6" x14ac:dyDescent="0.3">
      <c r="E289" s="26" t="s">
        <v>261</v>
      </c>
      <c r="F289" s="26" t="s">
        <v>1321</v>
      </c>
    </row>
    <row r="290" spans="5:6" x14ac:dyDescent="0.3">
      <c r="E290" s="26" t="s">
        <v>186</v>
      </c>
      <c r="F290" s="26" t="s">
        <v>1322</v>
      </c>
    </row>
    <row r="291" spans="5:6" x14ac:dyDescent="0.3">
      <c r="E291" s="26" t="s">
        <v>92</v>
      </c>
      <c r="F291" s="26" t="s">
        <v>1338</v>
      </c>
    </row>
    <row r="292" spans="5:6" x14ac:dyDescent="0.3">
      <c r="E292" s="26" t="s">
        <v>93</v>
      </c>
      <c r="F292" s="26" t="s">
        <v>1338</v>
      </c>
    </row>
    <row r="293" spans="5:6" x14ac:dyDescent="0.3">
      <c r="E293" s="26" t="s">
        <v>94</v>
      </c>
      <c r="F293" s="26" t="s">
        <v>1338</v>
      </c>
    </row>
    <row r="294" spans="5:6" x14ac:dyDescent="0.3">
      <c r="E294" s="26" t="s">
        <v>273</v>
      </c>
      <c r="F294" s="26" t="s">
        <v>82</v>
      </c>
    </row>
    <row r="295" spans="5:6" x14ac:dyDescent="0.3">
      <c r="E295" s="26" t="s">
        <v>274</v>
      </c>
      <c r="F295" s="26" t="s">
        <v>82</v>
      </c>
    </row>
    <row r="296" spans="5:6" x14ac:dyDescent="0.3">
      <c r="E296" s="26" t="s">
        <v>1387</v>
      </c>
      <c r="F296" s="26" t="s">
        <v>82</v>
      </c>
    </row>
    <row r="297" spans="5:6" x14ac:dyDescent="0.3">
      <c r="E297" s="26" t="s">
        <v>275</v>
      </c>
      <c r="F297" s="26" t="s">
        <v>82</v>
      </c>
    </row>
    <row r="298" spans="5:6" x14ac:dyDescent="0.3">
      <c r="E298" s="26" t="s">
        <v>276</v>
      </c>
      <c r="F298" s="26" t="s">
        <v>82</v>
      </c>
    </row>
    <row r="299" spans="5:6" x14ac:dyDescent="0.3">
      <c r="E299" s="26" t="s">
        <v>277</v>
      </c>
      <c r="F299" s="26" t="s">
        <v>82</v>
      </c>
    </row>
    <row r="300" spans="5:6" x14ac:dyDescent="0.3">
      <c r="E300" s="26" t="s">
        <v>278</v>
      </c>
      <c r="F300" s="26" t="s">
        <v>82</v>
      </c>
    </row>
    <row r="301" spans="5:6" x14ac:dyDescent="0.3">
      <c r="E301" s="26" t="s">
        <v>1388</v>
      </c>
      <c r="F301" s="26" t="s">
        <v>82</v>
      </c>
    </row>
    <row r="302" spans="5:6" x14ac:dyDescent="0.3">
      <c r="E302" s="26" t="s">
        <v>1389</v>
      </c>
      <c r="F302" s="26" t="s">
        <v>1322</v>
      </c>
    </row>
    <row r="303" spans="5:6" x14ac:dyDescent="0.3">
      <c r="E303" s="26" t="s">
        <v>1390</v>
      </c>
      <c r="F303" s="26" t="s">
        <v>1322</v>
      </c>
    </row>
    <row r="304" spans="5:6" x14ac:dyDescent="0.3">
      <c r="E304" s="26" t="s">
        <v>1391</v>
      </c>
      <c r="F304" s="26" t="s">
        <v>1321</v>
      </c>
    </row>
    <row r="305" spans="5:6" x14ac:dyDescent="0.3">
      <c r="E305" s="26" t="s">
        <v>1392</v>
      </c>
      <c r="F305" s="26" t="s">
        <v>1339</v>
      </c>
    </row>
    <row r="306" spans="5:6" x14ac:dyDescent="0.3">
      <c r="E306" s="26" t="s">
        <v>1393</v>
      </c>
      <c r="F306" s="26" t="s">
        <v>82</v>
      </c>
    </row>
    <row r="307" spans="5:6" x14ac:dyDescent="0.3">
      <c r="E307" s="26" t="s">
        <v>1394</v>
      </c>
      <c r="F307" s="26" t="s">
        <v>1321</v>
      </c>
    </row>
    <row r="308" spans="5:6" x14ac:dyDescent="0.3">
      <c r="E308" s="26" t="s">
        <v>1395</v>
      </c>
      <c r="F308" s="26" t="s">
        <v>1339</v>
      </c>
    </row>
    <row r="309" spans="5:6" x14ac:dyDescent="0.3">
      <c r="E309" s="26" t="s">
        <v>1396</v>
      </c>
      <c r="F309" s="26" t="s">
        <v>1339</v>
      </c>
    </row>
    <row r="310" spans="5:6" x14ac:dyDescent="0.3">
      <c r="E310" s="26" t="s">
        <v>1397</v>
      </c>
      <c r="F310" s="26" t="s">
        <v>1339</v>
      </c>
    </row>
    <row r="311" spans="5:6" x14ac:dyDescent="0.3">
      <c r="E311" s="26" t="s">
        <v>1398</v>
      </c>
      <c r="F311" s="26" t="s">
        <v>1339</v>
      </c>
    </row>
    <row r="312" spans="5:6" x14ac:dyDescent="0.3">
      <c r="E312" s="26" t="s">
        <v>107</v>
      </c>
      <c r="F312" s="26" t="s">
        <v>74</v>
      </c>
    </row>
    <row r="313" spans="5:6" x14ac:dyDescent="0.3">
      <c r="E313" s="26" t="s">
        <v>110</v>
      </c>
      <c r="F313" s="26" t="s">
        <v>74</v>
      </c>
    </row>
    <row r="314" spans="5:6" x14ac:dyDescent="0.3">
      <c r="E314" s="26" t="s">
        <v>137</v>
      </c>
      <c r="F314" s="26" t="s">
        <v>1323</v>
      </c>
    </row>
    <row r="315" spans="5:6" x14ac:dyDescent="0.3">
      <c r="E315" s="26" t="s">
        <v>244</v>
      </c>
      <c r="F315" s="26" t="s">
        <v>1321</v>
      </c>
    </row>
    <row r="316" spans="5:6" x14ac:dyDescent="0.3">
      <c r="E316" s="26" t="s">
        <v>262</v>
      </c>
      <c r="F316" s="26" t="s">
        <v>1321</v>
      </c>
    </row>
    <row r="317" spans="5:6" x14ac:dyDescent="0.3">
      <c r="E317" s="26" t="s">
        <v>199</v>
      </c>
      <c r="F317" s="26" t="s">
        <v>1322</v>
      </c>
    </row>
    <row r="318" spans="5:6" x14ac:dyDescent="0.3">
      <c r="E318" s="26" t="s">
        <v>298</v>
      </c>
      <c r="F318" s="26" t="s">
        <v>82</v>
      </c>
    </row>
    <row r="319" spans="5:6" x14ac:dyDescent="0.3">
      <c r="E319" s="26" t="s">
        <v>200</v>
      </c>
      <c r="F319" s="26" t="s">
        <v>1322</v>
      </c>
    </row>
    <row r="320" spans="5:6" x14ac:dyDescent="0.3">
      <c r="E320" s="26" t="s">
        <v>102</v>
      </c>
      <c r="F320" s="26" t="s">
        <v>1322</v>
      </c>
    </row>
    <row r="321" spans="5:6" x14ac:dyDescent="0.3">
      <c r="E321" s="26" t="s">
        <v>245</v>
      </c>
      <c r="F321" s="26" t="s">
        <v>1321</v>
      </c>
    </row>
    <row r="322" spans="5:6" x14ac:dyDescent="0.3">
      <c r="E322" s="26" t="s">
        <v>263</v>
      </c>
      <c r="F322" s="26" t="s">
        <v>1321</v>
      </c>
    </row>
    <row r="323" spans="5:6" x14ac:dyDescent="0.3">
      <c r="E323" s="26" t="s">
        <v>95</v>
      </c>
      <c r="F323" s="26" t="s">
        <v>1338</v>
      </c>
    </row>
    <row r="324" spans="5:6" x14ac:dyDescent="0.3">
      <c r="E324" s="26" t="s">
        <v>246</v>
      </c>
      <c r="F324" s="26" t="s">
        <v>1321</v>
      </c>
    </row>
    <row r="325" spans="5:6" x14ac:dyDescent="0.3">
      <c r="E325" s="26" t="s">
        <v>264</v>
      </c>
      <c r="F325" s="26" t="s">
        <v>1321</v>
      </c>
    </row>
    <row r="326" spans="5:6" x14ac:dyDescent="0.3">
      <c r="E326" s="26" t="s">
        <v>1399</v>
      </c>
      <c r="F326" s="26" t="s">
        <v>1321</v>
      </c>
    </row>
    <row r="327" spans="5:6" x14ac:dyDescent="0.3">
      <c r="E327" s="26" t="s">
        <v>1400</v>
      </c>
      <c r="F327" s="26" t="s">
        <v>1321</v>
      </c>
    </row>
    <row r="328" spans="5:6" x14ac:dyDescent="0.3">
      <c r="E328" s="26" t="s">
        <v>1401</v>
      </c>
      <c r="F328" s="26" t="s">
        <v>1321</v>
      </c>
    </row>
    <row r="329" spans="5:6" x14ac:dyDescent="0.3">
      <c r="E329" s="26" t="s">
        <v>1402</v>
      </c>
      <c r="F329" s="26" t="s">
        <v>1323</v>
      </c>
    </row>
    <row r="330" spans="5:6" x14ac:dyDescent="0.3">
      <c r="E330" s="26" t="s">
        <v>1403</v>
      </c>
      <c r="F330" s="26" t="s">
        <v>1322</v>
      </c>
    </row>
    <row r="331" spans="5:6" x14ac:dyDescent="0.3">
      <c r="E331" s="26" t="s">
        <v>1404</v>
      </c>
      <c r="F331" s="26" t="s">
        <v>1323</v>
      </c>
    </row>
    <row r="332" spans="5:6" x14ac:dyDescent="0.3">
      <c r="E332" s="26" t="s">
        <v>1405</v>
      </c>
      <c r="F332" s="26" t="s">
        <v>1321</v>
      </c>
    </row>
    <row r="333" spans="5:6" x14ac:dyDescent="0.3">
      <c r="E333" s="26" t="s">
        <v>87</v>
      </c>
      <c r="F333" s="26" t="s">
        <v>77</v>
      </c>
    </row>
    <row r="334" spans="5:6" x14ac:dyDescent="0.3">
      <c r="E334" s="26" t="s">
        <v>103</v>
      </c>
      <c r="F334" s="26" t="s">
        <v>1322</v>
      </c>
    </row>
    <row r="335" spans="5:6" x14ac:dyDescent="0.3">
      <c r="E335" s="26" t="s">
        <v>247</v>
      </c>
      <c r="F335" s="26" t="s">
        <v>1321</v>
      </c>
    </row>
    <row r="336" spans="5:6" x14ac:dyDescent="0.3">
      <c r="E336" s="26" t="s">
        <v>299</v>
      </c>
      <c r="F336" s="26" t="s">
        <v>82</v>
      </c>
    </row>
    <row r="337" spans="5:6" x14ac:dyDescent="0.3">
      <c r="E337" s="26" t="s">
        <v>162</v>
      </c>
      <c r="F337" s="26" t="s">
        <v>79</v>
      </c>
    </row>
    <row r="338" spans="5:6" x14ac:dyDescent="0.3">
      <c r="E338" s="26" t="s">
        <v>164</v>
      </c>
      <c r="F338" s="26" t="s">
        <v>79</v>
      </c>
    </row>
    <row r="339" spans="5:6" x14ac:dyDescent="0.3">
      <c r="E339" s="26" t="s">
        <v>163</v>
      </c>
      <c r="F339" s="26" t="s">
        <v>79</v>
      </c>
    </row>
    <row r="340" spans="5:6" x14ac:dyDescent="0.3">
      <c r="E340" s="26" t="s">
        <v>165</v>
      </c>
      <c r="F340" s="26" t="s">
        <v>79</v>
      </c>
    </row>
    <row r="341" spans="5:6" x14ac:dyDescent="0.3">
      <c r="E341" s="26" t="s">
        <v>209</v>
      </c>
      <c r="F341" s="26" t="s">
        <v>74</v>
      </c>
    </row>
    <row r="342" spans="5:6" x14ac:dyDescent="0.3">
      <c r="E342" s="26" t="s">
        <v>281</v>
      </c>
      <c r="F342" s="26" t="s">
        <v>82</v>
      </c>
    </row>
    <row r="343" spans="5:6" x14ac:dyDescent="0.3">
      <c r="E343" s="26" t="s">
        <v>159</v>
      </c>
      <c r="F343" s="26" t="s">
        <v>1338</v>
      </c>
    </row>
    <row r="344" spans="5:6" x14ac:dyDescent="0.3">
      <c r="E344" s="26" t="s">
        <v>123</v>
      </c>
      <c r="F344" s="26" t="s">
        <v>1321</v>
      </c>
    </row>
    <row r="345" spans="5:6" x14ac:dyDescent="0.3">
      <c r="E345" s="26" t="s">
        <v>187</v>
      </c>
      <c r="F345" s="26" t="s">
        <v>1322</v>
      </c>
    </row>
    <row r="346" spans="5:6" x14ac:dyDescent="0.3">
      <c r="E346" s="26" t="s">
        <v>300</v>
      </c>
      <c r="F346" s="26" t="s">
        <v>82</v>
      </c>
    </row>
    <row r="347" spans="5:6" x14ac:dyDescent="0.3">
      <c r="E347" s="26" t="s">
        <v>1406</v>
      </c>
      <c r="F347" s="26" t="s">
        <v>1321</v>
      </c>
    </row>
    <row r="348" spans="5:6" x14ac:dyDescent="0.3">
      <c r="E348" s="26" t="s">
        <v>1407</v>
      </c>
      <c r="F348" s="26" t="s">
        <v>1321</v>
      </c>
    </row>
    <row r="349" spans="5:6" x14ac:dyDescent="0.3">
      <c r="E349" s="26" t="s">
        <v>1408</v>
      </c>
      <c r="F349" s="26" t="s">
        <v>1321</v>
      </c>
    </row>
    <row r="350" spans="5:6" x14ac:dyDescent="0.3">
      <c r="E350" s="26" t="s">
        <v>1409</v>
      </c>
      <c r="F350" s="26" t="s">
        <v>1321</v>
      </c>
    </row>
    <row r="351" spans="5:6" x14ac:dyDescent="0.3">
      <c r="E351" s="26" t="s">
        <v>1410</v>
      </c>
      <c r="F351" s="26" t="s">
        <v>1321</v>
      </c>
    </row>
    <row r="352" spans="5:6" x14ac:dyDescent="0.3">
      <c r="E352" s="26" t="s">
        <v>1411</v>
      </c>
      <c r="F352" s="26" t="s">
        <v>82</v>
      </c>
    </row>
    <row r="353" spans="5:6" x14ac:dyDescent="0.3">
      <c r="E353" s="26" t="s">
        <v>1412</v>
      </c>
      <c r="F353" s="26" t="s">
        <v>1338</v>
      </c>
    </row>
    <row r="354" spans="5:6" x14ac:dyDescent="0.3">
      <c r="E354" s="26" t="s">
        <v>1413</v>
      </c>
      <c r="F354" s="26" t="s">
        <v>1321</v>
      </c>
    </row>
  </sheetData>
  <autoFilter ref="A1:F37">
    <sortState ref="A2:F37">
      <sortCondition ref="E1:E37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7" tint="0.59999389629810485"/>
  </sheetPr>
  <dimension ref="B2:S65"/>
  <sheetViews>
    <sheetView workbookViewId="0">
      <selection activeCell="E6" sqref="E6"/>
    </sheetView>
  </sheetViews>
  <sheetFormatPr defaultRowHeight="14.4" x14ac:dyDescent="0.3"/>
  <cols>
    <col min="2" max="2" width="14.88671875" bestFit="1" customWidth="1"/>
    <col min="3" max="4" width="17.5546875" customWidth="1"/>
    <col min="5" max="5" width="14" customWidth="1"/>
    <col min="6" max="6" width="11.109375" customWidth="1"/>
    <col min="7" max="7" width="14.44140625" customWidth="1"/>
    <col min="8" max="8" width="10.5546875" customWidth="1"/>
    <col min="9" max="9" width="19" customWidth="1"/>
    <col min="10" max="10" width="10.33203125" customWidth="1"/>
    <col min="11" max="11" width="18.44140625" customWidth="1"/>
    <col min="12" max="12" width="16.44140625" bestFit="1" customWidth="1"/>
    <col min="13" max="13" width="20.6640625" bestFit="1" customWidth="1"/>
    <col min="14" max="15" width="7.33203125" customWidth="1"/>
    <col min="16" max="16" width="12.88671875" customWidth="1"/>
    <col min="17" max="17" width="14.33203125" bestFit="1" customWidth="1"/>
    <col min="18" max="18" width="17.109375" customWidth="1"/>
    <col min="19" max="19" width="9.109375" customWidth="1"/>
    <col min="20" max="20" width="16" bestFit="1" customWidth="1"/>
    <col min="21" max="21" width="20.33203125" bestFit="1" customWidth="1"/>
    <col min="22" max="22" width="13.88671875" customWidth="1"/>
    <col min="23" max="23" width="16" bestFit="1" customWidth="1"/>
  </cols>
  <sheetData>
    <row r="2" spans="2:18" ht="21" x14ac:dyDescent="0.4">
      <c r="B2" s="138" t="s">
        <v>2019</v>
      </c>
      <c r="C2" s="139"/>
      <c r="D2" s="139"/>
      <c r="E2" s="139"/>
      <c r="F2" s="139"/>
      <c r="G2" s="139"/>
      <c r="K2" s="140" t="s">
        <v>2020</v>
      </c>
      <c r="P2" s="140" t="s">
        <v>2021</v>
      </c>
    </row>
    <row r="4" spans="2:18" x14ac:dyDescent="0.3">
      <c r="I4" s="119" t="s">
        <v>1288</v>
      </c>
      <c r="K4" s="141" t="s">
        <v>1278</v>
      </c>
      <c r="L4" s="141" t="s">
        <v>1279</v>
      </c>
      <c r="M4" s="141" t="s">
        <v>1280</v>
      </c>
      <c r="P4" s="141" t="s">
        <v>0</v>
      </c>
      <c r="Q4" s="141" t="s">
        <v>600</v>
      </c>
      <c r="R4" s="141" t="s">
        <v>546</v>
      </c>
    </row>
    <row r="5" spans="2:18" x14ac:dyDescent="0.3">
      <c r="B5" s="109" t="s">
        <v>1265</v>
      </c>
      <c r="C5" s="109" t="s">
        <v>1263</v>
      </c>
      <c r="D5" s="109" t="s">
        <v>1264</v>
      </c>
      <c r="E5" s="109" t="s">
        <v>1274</v>
      </c>
      <c r="K5" s="145">
        <f>_xll.CbondsLastPrice($C$31,C16,$C$33)</f>
        <v>97.3</v>
      </c>
      <c r="L5" s="145">
        <f>_xll.CbondsClosePrice($C$31,C16,$C$33)</f>
        <v>97.46</v>
      </c>
      <c r="M5" s="145">
        <f>_xll.CbondsIndicativePrice($C$31,C16,$C$33)</f>
        <v>97.37</v>
      </c>
      <c r="P5" s="145">
        <f>_xll.EfirEndOfDay(,$C16,P$4,"LAST_TRADE_DATE",,$C$31,,0)</f>
        <v>97.3</v>
      </c>
      <c r="Q5" s="145">
        <f>_xll.EfirEndOfDay(,$C16,Q$4,"LAST_TRADE_DATE",,$C$31,,0)</f>
        <v>97.24</v>
      </c>
      <c r="R5" s="145">
        <f>_xll.EfirEndOfDay(,$C16,R$4,"LAST_TRADE_DATE",,$C$31,,0)</f>
        <v>97.37</v>
      </c>
    </row>
    <row r="6" spans="2:18" x14ac:dyDescent="0.3">
      <c r="B6" s="110" t="s">
        <v>1268</v>
      </c>
      <c r="C6" s="124">
        <f>P5</f>
        <v>97.3</v>
      </c>
      <c r="D6" s="94">
        <f>_xll.CbondsLastPrice(C31,C32,135)</f>
        <v>97.3</v>
      </c>
      <c r="E6" s="94" t="str">
        <f>IF(ABS(C6-D6) &lt; 0.01%, "Ок", "Ноуп")</f>
        <v>Ок</v>
      </c>
      <c r="K6" s="39">
        <f>_xll.CbondsLastPrice($C$31,C17,$C$33)</f>
        <v>96.35</v>
      </c>
      <c r="L6" s="39">
        <f>_xll.CbondsClosePrice($C$31,C17,$C$33)</f>
        <v>96.34</v>
      </c>
      <c r="M6" s="39">
        <f>_xll.CbondsIndicativePrice($C$31,C17,$C$33)</f>
        <v>96.32</v>
      </c>
      <c r="P6" s="39">
        <f>_xll.EfirEndOfDay(,$C17,P$4,"LAST_TRADE_DATE",,$C$31,,0)</f>
        <v>96.35</v>
      </c>
      <c r="Q6" s="39">
        <f>_xll.EfirEndOfDay(,$C17,Q$4,"LAST_TRADE_DATE",,$C$31,,0)</f>
        <v>96.48</v>
      </c>
      <c r="R6" s="39">
        <f>_xll.EfirEndOfDay(,$C17,R$4,"LAST_TRADE_DATE",,$C$31,,0)</f>
        <v>96.32</v>
      </c>
    </row>
    <row r="7" spans="2:18" x14ac:dyDescent="0.3">
      <c r="B7" s="110" t="s">
        <v>2023</v>
      </c>
      <c r="C7" s="112">
        <f>IF(IFERROR(Calculation!$B$10+1,"нет оферты") = "нет оферты", P21,P37)</f>
        <v>0.1544223046</v>
      </c>
      <c r="D7" s="126">
        <f>IF(_xll.CbondsLastYTM(C31,C32,135) &lt;&gt; "нет данных", _xll.CbondsLastYTM(C31,C32,135), _xll.CbondsLastYTP(C31, C32, C33))</f>
        <v>0.15522520358791</v>
      </c>
      <c r="E7" s="94" t="str">
        <f>IF(ABS(C7-D7) &lt; 0.01%, "Ок", "Ноуп")</f>
        <v>Ноуп</v>
      </c>
      <c r="K7" s="39">
        <f>_xll.CbondsLastPrice($C$31,C18,$C$33)</f>
        <v>95.64</v>
      </c>
      <c r="L7" s="39">
        <f>_xll.CbondsClosePrice($C$31,C18,$C$33)</f>
        <v>95.62</v>
      </c>
      <c r="M7" s="39">
        <f>_xll.CbondsIndicativePrice($C$31,C18,$C$33)</f>
        <v>95.59</v>
      </c>
      <c r="P7" s="39">
        <f>_xll.EfirEndOfDay(,$C18,P$4,"LAST_TRADE_DATE",,$C$31,,0)</f>
        <v>95.64</v>
      </c>
      <c r="Q7" s="39">
        <f>_xll.EfirEndOfDay(,$C18,Q$4,"LAST_TRADE_DATE",,$C$31,,0)</f>
        <v>95.75</v>
      </c>
      <c r="R7" s="39">
        <f>_xll.EfirEndOfDay(,$C18,R$4,"LAST_TRADE_DATE",,$C$31,,0)</f>
        <v>95.59</v>
      </c>
    </row>
    <row r="8" spans="2:18" x14ac:dyDescent="0.3">
      <c r="B8" s="110" t="s">
        <v>1271</v>
      </c>
      <c r="C8" s="124">
        <f>IF(IFERROR(Calculation!$B$10+1,"нет оферты") = "нет оферты", P53,Q53)</f>
        <v>161</v>
      </c>
      <c r="D8" s="124">
        <f>IF(_xll.CbondsDuration(C31,C32,135) &lt;&gt; "нет данных", _xll.CbondsDuration(C31,C32,135), _xll.CbondsDurationToPutCall(C31, C32, C33))</f>
        <v>161.11661824359999</v>
      </c>
      <c r="E8" s="94" t="str">
        <f>IF(ABS(C8-D8) &lt; 1, "Ок", "Ноуп")</f>
        <v>Ок</v>
      </c>
      <c r="K8" s="39">
        <f>_xll.CbondsLastPrice($C$31,C19,$C$33)</f>
        <v>94.78</v>
      </c>
      <c r="L8" s="39">
        <f>_xll.CbondsClosePrice($C$31,C19,$C$33)</f>
        <v>94.65</v>
      </c>
      <c r="M8" s="39">
        <f>_xll.CbondsIndicativePrice($C$31,C19,$C$33)</f>
        <v>94.6</v>
      </c>
      <c r="P8" s="39">
        <f>_xll.EfirEndOfDay(,$C19,P$4,"LAST_TRADE_DATE",,$C$31,,0)</f>
        <v>94.78</v>
      </c>
      <c r="Q8" s="39">
        <f>_xll.EfirEndOfDay(,$C19,Q$4,"LAST_TRADE_DATE",,$C$31,,0)</f>
        <v>94.91</v>
      </c>
      <c r="R8" s="39">
        <f>_xll.EfirEndOfDay(,$C19,R$4,"LAST_TRADE_DATE",,$C$31,,0)</f>
        <v>94.6</v>
      </c>
    </row>
    <row r="9" spans="2:18" x14ac:dyDescent="0.3">
      <c r="B9" s="110" t="s">
        <v>1269</v>
      </c>
      <c r="C9" s="111">
        <f>Calculation!B7</f>
        <v>44364</v>
      </c>
      <c r="D9" s="155" t="str">
        <f>_xll.CbondsPlacementDate(C31)</f>
        <v>17.06.2021</v>
      </c>
      <c r="E9" s="94" t="str">
        <f>IF((C9-D9)&lt;1, "Ок", "Ноуп")</f>
        <v>Ок</v>
      </c>
      <c r="K9" s="39">
        <f>_xll.CbondsLastPrice($C$31,C20,$C$33)</f>
        <v>95.47</v>
      </c>
      <c r="L9" s="39">
        <f>_xll.CbondsClosePrice($C$31,C20,$C$33)</f>
        <v>95.44</v>
      </c>
      <c r="M9" s="39">
        <f>_xll.CbondsIndicativePrice($C$31,C20,$C$33)</f>
        <v>95.33</v>
      </c>
      <c r="P9" s="39">
        <f>_xll.EfirEndOfDay(,$C20,P$4,"LAST_TRADE_DATE",,$C$31,,0)</f>
        <v>95.47</v>
      </c>
      <c r="Q9" s="39">
        <f>_xll.EfirEndOfDay(,$C20,Q$4,"LAST_TRADE_DATE",,$C$31,,0)</f>
        <v>95.3</v>
      </c>
      <c r="R9" s="39">
        <f>_xll.EfirEndOfDay(,$C20,R$4,"LAST_TRADE_DATE",,$C$31,,0)</f>
        <v>95.33</v>
      </c>
    </row>
    <row r="10" spans="2:18" x14ac:dyDescent="0.3">
      <c r="B10" s="110" t="s">
        <v>1270</v>
      </c>
      <c r="C10" s="111">
        <f>Calculation!B9</f>
        <v>46184</v>
      </c>
      <c r="D10" s="155" t="str">
        <f>_xll.CbondsMaturityDate(C31)</f>
        <v>11.06.2026</v>
      </c>
      <c r="E10" s="94" t="str">
        <f>IF((C10-D10)&lt;1, "Ок", "Ноуп")</f>
        <v>Ок</v>
      </c>
      <c r="K10" s="39">
        <f>_xll.CbondsLastPrice($C$31,C21,$C$33)</f>
        <v>94.29</v>
      </c>
      <c r="L10" s="39">
        <f>_xll.CbondsClosePrice($C$31,C21,$C$33)</f>
        <v>94.3</v>
      </c>
      <c r="M10" s="39">
        <f>_xll.CbondsIndicativePrice($C$31,C21,$C$33)</f>
        <v>94.25</v>
      </c>
      <c r="P10" s="39">
        <f>_xll.EfirEndOfDay(,$C21,P$4,"LAST_TRADE_DATE",,$C$31,,0)</f>
        <v>94.29</v>
      </c>
      <c r="Q10" s="39">
        <f>_xll.EfirEndOfDay(,$C21,Q$4,"LAST_TRADE_DATE",,$C$31,,0)</f>
        <v>94.14</v>
      </c>
      <c r="R10" s="39">
        <f>_xll.EfirEndOfDay(,$C21,R$4,"LAST_TRADE_DATE",,$C$31,,0)</f>
        <v>94.25</v>
      </c>
    </row>
    <row r="11" spans="2:18" x14ac:dyDescent="0.3">
      <c r="B11" s="110" t="s">
        <v>1272</v>
      </c>
      <c r="C11" s="111" t="str">
        <f>IF(Calculation!B25 &lt;&gt; "",IFERROR(Calculation!B25,""),"оферты нет")</f>
        <v>оферты нет</v>
      </c>
      <c r="D11" s="155" t="str">
        <f>IF(_xll.CbondsCallDate(C31) &lt;&gt; "нет данных", _xll.CbondsCallDate(C31), IF(_xll.CbondsPutDate(C31)&lt;&gt; "нет данных", _xll.CbondsPutDate(C31), "оферты нет"))</f>
        <v>оферты нет</v>
      </c>
      <c r="E11" s="94" t="str">
        <f t="shared" ref="E11" si="0">IF(C11=D11, "Ок", "Ноуп")</f>
        <v>Ок</v>
      </c>
      <c r="K11" s="39">
        <f>_xll.CbondsLastPrice($C$31,C22,$C$33)</f>
        <v>91.94</v>
      </c>
      <c r="L11" s="39">
        <f>_xll.CbondsClosePrice($C$31,C22,$C$33)</f>
        <v>91.86</v>
      </c>
      <c r="M11" s="39">
        <f>_xll.CbondsIndicativePrice($C$31,C22,$C$33)</f>
        <v>91.89</v>
      </c>
      <c r="P11" s="39">
        <f>_xll.EfirEndOfDay(,$C22,P$4,"LAST_TRADE_DATE",,$C$31,,0)</f>
        <v>91.95</v>
      </c>
      <c r="Q11" s="39">
        <f>_xll.EfirEndOfDay(,$C22,Q$4,"LAST_TRADE_DATE",,$C$31,,0)</f>
        <v>91.98</v>
      </c>
      <c r="R11" s="39">
        <f>_xll.EfirEndOfDay(,$C22,R$4,"LAST_TRADE_DATE",,$C$31,,0)</f>
        <v>91.89</v>
      </c>
    </row>
    <row r="12" spans="2:18" x14ac:dyDescent="0.3">
      <c r="K12" s="39">
        <f>_xll.CbondsLastPrice($C$31,C23,$C$33)</f>
        <v>90.64</v>
      </c>
      <c r="L12" s="39">
        <f>_xll.CbondsClosePrice($C$31,C23,$C$33)</f>
        <v>91.1</v>
      </c>
      <c r="M12" s="39">
        <f>_xll.CbondsIndicativePrice($C$31,C23,$C$33)</f>
        <v>90.67</v>
      </c>
      <c r="P12" s="39">
        <f>_xll.EfirEndOfDay(,$C23,P$4,"LAST_TRADE_DATE",,$C$31,,0)</f>
        <v>91.12</v>
      </c>
      <c r="Q12" s="39">
        <f>_xll.EfirEndOfDay(,$C23,Q$4,"LAST_TRADE_DATE",,$C$31,,0)</f>
        <v>90.4</v>
      </c>
      <c r="R12" s="39">
        <f>_xll.EfirEndOfDay(,$C23,R$4,"LAST_TRADE_DATE",,$C$31,,0)</f>
        <v>90.66</v>
      </c>
    </row>
    <row r="13" spans="2:18" x14ac:dyDescent="0.3">
      <c r="K13" s="39">
        <f>_xll.CbondsLastPrice($C$31,C24,$C$33)</f>
        <v>89.38</v>
      </c>
      <c r="L13" s="39">
        <f>_xll.CbondsClosePrice($C$31,C24,$C$33)</f>
        <v>89.38</v>
      </c>
      <c r="M13" s="39">
        <f>_xll.CbondsIndicativePrice($C$31,C24,$C$33)</f>
        <v>89.41</v>
      </c>
      <c r="P13" s="39">
        <f>_xll.EfirEndOfDay(,$C24,P$4,"LAST_TRADE_DATE",,$C$31,,0)</f>
        <v>89.53</v>
      </c>
      <c r="Q13" s="39">
        <f>_xll.EfirEndOfDay(,$C24,Q$4,"LAST_TRADE_DATE",,$C$31,,0)</f>
        <v>89.49</v>
      </c>
      <c r="R13" s="39">
        <f>_xll.EfirEndOfDay(,$C24,R$4,"LAST_TRADE_DATE",,$C$31,,0)</f>
        <v>89.41</v>
      </c>
    </row>
    <row r="14" spans="2:18" x14ac:dyDescent="0.3">
      <c r="K14" s="39">
        <f>_xll.CbondsLastPrice($C$31,C25,$C$33)</f>
        <v>88.25</v>
      </c>
      <c r="L14" s="39">
        <f>_xll.CbondsClosePrice($C$31,C25,$C$33)</f>
        <v>88.25</v>
      </c>
      <c r="M14" s="39">
        <f>_xll.CbondsIndicativePrice($C$31,C25,$C$33)</f>
        <v>88.31</v>
      </c>
      <c r="P14" s="39">
        <f>_xll.EfirEndOfDay(,$C25,P$4,"LAST_TRADE_DATE",,$C$31,,0)</f>
        <v>88.21</v>
      </c>
      <c r="Q14" s="39" t="str">
        <f>_xll.EfirEndOfDay(,$C25,Q$4,"LAST_TRADE_DATE",,$C$31,,0)</f>
        <v/>
      </c>
      <c r="R14" s="39">
        <f>_xll.EfirEndOfDay(,$C25,R$4,"LAST_TRADE_DATE",,$C$31,,0)</f>
        <v>88.31</v>
      </c>
    </row>
    <row r="15" spans="2:18" x14ac:dyDescent="0.3">
      <c r="B15" s="109" t="str">
        <f>Calculation!J5</f>
        <v>Date</v>
      </c>
      <c r="C15" s="109" t="str">
        <f>Calculation!K5</f>
        <v>Date Calc</v>
      </c>
      <c r="K15" s="39">
        <f>_xll.CbondsLastPrice($C$31,C26,$C$33)</f>
        <v>88.34</v>
      </c>
      <c r="L15" s="39">
        <f>_xll.CbondsClosePrice($C$31,C26,$C$33)</f>
        <v>88.34</v>
      </c>
      <c r="M15" s="39">
        <f>_xll.CbondsIndicativePrice($C$31,C26,$C$33)</f>
        <v>88.08</v>
      </c>
      <c r="P15" s="39">
        <f>_xll.EfirEndOfDay(,$C26,P$4,"LAST_TRADE_DATE",,$C$31,,0)</f>
        <v>88.22</v>
      </c>
      <c r="Q15" s="39">
        <f>_xll.EfirEndOfDay(,$C26,Q$4,"LAST_TRADE_DATE",,$C$31,,0)</f>
        <v>87.87</v>
      </c>
      <c r="R15" s="39">
        <f>_xll.EfirEndOfDay(,$C26,R$4,"LAST_TRADE_DATE",,$C$31,,0)</f>
        <v>88.08</v>
      </c>
    </row>
    <row r="16" spans="2:18" x14ac:dyDescent="0.3">
      <c r="B16" s="120">
        <f>Calculation!J6</f>
        <v>46023</v>
      </c>
      <c r="C16" s="120">
        <f>Calculation!K6</f>
        <v>46021</v>
      </c>
      <c r="K16" s="39">
        <f>_xll.CbondsLastPrice($C$31,C27,$C$33)</f>
        <v>85.92</v>
      </c>
      <c r="L16" s="39">
        <f>_xll.CbondsClosePrice($C$31,C27,$C$33)</f>
        <v>85.92</v>
      </c>
      <c r="M16" s="39">
        <f>_xll.CbondsIndicativePrice($C$31,C27,$C$33)</f>
        <v>85.71</v>
      </c>
      <c r="P16" s="39">
        <f>_xll.EfirEndOfDay(,$C27,P$4,"LAST_TRADE_DATE",,$C$31,,0)</f>
        <v>85.8</v>
      </c>
      <c r="Q16" s="39">
        <f>_xll.EfirEndOfDay(,$C27,Q$4,"LAST_TRADE_DATE",,$C$31,,0)</f>
        <v>85.47</v>
      </c>
      <c r="R16" s="39">
        <f>_xll.EfirEndOfDay(,$C27,R$4,"LAST_TRADE_DATE",,$C$31,,0)</f>
        <v>85.69</v>
      </c>
    </row>
    <row r="17" spans="2:19" x14ac:dyDescent="0.3">
      <c r="B17" s="28">
        <f>Calculation!J7</f>
        <v>45992</v>
      </c>
      <c r="C17" s="28">
        <f>Calculation!K7</f>
        <v>45989</v>
      </c>
      <c r="K17" s="39">
        <f>_xll.CbondsLastPrice($C$31,C28,$C$33)</f>
        <v>85.37</v>
      </c>
      <c r="L17" s="39">
        <f>_xll.CbondsClosePrice($C$31,C28,$C$33)</f>
        <v>85.23</v>
      </c>
      <c r="M17" s="39">
        <f>_xll.CbondsIndicativePrice($C$31,C28,$C$33)</f>
        <v>85.13</v>
      </c>
      <c r="P17" s="39">
        <f>_xll.EfirEndOfDay(,$C28,P$4,"LAST_TRADE_DATE",,$C$31,,0)</f>
        <v>85.37</v>
      </c>
      <c r="Q17" s="39">
        <f>_xll.EfirEndOfDay(,$C28,Q$4,"LAST_TRADE_DATE",,$C$31,,0)</f>
        <v>85.29</v>
      </c>
      <c r="R17" s="39">
        <f>_xll.EfirEndOfDay(,$C28,R$4,"LAST_TRADE_DATE",,$C$31,,0)</f>
        <v>85.13</v>
      </c>
    </row>
    <row r="18" spans="2:19" x14ac:dyDescent="0.3">
      <c r="B18" s="28">
        <f>Calculation!J8</f>
        <v>45962</v>
      </c>
      <c r="C18" s="28">
        <f>Calculation!K8</f>
        <v>45961</v>
      </c>
    </row>
    <row r="19" spans="2:19" x14ac:dyDescent="0.3">
      <c r="B19" s="28">
        <f>Calculation!J9</f>
        <v>45931</v>
      </c>
      <c r="C19" s="28">
        <f>Calculation!K9</f>
        <v>45930</v>
      </c>
    </row>
    <row r="20" spans="2:19" x14ac:dyDescent="0.3">
      <c r="B20" s="28">
        <f>Calculation!J10</f>
        <v>45901</v>
      </c>
      <c r="C20" s="28">
        <f>Calculation!K10</f>
        <v>45898</v>
      </c>
      <c r="I20" s="119" t="s">
        <v>1289</v>
      </c>
      <c r="K20" s="141" t="s">
        <v>1281</v>
      </c>
      <c r="L20" s="141" t="s">
        <v>1282</v>
      </c>
      <c r="M20" s="141" t="s">
        <v>1283</v>
      </c>
      <c r="P20" s="141" t="s">
        <v>59</v>
      </c>
      <c r="Q20" s="141" t="s">
        <v>59</v>
      </c>
      <c r="R20" s="141" t="s">
        <v>1062</v>
      </c>
    </row>
    <row r="21" spans="2:19" x14ac:dyDescent="0.3">
      <c r="B21" s="28">
        <f>Calculation!J11</f>
        <v>45870</v>
      </c>
      <c r="C21" s="28">
        <f>Calculation!K11</f>
        <v>45869</v>
      </c>
      <c r="K21" s="161">
        <f>_xll.CbondsLastYTM($C$31,$C16,$C$33)</f>
        <v>0.15522520358791</v>
      </c>
      <c r="L21" s="161">
        <f>_xll.CbondsLastYTM($C$31,$C16,$C$33)</f>
        <v>0.15522520358791</v>
      </c>
      <c r="M21" s="161">
        <f>_xll.CbondsLastYTM($C$31,$C16,$C$33)</f>
        <v>0.15522520358791</v>
      </c>
      <c r="P21" s="157">
        <f>_xll.EfirEndOfDay(,$C16,P$20,"LAST_TRADE_DATE",,$C$31,,0)/100</f>
        <v>0.1544223046</v>
      </c>
      <c r="Q21" s="157"/>
      <c r="R21" s="157">
        <f>_xll.EfirEndOfDay(,$C16,R$20,"LAST_TRADE_DATE",,$C$31,,0)/100</f>
        <v>0.14559049670000002</v>
      </c>
      <c r="S21" s="156"/>
    </row>
    <row r="22" spans="2:19" x14ac:dyDescent="0.3">
      <c r="B22" s="28">
        <f>Calculation!J12</f>
        <v>45839</v>
      </c>
      <c r="C22" s="28">
        <f>Calculation!K12</f>
        <v>45838</v>
      </c>
      <c r="K22" s="160">
        <f>_xll.CbondsLastYTM($C$31,$C17,$C$33)</f>
        <v>0.16531665352596001</v>
      </c>
      <c r="L22" s="160">
        <f>_xll.CbondsLastYTM($C$31,$C17,$C$33)</f>
        <v>0.16531665352596001</v>
      </c>
      <c r="M22" s="160">
        <f>_xll.CbondsLastYTM($C$31,$C17,$C$33)</f>
        <v>0.16531665352596001</v>
      </c>
      <c r="P22" s="158">
        <f>_xll.EfirEndOfDay(,$C17,P$20,"LAST_TRADE_DATE",,$C$31,,0)/100</f>
        <v>0.1653166667</v>
      </c>
      <c r="Q22" s="158"/>
      <c r="R22" s="158">
        <f>_xll.EfirEndOfDay(,$C17,R$20,"LAST_TRADE_DATE",,$C$31,,0)/100</f>
        <v>0.155346916</v>
      </c>
      <c r="S22" s="156"/>
    </row>
    <row r="23" spans="2:19" x14ac:dyDescent="0.3">
      <c r="B23" s="28">
        <f>Calculation!J13</f>
        <v>45809</v>
      </c>
      <c r="C23" s="28">
        <f>Calculation!K13</f>
        <v>45807</v>
      </c>
      <c r="K23" s="160">
        <f>_xll.CbondsLastYTM($C$31,$C18,$C$33)</f>
        <v>0.16946524974318</v>
      </c>
      <c r="L23" s="160">
        <f>_xll.CbondsLastYTM($C$31,$C18,$C$33)</f>
        <v>0.16946524974318</v>
      </c>
      <c r="M23" s="160">
        <f>_xll.CbondsLastYTM($C$31,$C18,$C$33)</f>
        <v>0.16946524974318</v>
      </c>
      <c r="P23" s="158">
        <f>_xll.EfirEndOfDay(,$C18,P$20,"LAST_TRADE_DATE",,$C$31,,0)/100</f>
        <v>0.16946525040000002</v>
      </c>
      <c r="Q23" s="158"/>
      <c r="R23" s="158">
        <f>_xll.EfirEndOfDay(,$C18,R$20,"LAST_TRADE_DATE",,$C$31,,0)/100</f>
        <v>0.16094618860000001</v>
      </c>
      <c r="S23" s="156"/>
    </row>
    <row r="24" spans="2:19" x14ac:dyDescent="0.3">
      <c r="B24" s="28">
        <f>Calculation!J14</f>
        <v>45778</v>
      </c>
      <c r="C24" s="28">
        <f>Calculation!K14</f>
        <v>45777</v>
      </c>
      <c r="K24" s="160">
        <f>_xll.CbondsLastYTM($C$31,$C19,$C$33)</f>
        <v>0.17471768472445001</v>
      </c>
      <c r="L24" s="160">
        <f>_xll.CbondsLastYTM($C$31,$C19,$C$33)</f>
        <v>0.17471768472445001</v>
      </c>
      <c r="M24" s="160">
        <f>_xll.CbondsLastYTM($C$31,$C19,$C$33)</f>
        <v>0.17471768472445001</v>
      </c>
      <c r="P24" s="158">
        <f>_xll.EfirEndOfDay(,$C19,P$20,"LAST_TRADE_DATE",,$C$31,,0)/100</f>
        <v>0.17471770740000001</v>
      </c>
      <c r="Q24" s="158"/>
      <c r="R24" s="158">
        <f>_xll.EfirEndOfDay(,$C19,R$20,"LAST_TRADE_DATE",,$C$31,,0)/100</f>
        <v>0.16951960090000001</v>
      </c>
      <c r="S24" s="156"/>
    </row>
    <row r="25" spans="2:19" x14ac:dyDescent="0.3">
      <c r="B25" s="28">
        <f>Calculation!J15</f>
        <v>45748</v>
      </c>
      <c r="C25" s="28">
        <f>Calculation!K15</f>
        <v>45747</v>
      </c>
      <c r="K25" s="160">
        <f>_xll.CbondsLastYTM($C$31,$C20,$C$33)</f>
        <v>0.15383207228748</v>
      </c>
      <c r="L25" s="160">
        <f>_xll.CbondsLastYTM($C$31,$C20,$C$33)</f>
        <v>0.15383207228748</v>
      </c>
      <c r="M25" s="160">
        <f>_xll.CbondsLastYTM($C$31,$C20,$C$33)</f>
        <v>0.15383207228748</v>
      </c>
      <c r="P25" s="158">
        <f>_xll.EfirEndOfDay(,$C20,P$20,"LAST_TRADE_DATE",,$C$31,,0)/100</f>
        <v>0.15383209270000001</v>
      </c>
      <c r="Q25" s="158"/>
      <c r="R25" s="158">
        <f>_xll.EfirEndOfDay(,$C20,R$20,"LAST_TRADE_DATE",,$C$31,,0)/100</f>
        <v>0.14736879780000001</v>
      </c>
      <c r="S25" s="156"/>
    </row>
    <row r="26" spans="2:19" x14ac:dyDescent="0.3">
      <c r="B26" s="28">
        <f>Calculation!J16</f>
        <v>45717</v>
      </c>
      <c r="C26" s="28">
        <f>Calculation!K16</f>
        <v>45716</v>
      </c>
      <c r="K26" s="160">
        <f>_xll.CbondsLastYTM($C$31,$C21,$C$33)</f>
        <v>0.1646515746968</v>
      </c>
      <c r="L26" s="160">
        <f>_xll.CbondsLastYTM($C$31,$C21,$C$33)</f>
        <v>0.1646515746968</v>
      </c>
      <c r="M26" s="160">
        <f>_xll.CbondsLastYTM($C$31,$C21,$C$33)</f>
        <v>0.1646515746968</v>
      </c>
      <c r="P26" s="158">
        <f>_xll.EfirEndOfDay(,$C21,P$20,"LAST_TRADE_DATE",,$C$31,,0)/100</f>
        <v>0.16465157760000002</v>
      </c>
      <c r="Q26" s="158"/>
      <c r="R26" s="158">
        <f>_xll.EfirEndOfDay(,$C21,R$20,"LAST_TRADE_DATE",,$C$31,,0)/100</f>
        <v>0.1574238151</v>
      </c>
      <c r="S26" s="156"/>
    </row>
    <row r="27" spans="2:19" x14ac:dyDescent="0.3">
      <c r="B27" s="28">
        <f>Calculation!J17</f>
        <v>45689</v>
      </c>
      <c r="C27" s="28">
        <f>Calculation!K17</f>
        <v>45688</v>
      </c>
      <c r="K27" s="160">
        <f>_xll.CbondsLastYTM($C$31,$C22,$C$33)</f>
        <v>0.18988079183053</v>
      </c>
      <c r="L27" s="160">
        <f>_xll.CbondsLastYTM($C$31,$C22,$C$33)</f>
        <v>0.18988079183053</v>
      </c>
      <c r="M27" s="160">
        <f>_xll.CbondsLastYTM($C$31,$C22,$C$33)</f>
        <v>0.18988079183053</v>
      </c>
      <c r="P27" s="158">
        <f>_xll.EfirEndOfDay(,$C22,P$20,"LAST_TRADE_DATE",,$C$31,,0)/100</f>
        <v>0.1897402057</v>
      </c>
      <c r="Q27" s="158"/>
      <c r="R27" s="158">
        <f>_xll.EfirEndOfDay(,$C22,R$20,"LAST_TRADE_DATE",,$C$31,,0)/100</f>
        <v>0.1831600665</v>
      </c>
      <c r="S27" s="156"/>
    </row>
    <row r="28" spans="2:19" x14ac:dyDescent="0.3">
      <c r="B28" s="28">
        <f>Calculation!J18</f>
        <v>45658</v>
      </c>
      <c r="C28" s="28">
        <f>Calculation!K18</f>
        <v>45656</v>
      </c>
      <c r="K28" s="160">
        <f>_xll.CbondsLastYTM($C$31,$C23,$C$33)</f>
        <v>0.19833873663912999</v>
      </c>
      <c r="L28" s="160">
        <f>_xll.CbondsLastYTM($C$31,$C23,$C$33)</f>
        <v>0.19833873663912999</v>
      </c>
      <c r="M28" s="160">
        <f>_xll.CbondsLastYTM($C$31,$C23,$C$33)</f>
        <v>0.19833873663912999</v>
      </c>
      <c r="P28" s="158">
        <f>_xll.EfirEndOfDay(,$C23,P$20,"LAST_TRADE_DATE",,$C$31,,0)/100</f>
        <v>0.19201868130000002</v>
      </c>
      <c r="Q28" s="158"/>
      <c r="R28" s="158">
        <f>_xll.EfirEndOfDay(,$C23,R$20,"LAST_TRADE_DATE",,$C$31,,0)/100</f>
        <v>0.18815864669999999</v>
      </c>
      <c r="S28" s="156"/>
    </row>
    <row r="29" spans="2:19" x14ac:dyDescent="0.3">
      <c r="K29" s="160">
        <f>_xll.CbondsLastYTM($C$31,$C24,$C$33)</f>
        <v>0.20559481504762001</v>
      </c>
      <c r="L29" s="160">
        <f>_xll.CbondsLastYTM($C$31,$C24,$C$33)</f>
        <v>0.20559481504762001</v>
      </c>
      <c r="M29" s="160">
        <f>_xll.CbondsLastYTM($C$31,$C24,$C$33)</f>
        <v>0.20559481504762001</v>
      </c>
      <c r="P29" s="158">
        <f>_xll.EfirEndOfDay(,$C24,P$20,"LAST_TRADE_DATE",,$C$31,,0)/100</f>
        <v>0.20371486130000002</v>
      </c>
      <c r="Q29" s="158"/>
      <c r="R29" s="158">
        <f>_xll.EfirEndOfDay(,$C24,R$20,"LAST_TRADE_DATE",,$C$31,,0)/100</f>
        <v>0.1972005895</v>
      </c>
      <c r="S29" s="156"/>
    </row>
    <row r="30" spans="2:19" x14ac:dyDescent="0.3">
      <c r="K30" s="160">
        <f>_xll.CbondsLastYTM($C$31,$C25,$C$33)</f>
        <v>0.21077986448927999</v>
      </c>
      <c r="L30" s="160">
        <f>_xll.CbondsLastYTM($C$31,$C25,$C$33)</f>
        <v>0.21077986448927999</v>
      </c>
      <c r="M30" s="160">
        <f>_xll.CbondsLastYTM($C$31,$C25,$C$33)</f>
        <v>0.21077986448927999</v>
      </c>
      <c r="P30" s="158">
        <f>_xll.EfirEndOfDay(,$C25,P$20,"LAST_TRADE_DATE",,$C$31,,0)/100</f>
        <v>0.21125780039999997</v>
      </c>
      <c r="Q30" s="158"/>
      <c r="R30" s="158">
        <f>_xll.EfirEndOfDay(,$C25,R$20,"LAST_TRADE_DATE",,$C$31,,0)/100</f>
        <v>0.2041736106</v>
      </c>
      <c r="S30" s="156"/>
    </row>
    <row r="31" spans="2:19" x14ac:dyDescent="0.3">
      <c r="B31" s="142" t="s">
        <v>1</v>
      </c>
      <c r="C31" s="142" t="str">
        <f>Calculation!B1</f>
        <v>RU000A103943</v>
      </c>
      <c r="K31" s="160">
        <f>_xll.CbondsLastYTM($C$31,$C26,$C$33)</f>
        <v>0.20156965203037999</v>
      </c>
      <c r="L31" s="160">
        <f>_xll.CbondsLastYTM($C$31,$C26,$C$33)</f>
        <v>0.20156965203037999</v>
      </c>
      <c r="M31" s="160">
        <f>_xll.CbondsLastYTM($C$31,$C26,$C$33)</f>
        <v>0.20156965203037999</v>
      </c>
      <c r="P31" s="158">
        <f>_xll.EfirEndOfDay(,$C26,P$20,"LAST_TRADE_DATE",,$C$31,,0)/100</f>
        <v>0.20290299999999997</v>
      </c>
      <c r="Q31" s="158"/>
      <c r="R31" s="158">
        <f>_xll.EfirEndOfDay(,$C26,R$20,"LAST_TRADE_DATE",,$C$31,,0)/100</f>
        <v>0.196385</v>
      </c>
      <c r="S31" s="156"/>
    </row>
    <row r="32" spans="2:19" x14ac:dyDescent="0.3">
      <c r="B32" s="142" t="s">
        <v>1266</v>
      </c>
      <c r="C32" s="143">
        <f>Calculation!K6</f>
        <v>46021</v>
      </c>
      <c r="K32" s="160">
        <f>_xll.CbondsLastYTM($C$31,$C27,$C$33)</f>
        <v>0.22096551076620999</v>
      </c>
      <c r="L32" s="160">
        <f>_xll.CbondsLastYTM($C$31,$C27,$C$33)</f>
        <v>0.22096551076620999</v>
      </c>
      <c r="M32" s="160">
        <f>_xll.CbondsLastYTM($C$31,$C27,$C$33)</f>
        <v>0.22096551076620999</v>
      </c>
      <c r="P32" s="158">
        <f>_xll.EfirEndOfDay(,$C27,P$20,"LAST_TRADE_DATE",,$C$31,,0)/100</f>
        <v>0.22228510750000002</v>
      </c>
      <c r="Q32" s="158"/>
      <c r="R32" s="158">
        <f>_xll.EfirEndOfDay(,$C27,R$20,"LAST_TRADE_DATE",,$C$31,,0)/100</f>
        <v>0.21744237429999999</v>
      </c>
      <c r="S32" s="156"/>
    </row>
    <row r="33" spans="2:19" x14ac:dyDescent="0.3">
      <c r="B33" s="142" t="s">
        <v>1267</v>
      </c>
      <c r="C33" s="142">
        <v>135</v>
      </c>
      <c r="K33" s="160">
        <f>_xll.CbondsLastYTM($C$31,$C28,$C$33)</f>
        <v>0.21858025934858</v>
      </c>
      <c r="L33" s="160">
        <f>_xll.CbondsLastYTM($C$31,$C28,$C$33)</f>
        <v>0.21858025934858</v>
      </c>
      <c r="M33" s="160">
        <f>_xll.CbondsLastYTM($C$31,$C28,$C$33)</f>
        <v>0.21858025934858</v>
      </c>
      <c r="P33" s="158">
        <f>_xll.EfirEndOfDay(,$C28,P$20,"LAST_TRADE_DATE",,$C$31,,0)/100</f>
        <v>0.218580256</v>
      </c>
      <c r="Q33" s="158"/>
      <c r="R33" s="158">
        <f>_xll.EfirEndOfDay(,$C28,R$20,"LAST_TRADE_DATE",,$C$31,,0)/100</f>
        <v>0.21779018879999998</v>
      </c>
      <c r="S33" s="156"/>
    </row>
    <row r="36" spans="2:19" x14ac:dyDescent="0.3">
      <c r="I36" s="119" t="s">
        <v>1290</v>
      </c>
      <c r="K36" s="141" t="s">
        <v>1284</v>
      </c>
      <c r="L36" s="141" t="s">
        <v>1285</v>
      </c>
      <c r="M36" s="141" t="s">
        <v>1286</v>
      </c>
      <c r="P36" s="141" t="s">
        <v>365</v>
      </c>
      <c r="Q36" s="141"/>
      <c r="R36" s="141" t="s">
        <v>984</v>
      </c>
    </row>
    <row r="37" spans="2:19" x14ac:dyDescent="0.3">
      <c r="K37" s="146" t="str">
        <f>_xll.CbondsLastYTP($C$31,$C16,$C$33)</f>
        <v>Нет данных</v>
      </c>
      <c r="L37" s="146" t="str">
        <f>_xll.CbondsLastYTP($C$31,$C16,$C$33)</f>
        <v>Нет данных</v>
      </c>
      <c r="M37" s="146" t="str">
        <f>_xll.CbondsLastYTP($C$31,$C16,$C$33)</f>
        <v>Нет данных</v>
      </c>
      <c r="P37" s="157" t="e">
        <f>_xll.EfirEndOfDay(,$C16,P$36,"LAST_TRADE_DATE",,$C$31,,0)/100</f>
        <v>#VALUE!</v>
      </c>
      <c r="Q37" s="157"/>
      <c r="R37" s="157" t="e">
        <f>_xll.EfirEndOfDay(,$C16,R$36,"LAST_TRADE_DATE",,$C$31,,0)/100</f>
        <v>#VALUE!</v>
      </c>
      <c r="S37" s="156"/>
    </row>
    <row r="38" spans="2:19" x14ac:dyDescent="0.3">
      <c r="K38" s="147" t="str">
        <f>_xll.CbondsLastYTP($C$31,$C17,$C$33)</f>
        <v>Нет данных</v>
      </c>
      <c r="L38" s="147" t="str">
        <f>_xll.CbondsLastYTP($C$31,$C17,$C$33)</f>
        <v>Нет данных</v>
      </c>
      <c r="M38" s="147" t="str">
        <f>_xll.CbondsLastYTP($C$31,$C17,$C$33)</f>
        <v>Нет данных</v>
      </c>
      <c r="P38" s="158" t="e">
        <f>_xll.EfirEndOfDay(,$C17,P$36,"LAST_TRADE_DATE",,$C$31,,0)/100</f>
        <v>#VALUE!</v>
      </c>
      <c r="Q38" s="158"/>
      <c r="R38" s="158" t="e">
        <f>_xll.EfirEndOfDay(,$C17,R$36,"LAST_TRADE_DATE",,$C$31,,0)/100</f>
        <v>#VALUE!</v>
      </c>
      <c r="S38" s="156"/>
    </row>
    <row r="39" spans="2:19" x14ac:dyDescent="0.3">
      <c r="K39" s="147" t="str">
        <f>_xll.CbondsLastYTP($C$31,$C18,$C$33)</f>
        <v>Нет данных</v>
      </c>
      <c r="L39" s="147" t="str">
        <f>_xll.CbondsLastYTP($C$31,$C18,$C$33)</f>
        <v>Нет данных</v>
      </c>
      <c r="M39" s="147" t="str">
        <f>_xll.CbondsLastYTP($C$31,$C18,$C$33)</f>
        <v>Нет данных</v>
      </c>
      <c r="P39" s="158" t="e">
        <f>_xll.EfirEndOfDay(,$C18,P$36,"LAST_TRADE_DATE",,$C$31,,0)/100</f>
        <v>#VALUE!</v>
      </c>
      <c r="Q39" s="158"/>
      <c r="R39" s="158" t="e">
        <f>_xll.EfirEndOfDay(,$C18,R$36,"LAST_TRADE_DATE",,$C$31,,0)/100</f>
        <v>#VALUE!</v>
      </c>
      <c r="S39" s="156"/>
    </row>
    <row r="40" spans="2:19" x14ac:dyDescent="0.3">
      <c r="K40" s="147" t="str">
        <f>_xll.CbondsLastYTP($C$31,$C19,$C$33)</f>
        <v>Нет данных</v>
      </c>
      <c r="L40" s="147" t="str">
        <f>_xll.CbondsLastYTP($C$31,$C19,$C$33)</f>
        <v>Нет данных</v>
      </c>
      <c r="M40" s="147" t="str">
        <f>_xll.CbondsLastYTP($C$31,$C19,$C$33)</f>
        <v>Нет данных</v>
      </c>
      <c r="P40" s="158" t="e">
        <f>_xll.EfirEndOfDay(,$C19,P$36,"LAST_TRADE_DATE",,$C$31,,0)/100</f>
        <v>#VALUE!</v>
      </c>
      <c r="Q40" s="158"/>
      <c r="R40" s="158" t="e">
        <f>_xll.EfirEndOfDay(,$C19,R$36,"LAST_TRADE_DATE",,$C$31,,0)/100</f>
        <v>#VALUE!</v>
      </c>
      <c r="S40" s="156"/>
    </row>
    <row r="41" spans="2:19" x14ac:dyDescent="0.3">
      <c r="K41" s="147" t="str">
        <f>_xll.CbondsLastYTP($C$31,$C20,$C$33)</f>
        <v>Нет данных</v>
      </c>
      <c r="L41" s="147" t="str">
        <f>_xll.CbondsLastYTP($C$31,$C20,$C$33)</f>
        <v>Нет данных</v>
      </c>
      <c r="M41" s="147" t="str">
        <f>_xll.CbondsLastYTP($C$31,$C20,$C$33)</f>
        <v>Нет данных</v>
      </c>
      <c r="P41" s="158" t="e">
        <f>_xll.EfirEndOfDay(,$C20,P$36,"LAST_TRADE_DATE",,$C$31,,0)/100</f>
        <v>#VALUE!</v>
      </c>
      <c r="Q41" s="158"/>
      <c r="R41" s="158" t="e">
        <f>_xll.EfirEndOfDay(,$C20,R$36,"LAST_TRADE_DATE",,$C$31,,0)/100</f>
        <v>#VALUE!</v>
      </c>
      <c r="S41" s="156"/>
    </row>
    <row r="42" spans="2:19" x14ac:dyDescent="0.3">
      <c r="K42" s="147" t="str">
        <f>_xll.CbondsLastYTP($C$31,$C21,$C$33)</f>
        <v>Нет данных</v>
      </c>
      <c r="L42" s="147" t="str">
        <f>_xll.CbondsLastYTP($C$31,$C21,$C$33)</f>
        <v>Нет данных</v>
      </c>
      <c r="M42" s="147" t="str">
        <f>_xll.CbondsLastYTP($C$31,$C21,$C$33)</f>
        <v>Нет данных</v>
      </c>
      <c r="P42" s="158" t="e">
        <f>_xll.EfirEndOfDay(,$C21,P$36,"LAST_TRADE_DATE",,$C$31,,0)/100</f>
        <v>#VALUE!</v>
      </c>
      <c r="Q42" s="158"/>
      <c r="R42" s="158" t="e">
        <f>_xll.EfirEndOfDay(,$C21,R$36,"LAST_TRADE_DATE",,$C$31,,0)/100</f>
        <v>#VALUE!</v>
      </c>
      <c r="S42" s="156"/>
    </row>
    <row r="43" spans="2:19" x14ac:dyDescent="0.3">
      <c r="K43" s="147" t="str">
        <f>_xll.CbondsLastYTP($C$31,$C22,$C$33)</f>
        <v>Нет данных</v>
      </c>
      <c r="L43" s="147" t="str">
        <f>_xll.CbondsLastYTP($C$31,$C22,$C$33)</f>
        <v>Нет данных</v>
      </c>
      <c r="M43" s="147" t="str">
        <f>_xll.CbondsLastYTP($C$31,$C22,$C$33)</f>
        <v>Нет данных</v>
      </c>
      <c r="P43" s="158" t="e">
        <f>_xll.EfirEndOfDay(,$C22,P$36,"LAST_TRADE_DATE",,$C$31,,0)/100</f>
        <v>#VALUE!</v>
      </c>
      <c r="Q43" s="158"/>
      <c r="R43" s="158" t="e">
        <f>_xll.EfirEndOfDay(,$C22,R$36,"LAST_TRADE_DATE",,$C$31,,0)/100</f>
        <v>#VALUE!</v>
      </c>
      <c r="S43" s="156"/>
    </row>
    <row r="44" spans="2:19" x14ac:dyDescent="0.3">
      <c r="K44" s="147" t="str">
        <f>_xll.CbondsLastYTP($C$31,$C23,$C$33)</f>
        <v>Нет данных</v>
      </c>
      <c r="L44" s="147" t="str">
        <f>_xll.CbondsLastYTP($C$31,$C23,$C$33)</f>
        <v>Нет данных</v>
      </c>
      <c r="M44" s="147" t="str">
        <f>_xll.CbondsLastYTP($C$31,$C23,$C$33)</f>
        <v>Нет данных</v>
      </c>
      <c r="P44" s="158" t="e">
        <f>_xll.EfirEndOfDay(,$C23,P$36,"LAST_TRADE_DATE",,$C$31,,0)/100</f>
        <v>#VALUE!</v>
      </c>
      <c r="Q44" s="158"/>
      <c r="R44" s="158" t="e">
        <f>_xll.EfirEndOfDay(,$C23,R$36,"LAST_TRADE_DATE",,$C$31,,0)/100</f>
        <v>#VALUE!</v>
      </c>
      <c r="S44" s="156"/>
    </row>
    <row r="45" spans="2:19" x14ac:dyDescent="0.3">
      <c r="K45" s="147" t="str">
        <f>_xll.CbondsLastYTP($C$31,$C24,$C$33)</f>
        <v>Нет данных</v>
      </c>
      <c r="L45" s="147" t="str">
        <f>_xll.CbondsLastYTP($C$31,$C24,$C$33)</f>
        <v>Нет данных</v>
      </c>
      <c r="M45" s="147" t="str">
        <f>_xll.CbondsLastYTP($C$31,$C24,$C$33)</f>
        <v>Нет данных</v>
      </c>
      <c r="P45" s="158" t="e">
        <f>_xll.EfirEndOfDay(,$C24,P$36,"LAST_TRADE_DATE",,$C$31,,0)/100</f>
        <v>#VALUE!</v>
      </c>
      <c r="Q45" s="158"/>
      <c r="R45" s="158" t="e">
        <f>_xll.EfirEndOfDay(,$C24,R$36,"LAST_TRADE_DATE",,$C$31,,0)/100</f>
        <v>#VALUE!</v>
      </c>
      <c r="S45" s="156"/>
    </row>
    <row r="46" spans="2:19" x14ac:dyDescent="0.3">
      <c r="K46" s="147" t="str">
        <f>_xll.CbondsLastYTP($C$31,$C25,$C$33)</f>
        <v>Нет данных</v>
      </c>
      <c r="L46" s="147" t="str">
        <f>_xll.CbondsLastYTP($C$31,$C25,$C$33)</f>
        <v>Нет данных</v>
      </c>
      <c r="M46" s="147" t="str">
        <f>_xll.CbondsLastYTP($C$31,$C25,$C$33)</f>
        <v>Нет данных</v>
      </c>
      <c r="P46" s="158" t="e">
        <f>_xll.EfirEndOfDay(,$C25,P$36,"LAST_TRADE_DATE",,$C$31,,0)/100</f>
        <v>#VALUE!</v>
      </c>
      <c r="Q46" s="158"/>
      <c r="R46" s="158" t="e">
        <f>_xll.EfirEndOfDay(,$C25,R$36,"LAST_TRADE_DATE",,$C$31,,0)/100</f>
        <v>#VALUE!</v>
      </c>
      <c r="S46" s="156"/>
    </row>
    <row r="47" spans="2:19" x14ac:dyDescent="0.3">
      <c r="K47" s="147" t="str">
        <f>_xll.CbondsLastYTP($C$31,$C26,$C$33)</f>
        <v>Нет данных</v>
      </c>
      <c r="L47" s="147" t="str">
        <f>_xll.CbondsLastYTP($C$31,$C26,$C$33)</f>
        <v>Нет данных</v>
      </c>
      <c r="M47" s="147" t="str">
        <f>_xll.CbondsLastYTP($C$31,$C26,$C$33)</f>
        <v>Нет данных</v>
      </c>
      <c r="P47" s="158" t="e">
        <f>_xll.EfirEndOfDay(,$C26,P$36,"LAST_TRADE_DATE",,$C$31,,0)/100</f>
        <v>#VALUE!</v>
      </c>
      <c r="Q47" s="158"/>
      <c r="R47" s="158" t="e">
        <f>_xll.EfirEndOfDay(,$C26,R$36,"LAST_TRADE_DATE",,$C$31,,0)/100</f>
        <v>#VALUE!</v>
      </c>
      <c r="S47" s="156"/>
    </row>
    <row r="48" spans="2:19" x14ac:dyDescent="0.3">
      <c r="K48" s="147" t="str">
        <f>_xll.CbondsLastYTP($C$31,$C27,$C$33)</f>
        <v>Нет данных</v>
      </c>
      <c r="L48" s="147" t="str">
        <f>_xll.CbondsLastYTP($C$31,$C27,$C$33)</f>
        <v>Нет данных</v>
      </c>
      <c r="M48" s="147" t="str">
        <f>_xll.CbondsLastYTP($C$31,$C27,$C$33)</f>
        <v>Нет данных</v>
      </c>
      <c r="P48" s="158" t="e">
        <f>_xll.EfirEndOfDay(,$C27,P$36,"LAST_TRADE_DATE",,$C$31,,0)/100</f>
        <v>#VALUE!</v>
      </c>
      <c r="Q48" s="158"/>
      <c r="R48" s="158" t="e">
        <f>_xll.EfirEndOfDay(,$C27,R$36,"LAST_TRADE_DATE",,$C$31,,0)/100</f>
        <v>#VALUE!</v>
      </c>
      <c r="S48" s="156"/>
    </row>
    <row r="49" spans="9:19" x14ac:dyDescent="0.3">
      <c r="K49" s="147" t="str">
        <f>_xll.CbondsLastYTP($C$31,$C28,$C$33)</f>
        <v>Нет данных</v>
      </c>
      <c r="L49" s="147" t="str">
        <f>_xll.CbondsLastYTP($C$31,$C28,$C$33)</f>
        <v>Нет данных</v>
      </c>
      <c r="M49" s="147" t="str">
        <f>_xll.CbondsLastYTP($C$31,$C28,$C$33)</f>
        <v>Нет данных</v>
      </c>
      <c r="P49" s="158" t="e">
        <f>_xll.EfirEndOfDay(,$C28,P$36,"LAST_TRADE_DATE",,$C$31,,0)/100</f>
        <v>#VALUE!</v>
      </c>
      <c r="Q49" s="158"/>
      <c r="R49" s="158" t="e">
        <f>_xll.EfirEndOfDay(,$C28,R$36,"LAST_TRADE_DATE",,$C$31,,0)/100</f>
        <v>#VALUE!</v>
      </c>
      <c r="S49" s="156"/>
    </row>
    <row r="52" spans="9:19" x14ac:dyDescent="0.3">
      <c r="I52" s="119" t="s">
        <v>69</v>
      </c>
      <c r="K52" s="109" t="s">
        <v>1271</v>
      </c>
      <c r="L52" s="109" t="s">
        <v>1287</v>
      </c>
      <c r="M52" s="109" t="s">
        <v>1291</v>
      </c>
      <c r="P52" s="109" t="s">
        <v>69</v>
      </c>
      <c r="Q52" s="109" t="s">
        <v>366</v>
      </c>
      <c r="R52" s="109" t="s">
        <v>1291</v>
      </c>
    </row>
    <row r="53" spans="9:19" x14ac:dyDescent="0.3">
      <c r="K53" s="144">
        <f>_xll.CbondsDuration($C$31,C16,$C$33)</f>
        <v>161.11661824359999</v>
      </c>
      <c r="L53" s="144" t="str">
        <f>_xll.CbondsDurationToPutCall($C$31,C16,$C$33)</f>
        <v>Нет данных</v>
      </c>
      <c r="M53" s="144">
        <f>IF(K53= "нет данных",L53/365,K53/365)</f>
        <v>0.44141539244821915</v>
      </c>
      <c r="P53" s="144">
        <f>_xll.EfirEndOfDay(,$C16,P$52,"LAST_TRADE_DATE",,$C$31,,0)</f>
        <v>161</v>
      </c>
      <c r="Q53" s="144" t="str">
        <f>_xll.EfirEndOfDay(,$C16,Q$52,"LAST_TRADE_DATE",,$C$31,,0)</f>
        <v/>
      </c>
      <c r="R53" s="144">
        <f>IF(K53= "нет данных",Q53/365,P53/365)</f>
        <v>0.44109589041095892</v>
      </c>
    </row>
    <row r="54" spans="9:19" x14ac:dyDescent="0.3">
      <c r="K54" s="39">
        <f>_xll.CbondsDuration($C$31,C17,$C$33)</f>
        <v>189.31005086155</v>
      </c>
      <c r="L54" s="39" t="str">
        <f>_xll.CbondsDurationToPutCall($C$31,C17,$C$33)</f>
        <v>Нет данных</v>
      </c>
      <c r="M54" s="39">
        <f t="shared" ref="M54:M65" si="1">IF(K54= "нет данных",L54/365,K54/365)</f>
        <v>0.51865767359328763</v>
      </c>
      <c r="P54" s="148">
        <f>_xll.EfirEndOfDay(,$C17,P$52,"LAST_TRADE_DATE",,$C$31,,0)</f>
        <v>189</v>
      </c>
      <c r="Q54" s="148" t="str">
        <f>_xll.EfirEndOfDay(,$C17,Q$52,"LAST_TRADE_DATE",,$C$31,,0)</f>
        <v/>
      </c>
      <c r="R54" s="148">
        <f t="shared" ref="R54:R65" si="2">IF(K54= "нет данных",Q54/365,P54/365)</f>
        <v>0.51780821917808217</v>
      </c>
    </row>
    <row r="55" spans="9:19" x14ac:dyDescent="0.3">
      <c r="K55" s="39">
        <f>_xll.CbondsDuration($C$31,C18,$C$33)</f>
        <v>217.30127719794001</v>
      </c>
      <c r="L55" s="39" t="str">
        <f>_xll.CbondsDurationToPutCall($C$31,C18,$C$33)</f>
        <v>Нет данных</v>
      </c>
      <c r="M55" s="39">
        <f t="shared" si="1"/>
        <v>0.595345964925863</v>
      </c>
      <c r="P55" s="148">
        <f>_xll.EfirEndOfDay(,$C18,P$52,"LAST_TRADE_DATE",,$C$31,,0)</f>
        <v>217</v>
      </c>
      <c r="Q55" s="148" t="str">
        <f>_xll.EfirEndOfDay(,$C18,Q$52,"LAST_TRADE_DATE",,$C$31,,0)</f>
        <v/>
      </c>
      <c r="R55" s="148">
        <f t="shared" si="2"/>
        <v>0.59452054794520548</v>
      </c>
    </row>
    <row r="56" spans="9:19" x14ac:dyDescent="0.3">
      <c r="K56" s="39">
        <f>_xll.CbondsDuration($C$31,C19,$C$33)</f>
        <v>248.28660465030001</v>
      </c>
      <c r="L56" s="39" t="str">
        <f>_xll.CbondsDurationToPutCall($C$31,C19,$C$33)</f>
        <v>Нет данных</v>
      </c>
      <c r="M56" s="39">
        <f t="shared" si="1"/>
        <v>0.68023727301452053</v>
      </c>
      <c r="P56" s="148">
        <f>_xll.EfirEndOfDay(,$C19,P$52,"LAST_TRADE_DATE",,$C$31,,0)</f>
        <v>248</v>
      </c>
      <c r="Q56" s="148" t="str">
        <f>_xll.EfirEndOfDay(,$C19,Q$52,"LAST_TRADE_DATE",,$C$31,,0)</f>
        <v/>
      </c>
      <c r="R56" s="148">
        <f t="shared" si="2"/>
        <v>0.67945205479452053</v>
      </c>
    </row>
    <row r="57" spans="9:19" x14ac:dyDescent="0.3">
      <c r="K57" s="39">
        <f>_xll.CbondsDuration($C$31,C20,$C$33)</f>
        <v>274.62795802225003</v>
      </c>
      <c r="L57" s="39" t="str">
        <f>_xll.CbondsDurationToPutCall($C$31,C20,$C$33)</f>
        <v>Нет данных</v>
      </c>
      <c r="M57" s="39">
        <f t="shared" si="1"/>
        <v>0.75240536444452066</v>
      </c>
      <c r="P57" s="148">
        <f>_xll.EfirEndOfDay(,$C20,P$52,"LAST_TRADE_DATE",,$C$31,,0)</f>
        <v>275</v>
      </c>
      <c r="Q57" s="148" t="str">
        <f>_xll.EfirEndOfDay(,$C20,Q$52,"LAST_TRADE_DATE",,$C$31,,0)</f>
        <v/>
      </c>
      <c r="R57" s="148">
        <f t="shared" si="2"/>
        <v>0.75342465753424659</v>
      </c>
    </row>
    <row r="58" spans="9:19" x14ac:dyDescent="0.3">
      <c r="K58" s="39">
        <f>_xll.CbondsDuration($C$31,C21,$C$33)</f>
        <v>303.57778743405999</v>
      </c>
      <c r="L58" s="39" t="str">
        <f>_xll.CbondsDurationToPutCall($C$31,C21,$C$33)</f>
        <v>Нет данных</v>
      </c>
      <c r="M58" s="39">
        <f t="shared" si="1"/>
        <v>0.83171996557276706</v>
      </c>
      <c r="P58" s="148">
        <f>_xll.EfirEndOfDay(,$C21,P$52,"LAST_TRADE_DATE",,$C$31,,0)</f>
        <v>304</v>
      </c>
      <c r="Q58" s="148" t="str">
        <f>_xll.EfirEndOfDay(,$C21,Q$52,"LAST_TRADE_DATE",,$C$31,,0)</f>
        <v/>
      </c>
      <c r="R58" s="148">
        <f t="shared" si="2"/>
        <v>0.83287671232876714</v>
      </c>
    </row>
    <row r="59" spans="9:19" x14ac:dyDescent="0.3">
      <c r="K59" s="39">
        <f>_xll.CbondsDuration($C$31,C22,$C$33)</f>
        <v>334.44034804713999</v>
      </c>
      <c r="L59" s="39" t="str">
        <f>_xll.CbondsDurationToPutCall($C$31,C22,$C$33)</f>
        <v>Нет данных</v>
      </c>
      <c r="M59" s="39">
        <f t="shared" si="1"/>
        <v>0.91627492615654793</v>
      </c>
      <c r="P59" s="148">
        <f>_xll.EfirEndOfDay(,$C22,P$52,"LAST_TRADE_DATE",,$C$31,,0)</f>
        <v>334</v>
      </c>
      <c r="Q59" s="148" t="str">
        <f>_xll.EfirEndOfDay(,$C22,Q$52,"LAST_TRADE_DATE",,$C$31,,0)</f>
        <v/>
      </c>
      <c r="R59" s="148">
        <f t="shared" si="2"/>
        <v>0.91506849315068495</v>
      </c>
    </row>
    <row r="60" spans="9:19" x14ac:dyDescent="0.3">
      <c r="K60" s="39">
        <f>_xll.CbondsDuration($C$31,C23,$C$33)</f>
        <v>357.51574305345002</v>
      </c>
      <c r="L60" s="39" t="str">
        <f>_xll.CbondsDurationToPutCall($C$31,C23,$C$33)</f>
        <v>Нет данных</v>
      </c>
      <c r="M60" s="39">
        <f t="shared" si="1"/>
        <v>0.97949518644780831</v>
      </c>
      <c r="P60" s="148">
        <f>_xll.EfirEndOfDay(,$C23,P$52,"LAST_TRADE_DATE",,$C$31,,0)</f>
        <v>358</v>
      </c>
      <c r="Q60" s="148" t="str">
        <f>_xll.EfirEndOfDay(,$C23,Q$52,"LAST_TRADE_DATE",,$C$31,,0)</f>
        <v/>
      </c>
      <c r="R60" s="148">
        <f t="shared" si="2"/>
        <v>0.98082191780821915</v>
      </c>
    </row>
    <row r="61" spans="9:19" x14ac:dyDescent="0.3">
      <c r="K61" s="39">
        <f>_xll.CbondsDuration($C$31,C24,$C$33)</f>
        <v>387.43229601002997</v>
      </c>
      <c r="L61" s="39" t="str">
        <f>_xll.CbondsDurationToPutCall($C$31,C24,$C$33)</f>
        <v>Нет данных</v>
      </c>
      <c r="M61" s="39">
        <f t="shared" si="1"/>
        <v>1.0614583452329589</v>
      </c>
      <c r="P61" s="148">
        <f>_xll.EfirEndOfDay(,$C24,P$52,"LAST_TRADE_DATE",,$C$31,,0)</f>
        <v>387</v>
      </c>
      <c r="Q61" s="148" t="str">
        <f>_xll.EfirEndOfDay(,$C24,Q$52,"LAST_TRADE_DATE",,$C$31,,0)</f>
        <v/>
      </c>
      <c r="R61" s="148">
        <f t="shared" si="2"/>
        <v>1.0602739726027397</v>
      </c>
    </row>
    <row r="62" spans="9:19" x14ac:dyDescent="0.3">
      <c r="K62" s="39">
        <f>_xll.CbondsDuration($C$31,C25,$C$33)</f>
        <v>417.37680282820003</v>
      </c>
      <c r="L62" s="39" t="str">
        <f>_xll.CbondsDurationToPutCall($C$31,C25,$C$33)</f>
        <v>Нет данных</v>
      </c>
      <c r="M62" s="39">
        <f t="shared" si="1"/>
        <v>1.143498089940274</v>
      </c>
      <c r="P62" s="148">
        <f>_xll.EfirEndOfDay(,$C25,P$52,"LAST_TRADE_DATE",,$C$31,,0)</f>
        <v>417</v>
      </c>
      <c r="Q62" s="148" t="str">
        <f>_xll.EfirEndOfDay(,$C25,Q$52,"LAST_TRADE_DATE",,$C$31,,0)</f>
        <v/>
      </c>
      <c r="R62" s="148">
        <f t="shared" si="2"/>
        <v>1.1424657534246576</v>
      </c>
    </row>
    <row r="63" spans="9:19" x14ac:dyDescent="0.3">
      <c r="K63" s="39">
        <f>_xll.CbondsDuration($C$31,C26,$C$33)</f>
        <v>438.41912990707999</v>
      </c>
      <c r="L63" s="39" t="str">
        <f>_xll.CbondsDurationToPutCall($C$31,C26,$C$33)</f>
        <v>Нет данных</v>
      </c>
      <c r="M63" s="39">
        <f t="shared" si="1"/>
        <v>1.2011483011152877</v>
      </c>
      <c r="P63" s="148">
        <f>_xll.EfirEndOfDay(,$C26,P$52,"LAST_TRADE_DATE",,$C$31,,0)</f>
        <v>438</v>
      </c>
      <c r="Q63" s="148" t="str">
        <f>_xll.EfirEndOfDay(,$C26,Q$52,"LAST_TRADE_DATE",,$C$31,,0)</f>
        <v/>
      </c>
      <c r="R63" s="148">
        <f t="shared" si="2"/>
        <v>1.2</v>
      </c>
    </row>
    <row r="64" spans="9:19" x14ac:dyDescent="0.3">
      <c r="K64" s="39">
        <f>_xll.CbondsDuration($C$31,C27,$C$33)</f>
        <v>466.02638648421998</v>
      </c>
      <c r="L64" s="39" t="str">
        <f>_xll.CbondsDurationToPutCall($C$31,C27,$C$33)</f>
        <v>Нет данных</v>
      </c>
      <c r="M64" s="39">
        <f t="shared" si="1"/>
        <v>1.2767846205047122</v>
      </c>
      <c r="P64" s="148">
        <f>_xll.EfirEndOfDay(,$C27,P$52,"LAST_TRADE_DATE",,$C$31,,0)</f>
        <v>466</v>
      </c>
      <c r="Q64" s="148" t="str">
        <f>_xll.EfirEndOfDay(,$C27,Q$52,"LAST_TRADE_DATE",,$C$31,,0)</f>
        <v/>
      </c>
      <c r="R64" s="148">
        <f t="shared" si="2"/>
        <v>1.2767123287671234</v>
      </c>
    </row>
    <row r="65" spans="11:18" x14ac:dyDescent="0.3">
      <c r="K65" s="39">
        <f>_xll.CbondsDuration($C$31,C28,$C$33)</f>
        <v>498.07211298063999</v>
      </c>
      <c r="L65" s="39" t="str">
        <f>_xll.CbondsDurationToPutCall($C$31,C28,$C$33)</f>
        <v>Нет данных</v>
      </c>
      <c r="M65" s="39">
        <f t="shared" si="1"/>
        <v>1.3645811314538081</v>
      </c>
      <c r="P65" s="148">
        <f>_xll.EfirEndOfDay(,$C28,P$52,"LAST_TRADE_DATE",,$C$31,,0)</f>
        <v>498</v>
      </c>
      <c r="Q65" s="148" t="str">
        <f>_xll.EfirEndOfDay(,$C28,Q$52,"LAST_TRADE_DATE",,$C$31,,0)</f>
        <v/>
      </c>
      <c r="R65" s="148">
        <f t="shared" si="2"/>
        <v>1.3643835616438356</v>
      </c>
    </row>
  </sheetData>
  <conditionalFormatting sqref="E6:E11">
    <cfRule type="cellIs" dxfId="1" priority="1" operator="equal">
      <formula>"Ноуп"</formula>
    </cfRule>
    <cfRule type="cellIs" dxfId="0" priority="2" operator="equal">
      <formula>"Ок"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4" tint="0.79998168889431442"/>
  </sheetPr>
  <dimension ref="A1:H192"/>
  <sheetViews>
    <sheetView workbookViewId="0"/>
  </sheetViews>
  <sheetFormatPr defaultRowHeight="14.4" x14ac:dyDescent="0.3"/>
  <cols>
    <col min="2" max="2" width="15.33203125" bestFit="1" customWidth="1"/>
    <col min="3" max="3" width="25.33203125" bestFit="1" customWidth="1"/>
    <col min="4" max="4" width="59.109375" bestFit="1" customWidth="1"/>
    <col min="6" max="6" width="21.5546875" bestFit="1" customWidth="1"/>
    <col min="7" max="7" width="22.44140625" bestFit="1" customWidth="1"/>
    <col min="8" max="8" width="255.6640625" bestFit="1" customWidth="1"/>
  </cols>
  <sheetData>
    <row r="1" spans="1:8" x14ac:dyDescent="0.3">
      <c r="A1" s="92" t="str">
        <f>_xll.BondDateFields()</f>
        <v>Группа</v>
      </c>
      <c r="B1" s="92" t="s">
        <v>336</v>
      </c>
      <c r="C1" s="92" t="s">
        <v>373</v>
      </c>
      <c r="D1" s="92" t="s">
        <v>374</v>
      </c>
      <c r="E1" s="92"/>
      <c r="F1" s="92" t="str">
        <f>_xll.EfirFields()</f>
        <v>name</v>
      </c>
      <c r="G1" s="92" t="s">
        <v>518</v>
      </c>
      <c r="H1" s="92" t="s">
        <v>519</v>
      </c>
    </row>
    <row r="2" spans="1:8" x14ac:dyDescent="0.3">
      <c r="A2" t="s">
        <v>375</v>
      </c>
      <c r="B2" t="s">
        <v>376</v>
      </c>
      <c r="C2" t="s">
        <v>377</v>
      </c>
      <c r="D2" t="s">
        <v>378</v>
      </c>
      <c r="F2" t="s">
        <v>520</v>
      </c>
      <c r="G2" t="s">
        <v>496</v>
      </c>
      <c r="H2" t="s">
        <v>521</v>
      </c>
    </row>
    <row r="3" spans="1:8" x14ac:dyDescent="0.3">
      <c r="A3" t="s">
        <v>375</v>
      </c>
      <c r="B3" t="s">
        <v>379</v>
      </c>
      <c r="C3" t="s">
        <v>380</v>
      </c>
      <c r="D3" t="s">
        <v>381</v>
      </c>
      <c r="F3" t="s">
        <v>522</v>
      </c>
      <c r="G3" t="s">
        <v>523</v>
      </c>
      <c r="H3" t="s">
        <v>524</v>
      </c>
    </row>
    <row r="4" spans="1:8" x14ac:dyDescent="0.3">
      <c r="A4" t="s">
        <v>375</v>
      </c>
      <c r="B4" t="s">
        <v>382</v>
      </c>
      <c r="C4" t="s">
        <v>383</v>
      </c>
      <c r="D4" t="s">
        <v>384</v>
      </c>
      <c r="F4" t="s">
        <v>525</v>
      </c>
      <c r="G4" t="s">
        <v>526</v>
      </c>
      <c r="H4" t="s">
        <v>527</v>
      </c>
    </row>
    <row r="5" spans="1:8" x14ac:dyDescent="0.3">
      <c r="A5" t="s">
        <v>375</v>
      </c>
      <c r="B5" t="s">
        <v>385</v>
      </c>
      <c r="C5" t="s">
        <v>386</v>
      </c>
      <c r="D5" t="s">
        <v>387</v>
      </c>
      <c r="F5" t="s">
        <v>528</v>
      </c>
      <c r="G5" t="s">
        <v>529</v>
      </c>
      <c r="H5" t="s">
        <v>530</v>
      </c>
    </row>
    <row r="6" spans="1:8" x14ac:dyDescent="0.3">
      <c r="A6" t="s">
        <v>375</v>
      </c>
      <c r="B6" t="s">
        <v>388</v>
      </c>
      <c r="C6" t="s">
        <v>389</v>
      </c>
      <c r="D6" t="s">
        <v>390</v>
      </c>
      <c r="F6" t="s">
        <v>531</v>
      </c>
      <c r="G6" t="s">
        <v>532</v>
      </c>
      <c r="H6" t="s">
        <v>533</v>
      </c>
    </row>
    <row r="7" spans="1:8" x14ac:dyDescent="0.3">
      <c r="A7" t="s">
        <v>391</v>
      </c>
      <c r="B7" t="s">
        <v>392</v>
      </c>
      <c r="C7" t="s">
        <v>393</v>
      </c>
      <c r="D7" t="s">
        <v>394</v>
      </c>
      <c r="F7" t="s">
        <v>534</v>
      </c>
      <c r="G7" t="s">
        <v>535</v>
      </c>
      <c r="H7" t="s">
        <v>536</v>
      </c>
    </row>
    <row r="8" spans="1:8" x14ac:dyDescent="0.3">
      <c r="A8" t="s">
        <v>391</v>
      </c>
      <c r="B8" t="s">
        <v>395</v>
      </c>
      <c r="C8" t="s">
        <v>396</v>
      </c>
      <c r="D8" t="s">
        <v>397</v>
      </c>
      <c r="F8" t="s">
        <v>537</v>
      </c>
      <c r="G8" t="s">
        <v>538</v>
      </c>
      <c r="H8" t="s">
        <v>539</v>
      </c>
    </row>
    <row r="9" spans="1:8" x14ac:dyDescent="0.3">
      <c r="A9" t="s">
        <v>391</v>
      </c>
      <c r="B9" t="s">
        <v>398</v>
      </c>
      <c r="C9" t="s">
        <v>399</v>
      </c>
      <c r="D9" t="s">
        <v>400</v>
      </c>
      <c r="F9" t="s">
        <v>540</v>
      </c>
      <c r="G9" t="s">
        <v>541</v>
      </c>
      <c r="H9" t="s">
        <v>542</v>
      </c>
    </row>
    <row r="10" spans="1:8" x14ac:dyDescent="0.3">
      <c r="A10" t="s">
        <v>391</v>
      </c>
      <c r="B10" t="s">
        <v>401</v>
      </c>
      <c r="C10" t="s">
        <v>402</v>
      </c>
      <c r="D10" t="s">
        <v>403</v>
      </c>
      <c r="F10" t="s">
        <v>543</v>
      </c>
      <c r="G10" t="s">
        <v>544</v>
      </c>
      <c r="H10" t="s">
        <v>545</v>
      </c>
    </row>
    <row r="11" spans="1:8" x14ac:dyDescent="0.3">
      <c r="A11" t="s">
        <v>391</v>
      </c>
      <c r="B11" t="s">
        <v>404</v>
      </c>
      <c r="C11" t="s">
        <v>405</v>
      </c>
      <c r="D11" t="s">
        <v>406</v>
      </c>
      <c r="F11" t="s">
        <v>546</v>
      </c>
      <c r="G11" t="s">
        <v>547</v>
      </c>
      <c r="H11" t="s">
        <v>548</v>
      </c>
    </row>
    <row r="12" spans="1:8" x14ac:dyDescent="0.3">
      <c r="A12" t="s">
        <v>391</v>
      </c>
      <c r="B12" t="s">
        <v>349</v>
      </c>
      <c r="C12" t="s">
        <v>407</v>
      </c>
      <c r="D12" t="s">
        <v>408</v>
      </c>
      <c r="F12" t="s">
        <v>549</v>
      </c>
      <c r="G12" t="s">
        <v>550</v>
      </c>
      <c r="H12" t="s">
        <v>551</v>
      </c>
    </row>
    <row r="13" spans="1:8" x14ac:dyDescent="0.3">
      <c r="A13" t="s">
        <v>391</v>
      </c>
      <c r="B13" t="s">
        <v>409</v>
      </c>
      <c r="C13" t="s">
        <v>410</v>
      </c>
      <c r="D13" t="s">
        <v>411</v>
      </c>
      <c r="F13" t="s">
        <v>552</v>
      </c>
      <c r="G13" t="s">
        <v>553</v>
      </c>
      <c r="H13" t="s">
        <v>554</v>
      </c>
    </row>
    <row r="14" spans="1:8" x14ac:dyDescent="0.3">
      <c r="A14" t="s">
        <v>391</v>
      </c>
      <c r="B14" t="s">
        <v>412</v>
      </c>
      <c r="C14" t="s">
        <v>413</v>
      </c>
      <c r="D14" t="s">
        <v>414</v>
      </c>
      <c r="F14" t="s">
        <v>555</v>
      </c>
      <c r="G14" t="s">
        <v>556</v>
      </c>
      <c r="H14" t="s">
        <v>557</v>
      </c>
    </row>
    <row r="15" spans="1:8" x14ac:dyDescent="0.3">
      <c r="A15" t="s">
        <v>391</v>
      </c>
      <c r="B15" t="s">
        <v>415</v>
      </c>
      <c r="C15" t="s">
        <v>416</v>
      </c>
      <c r="D15" t="s">
        <v>417</v>
      </c>
      <c r="F15" t="s">
        <v>558</v>
      </c>
      <c r="G15" t="s">
        <v>559</v>
      </c>
      <c r="H15" t="s">
        <v>560</v>
      </c>
    </row>
    <row r="16" spans="1:8" x14ac:dyDescent="0.3">
      <c r="A16" t="s">
        <v>391</v>
      </c>
      <c r="B16" t="s">
        <v>418</v>
      </c>
      <c r="C16" t="s">
        <v>419</v>
      </c>
      <c r="D16" t="s">
        <v>420</v>
      </c>
      <c r="F16" t="s">
        <v>561</v>
      </c>
      <c r="G16" t="s">
        <v>562</v>
      </c>
      <c r="H16" t="s">
        <v>563</v>
      </c>
    </row>
    <row r="17" spans="1:8" x14ac:dyDescent="0.3">
      <c r="A17" t="s">
        <v>391</v>
      </c>
      <c r="B17" t="s">
        <v>421</v>
      </c>
      <c r="C17" t="s">
        <v>422</v>
      </c>
      <c r="D17" t="s">
        <v>423</v>
      </c>
      <c r="F17" t="s">
        <v>564</v>
      </c>
      <c r="G17" t="s">
        <v>565</v>
      </c>
      <c r="H17" t="s">
        <v>566</v>
      </c>
    </row>
    <row r="18" spans="1:8" x14ac:dyDescent="0.3">
      <c r="A18" t="s">
        <v>424</v>
      </c>
      <c r="B18" t="s">
        <v>351</v>
      </c>
      <c r="C18" t="s">
        <v>33</v>
      </c>
      <c r="D18" t="s">
        <v>425</v>
      </c>
      <c r="F18" t="s">
        <v>567</v>
      </c>
      <c r="G18" t="s">
        <v>568</v>
      </c>
      <c r="H18" t="s">
        <v>569</v>
      </c>
    </row>
    <row r="19" spans="1:8" x14ac:dyDescent="0.3">
      <c r="A19" t="s">
        <v>424</v>
      </c>
      <c r="B19" t="s">
        <v>426</v>
      </c>
      <c r="C19" t="s">
        <v>427</v>
      </c>
      <c r="D19" t="s">
        <v>428</v>
      </c>
      <c r="F19" t="s">
        <v>570</v>
      </c>
      <c r="G19" t="s">
        <v>571</v>
      </c>
      <c r="H19" t="s">
        <v>572</v>
      </c>
    </row>
    <row r="20" spans="1:8" x14ac:dyDescent="0.3">
      <c r="A20" t="s">
        <v>424</v>
      </c>
      <c r="B20" t="s">
        <v>429</v>
      </c>
      <c r="C20" t="s">
        <v>430</v>
      </c>
      <c r="D20" t="s">
        <v>431</v>
      </c>
      <c r="F20" t="s">
        <v>573</v>
      </c>
      <c r="G20" t="s">
        <v>377</v>
      </c>
      <c r="H20" t="s">
        <v>377</v>
      </c>
    </row>
    <row r="21" spans="1:8" x14ac:dyDescent="0.3">
      <c r="A21" t="s">
        <v>424</v>
      </c>
      <c r="B21" t="s">
        <v>432</v>
      </c>
      <c r="C21" t="s">
        <v>433</v>
      </c>
      <c r="D21" t="s">
        <v>411</v>
      </c>
      <c r="F21" t="s">
        <v>574</v>
      </c>
      <c r="G21" t="s">
        <v>575</v>
      </c>
      <c r="H21" t="s">
        <v>575</v>
      </c>
    </row>
    <row r="22" spans="1:8" x14ac:dyDescent="0.3">
      <c r="A22" t="s">
        <v>424</v>
      </c>
      <c r="B22" t="s">
        <v>434</v>
      </c>
      <c r="C22" t="s">
        <v>435</v>
      </c>
      <c r="D22" t="s">
        <v>436</v>
      </c>
      <c r="F22" t="s">
        <v>576</v>
      </c>
      <c r="G22" t="s">
        <v>577</v>
      </c>
      <c r="H22" t="s">
        <v>578</v>
      </c>
    </row>
    <row r="23" spans="1:8" x14ac:dyDescent="0.3">
      <c r="A23" t="s">
        <v>437</v>
      </c>
      <c r="B23" t="s">
        <v>438</v>
      </c>
      <c r="C23" t="s">
        <v>439</v>
      </c>
      <c r="D23" t="s">
        <v>440</v>
      </c>
      <c r="F23" t="s">
        <v>579</v>
      </c>
      <c r="G23" t="s">
        <v>580</v>
      </c>
      <c r="H23" t="s">
        <v>581</v>
      </c>
    </row>
    <row r="24" spans="1:8" x14ac:dyDescent="0.3">
      <c r="A24" t="s">
        <v>437</v>
      </c>
      <c r="B24" t="s">
        <v>350</v>
      </c>
      <c r="C24" t="s">
        <v>441</v>
      </c>
      <c r="D24" t="s">
        <v>442</v>
      </c>
      <c r="F24" t="s">
        <v>582</v>
      </c>
      <c r="G24" t="s">
        <v>583</v>
      </c>
      <c r="H24" t="s">
        <v>584</v>
      </c>
    </row>
    <row r="25" spans="1:8" x14ac:dyDescent="0.3">
      <c r="A25" t="s">
        <v>437</v>
      </c>
      <c r="B25" t="s">
        <v>443</v>
      </c>
      <c r="C25" t="s">
        <v>444</v>
      </c>
      <c r="D25" t="s">
        <v>445</v>
      </c>
      <c r="F25" t="s">
        <v>585</v>
      </c>
      <c r="G25" t="s">
        <v>586</v>
      </c>
      <c r="H25" t="s">
        <v>587</v>
      </c>
    </row>
    <row r="26" spans="1:8" x14ac:dyDescent="0.3">
      <c r="A26" t="s">
        <v>437</v>
      </c>
      <c r="B26" t="s">
        <v>446</v>
      </c>
      <c r="C26" t="s">
        <v>447</v>
      </c>
      <c r="D26" t="s">
        <v>448</v>
      </c>
      <c r="F26" t="s">
        <v>588</v>
      </c>
      <c r="G26" t="s">
        <v>589</v>
      </c>
      <c r="H26" t="s">
        <v>590</v>
      </c>
    </row>
    <row r="27" spans="1:8" x14ac:dyDescent="0.3">
      <c r="A27" t="s">
        <v>437</v>
      </c>
      <c r="B27" t="s">
        <v>449</v>
      </c>
      <c r="C27" t="s">
        <v>450</v>
      </c>
      <c r="D27" t="s">
        <v>451</v>
      </c>
      <c r="F27" t="s">
        <v>591</v>
      </c>
      <c r="G27" t="s">
        <v>592</v>
      </c>
      <c r="H27" t="s">
        <v>593</v>
      </c>
    </row>
    <row r="28" spans="1:8" x14ac:dyDescent="0.3">
      <c r="A28" t="s">
        <v>452</v>
      </c>
      <c r="B28" t="s">
        <v>453</v>
      </c>
      <c r="C28" t="s">
        <v>454</v>
      </c>
      <c r="D28" t="s">
        <v>455</v>
      </c>
      <c r="F28" t="s">
        <v>594</v>
      </c>
      <c r="G28" t="s">
        <v>595</v>
      </c>
      <c r="H28" t="s">
        <v>596</v>
      </c>
    </row>
    <row r="29" spans="1:8" x14ac:dyDescent="0.3">
      <c r="A29" t="s">
        <v>452</v>
      </c>
      <c r="B29" t="s">
        <v>456</v>
      </c>
      <c r="C29" t="s">
        <v>457</v>
      </c>
      <c r="D29" t="s">
        <v>458</v>
      </c>
      <c r="F29" t="s">
        <v>597</v>
      </c>
      <c r="G29" t="s">
        <v>598</v>
      </c>
      <c r="H29" t="s">
        <v>599</v>
      </c>
    </row>
    <row r="30" spans="1:8" x14ac:dyDescent="0.3">
      <c r="A30" t="s">
        <v>452</v>
      </c>
      <c r="B30" t="s">
        <v>459</v>
      </c>
      <c r="C30" t="s">
        <v>460</v>
      </c>
      <c r="D30" t="s">
        <v>461</v>
      </c>
      <c r="F30" t="s">
        <v>600</v>
      </c>
      <c r="G30" t="s">
        <v>601</v>
      </c>
      <c r="H30" t="s">
        <v>602</v>
      </c>
    </row>
    <row r="31" spans="1:8" x14ac:dyDescent="0.3">
      <c r="A31" t="s">
        <v>452</v>
      </c>
      <c r="B31" t="s">
        <v>462</v>
      </c>
      <c r="C31" t="s">
        <v>463</v>
      </c>
      <c r="D31" t="s">
        <v>464</v>
      </c>
      <c r="F31" t="s">
        <v>603</v>
      </c>
      <c r="G31" t="s">
        <v>604</v>
      </c>
      <c r="H31" t="s">
        <v>605</v>
      </c>
    </row>
    <row r="32" spans="1:8" x14ac:dyDescent="0.3">
      <c r="A32" t="s">
        <v>465</v>
      </c>
      <c r="B32" t="s">
        <v>466</v>
      </c>
      <c r="C32" t="s">
        <v>467</v>
      </c>
      <c r="D32" t="s">
        <v>468</v>
      </c>
      <c r="F32" t="s">
        <v>606</v>
      </c>
      <c r="G32" t="s">
        <v>63</v>
      </c>
      <c r="H32" t="s">
        <v>607</v>
      </c>
    </row>
    <row r="33" spans="1:8" x14ac:dyDescent="0.3">
      <c r="A33" t="s">
        <v>465</v>
      </c>
      <c r="B33" t="s">
        <v>469</v>
      </c>
      <c r="C33" t="s">
        <v>470</v>
      </c>
      <c r="D33" t="s">
        <v>471</v>
      </c>
      <c r="F33" t="s">
        <v>608</v>
      </c>
      <c r="G33" t="s">
        <v>609</v>
      </c>
      <c r="H33" t="s">
        <v>610</v>
      </c>
    </row>
    <row r="34" spans="1:8" x14ac:dyDescent="0.3">
      <c r="A34" t="s">
        <v>465</v>
      </c>
      <c r="B34" t="s">
        <v>472</v>
      </c>
      <c r="C34" t="s">
        <v>473</v>
      </c>
      <c r="D34" t="s">
        <v>474</v>
      </c>
      <c r="F34" t="s">
        <v>611</v>
      </c>
      <c r="G34" t="s">
        <v>612</v>
      </c>
      <c r="H34" t="s">
        <v>613</v>
      </c>
    </row>
    <row r="35" spans="1:8" x14ac:dyDescent="0.3">
      <c r="A35" t="s">
        <v>465</v>
      </c>
      <c r="B35" t="s">
        <v>475</v>
      </c>
      <c r="C35" t="s">
        <v>476</v>
      </c>
      <c r="D35" t="s">
        <v>477</v>
      </c>
      <c r="F35" t="s">
        <v>614</v>
      </c>
      <c r="G35" t="s">
        <v>615</v>
      </c>
      <c r="H35" t="s">
        <v>616</v>
      </c>
    </row>
    <row r="36" spans="1:8" x14ac:dyDescent="0.3">
      <c r="A36" t="s">
        <v>478</v>
      </c>
      <c r="B36" t="s">
        <v>479</v>
      </c>
      <c r="C36" t="s">
        <v>480</v>
      </c>
      <c r="D36" t="s">
        <v>481</v>
      </c>
      <c r="F36" t="s">
        <v>391</v>
      </c>
      <c r="G36" t="s">
        <v>617</v>
      </c>
      <c r="H36" t="s">
        <v>618</v>
      </c>
    </row>
    <row r="37" spans="1:8" x14ac:dyDescent="0.3">
      <c r="A37" t="s">
        <v>478</v>
      </c>
      <c r="B37" t="s">
        <v>482</v>
      </c>
      <c r="C37" t="s">
        <v>483</v>
      </c>
      <c r="D37" t="s">
        <v>484</v>
      </c>
      <c r="F37" t="s">
        <v>619</v>
      </c>
      <c r="G37" t="s">
        <v>399</v>
      </c>
      <c r="H37" t="s">
        <v>620</v>
      </c>
    </row>
    <row r="38" spans="1:8" x14ac:dyDescent="0.3">
      <c r="A38" t="s">
        <v>478</v>
      </c>
      <c r="B38" t="s">
        <v>485</v>
      </c>
      <c r="C38" t="s">
        <v>486</v>
      </c>
      <c r="D38" t="s">
        <v>487</v>
      </c>
      <c r="F38" t="s">
        <v>621</v>
      </c>
      <c r="G38" t="s">
        <v>622</v>
      </c>
      <c r="H38" t="s">
        <v>623</v>
      </c>
    </row>
    <row r="39" spans="1:8" x14ac:dyDescent="0.3">
      <c r="A39" t="s">
        <v>478</v>
      </c>
      <c r="B39" t="s">
        <v>488</v>
      </c>
      <c r="C39" t="s">
        <v>489</v>
      </c>
      <c r="D39" t="s">
        <v>490</v>
      </c>
      <c r="F39" t="s">
        <v>624</v>
      </c>
      <c r="G39" t="s">
        <v>625</v>
      </c>
      <c r="H39" t="s">
        <v>626</v>
      </c>
    </row>
    <row r="40" spans="1:8" x14ac:dyDescent="0.3">
      <c r="A40" t="s">
        <v>478</v>
      </c>
      <c r="B40" t="s">
        <v>491</v>
      </c>
      <c r="C40" t="s">
        <v>492</v>
      </c>
      <c r="D40" t="s">
        <v>493</v>
      </c>
      <c r="F40" t="s">
        <v>627</v>
      </c>
      <c r="G40" t="s">
        <v>628</v>
      </c>
      <c r="H40" t="s">
        <v>629</v>
      </c>
    </row>
    <row r="41" spans="1:8" x14ac:dyDescent="0.3">
      <c r="A41" t="s">
        <v>494</v>
      </c>
      <c r="B41" t="s">
        <v>495</v>
      </c>
      <c r="C41" t="s">
        <v>496</v>
      </c>
      <c r="D41" t="s">
        <v>497</v>
      </c>
      <c r="F41" t="s">
        <v>630</v>
      </c>
      <c r="G41" t="s">
        <v>631</v>
      </c>
      <c r="H41" t="s">
        <v>631</v>
      </c>
    </row>
    <row r="42" spans="1:8" x14ac:dyDescent="0.3">
      <c r="A42" t="s">
        <v>494</v>
      </c>
      <c r="B42" t="s">
        <v>498</v>
      </c>
      <c r="C42" t="s">
        <v>499</v>
      </c>
      <c r="D42" t="s">
        <v>500</v>
      </c>
      <c r="F42" t="s">
        <v>632</v>
      </c>
      <c r="G42" t="s">
        <v>633</v>
      </c>
      <c r="H42" t="s">
        <v>634</v>
      </c>
    </row>
    <row r="43" spans="1:8" x14ac:dyDescent="0.3">
      <c r="A43" t="s">
        <v>494</v>
      </c>
      <c r="B43" t="s">
        <v>352</v>
      </c>
      <c r="C43" t="s">
        <v>501</v>
      </c>
      <c r="D43" t="s">
        <v>502</v>
      </c>
      <c r="F43" t="s">
        <v>635</v>
      </c>
      <c r="G43" t="s">
        <v>636</v>
      </c>
      <c r="H43" t="s">
        <v>637</v>
      </c>
    </row>
    <row r="44" spans="1:8" x14ac:dyDescent="0.3">
      <c r="A44" t="s">
        <v>494</v>
      </c>
      <c r="B44" t="s">
        <v>503</v>
      </c>
      <c r="C44" t="s">
        <v>504</v>
      </c>
      <c r="D44" t="s">
        <v>505</v>
      </c>
      <c r="F44" t="s">
        <v>638</v>
      </c>
      <c r="G44" t="s">
        <v>639</v>
      </c>
      <c r="H44" t="s">
        <v>640</v>
      </c>
    </row>
    <row r="45" spans="1:8" x14ac:dyDescent="0.3">
      <c r="A45" t="s">
        <v>494</v>
      </c>
      <c r="B45" t="s">
        <v>506</v>
      </c>
      <c r="C45" t="s">
        <v>507</v>
      </c>
      <c r="D45" t="s">
        <v>508</v>
      </c>
      <c r="F45" t="s">
        <v>641</v>
      </c>
      <c r="G45" t="s">
        <v>642</v>
      </c>
      <c r="H45" t="s">
        <v>643</v>
      </c>
    </row>
    <row r="46" spans="1:8" x14ac:dyDescent="0.3">
      <c r="A46" t="s">
        <v>494</v>
      </c>
      <c r="B46" t="s">
        <v>509</v>
      </c>
      <c r="C46" t="s">
        <v>510</v>
      </c>
      <c r="D46" t="s">
        <v>511</v>
      </c>
      <c r="F46" t="s">
        <v>644</v>
      </c>
      <c r="G46" t="s">
        <v>645</v>
      </c>
      <c r="H46" t="s">
        <v>646</v>
      </c>
    </row>
    <row r="47" spans="1:8" x14ac:dyDescent="0.3">
      <c r="A47" t="s">
        <v>494</v>
      </c>
      <c r="B47" t="s">
        <v>512</v>
      </c>
      <c r="C47" t="s">
        <v>513</v>
      </c>
      <c r="D47" t="s">
        <v>514</v>
      </c>
      <c r="F47" t="s">
        <v>647</v>
      </c>
      <c r="G47" t="s">
        <v>648</v>
      </c>
      <c r="H47" t="s">
        <v>649</v>
      </c>
    </row>
    <row r="48" spans="1:8" x14ac:dyDescent="0.3">
      <c r="A48" t="s">
        <v>494</v>
      </c>
      <c r="B48" t="s">
        <v>515</v>
      </c>
      <c r="C48" t="s">
        <v>516</v>
      </c>
      <c r="D48" t="s">
        <v>517</v>
      </c>
      <c r="F48" t="s">
        <v>650</v>
      </c>
      <c r="G48" t="s">
        <v>651</v>
      </c>
      <c r="H48" t="s">
        <v>652</v>
      </c>
    </row>
    <row r="49" spans="6:8" x14ac:dyDescent="0.3">
      <c r="F49" t="s">
        <v>653</v>
      </c>
      <c r="G49" t="s">
        <v>654</v>
      </c>
      <c r="H49" t="s">
        <v>655</v>
      </c>
    </row>
    <row r="50" spans="6:8" x14ac:dyDescent="0.3">
      <c r="F50" t="s">
        <v>656</v>
      </c>
      <c r="G50" t="s">
        <v>657</v>
      </c>
      <c r="H50" t="s">
        <v>658</v>
      </c>
    </row>
    <row r="51" spans="6:8" x14ac:dyDescent="0.3">
      <c r="F51" t="s">
        <v>659</v>
      </c>
      <c r="G51" t="s">
        <v>660</v>
      </c>
      <c r="H51" t="s">
        <v>661</v>
      </c>
    </row>
    <row r="52" spans="6:8" x14ac:dyDescent="0.3">
      <c r="F52" t="s">
        <v>662</v>
      </c>
      <c r="G52" t="s">
        <v>663</v>
      </c>
      <c r="H52" t="s">
        <v>664</v>
      </c>
    </row>
    <row r="53" spans="6:8" x14ac:dyDescent="0.3">
      <c r="F53" t="s">
        <v>665</v>
      </c>
      <c r="G53" t="s">
        <v>666</v>
      </c>
      <c r="H53" t="s">
        <v>667</v>
      </c>
    </row>
    <row r="54" spans="6:8" x14ac:dyDescent="0.3">
      <c r="F54" t="s">
        <v>668</v>
      </c>
      <c r="G54" t="s">
        <v>669</v>
      </c>
      <c r="H54" t="s">
        <v>670</v>
      </c>
    </row>
    <row r="55" spans="6:8" x14ac:dyDescent="0.3">
      <c r="F55" t="s">
        <v>671</v>
      </c>
      <c r="G55" t="s">
        <v>672</v>
      </c>
      <c r="H55" t="s">
        <v>673</v>
      </c>
    </row>
    <row r="56" spans="6:8" x14ac:dyDescent="0.3">
      <c r="F56" t="s">
        <v>674</v>
      </c>
      <c r="G56" t="s">
        <v>675</v>
      </c>
      <c r="H56" t="s">
        <v>676</v>
      </c>
    </row>
    <row r="57" spans="6:8" x14ac:dyDescent="0.3">
      <c r="F57" t="s">
        <v>69</v>
      </c>
      <c r="G57" t="s">
        <v>677</v>
      </c>
      <c r="H57" t="s">
        <v>678</v>
      </c>
    </row>
    <row r="58" spans="6:8" x14ac:dyDescent="0.3">
      <c r="F58" t="s">
        <v>679</v>
      </c>
      <c r="G58" t="s">
        <v>680</v>
      </c>
      <c r="H58" t="s">
        <v>681</v>
      </c>
    </row>
    <row r="59" spans="6:8" x14ac:dyDescent="0.3">
      <c r="F59" t="s">
        <v>682</v>
      </c>
      <c r="G59" t="s">
        <v>683</v>
      </c>
      <c r="H59" t="s">
        <v>684</v>
      </c>
    </row>
    <row r="60" spans="6:8" x14ac:dyDescent="0.3">
      <c r="F60" t="s">
        <v>366</v>
      </c>
      <c r="G60" t="s">
        <v>685</v>
      </c>
      <c r="H60" t="s">
        <v>686</v>
      </c>
    </row>
    <row r="61" spans="6:8" x14ac:dyDescent="0.3">
      <c r="F61" t="s">
        <v>687</v>
      </c>
      <c r="G61" t="s">
        <v>688</v>
      </c>
      <c r="H61" t="s">
        <v>689</v>
      </c>
    </row>
    <row r="62" spans="6:8" x14ac:dyDescent="0.3">
      <c r="F62" t="s">
        <v>690</v>
      </c>
      <c r="G62" t="s">
        <v>380</v>
      </c>
      <c r="H62" t="s">
        <v>691</v>
      </c>
    </row>
    <row r="63" spans="6:8" x14ac:dyDescent="0.3">
      <c r="F63" t="s">
        <v>692</v>
      </c>
      <c r="G63" t="s">
        <v>693</v>
      </c>
      <c r="H63" t="s">
        <v>694</v>
      </c>
    </row>
    <row r="64" spans="6:8" x14ac:dyDescent="0.3">
      <c r="F64" t="s">
        <v>695</v>
      </c>
      <c r="G64" t="s">
        <v>696</v>
      </c>
      <c r="H64" t="s">
        <v>697</v>
      </c>
    </row>
    <row r="65" spans="6:8" x14ac:dyDescent="0.3">
      <c r="F65" t="s">
        <v>698</v>
      </c>
      <c r="G65" t="s">
        <v>699</v>
      </c>
      <c r="H65" t="s">
        <v>699</v>
      </c>
    </row>
    <row r="66" spans="6:8" x14ac:dyDescent="0.3">
      <c r="F66" t="s">
        <v>700</v>
      </c>
      <c r="G66" t="s">
        <v>701</v>
      </c>
      <c r="H66" t="s">
        <v>702</v>
      </c>
    </row>
    <row r="67" spans="6:8" x14ac:dyDescent="0.3">
      <c r="F67" t="s">
        <v>703</v>
      </c>
      <c r="G67" t="s">
        <v>704</v>
      </c>
      <c r="H67" t="s">
        <v>705</v>
      </c>
    </row>
    <row r="68" spans="6:8" x14ac:dyDescent="0.3">
      <c r="F68" t="s">
        <v>706</v>
      </c>
      <c r="G68" t="s">
        <v>707</v>
      </c>
      <c r="H68" t="s">
        <v>708</v>
      </c>
    </row>
    <row r="69" spans="6:8" x14ac:dyDescent="0.3">
      <c r="F69" t="s">
        <v>709</v>
      </c>
      <c r="G69" t="s">
        <v>710</v>
      </c>
      <c r="H69" t="s">
        <v>711</v>
      </c>
    </row>
    <row r="70" spans="6:8" x14ac:dyDescent="0.3">
      <c r="F70" t="s">
        <v>712</v>
      </c>
      <c r="G70" t="s">
        <v>713</v>
      </c>
      <c r="H70" t="s">
        <v>714</v>
      </c>
    </row>
    <row r="71" spans="6:8" x14ac:dyDescent="0.3">
      <c r="F71" t="s">
        <v>715</v>
      </c>
      <c r="G71" t="s">
        <v>716</v>
      </c>
      <c r="H71" t="s">
        <v>716</v>
      </c>
    </row>
    <row r="72" spans="6:8" x14ac:dyDescent="0.3">
      <c r="F72" t="s">
        <v>717</v>
      </c>
      <c r="G72" t="s">
        <v>718</v>
      </c>
      <c r="H72" t="s">
        <v>719</v>
      </c>
    </row>
    <row r="73" spans="6:8" x14ac:dyDescent="0.3">
      <c r="F73" t="s">
        <v>720</v>
      </c>
      <c r="G73" t="s">
        <v>721</v>
      </c>
      <c r="H73" t="s">
        <v>722</v>
      </c>
    </row>
    <row r="74" spans="6:8" x14ac:dyDescent="0.3">
      <c r="F74" t="s">
        <v>723</v>
      </c>
      <c r="G74" t="s">
        <v>724</v>
      </c>
      <c r="H74" t="s">
        <v>725</v>
      </c>
    </row>
    <row r="75" spans="6:8" x14ac:dyDescent="0.3">
      <c r="F75" t="s">
        <v>726</v>
      </c>
      <c r="G75" t="s">
        <v>727</v>
      </c>
      <c r="H75" t="s">
        <v>728</v>
      </c>
    </row>
    <row r="76" spans="6:8" x14ac:dyDescent="0.3">
      <c r="F76" t="s">
        <v>729</v>
      </c>
      <c r="G76" t="s">
        <v>730</v>
      </c>
      <c r="H76" t="s">
        <v>731</v>
      </c>
    </row>
    <row r="77" spans="6:8" x14ac:dyDescent="0.3">
      <c r="F77" t="s">
        <v>732</v>
      </c>
      <c r="G77" t="s">
        <v>733</v>
      </c>
      <c r="H77" t="s">
        <v>734</v>
      </c>
    </row>
    <row r="78" spans="6:8" x14ac:dyDescent="0.3">
      <c r="F78" t="s">
        <v>735</v>
      </c>
      <c r="G78" t="s">
        <v>736</v>
      </c>
      <c r="H78" t="s">
        <v>737</v>
      </c>
    </row>
    <row r="79" spans="6:8" x14ac:dyDescent="0.3">
      <c r="F79" t="s">
        <v>738</v>
      </c>
      <c r="G79" t="s">
        <v>739</v>
      </c>
      <c r="H79" t="s">
        <v>740</v>
      </c>
    </row>
    <row r="80" spans="6:8" x14ac:dyDescent="0.3">
      <c r="F80" t="s">
        <v>1</v>
      </c>
      <c r="G80" t="s">
        <v>1</v>
      </c>
      <c r="H80" t="s">
        <v>741</v>
      </c>
    </row>
    <row r="81" spans="6:8" x14ac:dyDescent="0.3">
      <c r="F81" t="s">
        <v>742</v>
      </c>
      <c r="G81" t="s">
        <v>2</v>
      </c>
      <c r="H81" t="s">
        <v>2</v>
      </c>
    </row>
    <row r="82" spans="6:8" x14ac:dyDescent="0.3">
      <c r="F82" t="s">
        <v>743</v>
      </c>
      <c r="G82" t="s">
        <v>744</v>
      </c>
      <c r="H82" t="s">
        <v>745</v>
      </c>
    </row>
    <row r="83" spans="6:8" x14ac:dyDescent="0.3">
      <c r="F83" t="s">
        <v>0</v>
      </c>
      <c r="G83" t="s">
        <v>746</v>
      </c>
      <c r="H83" t="s">
        <v>747</v>
      </c>
    </row>
    <row r="84" spans="6:8" x14ac:dyDescent="0.3">
      <c r="F84" t="s">
        <v>748</v>
      </c>
      <c r="G84" t="s">
        <v>749</v>
      </c>
      <c r="H84" t="s">
        <v>750</v>
      </c>
    </row>
    <row r="85" spans="6:8" x14ac:dyDescent="0.3">
      <c r="F85" t="s">
        <v>751</v>
      </c>
      <c r="G85" t="s">
        <v>752</v>
      </c>
      <c r="H85" t="s">
        <v>753</v>
      </c>
    </row>
    <row r="86" spans="6:8" x14ac:dyDescent="0.3">
      <c r="F86" t="s">
        <v>754</v>
      </c>
      <c r="G86" t="s">
        <v>755</v>
      </c>
      <c r="H86" t="s">
        <v>756</v>
      </c>
    </row>
    <row r="87" spans="6:8" x14ac:dyDescent="0.3">
      <c r="F87" t="s">
        <v>59</v>
      </c>
      <c r="G87" t="s">
        <v>757</v>
      </c>
      <c r="H87" t="s">
        <v>758</v>
      </c>
    </row>
    <row r="88" spans="6:8" x14ac:dyDescent="0.3">
      <c r="F88" t="s">
        <v>759</v>
      </c>
      <c r="G88" t="s">
        <v>760</v>
      </c>
      <c r="H88" t="s">
        <v>761</v>
      </c>
    </row>
    <row r="89" spans="6:8" x14ac:dyDescent="0.3">
      <c r="F89" t="s">
        <v>762</v>
      </c>
      <c r="G89" t="s">
        <v>763</v>
      </c>
      <c r="H89" t="s">
        <v>764</v>
      </c>
    </row>
    <row r="90" spans="6:8" x14ac:dyDescent="0.3">
      <c r="F90" t="s">
        <v>765</v>
      </c>
      <c r="G90" t="s">
        <v>766</v>
      </c>
      <c r="H90" t="s">
        <v>767</v>
      </c>
    </row>
    <row r="91" spans="6:8" x14ac:dyDescent="0.3">
      <c r="F91" t="s">
        <v>768</v>
      </c>
      <c r="G91" t="s">
        <v>769</v>
      </c>
      <c r="H91" t="s">
        <v>770</v>
      </c>
    </row>
    <row r="92" spans="6:8" x14ac:dyDescent="0.3">
      <c r="F92" t="s">
        <v>771</v>
      </c>
      <c r="G92" t="s">
        <v>772</v>
      </c>
      <c r="H92" t="s">
        <v>773</v>
      </c>
    </row>
    <row r="93" spans="6:8" x14ac:dyDescent="0.3">
      <c r="F93" t="s">
        <v>774</v>
      </c>
      <c r="G93" t="s">
        <v>775</v>
      </c>
      <c r="H93" t="s">
        <v>776</v>
      </c>
    </row>
    <row r="94" spans="6:8" x14ac:dyDescent="0.3">
      <c r="F94" t="s">
        <v>777</v>
      </c>
      <c r="G94" t="s">
        <v>778</v>
      </c>
      <c r="H94" t="s">
        <v>779</v>
      </c>
    </row>
    <row r="95" spans="6:8" x14ac:dyDescent="0.3">
      <c r="F95" t="s">
        <v>780</v>
      </c>
      <c r="G95" t="s">
        <v>33</v>
      </c>
      <c r="H95" t="s">
        <v>781</v>
      </c>
    </row>
    <row r="96" spans="6:8" x14ac:dyDescent="0.3">
      <c r="F96" t="s">
        <v>782</v>
      </c>
      <c r="G96" t="s">
        <v>783</v>
      </c>
      <c r="H96" t="s">
        <v>784</v>
      </c>
    </row>
    <row r="97" spans="6:8" x14ac:dyDescent="0.3">
      <c r="F97" t="s">
        <v>785</v>
      </c>
      <c r="G97" t="s">
        <v>786</v>
      </c>
      <c r="H97" t="s">
        <v>787</v>
      </c>
    </row>
    <row r="98" spans="6:8" x14ac:dyDescent="0.3">
      <c r="F98" t="s">
        <v>788</v>
      </c>
      <c r="G98" t="s">
        <v>789</v>
      </c>
      <c r="H98" t="s">
        <v>790</v>
      </c>
    </row>
    <row r="99" spans="6:8" x14ac:dyDescent="0.3">
      <c r="F99" t="s">
        <v>791</v>
      </c>
      <c r="G99" t="s">
        <v>792</v>
      </c>
      <c r="H99" t="s">
        <v>793</v>
      </c>
    </row>
    <row r="100" spans="6:8" x14ac:dyDescent="0.3">
      <c r="F100" t="s">
        <v>794</v>
      </c>
      <c r="G100" t="s">
        <v>795</v>
      </c>
      <c r="H100" t="s">
        <v>796</v>
      </c>
    </row>
    <row r="101" spans="6:8" x14ac:dyDescent="0.3">
      <c r="F101" t="s">
        <v>797</v>
      </c>
      <c r="G101" t="s">
        <v>798</v>
      </c>
      <c r="H101" t="s">
        <v>1421</v>
      </c>
    </row>
    <row r="102" spans="6:8" x14ac:dyDescent="0.3">
      <c r="F102" t="s">
        <v>799</v>
      </c>
      <c r="G102" t="s">
        <v>800</v>
      </c>
      <c r="H102" t="s">
        <v>801</v>
      </c>
    </row>
    <row r="103" spans="6:8" x14ac:dyDescent="0.3">
      <c r="F103" t="s">
        <v>802</v>
      </c>
      <c r="G103" t="s">
        <v>803</v>
      </c>
      <c r="H103" t="s">
        <v>804</v>
      </c>
    </row>
    <row r="104" spans="6:8" x14ac:dyDescent="0.3">
      <c r="F104" t="s">
        <v>805</v>
      </c>
      <c r="G104" t="s">
        <v>806</v>
      </c>
      <c r="H104" t="s">
        <v>807</v>
      </c>
    </row>
    <row r="105" spans="6:8" x14ac:dyDescent="0.3">
      <c r="F105" t="s">
        <v>808</v>
      </c>
      <c r="G105" t="s">
        <v>809</v>
      </c>
      <c r="H105" t="s">
        <v>810</v>
      </c>
    </row>
    <row r="106" spans="6:8" x14ac:dyDescent="0.3">
      <c r="F106" t="s">
        <v>811</v>
      </c>
      <c r="G106" t="s">
        <v>812</v>
      </c>
      <c r="H106" t="s">
        <v>813</v>
      </c>
    </row>
    <row r="107" spans="6:8" x14ac:dyDescent="0.3">
      <c r="F107" t="s">
        <v>814</v>
      </c>
      <c r="G107" t="s">
        <v>815</v>
      </c>
      <c r="H107" t="s">
        <v>816</v>
      </c>
    </row>
    <row r="108" spans="6:8" x14ac:dyDescent="0.3">
      <c r="F108" t="s">
        <v>817</v>
      </c>
      <c r="G108" t="s">
        <v>818</v>
      </c>
      <c r="H108" t="s">
        <v>819</v>
      </c>
    </row>
    <row r="109" spans="6:8" x14ac:dyDescent="0.3">
      <c r="F109" t="s">
        <v>820</v>
      </c>
      <c r="G109" t="s">
        <v>821</v>
      </c>
      <c r="H109" t="s">
        <v>822</v>
      </c>
    </row>
    <row r="110" spans="6:8" x14ac:dyDescent="0.3">
      <c r="F110" t="s">
        <v>823</v>
      </c>
      <c r="G110" t="s">
        <v>824</v>
      </c>
      <c r="H110" t="s">
        <v>1422</v>
      </c>
    </row>
    <row r="111" spans="6:8" x14ac:dyDescent="0.3">
      <c r="F111" t="s">
        <v>825</v>
      </c>
      <c r="G111" t="s">
        <v>826</v>
      </c>
      <c r="H111" t="s">
        <v>827</v>
      </c>
    </row>
    <row r="112" spans="6:8" x14ac:dyDescent="0.3">
      <c r="F112" t="s">
        <v>828</v>
      </c>
      <c r="G112" t="s">
        <v>829</v>
      </c>
      <c r="H112" t="s">
        <v>830</v>
      </c>
    </row>
    <row r="113" spans="6:8" x14ac:dyDescent="0.3">
      <c r="F113" t="s">
        <v>831</v>
      </c>
      <c r="G113" t="s">
        <v>832</v>
      </c>
      <c r="H113" t="s">
        <v>833</v>
      </c>
    </row>
    <row r="114" spans="6:8" x14ac:dyDescent="0.3">
      <c r="F114" t="s">
        <v>834</v>
      </c>
      <c r="G114" t="s">
        <v>835</v>
      </c>
      <c r="H114" t="s">
        <v>836</v>
      </c>
    </row>
    <row r="115" spans="6:8" x14ac:dyDescent="0.3">
      <c r="F115" t="s">
        <v>837</v>
      </c>
      <c r="G115" t="s">
        <v>838</v>
      </c>
      <c r="H115" t="s">
        <v>839</v>
      </c>
    </row>
    <row r="116" spans="6:8" x14ac:dyDescent="0.3">
      <c r="F116" t="s">
        <v>840</v>
      </c>
      <c r="G116" t="s">
        <v>841</v>
      </c>
      <c r="H116" t="s">
        <v>842</v>
      </c>
    </row>
    <row r="117" spans="6:8" x14ac:dyDescent="0.3">
      <c r="F117" t="s">
        <v>843</v>
      </c>
      <c r="G117" t="s">
        <v>844</v>
      </c>
      <c r="H117" t="s">
        <v>845</v>
      </c>
    </row>
    <row r="118" spans="6:8" x14ac:dyDescent="0.3">
      <c r="F118" t="s">
        <v>846</v>
      </c>
      <c r="G118" t="s">
        <v>847</v>
      </c>
      <c r="H118" t="s">
        <v>848</v>
      </c>
    </row>
    <row r="119" spans="6:8" x14ac:dyDescent="0.3">
      <c r="F119" t="s">
        <v>849</v>
      </c>
      <c r="G119" t="s">
        <v>850</v>
      </c>
      <c r="H119" t="s">
        <v>851</v>
      </c>
    </row>
    <row r="120" spans="6:8" x14ac:dyDescent="0.3">
      <c r="F120" t="s">
        <v>852</v>
      </c>
      <c r="G120" t="s">
        <v>853</v>
      </c>
      <c r="H120" t="s">
        <v>854</v>
      </c>
    </row>
    <row r="121" spans="6:8" x14ac:dyDescent="0.3">
      <c r="F121" t="s">
        <v>855</v>
      </c>
      <c r="G121" t="s">
        <v>856</v>
      </c>
      <c r="H121" t="s">
        <v>857</v>
      </c>
    </row>
    <row r="122" spans="6:8" x14ac:dyDescent="0.3">
      <c r="F122" t="s">
        <v>858</v>
      </c>
      <c r="G122" t="s">
        <v>859</v>
      </c>
      <c r="H122" t="s">
        <v>860</v>
      </c>
    </row>
    <row r="123" spans="6:8" x14ac:dyDescent="0.3">
      <c r="F123" t="s">
        <v>861</v>
      </c>
      <c r="G123" t="s">
        <v>862</v>
      </c>
      <c r="H123" t="s">
        <v>863</v>
      </c>
    </row>
    <row r="124" spans="6:8" x14ac:dyDescent="0.3">
      <c r="F124" t="s">
        <v>864</v>
      </c>
      <c r="G124" t="s">
        <v>865</v>
      </c>
      <c r="H124" t="s">
        <v>866</v>
      </c>
    </row>
    <row r="125" spans="6:8" x14ac:dyDescent="0.3">
      <c r="F125" t="s">
        <v>867</v>
      </c>
      <c r="G125" t="s">
        <v>868</v>
      </c>
      <c r="H125" t="s">
        <v>869</v>
      </c>
    </row>
    <row r="126" spans="6:8" x14ac:dyDescent="0.3">
      <c r="F126" t="s">
        <v>870</v>
      </c>
      <c r="G126" t="s">
        <v>871</v>
      </c>
      <c r="H126" t="s">
        <v>872</v>
      </c>
    </row>
    <row r="127" spans="6:8" x14ac:dyDescent="0.3">
      <c r="F127" t="s">
        <v>873</v>
      </c>
      <c r="G127" t="s">
        <v>4</v>
      </c>
      <c r="H127" t="s">
        <v>4</v>
      </c>
    </row>
    <row r="128" spans="6:8" x14ac:dyDescent="0.3">
      <c r="F128" t="s">
        <v>874</v>
      </c>
      <c r="G128" t="s">
        <v>875</v>
      </c>
      <c r="H128" t="s">
        <v>876</v>
      </c>
    </row>
    <row r="129" spans="6:8" x14ac:dyDescent="0.3">
      <c r="F129" t="s">
        <v>877</v>
      </c>
      <c r="G129" t="s">
        <v>878</v>
      </c>
      <c r="H129" t="s">
        <v>879</v>
      </c>
    </row>
    <row r="130" spans="6:8" x14ac:dyDescent="0.3">
      <c r="F130" t="s">
        <v>60</v>
      </c>
      <c r="G130" t="s">
        <v>880</v>
      </c>
      <c r="H130" t="s">
        <v>881</v>
      </c>
    </row>
    <row r="131" spans="6:8" x14ac:dyDescent="0.3">
      <c r="F131" t="s">
        <v>882</v>
      </c>
      <c r="G131" t="s">
        <v>883</v>
      </c>
      <c r="H131" t="s">
        <v>884</v>
      </c>
    </row>
    <row r="132" spans="6:8" x14ac:dyDescent="0.3">
      <c r="F132" t="s">
        <v>885</v>
      </c>
      <c r="G132" t="s">
        <v>886</v>
      </c>
      <c r="H132" t="s">
        <v>887</v>
      </c>
    </row>
    <row r="133" spans="6:8" x14ac:dyDescent="0.3">
      <c r="F133" t="s">
        <v>888</v>
      </c>
      <c r="G133" t="s">
        <v>889</v>
      </c>
      <c r="H133" t="s">
        <v>890</v>
      </c>
    </row>
    <row r="134" spans="6:8" x14ac:dyDescent="0.3">
      <c r="F134" t="s">
        <v>891</v>
      </c>
      <c r="G134" t="s">
        <v>892</v>
      </c>
      <c r="H134" t="s">
        <v>893</v>
      </c>
    </row>
    <row r="135" spans="6:8" x14ac:dyDescent="0.3">
      <c r="F135" t="s">
        <v>894</v>
      </c>
      <c r="G135" t="s">
        <v>895</v>
      </c>
      <c r="H135" t="s">
        <v>895</v>
      </c>
    </row>
    <row r="136" spans="6:8" x14ac:dyDescent="0.3">
      <c r="F136" t="s">
        <v>896</v>
      </c>
      <c r="G136" t="s">
        <v>897</v>
      </c>
      <c r="H136" t="s">
        <v>898</v>
      </c>
    </row>
    <row r="137" spans="6:8" x14ac:dyDescent="0.3">
      <c r="F137" t="s">
        <v>899</v>
      </c>
      <c r="G137" t="s">
        <v>900</v>
      </c>
      <c r="H137" t="s">
        <v>901</v>
      </c>
    </row>
    <row r="138" spans="6:8" x14ac:dyDescent="0.3">
      <c r="F138" t="s">
        <v>902</v>
      </c>
      <c r="G138" t="s">
        <v>903</v>
      </c>
      <c r="H138" t="s">
        <v>904</v>
      </c>
    </row>
    <row r="139" spans="6:8" x14ac:dyDescent="0.3">
      <c r="F139" t="s">
        <v>58</v>
      </c>
      <c r="G139" t="s">
        <v>905</v>
      </c>
      <c r="H139" t="s">
        <v>906</v>
      </c>
    </row>
    <row r="140" spans="6:8" x14ac:dyDescent="0.3">
      <c r="F140" t="s">
        <v>907</v>
      </c>
      <c r="G140" t="s">
        <v>908</v>
      </c>
      <c r="H140" t="s">
        <v>909</v>
      </c>
    </row>
    <row r="141" spans="6:8" x14ac:dyDescent="0.3">
      <c r="F141" t="s">
        <v>910</v>
      </c>
      <c r="G141" t="s">
        <v>911</v>
      </c>
      <c r="H141" t="s">
        <v>912</v>
      </c>
    </row>
    <row r="142" spans="6:8" x14ac:dyDescent="0.3">
      <c r="F142" t="s">
        <v>913</v>
      </c>
      <c r="G142" t="s">
        <v>914</v>
      </c>
      <c r="H142" t="s">
        <v>915</v>
      </c>
    </row>
    <row r="143" spans="6:8" x14ac:dyDescent="0.3">
      <c r="F143" t="s">
        <v>916</v>
      </c>
      <c r="G143" t="s">
        <v>917</v>
      </c>
      <c r="H143" t="s">
        <v>918</v>
      </c>
    </row>
    <row r="144" spans="6:8" x14ac:dyDescent="0.3">
      <c r="F144" t="s">
        <v>919</v>
      </c>
      <c r="G144" t="s">
        <v>920</v>
      </c>
      <c r="H144" t="s">
        <v>921</v>
      </c>
    </row>
    <row r="145" spans="6:8" x14ac:dyDescent="0.3">
      <c r="F145" t="s">
        <v>922</v>
      </c>
      <c r="G145" t="s">
        <v>923</v>
      </c>
      <c r="H145" t="s">
        <v>924</v>
      </c>
    </row>
    <row r="146" spans="6:8" x14ac:dyDescent="0.3">
      <c r="F146" t="s">
        <v>925</v>
      </c>
      <c r="G146" t="s">
        <v>926</v>
      </c>
      <c r="H146" t="s">
        <v>927</v>
      </c>
    </row>
    <row r="147" spans="6:8" x14ac:dyDescent="0.3">
      <c r="F147" t="s">
        <v>928</v>
      </c>
      <c r="G147" t="s">
        <v>929</v>
      </c>
      <c r="H147" t="s">
        <v>930</v>
      </c>
    </row>
    <row r="148" spans="6:8" x14ac:dyDescent="0.3">
      <c r="F148" t="s">
        <v>931</v>
      </c>
      <c r="G148" t="s">
        <v>932</v>
      </c>
      <c r="H148" t="s">
        <v>933</v>
      </c>
    </row>
    <row r="149" spans="6:8" x14ac:dyDescent="0.3">
      <c r="F149" t="s">
        <v>934</v>
      </c>
      <c r="G149" t="s">
        <v>935</v>
      </c>
      <c r="H149" t="s">
        <v>936</v>
      </c>
    </row>
    <row r="150" spans="6:8" x14ac:dyDescent="0.3">
      <c r="F150" t="s">
        <v>937</v>
      </c>
      <c r="G150" t="s">
        <v>938</v>
      </c>
      <c r="H150" t="s">
        <v>939</v>
      </c>
    </row>
    <row r="151" spans="6:8" x14ac:dyDescent="0.3">
      <c r="F151" t="s">
        <v>940</v>
      </c>
      <c r="G151" t="s">
        <v>941</v>
      </c>
      <c r="H151" t="s">
        <v>942</v>
      </c>
    </row>
    <row r="152" spans="6:8" x14ac:dyDescent="0.3">
      <c r="F152" t="s">
        <v>943</v>
      </c>
      <c r="G152" t="s">
        <v>944</v>
      </c>
      <c r="H152" t="s">
        <v>945</v>
      </c>
    </row>
    <row r="153" spans="6:8" x14ac:dyDescent="0.3">
      <c r="F153" t="s">
        <v>946</v>
      </c>
      <c r="G153" t="s">
        <v>947</v>
      </c>
      <c r="H153" t="s">
        <v>948</v>
      </c>
    </row>
    <row r="154" spans="6:8" x14ac:dyDescent="0.3">
      <c r="F154" t="s">
        <v>949</v>
      </c>
      <c r="G154" t="s">
        <v>950</v>
      </c>
      <c r="H154" t="s">
        <v>951</v>
      </c>
    </row>
    <row r="155" spans="6:8" x14ac:dyDescent="0.3">
      <c r="F155" t="s">
        <v>952</v>
      </c>
      <c r="G155" t="s">
        <v>953</v>
      </c>
      <c r="H155" t="s">
        <v>954</v>
      </c>
    </row>
    <row r="156" spans="6:8" x14ac:dyDescent="0.3">
      <c r="F156" t="s">
        <v>955</v>
      </c>
      <c r="G156" t="s">
        <v>956</v>
      </c>
      <c r="H156" t="s">
        <v>957</v>
      </c>
    </row>
    <row r="157" spans="6:8" x14ac:dyDescent="0.3">
      <c r="F157" t="s">
        <v>958</v>
      </c>
      <c r="G157" t="s">
        <v>959</v>
      </c>
      <c r="H157" t="s">
        <v>960</v>
      </c>
    </row>
    <row r="158" spans="6:8" x14ac:dyDescent="0.3">
      <c r="F158" t="s">
        <v>961</v>
      </c>
      <c r="G158" t="s">
        <v>962</v>
      </c>
      <c r="H158" t="s">
        <v>963</v>
      </c>
    </row>
    <row r="159" spans="6:8" x14ac:dyDescent="0.3">
      <c r="F159" t="s">
        <v>964</v>
      </c>
      <c r="G159" t="s">
        <v>965</v>
      </c>
      <c r="H159" t="s">
        <v>966</v>
      </c>
    </row>
    <row r="160" spans="6:8" x14ac:dyDescent="0.3">
      <c r="F160" t="s">
        <v>967</v>
      </c>
      <c r="G160" t="s">
        <v>968</v>
      </c>
      <c r="H160" t="s">
        <v>969</v>
      </c>
    </row>
    <row r="161" spans="6:8" x14ac:dyDescent="0.3">
      <c r="F161" t="s">
        <v>970</v>
      </c>
      <c r="G161" t="s">
        <v>971</v>
      </c>
      <c r="H161" t="s">
        <v>972</v>
      </c>
    </row>
    <row r="162" spans="6:8" x14ac:dyDescent="0.3">
      <c r="F162" t="s">
        <v>973</v>
      </c>
      <c r="G162" t="s">
        <v>974</v>
      </c>
      <c r="H162" t="s">
        <v>975</v>
      </c>
    </row>
    <row r="163" spans="6:8" x14ac:dyDescent="0.3">
      <c r="F163" t="s">
        <v>976</v>
      </c>
      <c r="G163" t="s">
        <v>977</v>
      </c>
      <c r="H163" t="s">
        <v>978</v>
      </c>
    </row>
    <row r="164" spans="6:8" x14ac:dyDescent="0.3">
      <c r="F164" t="s">
        <v>365</v>
      </c>
      <c r="G164" t="s">
        <v>979</v>
      </c>
      <c r="H164" t="s">
        <v>980</v>
      </c>
    </row>
    <row r="165" spans="6:8" x14ac:dyDescent="0.3">
      <c r="F165" t="s">
        <v>981</v>
      </c>
      <c r="G165" t="s">
        <v>982</v>
      </c>
      <c r="H165" t="s">
        <v>983</v>
      </c>
    </row>
    <row r="166" spans="6:8" x14ac:dyDescent="0.3">
      <c r="F166" t="s">
        <v>984</v>
      </c>
      <c r="G166" t="s">
        <v>985</v>
      </c>
      <c r="H166" t="s">
        <v>986</v>
      </c>
    </row>
    <row r="167" spans="6:8" x14ac:dyDescent="0.3">
      <c r="F167" t="s">
        <v>987</v>
      </c>
      <c r="G167" t="s">
        <v>988</v>
      </c>
      <c r="H167" t="s">
        <v>989</v>
      </c>
    </row>
    <row r="168" spans="6:8" x14ac:dyDescent="0.3">
      <c r="F168" t="s">
        <v>990</v>
      </c>
      <c r="G168" t="s">
        <v>991</v>
      </c>
      <c r="H168" t="s">
        <v>992</v>
      </c>
    </row>
    <row r="169" spans="6:8" x14ac:dyDescent="0.3">
      <c r="F169" t="s">
        <v>993</v>
      </c>
      <c r="G169" t="s">
        <v>994</v>
      </c>
      <c r="H169" t="s">
        <v>995</v>
      </c>
    </row>
    <row r="170" spans="6:8" x14ac:dyDescent="0.3">
      <c r="F170" t="s">
        <v>996</v>
      </c>
      <c r="G170" t="s">
        <v>997</v>
      </c>
      <c r="H170" t="s">
        <v>998</v>
      </c>
    </row>
    <row r="171" spans="6:8" x14ac:dyDescent="0.3">
      <c r="F171" t="s">
        <v>999</v>
      </c>
      <c r="G171" t="s">
        <v>1000</v>
      </c>
      <c r="H171" t="s">
        <v>1001</v>
      </c>
    </row>
    <row r="172" spans="6:8" x14ac:dyDescent="0.3">
      <c r="F172" t="s">
        <v>1002</v>
      </c>
      <c r="G172" t="s">
        <v>1003</v>
      </c>
      <c r="H172" t="s">
        <v>1004</v>
      </c>
    </row>
    <row r="173" spans="6:8" x14ac:dyDescent="0.3">
      <c r="F173" t="s">
        <v>1005</v>
      </c>
      <c r="G173" t="s">
        <v>1006</v>
      </c>
      <c r="H173" t="s">
        <v>1007</v>
      </c>
    </row>
    <row r="174" spans="6:8" x14ac:dyDescent="0.3">
      <c r="F174" t="s">
        <v>1008</v>
      </c>
      <c r="G174" t="s">
        <v>1009</v>
      </c>
      <c r="H174" t="s">
        <v>1010</v>
      </c>
    </row>
    <row r="175" spans="6:8" x14ac:dyDescent="0.3">
      <c r="F175" t="s">
        <v>1011</v>
      </c>
      <c r="G175" t="s">
        <v>1012</v>
      </c>
      <c r="H175" t="s">
        <v>1013</v>
      </c>
    </row>
    <row r="176" spans="6:8" x14ac:dyDescent="0.3">
      <c r="F176" t="s">
        <v>1014</v>
      </c>
      <c r="G176" t="s">
        <v>1015</v>
      </c>
      <c r="H176" t="s">
        <v>1016</v>
      </c>
    </row>
    <row r="177" spans="6:8" x14ac:dyDescent="0.3">
      <c r="F177" t="s">
        <v>1017</v>
      </c>
      <c r="G177" t="s">
        <v>1018</v>
      </c>
      <c r="H177" t="s">
        <v>1019</v>
      </c>
    </row>
    <row r="178" spans="6:8" x14ac:dyDescent="0.3">
      <c r="F178" t="s">
        <v>1020</v>
      </c>
      <c r="G178" t="s">
        <v>1021</v>
      </c>
      <c r="H178" t="s">
        <v>1022</v>
      </c>
    </row>
    <row r="179" spans="6:8" x14ac:dyDescent="0.3">
      <c r="F179" t="s">
        <v>1023</v>
      </c>
      <c r="G179" t="s">
        <v>1024</v>
      </c>
      <c r="H179" t="s">
        <v>1025</v>
      </c>
    </row>
    <row r="180" spans="6:8" x14ac:dyDescent="0.3">
      <c r="F180" t="s">
        <v>1026</v>
      </c>
      <c r="G180" t="s">
        <v>1027</v>
      </c>
      <c r="H180" t="s">
        <v>1028</v>
      </c>
    </row>
    <row r="181" spans="6:8" x14ac:dyDescent="0.3">
      <c r="F181" t="s">
        <v>1029</v>
      </c>
      <c r="G181" t="s">
        <v>1030</v>
      </c>
      <c r="H181" t="s">
        <v>1031</v>
      </c>
    </row>
    <row r="182" spans="6:8" x14ac:dyDescent="0.3">
      <c r="F182" t="s">
        <v>1032</v>
      </c>
      <c r="G182" t="s">
        <v>1033</v>
      </c>
      <c r="H182" t="s">
        <v>1034</v>
      </c>
    </row>
    <row r="183" spans="6:8" x14ac:dyDescent="0.3">
      <c r="F183" t="s">
        <v>1035</v>
      </c>
      <c r="G183" t="s">
        <v>1036</v>
      </c>
      <c r="H183" t="s">
        <v>1037</v>
      </c>
    </row>
    <row r="184" spans="6:8" x14ac:dyDescent="0.3">
      <c r="F184" t="s">
        <v>1038</v>
      </c>
      <c r="G184" t="s">
        <v>1039</v>
      </c>
      <c r="H184" t="s">
        <v>1040</v>
      </c>
    </row>
    <row r="185" spans="6:8" x14ac:dyDescent="0.3">
      <c r="F185" t="s">
        <v>1041</v>
      </c>
      <c r="G185" t="s">
        <v>1042</v>
      </c>
      <c r="H185" t="s">
        <v>1043</v>
      </c>
    </row>
    <row r="186" spans="6:8" x14ac:dyDescent="0.3">
      <c r="F186" t="s">
        <v>1044</v>
      </c>
      <c r="G186" t="s">
        <v>1045</v>
      </c>
      <c r="H186" t="s">
        <v>1046</v>
      </c>
    </row>
    <row r="187" spans="6:8" x14ac:dyDescent="0.3">
      <c r="F187" t="s">
        <v>1047</v>
      </c>
      <c r="G187" t="s">
        <v>1048</v>
      </c>
      <c r="H187" t="s">
        <v>1049</v>
      </c>
    </row>
    <row r="188" spans="6:8" x14ac:dyDescent="0.3">
      <c r="F188" t="s">
        <v>1050</v>
      </c>
      <c r="G188" t="s">
        <v>1051</v>
      </c>
      <c r="H188" t="s">
        <v>1052</v>
      </c>
    </row>
    <row r="189" spans="6:8" x14ac:dyDescent="0.3">
      <c r="F189" t="s">
        <v>1053</v>
      </c>
      <c r="G189" t="s">
        <v>1054</v>
      </c>
      <c r="H189" t="s">
        <v>1055</v>
      </c>
    </row>
    <row r="190" spans="6:8" x14ac:dyDescent="0.3">
      <c r="F190" t="s">
        <v>1056</v>
      </c>
      <c r="G190" t="s">
        <v>1057</v>
      </c>
      <c r="H190" t="s">
        <v>1058</v>
      </c>
    </row>
    <row r="191" spans="6:8" x14ac:dyDescent="0.3">
      <c r="F191" t="s">
        <v>1059</v>
      </c>
      <c r="G191" t="s">
        <v>1060</v>
      </c>
      <c r="H191" t="s">
        <v>1061</v>
      </c>
    </row>
    <row r="192" spans="6:8" x14ac:dyDescent="0.3">
      <c r="F192" t="s">
        <v>1062</v>
      </c>
      <c r="G192" t="s">
        <v>1063</v>
      </c>
      <c r="H192" t="s">
        <v>1064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4" tint="0.59999389629810485"/>
  </sheetPr>
  <dimension ref="A1:G326"/>
  <sheetViews>
    <sheetView workbookViewId="0"/>
  </sheetViews>
  <sheetFormatPr defaultRowHeight="14.4" x14ac:dyDescent="0.3"/>
  <cols>
    <col min="1" max="1" width="16.5546875" bestFit="1" customWidth="1"/>
    <col min="2" max="2" width="9.6640625" customWidth="1"/>
    <col min="3" max="3" width="25.6640625" bestFit="1" customWidth="1"/>
    <col min="4" max="4" width="35.109375" bestFit="1" customWidth="1"/>
    <col min="6" max="6" width="74" style="95" customWidth="1"/>
    <col min="7" max="7" width="90" style="95" customWidth="1"/>
  </cols>
  <sheetData>
    <row r="1" spans="1:7" x14ac:dyDescent="0.3">
      <c r="A1" s="96" t="str">
        <f>_xll.MainReferenceFields("Bond")</f>
        <v>Код группы полей</v>
      </c>
      <c r="B1" s="96" t="s">
        <v>1423</v>
      </c>
      <c r="C1" s="96" t="s">
        <v>1070</v>
      </c>
      <c r="D1" s="96" t="s">
        <v>1071</v>
      </c>
      <c r="E1" s="96" t="s">
        <v>1424</v>
      </c>
      <c r="F1" s="97" t="s">
        <v>1072</v>
      </c>
      <c r="G1" s="97" t="s">
        <v>1073</v>
      </c>
    </row>
    <row r="2" spans="1:7" x14ac:dyDescent="0.3">
      <c r="A2" t="s">
        <v>1692</v>
      </c>
      <c r="C2" t="s">
        <v>1693</v>
      </c>
      <c r="D2" t="s">
        <v>1694</v>
      </c>
      <c r="F2" s="95" t="s">
        <v>1076</v>
      </c>
    </row>
    <row r="3" spans="1:7" x14ac:dyDescent="0.3">
      <c r="A3" t="s">
        <v>1692</v>
      </c>
      <c r="C3" t="s">
        <v>1695</v>
      </c>
      <c r="D3" t="s">
        <v>1696</v>
      </c>
      <c r="F3" s="95" t="s">
        <v>1077</v>
      </c>
    </row>
    <row r="4" spans="1:7" ht="28.8" x14ac:dyDescent="0.3">
      <c r="A4" t="s">
        <v>1692</v>
      </c>
      <c r="C4" t="s">
        <v>1699</v>
      </c>
      <c r="D4" t="s">
        <v>1700</v>
      </c>
      <c r="F4" s="95" t="s">
        <v>1078</v>
      </c>
      <c r="G4" s="95" t="s">
        <v>1079</v>
      </c>
    </row>
    <row r="5" spans="1:7" x14ac:dyDescent="0.3">
      <c r="A5" t="s">
        <v>1075</v>
      </c>
      <c r="B5" t="s">
        <v>1074</v>
      </c>
      <c r="C5" t="s">
        <v>1426</v>
      </c>
      <c r="D5" t="s">
        <v>1427</v>
      </c>
      <c r="F5" s="95" t="s">
        <v>1080</v>
      </c>
      <c r="G5" s="95" t="s">
        <v>1081</v>
      </c>
    </row>
    <row r="6" spans="1:7" x14ac:dyDescent="0.3">
      <c r="A6" t="s">
        <v>1075</v>
      </c>
      <c r="B6" t="s">
        <v>1074</v>
      </c>
      <c r="C6" t="s">
        <v>1429</v>
      </c>
      <c r="D6" t="s">
        <v>1430</v>
      </c>
      <c r="F6" s="95" t="s">
        <v>1082</v>
      </c>
      <c r="G6" s="95" t="s">
        <v>1083</v>
      </c>
    </row>
    <row r="7" spans="1:7" x14ac:dyDescent="0.3">
      <c r="A7" t="s">
        <v>1075</v>
      </c>
      <c r="B7" t="s">
        <v>1074</v>
      </c>
      <c r="C7" t="s">
        <v>1432</v>
      </c>
      <c r="D7" t="s">
        <v>1433</v>
      </c>
      <c r="F7" s="95" t="s">
        <v>1084</v>
      </c>
      <c r="G7" s="95" t="s">
        <v>1085</v>
      </c>
    </row>
    <row r="8" spans="1:7" ht="28.8" x14ac:dyDescent="0.3">
      <c r="A8" t="s">
        <v>1075</v>
      </c>
      <c r="B8" t="s">
        <v>1074</v>
      </c>
      <c r="C8" t="s">
        <v>1425</v>
      </c>
      <c r="D8" t="s">
        <v>1127</v>
      </c>
      <c r="F8" s="95" t="s">
        <v>1086</v>
      </c>
    </row>
    <row r="9" spans="1:7" x14ac:dyDescent="0.3">
      <c r="A9" t="s">
        <v>1075</v>
      </c>
      <c r="B9" t="s">
        <v>1074</v>
      </c>
      <c r="C9" t="s">
        <v>1434</v>
      </c>
      <c r="D9" t="s">
        <v>1103</v>
      </c>
      <c r="F9" s="95" t="s">
        <v>1087</v>
      </c>
    </row>
    <row r="10" spans="1:7" ht="28.8" x14ac:dyDescent="0.3">
      <c r="A10" t="s">
        <v>1075</v>
      </c>
      <c r="B10" t="s">
        <v>1074</v>
      </c>
      <c r="C10" t="s">
        <v>1431</v>
      </c>
      <c r="D10" t="s">
        <v>1106</v>
      </c>
      <c r="F10" s="95" t="s">
        <v>1088</v>
      </c>
    </row>
    <row r="11" spans="1:7" x14ac:dyDescent="0.3">
      <c r="A11" t="s">
        <v>1075</v>
      </c>
      <c r="B11" t="s">
        <v>1074</v>
      </c>
      <c r="C11" t="s">
        <v>1428</v>
      </c>
      <c r="D11" t="s">
        <v>2030</v>
      </c>
      <c r="F11" s="95" t="s">
        <v>1089</v>
      </c>
      <c r="G11" s="95" t="s">
        <v>1090</v>
      </c>
    </row>
    <row r="12" spans="1:7" x14ac:dyDescent="0.3">
      <c r="A12" t="s">
        <v>1075</v>
      </c>
      <c r="B12" t="s">
        <v>1447</v>
      </c>
      <c r="C12" t="s">
        <v>1456</v>
      </c>
      <c r="D12" t="s">
        <v>1084</v>
      </c>
      <c r="F12" s="95" t="s">
        <v>1091</v>
      </c>
    </row>
    <row r="13" spans="1:7" x14ac:dyDescent="0.3">
      <c r="A13" t="s">
        <v>1075</v>
      </c>
      <c r="B13" t="s">
        <v>1447</v>
      </c>
      <c r="C13" t="s">
        <v>1454</v>
      </c>
      <c r="D13" t="s">
        <v>1455</v>
      </c>
      <c r="F13" s="95" t="s">
        <v>1092</v>
      </c>
    </row>
    <row r="14" spans="1:7" x14ac:dyDescent="0.3">
      <c r="A14" t="s">
        <v>1075</v>
      </c>
      <c r="B14" t="s">
        <v>1447</v>
      </c>
      <c r="C14" t="s">
        <v>1448</v>
      </c>
      <c r="D14" t="s">
        <v>1449</v>
      </c>
      <c r="F14" s="95" t="s">
        <v>1093</v>
      </c>
    </row>
    <row r="15" spans="1:7" x14ac:dyDescent="0.3">
      <c r="A15" t="s">
        <v>1075</v>
      </c>
      <c r="B15" t="s">
        <v>1447</v>
      </c>
      <c r="C15" t="s">
        <v>1452</v>
      </c>
      <c r="D15" t="s">
        <v>1453</v>
      </c>
      <c r="F15" s="95" t="s">
        <v>1094</v>
      </c>
    </row>
    <row r="16" spans="1:7" x14ac:dyDescent="0.3">
      <c r="A16" t="s">
        <v>1075</v>
      </c>
      <c r="B16" t="s">
        <v>1447</v>
      </c>
      <c r="C16" t="s">
        <v>1450</v>
      </c>
      <c r="D16" t="s">
        <v>1451</v>
      </c>
      <c r="F16" s="95" t="s">
        <v>1095</v>
      </c>
    </row>
    <row r="17" spans="1:7" x14ac:dyDescent="0.3">
      <c r="A17" t="s">
        <v>1075</v>
      </c>
      <c r="B17" t="s">
        <v>1484</v>
      </c>
      <c r="C17" t="s">
        <v>1485</v>
      </c>
      <c r="D17" t="s">
        <v>1486</v>
      </c>
      <c r="F17" s="95" t="s">
        <v>1096</v>
      </c>
    </row>
    <row r="18" spans="1:7" x14ac:dyDescent="0.3">
      <c r="A18" t="s">
        <v>1104</v>
      </c>
      <c r="B18" t="s">
        <v>1503</v>
      </c>
      <c r="C18" t="s">
        <v>1508</v>
      </c>
      <c r="D18" t="s">
        <v>1509</v>
      </c>
      <c r="E18" t="s">
        <v>1510</v>
      </c>
      <c r="F18" s="95" t="s">
        <v>1097</v>
      </c>
    </row>
    <row r="19" spans="1:7" x14ac:dyDescent="0.3">
      <c r="A19" t="s">
        <v>1104</v>
      </c>
      <c r="B19" t="s">
        <v>1503</v>
      </c>
      <c r="C19" t="s">
        <v>1504</v>
      </c>
      <c r="D19" t="s">
        <v>1505</v>
      </c>
      <c r="F19" s="95" t="s">
        <v>1098</v>
      </c>
    </row>
    <row r="20" spans="1:7" x14ac:dyDescent="0.3">
      <c r="A20" t="s">
        <v>1104</v>
      </c>
      <c r="B20" t="s">
        <v>1503</v>
      </c>
      <c r="C20" t="s">
        <v>1506</v>
      </c>
      <c r="D20" t="s">
        <v>1507</v>
      </c>
      <c r="F20" s="95" t="s">
        <v>1099</v>
      </c>
    </row>
    <row r="21" spans="1:7" x14ac:dyDescent="0.3">
      <c r="A21" t="s">
        <v>1104</v>
      </c>
      <c r="B21" t="s">
        <v>802</v>
      </c>
      <c r="C21" t="s">
        <v>1530</v>
      </c>
      <c r="D21" t="s">
        <v>1531</v>
      </c>
      <c r="F21" s="95" t="s">
        <v>1100</v>
      </c>
    </row>
    <row r="22" spans="1:7" x14ac:dyDescent="0.3">
      <c r="A22" t="s">
        <v>1104</v>
      </c>
      <c r="B22" t="s">
        <v>802</v>
      </c>
      <c r="C22" t="s">
        <v>1528</v>
      </c>
      <c r="D22" t="s">
        <v>1529</v>
      </c>
      <c r="F22" s="95" t="s">
        <v>1101</v>
      </c>
    </row>
    <row r="23" spans="1:7" x14ac:dyDescent="0.3">
      <c r="A23" t="s">
        <v>1536</v>
      </c>
      <c r="B23" t="s">
        <v>1537</v>
      </c>
      <c r="C23" t="s">
        <v>1538</v>
      </c>
      <c r="D23" t="s">
        <v>1539</v>
      </c>
      <c r="F23" s="95" t="s">
        <v>1102</v>
      </c>
    </row>
    <row r="24" spans="1:7" x14ac:dyDescent="0.3">
      <c r="A24" t="s">
        <v>1536</v>
      </c>
      <c r="B24" t="s">
        <v>1537</v>
      </c>
      <c r="C24" t="s">
        <v>1540</v>
      </c>
      <c r="D24" t="s">
        <v>1541</v>
      </c>
      <c r="F24" s="95" t="s">
        <v>1103</v>
      </c>
    </row>
    <row r="25" spans="1:7" x14ac:dyDescent="0.3">
      <c r="A25" t="s">
        <v>1536</v>
      </c>
      <c r="B25" t="s">
        <v>1552</v>
      </c>
      <c r="C25" t="s">
        <v>1555</v>
      </c>
      <c r="D25" t="s">
        <v>1136</v>
      </c>
      <c r="F25" s="95" t="s">
        <v>1105</v>
      </c>
    </row>
    <row r="26" spans="1:7" x14ac:dyDescent="0.3">
      <c r="A26" t="s">
        <v>1536</v>
      </c>
      <c r="B26" t="s">
        <v>1552</v>
      </c>
      <c r="C26" t="s">
        <v>1553</v>
      </c>
      <c r="D26" t="s">
        <v>1554</v>
      </c>
      <c r="F26" s="95" t="s">
        <v>1106</v>
      </c>
    </row>
    <row r="27" spans="1:7" x14ac:dyDescent="0.3">
      <c r="A27" t="s">
        <v>1536</v>
      </c>
      <c r="B27" t="s">
        <v>391</v>
      </c>
      <c r="C27" t="s">
        <v>1560</v>
      </c>
      <c r="D27" t="s">
        <v>1147</v>
      </c>
      <c r="F27" s="95" t="s">
        <v>1107</v>
      </c>
    </row>
    <row r="28" spans="1:7" x14ac:dyDescent="0.3">
      <c r="A28" t="s">
        <v>1536</v>
      </c>
      <c r="B28" t="s">
        <v>391</v>
      </c>
      <c r="C28" t="s">
        <v>1562</v>
      </c>
      <c r="D28" t="s">
        <v>1157</v>
      </c>
      <c r="F28" s="95" t="s">
        <v>1108</v>
      </c>
      <c r="G28" s="95" t="s">
        <v>1109</v>
      </c>
    </row>
    <row r="29" spans="1:7" x14ac:dyDescent="0.3">
      <c r="A29" t="s">
        <v>1536</v>
      </c>
      <c r="B29" t="s">
        <v>391</v>
      </c>
      <c r="C29" t="s">
        <v>1561</v>
      </c>
      <c r="D29" t="s">
        <v>1162</v>
      </c>
      <c r="F29" s="95" t="s">
        <v>1110</v>
      </c>
    </row>
    <row r="30" spans="1:7" x14ac:dyDescent="0.3">
      <c r="A30" t="s">
        <v>1536</v>
      </c>
      <c r="B30" t="s">
        <v>1571</v>
      </c>
      <c r="C30" t="s">
        <v>1574</v>
      </c>
      <c r="D30" t="s">
        <v>1575</v>
      </c>
      <c r="F30" s="95" t="s">
        <v>1111</v>
      </c>
    </row>
    <row r="31" spans="1:7" x14ac:dyDescent="0.3">
      <c r="A31" t="s">
        <v>1536</v>
      </c>
      <c r="B31" t="s">
        <v>1571</v>
      </c>
      <c r="C31" t="s">
        <v>1572</v>
      </c>
      <c r="D31" t="s">
        <v>1573</v>
      </c>
      <c r="F31" s="95" t="s">
        <v>1112</v>
      </c>
    </row>
    <row r="32" spans="1:7" x14ac:dyDescent="0.3">
      <c r="A32" t="s">
        <v>1536</v>
      </c>
      <c r="B32" t="s">
        <v>1590</v>
      </c>
      <c r="C32" t="s">
        <v>1591</v>
      </c>
      <c r="D32" t="s">
        <v>1592</v>
      </c>
      <c r="F32" s="95" t="s">
        <v>1113</v>
      </c>
    </row>
    <row r="33" spans="1:7" ht="28.8" x14ac:dyDescent="0.3">
      <c r="A33" t="s">
        <v>1536</v>
      </c>
      <c r="B33" t="s">
        <v>1590</v>
      </c>
      <c r="C33" t="s">
        <v>382</v>
      </c>
      <c r="D33" t="s">
        <v>1213</v>
      </c>
      <c r="F33" s="95" t="s">
        <v>1114</v>
      </c>
      <c r="G33" s="95" t="s">
        <v>1115</v>
      </c>
    </row>
    <row r="34" spans="1:7" x14ac:dyDescent="0.3">
      <c r="A34" t="s">
        <v>1536</v>
      </c>
      <c r="B34" t="s">
        <v>1596</v>
      </c>
      <c r="C34" t="s">
        <v>1597</v>
      </c>
      <c r="D34" t="s">
        <v>1598</v>
      </c>
      <c r="F34" s="95" t="s">
        <v>1116</v>
      </c>
    </row>
    <row r="35" spans="1:7" x14ac:dyDescent="0.3">
      <c r="A35" t="s">
        <v>1536</v>
      </c>
      <c r="B35" t="s">
        <v>896</v>
      </c>
      <c r="C35" t="s">
        <v>1605</v>
      </c>
      <c r="D35" t="s">
        <v>1606</v>
      </c>
      <c r="F35" s="95" t="s">
        <v>1117</v>
      </c>
    </row>
    <row r="36" spans="1:7" x14ac:dyDescent="0.3">
      <c r="A36" t="s">
        <v>1536</v>
      </c>
      <c r="B36" t="s">
        <v>896</v>
      </c>
      <c r="C36" t="s">
        <v>1603</v>
      </c>
      <c r="D36" t="s">
        <v>1604</v>
      </c>
      <c r="F36" s="95" t="s">
        <v>1118</v>
      </c>
    </row>
    <row r="37" spans="1:7" x14ac:dyDescent="0.3">
      <c r="A37" t="s">
        <v>1627</v>
      </c>
      <c r="B37" t="s">
        <v>391</v>
      </c>
      <c r="C37" t="s">
        <v>1630</v>
      </c>
      <c r="D37" t="s">
        <v>1208</v>
      </c>
      <c r="F37" s="95" t="s">
        <v>1119</v>
      </c>
    </row>
    <row r="38" spans="1:7" x14ac:dyDescent="0.3">
      <c r="A38" t="s">
        <v>1627</v>
      </c>
      <c r="B38" t="s">
        <v>424</v>
      </c>
      <c r="C38" t="s">
        <v>1632</v>
      </c>
      <c r="D38" t="s">
        <v>1633</v>
      </c>
      <c r="F38" s="95" t="s">
        <v>1120</v>
      </c>
    </row>
    <row r="39" spans="1:7" x14ac:dyDescent="0.3">
      <c r="A39" t="s">
        <v>1627</v>
      </c>
      <c r="B39" t="s">
        <v>1645</v>
      </c>
      <c r="C39" t="s">
        <v>1646</v>
      </c>
      <c r="D39" t="s">
        <v>1188</v>
      </c>
      <c r="F39" s="95" t="s">
        <v>1121</v>
      </c>
    </row>
    <row r="40" spans="1:7" x14ac:dyDescent="0.3">
      <c r="A40" t="s">
        <v>1627</v>
      </c>
      <c r="B40" t="s">
        <v>1677</v>
      </c>
      <c r="C40" t="s">
        <v>1678</v>
      </c>
      <c r="D40" t="s">
        <v>1200</v>
      </c>
      <c r="F40" s="95" t="s">
        <v>1122</v>
      </c>
    </row>
    <row r="41" spans="1:7" x14ac:dyDescent="0.3">
      <c r="A41" t="s">
        <v>1627</v>
      </c>
      <c r="B41" t="s">
        <v>1677</v>
      </c>
      <c r="C41" t="s">
        <v>1679</v>
      </c>
      <c r="D41" t="s">
        <v>1203</v>
      </c>
      <c r="F41" s="95" t="s">
        <v>1123</v>
      </c>
    </row>
    <row r="42" spans="1:7" x14ac:dyDescent="0.3">
      <c r="A42" t="s">
        <v>1692</v>
      </c>
      <c r="C42" t="s">
        <v>1697</v>
      </c>
      <c r="D42" t="s">
        <v>1698</v>
      </c>
      <c r="F42" s="95" t="s">
        <v>1124</v>
      </c>
    </row>
    <row r="43" spans="1:7" x14ac:dyDescent="0.3">
      <c r="A43" t="s">
        <v>1715</v>
      </c>
      <c r="B43" t="s">
        <v>1716</v>
      </c>
      <c r="C43" t="s">
        <v>1717</v>
      </c>
      <c r="D43" t="s">
        <v>1171</v>
      </c>
      <c r="F43" s="95" t="s">
        <v>1125</v>
      </c>
    </row>
    <row r="44" spans="1:7" x14ac:dyDescent="0.3">
      <c r="A44" t="s">
        <v>1715</v>
      </c>
      <c r="B44" t="s">
        <v>1716</v>
      </c>
      <c r="C44" t="s">
        <v>1720</v>
      </c>
      <c r="D44" t="s">
        <v>1721</v>
      </c>
      <c r="F44" s="95" t="s">
        <v>1126</v>
      </c>
    </row>
    <row r="45" spans="1:7" ht="28.8" x14ac:dyDescent="0.3">
      <c r="A45" t="s">
        <v>1715</v>
      </c>
      <c r="B45" t="s">
        <v>1716</v>
      </c>
      <c r="C45" t="s">
        <v>1718</v>
      </c>
      <c r="D45" t="s">
        <v>1719</v>
      </c>
      <c r="F45" s="95" t="s">
        <v>1127</v>
      </c>
      <c r="G45" s="95" t="s">
        <v>1128</v>
      </c>
    </row>
    <row r="46" spans="1:7" x14ac:dyDescent="0.3">
      <c r="A46" t="s">
        <v>1715</v>
      </c>
      <c r="B46" t="s">
        <v>742</v>
      </c>
      <c r="C46" t="s">
        <v>1742</v>
      </c>
      <c r="D46" t="s">
        <v>1743</v>
      </c>
      <c r="F46" s="95" t="s">
        <v>1129</v>
      </c>
    </row>
    <row r="47" spans="1:7" x14ac:dyDescent="0.3">
      <c r="A47" t="s">
        <v>1715</v>
      </c>
      <c r="B47" t="s">
        <v>742</v>
      </c>
      <c r="C47" t="s">
        <v>1746</v>
      </c>
      <c r="D47" t="s">
        <v>1747</v>
      </c>
      <c r="F47" s="95" t="s">
        <v>1130</v>
      </c>
    </row>
    <row r="48" spans="1:7" x14ac:dyDescent="0.3">
      <c r="A48" t="s">
        <v>1715</v>
      </c>
      <c r="B48" t="s">
        <v>742</v>
      </c>
      <c r="C48" t="s">
        <v>1744</v>
      </c>
      <c r="D48" t="s">
        <v>1745</v>
      </c>
      <c r="F48" s="95" t="s">
        <v>1131</v>
      </c>
    </row>
    <row r="49" spans="1:7" x14ac:dyDescent="0.3">
      <c r="A49" t="s">
        <v>1843</v>
      </c>
      <c r="B49" t="s">
        <v>1844</v>
      </c>
      <c r="C49" t="s">
        <v>1845</v>
      </c>
      <c r="D49" t="s">
        <v>1846</v>
      </c>
      <c r="F49" s="95" t="s">
        <v>1132</v>
      </c>
    </row>
    <row r="50" spans="1:7" x14ac:dyDescent="0.3">
      <c r="A50" t="s">
        <v>1075</v>
      </c>
      <c r="B50" t="s">
        <v>1074</v>
      </c>
      <c r="C50" t="s">
        <v>1435</v>
      </c>
      <c r="D50" t="s">
        <v>1436</v>
      </c>
      <c r="F50" s="95" t="s">
        <v>1133</v>
      </c>
    </row>
    <row r="51" spans="1:7" x14ac:dyDescent="0.3">
      <c r="A51" t="s">
        <v>1075</v>
      </c>
      <c r="B51" t="s">
        <v>1074</v>
      </c>
      <c r="C51" t="s">
        <v>1437</v>
      </c>
      <c r="D51" t="s">
        <v>1438</v>
      </c>
      <c r="F51" s="95" t="s">
        <v>1134</v>
      </c>
      <c r="G51" s="95" t="s">
        <v>1135</v>
      </c>
    </row>
    <row r="52" spans="1:7" x14ac:dyDescent="0.3">
      <c r="A52" t="s">
        <v>1075</v>
      </c>
      <c r="B52" t="s">
        <v>1074</v>
      </c>
      <c r="C52" t="s">
        <v>1439</v>
      </c>
      <c r="D52" t="s">
        <v>1440</v>
      </c>
      <c r="F52" s="95" t="s">
        <v>1136</v>
      </c>
      <c r="G52" s="95" t="s">
        <v>1137</v>
      </c>
    </row>
    <row r="53" spans="1:7" x14ac:dyDescent="0.3">
      <c r="A53" t="s">
        <v>1075</v>
      </c>
      <c r="B53" t="s">
        <v>1074</v>
      </c>
      <c r="C53" t="s">
        <v>1441</v>
      </c>
      <c r="D53" t="s">
        <v>1099</v>
      </c>
      <c r="F53" s="95" t="s">
        <v>1138</v>
      </c>
    </row>
    <row r="54" spans="1:7" x14ac:dyDescent="0.3">
      <c r="A54" t="s">
        <v>1075</v>
      </c>
      <c r="B54" t="s">
        <v>1074</v>
      </c>
      <c r="C54" t="s">
        <v>1442</v>
      </c>
      <c r="D54" t="s">
        <v>1443</v>
      </c>
      <c r="F54" s="95" t="s">
        <v>1139</v>
      </c>
    </row>
    <row r="55" spans="1:7" x14ac:dyDescent="0.3">
      <c r="A55" t="s">
        <v>1075</v>
      </c>
      <c r="B55" t="s">
        <v>1074</v>
      </c>
      <c r="C55" t="s">
        <v>1232</v>
      </c>
      <c r="D55" t="s">
        <v>1233</v>
      </c>
      <c r="F55" s="95" t="s">
        <v>1140</v>
      </c>
    </row>
    <row r="56" spans="1:7" ht="43.2" x14ac:dyDescent="0.3">
      <c r="A56" t="s">
        <v>1075</v>
      </c>
      <c r="B56" t="s">
        <v>1074</v>
      </c>
      <c r="C56" t="s">
        <v>1226</v>
      </c>
      <c r="D56" t="s">
        <v>1444</v>
      </c>
      <c r="F56" s="95" t="s">
        <v>1141</v>
      </c>
      <c r="G56" s="95" t="s">
        <v>1142</v>
      </c>
    </row>
    <row r="57" spans="1:7" x14ac:dyDescent="0.3">
      <c r="A57" t="s">
        <v>1075</v>
      </c>
      <c r="B57" t="s">
        <v>1074</v>
      </c>
      <c r="C57" t="s">
        <v>1445</v>
      </c>
      <c r="D57" t="s">
        <v>1446</v>
      </c>
      <c r="F57" s="95" t="s">
        <v>1143</v>
      </c>
    </row>
    <row r="58" spans="1:7" x14ac:dyDescent="0.3">
      <c r="A58" t="s">
        <v>1075</v>
      </c>
      <c r="B58" t="s">
        <v>1447</v>
      </c>
      <c r="C58" t="s">
        <v>1457</v>
      </c>
      <c r="D58" t="s">
        <v>1132</v>
      </c>
      <c r="F58" s="95" t="s">
        <v>1144</v>
      </c>
      <c r="G58" s="95" t="s">
        <v>1145</v>
      </c>
    </row>
    <row r="59" spans="1:7" x14ac:dyDescent="0.3">
      <c r="A59" t="s">
        <v>1075</v>
      </c>
      <c r="B59" t="s">
        <v>1447</v>
      </c>
      <c r="C59" t="s">
        <v>1458</v>
      </c>
      <c r="D59" t="s">
        <v>1459</v>
      </c>
      <c r="F59" s="95" t="s">
        <v>1146</v>
      </c>
    </row>
    <row r="60" spans="1:7" x14ac:dyDescent="0.3">
      <c r="A60" t="s">
        <v>1075</v>
      </c>
      <c r="B60" t="s">
        <v>1447</v>
      </c>
      <c r="C60" t="s">
        <v>1460</v>
      </c>
      <c r="D60" t="s">
        <v>1461</v>
      </c>
      <c r="F60" s="95" t="s">
        <v>1147</v>
      </c>
    </row>
    <row r="61" spans="1:7" x14ac:dyDescent="0.3">
      <c r="A61" t="s">
        <v>1075</v>
      </c>
      <c r="B61" t="s">
        <v>1447</v>
      </c>
      <c r="C61" t="s">
        <v>1462</v>
      </c>
      <c r="D61" t="s">
        <v>1463</v>
      </c>
      <c r="F61" s="95" t="s">
        <v>1148</v>
      </c>
    </row>
    <row r="62" spans="1:7" x14ac:dyDescent="0.3">
      <c r="A62" t="s">
        <v>1075</v>
      </c>
      <c r="B62" t="s">
        <v>1447</v>
      </c>
      <c r="C62" t="s">
        <v>1464</v>
      </c>
      <c r="D62" t="s">
        <v>1465</v>
      </c>
      <c r="F62" s="95" t="s">
        <v>1149</v>
      </c>
    </row>
    <row r="63" spans="1:7" x14ac:dyDescent="0.3">
      <c r="A63" t="s">
        <v>1075</v>
      </c>
      <c r="B63" t="s">
        <v>1447</v>
      </c>
      <c r="C63" t="s">
        <v>1466</v>
      </c>
      <c r="D63" t="s">
        <v>1467</v>
      </c>
      <c r="F63" s="95" t="s">
        <v>1150</v>
      </c>
    </row>
    <row r="64" spans="1:7" x14ac:dyDescent="0.3">
      <c r="A64" t="s">
        <v>1075</v>
      </c>
      <c r="B64" t="s">
        <v>1447</v>
      </c>
      <c r="C64" t="s">
        <v>1468</v>
      </c>
      <c r="D64" t="s">
        <v>1469</v>
      </c>
      <c r="F64" s="95" t="s">
        <v>1151</v>
      </c>
    </row>
    <row r="65" spans="1:7" ht="28.8" x14ac:dyDescent="0.3">
      <c r="A65" t="s">
        <v>1075</v>
      </c>
      <c r="B65" t="s">
        <v>1447</v>
      </c>
      <c r="C65" t="s">
        <v>1470</v>
      </c>
      <c r="D65" t="s">
        <v>1093</v>
      </c>
      <c r="F65" s="95" t="s">
        <v>1114</v>
      </c>
      <c r="G65" s="95" t="s">
        <v>1115</v>
      </c>
    </row>
    <row r="66" spans="1:7" x14ac:dyDescent="0.3">
      <c r="A66" t="s">
        <v>1075</v>
      </c>
      <c r="B66" t="s">
        <v>1447</v>
      </c>
      <c r="C66" t="s">
        <v>1471</v>
      </c>
      <c r="D66" t="s">
        <v>1472</v>
      </c>
      <c r="F66" s="95" t="s">
        <v>1152</v>
      </c>
    </row>
    <row r="67" spans="1:7" x14ac:dyDescent="0.3">
      <c r="A67" t="s">
        <v>1075</v>
      </c>
      <c r="B67" t="s">
        <v>1447</v>
      </c>
      <c r="C67" t="s">
        <v>1473</v>
      </c>
      <c r="D67" t="s">
        <v>1183</v>
      </c>
      <c r="F67" s="95" t="s">
        <v>1153</v>
      </c>
    </row>
    <row r="68" spans="1:7" x14ac:dyDescent="0.3">
      <c r="A68" t="s">
        <v>1075</v>
      </c>
      <c r="B68" t="s">
        <v>1447</v>
      </c>
      <c r="C68" t="s">
        <v>1474</v>
      </c>
      <c r="D68" t="s">
        <v>1182</v>
      </c>
      <c r="F68" s="95" t="s">
        <v>1154</v>
      </c>
      <c r="G68" s="95" t="s">
        <v>1155</v>
      </c>
    </row>
    <row r="69" spans="1:7" ht="28.8" x14ac:dyDescent="0.3">
      <c r="A69" t="s">
        <v>1075</v>
      </c>
      <c r="B69" t="s">
        <v>1447</v>
      </c>
      <c r="C69" t="s">
        <v>1475</v>
      </c>
      <c r="D69" t="s">
        <v>1476</v>
      </c>
      <c r="F69" s="95" t="s">
        <v>1114</v>
      </c>
      <c r="G69" s="95" t="s">
        <v>1115</v>
      </c>
    </row>
    <row r="70" spans="1:7" x14ac:dyDescent="0.3">
      <c r="A70" t="s">
        <v>1075</v>
      </c>
      <c r="B70" t="s">
        <v>1447</v>
      </c>
      <c r="C70" t="s">
        <v>2031</v>
      </c>
      <c r="D70" t="s">
        <v>2032</v>
      </c>
      <c r="F70" s="95" t="s">
        <v>1156</v>
      </c>
    </row>
    <row r="71" spans="1:7" x14ac:dyDescent="0.3">
      <c r="A71" t="s">
        <v>1075</v>
      </c>
      <c r="B71" t="s">
        <v>1447</v>
      </c>
      <c r="C71" t="s">
        <v>2033</v>
      </c>
      <c r="D71" t="s">
        <v>2034</v>
      </c>
      <c r="F71" s="95" t="s">
        <v>1157</v>
      </c>
    </row>
    <row r="72" spans="1:7" ht="28.8" x14ac:dyDescent="0.3">
      <c r="A72" t="s">
        <v>1075</v>
      </c>
      <c r="B72" t="s">
        <v>1477</v>
      </c>
      <c r="C72" t="s">
        <v>1478</v>
      </c>
      <c r="D72" t="s">
        <v>1479</v>
      </c>
      <c r="F72" s="95" t="s">
        <v>1114</v>
      </c>
      <c r="G72" s="95" t="s">
        <v>1115</v>
      </c>
    </row>
    <row r="73" spans="1:7" x14ac:dyDescent="0.3">
      <c r="A73" t="s">
        <v>1075</v>
      </c>
      <c r="B73" t="s">
        <v>1477</v>
      </c>
      <c r="C73" t="s">
        <v>1480</v>
      </c>
      <c r="D73" t="s">
        <v>1481</v>
      </c>
      <c r="F73" s="95" t="s">
        <v>1158</v>
      </c>
    </row>
    <row r="74" spans="1:7" x14ac:dyDescent="0.3">
      <c r="A74" t="s">
        <v>1075</v>
      </c>
      <c r="B74" t="s">
        <v>1477</v>
      </c>
      <c r="C74" t="s">
        <v>1482</v>
      </c>
      <c r="D74" t="s">
        <v>1483</v>
      </c>
      <c r="F74" s="95" t="s">
        <v>1159</v>
      </c>
      <c r="G74" s="95" t="s">
        <v>1160</v>
      </c>
    </row>
    <row r="75" spans="1:7" ht="28.8" x14ac:dyDescent="0.3">
      <c r="A75" t="s">
        <v>1075</v>
      </c>
      <c r="B75" t="s">
        <v>1484</v>
      </c>
      <c r="C75" t="s">
        <v>1487</v>
      </c>
      <c r="D75" t="s">
        <v>2035</v>
      </c>
      <c r="F75" s="95" t="s">
        <v>1161</v>
      </c>
    </row>
    <row r="76" spans="1:7" x14ac:dyDescent="0.3">
      <c r="A76" t="s">
        <v>1075</v>
      </c>
      <c r="B76" t="s">
        <v>873</v>
      </c>
      <c r="C76" t="s">
        <v>1488</v>
      </c>
      <c r="D76" t="s">
        <v>1238</v>
      </c>
      <c r="F76" s="95" t="s">
        <v>2</v>
      </c>
    </row>
    <row r="77" spans="1:7" x14ac:dyDescent="0.3">
      <c r="A77" t="s">
        <v>1075</v>
      </c>
      <c r="B77" t="s">
        <v>873</v>
      </c>
      <c r="C77" t="s">
        <v>1239</v>
      </c>
      <c r="D77" t="s">
        <v>1240</v>
      </c>
      <c r="F77" s="95" t="s">
        <v>1162</v>
      </c>
    </row>
    <row r="78" spans="1:7" x14ac:dyDescent="0.3">
      <c r="A78" t="s">
        <v>1075</v>
      </c>
      <c r="B78" t="s">
        <v>1489</v>
      </c>
      <c r="C78" t="s">
        <v>1490</v>
      </c>
      <c r="D78" t="s">
        <v>1491</v>
      </c>
      <c r="F78" s="95" t="s">
        <v>1163</v>
      </c>
      <c r="G78" s="95" t="s">
        <v>1164</v>
      </c>
    </row>
    <row r="79" spans="1:7" x14ac:dyDescent="0.3">
      <c r="A79" t="s">
        <v>1075</v>
      </c>
      <c r="B79" t="s">
        <v>1489</v>
      </c>
      <c r="C79" t="s">
        <v>1492</v>
      </c>
      <c r="D79" t="s">
        <v>1493</v>
      </c>
      <c r="F79" s="95" t="s">
        <v>1165</v>
      </c>
    </row>
    <row r="80" spans="1:7" x14ac:dyDescent="0.3">
      <c r="A80" t="s">
        <v>1075</v>
      </c>
      <c r="B80" t="s">
        <v>1489</v>
      </c>
      <c r="C80" t="s">
        <v>1494</v>
      </c>
      <c r="D80" t="s">
        <v>1495</v>
      </c>
      <c r="F80" s="95" t="s">
        <v>1166</v>
      </c>
      <c r="G80" s="95" t="s">
        <v>1167</v>
      </c>
    </row>
    <row r="81" spans="1:7" x14ac:dyDescent="0.3">
      <c r="A81" t="s">
        <v>1104</v>
      </c>
      <c r="B81" t="s">
        <v>1496</v>
      </c>
      <c r="C81" t="s">
        <v>1497</v>
      </c>
      <c r="D81" t="s">
        <v>1498</v>
      </c>
      <c r="F81" s="95" t="s">
        <v>1168</v>
      </c>
    </row>
    <row r="82" spans="1:7" x14ac:dyDescent="0.3">
      <c r="A82" t="s">
        <v>1104</v>
      </c>
      <c r="B82" t="s">
        <v>1496</v>
      </c>
      <c r="C82" t="s">
        <v>1222</v>
      </c>
      <c r="D82" t="s">
        <v>1223</v>
      </c>
      <c r="F82" s="95" t="s">
        <v>1169</v>
      </c>
      <c r="G82" s="95" t="s">
        <v>1170</v>
      </c>
    </row>
    <row r="83" spans="1:7" x14ac:dyDescent="0.3">
      <c r="A83" t="s">
        <v>1104</v>
      </c>
      <c r="B83" t="s">
        <v>1496</v>
      </c>
      <c r="C83" t="s">
        <v>1499</v>
      </c>
      <c r="D83" t="s">
        <v>1500</v>
      </c>
      <c r="F83" s="95" t="s">
        <v>1171</v>
      </c>
    </row>
    <row r="84" spans="1:7" x14ac:dyDescent="0.3">
      <c r="A84" t="s">
        <v>1104</v>
      </c>
      <c r="B84" t="s">
        <v>1496</v>
      </c>
      <c r="C84" t="s">
        <v>1501</v>
      </c>
      <c r="D84" t="s">
        <v>1502</v>
      </c>
      <c r="F84" s="95" t="s">
        <v>1172</v>
      </c>
    </row>
    <row r="85" spans="1:7" x14ac:dyDescent="0.3">
      <c r="A85" t="s">
        <v>1104</v>
      </c>
      <c r="B85" t="s">
        <v>1503</v>
      </c>
      <c r="C85" t="s">
        <v>1511</v>
      </c>
      <c r="D85" t="s">
        <v>1512</v>
      </c>
      <c r="F85" s="95" t="s">
        <v>1173</v>
      </c>
    </row>
    <row r="86" spans="1:7" x14ac:dyDescent="0.3">
      <c r="A86" t="s">
        <v>1104</v>
      </c>
      <c r="B86" t="s">
        <v>1503</v>
      </c>
      <c r="C86" t="s">
        <v>1513</v>
      </c>
      <c r="D86" t="s">
        <v>1514</v>
      </c>
      <c r="F86" s="95" t="s">
        <v>1174</v>
      </c>
    </row>
    <row r="87" spans="1:7" x14ac:dyDescent="0.3">
      <c r="A87" t="s">
        <v>1104</v>
      </c>
      <c r="B87" t="s">
        <v>1503</v>
      </c>
      <c r="C87" t="s">
        <v>1515</v>
      </c>
      <c r="D87" t="s">
        <v>1516</v>
      </c>
      <c r="F87" s="95" t="s">
        <v>1175</v>
      </c>
    </row>
    <row r="88" spans="1:7" x14ac:dyDescent="0.3">
      <c r="A88" t="s">
        <v>1104</v>
      </c>
      <c r="B88" t="s">
        <v>1503</v>
      </c>
      <c r="C88" t="s">
        <v>1517</v>
      </c>
      <c r="D88" t="s">
        <v>1518</v>
      </c>
      <c r="F88" s="95" t="s">
        <v>1176</v>
      </c>
      <c r="G88" s="95" t="s">
        <v>1177</v>
      </c>
    </row>
    <row r="89" spans="1:7" x14ac:dyDescent="0.3">
      <c r="A89" t="s">
        <v>1104</v>
      </c>
      <c r="B89" t="s">
        <v>1503</v>
      </c>
      <c r="C89" t="s">
        <v>1519</v>
      </c>
      <c r="D89" t="s">
        <v>1520</v>
      </c>
      <c r="F89" s="95" t="s">
        <v>1178</v>
      </c>
    </row>
    <row r="90" spans="1:7" x14ac:dyDescent="0.3">
      <c r="A90" t="s">
        <v>1104</v>
      </c>
      <c r="B90" t="s">
        <v>1503</v>
      </c>
      <c r="C90" t="s">
        <v>1521</v>
      </c>
      <c r="D90" t="s">
        <v>1522</v>
      </c>
      <c r="F90" s="95" t="s">
        <v>1179</v>
      </c>
    </row>
    <row r="91" spans="1:7" x14ac:dyDescent="0.3">
      <c r="A91" t="s">
        <v>1104</v>
      </c>
      <c r="B91" t="s">
        <v>1503</v>
      </c>
      <c r="C91" t="s">
        <v>1523</v>
      </c>
      <c r="D91" t="s">
        <v>1112</v>
      </c>
      <c r="F91" s="95" t="s">
        <v>1180</v>
      </c>
    </row>
    <row r="92" spans="1:7" ht="28.8" x14ac:dyDescent="0.3">
      <c r="A92" t="s">
        <v>1104</v>
      </c>
      <c r="B92" t="s">
        <v>1503</v>
      </c>
      <c r="C92" t="s">
        <v>1524</v>
      </c>
      <c r="D92" t="s">
        <v>1525</v>
      </c>
      <c r="F92" s="95" t="s">
        <v>1114</v>
      </c>
      <c r="G92" s="95" t="s">
        <v>1115</v>
      </c>
    </row>
    <row r="93" spans="1:7" ht="28.8" x14ac:dyDescent="0.3">
      <c r="A93" t="s">
        <v>1104</v>
      </c>
      <c r="B93" t="s">
        <v>1503</v>
      </c>
      <c r="C93" t="s">
        <v>1526</v>
      </c>
      <c r="D93" t="s">
        <v>1527</v>
      </c>
      <c r="F93" s="95" t="s">
        <v>1181</v>
      </c>
    </row>
    <row r="94" spans="1:7" x14ac:dyDescent="0.3">
      <c r="A94" t="s">
        <v>1104</v>
      </c>
      <c r="B94" t="s">
        <v>802</v>
      </c>
      <c r="C94" t="s">
        <v>1532</v>
      </c>
      <c r="D94" t="s">
        <v>1533</v>
      </c>
      <c r="F94" s="95" t="s">
        <v>1182</v>
      </c>
    </row>
    <row r="95" spans="1:7" x14ac:dyDescent="0.3">
      <c r="A95" t="s">
        <v>1104</v>
      </c>
      <c r="B95" t="s">
        <v>802</v>
      </c>
      <c r="C95" t="s">
        <v>1224</v>
      </c>
      <c r="D95" t="s">
        <v>1225</v>
      </c>
      <c r="F95" s="95" t="s">
        <v>1183</v>
      </c>
    </row>
    <row r="96" spans="1:7" x14ac:dyDescent="0.3">
      <c r="A96" t="s">
        <v>1104</v>
      </c>
      <c r="B96" t="s">
        <v>802</v>
      </c>
      <c r="C96" t="s">
        <v>1534</v>
      </c>
      <c r="D96" t="s">
        <v>1535</v>
      </c>
      <c r="F96" s="95" t="s">
        <v>1184</v>
      </c>
    </row>
    <row r="97" spans="1:7" x14ac:dyDescent="0.3">
      <c r="A97" t="s">
        <v>1536</v>
      </c>
      <c r="B97" t="s">
        <v>1537</v>
      </c>
      <c r="C97" t="s">
        <v>1542</v>
      </c>
      <c r="D97" t="s">
        <v>1543</v>
      </c>
      <c r="F97" s="95" t="s">
        <v>1185</v>
      </c>
    </row>
    <row r="98" spans="1:7" x14ac:dyDescent="0.3">
      <c r="A98" t="s">
        <v>1536</v>
      </c>
      <c r="B98" t="s">
        <v>1537</v>
      </c>
      <c r="C98" t="s">
        <v>1544</v>
      </c>
      <c r="D98" t="s">
        <v>1545</v>
      </c>
      <c r="F98" s="95" t="s">
        <v>1187</v>
      </c>
    </row>
    <row r="99" spans="1:7" ht="28.8" x14ac:dyDescent="0.3">
      <c r="A99" t="s">
        <v>1536</v>
      </c>
      <c r="B99" t="s">
        <v>1537</v>
      </c>
      <c r="C99" t="s">
        <v>1546</v>
      </c>
      <c r="D99" t="s">
        <v>1547</v>
      </c>
      <c r="F99" s="95" t="s">
        <v>1114</v>
      </c>
      <c r="G99" s="95" t="s">
        <v>1115</v>
      </c>
    </row>
    <row r="100" spans="1:7" x14ac:dyDescent="0.3">
      <c r="A100" t="s">
        <v>1536</v>
      </c>
      <c r="B100" t="s">
        <v>1537</v>
      </c>
      <c r="C100" t="s">
        <v>1548</v>
      </c>
      <c r="D100" t="s">
        <v>1549</v>
      </c>
      <c r="F100" s="95" t="s">
        <v>1187</v>
      </c>
    </row>
    <row r="101" spans="1:7" x14ac:dyDescent="0.3">
      <c r="A101" t="s">
        <v>1536</v>
      </c>
      <c r="B101" t="s">
        <v>1537</v>
      </c>
      <c r="C101" t="s">
        <v>1550</v>
      </c>
      <c r="D101" t="s">
        <v>1143</v>
      </c>
      <c r="F101" s="95" t="s">
        <v>1188</v>
      </c>
    </row>
    <row r="102" spans="1:7" ht="28.8" x14ac:dyDescent="0.3">
      <c r="A102" t="s">
        <v>1536</v>
      </c>
      <c r="B102" t="s">
        <v>1537</v>
      </c>
      <c r="C102" t="s">
        <v>1551</v>
      </c>
      <c r="D102" t="s">
        <v>1161</v>
      </c>
      <c r="F102" s="95" t="s">
        <v>1114</v>
      </c>
      <c r="G102" s="95" t="s">
        <v>1115</v>
      </c>
    </row>
    <row r="103" spans="1:7" x14ac:dyDescent="0.3">
      <c r="A103" t="s">
        <v>1536</v>
      </c>
      <c r="B103" t="s">
        <v>1537</v>
      </c>
      <c r="C103" t="s">
        <v>1964</v>
      </c>
      <c r="D103" t="s">
        <v>1965</v>
      </c>
      <c r="F103" s="95" t="s">
        <v>1188</v>
      </c>
    </row>
    <row r="104" spans="1:7" x14ac:dyDescent="0.3">
      <c r="A104" t="s">
        <v>1536</v>
      </c>
      <c r="B104" t="s">
        <v>1552</v>
      </c>
      <c r="C104" t="s">
        <v>1556</v>
      </c>
      <c r="D104" t="s">
        <v>1133</v>
      </c>
      <c r="F104" s="95" t="s">
        <v>1189</v>
      </c>
    </row>
    <row r="105" spans="1:7" x14ac:dyDescent="0.3">
      <c r="A105" t="s">
        <v>1536</v>
      </c>
      <c r="B105" t="s">
        <v>1552</v>
      </c>
      <c r="C105" t="s">
        <v>1557</v>
      </c>
      <c r="D105" t="s">
        <v>1138</v>
      </c>
      <c r="F105" s="95" t="s">
        <v>1190</v>
      </c>
    </row>
    <row r="106" spans="1:7" x14ac:dyDescent="0.3">
      <c r="A106" t="s">
        <v>1536</v>
      </c>
      <c r="B106" t="s">
        <v>1552</v>
      </c>
      <c r="C106" t="s">
        <v>1558</v>
      </c>
      <c r="D106" t="s">
        <v>1559</v>
      </c>
      <c r="F106" s="95" t="s">
        <v>1191</v>
      </c>
    </row>
    <row r="107" spans="1:7" ht="28.8" x14ac:dyDescent="0.3">
      <c r="A107" t="s">
        <v>1536</v>
      </c>
      <c r="B107" t="s">
        <v>391</v>
      </c>
      <c r="C107" t="s">
        <v>1563</v>
      </c>
      <c r="D107" t="s">
        <v>1564</v>
      </c>
      <c r="F107" s="95" t="s">
        <v>1114</v>
      </c>
      <c r="G107" s="95" t="s">
        <v>1115</v>
      </c>
    </row>
    <row r="108" spans="1:7" x14ac:dyDescent="0.3">
      <c r="A108" t="s">
        <v>1536</v>
      </c>
      <c r="B108" t="s">
        <v>391</v>
      </c>
      <c r="C108" t="s">
        <v>1565</v>
      </c>
      <c r="D108" t="s">
        <v>1566</v>
      </c>
      <c r="F108" s="95" t="s">
        <v>1192</v>
      </c>
    </row>
    <row r="109" spans="1:7" x14ac:dyDescent="0.3">
      <c r="A109" t="s">
        <v>1536</v>
      </c>
      <c r="B109" t="s">
        <v>391</v>
      </c>
      <c r="C109" t="s">
        <v>1567</v>
      </c>
      <c r="D109" t="s">
        <v>1568</v>
      </c>
      <c r="F109" s="95" t="s">
        <v>1193</v>
      </c>
    </row>
    <row r="110" spans="1:7" ht="28.8" x14ac:dyDescent="0.3">
      <c r="A110" t="s">
        <v>1536</v>
      </c>
      <c r="B110" t="s">
        <v>391</v>
      </c>
      <c r="C110" t="s">
        <v>1236</v>
      </c>
      <c r="D110" t="s">
        <v>1569</v>
      </c>
      <c r="F110" s="95" t="s">
        <v>1194</v>
      </c>
    </row>
    <row r="111" spans="1:7" ht="28.8" x14ac:dyDescent="0.3">
      <c r="A111" t="s">
        <v>1536</v>
      </c>
      <c r="B111" t="s">
        <v>391</v>
      </c>
      <c r="C111" t="s">
        <v>1220</v>
      </c>
      <c r="D111" t="s">
        <v>1221</v>
      </c>
      <c r="F111" s="95" t="s">
        <v>1114</v>
      </c>
      <c r="G111" s="95" t="s">
        <v>1115</v>
      </c>
    </row>
    <row r="112" spans="1:7" x14ac:dyDescent="0.3">
      <c r="A112" t="s">
        <v>1536</v>
      </c>
      <c r="B112" t="s">
        <v>391</v>
      </c>
      <c r="C112" t="s">
        <v>421</v>
      </c>
      <c r="D112" t="s">
        <v>1570</v>
      </c>
      <c r="F112" s="95" t="s">
        <v>1195</v>
      </c>
    </row>
    <row r="113" spans="1:7" x14ac:dyDescent="0.3">
      <c r="A113" t="s">
        <v>1536</v>
      </c>
      <c r="B113" t="s">
        <v>1571</v>
      </c>
      <c r="C113" t="s">
        <v>1576</v>
      </c>
      <c r="D113" t="s">
        <v>1577</v>
      </c>
      <c r="F113" s="95" t="s">
        <v>1196</v>
      </c>
    </row>
    <row r="114" spans="1:7" x14ac:dyDescent="0.3">
      <c r="A114" t="s">
        <v>1536</v>
      </c>
      <c r="B114" t="s">
        <v>1571</v>
      </c>
      <c r="C114" t="s">
        <v>1578</v>
      </c>
      <c r="D114" t="s">
        <v>1579</v>
      </c>
      <c r="F114" s="95" t="s">
        <v>1197</v>
      </c>
    </row>
    <row r="115" spans="1:7" ht="28.8" x14ac:dyDescent="0.3">
      <c r="A115" t="s">
        <v>1536</v>
      </c>
      <c r="B115" t="s">
        <v>1571</v>
      </c>
      <c r="C115" t="s">
        <v>1580</v>
      </c>
      <c r="D115" t="s">
        <v>1581</v>
      </c>
      <c r="F115" s="95" t="s">
        <v>1114</v>
      </c>
      <c r="G115" s="95" t="s">
        <v>1115</v>
      </c>
    </row>
    <row r="116" spans="1:7" x14ac:dyDescent="0.3">
      <c r="A116" t="s">
        <v>1536</v>
      </c>
      <c r="B116" t="s">
        <v>1571</v>
      </c>
      <c r="C116" t="s">
        <v>1582</v>
      </c>
      <c r="D116" t="s">
        <v>1583</v>
      </c>
      <c r="F116" s="95" t="s">
        <v>1198</v>
      </c>
    </row>
    <row r="117" spans="1:7" x14ac:dyDescent="0.3">
      <c r="A117" t="s">
        <v>1536</v>
      </c>
      <c r="B117" t="s">
        <v>1571</v>
      </c>
      <c r="C117" t="s">
        <v>1584</v>
      </c>
      <c r="D117" t="s">
        <v>1585</v>
      </c>
      <c r="F117" s="95" t="s">
        <v>1199</v>
      </c>
    </row>
    <row r="118" spans="1:7" x14ac:dyDescent="0.3">
      <c r="A118" t="s">
        <v>1536</v>
      </c>
      <c r="B118" t="s">
        <v>1571</v>
      </c>
      <c r="C118" t="s">
        <v>1586</v>
      </c>
      <c r="D118" t="s">
        <v>1587</v>
      </c>
      <c r="F118" s="95" t="s">
        <v>1200</v>
      </c>
    </row>
    <row r="119" spans="1:7" x14ac:dyDescent="0.3">
      <c r="A119" t="s">
        <v>1536</v>
      </c>
      <c r="B119" t="s">
        <v>1571</v>
      </c>
      <c r="C119" t="s">
        <v>1588</v>
      </c>
      <c r="D119" t="s">
        <v>1589</v>
      </c>
      <c r="F119" s="95" t="s">
        <v>1201</v>
      </c>
    </row>
    <row r="120" spans="1:7" ht="28.8" x14ac:dyDescent="0.3">
      <c r="A120" t="s">
        <v>1536</v>
      </c>
      <c r="B120" t="s">
        <v>1571</v>
      </c>
      <c r="C120" t="s">
        <v>1962</v>
      </c>
      <c r="D120" t="s">
        <v>1963</v>
      </c>
      <c r="F120" s="95" t="s">
        <v>1114</v>
      </c>
      <c r="G120" s="95" t="s">
        <v>1115</v>
      </c>
    </row>
    <row r="121" spans="1:7" x14ac:dyDescent="0.3">
      <c r="A121" t="s">
        <v>1536</v>
      </c>
      <c r="B121" t="s">
        <v>1590</v>
      </c>
      <c r="C121" t="s">
        <v>1593</v>
      </c>
      <c r="D121" t="s">
        <v>1131</v>
      </c>
      <c r="F121" s="95" t="s">
        <v>1202</v>
      </c>
    </row>
    <row r="122" spans="1:7" x14ac:dyDescent="0.3">
      <c r="A122" t="s">
        <v>1536</v>
      </c>
      <c r="B122" t="s">
        <v>1590</v>
      </c>
      <c r="C122" t="s">
        <v>1594</v>
      </c>
      <c r="D122" t="s">
        <v>1595</v>
      </c>
      <c r="F122" s="95" t="s">
        <v>1203</v>
      </c>
    </row>
    <row r="123" spans="1:7" x14ac:dyDescent="0.3">
      <c r="A123" t="s">
        <v>1536</v>
      </c>
      <c r="B123" t="s">
        <v>1596</v>
      </c>
      <c r="C123" t="s">
        <v>1599</v>
      </c>
      <c r="D123" t="s">
        <v>1600</v>
      </c>
      <c r="F123" s="95" t="s">
        <v>1204</v>
      </c>
    </row>
    <row r="124" spans="1:7" x14ac:dyDescent="0.3">
      <c r="A124" t="s">
        <v>1536</v>
      </c>
      <c r="B124" t="s">
        <v>1596</v>
      </c>
      <c r="C124" t="s">
        <v>1601</v>
      </c>
      <c r="D124" t="s">
        <v>1602</v>
      </c>
      <c r="F124" s="95" t="s">
        <v>1205</v>
      </c>
    </row>
    <row r="125" spans="1:7" ht="28.8" x14ac:dyDescent="0.3">
      <c r="A125" t="s">
        <v>1536</v>
      </c>
      <c r="B125" t="s">
        <v>896</v>
      </c>
      <c r="C125" t="s">
        <v>1607</v>
      </c>
      <c r="D125" t="s">
        <v>1608</v>
      </c>
      <c r="F125" s="95" t="s">
        <v>1114</v>
      </c>
      <c r="G125" s="95" t="s">
        <v>1115</v>
      </c>
    </row>
    <row r="126" spans="1:7" x14ac:dyDescent="0.3">
      <c r="A126" t="s">
        <v>1536</v>
      </c>
      <c r="B126" t="s">
        <v>896</v>
      </c>
      <c r="C126" t="s">
        <v>1609</v>
      </c>
      <c r="D126" t="s">
        <v>1610</v>
      </c>
      <c r="F126" s="95" t="s">
        <v>1206</v>
      </c>
    </row>
    <row r="127" spans="1:7" x14ac:dyDescent="0.3">
      <c r="A127" t="s">
        <v>1536</v>
      </c>
      <c r="B127" t="s">
        <v>896</v>
      </c>
      <c r="C127" t="s">
        <v>1611</v>
      </c>
      <c r="D127" t="s">
        <v>1123</v>
      </c>
      <c r="F127" s="95" t="s">
        <v>1207</v>
      </c>
    </row>
    <row r="128" spans="1:7" x14ac:dyDescent="0.3">
      <c r="A128" t="s">
        <v>1612</v>
      </c>
      <c r="B128" t="s">
        <v>1613</v>
      </c>
      <c r="C128" t="s">
        <v>1614</v>
      </c>
      <c r="D128" t="s">
        <v>1615</v>
      </c>
      <c r="F128" s="95" t="s">
        <v>1208</v>
      </c>
    </row>
    <row r="129" spans="1:7" x14ac:dyDescent="0.3">
      <c r="A129" t="s">
        <v>1612</v>
      </c>
      <c r="B129" t="s">
        <v>1613</v>
      </c>
      <c r="C129" t="s">
        <v>1616</v>
      </c>
      <c r="D129" t="s">
        <v>1212</v>
      </c>
      <c r="F129" s="95" t="s">
        <v>1209</v>
      </c>
    </row>
    <row r="130" spans="1:7" x14ac:dyDescent="0.3">
      <c r="A130" t="s">
        <v>1612</v>
      </c>
      <c r="B130" t="s">
        <v>1613</v>
      </c>
      <c r="C130" t="s">
        <v>1617</v>
      </c>
      <c r="D130" t="s">
        <v>1209</v>
      </c>
      <c r="F130" s="95" t="s">
        <v>1210</v>
      </c>
    </row>
    <row r="131" spans="1:7" x14ac:dyDescent="0.3">
      <c r="A131" t="s">
        <v>1612</v>
      </c>
      <c r="B131" t="s">
        <v>1613</v>
      </c>
      <c r="C131" t="s">
        <v>1618</v>
      </c>
      <c r="D131" t="s">
        <v>1619</v>
      </c>
      <c r="F131" s="95" t="s">
        <v>1211</v>
      </c>
    </row>
    <row r="132" spans="1:7" x14ac:dyDescent="0.3">
      <c r="A132" t="s">
        <v>1612</v>
      </c>
      <c r="B132" t="s">
        <v>1620</v>
      </c>
      <c r="C132" t="s">
        <v>1621</v>
      </c>
      <c r="D132" t="s">
        <v>1207</v>
      </c>
      <c r="F132" s="95" t="s">
        <v>1212</v>
      </c>
    </row>
    <row r="133" spans="1:7" x14ac:dyDescent="0.3">
      <c r="A133" t="s">
        <v>1612</v>
      </c>
      <c r="B133" t="s">
        <v>1620</v>
      </c>
      <c r="C133" t="s">
        <v>1622</v>
      </c>
      <c r="D133" t="s">
        <v>1210</v>
      </c>
      <c r="F133" s="95" t="s">
        <v>1213</v>
      </c>
      <c r="G133" s="95" t="s">
        <v>1214</v>
      </c>
    </row>
    <row r="134" spans="1:7" ht="28.8" x14ac:dyDescent="0.3">
      <c r="A134" t="s">
        <v>1612</v>
      </c>
      <c r="B134" t="s">
        <v>1620</v>
      </c>
      <c r="C134" t="s">
        <v>1623</v>
      </c>
      <c r="D134" t="s">
        <v>1624</v>
      </c>
      <c r="F134" s="95" t="s">
        <v>1215</v>
      </c>
    </row>
    <row r="135" spans="1:7" ht="28.8" x14ac:dyDescent="0.3">
      <c r="A135" t="s">
        <v>1612</v>
      </c>
      <c r="B135" t="s">
        <v>1620</v>
      </c>
      <c r="C135" t="s">
        <v>1625</v>
      </c>
      <c r="D135" t="s">
        <v>1626</v>
      </c>
      <c r="F135" s="95" t="s">
        <v>1216</v>
      </c>
    </row>
    <row r="136" spans="1:7" x14ac:dyDescent="0.3">
      <c r="A136" t="s">
        <v>1627</v>
      </c>
      <c r="B136" t="s">
        <v>437</v>
      </c>
      <c r="C136" t="s">
        <v>350</v>
      </c>
      <c r="D136" t="s">
        <v>1628</v>
      </c>
      <c r="F136" s="95" t="s">
        <v>1217</v>
      </c>
    </row>
    <row r="137" spans="1:7" x14ac:dyDescent="0.3">
      <c r="A137" t="s">
        <v>1627</v>
      </c>
      <c r="B137" t="s">
        <v>437</v>
      </c>
      <c r="C137" t="s">
        <v>438</v>
      </c>
      <c r="D137" t="s">
        <v>1629</v>
      </c>
      <c r="F137" s="95" t="s">
        <v>1218</v>
      </c>
    </row>
    <row r="138" spans="1:7" x14ac:dyDescent="0.3">
      <c r="A138" t="s">
        <v>1627</v>
      </c>
      <c r="B138" t="s">
        <v>391</v>
      </c>
      <c r="C138" t="s">
        <v>1631</v>
      </c>
      <c r="D138" t="s">
        <v>1193</v>
      </c>
      <c r="F138" s="95" t="s">
        <v>1219</v>
      </c>
    </row>
    <row r="139" spans="1:7" x14ac:dyDescent="0.3">
      <c r="A139" t="s">
        <v>1627</v>
      </c>
      <c r="B139" t="s">
        <v>424</v>
      </c>
      <c r="C139" t="s">
        <v>1634</v>
      </c>
      <c r="D139" t="s">
        <v>1635</v>
      </c>
      <c r="F139" s="95" t="s">
        <v>1221</v>
      </c>
    </row>
    <row r="140" spans="1:7" x14ac:dyDescent="0.3">
      <c r="A140" t="s">
        <v>1627</v>
      </c>
      <c r="B140" t="s">
        <v>424</v>
      </c>
      <c r="C140" t="s">
        <v>1636</v>
      </c>
      <c r="D140" t="s">
        <v>1637</v>
      </c>
      <c r="F140" s="95" t="s">
        <v>1223</v>
      </c>
    </row>
    <row r="141" spans="1:7" x14ac:dyDescent="0.3">
      <c r="A141" t="s">
        <v>1627</v>
      </c>
      <c r="B141" t="s">
        <v>424</v>
      </c>
      <c r="C141" t="s">
        <v>1638</v>
      </c>
      <c r="D141" t="s">
        <v>1639</v>
      </c>
      <c r="F141" s="95" t="s">
        <v>1225</v>
      </c>
    </row>
    <row r="142" spans="1:7" x14ac:dyDescent="0.3">
      <c r="A142" t="s">
        <v>1627</v>
      </c>
      <c r="B142" t="s">
        <v>424</v>
      </c>
      <c r="C142" t="s">
        <v>1640</v>
      </c>
      <c r="D142" t="s">
        <v>1641</v>
      </c>
      <c r="F142" s="95" t="s">
        <v>1227</v>
      </c>
    </row>
    <row r="143" spans="1:7" ht="43.2" x14ac:dyDescent="0.3">
      <c r="A143" t="s">
        <v>1627</v>
      </c>
      <c r="B143" t="s">
        <v>424</v>
      </c>
      <c r="C143" t="s">
        <v>1642</v>
      </c>
      <c r="D143" t="s">
        <v>1199</v>
      </c>
      <c r="F143" s="95" t="s">
        <v>1229</v>
      </c>
    </row>
    <row r="144" spans="1:7" x14ac:dyDescent="0.3">
      <c r="A144" t="s">
        <v>1627</v>
      </c>
      <c r="B144" t="s">
        <v>424</v>
      </c>
      <c r="C144" t="s">
        <v>1643</v>
      </c>
      <c r="D144" t="s">
        <v>1196</v>
      </c>
      <c r="F144" s="95" t="s">
        <v>1231</v>
      </c>
    </row>
    <row r="145" spans="1:6" ht="28.8" x14ac:dyDescent="0.3">
      <c r="A145" t="s">
        <v>1627</v>
      </c>
      <c r="B145" t="s">
        <v>424</v>
      </c>
      <c r="C145" t="s">
        <v>1644</v>
      </c>
      <c r="D145" t="s">
        <v>1194</v>
      </c>
      <c r="F145" s="95" t="s">
        <v>1233</v>
      </c>
    </row>
    <row r="146" spans="1:6" ht="28.8" x14ac:dyDescent="0.3">
      <c r="A146" t="s">
        <v>1627</v>
      </c>
      <c r="B146" t="s">
        <v>1645</v>
      </c>
      <c r="C146" t="s">
        <v>1647</v>
      </c>
      <c r="D146" t="s">
        <v>1648</v>
      </c>
      <c r="F146" s="95" t="s">
        <v>1235</v>
      </c>
    </row>
    <row r="147" spans="1:6" x14ac:dyDescent="0.3">
      <c r="A147" t="s">
        <v>1627</v>
      </c>
      <c r="B147" t="s">
        <v>1645</v>
      </c>
      <c r="C147" t="s">
        <v>1649</v>
      </c>
      <c r="D147" t="s">
        <v>1650</v>
      </c>
      <c r="F147" s="95" t="s">
        <v>1237</v>
      </c>
    </row>
    <row r="148" spans="1:6" x14ac:dyDescent="0.3">
      <c r="A148" t="s">
        <v>1627</v>
      </c>
      <c r="B148" t="s">
        <v>1645</v>
      </c>
      <c r="C148" t="s">
        <v>1651</v>
      </c>
      <c r="D148" t="s">
        <v>1652</v>
      </c>
      <c r="F148" s="95" t="s">
        <v>1238</v>
      </c>
    </row>
    <row r="149" spans="1:6" x14ac:dyDescent="0.3">
      <c r="A149" t="s">
        <v>1627</v>
      </c>
      <c r="B149" t="s">
        <v>1645</v>
      </c>
      <c r="C149" t="s">
        <v>1653</v>
      </c>
      <c r="D149" t="s">
        <v>1654</v>
      </c>
      <c r="F149" s="95" t="s">
        <v>1240</v>
      </c>
    </row>
    <row r="150" spans="1:6" x14ac:dyDescent="0.3">
      <c r="A150" t="s">
        <v>1627</v>
      </c>
      <c r="B150" t="s">
        <v>1645</v>
      </c>
      <c r="C150" t="s">
        <v>1655</v>
      </c>
      <c r="D150" t="s">
        <v>1185</v>
      </c>
      <c r="F150" s="95" t="s">
        <v>1242</v>
      </c>
    </row>
    <row r="151" spans="1:6" x14ac:dyDescent="0.3">
      <c r="A151" t="s">
        <v>1627</v>
      </c>
      <c r="B151" t="s">
        <v>1645</v>
      </c>
      <c r="C151" t="s">
        <v>1656</v>
      </c>
      <c r="D151" t="s">
        <v>1187</v>
      </c>
    </row>
    <row r="152" spans="1:6" x14ac:dyDescent="0.3">
      <c r="A152" t="s">
        <v>1627</v>
      </c>
      <c r="B152" t="s">
        <v>1645</v>
      </c>
      <c r="C152" t="s">
        <v>1657</v>
      </c>
      <c r="D152" t="s">
        <v>1658</v>
      </c>
    </row>
    <row r="153" spans="1:6" x14ac:dyDescent="0.3">
      <c r="A153" t="s">
        <v>1627</v>
      </c>
      <c r="B153" t="s">
        <v>1659</v>
      </c>
      <c r="C153" t="s">
        <v>1660</v>
      </c>
      <c r="D153" t="s">
        <v>1661</v>
      </c>
    </row>
    <row r="154" spans="1:6" x14ac:dyDescent="0.3">
      <c r="A154" t="s">
        <v>1627</v>
      </c>
      <c r="B154" t="s">
        <v>1659</v>
      </c>
      <c r="C154" t="s">
        <v>1662</v>
      </c>
      <c r="D154" t="s">
        <v>1663</v>
      </c>
    </row>
    <row r="155" spans="1:6" x14ac:dyDescent="0.3">
      <c r="A155" t="s">
        <v>1627</v>
      </c>
      <c r="B155" t="s">
        <v>1659</v>
      </c>
      <c r="C155" t="s">
        <v>1664</v>
      </c>
      <c r="D155" t="s">
        <v>1665</v>
      </c>
    </row>
    <row r="156" spans="1:6" x14ac:dyDescent="0.3">
      <c r="A156" t="s">
        <v>1627</v>
      </c>
      <c r="B156" t="s">
        <v>1659</v>
      </c>
      <c r="C156" t="s">
        <v>1666</v>
      </c>
      <c r="D156" t="s">
        <v>1180</v>
      </c>
    </row>
    <row r="157" spans="1:6" x14ac:dyDescent="0.3">
      <c r="A157" t="s">
        <v>1627</v>
      </c>
      <c r="B157" t="s">
        <v>1659</v>
      </c>
      <c r="C157" t="s">
        <v>1667</v>
      </c>
      <c r="D157" t="s">
        <v>1178</v>
      </c>
    </row>
    <row r="158" spans="1:6" x14ac:dyDescent="0.3">
      <c r="A158" t="s">
        <v>1627</v>
      </c>
      <c r="B158" t="s">
        <v>1668</v>
      </c>
      <c r="C158" t="s">
        <v>1669</v>
      </c>
      <c r="D158" t="s">
        <v>1670</v>
      </c>
    </row>
    <row r="159" spans="1:6" x14ac:dyDescent="0.3">
      <c r="A159" t="s">
        <v>1627</v>
      </c>
      <c r="B159" t="s">
        <v>1668</v>
      </c>
      <c r="C159" t="s">
        <v>1671</v>
      </c>
      <c r="D159" t="s">
        <v>1672</v>
      </c>
    </row>
    <row r="160" spans="1:6" x14ac:dyDescent="0.3">
      <c r="A160" t="s">
        <v>1627</v>
      </c>
      <c r="B160" t="s">
        <v>1668</v>
      </c>
      <c r="C160" t="s">
        <v>1673</v>
      </c>
      <c r="D160" t="s">
        <v>1674</v>
      </c>
    </row>
    <row r="161" spans="1:4" x14ac:dyDescent="0.3">
      <c r="A161" t="s">
        <v>1627</v>
      </c>
      <c r="B161" t="s">
        <v>1668</v>
      </c>
      <c r="C161" t="s">
        <v>1675</v>
      </c>
      <c r="D161" t="s">
        <v>1676</v>
      </c>
    </row>
    <row r="162" spans="1:4" x14ac:dyDescent="0.3">
      <c r="A162" t="s">
        <v>1627</v>
      </c>
      <c r="B162" t="s">
        <v>1677</v>
      </c>
      <c r="C162" t="s">
        <v>1680</v>
      </c>
      <c r="D162" t="s">
        <v>1681</v>
      </c>
    </row>
    <row r="163" spans="1:4" x14ac:dyDescent="0.3">
      <c r="A163" t="s">
        <v>1627</v>
      </c>
      <c r="B163" t="s">
        <v>1677</v>
      </c>
      <c r="C163" t="s">
        <v>1682</v>
      </c>
      <c r="D163" t="s">
        <v>1683</v>
      </c>
    </row>
    <row r="164" spans="1:4" x14ac:dyDescent="0.3">
      <c r="A164" t="s">
        <v>1627</v>
      </c>
      <c r="B164" t="s">
        <v>1677</v>
      </c>
      <c r="C164" t="s">
        <v>1684</v>
      </c>
      <c r="D164" t="s">
        <v>1685</v>
      </c>
    </row>
    <row r="165" spans="1:4" x14ac:dyDescent="0.3">
      <c r="A165" t="s">
        <v>1627</v>
      </c>
      <c r="B165" t="s">
        <v>1677</v>
      </c>
      <c r="C165" t="s">
        <v>1686</v>
      </c>
      <c r="D165" t="s">
        <v>1687</v>
      </c>
    </row>
    <row r="166" spans="1:4" x14ac:dyDescent="0.3">
      <c r="A166" t="s">
        <v>1627</v>
      </c>
      <c r="B166" t="s">
        <v>1677</v>
      </c>
      <c r="C166" t="s">
        <v>1688</v>
      </c>
      <c r="D166" t="s">
        <v>1689</v>
      </c>
    </row>
    <row r="167" spans="1:4" x14ac:dyDescent="0.3">
      <c r="A167" t="s">
        <v>1627</v>
      </c>
      <c r="B167" t="s">
        <v>1677</v>
      </c>
      <c r="C167" t="s">
        <v>1690</v>
      </c>
      <c r="D167" t="s">
        <v>1201</v>
      </c>
    </row>
    <row r="168" spans="1:4" x14ac:dyDescent="0.3">
      <c r="A168" t="s">
        <v>1627</v>
      </c>
      <c r="B168" t="s">
        <v>1677</v>
      </c>
      <c r="C168" t="s">
        <v>1691</v>
      </c>
      <c r="D168" t="s">
        <v>1204</v>
      </c>
    </row>
    <row r="169" spans="1:4" x14ac:dyDescent="0.3">
      <c r="A169" t="s">
        <v>1692</v>
      </c>
      <c r="C169" t="s">
        <v>2036</v>
      </c>
      <c r="D169" t="s">
        <v>2037</v>
      </c>
    </row>
    <row r="170" spans="1:4" x14ac:dyDescent="0.3">
      <c r="A170" t="s">
        <v>1692</v>
      </c>
      <c r="C170" t="s">
        <v>2038</v>
      </c>
      <c r="D170" t="s">
        <v>2039</v>
      </c>
    </row>
    <row r="171" spans="1:4" x14ac:dyDescent="0.3">
      <c r="A171" t="s">
        <v>1692</v>
      </c>
      <c r="C171" t="s">
        <v>1701</v>
      </c>
      <c r="D171" t="s">
        <v>1702</v>
      </c>
    </row>
    <row r="172" spans="1:4" x14ac:dyDescent="0.3">
      <c r="A172" t="s">
        <v>1692</v>
      </c>
      <c r="C172" t="s">
        <v>1703</v>
      </c>
      <c r="D172" t="s">
        <v>1704</v>
      </c>
    </row>
    <row r="173" spans="1:4" x14ac:dyDescent="0.3">
      <c r="A173" t="s">
        <v>1692</v>
      </c>
      <c r="C173" t="s">
        <v>1705</v>
      </c>
      <c r="D173" t="s">
        <v>1706</v>
      </c>
    </row>
    <row r="174" spans="1:4" x14ac:dyDescent="0.3">
      <c r="A174" t="s">
        <v>1692</v>
      </c>
      <c r="C174" t="s">
        <v>1707</v>
      </c>
      <c r="D174" t="s">
        <v>1708</v>
      </c>
    </row>
    <row r="175" spans="1:4" x14ac:dyDescent="0.3">
      <c r="A175" t="s">
        <v>1692</v>
      </c>
      <c r="C175" t="s">
        <v>1709</v>
      </c>
      <c r="D175" t="s">
        <v>1710</v>
      </c>
    </row>
    <row r="176" spans="1:4" x14ac:dyDescent="0.3">
      <c r="A176" t="s">
        <v>1692</v>
      </c>
      <c r="C176" t="s">
        <v>1711</v>
      </c>
      <c r="D176" t="s">
        <v>1712</v>
      </c>
    </row>
    <row r="177" spans="1:4" x14ac:dyDescent="0.3">
      <c r="A177" t="s">
        <v>1692</v>
      </c>
      <c r="C177" t="s">
        <v>1713</v>
      </c>
      <c r="D177" t="s">
        <v>1714</v>
      </c>
    </row>
    <row r="178" spans="1:4" x14ac:dyDescent="0.3">
      <c r="A178" t="s">
        <v>1715</v>
      </c>
      <c r="B178" t="s">
        <v>1716</v>
      </c>
      <c r="C178" t="s">
        <v>1722</v>
      </c>
      <c r="D178" t="s">
        <v>1723</v>
      </c>
    </row>
    <row r="179" spans="1:4" x14ac:dyDescent="0.3">
      <c r="A179" t="s">
        <v>1715</v>
      </c>
      <c r="B179" t="s">
        <v>1716</v>
      </c>
      <c r="C179" t="s">
        <v>1724</v>
      </c>
      <c r="D179" t="s">
        <v>1725</v>
      </c>
    </row>
    <row r="180" spans="1:4" x14ac:dyDescent="0.3">
      <c r="A180" t="s">
        <v>1715</v>
      </c>
      <c r="B180" t="s">
        <v>1716</v>
      </c>
      <c r="C180" t="s">
        <v>1726</v>
      </c>
      <c r="D180" t="s">
        <v>1727</v>
      </c>
    </row>
    <row r="181" spans="1:4" x14ac:dyDescent="0.3">
      <c r="A181" t="s">
        <v>1715</v>
      </c>
      <c r="B181" t="s">
        <v>1729</v>
      </c>
      <c r="C181" t="s">
        <v>1730</v>
      </c>
      <c r="D181" t="s">
        <v>1731</v>
      </c>
    </row>
    <row r="182" spans="1:4" x14ac:dyDescent="0.3">
      <c r="A182" t="s">
        <v>1715</v>
      </c>
      <c r="B182" t="s">
        <v>1729</v>
      </c>
      <c r="C182" t="s">
        <v>1732</v>
      </c>
      <c r="D182" t="s">
        <v>1733</v>
      </c>
    </row>
    <row r="183" spans="1:4" x14ac:dyDescent="0.3">
      <c r="A183" t="s">
        <v>1715</v>
      </c>
      <c r="B183" t="s">
        <v>1729</v>
      </c>
      <c r="C183" t="s">
        <v>1734</v>
      </c>
      <c r="D183" t="s">
        <v>1735</v>
      </c>
    </row>
    <row r="184" spans="1:4" x14ac:dyDescent="0.3">
      <c r="A184" t="s">
        <v>1715</v>
      </c>
      <c r="B184" t="s">
        <v>1729</v>
      </c>
      <c r="C184" t="s">
        <v>1736</v>
      </c>
      <c r="D184" t="s">
        <v>1737</v>
      </c>
    </row>
    <row r="185" spans="1:4" x14ac:dyDescent="0.3">
      <c r="A185" t="s">
        <v>1715</v>
      </c>
      <c r="B185" t="s">
        <v>1738</v>
      </c>
      <c r="C185" t="s">
        <v>1739</v>
      </c>
      <c r="D185" t="s">
        <v>1176</v>
      </c>
    </row>
    <row r="186" spans="1:4" x14ac:dyDescent="0.3">
      <c r="A186" t="s">
        <v>1715</v>
      </c>
      <c r="B186" t="s">
        <v>1738</v>
      </c>
      <c r="C186" t="s">
        <v>1740</v>
      </c>
      <c r="D186" t="s">
        <v>1741</v>
      </c>
    </row>
    <row r="187" spans="1:4" x14ac:dyDescent="0.3">
      <c r="A187" t="s">
        <v>1715</v>
      </c>
      <c r="B187" t="s">
        <v>742</v>
      </c>
      <c r="C187" t="s">
        <v>1748</v>
      </c>
      <c r="D187" t="s">
        <v>1749</v>
      </c>
    </row>
    <row r="188" spans="1:4" x14ac:dyDescent="0.3">
      <c r="A188" t="s">
        <v>1715</v>
      </c>
      <c r="B188" t="s">
        <v>742</v>
      </c>
      <c r="C188" t="s">
        <v>1750</v>
      </c>
      <c r="D188" t="s">
        <v>1751</v>
      </c>
    </row>
    <row r="189" spans="1:4" x14ac:dyDescent="0.3">
      <c r="A189" t="s">
        <v>1715</v>
      </c>
      <c r="B189" t="s">
        <v>742</v>
      </c>
      <c r="C189" t="s">
        <v>1752</v>
      </c>
      <c r="D189" t="s">
        <v>1753</v>
      </c>
    </row>
    <row r="190" spans="1:4" x14ac:dyDescent="0.3">
      <c r="A190" t="s">
        <v>1715</v>
      </c>
      <c r="B190" t="s">
        <v>742</v>
      </c>
      <c r="C190" t="s">
        <v>1228</v>
      </c>
      <c r="D190" t="s">
        <v>1754</v>
      </c>
    </row>
    <row r="191" spans="1:4" x14ac:dyDescent="0.3">
      <c r="A191" t="s">
        <v>1715</v>
      </c>
      <c r="B191" t="s">
        <v>742</v>
      </c>
      <c r="C191" t="s">
        <v>1230</v>
      </c>
      <c r="D191" t="s">
        <v>1231</v>
      </c>
    </row>
    <row r="192" spans="1:4" x14ac:dyDescent="0.3">
      <c r="A192" t="s">
        <v>1715</v>
      </c>
      <c r="B192" t="s">
        <v>742</v>
      </c>
      <c r="C192" t="s">
        <v>1755</v>
      </c>
      <c r="D192" t="s">
        <v>1756</v>
      </c>
    </row>
    <row r="193" spans="1:4" x14ac:dyDescent="0.3">
      <c r="A193" t="s">
        <v>1715</v>
      </c>
      <c r="B193" t="s">
        <v>742</v>
      </c>
      <c r="C193" t="s">
        <v>1757</v>
      </c>
      <c r="D193" t="s">
        <v>1758</v>
      </c>
    </row>
    <row r="194" spans="1:4" x14ac:dyDescent="0.3">
      <c r="A194" t="s">
        <v>1728</v>
      </c>
      <c r="B194" t="s">
        <v>1764</v>
      </c>
      <c r="C194" t="s">
        <v>1777</v>
      </c>
      <c r="D194" t="s">
        <v>1778</v>
      </c>
    </row>
    <row r="195" spans="1:4" x14ac:dyDescent="0.3">
      <c r="A195" t="s">
        <v>1728</v>
      </c>
      <c r="B195" t="s">
        <v>1764</v>
      </c>
      <c r="C195" t="s">
        <v>1968</v>
      </c>
      <c r="D195" t="s">
        <v>1969</v>
      </c>
    </row>
    <row r="196" spans="1:4" x14ac:dyDescent="0.3">
      <c r="A196" t="s">
        <v>1843</v>
      </c>
      <c r="B196" t="s">
        <v>1844</v>
      </c>
      <c r="C196" t="s">
        <v>1234</v>
      </c>
      <c r="D196" t="s">
        <v>1235</v>
      </c>
    </row>
    <row r="197" spans="1:4" x14ac:dyDescent="0.3">
      <c r="A197" t="s">
        <v>1843</v>
      </c>
      <c r="B197" t="s">
        <v>1844</v>
      </c>
      <c r="C197" t="s">
        <v>1847</v>
      </c>
      <c r="D197" t="s">
        <v>1848</v>
      </c>
    </row>
    <row r="198" spans="1:4" x14ac:dyDescent="0.3">
      <c r="A198" t="s">
        <v>1843</v>
      </c>
      <c r="B198" t="s">
        <v>1849</v>
      </c>
      <c r="C198" t="s">
        <v>1850</v>
      </c>
      <c r="D198" t="s">
        <v>1851</v>
      </c>
    </row>
    <row r="199" spans="1:4" x14ac:dyDescent="0.3">
      <c r="A199" t="s">
        <v>1843</v>
      </c>
      <c r="B199" t="s">
        <v>1852</v>
      </c>
      <c r="C199" t="s">
        <v>1241</v>
      </c>
      <c r="D199" t="s">
        <v>1242</v>
      </c>
    </row>
    <row r="200" spans="1:4" x14ac:dyDescent="0.3">
      <c r="A200" t="s">
        <v>1853</v>
      </c>
      <c r="B200" t="s">
        <v>1885</v>
      </c>
      <c r="C200" t="s">
        <v>1886</v>
      </c>
      <c r="D200" t="s">
        <v>1887</v>
      </c>
    </row>
    <row r="201" spans="1:4" x14ac:dyDescent="0.3">
      <c r="A201" t="s">
        <v>1853</v>
      </c>
      <c r="B201" t="s">
        <v>1885</v>
      </c>
      <c r="C201" t="s">
        <v>1893</v>
      </c>
      <c r="D201" t="s">
        <v>1894</v>
      </c>
    </row>
    <row r="202" spans="1:4" x14ac:dyDescent="0.3">
      <c r="A202" t="s">
        <v>1853</v>
      </c>
      <c r="B202" t="s">
        <v>1536</v>
      </c>
      <c r="C202" t="s">
        <v>1919</v>
      </c>
      <c r="D202" t="s">
        <v>1920</v>
      </c>
    </row>
    <row r="203" spans="1:4" x14ac:dyDescent="0.3">
      <c r="A203" t="s">
        <v>1853</v>
      </c>
      <c r="B203" t="s">
        <v>1536</v>
      </c>
      <c r="C203" t="s">
        <v>1921</v>
      </c>
      <c r="D203" t="s">
        <v>1922</v>
      </c>
    </row>
    <row r="204" spans="1:4" x14ac:dyDescent="0.3">
      <c r="A204" t="s">
        <v>1853</v>
      </c>
      <c r="B204" t="s">
        <v>1536</v>
      </c>
      <c r="C204" t="s">
        <v>1923</v>
      </c>
      <c r="D204" t="s">
        <v>1924</v>
      </c>
    </row>
    <row r="205" spans="1:4" x14ac:dyDescent="0.3">
      <c r="A205" t="s">
        <v>1853</v>
      </c>
      <c r="B205" t="s">
        <v>1536</v>
      </c>
      <c r="C205" t="s">
        <v>1925</v>
      </c>
      <c r="D205" t="s">
        <v>1926</v>
      </c>
    </row>
    <row r="206" spans="1:4" x14ac:dyDescent="0.3">
      <c r="A206" t="s">
        <v>1853</v>
      </c>
      <c r="B206" t="s">
        <v>1536</v>
      </c>
      <c r="C206" t="s">
        <v>1927</v>
      </c>
      <c r="D206" t="s">
        <v>1928</v>
      </c>
    </row>
    <row r="207" spans="1:4" x14ac:dyDescent="0.3">
      <c r="A207" t="s">
        <v>1853</v>
      </c>
      <c r="B207" t="s">
        <v>1929</v>
      </c>
      <c r="C207" t="s">
        <v>1930</v>
      </c>
      <c r="D207" t="s">
        <v>1931</v>
      </c>
    </row>
    <row r="208" spans="1:4" x14ac:dyDescent="0.3">
      <c r="A208" t="s">
        <v>1853</v>
      </c>
      <c r="B208" t="s">
        <v>1929</v>
      </c>
      <c r="C208" t="s">
        <v>1932</v>
      </c>
      <c r="D208" t="s">
        <v>1933</v>
      </c>
    </row>
    <row r="209" spans="1:4" x14ac:dyDescent="0.3">
      <c r="A209" t="s">
        <v>1715</v>
      </c>
      <c r="B209" t="s">
        <v>1759</v>
      </c>
      <c r="C209" t="s">
        <v>1760</v>
      </c>
      <c r="D209" t="s">
        <v>1761</v>
      </c>
    </row>
    <row r="210" spans="1:4" x14ac:dyDescent="0.3">
      <c r="A210" t="s">
        <v>1715</v>
      </c>
      <c r="B210" t="s">
        <v>1759</v>
      </c>
      <c r="C210" t="s">
        <v>1762</v>
      </c>
      <c r="D210" t="s">
        <v>1763</v>
      </c>
    </row>
    <row r="211" spans="1:4" x14ac:dyDescent="0.3">
      <c r="A211" t="s">
        <v>1728</v>
      </c>
      <c r="B211" t="s">
        <v>1764</v>
      </c>
      <c r="C211" t="s">
        <v>1765</v>
      </c>
      <c r="D211" t="s">
        <v>1766</v>
      </c>
    </row>
    <row r="212" spans="1:4" x14ac:dyDescent="0.3">
      <c r="A212" t="s">
        <v>1728</v>
      </c>
      <c r="B212" t="s">
        <v>1764</v>
      </c>
      <c r="C212" t="s">
        <v>1767</v>
      </c>
      <c r="D212" t="s">
        <v>1768</v>
      </c>
    </row>
    <row r="213" spans="1:4" x14ac:dyDescent="0.3">
      <c r="A213" t="s">
        <v>1728</v>
      </c>
      <c r="B213" t="s">
        <v>1764</v>
      </c>
      <c r="C213" t="s">
        <v>1769</v>
      </c>
      <c r="D213" t="s">
        <v>1770</v>
      </c>
    </row>
    <row r="214" spans="1:4" x14ac:dyDescent="0.3">
      <c r="A214" t="s">
        <v>1728</v>
      </c>
      <c r="B214" t="s">
        <v>1764</v>
      </c>
      <c r="C214" t="s">
        <v>1771</v>
      </c>
      <c r="D214" t="s">
        <v>1772</v>
      </c>
    </row>
    <row r="215" spans="1:4" x14ac:dyDescent="0.3">
      <c r="A215" t="s">
        <v>1728</v>
      </c>
      <c r="B215" t="s">
        <v>1764</v>
      </c>
      <c r="C215" t="s">
        <v>1773</v>
      </c>
      <c r="D215" t="s">
        <v>1774</v>
      </c>
    </row>
    <row r="216" spans="1:4" x14ac:dyDescent="0.3">
      <c r="A216" t="s">
        <v>1728</v>
      </c>
      <c r="B216" t="s">
        <v>1764</v>
      </c>
      <c r="C216" t="s">
        <v>1775</v>
      </c>
      <c r="D216" t="s">
        <v>1776</v>
      </c>
    </row>
    <row r="217" spans="1:4" x14ac:dyDescent="0.3">
      <c r="A217" t="s">
        <v>1728</v>
      </c>
      <c r="B217" t="s">
        <v>1764</v>
      </c>
      <c r="C217" t="s">
        <v>1777</v>
      </c>
      <c r="D217" t="s">
        <v>1778</v>
      </c>
    </row>
    <row r="218" spans="1:4" x14ac:dyDescent="0.3">
      <c r="A218" t="s">
        <v>1728</v>
      </c>
      <c r="B218" t="s">
        <v>1764</v>
      </c>
      <c r="C218" t="s">
        <v>1779</v>
      </c>
      <c r="D218" t="s">
        <v>1780</v>
      </c>
    </row>
    <row r="219" spans="1:4" x14ac:dyDescent="0.3">
      <c r="A219" t="s">
        <v>1728</v>
      </c>
      <c r="B219" t="s">
        <v>1764</v>
      </c>
      <c r="C219" t="s">
        <v>1781</v>
      </c>
      <c r="D219" t="s">
        <v>1782</v>
      </c>
    </row>
    <row r="220" spans="1:4" x14ac:dyDescent="0.3">
      <c r="A220" t="s">
        <v>1728</v>
      </c>
      <c r="B220" t="s">
        <v>1764</v>
      </c>
      <c r="C220" t="s">
        <v>1783</v>
      </c>
      <c r="D220" t="s">
        <v>1784</v>
      </c>
    </row>
    <row r="221" spans="1:4" x14ac:dyDescent="0.3">
      <c r="A221" t="s">
        <v>1728</v>
      </c>
      <c r="B221" t="s">
        <v>1764</v>
      </c>
      <c r="C221" t="s">
        <v>1785</v>
      </c>
      <c r="D221" t="s">
        <v>1786</v>
      </c>
    </row>
    <row r="222" spans="1:4" x14ac:dyDescent="0.3">
      <c r="A222" t="s">
        <v>1728</v>
      </c>
      <c r="B222" t="s">
        <v>1764</v>
      </c>
      <c r="C222" t="s">
        <v>1787</v>
      </c>
      <c r="D222" t="s">
        <v>1788</v>
      </c>
    </row>
    <row r="223" spans="1:4" x14ac:dyDescent="0.3">
      <c r="A223" t="s">
        <v>1728</v>
      </c>
      <c r="B223" t="s">
        <v>1764</v>
      </c>
      <c r="C223" t="s">
        <v>1789</v>
      </c>
      <c r="D223" t="s">
        <v>1790</v>
      </c>
    </row>
    <row r="224" spans="1:4" x14ac:dyDescent="0.3">
      <c r="A224" t="s">
        <v>1728</v>
      </c>
      <c r="B224" t="s">
        <v>1764</v>
      </c>
      <c r="C224" t="s">
        <v>1791</v>
      </c>
      <c r="D224" t="s">
        <v>1792</v>
      </c>
    </row>
    <row r="225" spans="1:4" x14ac:dyDescent="0.3">
      <c r="A225" t="s">
        <v>1728</v>
      </c>
      <c r="B225" t="s">
        <v>1764</v>
      </c>
      <c r="C225" t="s">
        <v>1793</v>
      </c>
      <c r="D225" t="s">
        <v>1794</v>
      </c>
    </row>
    <row r="226" spans="1:4" x14ac:dyDescent="0.3">
      <c r="A226" t="s">
        <v>1728</v>
      </c>
      <c r="B226" t="s">
        <v>1764</v>
      </c>
      <c r="C226" t="s">
        <v>1795</v>
      </c>
      <c r="D226" t="s">
        <v>1796</v>
      </c>
    </row>
    <row r="227" spans="1:4" x14ac:dyDescent="0.3">
      <c r="A227" t="s">
        <v>1728</v>
      </c>
      <c r="B227" t="s">
        <v>1764</v>
      </c>
      <c r="C227" t="s">
        <v>1966</v>
      </c>
      <c r="D227" t="s">
        <v>1967</v>
      </c>
    </row>
    <row r="228" spans="1:4" x14ac:dyDescent="0.3">
      <c r="A228" t="s">
        <v>1728</v>
      </c>
      <c r="B228" t="s">
        <v>1764</v>
      </c>
      <c r="C228" t="s">
        <v>1968</v>
      </c>
      <c r="D228" t="s">
        <v>1969</v>
      </c>
    </row>
    <row r="229" spans="1:4" x14ac:dyDescent="0.3">
      <c r="A229" t="s">
        <v>1728</v>
      </c>
      <c r="B229" t="s">
        <v>1764</v>
      </c>
      <c r="C229" t="s">
        <v>1970</v>
      </c>
      <c r="D229" t="s">
        <v>1971</v>
      </c>
    </row>
    <row r="230" spans="1:4" x14ac:dyDescent="0.3">
      <c r="A230" t="s">
        <v>1728</v>
      </c>
      <c r="B230" t="s">
        <v>1764</v>
      </c>
      <c r="C230" t="s">
        <v>1972</v>
      </c>
      <c r="D230" t="s">
        <v>1973</v>
      </c>
    </row>
    <row r="231" spans="1:4" x14ac:dyDescent="0.3">
      <c r="A231" t="s">
        <v>1728</v>
      </c>
      <c r="B231" t="s">
        <v>1797</v>
      </c>
      <c r="C231" t="s">
        <v>1798</v>
      </c>
      <c r="D231" t="s">
        <v>1799</v>
      </c>
    </row>
    <row r="232" spans="1:4" x14ac:dyDescent="0.3">
      <c r="A232" t="s">
        <v>1728</v>
      </c>
      <c r="B232" t="s">
        <v>1797</v>
      </c>
      <c r="C232" t="s">
        <v>1800</v>
      </c>
      <c r="D232" t="s">
        <v>1801</v>
      </c>
    </row>
    <row r="233" spans="1:4" x14ac:dyDescent="0.3">
      <c r="A233" t="s">
        <v>1728</v>
      </c>
      <c r="B233" t="s">
        <v>1797</v>
      </c>
      <c r="C233" t="s">
        <v>1802</v>
      </c>
      <c r="D233" t="s">
        <v>1803</v>
      </c>
    </row>
    <row r="234" spans="1:4" x14ac:dyDescent="0.3">
      <c r="A234" t="s">
        <v>1728</v>
      </c>
      <c r="B234" t="s">
        <v>1797</v>
      </c>
      <c r="C234" t="s">
        <v>1804</v>
      </c>
      <c r="D234" t="s">
        <v>1805</v>
      </c>
    </row>
    <row r="235" spans="1:4" x14ac:dyDescent="0.3">
      <c r="A235" t="s">
        <v>1728</v>
      </c>
      <c r="B235" t="s">
        <v>1797</v>
      </c>
      <c r="C235" t="s">
        <v>1806</v>
      </c>
      <c r="D235" t="s">
        <v>1807</v>
      </c>
    </row>
    <row r="236" spans="1:4" x14ac:dyDescent="0.3">
      <c r="A236" t="s">
        <v>1728</v>
      </c>
      <c r="B236" t="s">
        <v>1797</v>
      </c>
      <c r="C236" t="s">
        <v>1808</v>
      </c>
      <c r="D236" t="s">
        <v>1809</v>
      </c>
    </row>
    <row r="237" spans="1:4" x14ac:dyDescent="0.3">
      <c r="A237" t="s">
        <v>1728</v>
      </c>
      <c r="B237" t="s">
        <v>1797</v>
      </c>
      <c r="C237" t="s">
        <v>1810</v>
      </c>
      <c r="D237" t="s">
        <v>1811</v>
      </c>
    </row>
    <row r="238" spans="1:4" x14ac:dyDescent="0.3">
      <c r="A238" t="s">
        <v>1728</v>
      </c>
      <c r="B238" t="s">
        <v>1797</v>
      </c>
      <c r="C238" t="s">
        <v>1812</v>
      </c>
      <c r="D238" t="s">
        <v>1813</v>
      </c>
    </row>
    <row r="239" spans="1:4" x14ac:dyDescent="0.3">
      <c r="A239" t="s">
        <v>1728</v>
      </c>
      <c r="B239" t="s">
        <v>1797</v>
      </c>
      <c r="C239" t="s">
        <v>1974</v>
      </c>
      <c r="D239" t="s">
        <v>1975</v>
      </c>
    </row>
    <row r="240" spans="1:4" x14ac:dyDescent="0.3">
      <c r="A240" t="s">
        <v>1728</v>
      </c>
      <c r="B240" t="s">
        <v>1797</v>
      </c>
      <c r="C240" t="s">
        <v>1976</v>
      </c>
      <c r="D240" t="s">
        <v>1977</v>
      </c>
    </row>
    <row r="241" spans="1:4" x14ac:dyDescent="0.3">
      <c r="A241" t="s">
        <v>1728</v>
      </c>
      <c r="B241" t="s">
        <v>1797</v>
      </c>
      <c r="C241" t="s">
        <v>1978</v>
      </c>
      <c r="D241" t="s">
        <v>1979</v>
      </c>
    </row>
    <row r="242" spans="1:4" x14ac:dyDescent="0.3">
      <c r="A242" t="s">
        <v>1728</v>
      </c>
      <c r="B242" t="s">
        <v>1797</v>
      </c>
      <c r="C242" t="s">
        <v>1980</v>
      </c>
      <c r="D242" t="s">
        <v>1981</v>
      </c>
    </row>
    <row r="243" spans="1:4" x14ac:dyDescent="0.3">
      <c r="A243" t="s">
        <v>1728</v>
      </c>
      <c r="B243" t="s">
        <v>1797</v>
      </c>
      <c r="C243" t="s">
        <v>1982</v>
      </c>
      <c r="D243" t="s">
        <v>1983</v>
      </c>
    </row>
    <row r="244" spans="1:4" x14ac:dyDescent="0.3">
      <c r="A244" t="s">
        <v>1814</v>
      </c>
      <c r="B244" t="s">
        <v>1074</v>
      </c>
      <c r="C244" t="s">
        <v>1815</v>
      </c>
      <c r="D244" t="s">
        <v>1816</v>
      </c>
    </row>
    <row r="245" spans="1:4" x14ac:dyDescent="0.3">
      <c r="A245" t="s">
        <v>1814</v>
      </c>
      <c r="B245" t="s">
        <v>1074</v>
      </c>
      <c r="C245" t="s">
        <v>1817</v>
      </c>
      <c r="D245" t="s">
        <v>1818</v>
      </c>
    </row>
    <row r="246" spans="1:4" x14ac:dyDescent="0.3">
      <c r="A246" t="s">
        <v>1814</v>
      </c>
      <c r="B246" t="s">
        <v>1074</v>
      </c>
      <c r="C246" t="s">
        <v>1819</v>
      </c>
      <c r="D246" t="s">
        <v>1820</v>
      </c>
    </row>
    <row r="247" spans="1:4" x14ac:dyDescent="0.3">
      <c r="A247" t="s">
        <v>1814</v>
      </c>
      <c r="B247" t="s">
        <v>1074</v>
      </c>
      <c r="C247" t="s">
        <v>1821</v>
      </c>
      <c r="D247" t="s">
        <v>1822</v>
      </c>
    </row>
    <row r="248" spans="1:4" x14ac:dyDescent="0.3">
      <c r="A248" t="s">
        <v>1814</v>
      </c>
      <c r="B248" t="s">
        <v>1074</v>
      </c>
      <c r="C248" t="s">
        <v>1823</v>
      </c>
      <c r="D248" t="s">
        <v>1824</v>
      </c>
    </row>
    <row r="249" spans="1:4" x14ac:dyDescent="0.3">
      <c r="A249" t="s">
        <v>1814</v>
      </c>
      <c r="B249" t="s">
        <v>1074</v>
      </c>
      <c r="C249" t="s">
        <v>1825</v>
      </c>
      <c r="D249" t="s">
        <v>1826</v>
      </c>
    </row>
    <row r="250" spans="1:4" x14ac:dyDescent="0.3">
      <c r="A250" t="s">
        <v>1814</v>
      </c>
      <c r="B250" t="s">
        <v>1074</v>
      </c>
      <c r="C250" t="s">
        <v>1827</v>
      </c>
      <c r="D250" t="s">
        <v>1828</v>
      </c>
    </row>
    <row r="251" spans="1:4" x14ac:dyDescent="0.3">
      <c r="A251" t="s">
        <v>1814</v>
      </c>
      <c r="B251" t="s">
        <v>742</v>
      </c>
      <c r="C251" t="s">
        <v>1829</v>
      </c>
      <c r="D251" t="s">
        <v>1830</v>
      </c>
    </row>
    <row r="252" spans="1:4" x14ac:dyDescent="0.3">
      <c r="A252" t="s">
        <v>1814</v>
      </c>
      <c r="B252" t="s">
        <v>742</v>
      </c>
      <c r="C252" t="s">
        <v>1831</v>
      </c>
      <c r="D252" t="s">
        <v>1832</v>
      </c>
    </row>
    <row r="253" spans="1:4" x14ac:dyDescent="0.3">
      <c r="A253" t="s">
        <v>1814</v>
      </c>
      <c r="B253" t="s">
        <v>742</v>
      </c>
      <c r="C253" t="s">
        <v>1833</v>
      </c>
      <c r="D253" t="s">
        <v>1834</v>
      </c>
    </row>
    <row r="254" spans="1:4" x14ac:dyDescent="0.3">
      <c r="A254" t="s">
        <v>1814</v>
      </c>
      <c r="B254" t="s">
        <v>742</v>
      </c>
      <c r="C254" t="s">
        <v>1835</v>
      </c>
      <c r="D254" t="s">
        <v>1836</v>
      </c>
    </row>
    <row r="255" spans="1:4" x14ac:dyDescent="0.3">
      <c r="A255" t="s">
        <v>1814</v>
      </c>
      <c r="B255" t="s">
        <v>742</v>
      </c>
      <c r="C255" t="s">
        <v>1837</v>
      </c>
      <c r="D255" t="s">
        <v>1838</v>
      </c>
    </row>
    <row r="256" spans="1:4" x14ac:dyDescent="0.3">
      <c r="A256" t="s">
        <v>1814</v>
      </c>
      <c r="B256" t="s">
        <v>742</v>
      </c>
      <c r="C256" t="s">
        <v>1839</v>
      </c>
      <c r="D256" t="s">
        <v>1840</v>
      </c>
    </row>
    <row r="257" spans="1:4" x14ac:dyDescent="0.3">
      <c r="A257" t="s">
        <v>1814</v>
      </c>
      <c r="B257" t="s">
        <v>742</v>
      </c>
      <c r="C257" t="s">
        <v>1841</v>
      </c>
      <c r="D257" t="s">
        <v>1842</v>
      </c>
    </row>
    <row r="258" spans="1:4" x14ac:dyDescent="0.3">
      <c r="A258" t="s">
        <v>1843</v>
      </c>
      <c r="B258" t="s">
        <v>1844</v>
      </c>
      <c r="C258" t="s">
        <v>1234</v>
      </c>
      <c r="D258" t="s">
        <v>1235</v>
      </c>
    </row>
    <row r="259" spans="1:4" x14ac:dyDescent="0.3">
      <c r="A259" t="s">
        <v>1843</v>
      </c>
      <c r="B259" t="s">
        <v>1844</v>
      </c>
      <c r="C259" t="s">
        <v>1847</v>
      </c>
      <c r="D259" t="s">
        <v>1848</v>
      </c>
    </row>
    <row r="260" spans="1:4" x14ac:dyDescent="0.3">
      <c r="A260" t="s">
        <v>1843</v>
      </c>
      <c r="B260" t="s">
        <v>1849</v>
      </c>
      <c r="C260" t="s">
        <v>1850</v>
      </c>
      <c r="D260" t="s">
        <v>1851</v>
      </c>
    </row>
    <row r="261" spans="1:4" x14ac:dyDescent="0.3">
      <c r="A261" t="s">
        <v>1843</v>
      </c>
      <c r="B261" t="s">
        <v>1852</v>
      </c>
      <c r="C261" t="s">
        <v>1241</v>
      </c>
      <c r="D261" t="s">
        <v>1242</v>
      </c>
    </row>
    <row r="262" spans="1:4" x14ac:dyDescent="0.3">
      <c r="A262" t="s">
        <v>1853</v>
      </c>
      <c r="B262" t="s">
        <v>1854</v>
      </c>
      <c r="C262" t="s">
        <v>1855</v>
      </c>
      <c r="D262" t="s">
        <v>1856</v>
      </c>
    </row>
    <row r="263" spans="1:4" x14ac:dyDescent="0.3">
      <c r="A263" t="s">
        <v>1853</v>
      </c>
      <c r="B263" t="s">
        <v>1854</v>
      </c>
      <c r="C263" t="s">
        <v>1857</v>
      </c>
      <c r="D263" t="s">
        <v>1858</v>
      </c>
    </row>
    <row r="264" spans="1:4" x14ac:dyDescent="0.3">
      <c r="A264" t="s">
        <v>1853</v>
      </c>
      <c r="B264" t="s">
        <v>1854</v>
      </c>
      <c r="C264" t="s">
        <v>1859</v>
      </c>
      <c r="D264" t="s">
        <v>1860</v>
      </c>
    </row>
    <row r="265" spans="1:4" x14ac:dyDescent="0.3">
      <c r="A265" t="s">
        <v>1853</v>
      </c>
      <c r="B265" t="s">
        <v>1854</v>
      </c>
      <c r="C265" t="s">
        <v>1861</v>
      </c>
      <c r="D265" t="s">
        <v>1862</v>
      </c>
    </row>
    <row r="266" spans="1:4" x14ac:dyDescent="0.3">
      <c r="A266" t="s">
        <v>1853</v>
      </c>
      <c r="B266" t="s">
        <v>1854</v>
      </c>
      <c r="C266" t="s">
        <v>1863</v>
      </c>
      <c r="D266" t="s">
        <v>1864</v>
      </c>
    </row>
    <row r="267" spans="1:4" x14ac:dyDescent="0.3">
      <c r="A267" t="s">
        <v>1853</v>
      </c>
      <c r="B267" t="s">
        <v>1865</v>
      </c>
      <c r="C267" t="s">
        <v>1866</v>
      </c>
      <c r="D267" t="s">
        <v>1867</v>
      </c>
    </row>
    <row r="268" spans="1:4" x14ac:dyDescent="0.3">
      <c r="A268" t="s">
        <v>1853</v>
      </c>
      <c r="B268" t="s">
        <v>1865</v>
      </c>
      <c r="C268" t="s">
        <v>1868</v>
      </c>
      <c r="D268" t="s">
        <v>1869</v>
      </c>
    </row>
    <row r="269" spans="1:4" x14ac:dyDescent="0.3">
      <c r="A269" t="s">
        <v>1853</v>
      </c>
      <c r="B269" t="s">
        <v>1865</v>
      </c>
      <c r="C269" t="s">
        <v>1870</v>
      </c>
      <c r="D269" t="s">
        <v>1871</v>
      </c>
    </row>
    <row r="270" spans="1:4" x14ac:dyDescent="0.3">
      <c r="A270" t="s">
        <v>1853</v>
      </c>
      <c r="B270" t="s">
        <v>1865</v>
      </c>
      <c r="C270" t="s">
        <v>1872</v>
      </c>
      <c r="D270" t="s">
        <v>1873</v>
      </c>
    </row>
    <row r="271" spans="1:4" x14ac:dyDescent="0.3">
      <c r="A271" t="s">
        <v>1853</v>
      </c>
      <c r="B271" t="s">
        <v>1874</v>
      </c>
      <c r="C271" t="s">
        <v>1875</v>
      </c>
      <c r="D271" t="s">
        <v>1876</v>
      </c>
    </row>
    <row r="272" spans="1:4" x14ac:dyDescent="0.3">
      <c r="A272" t="s">
        <v>1853</v>
      </c>
      <c r="B272" t="s">
        <v>1874</v>
      </c>
      <c r="C272" t="s">
        <v>1877</v>
      </c>
      <c r="D272" t="s">
        <v>1878</v>
      </c>
    </row>
    <row r="273" spans="1:4" x14ac:dyDescent="0.3">
      <c r="A273" t="s">
        <v>1853</v>
      </c>
      <c r="B273" t="s">
        <v>1874</v>
      </c>
      <c r="C273" t="s">
        <v>1879</v>
      </c>
      <c r="D273" t="s">
        <v>1880</v>
      </c>
    </row>
    <row r="274" spans="1:4" x14ac:dyDescent="0.3">
      <c r="A274" t="s">
        <v>1853</v>
      </c>
      <c r="B274" t="s">
        <v>1874</v>
      </c>
      <c r="C274" t="s">
        <v>1881</v>
      </c>
      <c r="D274" t="s">
        <v>1882</v>
      </c>
    </row>
    <row r="275" spans="1:4" x14ac:dyDescent="0.3">
      <c r="A275" t="s">
        <v>1853</v>
      </c>
      <c r="B275" t="s">
        <v>1874</v>
      </c>
      <c r="C275" t="s">
        <v>1883</v>
      </c>
      <c r="D275" t="s">
        <v>1884</v>
      </c>
    </row>
    <row r="276" spans="1:4" x14ac:dyDescent="0.3">
      <c r="A276" t="s">
        <v>1853</v>
      </c>
      <c r="B276" t="s">
        <v>1885</v>
      </c>
      <c r="C276" t="s">
        <v>1886</v>
      </c>
      <c r="D276" t="s">
        <v>1887</v>
      </c>
    </row>
    <row r="277" spans="1:4" x14ac:dyDescent="0.3">
      <c r="A277" t="s">
        <v>1853</v>
      </c>
      <c r="B277" t="s">
        <v>1885</v>
      </c>
      <c r="C277" t="s">
        <v>356</v>
      </c>
      <c r="D277" t="s">
        <v>1888</v>
      </c>
    </row>
    <row r="278" spans="1:4" x14ac:dyDescent="0.3">
      <c r="A278" t="s">
        <v>1853</v>
      </c>
      <c r="B278" t="s">
        <v>1885</v>
      </c>
      <c r="C278" t="s">
        <v>1889</v>
      </c>
      <c r="D278" t="s">
        <v>1890</v>
      </c>
    </row>
    <row r="279" spans="1:4" x14ac:dyDescent="0.3">
      <c r="A279" t="s">
        <v>1853</v>
      </c>
      <c r="B279" t="s">
        <v>1885</v>
      </c>
      <c r="C279" t="s">
        <v>1891</v>
      </c>
      <c r="D279" t="s">
        <v>1892</v>
      </c>
    </row>
    <row r="280" spans="1:4" x14ac:dyDescent="0.3">
      <c r="A280" t="s">
        <v>1853</v>
      </c>
      <c r="B280" t="s">
        <v>1885</v>
      </c>
      <c r="C280" t="s">
        <v>1893</v>
      </c>
      <c r="D280" t="s">
        <v>1894</v>
      </c>
    </row>
    <row r="281" spans="1:4" x14ac:dyDescent="0.3">
      <c r="A281" t="s">
        <v>1853</v>
      </c>
      <c r="B281" t="s">
        <v>1885</v>
      </c>
      <c r="C281" t="s">
        <v>1895</v>
      </c>
      <c r="D281" t="s">
        <v>1896</v>
      </c>
    </row>
    <row r="282" spans="1:4" x14ac:dyDescent="0.3">
      <c r="A282" t="s">
        <v>1853</v>
      </c>
      <c r="B282" t="s">
        <v>1885</v>
      </c>
      <c r="C282" t="s">
        <v>1897</v>
      </c>
      <c r="D282" t="s">
        <v>1898</v>
      </c>
    </row>
    <row r="283" spans="1:4" x14ac:dyDescent="0.3">
      <c r="A283" t="s">
        <v>1853</v>
      </c>
      <c r="B283" t="s">
        <v>1885</v>
      </c>
      <c r="C283" t="s">
        <v>1899</v>
      </c>
      <c r="D283" t="s">
        <v>1900</v>
      </c>
    </row>
    <row r="284" spans="1:4" x14ac:dyDescent="0.3">
      <c r="A284" t="s">
        <v>1853</v>
      </c>
      <c r="B284" t="s">
        <v>1885</v>
      </c>
      <c r="C284" t="s">
        <v>1901</v>
      </c>
      <c r="D284" t="s">
        <v>1902</v>
      </c>
    </row>
    <row r="285" spans="1:4" x14ac:dyDescent="0.3">
      <c r="A285" t="s">
        <v>1853</v>
      </c>
      <c r="B285" t="s">
        <v>1885</v>
      </c>
      <c r="C285" t="s">
        <v>1903</v>
      </c>
      <c r="D285" t="s">
        <v>1904</v>
      </c>
    </row>
    <row r="286" spans="1:4" x14ac:dyDescent="0.3">
      <c r="A286" t="s">
        <v>1853</v>
      </c>
      <c r="B286" t="s">
        <v>1885</v>
      </c>
      <c r="C286" t="s">
        <v>1905</v>
      </c>
      <c r="D286" t="s">
        <v>1906</v>
      </c>
    </row>
    <row r="287" spans="1:4" x14ac:dyDescent="0.3">
      <c r="A287" t="s">
        <v>1853</v>
      </c>
      <c r="B287" t="s">
        <v>1885</v>
      </c>
      <c r="C287" t="s">
        <v>1907</v>
      </c>
      <c r="D287" t="s">
        <v>1908</v>
      </c>
    </row>
    <row r="288" spans="1:4" x14ac:dyDescent="0.3">
      <c r="A288" t="s">
        <v>1853</v>
      </c>
      <c r="B288" t="s">
        <v>1885</v>
      </c>
      <c r="C288" t="s">
        <v>1909</v>
      </c>
      <c r="D288" t="s">
        <v>1910</v>
      </c>
    </row>
    <row r="289" spans="1:4" x14ac:dyDescent="0.3">
      <c r="A289" t="s">
        <v>1853</v>
      </c>
      <c r="B289" t="s">
        <v>1885</v>
      </c>
      <c r="C289" t="s">
        <v>1911</v>
      </c>
      <c r="D289" t="s">
        <v>1912</v>
      </c>
    </row>
    <row r="290" spans="1:4" x14ac:dyDescent="0.3">
      <c r="A290" t="s">
        <v>1853</v>
      </c>
      <c r="B290" t="s">
        <v>1885</v>
      </c>
      <c r="C290" t="s">
        <v>1913</v>
      </c>
      <c r="D290" t="s">
        <v>1914</v>
      </c>
    </row>
    <row r="291" spans="1:4" x14ac:dyDescent="0.3">
      <c r="A291" t="s">
        <v>1853</v>
      </c>
      <c r="B291" t="s">
        <v>1885</v>
      </c>
      <c r="C291" t="s">
        <v>1915</v>
      </c>
      <c r="D291" t="s">
        <v>1916</v>
      </c>
    </row>
    <row r="292" spans="1:4" x14ac:dyDescent="0.3">
      <c r="A292" t="s">
        <v>1853</v>
      </c>
      <c r="B292" t="s">
        <v>1885</v>
      </c>
      <c r="C292" t="s">
        <v>1917</v>
      </c>
      <c r="D292" t="s">
        <v>1918</v>
      </c>
    </row>
    <row r="293" spans="1:4" x14ac:dyDescent="0.3">
      <c r="A293" t="s">
        <v>1853</v>
      </c>
      <c r="B293" t="s">
        <v>1885</v>
      </c>
      <c r="C293" t="s">
        <v>1984</v>
      </c>
      <c r="D293" t="s">
        <v>1985</v>
      </c>
    </row>
    <row r="294" spans="1:4" x14ac:dyDescent="0.3">
      <c r="A294" t="s">
        <v>1853</v>
      </c>
      <c r="B294" t="s">
        <v>1885</v>
      </c>
      <c r="C294" t="s">
        <v>1986</v>
      </c>
      <c r="D294" t="s">
        <v>1987</v>
      </c>
    </row>
    <row r="295" spans="1:4" x14ac:dyDescent="0.3">
      <c r="A295" t="s">
        <v>1853</v>
      </c>
      <c r="B295" t="s">
        <v>1885</v>
      </c>
      <c r="C295" t="s">
        <v>1988</v>
      </c>
      <c r="D295" t="s">
        <v>1989</v>
      </c>
    </row>
    <row r="296" spans="1:4" x14ac:dyDescent="0.3">
      <c r="A296" t="s">
        <v>1853</v>
      </c>
      <c r="B296" t="s">
        <v>1885</v>
      </c>
      <c r="C296" t="s">
        <v>1990</v>
      </c>
      <c r="D296" t="s">
        <v>1991</v>
      </c>
    </row>
    <row r="297" spans="1:4" x14ac:dyDescent="0.3">
      <c r="A297" t="s">
        <v>1853</v>
      </c>
      <c r="B297" t="s">
        <v>1885</v>
      </c>
      <c r="C297" t="s">
        <v>1992</v>
      </c>
      <c r="D297" t="s">
        <v>1993</v>
      </c>
    </row>
    <row r="298" spans="1:4" x14ac:dyDescent="0.3">
      <c r="A298" t="s">
        <v>1853</v>
      </c>
      <c r="B298" t="s">
        <v>1536</v>
      </c>
      <c r="C298" t="s">
        <v>1919</v>
      </c>
      <c r="D298" t="s">
        <v>1920</v>
      </c>
    </row>
    <row r="299" spans="1:4" x14ac:dyDescent="0.3">
      <c r="A299" t="s">
        <v>1853</v>
      </c>
      <c r="B299" t="s">
        <v>1536</v>
      </c>
      <c r="C299" t="s">
        <v>1921</v>
      </c>
      <c r="D299" t="s">
        <v>1922</v>
      </c>
    </row>
    <row r="300" spans="1:4" x14ac:dyDescent="0.3">
      <c r="A300" t="s">
        <v>1853</v>
      </c>
      <c r="B300" t="s">
        <v>1536</v>
      </c>
      <c r="C300" t="s">
        <v>1923</v>
      </c>
      <c r="D300" t="s">
        <v>1924</v>
      </c>
    </row>
    <row r="301" spans="1:4" x14ac:dyDescent="0.3">
      <c r="A301" t="s">
        <v>1853</v>
      </c>
      <c r="B301" t="s">
        <v>1536</v>
      </c>
      <c r="C301" t="s">
        <v>1925</v>
      </c>
      <c r="D301" t="s">
        <v>1926</v>
      </c>
    </row>
    <row r="302" spans="1:4" x14ac:dyDescent="0.3">
      <c r="A302" t="s">
        <v>1853</v>
      </c>
      <c r="B302" t="s">
        <v>1536</v>
      </c>
      <c r="C302" t="s">
        <v>1927</v>
      </c>
      <c r="D302" t="s">
        <v>1928</v>
      </c>
    </row>
    <row r="303" spans="1:4" x14ac:dyDescent="0.3">
      <c r="A303" t="s">
        <v>1853</v>
      </c>
      <c r="B303" t="s">
        <v>1929</v>
      </c>
      <c r="C303" t="s">
        <v>1930</v>
      </c>
      <c r="D303" t="s">
        <v>1931</v>
      </c>
    </row>
    <row r="304" spans="1:4" x14ac:dyDescent="0.3">
      <c r="A304" t="s">
        <v>1853</v>
      </c>
      <c r="B304" t="s">
        <v>1929</v>
      </c>
      <c r="C304" t="s">
        <v>1932</v>
      </c>
      <c r="D304" t="s">
        <v>1933</v>
      </c>
    </row>
    <row r="305" spans="1:4" x14ac:dyDescent="0.3">
      <c r="A305" t="s">
        <v>1853</v>
      </c>
      <c r="B305" t="s">
        <v>1929</v>
      </c>
      <c r="C305" t="s">
        <v>1934</v>
      </c>
      <c r="D305" t="s">
        <v>1935</v>
      </c>
    </row>
    <row r="306" spans="1:4" x14ac:dyDescent="0.3">
      <c r="A306" t="s">
        <v>1853</v>
      </c>
      <c r="B306" t="s">
        <v>1929</v>
      </c>
      <c r="C306" t="s">
        <v>1936</v>
      </c>
      <c r="D306" t="s">
        <v>1937</v>
      </c>
    </row>
    <row r="307" spans="1:4" x14ac:dyDescent="0.3">
      <c r="A307" t="s">
        <v>1853</v>
      </c>
      <c r="B307" t="s">
        <v>1929</v>
      </c>
      <c r="C307" t="s">
        <v>1994</v>
      </c>
      <c r="D307" t="s">
        <v>1995</v>
      </c>
    </row>
    <row r="308" spans="1:4" x14ac:dyDescent="0.3">
      <c r="A308" t="s">
        <v>1853</v>
      </c>
      <c r="B308" t="s">
        <v>1929</v>
      </c>
      <c r="C308" t="s">
        <v>1996</v>
      </c>
      <c r="D308" t="s">
        <v>1997</v>
      </c>
    </row>
    <row r="309" spans="1:4" x14ac:dyDescent="0.3">
      <c r="A309" t="s">
        <v>1853</v>
      </c>
      <c r="B309" t="s">
        <v>1929</v>
      </c>
      <c r="C309" t="s">
        <v>1998</v>
      </c>
      <c r="D309" t="s">
        <v>1999</v>
      </c>
    </row>
    <row r="310" spans="1:4" x14ac:dyDescent="0.3">
      <c r="A310" t="s">
        <v>1853</v>
      </c>
      <c r="B310" t="s">
        <v>1929</v>
      </c>
      <c r="C310" t="s">
        <v>2000</v>
      </c>
      <c r="D310" t="s">
        <v>2001</v>
      </c>
    </row>
    <row r="311" spans="1:4" x14ac:dyDescent="0.3">
      <c r="A311" t="s">
        <v>1853</v>
      </c>
      <c r="B311" t="s">
        <v>1929</v>
      </c>
      <c r="C311" t="s">
        <v>2002</v>
      </c>
      <c r="D311" t="s">
        <v>2003</v>
      </c>
    </row>
    <row r="312" spans="1:4" x14ac:dyDescent="0.3">
      <c r="A312" t="s">
        <v>1853</v>
      </c>
      <c r="B312" t="s">
        <v>1929</v>
      </c>
      <c r="C312" t="s">
        <v>2004</v>
      </c>
      <c r="D312" t="s">
        <v>2005</v>
      </c>
    </row>
    <row r="313" spans="1:4" x14ac:dyDescent="0.3">
      <c r="A313" t="s">
        <v>1853</v>
      </c>
      <c r="B313" t="s">
        <v>1929</v>
      </c>
      <c r="C313" t="s">
        <v>2006</v>
      </c>
      <c r="D313" t="s">
        <v>2007</v>
      </c>
    </row>
    <row r="314" spans="1:4" x14ac:dyDescent="0.3">
      <c r="A314" t="s">
        <v>1853</v>
      </c>
      <c r="B314" t="s">
        <v>1929</v>
      </c>
      <c r="C314" t="s">
        <v>2008</v>
      </c>
      <c r="D314" t="s">
        <v>2009</v>
      </c>
    </row>
    <row r="315" spans="1:4" x14ac:dyDescent="0.3">
      <c r="A315" t="s">
        <v>1853</v>
      </c>
      <c r="B315" t="s">
        <v>1938</v>
      </c>
      <c r="C315" t="s">
        <v>1939</v>
      </c>
      <c r="D315" t="s">
        <v>1940</v>
      </c>
    </row>
    <row r="316" spans="1:4" x14ac:dyDescent="0.3">
      <c r="A316" t="s">
        <v>1853</v>
      </c>
      <c r="B316" t="s">
        <v>1938</v>
      </c>
      <c r="C316" t="s">
        <v>1941</v>
      </c>
      <c r="D316" t="s">
        <v>2040</v>
      </c>
    </row>
    <row r="317" spans="1:4" x14ac:dyDescent="0.3">
      <c r="A317" t="s">
        <v>1853</v>
      </c>
      <c r="B317" t="s">
        <v>1938</v>
      </c>
      <c r="C317" t="s">
        <v>1942</v>
      </c>
      <c r="D317" t="s">
        <v>1943</v>
      </c>
    </row>
    <row r="318" spans="1:4" x14ac:dyDescent="0.3">
      <c r="A318" t="s">
        <v>1853</v>
      </c>
      <c r="B318" t="s">
        <v>1938</v>
      </c>
      <c r="C318" t="s">
        <v>1944</v>
      </c>
      <c r="D318" t="s">
        <v>1945</v>
      </c>
    </row>
    <row r="319" spans="1:4" x14ac:dyDescent="0.3">
      <c r="A319" t="s">
        <v>1853</v>
      </c>
      <c r="B319" t="s">
        <v>1938</v>
      </c>
      <c r="C319" t="s">
        <v>1946</v>
      </c>
      <c r="D319" t="s">
        <v>1947</v>
      </c>
    </row>
    <row r="320" spans="1:4" x14ac:dyDescent="0.3">
      <c r="A320" t="s">
        <v>1853</v>
      </c>
      <c r="B320" t="s">
        <v>1677</v>
      </c>
      <c r="C320" t="s">
        <v>1948</v>
      </c>
      <c r="D320" t="s">
        <v>1949</v>
      </c>
    </row>
    <row r="321" spans="1:4" x14ac:dyDescent="0.3">
      <c r="A321" t="s">
        <v>1853</v>
      </c>
      <c r="B321" t="s">
        <v>1677</v>
      </c>
      <c r="C321" t="s">
        <v>1950</v>
      </c>
      <c r="D321" t="s">
        <v>1951</v>
      </c>
    </row>
    <row r="322" spans="1:4" x14ac:dyDescent="0.3">
      <c r="A322" t="s">
        <v>1853</v>
      </c>
      <c r="B322" t="s">
        <v>1677</v>
      </c>
      <c r="C322" t="s">
        <v>1952</v>
      </c>
      <c r="D322" t="s">
        <v>1953</v>
      </c>
    </row>
    <row r="323" spans="1:4" x14ac:dyDescent="0.3">
      <c r="A323" t="s">
        <v>1853</v>
      </c>
      <c r="B323" t="s">
        <v>1677</v>
      </c>
      <c r="C323" t="s">
        <v>1954</v>
      </c>
      <c r="D323" t="s">
        <v>1955</v>
      </c>
    </row>
    <row r="324" spans="1:4" x14ac:dyDescent="0.3">
      <c r="A324" t="s">
        <v>1853</v>
      </c>
      <c r="B324" t="s">
        <v>1677</v>
      </c>
      <c r="C324" t="s">
        <v>1956</v>
      </c>
      <c r="D324" t="s">
        <v>1957</v>
      </c>
    </row>
    <row r="325" spans="1:4" x14ac:dyDescent="0.3">
      <c r="A325" t="s">
        <v>1853</v>
      </c>
      <c r="B325" t="s">
        <v>1677</v>
      </c>
      <c r="C325" t="s">
        <v>1958</v>
      </c>
      <c r="D325" t="s">
        <v>1959</v>
      </c>
    </row>
    <row r="326" spans="1:4" x14ac:dyDescent="0.3">
      <c r="A326" t="s">
        <v>1853</v>
      </c>
      <c r="B326" t="s">
        <v>1677</v>
      </c>
      <c r="C326" t="s">
        <v>1960</v>
      </c>
      <c r="D326" t="s">
        <v>1961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43</vt:i4>
      </vt:variant>
    </vt:vector>
  </HeadingPairs>
  <TitlesOfParts>
    <vt:vector size="49" baseType="lpstr">
      <vt:lpstr>Calculation</vt:lpstr>
      <vt:lpstr>Template</vt:lpstr>
      <vt:lpstr>Help Page</vt:lpstr>
      <vt:lpstr>Double test</vt:lpstr>
      <vt:lpstr>Instruction</vt:lpstr>
      <vt:lpstr>Instruction 2</vt:lpstr>
      <vt:lpstr>acra_garant</vt:lpstr>
      <vt:lpstr>acra_issue</vt:lpstr>
      <vt:lpstr>acra_issuer</vt:lpstr>
      <vt:lpstr>axe1x_max</vt:lpstr>
      <vt:lpstr>axe1x_min</vt:lpstr>
      <vt:lpstr>axe1y_max</vt:lpstr>
      <vt:lpstr>axe1y_min</vt:lpstr>
      <vt:lpstr>axe2x_max</vt:lpstr>
      <vt:lpstr>axe2x_min</vt:lpstr>
      <vt:lpstr>axe2y_max</vt:lpstr>
      <vt:lpstr>axe2y_min</vt:lpstr>
      <vt:lpstr>axe3x_max</vt:lpstr>
      <vt:lpstr>axe3x_min</vt:lpstr>
      <vt:lpstr>axe3y_max</vt:lpstr>
      <vt:lpstr>axe3y_min</vt:lpstr>
      <vt:lpstr>axe4x_max</vt:lpstr>
      <vt:lpstr>axe4x_min</vt:lpstr>
      <vt:lpstr>axe4y_max</vt:lpstr>
      <vt:lpstr>axe4y_min</vt:lpstr>
      <vt:lpstr>bonds_out</vt:lpstr>
      <vt:lpstr>chart1</vt:lpstr>
      <vt:lpstr>chart2</vt:lpstr>
      <vt:lpstr>chart3</vt:lpstr>
      <vt:lpstr>chart4</vt:lpstr>
      <vt:lpstr>Date</vt:lpstr>
      <vt:lpstr>duration</vt:lpstr>
      <vt:lpstr>expert_garant</vt:lpstr>
      <vt:lpstr>expert_issue</vt:lpstr>
      <vt:lpstr>expert_issuer</vt:lpstr>
      <vt:lpstr>exspert_garant</vt:lpstr>
      <vt:lpstr>ISIN</vt:lpstr>
      <vt:lpstr>ncr_garant</vt:lpstr>
      <vt:lpstr>ncr_issue</vt:lpstr>
      <vt:lpstr>ncr_issuer</vt:lpstr>
      <vt:lpstr>r_garant</vt:lpstr>
      <vt:lpstr>r_issue</vt:lpstr>
      <vt:lpstr>r_issuer</vt:lpstr>
      <vt:lpstr>raex_garant</vt:lpstr>
      <vt:lpstr>raex_issue</vt:lpstr>
      <vt:lpstr>raex_issuer</vt:lpstr>
      <vt:lpstr>ratings_garant</vt:lpstr>
      <vt:lpstr>ratings_issue</vt:lpstr>
      <vt:lpstr>ratings_issuer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Windows-пользователь</dc:creator>
  <cp:lastModifiedBy>Габов Максим Валерьевич</cp:lastModifiedBy>
  <dcterms:created xsi:type="dcterms:W3CDTF">2022-03-05T15:30:31Z</dcterms:created>
  <dcterms:modified xsi:type="dcterms:W3CDTF">2026-01-13T14:03:58Z</dcterms:modified>
</cp:coreProperties>
</file>