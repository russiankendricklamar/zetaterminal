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 codeName="{51196F13-6AD0-C1B8-E2B4-A1F9AE17003E}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gabovmv\Documents\Рабочая среда\Шаблоны\Автоматизированный шаблон\"/>
    </mc:Choice>
  </mc:AlternateContent>
  <bookViews>
    <workbookView xWindow="0" yWindow="0" windowWidth="28800" windowHeight="11832" activeTab="1"/>
  </bookViews>
  <sheets>
    <sheet name="Calculation" sheetId="3" r:id="rId1"/>
    <sheet name="Template" sheetId="2" r:id="rId2"/>
    <sheet name="Help Page" sheetId="6" r:id="rId3"/>
    <sheet name="Activity" sheetId="12" r:id="rId4"/>
    <sheet name="Double test" sheetId="11" r:id="rId5"/>
    <sheet name="Instruction" sheetId="7" state="hidden" r:id="rId6"/>
    <sheet name="Instruction 2" sheetId="8" state="hidden" r:id="rId7"/>
  </sheets>
  <functionGroups builtInGroupCount="18"/>
  <definedNames>
    <definedName name="_xlnm._FilterDatabase" localSheetId="0" hidden="1">Calculation!$CH$6:$CM$203</definedName>
    <definedName name="_xlnm._FilterDatabase" localSheetId="2" hidden="1">'Help Page'!$A$1:$F$37</definedName>
    <definedName name="acra_garant">Template!$B$20</definedName>
    <definedName name="acra_issue">Template!$B$10</definedName>
    <definedName name="acra_issuer">Template!$B$15</definedName>
    <definedName name="axe1x_max">Calculation!$L$47</definedName>
    <definedName name="axe1x_min">Calculation!$K$47</definedName>
    <definedName name="axe1y_max">Calculation!$N$47</definedName>
    <definedName name="axe1y_min">Calculation!$M$47</definedName>
    <definedName name="axe2x_max">Calculation!$L$48</definedName>
    <definedName name="axe2x_min">Calculation!$K$48</definedName>
    <definedName name="axe2y_max">Calculation!$N$48</definedName>
    <definedName name="axe2y_min">Calculation!$M$48</definedName>
    <definedName name="axe3x_max">Calculation!$L$49</definedName>
    <definedName name="axe3x_min">Calculation!$K$49</definedName>
    <definedName name="axe3y_max">Calculation!$N$49</definedName>
    <definedName name="axe3y_min">Calculation!$M$49</definedName>
    <definedName name="axe4x_max">Calculation!$L$50</definedName>
    <definedName name="axe4x_min">Calculation!$K$50</definedName>
    <definedName name="axe4y_max">Calculation!$N$50</definedName>
    <definedName name="axe4y_min">Calculation!$M$50</definedName>
    <definedName name="bonds_out">Template!$B$7</definedName>
    <definedName name="chart1">Template!$A$48</definedName>
    <definedName name="chart2">Template!$A$66</definedName>
    <definedName name="chart3">Template!$A$81</definedName>
    <definedName name="chart4">Template!$A$86</definedName>
    <definedName name="Date">Template!$C$33</definedName>
    <definedName name="duration">Template!$B$47</definedName>
    <definedName name="expert_garant">Template!$B$19</definedName>
    <definedName name="expert_issue">Template!$B$9</definedName>
    <definedName name="expert_issuer">Template!$B$14</definedName>
    <definedName name="exspert_garant">Template!$B$19</definedName>
    <definedName name="ISIN">Template!$B$2</definedName>
    <definedName name="ncr_garant">Template!$B$21</definedName>
    <definedName name="ncr_issue">Template!$B$11</definedName>
    <definedName name="ncr_issuer">Template!$B$16</definedName>
    <definedName name="r_garant">Template!$A$18</definedName>
    <definedName name="r_issue">Template!$A$8</definedName>
    <definedName name="r_issuer">Template!$A$13</definedName>
    <definedName name="raex_garant">Template!$B$22</definedName>
    <definedName name="raex_issue">Template!$B$12</definedName>
    <definedName name="raex_issuer">Template!$B$17</definedName>
    <definedName name="ratings_garant">Template!$B$19:$B$22</definedName>
    <definedName name="ratings_issue">Template!$B$9:$B$12</definedName>
    <definedName name="ratings_issuer">Template!$B$14:$B$17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" i="11" l="1"/>
  <c r="E9" i="11"/>
  <c r="A99" i="2" l="1"/>
  <c r="B28" i="2" l="1"/>
  <c r="B3" i="3" l="1"/>
  <c r="AL4" i="12" l="1"/>
  <c r="AM4" i="12"/>
  <c r="AN4" i="12"/>
  <c r="AO4" i="12"/>
  <c r="AP4" i="12"/>
  <c r="AQ4" i="12"/>
  <c r="AR4" i="12"/>
  <c r="AS4" i="12"/>
  <c r="AT4" i="12"/>
  <c r="AU4" i="12"/>
  <c r="AV4" i="12"/>
  <c r="AW4" i="12"/>
  <c r="AX4" i="12"/>
  <c r="AY4" i="12"/>
  <c r="AZ4" i="12"/>
  <c r="BA4" i="12"/>
  <c r="BB4" i="12"/>
  <c r="BC4" i="12"/>
  <c r="BD4" i="12"/>
  <c r="BE4" i="12"/>
  <c r="BF4" i="12"/>
  <c r="BG4" i="12"/>
  <c r="BH4" i="12"/>
  <c r="BI4" i="12"/>
  <c r="BJ4" i="12"/>
  <c r="BK4" i="12"/>
  <c r="BL4" i="12"/>
  <c r="BM4" i="12"/>
  <c r="BN4" i="12"/>
  <c r="AK4" i="12"/>
  <c r="G4" i="12" l="1"/>
  <c r="H4" i="12"/>
  <c r="I4" i="12"/>
  <c r="J4" i="12"/>
  <c r="K4" i="12"/>
  <c r="L4" i="12"/>
  <c r="M4" i="12"/>
  <c r="N4" i="12"/>
  <c r="O4" i="12"/>
  <c r="P4" i="12"/>
  <c r="Q4" i="12"/>
  <c r="R4" i="12"/>
  <c r="S4" i="12"/>
  <c r="T4" i="12"/>
  <c r="U4" i="12"/>
  <c r="V4" i="12"/>
  <c r="W4" i="12"/>
  <c r="X4" i="12"/>
  <c r="Y4" i="12"/>
  <c r="Z4" i="12"/>
  <c r="AA4" i="12"/>
  <c r="AB4" i="12"/>
  <c r="AC4" i="12"/>
  <c r="AD4" i="12"/>
  <c r="AE4" i="12"/>
  <c r="AF4" i="12"/>
  <c r="AG4" i="12"/>
  <c r="AH4" i="12"/>
  <c r="AI4" i="12"/>
  <c r="F4" i="12"/>
  <c r="G374" i="3" l="1"/>
  <c r="B44" i="12"/>
  <c r="D44" i="12" s="1"/>
  <c r="B43" i="12"/>
  <c r="B42" i="12"/>
  <c r="D42" i="12" s="1"/>
  <c r="B41" i="12"/>
  <c r="C41" i="12" s="1"/>
  <c r="B38" i="12"/>
  <c r="AR38" i="12" s="1"/>
  <c r="B37" i="12"/>
  <c r="U37" i="12" s="1"/>
  <c r="B36" i="12"/>
  <c r="BN36" i="12" s="1"/>
  <c r="B35" i="12"/>
  <c r="AC35" i="12" s="1"/>
  <c r="B32" i="12"/>
  <c r="F32" i="12" s="1"/>
  <c r="B31" i="12"/>
  <c r="BJ31" i="12" s="1"/>
  <c r="B30" i="12"/>
  <c r="F30" i="12" s="1"/>
  <c r="B29" i="12"/>
  <c r="J29" i="12" s="1"/>
  <c r="B26" i="12"/>
  <c r="AQ26" i="12" s="1"/>
  <c r="B25" i="12"/>
  <c r="D25" i="12" s="1"/>
  <c r="B24" i="12"/>
  <c r="C24" i="12" s="1"/>
  <c r="B23" i="12"/>
  <c r="BK23" i="12" s="1"/>
  <c r="B20" i="12"/>
  <c r="D20" i="12" s="1"/>
  <c r="B19" i="12"/>
  <c r="BK19" i="12" s="1"/>
  <c r="B18" i="12"/>
  <c r="BG18" i="12" s="1"/>
  <c r="B17" i="12"/>
  <c r="F21" i="12" s="1"/>
  <c r="B12" i="12"/>
  <c r="B13" i="12"/>
  <c r="B14" i="12"/>
  <c r="B11" i="12"/>
  <c r="B6" i="12"/>
  <c r="B7" i="12"/>
  <c r="B8" i="12"/>
  <c r="B5" i="12"/>
  <c r="B2" i="12"/>
  <c r="D43" i="12"/>
  <c r="C43" i="12"/>
  <c r="D31" i="12"/>
  <c r="C30" i="12"/>
  <c r="N30" i="3"/>
  <c r="N32" i="3"/>
  <c r="D13" i="12"/>
  <c r="C14" i="12"/>
  <c r="C13" i="12"/>
  <c r="N29" i="3"/>
  <c r="D8" i="12"/>
  <c r="N28" i="3"/>
  <c r="C7" i="12"/>
  <c r="N31" i="3"/>
  <c r="N27" i="3"/>
  <c r="C19" i="12" l="1"/>
  <c r="D37" i="12"/>
  <c r="C37" i="12"/>
  <c r="D17" i="12"/>
  <c r="D32" i="12"/>
  <c r="BE17" i="12"/>
  <c r="AD23" i="12"/>
  <c r="AU20" i="12"/>
  <c r="AM20" i="12"/>
  <c r="F20" i="12"/>
  <c r="C20" i="12"/>
  <c r="H17" i="12"/>
  <c r="AQ29" i="12"/>
  <c r="X17" i="12"/>
  <c r="AO17" i="12"/>
  <c r="K18" i="12"/>
  <c r="AA18" i="12"/>
  <c r="AR18" i="12"/>
  <c r="AH24" i="12"/>
  <c r="L17" i="12"/>
  <c r="AB17" i="12"/>
  <c r="AS17" i="12"/>
  <c r="BI17" i="12"/>
  <c r="O18" i="12"/>
  <c r="AE18" i="12"/>
  <c r="AV18" i="12"/>
  <c r="N20" i="12"/>
  <c r="BC20" i="12"/>
  <c r="BC23" i="12"/>
  <c r="BG24" i="12"/>
  <c r="F27" i="12"/>
  <c r="BG30" i="12"/>
  <c r="BK30" i="12"/>
  <c r="AD30" i="12"/>
  <c r="BC30" i="12"/>
  <c r="V30" i="12"/>
  <c r="AU30" i="12"/>
  <c r="BG26" i="12"/>
  <c r="Z26" i="12"/>
  <c r="AY26" i="12"/>
  <c r="R26" i="12"/>
  <c r="AF32" i="12"/>
  <c r="V32" i="12"/>
  <c r="P17" i="12"/>
  <c r="AF17" i="12"/>
  <c r="AW17" i="12"/>
  <c r="BM17" i="12"/>
  <c r="S18" i="12"/>
  <c r="AI18" i="12"/>
  <c r="BC18" i="12"/>
  <c r="V20" i="12"/>
  <c r="BK20" i="12"/>
  <c r="J26" i="12"/>
  <c r="N30" i="12"/>
  <c r="N32" i="12"/>
  <c r="BK24" i="12"/>
  <c r="AY24" i="12"/>
  <c r="R24" i="12"/>
  <c r="AQ24" i="12"/>
  <c r="J24" i="12"/>
  <c r="AX36" i="12"/>
  <c r="AG36" i="12"/>
  <c r="O42" i="12"/>
  <c r="AV42" i="12"/>
  <c r="D18" i="12"/>
  <c r="D30" i="12"/>
  <c r="BP27" i="12"/>
  <c r="L29" i="3" s="1"/>
  <c r="AU23" i="12"/>
  <c r="N23" i="12"/>
  <c r="AM23" i="12"/>
  <c r="F23" i="12"/>
  <c r="BK29" i="12"/>
  <c r="BG29" i="12"/>
  <c r="Z29" i="12"/>
  <c r="AY29" i="12"/>
  <c r="R29" i="12"/>
  <c r="AT35" i="12"/>
  <c r="BJ35" i="12"/>
  <c r="K41" i="12"/>
  <c r="AR41" i="12"/>
  <c r="T17" i="12"/>
  <c r="AK17" i="12"/>
  <c r="BA17" i="12"/>
  <c r="G18" i="12"/>
  <c r="W18" i="12"/>
  <c r="AN18" i="12"/>
  <c r="BK18" i="12"/>
  <c r="AD20" i="12"/>
  <c r="V23" i="12"/>
  <c r="Z24" i="12"/>
  <c r="AH26" i="12"/>
  <c r="AH29" i="12"/>
  <c r="AM30" i="12"/>
  <c r="BJ32" i="12"/>
  <c r="BM25" i="12"/>
  <c r="BI25" i="12"/>
  <c r="BE25" i="12"/>
  <c r="BA25" i="12"/>
  <c r="AW25" i="12"/>
  <c r="AS25" i="12"/>
  <c r="AO25" i="12"/>
  <c r="AK25" i="12"/>
  <c r="AF25" i="12"/>
  <c r="AB25" i="12"/>
  <c r="X25" i="12"/>
  <c r="T25" i="12"/>
  <c r="P25" i="12"/>
  <c r="L25" i="12"/>
  <c r="H25" i="12"/>
  <c r="BL25" i="12"/>
  <c r="BH25" i="12"/>
  <c r="BD25" i="12"/>
  <c r="AZ25" i="12"/>
  <c r="AV25" i="12"/>
  <c r="AR25" i="12"/>
  <c r="AN25" i="12"/>
  <c r="AI25" i="12"/>
  <c r="AE25" i="12"/>
  <c r="AA25" i="12"/>
  <c r="W25" i="12"/>
  <c r="S25" i="12"/>
  <c r="O25" i="12"/>
  <c r="K25" i="12"/>
  <c r="G25" i="12"/>
  <c r="BN43" i="12"/>
  <c r="BJ43" i="12"/>
  <c r="BF43" i="12"/>
  <c r="BB43" i="12"/>
  <c r="AX43" i="12"/>
  <c r="AT43" i="12"/>
  <c r="AP43" i="12"/>
  <c r="AL43" i="12"/>
  <c r="AG43" i="12"/>
  <c r="AC43" i="12"/>
  <c r="Y43" i="12"/>
  <c r="U43" i="12"/>
  <c r="Q43" i="12"/>
  <c r="M43" i="12"/>
  <c r="I43" i="12"/>
  <c r="BM43" i="12"/>
  <c r="BI43" i="12"/>
  <c r="BE43" i="12"/>
  <c r="BA43" i="12"/>
  <c r="AW43" i="12"/>
  <c r="AS43" i="12"/>
  <c r="AO43" i="12"/>
  <c r="AK43" i="12"/>
  <c r="AF43" i="12"/>
  <c r="AB43" i="12"/>
  <c r="X43" i="12"/>
  <c r="T43" i="12"/>
  <c r="P43" i="12"/>
  <c r="L43" i="12"/>
  <c r="H43" i="12"/>
  <c r="BG43" i="12"/>
  <c r="AY43" i="12"/>
  <c r="AQ43" i="12"/>
  <c r="AH43" i="12"/>
  <c r="Z43" i="12"/>
  <c r="R43" i="12"/>
  <c r="J43" i="12"/>
  <c r="BL43" i="12"/>
  <c r="BD43" i="12"/>
  <c r="AV43" i="12"/>
  <c r="AN43" i="12"/>
  <c r="AE43" i="12"/>
  <c r="W43" i="12"/>
  <c r="O43" i="12"/>
  <c r="G43" i="12"/>
  <c r="BK43" i="12"/>
  <c r="BC43" i="12"/>
  <c r="AU43" i="12"/>
  <c r="AM43" i="12"/>
  <c r="AD43" i="12"/>
  <c r="V43" i="12"/>
  <c r="N43" i="12"/>
  <c r="F43" i="12"/>
  <c r="AI43" i="12"/>
  <c r="BH43" i="12"/>
  <c r="AA43" i="12"/>
  <c r="Z19" i="12"/>
  <c r="N25" i="12"/>
  <c r="AM25" i="12"/>
  <c r="BC25" i="12"/>
  <c r="Z31" i="12"/>
  <c r="AY31" i="12"/>
  <c r="BM20" i="12"/>
  <c r="BI20" i="12"/>
  <c r="BE20" i="12"/>
  <c r="BA20" i="12"/>
  <c r="AW20" i="12"/>
  <c r="AS20" i="12"/>
  <c r="AO20" i="12"/>
  <c r="AK20" i="12"/>
  <c r="AF20" i="12"/>
  <c r="AB20" i="12"/>
  <c r="X20" i="12"/>
  <c r="T20" i="12"/>
  <c r="P20" i="12"/>
  <c r="L20" i="12"/>
  <c r="H20" i="12"/>
  <c r="BL20" i="12"/>
  <c r="BH20" i="12"/>
  <c r="BD20" i="12"/>
  <c r="AZ20" i="12"/>
  <c r="AV20" i="12"/>
  <c r="AR20" i="12"/>
  <c r="AN20" i="12"/>
  <c r="AI20" i="12"/>
  <c r="AE20" i="12"/>
  <c r="AA20" i="12"/>
  <c r="W20" i="12"/>
  <c r="S20" i="12"/>
  <c r="O20" i="12"/>
  <c r="K20" i="12"/>
  <c r="G20" i="12"/>
  <c r="BM26" i="12"/>
  <c r="BI26" i="12"/>
  <c r="BE26" i="12"/>
  <c r="BA26" i="12"/>
  <c r="AW26" i="12"/>
  <c r="AS26" i="12"/>
  <c r="AO26" i="12"/>
  <c r="AK26" i="12"/>
  <c r="AF26" i="12"/>
  <c r="AB26" i="12"/>
  <c r="X26" i="12"/>
  <c r="T26" i="12"/>
  <c r="P26" i="12"/>
  <c r="L26" i="12"/>
  <c r="H26" i="12"/>
  <c r="BL26" i="12"/>
  <c r="BH26" i="12"/>
  <c r="BD26" i="12"/>
  <c r="AZ26" i="12"/>
  <c r="AV26" i="12"/>
  <c r="AR26" i="12"/>
  <c r="AN26" i="12"/>
  <c r="AI26" i="12"/>
  <c r="AE26" i="12"/>
  <c r="AA26" i="12"/>
  <c r="W26" i="12"/>
  <c r="S26" i="12"/>
  <c r="O26" i="12"/>
  <c r="K26" i="12"/>
  <c r="G26" i="12"/>
  <c r="BM32" i="12"/>
  <c r="BI32" i="12"/>
  <c r="BE32" i="12"/>
  <c r="BA32" i="12"/>
  <c r="AW32" i="12"/>
  <c r="AS32" i="12"/>
  <c r="AO32" i="12"/>
  <c r="AK32" i="12"/>
  <c r="BL32" i="12"/>
  <c r="BH32" i="12"/>
  <c r="BD32" i="12"/>
  <c r="AZ32" i="12"/>
  <c r="AV32" i="12"/>
  <c r="AR32" i="12"/>
  <c r="AN32" i="12"/>
  <c r="AI32" i="12"/>
  <c r="BK32" i="12"/>
  <c r="BG32" i="12"/>
  <c r="BC32" i="12"/>
  <c r="AY32" i="12"/>
  <c r="AU32" i="12"/>
  <c r="AQ32" i="12"/>
  <c r="AM32" i="12"/>
  <c r="AH32" i="12"/>
  <c r="AD32" i="12"/>
  <c r="Z32" i="12"/>
  <c r="BB32" i="12"/>
  <c r="AL32" i="12"/>
  <c r="AC32" i="12"/>
  <c r="X32" i="12"/>
  <c r="T32" i="12"/>
  <c r="P32" i="12"/>
  <c r="L32" i="12"/>
  <c r="H32" i="12"/>
  <c r="BN32" i="12"/>
  <c r="AX32" i="12"/>
  <c r="AG32" i="12"/>
  <c r="AB32" i="12"/>
  <c r="W32" i="12"/>
  <c r="S32" i="12"/>
  <c r="O32" i="12"/>
  <c r="K32" i="12"/>
  <c r="G32" i="12"/>
  <c r="BN38" i="12"/>
  <c r="BJ38" i="12"/>
  <c r="BF38" i="12"/>
  <c r="BB38" i="12"/>
  <c r="AX38" i="12"/>
  <c r="AT38" i="12"/>
  <c r="AP38" i="12"/>
  <c r="AL38" i="12"/>
  <c r="AG38" i="12"/>
  <c r="AC38" i="12"/>
  <c r="Y38" i="12"/>
  <c r="U38" i="12"/>
  <c r="Q38" i="12"/>
  <c r="M38" i="12"/>
  <c r="I38" i="12"/>
  <c r="BM38" i="12"/>
  <c r="BI38" i="12"/>
  <c r="BE38" i="12"/>
  <c r="BA38" i="12"/>
  <c r="AW38" i="12"/>
  <c r="AS38" i="12"/>
  <c r="AO38" i="12"/>
  <c r="AK38" i="12"/>
  <c r="AF38" i="12"/>
  <c r="AB38" i="12"/>
  <c r="X38" i="12"/>
  <c r="T38" i="12"/>
  <c r="P38" i="12"/>
  <c r="L38" i="12"/>
  <c r="H38" i="12"/>
  <c r="BG38" i="12"/>
  <c r="AY38" i="12"/>
  <c r="AQ38" i="12"/>
  <c r="AH38" i="12"/>
  <c r="Z38" i="12"/>
  <c r="R38" i="12"/>
  <c r="J38" i="12"/>
  <c r="BL38" i="12"/>
  <c r="BD38" i="12"/>
  <c r="AV38" i="12"/>
  <c r="AN38" i="12"/>
  <c r="AE38" i="12"/>
  <c r="W38" i="12"/>
  <c r="O38" i="12"/>
  <c r="G38" i="12"/>
  <c r="BK38" i="12"/>
  <c r="BC38" i="12"/>
  <c r="AU38" i="12"/>
  <c r="AM38" i="12"/>
  <c r="AD38" i="12"/>
  <c r="V38" i="12"/>
  <c r="N38" i="12"/>
  <c r="F38" i="12"/>
  <c r="BH38" i="12"/>
  <c r="AA38" i="12"/>
  <c r="AZ38" i="12"/>
  <c r="S38" i="12"/>
  <c r="BK44" i="12"/>
  <c r="BG44" i="12"/>
  <c r="BC44" i="12"/>
  <c r="AY44" i="12"/>
  <c r="AU44" i="12"/>
  <c r="AQ44" i="12"/>
  <c r="AM44" i="12"/>
  <c r="AH44" i="12"/>
  <c r="AD44" i="12"/>
  <c r="Z44" i="12"/>
  <c r="V44" i="12"/>
  <c r="BN44" i="12"/>
  <c r="BJ44" i="12"/>
  <c r="BF44" i="12"/>
  <c r="BB44" i="12"/>
  <c r="AX44" i="12"/>
  <c r="AT44" i="12"/>
  <c r="AP44" i="12"/>
  <c r="AL44" i="12"/>
  <c r="AG44" i="12"/>
  <c r="AC44" i="12"/>
  <c r="Y44" i="12"/>
  <c r="U44" i="12"/>
  <c r="Q44" i="12"/>
  <c r="M44" i="12"/>
  <c r="I44" i="12"/>
  <c r="BM44" i="12"/>
  <c r="BI44" i="12"/>
  <c r="BE44" i="12"/>
  <c r="BA44" i="12"/>
  <c r="AW44" i="12"/>
  <c r="AS44" i="12"/>
  <c r="AO44" i="12"/>
  <c r="AK44" i="12"/>
  <c r="AF44" i="12"/>
  <c r="AB44" i="12"/>
  <c r="X44" i="12"/>
  <c r="T44" i="12"/>
  <c r="P44" i="12"/>
  <c r="L44" i="12"/>
  <c r="H44" i="12"/>
  <c r="BD44" i="12"/>
  <c r="AN44" i="12"/>
  <c r="W44" i="12"/>
  <c r="N44" i="12"/>
  <c r="F44" i="12"/>
  <c r="AZ44" i="12"/>
  <c r="AI44" i="12"/>
  <c r="S44" i="12"/>
  <c r="K44" i="12"/>
  <c r="BL44" i="12"/>
  <c r="AV44" i="12"/>
  <c r="AE44" i="12"/>
  <c r="R44" i="12"/>
  <c r="J44" i="12"/>
  <c r="BH44" i="12"/>
  <c r="G44" i="12"/>
  <c r="AR44" i="12"/>
  <c r="I17" i="12"/>
  <c r="M17" i="12"/>
  <c r="Q17" i="12"/>
  <c r="U17" i="12"/>
  <c r="Y17" i="12"/>
  <c r="AC17" i="12"/>
  <c r="AG17" i="12"/>
  <c r="AL17" i="12"/>
  <c r="AP17" i="12"/>
  <c r="AT17" i="12"/>
  <c r="AX17" i="12"/>
  <c r="BB17" i="12"/>
  <c r="BF17" i="12"/>
  <c r="BJ17" i="12"/>
  <c r="BN17" i="12"/>
  <c r="H18" i="12"/>
  <c r="L18" i="12"/>
  <c r="P18" i="12"/>
  <c r="T18" i="12"/>
  <c r="X18" i="12"/>
  <c r="AB18" i="12"/>
  <c r="AF18" i="12"/>
  <c r="AK18" i="12"/>
  <c r="AO18" i="12"/>
  <c r="AS18" i="12"/>
  <c r="AX18" i="12"/>
  <c r="BF18" i="12"/>
  <c r="BN18" i="12"/>
  <c r="M19" i="12"/>
  <c r="U19" i="12"/>
  <c r="AC19" i="12"/>
  <c r="AL19" i="12"/>
  <c r="AT19" i="12"/>
  <c r="BB19" i="12"/>
  <c r="BJ19" i="12"/>
  <c r="I20" i="12"/>
  <c r="Q20" i="12"/>
  <c r="Y20" i="12"/>
  <c r="AG20" i="12"/>
  <c r="AP20" i="12"/>
  <c r="AX20" i="12"/>
  <c r="BF20" i="12"/>
  <c r="BN20" i="12"/>
  <c r="I23" i="12"/>
  <c r="Q23" i="12"/>
  <c r="Y23" i="12"/>
  <c r="AG23" i="12"/>
  <c r="AP23" i="12"/>
  <c r="AX23" i="12"/>
  <c r="BF23" i="12"/>
  <c r="BN23" i="12"/>
  <c r="M24" i="12"/>
  <c r="U24" i="12"/>
  <c r="AC24" i="12"/>
  <c r="AL24" i="12"/>
  <c r="AT24" i="12"/>
  <c r="BB24" i="12"/>
  <c r="BJ24" i="12"/>
  <c r="I25" i="12"/>
  <c r="Q25" i="12"/>
  <c r="Y25" i="12"/>
  <c r="AG25" i="12"/>
  <c r="AP25" i="12"/>
  <c r="AX25" i="12"/>
  <c r="BF25" i="12"/>
  <c r="BN25" i="12"/>
  <c r="M26" i="12"/>
  <c r="U26" i="12"/>
  <c r="AC26" i="12"/>
  <c r="AL26" i="12"/>
  <c r="AT26" i="12"/>
  <c r="BB26" i="12"/>
  <c r="BJ26" i="12"/>
  <c r="M29" i="12"/>
  <c r="U29" i="12"/>
  <c r="AC29" i="12"/>
  <c r="AL29" i="12"/>
  <c r="AT29" i="12"/>
  <c r="BB29" i="12"/>
  <c r="BJ29" i="12"/>
  <c r="I30" i="12"/>
  <c r="Q30" i="12"/>
  <c r="Y30" i="12"/>
  <c r="AG30" i="12"/>
  <c r="AP30" i="12"/>
  <c r="AX30" i="12"/>
  <c r="BF30" i="12"/>
  <c r="BN30" i="12"/>
  <c r="M31" i="12"/>
  <c r="U31" i="12"/>
  <c r="AC31" i="12"/>
  <c r="AL31" i="12"/>
  <c r="AT31" i="12"/>
  <c r="BB31" i="12"/>
  <c r="I32" i="12"/>
  <c r="Q32" i="12"/>
  <c r="Y32" i="12"/>
  <c r="AP32" i="12"/>
  <c r="I35" i="12"/>
  <c r="AP35" i="12"/>
  <c r="M36" i="12"/>
  <c r="AT36" i="12"/>
  <c r="Q37" i="12"/>
  <c r="BL37" i="12"/>
  <c r="AJ39" i="12"/>
  <c r="O31" i="3" s="1"/>
  <c r="M31" i="3" s="1"/>
  <c r="P31" i="3" s="1"/>
  <c r="G42" i="12"/>
  <c r="K43" i="12"/>
  <c r="O44" i="12"/>
  <c r="BM31" i="12"/>
  <c r="BI31" i="12"/>
  <c r="BE31" i="12"/>
  <c r="BA31" i="12"/>
  <c r="AW31" i="12"/>
  <c r="AS31" i="12"/>
  <c r="AO31" i="12"/>
  <c r="AK31" i="12"/>
  <c r="AF31" i="12"/>
  <c r="AB31" i="12"/>
  <c r="X31" i="12"/>
  <c r="T31" i="12"/>
  <c r="P31" i="12"/>
  <c r="L31" i="12"/>
  <c r="H31" i="12"/>
  <c r="BL31" i="12"/>
  <c r="BH31" i="12"/>
  <c r="BD31" i="12"/>
  <c r="AZ31" i="12"/>
  <c r="AV31" i="12"/>
  <c r="AR31" i="12"/>
  <c r="AN31" i="12"/>
  <c r="AI31" i="12"/>
  <c r="AE31" i="12"/>
  <c r="AA31" i="12"/>
  <c r="W31" i="12"/>
  <c r="S31" i="12"/>
  <c r="O31" i="12"/>
  <c r="K31" i="12"/>
  <c r="G31" i="12"/>
  <c r="J19" i="12"/>
  <c r="AH19" i="12"/>
  <c r="AY19" i="12"/>
  <c r="BG19" i="12"/>
  <c r="F25" i="12"/>
  <c r="V25" i="12"/>
  <c r="AU25" i="12"/>
  <c r="BK25" i="12"/>
  <c r="R31" i="12"/>
  <c r="AQ31" i="12"/>
  <c r="BG31" i="12"/>
  <c r="BO27" i="12"/>
  <c r="K29" i="3" s="1"/>
  <c r="BM23" i="12"/>
  <c r="BI23" i="12"/>
  <c r="BE23" i="12"/>
  <c r="BA23" i="12"/>
  <c r="AW23" i="12"/>
  <c r="AS23" i="12"/>
  <c r="AO23" i="12"/>
  <c r="AK23" i="12"/>
  <c r="AF23" i="12"/>
  <c r="AB23" i="12"/>
  <c r="X23" i="12"/>
  <c r="T23" i="12"/>
  <c r="P23" i="12"/>
  <c r="L23" i="12"/>
  <c r="H23" i="12"/>
  <c r="AJ27" i="12"/>
  <c r="O29" i="3" s="1"/>
  <c r="M29" i="3" s="1"/>
  <c r="P29" i="3" s="1"/>
  <c r="BL23" i="12"/>
  <c r="BH23" i="12"/>
  <c r="BD23" i="12"/>
  <c r="AZ23" i="12"/>
  <c r="AV23" i="12"/>
  <c r="AR23" i="12"/>
  <c r="AN23" i="12"/>
  <c r="AI23" i="12"/>
  <c r="AE23" i="12"/>
  <c r="AA23" i="12"/>
  <c r="W23" i="12"/>
  <c r="S23" i="12"/>
  <c r="O23" i="12"/>
  <c r="K23" i="12"/>
  <c r="G23" i="12"/>
  <c r="F17" i="12"/>
  <c r="R17" i="12"/>
  <c r="Z17" i="12"/>
  <c r="AH17" i="12"/>
  <c r="AQ17" i="12"/>
  <c r="BC17" i="12"/>
  <c r="I18" i="12"/>
  <c r="M18" i="12"/>
  <c r="Q18" i="12"/>
  <c r="U18" i="12"/>
  <c r="Y18" i="12"/>
  <c r="AC18" i="12"/>
  <c r="AG18" i="12"/>
  <c r="AL18" i="12"/>
  <c r="AP18" i="12"/>
  <c r="AT18" i="12"/>
  <c r="AY18" i="12"/>
  <c r="F19" i="12"/>
  <c r="N19" i="12"/>
  <c r="V19" i="12"/>
  <c r="AD19" i="12"/>
  <c r="AM19" i="12"/>
  <c r="AU19" i="12"/>
  <c r="BC19" i="12"/>
  <c r="J20" i="12"/>
  <c r="R20" i="12"/>
  <c r="Z20" i="12"/>
  <c r="AH20" i="12"/>
  <c r="AQ20" i="12"/>
  <c r="AY20" i="12"/>
  <c r="BG20" i="12"/>
  <c r="J23" i="12"/>
  <c r="R23" i="12"/>
  <c r="Z23" i="12"/>
  <c r="AH23" i="12"/>
  <c r="AQ23" i="12"/>
  <c r="AY23" i="12"/>
  <c r="BG23" i="12"/>
  <c r="F24" i="12"/>
  <c r="N24" i="12"/>
  <c r="V24" i="12"/>
  <c r="AD24" i="12"/>
  <c r="AM24" i="12"/>
  <c r="AU24" i="12"/>
  <c r="BC24" i="12"/>
  <c r="J25" i="12"/>
  <c r="R25" i="12"/>
  <c r="Z25" i="12"/>
  <c r="AH25" i="12"/>
  <c r="AQ25" i="12"/>
  <c r="AY25" i="12"/>
  <c r="BG25" i="12"/>
  <c r="F26" i="12"/>
  <c r="N26" i="12"/>
  <c r="V26" i="12"/>
  <c r="AD26" i="12"/>
  <c r="AM26" i="12"/>
  <c r="AU26" i="12"/>
  <c r="BC26" i="12"/>
  <c r="BK26" i="12"/>
  <c r="F29" i="12"/>
  <c r="N29" i="12"/>
  <c r="V29" i="12"/>
  <c r="AD29" i="12"/>
  <c r="AM29" i="12"/>
  <c r="AU29" i="12"/>
  <c r="BC29" i="12"/>
  <c r="J30" i="12"/>
  <c r="R30" i="12"/>
  <c r="Z30" i="12"/>
  <c r="AH30" i="12"/>
  <c r="AQ30" i="12"/>
  <c r="AY30" i="12"/>
  <c r="F31" i="12"/>
  <c r="N31" i="12"/>
  <c r="V31" i="12"/>
  <c r="AD31" i="12"/>
  <c r="AM31" i="12"/>
  <c r="AU31" i="12"/>
  <c r="BC31" i="12"/>
  <c r="BK31" i="12"/>
  <c r="J32" i="12"/>
  <c r="R32" i="12"/>
  <c r="AA32" i="12"/>
  <c r="AT32" i="12"/>
  <c r="M35" i="12"/>
  <c r="Q36" i="12"/>
  <c r="K38" i="12"/>
  <c r="S43" i="12"/>
  <c r="AA44" i="12"/>
  <c r="BM19" i="12"/>
  <c r="BI19" i="12"/>
  <c r="BE19" i="12"/>
  <c r="BA19" i="12"/>
  <c r="AW19" i="12"/>
  <c r="AS19" i="12"/>
  <c r="AO19" i="12"/>
  <c r="AK19" i="12"/>
  <c r="AF19" i="12"/>
  <c r="AB19" i="12"/>
  <c r="X19" i="12"/>
  <c r="T19" i="12"/>
  <c r="P19" i="12"/>
  <c r="L19" i="12"/>
  <c r="H19" i="12"/>
  <c r="BL19" i="12"/>
  <c r="BH19" i="12"/>
  <c r="BD19" i="12"/>
  <c r="AZ19" i="12"/>
  <c r="AV19" i="12"/>
  <c r="AR19" i="12"/>
  <c r="AN19" i="12"/>
  <c r="AI19" i="12"/>
  <c r="AE19" i="12"/>
  <c r="AA19" i="12"/>
  <c r="W19" i="12"/>
  <c r="S19" i="12"/>
  <c r="O19" i="12"/>
  <c r="K19" i="12"/>
  <c r="G19" i="12"/>
  <c r="BN37" i="12"/>
  <c r="BJ37" i="12"/>
  <c r="BF37" i="12"/>
  <c r="BB37" i="12"/>
  <c r="AX37" i="12"/>
  <c r="AT37" i="12"/>
  <c r="AP37" i="12"/>
  <c r="AL37" i="12"/>
  <c r="BM37" i="12"/>
  <c r="BI37" i="12"/>
  <c r="BE37" i="12"/>
  <c r="BA37" i="12"/>
  <c r="AW37" i="12"/>
  <c r="AS37" i="12"/>
  <c r="AO37" i="12"/>
  <c r="AK37" i="12"/>
  <c r="BK37" i="12"/>
  <c r="BC37" i="12"/>
  <c r="AU37" i="12"/>
  <c r="AM37" i="12"/>
  <c r="AF37" i="12"/>
  <c r="AB37" i="12"/>
  <c r="X37" i="12"/>
  <c r="T37" i="12"/>
  <c r="P37" i="12"/>
  <c r="L37" i="12"/>
  <c r="H37" i="12"/>
  <c r="BH37" i="12"/>
  <c r="AZ37" i="12"/>
  <c r="AR37" i="12"/>
  <c r="AI37" i="12"/>
  <c r="AE37" i="12"/>
  <c r="AA37" i="12"/>
  <c r="W37" i="12"/>
  <c r="S37" i="12"/>
  <c r="O37" i="12"/>
  <c r="K37" i="12"/>
  <c r="G37" i="12"/>
  <c r="BG37" i="12"/>
  <c r="AY37" i="12"/>
  <c r="AQ37" i="12"/>
  <c r="AH37" i="12"/>
  <c r="AD37" i="12"/>
  <c r="Z37" i="12"/>
  <c r="V37" i="12"/>
  <c r="R37" i="12"/>
  <c r="N37" i="12"/>
  <c r="J37" i="12"/>
  <c r="F37" i="12"/>
  <c r="BD37" i="12"/>
  <c r="AC37" i="12"/>
  <c r="M37" i="12"/>
  <c r="AV37" i="12"/>
  <c r="Y37" i="12"/>
  <c r="I37" i="12"/>
  <c r="R19" i="12"/>
  <c r="AQ19" i="12"/>
  <c r="AD25" i="12"/>
  <c r="J31" i="12"/>
  <c r="AH31" i="12"/>
  <c r="AN37" i="12"/>
  <c r="AZ43" i="12"/>
  <c r="BO21" i="12"/>
  <c r="K28" i="3" s="1"/>
  <c r="AJ21" i="12"/>
  <c r="O28" i="3" s="1"/>
  <c r="M28" i="3" s="1"/>
  <c r="P28" i="3" s="1"/>
  <c r="BO33" i="12"/>
  <c r="K30" i="3" s="1"/>
  <c r="AJ33" i="12"/>
  <c r="O30" i="3" s="1"/>
  <c r="M30" i="3" s="1"/>
  <c r="P30" i="3" s="1"/>
  <c r="F33" i="12"/>
  <c r="BP33" i="12"/>
  <c r="L30" i="3" s="1"/>
  <c r="BM29" i="12"/>
  <c r="BI29" i="12"/>
  <c r="BE29" i="12"/>
  <c r="BA29" i="12"/>
  <c r="AW29" i="12"/>
  <c r="AS29" i="12"/>
  <c r="AO29" i="12"/>
  <c r="AK29" i="12"/>
  <c r="AF29" i="12"/>
  <c r="AB29" i="12"/>
  <c r="X29" i="12"/>
  <c r="T29" i="12"/>
  <c r="P29" i="12"/>
  <c r="L29" i="12"/>
  <c r="H29" i="12"/>
  <c r="BL29" i="12"/>
  <c r="BH29" i="12"/>
  <c r="BD29" i="12"/>
  <c r="AZ29" i="12"/>
  <c r="AV29" i="12"/>
  <c r="AR29" i="12"/>
  <c r="AN29" i="12"/>
  <c r="AI29" i="12"/>
  <c r="AE29" i="12"/>
  <c r="AA29" i="12"/>
  <c r="W29" i="12"/>
  <c r="S29" i="12"/>
  <c r="O29" i="12"/>
  <c r="K29" i="12"/>
  <c r="G29" i="12"/>
  <c r="BP39" i="12"/>
  <c r="L31" i="3" s="1"/>
  <c r="BO39" i="12"/>
  <c r="K31" i="3" s="1"/>
  <c r="F39" i="12"/>
  <c r="BM35" i="12"/>
  <c r="BI35" i="12"/>
  <c r="BE35" i="12"/>
  <c r="BA35" i="12"/>
  <c r="AW35" i="12"/>
  <c r="AS35" i="12"/>
  <c r="AO35" i="12"/>
  <c r="AK35" i="12"/>
  <c r="AF35" i="12"/>
  <c r="AB35" i="12"/>
  <c r="X35" i="12"/>
  <c r="T35" i="12"/>
  <c r="P35" i="12"/>
  <c r="L35" i="12"/>
  <c r="H35" i="12"/>
  <c r="BL35" i="12"/>
  <c r="BH35" i="12"/>
  <c r="BD35" i="12"/>
  <c r="AZ35" i="12"/>
  <c r="AV35" i="12"/>
  <c r="AR35" i="12"/>
  <c r="AN35" i="12"/>
  <c r="AI35" i="12"/>
  <c r="AE35" i="12"/>
  <c r="AA35" i="12"/>
  <c r="W35" i="12"/>
  <c r="S35" i="12"/>
  <c r="O35" i="12"/>
  <c r="K35" i="12"/>
  <c r="G35" i="12"/>
  <c r="BK35" i="12"/>
  <c r="BG35" i="12"/>
  <c r="BC35" i="12"/>
  <c r="AY35" i="12"/>
  <c r="AU35" i="12"/>
  <c r="AQ35" i="12"/>
  <c r="AM35" i="12"/>
  <c r="AH35" i="12"/>
  <c r="AD35" i="12"/>
  <c r="Z35" i="12"/>
  <c r="V35" i="12"/>
  <c r="R35" i="12"/>
  <c r="N35" i="12"/>
  <c r="J35" i="12"/>
  <c r="F35" i="12"/>
  <c r="BB35" i="12"/>
  <c r="AL35" i="12"/>
  <c r="U35" i="12"/>
  <c r="BN35" i="12"/>
  <c r="AX35" i="12"/>
  <c r="AG35" i="12"/>
  <c r="Q35" i="12"/>
  <c r="F45" i="12"/>
  <c r="BP45" i="12"/>
  <c r="L32" i="3" s="1"/>
  <c r="BN41" i="12"/>
  <c r="BJ41" i="12"/>
  <c r="BF41" i="12"/>
  <c r="BB41" i="12"/>
  <c r="AX41" i="12"/>
  <c r="AT41" i="12"/>
  <c r="AP41" i="12"/>
  <c r="AL41" i="12"/>
  <c r="AG41" i="12"/>
  <c r="AC41" i="12"/>
  <c r="Y41" i="12"/>
  <c r="U41" i="12"/>
  <c r="Q41" i="12"/>
  <c r="M41" i="12"/>
  <c r="I41" i="12"/>
  <c r="BO45" i="12"/>
  <c r="K32" i="3" s="1"/>
  <c r="BM41" i="12"/>
  <c r="BI41" i="12"/>
  <c r="BE41" i="12"/>
  <c r="BA41" i="12"/>
  <c r="AW41" i="12"/>
  <c r="AS41" i="12"/>
  <c r="AO41" i="12"/>
  <c r="AK41" i="12"/>
  <c r="AF41" i="12"/>
  <c r="AB41" i="12"/>
  <c r="X41" i="12"/>
  <c r="T41" i="12"/>
  <c r="P41" i="12"/>
  <c r="L41" i="12"/>
  <c r="H41" i="12"/>
  <c r="BG41" i="12"/>
  <c r="AY41" i="12"/>
  <c r="AQ41" i="12"/>
  <c r="AH41" i="12"/>
  <c r="Z41" i="12"/>
  <c r="R41" i="12"/>
  <c r="J41" i="12"/>
  <c r="AJ45" i="12"/>
  <c r="O32" i="3" s="1"/>
  <c r="M32" i="3" s="1"/>
  <c r="P32" i="3" s="1"/>
  <c r="BL41" i="12"/>
  <c r="BD41" i="12"/>
  <c r="AV41" i="12"/>
  <c r="AN41" i="12"/>
  <c r="AE41" i="12"/>
  <c r="W41" i="12"/>
  <c r="O41" i="12"/>
  <c r="G41" i="12"/>
  <c r="BK41" i="12"/>
  <c r="BC41" i="12"/>
  <c r="AU41" i="12"/>
  <c r="AM41" i="12"/>
  <c r="AD41" i="12"/>
  <c r="V41" i="12"/>
  <c r="N41" i="12"/>
  <c r="F41" i="12"/>
  <c r="BH41" i="12"/>
  <c r="AA41" i="12"/>
  <c r="AZ41" i="12"/>
  <c r="S41" i="12"/>
  <c r="J17" i="12"/>
  <c r="N17" i="12"/>
  <c r="V17" i="12"/>
  <c r="AD17" i="12"/>
  <c r="AM17" i="12"/>
  <c r="AU17" i="12"/>
  <c r="AY17" i="12"/>
  <c r="BG17" i="12"/>
  <c r="BK17" i="12"/>
  <c r="BM18" i="12"/>
  <c r="BI18" i="12"/>
  <c r="BE18" i="12"/>
  <c r="BA18" i="12"/>
  <c r="AW18" i="12"/>
  <c r="BL18" i="12"/>
  <c r="BH18" i="12"/>
  <c r="BD18" i="12"/>
  <c r="AZ18" i="12"/>
  <c r="BM24" i="12"/>
  <c r="BI24" i="12"/>
  <c r="BE24" i="12"/>
  <c r="BA24" i="12"/>
  <c r="AW24" i="12"/>
  <c r="AS24" i="12"/>
  <c r="AO24" i="12"/>
  <c r="AK24" i="12"/>
  <c r="AF24" i="12"/>
  <c r="AB24" i="12"/>
  <c r="X24" i="12"/>
  <c r="T24" i="12"/>
  <c r="P24" i="12"/>
  <c r="L24" i="12"/>
  <c r="H24" i="12"/>
  <c r="BL24" i="12"/>
  <c r="BH24" i="12"/>
  <c r="BD24" i="12"/>
  <c r="AZ24" i="12"/>
  <c r="AV24" i="12"/>
  <c r="AR24" i="12"/>
  <c r="AN24" i="12"/>
  <c r="AI24" i="12"/>
  <c r="AE24" i="12"/>
  <c r="AA24" i="12"/>
  <c r="W24" i="12"/>
  <c r="S24" i="12"/>
  <c r="O24" i="12"/>
  <c r="K24" i="12"/>
  <c r="G24" i="12"/>
  <c r="BM30" i="12"/>
  <c r="BI30" i="12"/>
  <c r="BE30" i="12"/>
  <c r="BA30" i="12"/>
  <c r="AW30" i="12"/>
  <c r="AS30" i="12"/>
  <c r="AO30" i="12"/>
  <c r="AK30" i="12"/>
  <c r="AF30" i="12"/>
  <c r="AB30" i="12"/>
  <c r="X30" i="12"/>
  <c r="T30" i="12"/>
  <c r="P30" i="12"/>
  <c r="L30" i="12"/>
  <c r="H30" i="12"/>
  <c r="BL30" i="12"/>
  <c r="BH30" i="12"/>
  <c r="BD30" i="12"/>
  <c r="AZ30" i="12"/>
  <c r="AV30" i="12"/>
  <c r="AR30" i="12"/>
  <c r="AN30" i="12"/>
  <c r="AI30" i="12"/>
  <c r="AE30" i="12"/>
  <c r="AA30" i="12"/>
  <c r="W30" i="12"/>
  <c r="S30" i="12"/>
  <c r="O30" i="12"/>
  <c r="K30" i="12"/>
  <c r="G30" i="12"/>
  <c r="BM36" i="12"/>
  <c r="BI36" i="12"/>
  <c r="BE36" i="12"/>
  <c r="BA36" i="12"/>
  <c r="AW36" i="12"/>
  <c r="AS36" i="12"/>
  <c r="AO36" i="12"/>
  <c r="AK36" i="12"/>
  <c r="AF36" i="12"/>
  <c r="AB36" i="12"/>
  <c r="X36" i="12"/>
  <c r="T36" i="12"/>
  <c r="P36" i="12"/>
  <c r="L36" i="12"/>
  <c r="H36" i="12"/>
  <c r="BL36" i="12"/>
  <c r="BH36" i="12"/>
  <c r="BD36" i="12"/>
  <c r="AZ36" i="12"/>
  <c r="AV36" i="12"/>
  <c r="AR36" i="12"/>
  <c r="AN36" i="12"/>
  <c r="AI36" i="12"/>
  <c r="AE36" i="12"/>
  <c r="AA36" i="12"/>
  <c r="W36" i="12"/>
  <c r="S36" i="12"/>
  <c r="O36" i="12"/>
  <c r="K36" i="12"/>
  <c r="G36" i="12"/>
  <c r="BK36" i="12"/>
  <c r="BG36" i="12"/>
  <c r="BC36" i="12"/>
  <c r="AY36" i="12"/>
  <c r="AU36" i="12"/>
  <c r="AQ36" i="12"/>
  <c r="AM36" i="12"/>
  <c r="AH36" i="12"/>
  <c r="AD36" i="12"/>
  <c r="Z36" i="12"/>
  <c r="V36" i="12"/>
  <c r="R36" i="12"/>
  <c r="N36" i="12"/>
  <c r="J36" i="12"/>
  <c r="F36" i="12"/>
  <c r="BF36" i="12"/>
  <c r="AP36" i="12"/>
  <c r="Y36" i="12"/>
  <c r="I36" i="12"/>
  <c r="BB36" i="12"/>
  <c r="AL36" i="12"/>
  <c r="U36" i="12"/>
  <c r="BN42" i="12"/>
  <c r="BJ42" i="12"/>
  <c r="BF42" i="12"/>
  <c r="BB42" i="12"/>
  <c r="AX42" i="12"/>
  <c r="AT42" i="12"/>
  <c r="AP42" i="12"/>
  <c r="AL42" i="12"/>
  <c r="AG42" i="12"/>
  <c r="AC42" i="12"/>
  <c r="Y42" i="12"/>
  <c r="U42" i="12"/>
  <c r="Q42" i="12"/>
  <c r="M42" i="12"/>
  <c r="I42" i="12"/>
  <c r="BM42" i="12"/>
  <c r="BI42" i="12"/>
  <c r="BE42" i="12"/>
  <c r="BA42" i="12"/>
  <c r="AW42" i="12"/>
  <c r="AS42" i="12"/>
  <c r="AO42" i="12"/>
  <c r="AK42" i="12"/>
  <c r="AF42" i="12"/>
  <c r="AB42" i="12"/>
  <c r="X42" i="12"/>
  <c r="T42" i="12"/>
  <c r="P42" i="12"/>
  <c r="L42" i="12"/>
  <c r="H42" i="12"/>
  <c r="BK42" i="12"/>
  <c r="BC42" i="12"/>
  <c r="AU42" i="12"/>
  <c r="AM42" i="12"/>
  <c r="AD42" i="12"/>
  <c r="V42" i="12"/>
  <c r="N42" i="12"/>
  <c r="F42" i="12"/>
  <c r="BH42" i="12"/>
  <c r="AZ42" i="12"/>
  <c r="AR42" i="12"/>
  <c r="AI42" i="12"/>
  <c r="AA42" i="12"/>
  <c r="S42" i="12"/>
  <c r="K42" i="12"/>
  <c r="BG42" i="12"/>
  <c r="AY42" i="12"/>
  <c r="AQ42" i="12"/>
  <c r="AH42" i="12"/>
  <c r="Z42" i="12"/>
  <c r="R42" i="12"/>
  <c r="J42" i="12"/>
  <c r="BL42" i="12"/>
  <c r="AE42" i="12"/>
  <c r="BD42" i="12"/>
  <c r="W42" i="12"/>
  <c r="G17" i="12"/>
  <c r="K17" i="12"/>
  <c r="O17" i="12"/>
  <c r="S17" i="12"/>
  <c r="W17" i="12"/>
  <c r="AA17" i="12"/>
  <c r="AE17" i="12"/>
  <c r="AI17" i="12"/>
  <c r="AN17" i="12"/>
  <c r="AR17" i="12"/>
  <c r="AV17" i="12"/>
  <c r="AZ17" i="12"/>
  <c r="BD17" i="12"/>
  <c r="BH17" i="12"/>
  <c r="BL17" i="12"/>
  <c r="F18" i="12"/>
  <c r="J18" i="12"/>
  <c r="N18" i="12"/>
  <c r="R18" i="12"/>
  <c r="V18" i="12"/>
  <c r="Z18" i="12"/>
  <c r="AD18" i="12"/>
  <c r="AH18" i="12"/>
  <c r="AM18" i="12"/>
  <c r="AQ18" i="12"/>
  <c r="AU18" i="12"/>
  <c r="BB18" i="12"/>
  <c r="BJ18" i="12"/>
  <c r="I19" i="12"/>
  <c r="Q19" i="12"/>
  <c r="Y19" i="12"/>
  <c r="AG19" i="12"/>
  <c r="AP19" i="12"/>
  <c r="AX19" i="12"/>
  <c r="BF19" i="12"/>
  <c r="BN19" i="12"/>
  <c r="M20" i="12"/>
  <c r="U20" i="12"/>
  <c r="AC20" i="12"/>
  <c r="AL20" i="12"/>
  <c r="AT20" i="12"/>
  <c r="BB20" i="12"/>
  <c r="BJ20" i="12"/>
  <c r="BP21" i="12"/>
  <c r="L28" i="3" s="1"/>
  <c r="M23" i="12"/>
  <c r="U23" i="12"/>
  <c r="AC23" i="12"/>
  <c r="AL23" i="12"/>
  <c r="AT23" i="12"/>
  <c r="BB23" i="12"/>
  <c r="BJ23" i="12"/>
  <c r="I24" i="12"/>
  <c r="Q24" i="12"/>
  <c r="Y24" i="12"/>
  <c r="AG24" i="12"/>
  <c r="AP24" i="12"/>
  <c r="AX24" i="12"/>
  <c r="BF24" i="12"/>
  <c r="BN24" i="12"/>
  <c r="M25" i="12"/>
  <c r="U25" i="12"/>
  <c r="AC25" i="12"/>
  <c r="AL25" i="12"/>
  <c r="AT25" i="12"/>
  <c r="BB25" i="12"/>
  <c r="BJ25" i="12"/>
  <c r="I26" i="12"/>
  <c r="Q26" i="12"/>
  <c r="Y26" i="12"/>
  <c r="AG26" i="12"/>
  <c r="AP26" i="12"/>
  <c r="AX26" i="12"/>
  <c r="BF26" i="12"/>
  <c r="BN26" i="12"/>
  <c r="I29" i="12"/>
  <c r="Q29" i="12"/>
  <c r="Y29" i="12"/>
  <c r="AG29" i="12"/>
  <c r="AP29" i="12"/>
  <c r="AX29" i="12"/>
  <c r="BF29" i="12"/>
  <c r="BN29" i="12"/>
  <c r="M30" i="12"/>
  <c r="U30" i="12"/>
  <c r="AC30" i="12"/>
  <c r="AL30" i="12"/>
  <c r="AT30" i="12"/>
  <c r="BB30" i="12"/>
  <c r="BJ30" i="12"/>
  <c r="I31" i="12"/>
  <c r="Q31" i="12"/>
  <c r="Y31" i="12"/>
  <c r="AG31" i="12"/>
  <c r="AP31" i="12"/>
  <c r="AX31" i="12"/>
  <c r="BF31" i="12"/>
  <c r="BN31" i="12"/>
  <c r="M32" i="12"/>
  <c r="U32" i="12"/>
  <c r="AE32" i="12"/>
  <c r="BF32" i="12"/>
  <c r="Y35" i="12"/>
  <c r="BF35" i="12"/>
  <c r="AC36" i="12"/>
  <c r="BJ36" i="12"/>
  <c r="AG37" i="12"/>
  <c r="AI38" i="12"/>
  <c r="AI41" i="12"/>
  <c r="AN42" i="12"/>
  <c r="AR43" i="12"/>
  <c r="D41" i="12"/>
  <c r="C42" i="12"/>
  <c r="C44" i="12"/>
  <c r="C36" i="12"/>
  <c r="C38" i="12"/>
  <c r="D38" i="12"/>
  <c r="D35" i="12"/>
  <c r="C35" i="12"/>
  <c r="D36" i="12"/>
  <c r="C32" i="12"/>
  <c r="C29" i="12"/>
  <c r="C31" i="12"/>
  <c r="D29" i="12"/>
  <c r="C23" i="12"/>
  <c r="C26" i="12"/>
  <c r="D26" i="12"/>
  <c r="D24" i="12"/>
  <c r="C25" i="12"/>
  <c r="D23" i="12"/>
  <c r="D19" i="12"/>
  <c r="C17" i="12"/>
  <c r="C18" i="12"/>
  <c r="AZ21" i="12" l="1"/>
  <c r="AO45" i="12"/>
  <c r="BE45" i="12"/>
  <c r="AK33" i="12"/>
  <c r="BK21" i="12"/>
  <c r="AX39" i="12"/>
  <c r="BE21" i="12"/>
  <c r="AS45" i="12"/>
  <c r="BI45" i="12"/>
  <c r="AX45" i="12"/>
  <c r="BN45" i="12"/>
  <c r="AY33" i="12"/>
  <c r="AK39" i="12"/>
  <c r="AS39" i="12"/>
  <c r="BI39" i="12"/>
  <c r="AM45" i="12"/>
  <c r="BN39" i="12"/>
  <c r="BO19" i="12"/>
  <c r="BD21" i="12"/>
  <c r="AN21" i="12"/>
  <c r="BI21" i="12"/>
  <c r="AV45" i="12"/>
  <c r="BO24" i="12"/>
  <c r="AK21" i="12"/>
  <c r="AK45" i="12"/>
  <c r="BO42" i="12"/>
  <c r="BJ39" i="12"/>
  <c r="AR45" i="12"/>
  <c r="BO36" i="12"/>
  <c r="AW39" i="12"/>
  <c r="BM39" i="12"/>
  <c r="AO33" i="12"/>
  <c r="BE33" i="12"/>
  <c r="AW27" i="12"/>
  <c r="BM27" i="12"/>
  <c r="AY21" i="12"/>
  <c r="BP41" i="12"/>
  <c r="BP35" i="12"/>
  <c r="BK33" i="12"/>
  <c r="AP33" i="12"/>
  <c r="BJ27" i="12"/>
  <c r="AV21" i="12"/>
  <c r="AO27" i="12"/>
  <c r="BE27" i="12"/>
  <c r="BA21" i="12"/>
  <c r="BC33" i="12"/>
  <c r="AM27" i="12"/>
  <c r="BP23" i="12"/>
  <c r="BO18" i="12"/>
  <c r="BO44" i="12"/>
  <c r="BP38" i="12"/>
  <c r="BG33" i="12"/>
  <c r="AK27" i="12"/>
  <c r="BO20" i="12"/>
  <c r="BC27" i="12"/>
  <c r="BO43" i="12"/>
  <c r="BP20" i="12"/>
  <c r="AW45" i="12"/>
  <c r="BM45" i="12"/>
  <c r="AL45" i="12"/>
  <c r="BB45" i="12"/>
  <c r="BA39" i="12"/>
  <c r="AS33" i="12"/>
  <c r="BI33" i="12"/>
  <c r="BA27" i="12"/>
  <c r="AW21" i="12"/>
  <c r="BM21" i="12"/>
  <c r="BF39" i="12"/>
  <c r="BO25" i="12"/>
  <c r="BB21" i="12"/>
  <c r="BL21" i="12"/>
  <c r="BA45" i="12"/>
  <c r="AP45" i="12"/>
  <c r="BF45" i="12"/>
  <c r="AO39" i="12"/>
  <c r="BE39" i="12"/>
  <c r="AW33" i="12"/>
  <c r="BM33" i="12"/>
  <c r="BO17" i="12"/>
  <c r="BO23" i="12"/>
  <c r="BK27" i="12"/>
  <c r="AT39" i="12"/>
  <c r="BO30" i="12"/>
  <c r="BH21" i="12"/>
  <c r="AR21" i="12"/>
  <c r="AT45" i="12"/>
  <c r="BJ45" i="12"/>
  <c r="BA33" i="12"/>
  <c r="AS27" i="12"/>
  <c r="BI27" i="12"/>
  <c r="BG21" i="12"/>
  <c r="AQ33" i="12"/>
  <c r="AU27" i="12"/>
  <c r="BN33" i="12"/>
  <c r="BB27" i="12"/>
  <c r="BP30" i="12"/>
  <c r="BO41" i="12"/>
  <c r="AN45" i="12"/>
  <c r="AM39" i="12"/>
  <c r="BC39" i="12"/>
  <c r="AR39" i="12"/>
  <c r="BH39" i="12"/>
  <c r="AN33" i="12"/>
  <c r="BD33" i="12"/>
  <c r="AM33" i="12"/>
  <c r="BO26" i="12"/>
  <c r="AJ26" i="12"/>
  <c r="AY27" i="12"/>
  <c r="BC21" i="12"/>
  <c r="AV27" i="12"/>
  <c r="BL27" i="12"/>
  <c r="AT33" i="12"/>
  <c r="BP26" i="12"/>
  <c r="BF27" i="12"/>
  <c r="AX21" i="12"/>
  <c r="BO38" i="12"/>
  <c r="AJ38" i="12"/>
  <c r="BP32" i="12"/>
  <c r="BP29" i="12"/>
  <c r="BF33" i="12"/>
  <c r="AT27" i="12"/>
  <c r="AZ45" i="12"/>
  <c r="AU45" i="12"/>
  <c r="AQ45" i="12"/>
  <c r="AQ39" i="12"/>
  <c r="BG39" i="12"/>
  <c r="AV39" i="12"/>
  <c r="BL39" i="12"/>
  <c r="BO35" i="12"/>
  <c r="AR33" i="12"/>
  <c r="BH33" i="12"/>
  <c r="BP37" i="12"/>
  <c r="BO37" i="12"/>
  <c r="AQ27" i="12"/>
  <c r="AT21" i="12"/>
  <c r="AQ21" i="12"/>
  <c r="AZ27" i="12"/>
  <c r="AL33" i="12"/>
  <c r="AX27" i="12"/>
  <c r="AS21" i="12"/>
  <c r="BP44" i="12"/>
  <c r="AJ32" i="12"/>
  <c r="BO32" i="12"/>
  <c r="AX33" i="12"/>
  <c r="AL27" i="12"/>
  <c r="BJ21" i="12"/>
  <c r="BP36" i="12"/>
  <c r="BP24" i="12"/>
  <c r="AU21" i="12"/>
  <c r="BC45" i="12"/>
  <c r="BD45" i="12"/>
  <c r="AY45" i="12"/>
  <c r="AL39" i="12"/>
  <c r="AU39" i="12"/>
  <c r="BK39" i="12"/>
  <c r="AZ39" i="12"/>
  <c r="AV33" i="12"/>
  <c r="BL33" i="12"/>
  <c r="BO29" i="12"/>
  <c r="AP21" i="12"/>
  <c r="AN27" i="12"/>
  <c r="BD27" i="12"/>
  <c r="BP31" i="12"/>
  <c r="AP39" i="12"/>
  <c r="BO31" i="12"/>
  <c r="BJ33" i="12"/>
  <c r="AP27" i="12"/>
  <c r="BP19" i="12"/>
  <c r="BN21" i="12"/>
  <c r="AO21" i="12"/>
  <c r="AJ20" i="12"/>
  <c r="BP43" i="12"/>
  <c r="BP42" i="12"/>
  <c r="AM21" i="12"/>
  <c r="BH45" i="12"/>
  <c r="BK45" i="12"/>
  <c r="BL45" i="12"/>
  <c r="BG45" i="12"/>
  <c r="BB39" i="12"/>
  <c r="AY39" i="12"/>
  <c r="AN39" i="12"/>
  <c r="BD39" i="12"/>
  <c r="AZ33" i="12"/>
  <c r="AU33" i="12"/>
  <c r="BG27" i="12"/>
  <c r="AL21" i="12"/>
  <c r="BP17" i="12"/>
  <c r="AR27" i="12"/>
  <c r="BH27" i="12"/>
  <c r="BB33" i="12"/>
  <c r="BN27" i="12"/>
  <c r="BF21" i="12"/>
  <c r="BP18" i="12"/>
  <c r="AJ44" i="12"/>
  <c r="BP25" i="12"/>
  <c r="D7" i="12"/>
  <c r="C5" i="12"/>
  <c r="C12" i="12"/>
  <c r="C11" i="12"/>
  <c r="D11" i="12"/>
  <c r="D5" i="12"/>
  <c r="D6" i="12"/>
  <c r="D12" i="12"/>
  <c r="D14" i="12"/>
  <c r="C8" i="12"/>
  <c r="C6" i="12"/>
  <c r="B43" i="2" l="1"/>
  <c r="B42" i="2"/>
  <c r="AS7" i="12"/>
  <c r="AM6" i="12"/>
  <c r="BG7" i="12"/>
  <c r="AY8" i="12"/>
  <c r="F14" i="12"/>
  <c r="AU7" i="12"/>
  <c r="AV13" i="12"/>
  <c r="I13" i="12"/>
  <c r="W14" i="12"/>
  <c r="AO14" i="12"/>
  <c r="O14" i="12"/>
  <c r="BG5" i="12"/>
  <c r="AN11" i="12"/>
  <c r="W6" i="12"/>
  <c r="S11" i="12"/>
  <c r="BD14" i="12"/>
  <c r="BG8" i="12"/>
  <c r="AO5" i="12"/>
  <c r="BG12" i="12"/>
  <c r="AM5" i="12"/>
  <c r="V5" i="12"/>
  <c r="Y7" i="12"/>
  <c r="O7" i="12"/>
  <c r="BL13" i="12"/>
  <c r="J6" i="12"/>
  <c r="Q11" i="12"/>
  <c r="Z11" i="12"/>
  <c r="L8" i="12"/>
  <c r="AR6" i="12"/>
  <c r="AG8" i="12"/>
  <c r="AR11" i="12"/>
  <c r="AS6" i="12"/>
  <c r="BF7" i="12"/>
  <c r="W8" i="12"/>
  <c r="AL6" i="12"/>
  <c r="L12" i="12"/>
  <c r="I8" i="12"/>
  <c r="BA8" i="12"/>
  <c r="O6" i="12"/>
  <c r="AW8" i="12"/>
  <c r="H8" i="12"/>
  <c r="K5" i="12"/>
  <c r="T7" i="12"/>
  <c r="H5" i="12"/>
  <c r="U5" i="12"/>
  <c r="AN5" i="12"/>
  <c r="BL11" i="12"/>
  <c r="AB12" i="12"/>
  <c r="AE12" i="12"/>
  <c r="BC8" i="12"/>
  <c r="S12" i="12"/>
  <c r="AU11" i="12"/>
  <c r="BE5" i="12"/>
  <c r="H7" i="12"/>
  <c r="AZ5" i="12"/>
  <c r="BB14" i="12"/>
  <c r="BA5" i="12"/>
  <c r="AC12" i="12"/>
  <c r="S13" i="12"/>
  <c r="F12" i="12"/>
  <c r="AR5" i="12"/>
  <c r="BF13" i="12"/>
  <c r="AA13" i="12"/>
  <c r="L11" i="12"/>
  <c r="BF6" i="12"/>
  <c r="AA14" i="12"/>
  <c r="J7" i="12"/>
  <c r="AR13" i="12"/>
  <c r="AP12" i="12"/>
  <c r="X13" i="12"/>
  <c r="AI11" i="12"/>
  <c r="AF5" i="12"/>
  <c r="BC5" i="12"/>
  <c r="AR14" i="12"/>
  <c r="BH12" i="12"/>
  <c r="AX13" i="12"/>
  <c r="AH11" i="12"/>
  <c r="L14" i="12"/>
  <c r="AE5" i="12"/>
  <c r="BK7" i="12"/>
  <c r="AK8" i="12"/>
  <c r="AB13" i="12"/>
  <c r="R7" i="12"/>
  <c r="X6" i="12"/>
  <c r="AM7" i="12"/>
  <c r="AO8" i="12"/>
  <c r="AU12" i="12"/>
  <c r="BA13" i="12"/>
  <c r="AD11" i="12"/>
  <c r="AE13" i="12"/>
  <c r="M6" i="12"/>
  <c r="AS14" i="12"/>
  <c r="AX8" i="12"/>
  <c r="AD6" i="12"/>
  <c r="AI13" i="12"/>
  <c r="J11" i="12"/>
  <c r="AX5" i="12"/>
  <c r="J14" i="12"/>
  <c r="BI6" i="12"/>
  <c r="AP8" i="12"/>
  <c r="BL5" i="12"/>
  <c r="Z13" i="12"/>
  <c r="AY12" i="12"/>
  <c r="BJ6" i="12"/>
  <c r="AD13" i="12"/>
  <c r="AV12" i="12"/>
  <c r="R6" i="12"/>
  <c r="AH7" i="12"/>
  <c r="F11" i="12"/>
  <c r="N7" i="12"/>
  <c r="BD11" i="12"/>
  <c r="H13" i="12"/>
  <c r="AA5" i="12"/>
  <c r="BN12" i="12"/>
  <c r="AG13" i="12"/>
  <c r="AC13" i="12"/>
  <c r="BI5" i="12"/>
  <c r="M11" i="12"/>
  <c r="H6" i="12"/>
  <c r="BJ5" i="12"/>
  <c r="AO13" i="12"/>
  <c r="BM7" i="12"/>
  <c r="T6" i="12"/>
  <c r="X11" i="12"/>
  <c r="Z5" i="12"/>
  <c r="AT5" i="12"/>
  <c r="K13" i="12"/>
  <c r="L13" i="12"/>
  <c r="V11" i="12"/>
  <c r="AZ8" i="12"/>
  <c r="AK12" i="12"/>
  <c r="J5" i="12"/>
  <c r="R14" i="12"/>
  <c r="BK13" i="12"/>
  <c r="AI6" i="12"/>
  <c r="W13" i="12"/>
  <c r="AD5" i="12"/>
  <c r="N13" i="12"/>
  <c r="BD8" i="12"/>
  <c r="AK14" i="12"/>
  <c r="BN5" i="12"/>
  <c r="AD7" i="12"/>
  <c r="AL7" i="12"/>
  <c r="AG6" i="12"/>
  <c r="BD13" i="12"/>
  <c r="N8" i="12"/>
  <c r="AX11" i="12"/>
  <c r="AY5" i="12"/>
  <c r="O5" i="12"/>
  <c r="G11" i="12"/>
  <c r="BD7" i="12"/>
  <c r="I7" i="12"/>
  <c r="AV8" i="12"/>
  <c r="BA11" i="12"/>
  <c r="AY13" i="12"/>
  <c r="N5" i="12"/>
  <c r="R12" i="12"/>
  <c r="AH5" i="12"/>
  <c r="Y6" i="12"/>
  <c r="AV7" i="12"/>
  <c r="AI5" i="12"/>
  <c r="AF13" i="12"/>
  <c r="T12" i="12"/>
  <c r="BE13" i="12"/>
  <c r="AE14" i="12"/>
  <c r="BA7" i="12"/>
  <c r="W11" i="12"/>
  <c r="X7" i="12"/>
  <c r="BK5" i="12"/>
  <c r="AX7" i="12"/>
  <c r="S6" i="12"/>
  <c r="AP6" i="12"/>
  <c r="AH14" i="12"/>
  <c r="T14" i="12"/>
  <c r="BC12" i="12"/>
  <c r="AL8" i="12"/>
  <c r="BN8" i="12"/>
  <c r="I5" i="12"/>
  <c r="AH6" i="12"/>
  <c r="AV5" i="12"/>
  <c r="G12" i="12"/>
  <c r="P13" i="12"/>
  <c r="AK11" i="12"/>
  <c r="AW14" i="12"/>
  <c r="AU5" i="12"/>
  <c r="AF12" i="12"/>
  <c r="V12" i="12"/>
  <c r="P8" i="12"/>
  <c r="BB5" i="12"/>
  <c r="BJ14" i="12"/>
  <c r="AZ6" i="12"/>
  <c r="AU14" i="12"/>
  <c r="AR8" i="12"/>
  <c r="N12" i="12"/>
  <c r="F7" i="12"/>
  <c r="BF5" i="12"/>
  <c r="AT6" i="12"/>
  <c r="AB14" i="12"/>
  <c r="AP13" i="12"/>
  <c r="AO11" i="12"/>
  <c r="AS5" i="12"/>
  <c r="BB13" i="12"/>
  <c r="M7" i="12"/>
  <c r="BC6" i="12"/>
  <c r="Y8" i="12"/>
  <c r="K12" i="12"/>
  <c r="R8" i="12"/>
  <c r="AW6" i="12"/>
  <c r="I6" i="12"/>
  <c r="I11" i="12"/>
  <c r="BH7" i="12"/>
  <c r="AM8" i="12"/>
  <c r="L7" i="12"/>
  <c r="AC5" i="12"/>
  <c r="T11" i="12"/>
  <c r="BM12" i="12"/>
  <c r="AO7" i="12"/>
  <c r="AT12" i="12"/>
  <c r="AM12" i="12"/>
  <c r="AW13" i="12"/>
  <c r="AD8" i="12"/>
  <c r="Q6" i="12"/>
  <c r="AQ6" i="12"/>
  <c r="G7" i="12"/>
  <c r="I14" i="12"/>
  <c r="AH13" i="12"/>
  <c r="BF8" i="12"/>
  <c r="Q14" i="12"/>
  <c r="O11" i="12"/>
  <c r="AZ12" i="12"/>
  <c r="AQ11" i="12"/>
  <c r="AN7" i="12"/>
  <c r="BI8" i="12"/>
  <c r="AP11" i="12"/>
  <c r="BC11" i="12"/>
  <c r="P12" i="12"/>
  <c r="Q12" i="12"/>
  <c r="AP14" i="12"/>
  <c r="AU8" i="12"/>
  <c r="BL6" i="12"/>
  <c r="U8" i="12"/>
  <c r="S8" i="12"/>
  <c r="S7" i="12"/>
  <c r="BH11" i="12"/>
  <c r="O13" i="12"/>
  <c r="AL11" i="12"/>
  <c r="AF14" i="12"/>
  <c r="AI14" i="12"/>
  <c r="Q5" i="12"/>
  <c r="AX6" i="12"/>
  <c r="AM14" i="12"/>
  <c r="BG11" i="12"/>
  <c r="AA8" i="12"/>
  <c r="BH13" i="12"/>
  <c r="Q13" i="12"/>
  <c r="BD12" i="12"/>
  <c r="AR12" i="12"/>
  <c r="AF8" i="12"/>
  <c r="BE7" i="12"/>
  <c r="G13" i="12"/>
  <c r="BJ11" i="12"/>
  <c r="AK13" i="12"/>
  <c r="AY7" i="12"/>
  <c r="U7" i="12"/>
  <c r="AZ14" i="12"/>
  <c r="AC6" i="12"/>
  <c r="AF6" i="12"/>
  <c r="Y5" i="12"/>
  <c r="BF14" i="12"/>
  <c r="H11" i="12"/>
  <c r="U14" i="12"/>
  <c r="AE6" i="12"/>
  <c r="Z14" i="12"/>
  <c r="Q8" i="12"/>
  <c r="T8" i="12"/>
  <c r="BJ12" i="12"/>
  <c r="J13" i="12"/>
  <c r="X14" i="12"/>
  <c r="P6" i="12"/>
  <c r="AD14" i="12"/>
  <c r="R5" i="12"/>
  <c r="S5" i="12"/>
  <c r="K11" i="12"/>
  <c r="AA6" i="12"/>
  <c r="AB6" i="12"/>
  <c r="AG7" i="12"/>
  <c r="AS8" i="12"/>
  <c r="BH6" i="12"/>
  <c r="AQ12" i="12"/>
  <c r="AT7" i="12"/>
  <c r="AH8" i="12"/>
  <c r="T5" i="12"/>
  <c r="AY14" i="12"/>
  <c r="BL7" i="12"/>
  <c r="AQ14" i="12"/>
  <c r="T13" i="12"/>
  <c r="BM5" i="12"/>
  <c r="Z7" i="12"/>
  <c r="AM11" i="12"/>
  <c r="AN6" i="12"/>
  <c r="BH14" i="12"/>
  <c r="V14" i="12"/>
  <c r="W5" i="12"/>
  <c r="AL13" i="12"/>
  <c r="BK11" i="12"/>
  <c r="AV6" i="12"/>
  <c r="BG13" i="12"/>
  <c r="BL14" i="12"/>
  <c r="Y13" i="12"/>
  <c r="AE11" i="12"/>
  <c r="BN14" i="12"/>
  <c r="BJ7" i="12"/>
  <c r="M5" i="12"/>
  <c r="P5" i="12"/>
  <c r="AT14" i="12"/>
  <c r="BA12" i="12"/>
  <c r="AC14" i="12"/>
  <c r="AU13" i="12"/>
  <c r="BH5" i="12"/>
  <c r="AZ7" i="12"/>
  <c r="AF11" i="12"/>
  <c r="AQ5" i="12"/>
  <c r="L6" i="12"/>
  <c r="AB11" i="12"/>
  <c r="BJ13" i="12"/>
  <c r="BC7" i="12"/>
  <c r="O8" i="12"/>
  <c r="Y12" i="12"/>
  <c r="AK5" i="12"/>
  <c r="BB8" i="12"/>
  <c r="AG11" i="12"/>
  <c r="H14" i="12"/>
  <c r="AP7" i="12"/>
  <c r="AI7" i="12"/>
  <c r="AX12" i="12"/>
  <c r="BN11" i="12"/>
  <c r="P7" i="12"/>
  <c r="O12" i="12"/>
  <c r="AT11" i="12"/>
  <c r="AF7" i="12"/>
  <c r="K8" i="12"/>
  <c r="V13" i="12"/>
  <c r="AS12" i="12"/>
  <c r="P11" i="12"/>
  <c r="BG6" i="12"/>
  <c r="BD6" i="12"/>
  <c r="L5" i="12"/>
  <c r="F13" i="12"/>
  <c r="N11" i="12"/>
  <c r="AG14" i="12"/>
  <c r="BK6" i="12"/>
  <c r="W12" i="12"/>
  <c r="AQ7" i="12"/>
  <c r="BM11" i="12"/>
  <c r="BI11" i="12"/>
  <c r="AK7" i="12"/>
  <c r="BF11" i="12"/>
  <c r="AP5" i="12"/>
  <c r="BK14" i="12"/>
  <c r="AI8" i="12"/>
  <c r="AN12" i="12"/>
  <c r="BB6" i="12"/>
  <c r="R11" i="12"/>
  <c r="V6" i="12"/>
  <c r="X12" i="12"/>
  <c r="BA14" i="12"/>
  <c r="AN13" i="12"/>
  <c r="BL8" i="12"/>
  <c r="Q7" i="12"/>
  <c r="BM6" i="12"/>
  <c r="AT13" i="12"/>
  <c r="G6" i="12"/>
  <c r="U6" i="12"/>
  <c r="S14" i="12"/>
  <c r="X5" i="12"/>
  <c r="M12" i="12"/>
  <c r="AC8" i="12"/>
  <c r="BE6" i="12"/>
  <c r="BB12" i="12"/>
  <c r="AC7" i="12"/>
  <c r="BL12" i="12"/>
  <c r="AW11" i="12"/>
  <c r="M8" i="12"/>
  <c r="AV14" i="12"/>
  <c r="K6" i="12"/>
  <c r="AG12" i="12"/>
  <c r="BK8" i="12"/>
  <c r="BE8" i="12"/>
  <c r="BM8" i="12"/>
  <c r="AL12" i="12"/>
  <c r="AN8" i="12"/>
  <c r="BI7" i="12"/>
  <c r="AQ13" i="12"/>
  <c r="H12" i="12"/>
  <c r="BK12" i="12"/>
  <c r="AO12" i="12"/>
  <c r="BN7" i="12"/>
  <c r="J8" i="12"/>
  <c r="W7" i="12"/>
  <c r="BH8" i="12"/>
  <c r="AS11" i="12"/>
  <c r="AM13" i="12"/>
  <c r="BD5" i="12"/>
  <c r="G14" i="12"/>
  <c r="Z6" i="12"/>
  <c r="AL14" i="12"/>
  <c r="BG14" i="12"/>
  <c r="BN6" i="12"/>
  <c r="Z12" i="12"/>
  <c r="AE7" i="12"/>
  <c r="U11" i="12"/>
  <c r="AO6" i="12"/>
  <c r="AN14" i="12"/>
  <c r="AG5" i="12"/>
  <c r="N14" i="12"/>
  <c r="BB11" i="12"/>
  <c r="Y11" i="12"/>
  <c r="BE12" i="12"/>
  <c r="AW7" i="12"/>
  <c r="M13" i="12"/>
  <c r="BI13" i="12"/>
  <c r="BM14" i="12"/>
  <c r="F8" i="12"/>
  <c r="BF12" i="12"/>
  <c r="AR7" i="12"/>
  <c r="AZ13" i="12"/>
  <c r="AS13" i="12"/>
  <c r="X8" i="12"/>
  <c r="AE8" i="12"/>
  <c r="M14" i="12"/>
  <c r="U12" i="12"/>
  <c r="K7" i="12"/>
  <c r="BI14" i="12"/>
  <c r="AV11" i="12"/>
  <c r="AH12" i="12"/>
  <c r="AW5" i="12"/>
  <c r="R13" i="12"/>
  <c r="BC14" i="12"/>
  <c r="Y14" i="12"/>
  <c r="V8" i="12"/>
  <c r="J12" i="12"/>
  <c r="BA6" i="12"/>
  <c r="AY6" i="12"/>
  <c r="BM13" i="12"/>
  <c r="AI12" i="12"/>
  <c r="AU6" i="12"/>
  <c r="Z8" i="12"/>
  <c r="BE11" i="12"/>
  <c r="AA11" i="12"/>
  <c r="AA12" i="12"/>
  <c r="V7" i="12"/>
  <c r="AT8" i="12"/>
  <c r="F5" i="12"/>
  <c r="AL5" i="12"/>
  <c r="N6" i="12"/>
  <c r="AB5" i="12"/>
  <c r="AW12" i="12"/>
  <c r="AA7" i="12"/>
  <c r="BE14" i="12"/>
  <c r="U13" i="12"/>
  <c r="AY11" i="12"/>
  <c r="BN13" i="12"/>
  <c r="AX14" i="12"/>
  <c r="G5" i="12"/>
  <c r="BC13" i="12"/>
  <c r="AC11" i="12"/>
  <c r="I12" i="12"/>
  <c r="AB8" i="12"/>
  <c r="AK6" i="12"/>
  <c r="AZ11" i="12"/>
  <c r="K14" i="12"/>
  <c r="F6" i="12"/>
  <c r="P14" i="12"/>
  <c r="G8" i="12"/>
  <c r="BI12" i="12"/>
  <c r="BB7" i="12"/>
  <c r="BJ8" i="12"/>
  <c r="AB7" i="12"/>
  <c r="AD12" i="12"/>
  <c r="AQ8" i="12"/>
  <c r="BJ15" i="12" l="1"/>
  <c r="BA9" i="12"/>
  <c r="BM15" i="12"/>
  <c r="BI15" i="12"/>
  <c r="AX9" i="12"/>
  <c r="AO9" i="12"/>
  <c r="AP15" i="12"/>
  <c r="BD15" i="12"/>
  <c r="BO6" i="12"/>
  <c r="BP6" i="12"/>
  <c r="AY9" i="12"/>
  <c r="BO14" i="12"/>
  <c r="BP14" i="12"/>
  <c r="AX15" i="12"/>
  <c r="AM15" i="12"/>
  <c r="BH9" i="12"/>
  <c r="BA15" i="12"/>
  <c r="BK9" i="12"/>
  <c r="AZ15" i="12"/>
  <c r="AS9" i="12"/>
  <c r="BO12" i="12"/>
  <c r="BP12" i="12"/>
  <c r="AV9" i="12"/>
  <c r="BG9" i="12"/>
  <c r="BD9" i="12"/>
  <c r="AR15" i="12"/>
  <c r="AT15" i="12"/>
  <c r="BB9" i="12"/>
  <c r="AZ9" i="12"/>
  <c r="BF9" i="12"/>
  <c r="AN15" i="12"/>
  <c r="BB15" i="12"/>
  <c r="AS15" i="12"/>
  <c r="AW15" i="12"/>
  <c r="AY15" i="12"/>
  <c r="BL9" i="12"/>
  <c r="BI9" i="12"/>
  <c r="BK15" i="12"/>
  <c r="AV15" i="12"/>
  <c r="AK9" i="12"/>
  <c r="BP5" i="12"/>
  <c r="BO5" i="12"/>
  <c r="BM9" i="12"/>
  <c r="BJ9" i="12"/>
  <c r="BN15" i="12"/>
  <c r="AU9" i="12"/>
  <c r="AQ15" i="12"/>
  <c r="BN9" i="12"/>
  <c r="BO8" i="12"/>
  <c r="BP8" i="12"/>
  <c r="AU15" i="12"/>
  <c r="AO15" i="12"/>
  <c r="BC9" i="12"/>
  <c r="BC15" i="12"/>
  <c r="BE9" i="12"/>
  <c r="AW9" i="12"/>
  <c r="AK15" i="12"/>
  <c r="BO11" i="12"/>
  <c r="BP11" i="12"/>
  <c r="AP9" i="12"/>
  <c r="AL15" i="12"/>
  <c r="AT9" i="12"/>
  <c r="BL15" i="12"/>
  <c r="BO13" i="12"/>
  <c r="BP13" i="12"/>
  <c r="AL9" i="12"/>
  <c r="BP7" i="12"/>
  <c r="BO7" i="12"/>
  <c r="AM9" i="12"/>
  <c r="AQ9" i="12"/>
  <c r="BE15" i="12"/>
  <c r="BG15" i="12"/>
  <c r="AJ14" i="12"/>
  <c r="AN9" i="12"/>
  <c r="AR9" i="12"/>
  <c r="BF15" i="12"/>
  <c r="AJ8" i="12"/>
  <c r="BH15" i="12"/>
  <c r="B40" i="2"/>
  <c r="A11" i="2"/>
  <c r="BO15" i="12" l="1"/>
  <c r="K27" i="3" s="1"/>
  <c r="BO9" i="12"/>
  <c r="K26" i="3" s="1"/>
  <c r="J22" i="3" s="1"/>
  <c r="BP15" i="12"/>
  <c r="L27" i="3" s="1"/>
  <c r="BP9" i="12"/>
  <c r="L26" i="3" s="1"/>
  <c r="K22" i="3" s="1"/>
  <c r="CL99" i="3"/>
  <c r="CL142" i="3"/>
  <c r="CL143" i="3"/>
  <c r="CL170" i="3"/>
  <c r="CL171" i="3"/>
  <c r="CL172" i="3"/>
  <c r="CL173" i="3"/>
  <c r="CL174" i="3"/>
  <c r="CL175" i="3"/>
  <c r="CL176" i="3"/>
  <c r="CL177" i="3"/>
  <c r="CL178" i="3"/>
  <c r="CL179" i="3"/>
  <c r="CL180" i="3"/>
  <c r="CL181" i="3"/>
  <c r="CL182" i="3"/>
  <c r="CL183" i="3"/>
  <c r="CL184" i="3"/>
  <c r="CL185" i="3"/>
  <c r="CL186" i="3"/>
  <c r="CL187" i="3"/>
  <c r="CL188" i="3"/>
  <c r="CL189" i="3"/>
  <c r="CL190" i="3"/>
  <c r="CL191" i="3"/>
  <c r="CL192" i="3"/>
  <c r="CL193" i="3"/>
  <c r="CL194" i="3"/>
  <c r="CL195" i="3"/>
  <c r="CL196" i="3"/>
  <c r="CL197" i="3"/>
  <c r="CL198" i="3"/>
  <c r="CL199" i="3"/>
  <c r="CL200" i="3"/>
  <c r="CL201" i="3"/>
  <c r="CL202" i="3"/>
  <c r="CL203" i="3"/>
  <c r="CL93" i="3" l="1"/>
  <c r="CL29" i="3"/>
  <c r="CL76" i="3"/>
  <c r="CL48" i="3"/>
  <c r="CL75" i="3"/>
  <c r="CL74" i="3"/>
  <c r="CL84" i="3"/>
  <c r="CL80" i="3"/>
  <c r="CL85" i="3"/>
  <c r="CL68" i="3"/>
  <c r="CL46" i="3"/>
  <c r="CL77" i="3"/>
  <c r="CL88" i="3"/>
  <c r="CL83" i="3"/>
  <c r="CL98" i="3"/>
  <c r="CL82" i="3"/>
  <c r="CL50" i="3"/>
  <c r="CL69" i="3"/>
  <c r="CL128" i="3"/>
  <c r="CL56" i="3"/>
  <c r="CL127" i="3"/>
  <c r="CL79" i="3"/>
  <c r="CL126" i="3"/>
  <c r="CL78" i="3"/>
  <c r="CL73" i="3"/>
  <c r="CL96" i="3"/>
  <c r="CL125" i="3"/>
  <c r="CL61" i="3"/>
  <c r="CL144" i="3"/>
  <c r="CL124" i="3"/>
  <c r="CL100" i="3"/>
  <c r="CL139" i="3"/>
  <c r="CL123" i="3"/>
  <c r="CL107" i="3"/>
  <c r="CL91" i="3"/>
  <c r="CL59" i="3"/>
  <c r="CL43" i="3"/>
  <c r="CL27" i="3"/>
  <c r="CL138" i="3"/>
  <c r="CL122" i="3"/>
  <c r="CL106" i="3"/>
  <c r="CL90" i="3"/>
  <c r="CL58" i="3"/>
  <c r="CL42" i="3"/>
  <c r="CL26" i="3"/>
  <c r="CL129" i="3"/>
  <c r="CL97" i="3"/>
  <c r="CL65" i="3"/>
  <c r="CL132" i="3"/>
  <c r="CL44" i="3"/>
  <c r="CL101" i="3"/>
  <c r="CL28" i="3"/>
  <c r="CL111" i="3"/>
  <c r="CL63" i="3"/>
  <c r="CL15" i="3"/>
  <c r="CL110" i="3"/>
  <c r="CL62" i="3"/>
  <c r="CL105" i="3"/>
  <c r="CL148" i="3"/>
  <c r="CL12" i="3"/>
  <c r="CL117" i="3"/>
  <c r="CL53" i="3"/>
  <c r="CL21" i="3"/>
  <c r="CL140" i="3"/>
  <c r="CL120" i="3"/>
  <c r="CL92" i="3"/>
  <c r="CL135" i="3"/>
  <c r="CL119" i="3"/>
  <c r="CL103" i="3"/>
  <c r="CL87" i="3"/>
  <c r="CL71" i="3"/>
  <c r="CL55" i="3"/>
  <c r="CL150" i="3"/>
  <c r="CL134" i="3"/>
  <c r="CL118" i="3"/>
  <c r="CL102" i="3"/>
  <c r="CL86" i="3"/>
  <c r="CL70" i="3"/>
  <c r="CL54" i="3"/>
  <c r="CL137" i="3"/>
  <c r="CL121" i="3"/>
  <c r="CL89" i="3"/>
  <c r="CL57" i="3"/>
  <c r="CL116" i="3"/>
  <c r="CL72" i="3"/>
  <c r="CL133" i="3"/>
  <c r="CL108" i="3"/>
  <c r="CL95" i="3"/>
  <c r="CL47" i="3"/>
  <c r="CL94" i="3"/>
  <c r="CL141" i="3"/>
  <c r="CL52" i="3"/>
  <c r="CL145" i="3"/>
  <c r="CL109" i="3"/>
  <c r="CL45" i="3"/>
  <c r="CL136" i="3"/>
  <c r="CL112" i="3"/>
  <c r="CL64" i="3"/>
  <c r="CL147" i="3"/>
  <c r="CL131" i="3"/>
  <c r="CL115" i="3"/>
  <c r="CL67" i="3"/>
  <c r="CL51" i="3"/>
  <c r="CL146" i="3"/>
  <c r="CL130" i="3"/>
  <c r="CL114" i="3"/>
  <c r="CL66" i="3"/>
  <c r="CL149" i="3"/>
  <c r="CL113" i="3"/>
  <c r="CL81" i="3"/>
  <c r="CL49" i="3"/>
  <c r="CL104" i="3"/>
  <c r="CL60" i="3"/>
  <c r="CL20" i="3"/>
  <c r="CL169" i="3"/>
  <c r="CL168" i="3"/>
  <c r="CL167" i="3"/>
  <c r="CL166" i="3"/>
  <c r="CL165" i="3"/>
  <c r="CL164" i="3"/>
  <c r="CL163" i="3"/>
  <c r="CL162" i="3"/>
  <c r="CL161" i="3"/>
  <c r="CL160" i="3"/>
  <c r="CL159" i="3"/>
  <c r="CL158" i="3"/>
  <c r="CL157" i="3"/>
  <c r="CL156" i="3"/>
  <c r="CL155" i="3"/>
  <c r="CL154" i="3"/>
  <c r="CL153" i="3"/>
  <c r="CL152" i="3"/>
  <c r="CL151" i="3"/>
  <c r="D2" i="3"/>
  <c r="CJ139" i="3"/>
  <c r="CK173" i="3"/>
  <c r="CI33" i="3"/>
  <c r="CI113" i="3"/>
  <c r="CJ177" i="3"/>
  <c r="CI106" i="3"/>
  <c r="CI31" i="3"/>
  <c r="CI14" i="3"/>
  <c r="CK33" i="3"/>
  <c r="CI64" i="3"/>
  <c r="CJ201" i="3"/>
  <c r="CJ93" i="3"/>
  <c r="CI183" i="3"/>
  <c r="CK11" i="3"/>
  <c r="CI57" i="3"/>
  <c r="CI173" i="3"/>
  <c r="CK46" i="3"/>
  <c r="O2" i="3"/>
  <c r="CI46" i="3"/>
  <c r="CJ18" i="3"/>
  <c r="CJ186" i="3"/>
  <c r="CK60" i="3"/>
  <c r="CJ39" i="3"/>
  <c r="CI168" i="3"/>
  <c r="CK158" i="3"/>
  <c r="CK68" i="3"/>
  <c r="CJ86" i="3"/>
  <c r="CJ45" i="3"/>
  <c r="CK15" i="3"/>
  <c r="CI12" i="3"/>
  <c r="CJ60" i="3"/>
  <c r="CI27" i="3"/>
  <c r="CI22" i="3"/>
  <c r="CI203" i="3"/>
  <c r="CK56" i="3"/>
  <c r="CJ34" i="3"/>
  <c r="CJ77" i="3"/>
  <c r="CK174" i="3"/>
  <c r="CI122" i="3"/>
  <c r="CJ90" i="3"/>
  <c r="CI83" i="3"/>
  <c r="CK200" i="3"/>
  <c r="CK165" i="3"/>
  <c r="CK175" i="3"/>
  <c r="CI23" i="3"/>
  <c r="CJ125" i="3"/>
  <c r="CK40" i="3"/>
  <c r="CJ140" i="3"/>
  <c r="CJ56" i="3"/>
  <c r="CI137" i="3"/>
  <c r="CI56" i="3"/>
  <c r="CJ117" i="3"/>
  <c r="CJ142" i="3"/>
  <c r="CI185" i="3"/>
  <c r="CJ195" i="3"/>
  <c r="CI100" i="3"/>
  <c r="CJ65" i="3"/>
  <c r="CI85" i="3"/>
  <c r="CJ156" i="3"/>
  <c r="CI25" i="3"/>
  <c r="CK197" i="3"/>
  <c r="CI107" i="3"/>
  <c r="CK41" i="3"/>
  <c r="CI108" i="3"/>
  <c r="CK195" i="3"/>
  <c r="CI112" i="3"/>
  <c r="CI101" i="3"/>
  <c r="CJ165" i="3"/>
  <c r="CI18" i="3"/>
  <c r="CI187" i="3"/>
  <c r="CK58" i="3"/>
  <c r="CJ114" i="3"/>
  <c r="CJ155" i="3"/>
  <c r="CK135" i="3"/>
  <c r="CI50" i="3"/>
  <c r="CJ17" i="3"/>
  <c r="CK98" i="3"/>
  <c r="CI77" i="3"/>
  <c r="CJ48" i="3"/>
  <c r="CF7" i="3"/>
  <c r="CJ96" i="3"/>
  <c r="CK112" i="3"/>
  <c r="CJ11" i="3"/>
  <c r="CI182" i="3"/>
  <c r="CJ121" i="3"/>
  <c r="CI117" i="3"/>
  <c r="CK115" i="3"/>
  <c r="CI172" i="3"/>
  <c r="CI155" i="3"/>
  <c r="CI70" i="3"/>
  <c r="CI51" i="3"/>
  <c r="CJ148" i="3"/>
  <c r="CI153" i="3"/>
  <c r="CK108" i="3"/>
  <c r="CK123" i="3"/>
  <c r="CI154" i="3"/>
  <c r="CK109" i="3"/>
  <c r="CI128" i="3"/>
  <c r="CK91" i="3"/>
  <c r="CI145" i="3"/>
  <c r="CI74" i="3"/>
  <c r="CJ19" i="3"/>
  <c r="CJ134" i="3"/>
  <c r="CK53" i="3"/>
  <c r="CK167" i="3"/>
  <c r="CK118" i="3"/>
  <c r="CK82" i="3"/>
  <c r="CJ41" i="3"/>
  <c r="CI63" i="3"/>
  <c r="CJ126" i="3"/>
  <c r="CI38" i="3"/>
  <c r="CJ43" i="3"/>
  <c r="CI59" i="3"/>
  <c r="CI93" i="3"/>
  <c r="CI20" i="3"/>
  <c r="CI84" i="3"/>
  <c r="CI116" i="3"/>
  <c r="CK194" i="3"/>
  <c r="CJ9" i="3"/>
  <c r="CK199" i="3"/>
  <c r="CI196" i="3"/>
  <c r="CJ133" i="3"/>
  <c r="CJ98" i="3"/>
  <c r="CI97" i="3"/>
  <c r="CI42" i="3"/>
  <c r="CI138" i="3"/>
  <c r="CJ44" i="3"/>
  <c r="CK110" i="3"/>
  <c r="CJ154" i="3"/>
  <c r="CJ174" i="3"/>
  <c r="CI142" i="3"/>
  <c r="CI114" i="3"/>
  <c r="CJ143" i="3"/>
  <c r="CJ28" i="3"/>
  <c r="CI133" i="3"/>
  <c r="CJ8" i="3"/>
  <c r="CJ198" i="3"/>
  <c r="CI202" i="3"/>
  <c r="CI41" i="3"/>
  <c r="CI47" i="3"/>
  <c r="CK154" i="3"/>
  <c r="CK124" i="3"/>
  <c r="CJ136" i="3"/>
  <c r="CK147" i="3"/>
  <c r="CK105" i="3"/>
  <c r="CI75" i="3"/>
  <c r="CK153" i="3"/>
  <c r="CI26" i="3"/>
  <c r="CK42" i="3"/>
  <c r="CK155" i="3"/>
  <c r="CI10" i="3"/>
  <c r="CJ113" i="3"/>
  <c r="CK44" i="3"/>
  <c r="CK43" i="3"/>
  <c r="CJ89" i="3"/>
  <c r="CI171" i="3"/>
  <c r="CJ172" i="3"/>
  <c r="CI7" i="3"/>
  <c r="CK8" i="3"/>
  <c r="CJ10" i="3"/>
  <c r="CK144" i="3"/>
  <c r="CI147" i="3"/>
  <c r="CK52" i="3"/>
  <c r="CK107" i="3"/>
  <c r="CK133" i="3"/>
  <c r="CK196" i="3"/>
  <c r="CI76" i="3"/>
  <c r="CK13" i="3"/>
  <c r="CI104" i="3"/>
  <c r="CJ167" i="3"/>
  <c r="CJ185" i="3"/>
  <c r="CK17" i="3"/>
  <c r="CJ112" i="3"/>
  <c r="CK192" i="3"/>
  <c r="CJ173" i="3"/>
  <c r="CJ92" i="3"/>
  <c r="CK193" i="3"/>
  <c r="CI115" i="3"/>
  <c r="CI17" i="3"/>
  <c r="CK10" i="3"/>
  <c r="CJ49" i="3"/>
  <c r="CI35" i="3"/>
  <c r="CJ47" i="3"/>
  <c r="CK45" i="3"/>
  <c r="CJ62" i="3"/>
  <c r="CK94" i="3"/>
  <c r="CK48" i="3"/>
  <c r="CI163" i="3"/>
  <c r="CJ67" i="3"/>
  <c r="CJ12" i="3"/>
  <c r="CK66" i="3"/>
  <c r="CI164" i="3"/>
  <c r="CJ178" i="3"/>
  <c r="CJ64" i="3"/>
  <c r="CI94" i="3"/>
  <c r="CJ104" i="3"/>
  <c r="CK162" i="3"/>
  <c r="CJ69" i="3"/>
  <c r="CJ52" i="3"/>
  <c r="CJ119" i="3"/>
  <c r="CK95" i="3"/>
  <c r="CK24" i="3"/>
  <c r="CJ192" i="3"/>
  <c r="CJ129" i="3"/>
  <c r="CJ13" i="3"/>
  <c r="CI96" i="3"/>
  <c r="CI191" i="3"/>
  <c r="CK73" i="3"/>
  <c r="CJ71" i="3"/>
  <c r="CJ199" i="3"/>
  <c r="CK12" i="3"/>
  <c r="CI151" i="3"/>
  <c r="CJ176" i="3"/>
  <c r="CI40" i="3"/>
  <c r="CI200" i="3"/>
  <c r="CK50" i="3"/>
  <c r="CI170" i="3"/>
  <c r="CK179" i="3"/>
  <c r="CJ184" i="3"/>
  <c r="CJ95" i="3"/>
  <c r="CI21" i="3"/>
  <c r="CK119" i="3"/>
  <c r="CI111" i="3"/>
  <c r="CJ171" i="3"/>
  <c r="CK181" i="3"/>
  <c r="CK23" i="3"/>
  <c r="CJ61" i="3"/>
  <c r="CJ101" i="3"/>
  <c r="CI161" i="3"/>
  <c r="CJ74" i="3"/>
  <c r="CJ169" i="3"/>
  <c r="CK65" i="3"/>
  <c r="CI197" i="3"/>
  <c r="CK151" i="3"/>
  <c r="CI67" i="3"/>
  <c r="CI80" i="3"/>
  <c r="CJ31" i="3"/>
  <c r="CI140" i="3"/>
  <c r="CJ162" i="3"/>
  <c r="CI118" i="3"/>
  <c r="CI160" i="3"/>
  <c r="CI62" i="3"/>
  <c r="CK31" i="3"/>
  <c r="CI48" i="3"/>
  <c r="CJ127" i="3"/>
  <c r="CI109" i="3"/>
  <c r="CK77" i="3"/>
  <c r="CK34" i="3"/>
  <c r="CI158" i="3"/>
  <c r="CK92" i="3"/>
  <c r="CJ68" i="3"/>
  <c r="CI29" i="3"/>
  <c r="CK63" i="3"/>
  <c r="CK130" i="3"/>
  <c r="CJ146" i="3"/>
  <c r="CI32" i="3"/>
  <c r="CI198" i="3"/>
  <c r="CJ40" i="3"/>
  <c r="CI194" i="3"/>
  <c r="CI150" i="3"/>
  <c r="CI9" i="3"/>
  <c r="CJ149" i="3"/>
  <c r="CI190" i="3"/>
  <c r="CI188" i="3"/>
  <c r="CJ194" i="3"/>
  <c r="CK198" i="3"/>
  <c r="CJ123" i="3"/>
  <c r="CJ20" i="3"/>
  <c r="CI175" i="3"/>
  <c r="CJ168" i="3"/>
  <c r="CJ193" i="3"/>
  <c r="CJ161" i="3"/>
  <c r="CK201" i="3"/>
  <c r="CI98" i="3"/>
  <c r="CI45" i="3"/>
  <c r="CK131" i="3"/>
  <c r="CJ183" i="3"/>
  <c r="CJ66" i="3"/>
  <c r="CK136" i="3"/>
  <c r="CJ84" i="3"/>
  <c r="CK106" i="3"/>
  <c r="CI13" i="3"/>
  <c r="CJ181" i="3"/>
  <c r="CI28" i="3"/>
  <c r="CK134" i="3"/>
  <c r="CJ103" i="3"/>
  <c r="CJ131" i="3"/>
  <c r="CK89" i="3"/>
  <c r="CJ37" i="3"/>
  <c r="CK160" i="3"/>
  <c r="CK59" i="3"/>
  <c r="CJ23" i="3"/>
  <c r="CK140" i="3"/>
  <c r="CI39" i="3"/>
  <c r="CI16" i="3"/>
  <c r="CK35" i="3"/>
  <c r="CJ35" i="3"/>
  <c r="CK87" i="3"/>
  <c r="CI37" i="3"/>
  <c r="CI34" i="3"/>
  <c r="CK20" i="3"/>
  <c r="CJ196" i="3"/>
  <c r="CK189" i="3"/>
  <c r="CI167" i="3"/>
  <c r="CK70" i="3"/>
  <c r="CJ88" i="3"/>
  <c r="CJ100" i="3"/>
  <c r="CJ78" i="3"/>
  <c r="CK142" i="3"/>
  <c r="CK88" i="3"/>
  <c r="CJ83" i="3"/>
  <c r="CI119" i="3"/>
  <c r="CJ94" i="3"/>
  <c r="CK102" i="3"/>
  <c r="CI179" i="3"/>
  <c r="CJ153" i="3"/>
  <c r="CI102" i="3"/>
  <c r="CJ190" i="3"/>
  <c r="CI91" i="3"/>
  <c r="CJ182" i="3"/>
  <c r="CJ33" i="3"/>
  <c r="CI110" i="3"/>
  <c r="CI90" i="3"/>
  <c r="CJ115" i="3"/>
  <c r="CJ145" i="3"/>
  <c r="CJ85" i="3"/>
  <c r="CJ7" i="3"/>
  <c r="CJ158" i="3"/>
  <c r="CK180" i="3"/>
  <c r="CK84" i="3"/>
  <c r="CK114" i="3"/>
  <c r="CI131" i="3"/>
  <c r="CI149" i="3"/>
  <c r="CJ99" i="3"/>
  <c r="CK25" i="3"/>
  <c r="CK113" i="3"/>
  <c r="CK164" i="3"/>
  <c r="CI95" i="3"/>
  <c r="CJ16" i="3"/>
  <c r="CJ137" i="3"/>
  <c r="CI184" i="3"/>
  <c r="CK170" i="3"/>
  <c r="CK16" i="3"/>
  <c r="CI61" i="3"/>
  <c r="CK100" i="3"/>
  <c r="CK38" i="3"/>
  <c r="CK183" i="3"/>
  <c r="CK55" i="3"/>
  <c r="CJ191" i="3"/>
  <c r="CK172" i="3"/>
  <c r="CJ147" i="3"/>
  <c r="CI49" i="3"/>
  <c r="CJ197" i="3"/>
  <c r="CK85" i="3"/>
  <c r="CK93" i="3"/>
  <c r="CI177" i="3"/>
  <c r="CJ42" i="3"/>
  <c r="CI60" i="3"/>
  <c r="CI156" i="3"/>
  <c r="CK127" i="3"/>
  <c r="CJ180" i="3"/>
  <c r="CJ54" i="3"/>
  <c r="CK104" i="3"/>
  <c r="CJ106" i="3"/>
  <c r="CI199" i="3"/>
  <c r="CK187" i="3"/>
  <c r="CK111" i="3"/>
  <c r="CI87" i="3"/>
  <c r="CJ130" i="3"/>
  <c r="CK54" i="3"/>
  <c r="CK186" i="3"/>
  <c r="CJ116" i="3"/>
  <c r="CI136" i="3"/>
  <c r="CK36" i="3"/>
  <c r="CK71" i="3"/>
  <c r="CJ75" i="3"/>
  <c r="CK75" i="3"/>
  <c r="CK47" i="3"/>
  <c r="CK103" i="3"/>
  <c r="CK184" i="3"/>
  <c r="CJ151" i="3"/>
  <c r="CI162" i="3"/>
  <c r="CJ57" i="3"/>
  <c r="CK122" i="3"/>
  <c r="CI82" i="3"/>
  <c r="CK126" i="3"/>
  <c r="CI36" i="3"/>
  <c r="CI71" i="3"/>
  <c r="CK49" i="3"/>
  <c r="CJ50" i="3"/>
  <c r="CI180" i="3"/>
  <c r="CI165" i="3"/>
  <c r="CK128" i="3"/>
  <c r="CI92" i="3"/>
  <c r="CJ144" i="3"/>
  <c r="CI186" i="3"/>
  <c r="CK159" i="3"/>
  <c r="CJ51" i="3"/>
  <c r="CI129" i="3"/>
  <c r="CJ30" i="3"/>
  <c r="CK39" i="3"/>
  <c r="CJ120" i="3"/>
  <c r="CI15" i="3"/>
  <c r="CI103" i="3"/>
  <c r="CI43" i="3"/>
  <c r="CI73" i="3"/>
  <c r="CJ76" i="3"/>
  <c r="CK156" i="3"/>
  <c r="CK121" i="3"/>
  <c r="CK146" i="3"/>
  <c r="CI58" i="3"/>
  <c r="CI174" i="3"/>
  <c r="CJ200" i="3"/>
  <c r="CK74" i="3"/>
  <c r="CJ14" i="3"/>
  <c r="CK7" i="3"/>
  <c r="CJ138" i="3"/>
  <c r="CI52" i="3"/>
  <c r="CJ157" i="3"/>
  <c r="CK150" i="3"/>
  <c r="CI88" i="3"/>
  <c r="CI146" i="3"/>
  <c r="CK62" i="3"/>
  <c r="CI132" i="3"/>
  <c r="CK141" i="3"/>
  <c r="CJ97" i="3"/>
  <c r="CK30" i="3"/>
  <c r="CI176" i="3"/>
  <c r="CJ38" i="3"/>
  <c r="CK125" i="3"/>
  <c r="CK138" i="3"/>
  <c r="CI178" i="3"/>
  <c r="CK163" i="3"/>
  <c r="CJ36" i="3"/>
  <c r="CJ159" i="3"/>
  <c r="CJ108" i="3"/>
  <c r="CJ24" i="3"/>
  <c r="CI144" i="3"/>
  <c r="CK120" i="3"/>
  <c r="CJ91" i="3"/>
  <c r="CK19" i="3"/>
  <c r="CI159" i="3"/>
  <c r="CI105" i="3"/>
  <c r="CI66" i="3"/>
  <c r="CK145" i="3"/>
  <c r="CI126" i="3"/>
  <c r="CI143" i="3"/>
  <c r="CK86" i="3"/>
  <c r="CK67" i="3"/>
  <c r="CJ21" i="3"/>
  <c r="CK149" i="3"/>
  <c r="CK69" i="3"/>
  <c r="CI125" i="3"/>
  <c r="CK152" i="3"/>
  <c r="CJ128" i="3"/>
  <c r="CI193" i="3"/>
  <c r="CJ135" i="3"/>
  <c r="CK37" i="3"/>
  <c r="CK166" i="3"/>
  <c r="CK117" i="3"/>
  <c r="CJ170" i="3"/>
  <c r="CJ150" i="3"/>
  <c r="CI54" i="3"/>
  <c r="CJ87" i="3"/>
  <c r="CI181" i="3"/>
  <c r="CK177" i="3"/>
  <c r="CI55" i="3"/>
  <c r="CI8" i="3"/>
  <c r="CJ166" i="3"/>
  <c r="CI130" i="3"/>
  <c r="CI53" i="3"/>
  <c r="CK148" i="3"/>
  <c r="CJ70" i="3"/>
  <c r="CI121" i="3"/>
  <c r="CK97" i="3"/>
  <c r="CJ187" i="3"/>
  <c r="CK21" i="3"/>
  <c r="CI78" i="3"/>
  <c r="CI152" i="3"/>
  <c r="CI86" i="3"/>
  <c r="CJ122" i="3"/>
  <c r="CI69" i="3"/>
  <c r="CJ132" i="3"/>
  <c r="CI166" i="3"/>
  <c r="CK157" i="3"/>
  <c r="CJ22" i="3"/>
  <c r="CJ73" i="3"/>
  <c r="CK176" i="3"/>
  <c r="CK64" i="3"/>
  <c r="CI169" i="3"/>
  <c r="CK203" i="3"/>
  <c r="CJ105" i="3"/>
  <c r="CI139" i="3"/>
  <c r="CI201" i="3"/>
  <c r="CJ63" i="3"/>
  <c r="CI123" i="3"/>
  <c r="CK27" i="3"/>
  <c r="CJ82" i="3"/>
  <c r="CK83" i="3"/>
  <c r="CI81" i="3"/>
  <c r="CK96" i="3"/>
  <c r="CK190" i="3"/>
  <c r="CI65" i="3"/>
  <c r="CK161" i="3"/>
  <c r="CI195" i="3"/>
  <c r="CI68" i="3"/>
  <c r="CK72" i="3"/>
  <c r="CJ111" i="3"/>
  <c r="CJ72" i="3"/>
  <c r="CK80" i="3"/>
  <c r="CJ141" i="3"/>
  <c r="CK168" i="3"/>
  <c r="CK79" i="3"/>
  <c r="CI30" i="3"/>
  <c r="CI19" i="3"/>
  <c r="CI44" i="3"/>
  <c r="CK171" i="3"/>
  <c r="CK188" i="3"/>
  <c r="CK132" i="3"/>
  <c r="CJ189" i="3"/>
  <c r="CJ164" i="3"/>
  <c r="CJ110" i="3"/>
  <c r="CJ109" i="3"/>
  <c r="CK139" i="3"/>
  <c r="CJ55" i="3"/>
  <c r="CJ81" i="3"/>
  <c r="CK90" i="3"/>
  <c r="CI192" i="3"/>
  <c r="CK18" i="3"/>
  <c r="CK9" i="3"/>
  <c r="CK57" i="3"/>
  <c r="CJ179" i="3"/>
  <c r="CI127" i="3"/>
  <c r="CI89" i="3"/>
  <c r="CK61" i="3"/>
  <c r="CK129" i="3"/>
  <c r="CK99" i="3"/>
  <c r="CK202" i="3"/>
  <c r="CJ59" i="3"/>
  <c r="CI134" i="3"/>
  <c r="CI11" i="3"/>
  <c r="CJ26" i="3"/>
  <c r="CJ203" i="3"/>
  <c r="CJ124" i="3"/>
  <c r="CI79" i="3"/>
  <c r="CI135" i="3"/>
  <c r="CK143" i="3"/>
  <c r="CI99" i="3"/>
  <c r="CJ102" i="3"/>
  <c r="CI72" i="3"/>
  <c r="CI189" i="3"/>
  <c r="CK29" i="3"/>
  <c r="CJ79" i="3"/>
  <c r="CI124" i="3"/>
  <c r="CJ175" i="3"/>
  <c r="CK22" i="3"/>
  <c r="CK78" i="3"/>
  <c r="CK178" i="3"/>
  <c r="CJ15" i="3"/>
  <c r="CJ32" i="3"/>
  <c r="CJ118" i="3"/>
  <c r="CJ152" i="3"/>
  <c r="CK32" i="3"/>
  <c r="CJ163" i="3"/>
  <c r="CI24" i="3"/>
  <c r="CK116" i="3"/>
  <c r="CJ188" i="3"/>
  <c r="CK101" i="3"/>
  <c r="CK51" i="3"/>
  <c r="CK169" i="3"/>
  <c r="CJ160" i="3"/>
  <c r="CK28" i="3"/>
  <c r="CK191" i="3"/>
  <c r="CI148" i="3"/>
  <c r="CJ46" i="3"/>
  <c r="CK185" i="3"/>
  <c r="CK76" i="3"/>
  <c r="CK81" i="3"/>
  <c r="CK26" i="3"/>
  <c r="CI157" i="3"/>
  <c r="CJ58" i="3"/>
  <c r="CI120" i="3"/>
  <c r="CJ29" i="3"/>
  <c r="CJ27" i="3"/>
  <c r="CJ53" i="3"/>
  <c r="CK14" i="3"/>
  <c r="CI141" i="3"/>
  <c r="CK137" i="3"/>
  <c r="CJ25" i="3"/>
  <c r="CK182" i="3"/>
  <c r="CJ107" i="3"/>
  <c r="CJ80" i="3"/>
  <c r="CJ202" i="3"/>
  <c r="E2" i="3"/>
  <c r="CL40" i="3" l="1"/>
  <c r="CL35" i="3"/>
  <c r="CL19" i="3"/>
  <c r="CL25" i="3"/>
  <c r="CL17" i="3"/>
  <c r="CL36" i="3"/>
  <c r="CL34" i="3"/>
  <c r="CL37" i="3"/>
  <c r="CL41" i="3"/>
  <c r="CL16" i="3"/>
  <c r="CL39" i="3"/>
  <c r="CL30" i="3"/>
  <c r="CL23" i="3"/>
  <c r="CL18" i="3"/>
  <c r="CL24" i="3"/>
  <c r="CL38" i="3"/>
  <c r="CL32" i="3"/>
  <c r="CL14" i="3"/>
  <c r="CL31" i="3"/>
  <c r="CL13" i="3"/>
  <c r="CL33" i="3"/>
  <c r="CL22" i="3"/>
  <c r="CL7" i="3"/>
  <c r="CL8" i="3"/>
  <c r="CL11" i="3"/>
  <c r="CL10" i="3"/>
  <c r="CL9" i="3"/>
  <c r="D3" i="3"/>
  <c r="E3" i="3"/>
  <c r="D4" i="3" l="1"/>
  <c r="CM7" i="3"/>
  <c r="B7" i="2" s="1"/>
  <c r="A20" i="2"/>
  <c r="A21" i="2"/>
  <c r="A22" i="2"/>
  <c r="A19" i="2"/>
  <c r="A15" i="2"/>
  <c r="A16" i="2"/>
  <c r="A17" i="2"/>
  <c r="A14" i="2"/>
  <c r="A10" i="2"/>
  <c r="A12" i="2"/>
  <c r="A9" i="2"/>
  <c r="E4" i="3"/>
  <c r="D5" i="3" l="1"/>
  <c r="B3" i="2"/>
  <c r="E5" i="3"/>
  <c r="D6" i="3" l="1"/>
  <c r="C15" i="11"/>
  <c r="B15" i="11"/>
  <c r="E6" i="3"/>
  <c r="D7" i="3" l="1"/>
  <c r="B2" i="2"/>
  <c r="E7" i="3"/>
  <c r="D8" i="3" l="1"/>
  <c r="C31" i="11"/>
  <c r="L2" i="3"/>
  <c r="D9" i="11"/>
  <c r="D11" i="11"/>
  <c r="D10" i="11"/>
  <c r="K2" i="3"/>
  <c r="E8" i="3"/>
  <c r="D9" i="3" l="1"/>
  <c r="B4" i="2"/>
  <c r="B6" i="2"/>
  <c r="BC7" i="3"/>
  <c r="BC8" i="3"/>
  <c r="BC9" i="3"/>
  <c r="BC10" i="3"/>
  <c r="BC11" i="3"/>
  <c r="BC12" i="3"/>
  <c r="BC13" i="3"/>
  <c r="BC14" i="3"/>
  <c r="BC15" i="3"/>
  <c r="BC16" i="3"/>
  <c r="BC17" i="3"/>
  <c r="BC18" i="3"/>
  <c r="BC19" i="3"/>
  <c r="BC20" i="3"/>
  <c r="BC21" i="3"/>
  <c r="BC22" i="3"/>
  <c r="BC23" i="3"/>
  <c r="BC24" i="3"/>
  <c r="BC25" i="3"/>
  <c r="BC26" i="3"/>
  <c r="BC27" i="3"/>
  <c r="BC28" i="3"/>
  <c r="BC6" i="3"/>
  <c r="BQ28" i="3"/>
  <c r="BP28" i="3"/>
  <c r="BO28" i="3"/>
  <c r="BN28" i="3"/>
  <c r="BM28" i="3"/>
  <c r="BL28" i="3"/>
  <c r="BK28" i="3" s="1"/>
  <c r="BQ27" i="3"/>
  <c r="BP27" i="3"/>
  <c r="BO27" i="3"/>
  <c r="BN27" i="3"/>
  <c r="BM27" i="3"/>
  <c r="BL27" i="3"/>
  <c r="BK27" i="3" s="1"/>
  <c r="BQ26" i="3"/>
  <c r="BP26" i="3"/>
  <c r="BO26" i="3"/>
  <c r="BN26" i="3"/>
  <c r="BM26" i="3"/>
  <c r="BL26" i="3"/>
  <c r="BK26" i="3" s="1"/>
  <c r="BQ25" i="3"/>
  <c r="BP25" i="3"/>
  <c r="BO25" i="3"/>
  <c r="BN25" i="3"/>
  <c r="BM25" i="3"/>
  <c r="BL25" i="3"/>
  <c r="BK25" i="3" s="1"/>
  <c r="BQ24" i="3"/>
  <c r="BP24" i="3"/>
  <c r="BO24" i="3"/>
  <c r="BN24" i="3"/>
  <c r="BM24" i="3"/>
  <c r="BL24" i="3"/>
  <c r="BK24" i="3" s="1"/>
  <c r="BQ23" i="3"/>
  <c r="BP23" i="3"/>
  <c r="BO23" i="3"/>
  <c r="BN23" i="3"/>
  <c r="BM23" i="3"/>
  <c r="BL23" i="3"/>
  <c r="BK23" i="3" s="1"/>
  <c r="BQ22" i="3"/>
  <c r="BP22" i="3"/>
  <c r="BO22" i="3"/>
  <c r="BN22" i="3"/>
  <c r="BM22" i="3"/>
  <c r="BL22" i="3"/>
  <c r="BK22" i="3" s="1"/>
  <c r="BQ21" i="3"/>
  <c r="BP21" i="3"/>
  <c r="BO21" i="3"/>
  <c r="BN21" i="3"/>
  <c r="BM21" i="3"/>
  <c r="BL21" i="3"/>
  <c r="BK21" i="3" s="1"/>
  <c r="BQ20" i="3"/>
  <c r="BP20" i="3"/>
  <c r="BO20" i="3"/>
  <c r="BN20" i="3"/>
  <c r="BM20" i="3"/>
  <c r="BL20" i="3"/>
  <c r="BK20" i="3" s="1"/>
  <c r="BQ19" i="3"/>
  <c r="BP19" i="3"/>
  <c r="BO19" i="3"/>
  <c r="BN19" i="3"/>
  <c r="BM19" i="3"/>
  <c r="BL19" i="3"/>
  <c r="BK19" i="3" s="1"/>
  <c r="BQ18" i="3"/>
  <c r="BP18" i="3"/>
  <c r="BO18" i="3"/>
  <c r="BN18" i="3"/>
  <c r="BM18" i="3"/>
  <c r="BL18" i="3"/>
  <c r="BK18" i="3" s="1"/>
  <c r="BQ17" i="3"/>
  <c r="BP17" i="3"/>
  <c r="BO17" i="3"/>
  <c r="BN17" i="3"/>
  <c r="BM17" i="3"/>
  <c r="BL17" i="3"/>
  <c r="BK17" i="3" s="1"/>
  <c r="BQ16" i="3"/>
  <c r="BP16" i="3"/>
  <c r="BO16" i="3"/>
  <c r="BN16" i="3"/>
  <c r="BM16" i="3"/>
  <c r="BL16" i="3"/>
  <c r="BK16" i="3" s="1"/>
  <c r="BQ15" i="3"/>
  <c r="BP15" i="3"/>
  <c r="BO15" i="3"/>
  <c r="BN15" i="3"/>
  <c r="BM15" i="3"/>
  <c r="BL15" i="3"/>
  <c r="BK15" i="3" s="1"/>
  <c r="BQ14" i="3"/>
  <c r="BP14" i="3"/>
  <c r="BO14" i="3"/>
  <c r="BN14" i="3"/>
  <c r="BM14" i="3"/>
  <c r="BL14" i="3"/>
  <c r="BK14" i="3" s="1"/>
  <c r="BQ13" i="3"/>
  <c r="BP13" i="3"/>
  <c r="BO13" i="3"/>
  <c r="BN13" i="3"/>
  <c r="BM13" i="3"/>
  <c r="BL13" i="3"/>
  <c r="BK13" i="3" s="1"/>
  <c r="BQ12" i="3"/>
  <c r="BP12" i="3"/>
  <c r="BO12" i="3"/>
  <c r="BN12" i="3"/>
  <c r="BM12" i="3"/>
  <c r="BL12" i="3"/>
  <c r="BK12" i="3" s="1"/>
  <c r="BQ11" i="3"/>
  <c r="BP11" i="3"/>
  <c r="BO11" i="3"/>
  <c r="BN11" i="3"/>
  <c r="BM11" i="3"/>
  <c r="BL11" i="3"/>
  <c r="BK11" i="3" s="1"/>
  <c r="BQ10" i="3"/>
  <c r="BP10" i="3"/>
  <c r="BO10" i="3"/>
  <c r="BN10" i="3"/>
  <c r="BM10" i="3"/>
  <c r="BL10" i="3"/>
  <c r="BK10" i="3" s="1"/>
  <c r="BQ9" i="3"/>
  <c r="BP9" i="3"/>
  <c r="BO9" i="3"/>
  <c r="BN9" i="3"/>
  <c r="BM9" i="3"/>
  <c r="BL9" i="3"/>
  <c r="BK9" i="3" s="1"/>
  <c r="BQ8" i="3"/>
  <c r="BP8" i="3"/>
  <c r="BO8" i="3"/>
  <c r="BN8" i="3"/>
  <c r="BM8" i="3"/>
  <c r="BL8" i="3"/>
  <c r="BK8" i="3" s="1"/>
  <c r="BQ7" i="3"/>
  <c r="BP7" i="3"/>
  <c r="BO7" i="3"/>
  <c r="BN7" i="3"/>
  <c r="BM7" i="3"/>
  <c r="BL7" i="3"/>
  <c r="BK7" i="3" s="1"/>
  <c r="BQ6" i="3"/>
  <c r="BP6" i="3"/>
  <c r="BO6" i="3"/>
  <c r="BN6" i="3"/>
  <c r="BM6" i="3"/>
  <c r="BL6" i="3"/>
  <c r="BK6" i="3" s="1"/>
  <c r="E9" i="3"/>
  <c r="D10" i="3" l="1"/>
  <c r="BU23" i="3"/>
  <c r="B19" i="2" s="1"/>
  <c r="BV24" i="3"/>
  <c r="C20" i="2" s="1"/>
  <c r="BU24" i="3"/>
  <c r="B20" i="2" s="1"/>
  <c r="BV23" i="3"/>
  <c r="C19" i="2" s="1"/>
  <c r="BV25" i="3"/>
  <c r="C21" i="2" s="1"/>
  <c r="BU26" i="3"/>
  <c r="B22" i="2" s="1"/>
  <c r="BV26" i="3"/>
  <c r="C22" i="2" s="1"/>
  <c r="BU25" i="3"/>
  <c r="B21" i="2" s="1"/>
  <c r="BD5" i="3"/>
  <c r="E10" i="3"/>
  <c r="D11" i="3" l="1"/>
  <c r="F375" i="3"/>
  <c r="G375" i="3" s="1"/>
  <c r="F376" i="3"/>
  <c r="G376" i="3" s="1"/>
  <c r="F377" i="3"/>
  <c r="G377" i="3" s="1"/>
  <c r="F378" i="3"/>
  <c r="G378" i="3" s="1"/>
  <c r="F379" i="3"/>
  <c r="G379" i="3" s="1"/>
  <c r="F380" i="3"/>
  <c r="G380" i="3" s="1"/>
  <c r="F381" i="3"/>
  <c r="G381" i="3" s="1"/>
  <c r="F382" i="3"/>
  <c r="G382" i="3" s="1"/>
  <c r="F383" i="3"/>
  <c r="G383" i="3" s="1"/>
  <c r="F384" i="3"/>
  <c r="G384" i="3" s="1"/>
  <c r="F385" i="3"/>
  <c r="G385" i="3" s="1"/>
  <c r="F386" i="3"/>
  <c r="G386" i="3" s="1"/>
  <c r="F387" i="3"/>
  <c r="G387" i="3" s="1"/>
  <c r="F388" i="3"/>
  <c r="G388" i="3" s="1"/>
  <c r="F389" i="3"/>
  <c r="G389" i="3" s="1"/>
  <c r="F390" i="3"/>
  <c r="G390" i="3" s="1"/>
  <c r="F391" i="3"/>
  <c r="G391" i="3" s="1"/>
  <c r="F392" i="3"/>
  <c r="G392" i="3" s="1"/>
  <c r="F393" i="3"/>
  <c r="G393" i="3" s="1"/>
  <c r="F394" i="3"/>
  <c r="G394" i="3" s="1"/>
  <c r="F395" i="3"/>
  <c r="G395" i="3" s="1"/>
  <c r="F396" i="3"/>
  <c r="G396" i="3" s="1"/>
  <c r="F397" i="3"/>
  <c r="G397" i="3" s="1"/>
  <c r="F398" i="3"/>
  <c r="G398" i="3" s="1"/>
  <c r="F399" i="3"/>
  <c r="G399" i="3" s="1"/>
  <c r="F400" i="3"/>
  <c r="G400" i="3" s="1"/>
  <c r="F401" i="3"/>
  <c r="G401" i="3" s="1"/>
  <c r="F402" i="3"/>
  <c r="G402" i="3" s="1"/>
  <c r="F403" i="3"/>
  <c r="G403" i="3" s="1"/>
  <c r="F404" i="3"/>
  <c r="G404" i="3" s="1"/>
  <c r="F405" i="3"/>
  <c r="G405" i="3" s="1"/>
  <c r="F406" i="3"/>
  <c r="G406" i="3" s="1"/>
  <c r="F407" i="3"/>
  <c r="G407" i="3" s="1"/>
  <c r="F408" i="3"/>
  <c r="G408" i="3" s="1"/>
  <c r="F409" i="3"/>
  <c r="G409" i="3" s="1"/>
  <c r="F410" i="3"/>
  <c r="G410" i="3" s="1"/>
  <c r="F411" i="3"/>
  <c r="G411" i="3" s="1"/>
  <c r="F412" i="3"/>
  <c r="G412" i="3" s="1"/>
  <c r="F413" i="3"/>
  <c r="G413" i="3" s="1"/>
  <c r="F414" i="3"/>
  <c r="G414" i="3" s="1"/>
  <c r="F415" i="3"/>
  <c r="G415" i="3" s="1"/>
  <c r="F416" i="3"/>
  <c r="G416" i="3" s="1"/>
  <c r="F417" i="3"/>
  <c r="G417" i="3" s="1"/>
  <c r="F418" i="3"/>
  <c r="G418" i="3" s="1"/>
  <c r="F419" i="3"/>
  <c r="G419" i="3" s="1"/>
  <c r="F420" i="3"/>
  <c r="G420" i="3" s="1"/>
  <c r="F421" i="3"/>
  <c r="G421" i="3" s="1"/>
  <c r="F422" i="3"/>
  <c r="G422" i="3" s="1"/>
  <c r="F423" i="3"/>
  <c r="G423" i="3" s="1"/>
  <c r="F424" i="3"/>
  <c r="G424" i="3" s="1"/>
  <c r="F425" i="3"/>
  <c r="G425" i="3" s="1"/>
  <c r="F426" i="3"/>
  <c r="G426" i="3" s="1"/>
  <c r="F427" i="3"/>
  <c r="G427" i="3" s="1"/>
  <c r="F428" i="3"/>
  <c r="G428" i="3" s="1"/>
  <c r="F429" i="3"/>
  <c r="G429" i="3" s="1"/>
  <c r="F430" i="3"/>
  <c r="G430" i="3" s="1"/>
  <c r="F431" i="3"/>
  <c r="G431" i="3" s="1"/>
  <c r="F432" i="3"/>
  <c r="G432" i="3" s="1"/>
  <c r="F433" i="3"/>
  <c r="G433" i="3" s="1"/>
  <c r="F434" i="3"/>
  <c r="G434" i="3" s="1"/>
  <c r="F435" i="3"/>
  <c r="G435" i="3" s="1"/>
  <c r="F436" i="3"/>
  <c r="G436" i="3" s="1"/>
  <c r="F437" i="3"/>
  <c r="G437" i="3" s="1"/>
  <c r="F438" i="3"/>
  <c r="G438" i="3" s="1"/>
  <c r="F439" i="3"/>
  <c r="G439" i="3" s="1"/>
  <c r="F440" i="3"/>
  <c r="G440" i="3" s="1"/>
  <c r="F441" i="3"/>
  <c r="G441" i="3" s="1"/>
  <c r="F442" i="3"/>
  <c r="G442" i="3" s="1"/>
  <c r="F443" i="3"/>
  <c r="G443" i="3" s="1"/>
  <c r="F444" i="3"/>
  <c r="G444" i="3" s="1"/>
  <c r="F445" i="3"/>
  <c r="G445" i="3" s="1"/>
  <c r="F446" i="3"/>
  <c r="G446" i="3" s="1"/>
  <c r="F447" i="3"/>
  <c r="G447" i="3" s="1"/>
  <c r="F448" i="3"/>
  <c r="G448" i="3" s="1"/>
  <c r="F449" i="3"/>
  <c r="G449" i="3" s="1"/>
  <c r="F450" i="3"/>
  <c r="G450" i="3" s="1"/>
  <c r="F451" i="3"/>
  <c r="G451" i="3" s="1"/>
  <c r="F452" i="3"/>
  <c r="G452" i="3" s="1"/>
  <c r="F453" i="3"/>
  <c r="G453" i="3" s="1"/>
  <c r="F454" i="3"/>
  <c r="G454" i="3" s="1"/>
  <c r="F455" i="3"/>
  <c r="G455" i="3" s="1"/>
  <c r="F456" i="3"/>
  <c r="G456" i="3" s="1"/>
  <c r="F457" i="3"/>
  <c r="G457" i="3" s="1"/>
  <c r="F458" i="3"/>
  <c r="G458" i="3" s="1"/>
  <c r="F459" i="3"/>
  <c r="G459" i="3" s="1"/>
  <c r="F460" i="3"/>
  <c r="G460" i="3" s="1"/>
  <c r="F461" i="3"/>
  <c r="G461" i="3" s="1"/>
  <c r="F462" i="3"/>
  <c r="G462" i="3" s="1"/>
  <c r="F463" i="3"/>
  <c r="G463" i="3" s="1"/>
  <c r="F464" i="3"/>
  <c r="G464" i="3" s="1"/>
  <c r="F465" i="3"/>
  <c r="G465" i="3" s="1"/>
  <c r="F466" i="3"/>
  <c r="G466" i="3" s="1"/>
  <c r="F467" i="3"/>
  <c r="G467" i="3" s="1"/>
  <c r="F468" i="3"/>
  <c r="G468" i="3" s="1"/>
  <c r="F469" i="3"/>
  <c r="G469" i="3" s="1"/>
  <c r="F470" i="3"/>
  <c r="G470" i="3" s="1"/>
  <c r="F471" i="3"/>
  <c r="G471" i="3" s="1"/>
  <c r="F472" i="3"/>
  <c r="G472" i="3" s="1"/>
  <c r="F473" i="3"/>
  <c r="G473" i="3" s="1"/>
  <c r="F474" i="3"/>
  <c r="G474" i="3" s="1"/>
  <c r="F475" i="3"/>
  <c r="G475" i="3" s="1"/>
  <c r="F476" i="3"/>
  <c r="G476" i="3" s="1"/>
  <c r="F477" i="3"/>
  <c r="G477" i="3" s="1"/>
  <c r="F478" i="3"/>
  <c r="G478" i="3" s="1"/>
  <c r="F479" i="3"/>
  <c r="G479" i="3" s="1"/>
  <c r="F480" i="3"/>
  <c r="G480" i="3" s="1"/>
  <c r="F481" i="3"/>
  <c r="G481" i="3" s="1"/>
  <c r="F482" i="3"/>
  <c r="G482" i="3" s="1"/>
  <c r="F483" i="3"/>
  <c r="G483" i="3" s="1"/>
  <c r="F484" i="3"/>
  <c r="G484" i="3" s="1"/>
  <c r="F485" i="3"/>
  <c r="G485" i="3" s="1"/>
  <c r="F486" i="3"/>
  <c r="G486" i="3" s="1"/>
  <c r="F487" i="3"/>
  <c r="G487" i="3" s="1"/>
  <c r="F488" i="3"/>
  <c r="G488" i="3" s="1"/>
  <c r="F489" i="3"/>
  <c r="G489" i="3" s="1"/>
  <c r="F490" i="3"/>
  <c r="G490" i="3" s="1"/>
  <c r="F491" i="3"/>
  <c r="G491" i="3" s="1"/>
  <c r="F492" i="3"/>
  <c r="G492" i="3" s="1"/>
  <c r="F493" i="3"/>
  <c r="G493" i="3" s="1"/>
  <c r="F494" i="3"/>
  <c r="G494" i="3" s="1"/>
  <c r="F495" i="3"/>
  <c r="G495" i="3" s="1"/>
  <c r="F496" i="3"/>
  <c r="G496" i="3" s="1"/>
  <c r="F497" i="3"/>
  <c r="G497" i="3" s="1"/>
  <c r="F498" i="3"/>
  <c r="G498" i="3" s="1"/>
  <c r="F499" i="3"/>
  <c r="G499" i="3" s="1"/>
  <c r="F500" i="3"/>
  <c r="G500" i="3" s="1"/>
  <c r="F501" i="3"/>
  <c r="G501" i="3" s="1"/>
  <c r="F502" i="3"/>
  <c r="G502" i="3" s="1"/>
  <c r="F503" i="3"/>
  <c r="G503" i="3" s="1"/>
  <c r="F504" i="3"/>
  <c r="G504" i="3" s="1"/>
  <c r="F505" i="3"/>
  <c r="G505" i="3" s="1"/>
  <c r="F506" i="3"/>
  <c r="G506" i="3" s="1"/>
  <c r="F507" i="3"/>
  <c r="G507" i="3" s="1"/>
  <c r="F508" i="3"/>
  <c r="G508" i="3" s="1"/>
  <c r="F509" i="3"/>
  <c r="G509" i="3" s="1"/>
  <c r="F510" i="3"/>
  <c r="G510" i="3" s="1"/>
  <c r="F511" i="3"/>
  <c r="G511" i="3" s="1"/>
  <c r="F512" i="3"/>
  <c r="G512" i="3" s="1"/>
  <c r="F513" i="3"/>
  <c r="G513" i="3" s="1"/>
  <c r="F514" i="3"/>
  <c r="G514" i="3" s="1"/>
  <c r="F515" i="3"/>
  <c r="G515" i="3" s="1"/>
  <c r="F516" i="3"/>
  <c r="G516" i="3" s="1"/>
  <c r="F517" i="3"/>
  <c r="G517" i="3" s="1"/>
  <c r="F518" i="3"/>
  <c r="G518" i="3" s="1"/>
  <c r="F519" i="3"/>
  <c r="G519" i="3" s="1"/>
  <c r="F520" i="3"/>
  <c r="G520" i="3" s="1"/>
  <c r="F521" i="3"/>
  <c r="G521" i="3" s="1"/>
  <c r="F522" i="3"/>
  <c r="G522" i="3" s="1"/>
  <c r="F523" i="3"/>
  <c r="G523" i="3" s="1"/>
  <c r="F524" i="3"/>
  <c r="G524" i="3" s="1"/>
  <c r="F525" i="3"/>
  <c r="G525" i="3" s="1"/>
  <c r="F526" i="3"/>
  <c r="G526" i="3" s="1"/>
  <c r="F527" i="3"/>
  <c r="G527" i="3" s="1"/>
  <c r="F528" i="3"/>
  <c r="G528" i="3" s="1"/>
  <c r="F529" i="3"/>
  <c r="G529" i="3" s="1"/>
  <c r="F530" i="3"/>
  <c r="G530" i="3" s="1"/>
  <c r="F531" i="3"/>
  <c r="G531" i="3" s="1"/>
  <c r="F532" i="3"/>
  <c r="G532" i="3" s="1"/>
  <c r="F533" i="3"/>
  <c r="G533" i="3" s="1"/>
  <c r="F534" i="3"/>
  <c r="G534" i="3" s="1"/>
  <c r="F535" i="3"/>
  <c r="G535" i="3" s="1"/>
  <c r="F536" i="3"/>
  <c r="G536" i="3" s="1"/>
  <c r="F537" i="3"/>
  <c r="G537" i="3" s="1"/>
  <c r="F538" i="3"/>
  <c r="G538" i="3" s="1"/>
  <c r="F539" i="3"/>
  <c r="G539" i="3" s="1"/>
  <c r="F540" i="3"/>
  <c r="G540" i="3" s="1"/>
  <c r="F541" i="3"/>
  <c r="G541" i="3" s="1"/>
  <c r="F542" i="3"/>
  <c r="G542" i="3" s="1"/>
  <c r="F543" i="3"/>
  <c r="G543" i="3" s="1"/>
  <c r="F544" i="3"/>
  <c r="G544" i="3" s="1"/>
  <c r="F545" i="3"/>
  <c r="G545" i="3" s="1"/>
  <c r="F546" i="3"/>
  <c r="G546" i="3" s="1"/>
  <c r="F547" i="3"/>
  <c r="G547" i="3" s="1"/>
  <c r="F548" i="3"/>
  <c r="G548" i="3" s="1"/>
  <c r="F549" i="3"/>
  <c r="G549" i="3" s="1"/>
  <c r="F550" i="3"/>
  <c r="G550" i="3" s="1"/>
  <c r="F551" i="3"/>
  <c r="G551" i="3" s="1"/>
  <c r="F552" i="3"/>
  <c r="G552" i="3" s="1"/>
  <c r="F553" i="3"/>
  <c r="G553" i="3" s="1"/>
  <c r="F554" i="3"/>
  <c r="G554" i="3" s="1"/>
  <c r="F555" i="3"/>
  <c r="G555" i="3" s="1"/>
  <c r="F556" i="3"/>
  <c r="G556" i="3" s="1"/>
  <c r="F557" i="3"/>
  <c r="G557" i="3" s="1"/>
  <c r="F558" i="3"/>
  <c r="G558" i="3" s="1"/>
  <c r="F559" i="3"/>
  <c r="G559" i="3" s="1"/>
  <c r="F560" i="3"/>
  <c r="G560" i="3" s="1"/>
  <c r="F561" i="3"/>
  <c r="G561" i="3" s="1"/>
  <c r="F562" i="3"/>
  <c r="G562" i="3" s="1"/>
  <c r="F563" i="3"/>
  <c r="G563" i="3" s="1"/>
  <c r="F564" i="3"/>
  <c r="G564" i="3" s="1"/>
  <c r="F565" i="3"/>
  <c r="G565" i="3" s="1"/>
  <c r="F566" i="3"/>
  <c r="G566" i="3" s="1"/>
  <c r="F567" i="3"/>
  <c r="G567" i="3" s="1"/>
  <c r="F568" i="3"/>
  <c r="G568" i="3" s="1"/>
  <c r="F569" i="3"/>
  <c r="G569" i="3" s="1"/>
  <c r="F570" i="3"/>
  <c r="G570" i="3" s="1"/>
  <c r="F571" i="3"/>
  <c r="G571" i="3" s="1"/>
  <c r="F572" i="3"/>
  <c r="G572" i="3" s="1"/>
  <c r="F573" i="3"/>
  <c r="G573" i="3" s="1"/>
  <c r="F574" i="3"/>
  <c r="G574" i="3" s="1"/>
  <c r="F575" i="3"/>
  <c r="G575" i="3" s="1"/>
  <c r="F576" i="3"/>
  <c r="G576" i="3" s="1"/>
  <c r="F577" i="3"/>
  <c r="G577" i="3" s="1"/>
  <c r="F578" i="3"/>
  <c r="G578" i="3" s="1"/>
  <c r="F579" i="3"/>
  <c r="G579" i="3" s="1"/>
  <c r="F580" i="3"/>
  <c r="G580" i="3" s="1"/>
  <c r="F581" i="3"/>
  <c r="G581" i="3" s="1"/>
  <c r="F582" i="3"/>
  <c r="G582" i="3" s="1"/>
  <c r="F583" i="3"/>
  <c r="G583" i="3" s="1"/>
  <c r="F584" i="3"/>
  <c r="G584" i="3" s="1"/>
  <c r="F585" i="3"/>
  <c r="G585" i="3" s="1"/>
  <c r="F586" i="3"/>
  <c r="G586" i="3" s="1"/>
  <c r="F587" i="3"/>
  <c r="G587" i="3" s="1"/>
  <c r="F588" i="3"/>
  <c r="G588" i="3" s="1"/>
  <c r="F589" i="3"/>
  <c r="G589" i="3" s="1"/>
  <c r="F590" i="3"/>
  <c r="G590" i="3" s="1"/>
  <c r="F591" i="3"/>
  <c r="G591" i="3" s="1"/>
  <c r="F592" i="3"/>
  <c r="G592" i="3" s="1"/>
  <c r="F593" i="3"/>
  <c r="G593" i="3" s="1"/>
  <c r="F594" i="3"/>
  <c r="G594" i="3" s="1"/>
  <c r="F595" i="3"/>
  <c r="G595" i="3" s="1"/>
  <c r="F596" i="3"/>
  <c r="G596" i="3" s="1"/>
  <c r="F597" i="3"/>
  <c r="G597" i="3" s="1"/>
  <c r="F598" i="3"/>
  <c r="G598" i="3" s="1"/>
  <c r="F599" i="3"/>
  <c r="G599" i="3" s="1"/>
  <c r="F600" i="3"/>
  <c r="G600" i="3" s="1"/>
  <c r="F601" i="3"/>
  <c r="G601" i="3" s="1"/>
  <c r="F602" i="3"/>
  <c r="G602" i="3" s="1"/>
  <c r="F603" i="3"/>
  <c r="G603" i="3" s="1"/>
  <c r="F604" i="3"/>
  <c r="G604" i="3" s="1"/>
  <c r="F605" i="3"/>
  <c r="G605" i="3" s="1"/>
  <c r="F606" i="3"/>
  <c r="G606" i="3" s="1"/>
  <c r="F607" i="3"/>
  <c r="G607" i="3" s="1"/>
  <c r="F608" i="3"/>
  <c r="G608" i="3" s="1"/>
  <c r="F609" i="3"/>
  <c r="G609" i="3" s="1"/>
  <c r="F610" i="3"/>
  <c r="G610" i="3" s="1"/>
  <c r="F611" i="3"/>
  <c r="G611" i="3" s="1"/>
  <c r="F612" i="3"/>
  <c r="G612" i="3" s="1"/>
  <c r="F613" i="3"/>
  <c r="G613" i="3" s="1"/>
  <c r="F614" i="3"/>
  <c r="G614" i="3" s="1"/>
  <c r="F615" i="3"/>
  <c r="G615" i="3" s="1"/>
  <c r="F616" i="3"/>
  <c r="G616" i="3" s="1"/>
  <c r="F617" i="3"/>
  <c r="G617" i="3" s="1"/>
  <c r="F618" i="3"/>
  <c r="G618" i="3" s="1"/>
  <c r="F619" i="3"/>
  <c r="G619" i="3" s="1"/>
  <c r="F620" i="3"/>
  <c r="G620" i="3" s="1"/>
  <c r="F621" i="3"/>
  <c r="G621" i="3" s="1"/>
  <c r="F622" i="3"/>
  <c r="G622" i="3" s="1"/>
  <c r="F623" i="3"/>
  <c r="G623" i="3" s="1"/>
  <c r="F624" i="3"/>
  <c r="G624" i="3" s="1"/>
  <c r="F625" i="3"/>
  <c r="G625" i="3" s="1"/>
  <c r="F626" i="3"/>
  <c r="G626" i="3" s="1"/>
  <c r="F627" i="3"/>
  <c r="G627" i="3" s="1"/>
  <c r="F628" i="3"/>
  <c r="G628" i="3" s="1"/>
  <c r="F629" i="3"/>
  <c r="G629" i="3" s="1"/>
  <c r="F630" i="3"/>
  <c r="G630" i="3" s="1"/>
  <c r="F631" i="3"/>
  <c r="G631" i="3" s="1"/>
  <c r="F632" i="3"/>
  <c r="G632" i="3" s="1"/>
  <c r="F633" i="3"/>
  <c r="G633" i="3" s="1"/>
  <c r="F634" i="3"/>
  <c r="G634" i="3" s="1"/>
  <c r="F635" i="3"/>
  <c r="G635" i="3" s="1"/>
  <c r="F636" i="3"/>
  <c r="G636" i="3" s="1"/>
  <c r="F637" i="3"/>
  <c r="G637" i="3" s="1"/>
  <c r="F638" i="3"/>
  <c r="G638" i="3" s="1"/>
  <c r="F639" i="3"/>
  <c r="G639" i="3" s="1"/>
  <c r="F640" i="3"/>
  <c r="G640" i="3" s="1"/>
  <c r="F641" i="3"/>
  <c r="G641" i="3" s="1"/>
  <c r="F642" i="3"/>
  <c r="G642" i="3" s="1"/>
  <c r="F643" i="3"/>
  <c r="G643" i="3" s="1"/>
  <c r="F644" i="3"/>
  <c r="G644" i="3" s="1"/>
  <c r="F645" i="3"/>
  <c r="G645" i="3" s="1"/>
  <c r="F646" i="3"/>
  <c r="G646" i="3" s="1"/>
  <c r="F647" i="3"/>
  <c r="G647" i="3" s="1"/>
  <c r="F648" i="3"/>
  <c r="G648" i="3" s="1"/>
  <c r="F649" i="3"/>
  <c r="G649" i="3" s="1"/>
  <c r="F650" i="3"/>
  <c r="G650" i="3" s="1"/>
  <c r="F651" i="3"/>
  <c r="G651" i="3" s="1"/>
  <c r="F652" i="3"/>
  <c r="G652" i="3" s="1"/>
  <c r="F653" i="3"/>
  <c r="G653" i="3" s="1"/>
  <c r="F654" i="3"/>
  <c r="G654" i="3" s="1"/>
  <c r="F655" i="3"/>
  <c r="G655" i="3" s="1"/>
  <c r="F656" i="3"/>
  <c r="G656" i="3" s="1"/>
  <c r="F657" i="3"/>
  <c r="G657" i="3" s="1"/>
  <c r="F658" i="3"/>
  <c r="G658" i="3" s="1"/>
  <c r="F659" i="3"/>
  <c r="G659" i="3" s="1"/>
  <c r="F660" i="3"/>
  <c r="G660" i="3" s="1"/>
  <c r="F661" i="3"/>
  <c r="G661" i="3" s="1"/>
  <c r="F662" i="3"/>
  <c r="G662" i="3" s="1"/>
  <c r="F663" i="3"/>
  <c r="G663" i="3" s="1"/>
  <c r="F664" i="3"/>
  <c r="G664" i="3" s="1"/>
  <c r="F665" i="3"/>
  <c r="G665" i="3" s="1"/>
  <c r="F666" i="3"/>
  <c r="G666" i="3" s="1"/>
  <c r="F667" i="3"/>
  <c r="G667" i="3" s="1"/>
  <c r="F668" i="3"/>
  <c r="G668" i="3" s="1"/>
  <c r="F669" i="3"/>
  <c r="G669" i="3" s="1"/>
  <c r="F670" i="3"/>
  <c r="G670" i="3" s="1"/>
  <c r="F671" i="3"/>
  <c r="G671" i="3" s="1"/>
  <c r="F672" i="3"/>
  <c r="G672" i="3" s="1"/>
  <c r="F673" i="3"/>
  <c r="G673" i="3" s="1"/>
  <c r="F674" i="3"/>
  <c r="G674" i="3" s="1"/>
  <c r="F675" i="3"/>
  <c r="G675" i="3" s="1"/>
  <c r="F676" i="3"/>
  <c r="G676" i="3" s="1"/>
  <c r="F677" i="3"/>
  <c r="G677" i="3" s="1"/>
  <c r="F678" i="3"/>
  <c r="G678" i="3" s="1"/>
  <c r="F679" i="3"/>
  <c r="G679" i="3" s="1"/>
  <c r="F680" i="3"/>
  <c r="G680" i="3" s="1"/>
  <c r="F681" i="3"/>
  <c r="G681" i="3" s="1"/>
  <c r="F682" i="3"/>
  <c r="G682" i="3" s="1"/>
  <c r="F683" i="3"/>
  <c r="G683" i="3" s="1"/>
  <c r="F684" i="3"/>
  <c r="G684" i="3" s="1"/>
  <c r="F685" i="3"/>
  <c r="G685" i="3" s="1"/>
  <c r="F686" i="3"/>
  <c r="G686" i="3" s="1"/>
  <c r="F687" i="3"/>
  <c r="G687" i="3" s="1"/>
  <c r="F688" i="3"/>
  <c r="G688" i="3" s="1"/>
  <c r="F689" i="3"/>
  <c r="G689" i="3" s="1"/>
  <c r="F690" i="3"/>
  <c r="G690" i="3" s="1"/>
  <c r="F691" i="3"/>
  <c r="G691" i="3" s="1"/>
  <c r="F692" i="3"/>
  <c r="G692" i="3" s="1"/>
  <c r="F693" i="3"/>
  <c r="G693" i="3" s="1"/>
  <c r="F694" i="3"/>
  <c r="G694" i="3" s="1"/>
  <c r="F695" i="3"/>
  <c r="G695" i="3" s="1"/>
  <c r="F696" i="3"/>
  <c r="G696" i="3" s="1"/>
  <c r="F697" i="3"/>
  <c r="G697" i="3" s="1"/>
  <c r="F698" i="3"/>
  <c r="G698" i="3" s="1"/>
  <c r="F699" i="3"/>
  <c r="G699" i="3" s="1"/>
  <c r="F700" i="3"/>
  <c r="G700" i="3" s="1"/>
  <c r="F701" i="3"/>
  <c r="G701" i="3" s="1"/>
  <c r="F702" i="3"/>
  <c r="G702" i="3" s="1"/>
  <c r="F703" i="3"/>
  <c r="G703" i="3" s="1"/>
  <c r="F704" i="3"/>
  <c r="G704" i="3" s="1"/>
  <c r="F705" i="3"/>
  <c r="G705" i="3" s="1"/>
  <c r="F706" i="3"/>
  <c r="G706" i="3" s="1"/>
  <c r="F707" i="3"/>
  <c r="G707" i="3" s="1"/>
  <c r="F708" i="3"/>
  <c r="G708" i="3" s="1"/>
  <c r="F709" i="3"/>
  <c r="G709" i="3" s="1"/>
  <c r="F710" i="3"/>
  <c r="G710" i="3" s="1"/>
  <c r="F711" i="3"/>
  <c r="G711" i="3" s="1"/>
  <c r="F712" i="3"/>
  <c r="G712" i="3" s="1"/>
  <c r="F713" i="3"/>
  <c r="G713" i="3" s="1"/>
  <c r="F714" i="3"/>
  <c r="G714" i="3" s="1"/>
  <c r="F715" i="3"/>
  <c r="G715" i="3" s="1"/>
  <c r="F716" i="3"/>
  <c r="G716" i="3" s="1"/>
  <c r="F717" i="3"/>
  <c r="G717" i="3" s="1"/>
  <c r="F718" i="3"/>
  <c r="G718" i="3" s="1"/>
  <c r="F719" i="3"/>
  <c r="G719" i="3" s="1"/>
  <c r="F720" i="3"/>
  <c r="G720" i="3" s="1"/>
  <c r="F721" i="3"/>
  <c r="G721" i="3" s="1"/>
  <c r="F722" i="3"/>
  <c r="G722" i="3" s="1"/>
  <c r="F723" i="3"/>
  <c r="G723" i="3" s="1"/>
  <c r="F724" i="3"/>
  <c r="G724" i="3" s="1"/>
  <c r="F725" i="3"/>
  <c r="G725" i="3" s="1"/>
  <c r="F726" i="3"/>
  <c r="G726" i="3" s="1"/>
  <c r="F727" i="3"/>
  <c r="G727" i="3" s="1"/>
  <c r="F728" i="3"/>
  <c r="G728" i="3" s="1"/>
  <c r="F729" i="3"/>
  <c r="G729" i="3" s="1"/>
  <c r="F730" i="3"/>
  <c r="G730" i="3" s="1"/>
  <c r="F731" i="3"/>
  <c r="G731" i="3" s="1"/>
  <c r="F732" i="3"/>
  <c r="G732" i="3" s="1"/>
  <c r="F733" i="3"/>
  <c r="G733" i="3" s="1"/>
  <c r="F734" i="3"/>
  <c r="G734" i="3" s="1"/>
  <c r="F735" i="3"/>
  <c r="G735" i="3" s="1"/>
  <c r="F736" i="3"/>
  <c r="G736" i="3" s="1"/>
  <c r="F737" i="3"/>
  <c r="G737" i="3" s="1"/>
  <c r="F738" i="3"/>
  <c r="G738" i="3" s="1"/>
  <c r="F739" i="3"/>
  <c r="G739" i="3" s="1"/>
  <c r="F740" i="3"/>
  <c r="G740" i="3" s="1"/>
  <c r="F741" i="3"/>
  <c r="G741" i="3" s="1"/>
  <c r="F742" i="3"/>
  <c r="G742" i="3" s="1"/>
  <c r="F743" i="3"/>
  <c r="G743" i="3" s="1"/>
  <c r="F744" i="3"/>
  <c r="G744" i="3" s="1"/>
  <c r="F745" i="3"/>
  <c r="G745" i="3" s="1"/>
  <c r="F746" i="3"/>
  <c r="G746" i="3" s="1"/>
  <c r="F747" i="3"/>
  <c r="G747" i="3" s="1"/>
  <c r="F748" i="3"/>
  <c r="G748" i="3" s="1"/>
  <c r="F749" i="3"/>
  <c r="G749" i="3" s="1"/>
  <c r="F750" i="3"/>
  <c r="G750" i="3" s="1"/>
  <c r="F751" i="3"/>
  <c r="G751" i="3" s="1"/>
  <c r="F752" i="3"/>
  <c r="G752" i="3" s="1"/>
  <c r="F753" i="3"/>
  <c r="G753" i="3" s="1"/>
  <c r="F754" i="3"/>
  <c r="G754" i="3" s="1"/>
  <c r="F755" i="3"/>
  <c r="G755" i="3" s="1"/>
  <c r="F756" i="3"/>
  <c r="G756" i="3" s="1"/>
  <c r="F757" i="3"/>
  <c r="G757" i="3" s="1"/>
  <c r="F758" i="3"/>
  <c r="G758" i="3" s="1"/>
  <c r="F759" i="3"/>
  <c r="G759" i="3" s="1"/>
  <c r="F760" i="3"/>
  <c r="G760" i="3" s="1"/>
  <c r="F761" i="3"/>
  <c r="G761" i="3" s="1"/>
  <c r="F762" i="3"/>
  <c r="G762" i="3" s="1"/>
  <c r="F763" i="3"/>
  <c r="G763" i="3" s="1"/>
  <c r="F764" i="3"/>
  <c r="G764" i="3" s="1"/>
  <c r="F765" i="3"/>
  <c r="G765" i="3" s="1"/>
  <c r="F766" i="3"/>
  <c r="G766" i="3" s="1"/>
  <c r="F767" i="3"/>
  <c r="G767" i="3" s="1"/>
  <c r="F768" i="3"/>
  <c r="G768" i="3" s="1"/>
  <c r="F769" i="3"/>
  <c r="G769" i="3" s="1"/>
  <c r="F770" i="3"/>
  <c r="G770" i="3" s="1"/>
  <c r="F771" i="3"/>
  <c r="G771" i="3" s="1"/>
  <c r="F772" i="3"/>
  <c r="G772" i="3" s="1"/>
  <c r="F773" i="3"/>
  <c r="G773" i="3" s="1"/>
  <c r="F774" i="3"/>
  <c r="G774" i="3" s="1"/>
  <c r="F775" i="3"/>
  <c r="G775" i="3" s="1"/>
  <c r="F776" i="3"/>
  <c r="G776" i="3" s="1"/>
  <c r="F777" i="3"/>
  <c r="G777" i="3" s="1"/>
  <c r="F778" i="3"/>
  <c r="G778" i="3" s="1"/>
  <c r="F779" i="3"/>
  <c r="G779" i="3" s="1"/>
  <c r="F780" i="3"/>
  <c r="G780" i="3" s="1"/>
  <c r="F781" i="3"/>
  <c r="G781" i="3" s="1"/>
  <c r="F782" i="3"/>
  <c r="G782" i="3" s="1"/>
  <c r="F783" i="3"/>
  <c r="G783" i="3" s="1"/>
  <c r="F784" i="3"/>
  <c r="G784" i="3" s="1"/>
  <c r="F785" i="3"/>
  <c r="G785" i="3" s="1"/>
  <c r="F786" i="3"/>
  <c r="G786" i="3" s="1"/>
  <c r="F787" i="3"/>
  <c r="G787" i="3" s="1"/>
  <c r="F788" i="3"/>
  <c r="G788" i="3" s="1"/>
  <c r="F789" i="3"/>
  <c r="G789" i="3" s="1"/>
  <c r="F790" i="3"/>
  <c r="G790" i="3" s="1"/>
  <c r="F791" i="3"/>
  <c r="G791" i="3" s="1"/>
  <c r="F792" i="3"/>
  <c r="G792" i="3" s="1"/>
  <c r="F793" i="3"/>
  <c r="G793" i="3" s="1"/>
  <c r="F794" i="3"/>
  <c r="G794" i="3" s="1"/>
  <c r="F795" i="3"/>
  <c r="G795" i="3" s="1"/>
  <c r="F796" i="3"/>
  <c r="G796" i="3" s="1"/>
  <c r="F797" i="3"/>
  <c r="G797" i="3" s="1"/>
  <c r="F798" i="3"/>
  <c r="G798" i="3" s="1"/>
  <c r="F799" i="3"/>
  <c r="G799" i="3" s="1"/>
  <c r="F800" i="3"/>
  <c r="G800" i="3" s="1"/>
  <c r="F801" i="3"/>
  <c r="G801" i="3" s="1"/>
  <c r="F802" i="3"/>
  <c r="G802" i="3" s="1"/>
  <c r="F803" i="3"/>
  <c r="G803" i="3" s="1"/>
  <c r="F804" i="3"/>
  <c r="G804" i="3" s="1"/>
  <c r="F805" i="3"/>
  <c r="G805" i="3" s="1"/>
  <c r="F806" i="3"/>
  <c r="G806" i="3" s="1"/>
  <c r="F807" i="3"/>
  <c r="G807" i="3" s="1"/>
  <c r="F808" i="3"/>
  <c r="G808" i="3" s="1"/>
  <c r="F809" i="3"/>
  <c r="G809" i="3" s="1"/>
  <c r="F810" i="3"/>
  <c r="G810" i="3" s="1"/>
  <c r="F811" i="3"/>
  <c r="G811" i="3" s="1"/>
  <c r="F812" i="3"/>
  <c r="G812" i="3" s="1"/>
  <c r="F813" i="3"/>
  <c r="G813" i="3" s="1"/>
  <c r="F814" i="3"/>
  <c r="G814" i="3" s="1"/>
  <c r="F815" i="3"/>
  <c r="G815" i="3" s="1"/>
  <c r="F816" i="3"/>
  <c r="G816" i="3" s="1"/>
  <c r="F817" i="3"/>
  <c r="G817" i="3" s="1"/>
  <c r="F818" i="3"/>
  <c r="G818" i="3" s="1"/>
  <c r="F819" i="3"/>
  <c r="G819" i="3" s="1"/>
  <c r="F820" i="3"/>
  <c r="G820" i="3" s="1"/>
  <c r="F821" i="3"/>
  <c r="G821" i="3" s="1"/>
  <c r="F822" i="3"/>
  <c r="G822" i="3" s="1"/>
  <c r="F823" i="3"/>
  <c r="G823" i="3" s="1"/>
  <c r="F824" i="3"/>
  <c r="G824" i="3" s="1"/>
  <c r="F825" i="3"/>
  <c r="G825" i="3" s="1"/>
  <c r="F826" i="3"/>
  <c r="G826" i="3" s="1"/>
  <c r="F827" i="3"/>
  <c r="G827" i="3" s="1"/>
  <c r="F828" i="3"/>
  <c r="G828" i="3" s="1"/>
  <c r="F829" i="3"/>
  <c r="G829" i="3" s="1"/>
  <c r="F830" i="3"/>
  <c r="G830" i="3" s="1"/>
  <c r="F831" i="3"/>
  <c r="G831" i="3" s="1"/>
  <c r="F832" i="3"/>
  <c r="G832" i="3" s="1"/>
  <c r="F833" i="3"/>
  <c r="G833" i="3" s="1"/>
  <c r="F834" i="3"/>
  <c r="G834" i="3" s="1"/>
  <c r="F835" i="3"/>
  <c r="G835" i="3" s="1"/>
  <c r="F836" i="3"/>
  <c r="G836" i="3" s="1"/>
  <c r="F837" i="3"/>
  <c r="G837" i="3" s="1"/>
  <c r="F838" i="3"/>
  <c r="G838" i="3" s="1"/>
  <c r="F839" i="3"/>
  <c r="G839" i="3" s="1"/>
  <c r="F840" i="3"/>
  <c r="G840" i="3" s="1"/>
  <c r="F841" i="3"/>
  <c r="G841" i="3" s="1"/>
  <c r="F842" i="3"/>
  <c r="G842" i="3" s="1"/>
  <c r="F843" i="3"/>
  <c r="G843" i="3" s="1"/>
  <c r="F844" i="3"/>
  <c r="G844" i="3" s="1"/>
  <c r="F845" i="3"/>
  <c r="G845" i="3" s="1"/>
  <c r="F846" i="3"/>
  <c r="G846" i="3" s="1"/>
  <c r="F847" i="3"/>
  <c r="G847" i="3" s="1"/>
  <c r="F848" i="3"/>
  <c r="G848" i="3" s="1"/>
  <c r="F849" i="3"/>
  <c r="G849" i="3" s="1"/>
  <c r="F850" i="3"/>
  <c r="G850" i="3" s="1"/>
  <c r="F851" i="3"/>
  <c r="G851" i="3" s="1"/>
  <c r="F852" i="3"/>
  <c r="G852" i="3" s="1"/>
  <c r="F853" i="3"/>
  <c r="G853" i="3" s="1"/>
  <c r="F854" i="3"/>
  <c r="G854" i="3" s="1"/>
  <c r="F855" i="3"/>
  <c r="G855" i="3" s="1"/>
  <c r="F856" i="3"/>
  <c r="G856" i="3" s="1"/>
  <c r="F857" i="3"/>
  <c r="G857" i="3" s="1"/>
  <c r="F858" i="3"/>
  <c r="G858" i="3" s="1"/>
  <c r="F859" i="3"/>
  <c r="G859" i="3" s="1"/>
  <c r="F860" i="3"/>
  <c r="G860" i="3" s="1"/>
  <c r="F861" i="3"/>
  <c r="G861" i="3" s="1"/>
  <c r="F862" i="3"/>
  <c r="G862" i="3" s="1"/>
  <c r="F863" i="3"/>
  <c r="G863" i="3" s="1"/>
  <c r="F864" i="3"/>
  <c r="G864" i="3" s="1"/>
  <c r="F865" i="3"/>
  <c r="G865" i="3" s="1"/>
  <c r="F866" i="3"/>
  <c r="G866" i="3" s="1"/>
  <c r="F867" i="3"/>
  <c r="G867" i="3" s="1"/>
  <c r="F868" i="3"/>
  <c r="G868" i="3" s="1"/>
  <c r="F869" i="3"/>
  <c r="G869" i="3" s="1"/>
  <c r="F870" i="3"/>
  <c r="G870" i="3" s="1"/>
  <c r="F871" i="3"/>
  <c r="G871" i="3" s="1"/>
  <c r="F872" i="3"/>
  <c r="G872" i="3" s="1"/>
  <c r="F873" i="3"/>
  <c r="G873" i="3" s="1"/>
  <c r="F874" i="3"/>
  <c r="G874" i="3" s="1"/>
  <c r="F875" i="3"/>
  <c r="G875" i="3" s="1"/>
  <c r="F876" i="3"/>
  <c r="G876" i="3" s="1"/>
  <c r="F877" i="3"/>
  <c r="G877" i="3" s="1"/>
  <c r="F878" i="3"/>
  <c r="G878" i="3" s="1"/>
  <c r="F879" i="3"/>
  <c r="G879" i="3" s="1"/>
  <c r="F880" i="3"/>
  <c r="G880" i="3" s="1"/>
  <c r="F881" i="3"/>
  <c r="G881" i="3" s="1"/>
  <c r="F882" i="3"/>
  <c r="G882" i="3" s="1"/>
  <c r="F883" i="3"/>
  <c r="G883" i="3" s="1"/>
  <c r="F884" i="3"/>
  <c r="G884" i="3" s="1"/>
  <c r="F885" i="3"/>
  <c r="G885" i="3" s="1"/>
  <c r="F886" i="3"/>
  <c r="G886" i="3" s="1"/>
  <c r="F887" i="3"/>
  <c r="G887" i="3" s="1"/>
  <c r="F888" i="3"/>
  <c r="G888" i="3" s="1"/>
  <c r="F889" i="3"/>
  <c r="G889" i="3" s="1"/>
  <c r="F890" i="3"/>
  <c r="G890" i="3" s="1"/>
  <c r="F891" i="3"/>
  <c r="G891" i="3" s="1"/>
  <c r="F892" i="3"/>
  <c r="G892" i="3" s="1"/>
  <c r="F893" i="3"/>
  <c r="G893" i="3" s="1"/>
  <c r="F894" i="3"/>
  <c r="G894" i="3" s="1"/>
  <c r="F895" i="3"/>
  <c r="G895" i="3" s="1"/>
  <c r="F896" i="3"/>
  <c r="G896" i="3" s="1"/>
  <c r="F897" i="3"/>
  <c r="G897" i="3" s="1"/>
  <c r="F898" i="3"/>
  <c r="G898" i="3" s="1"/>
  <c r="F899" i="3"/>
  <c r="G899" i="3" s="1"/>
  <c r="F900" i="3"/>
  <c r="G900" i="3" s="1"/>
  <c r="F901" i="3"/>
  <c r="G901" i="3" s="1"/>
  <c r="F902" i="3"/>
  <c r="G902" i="3" s="1"/>
  <c r="F903" i="3"/>
  <c r="G903" i="3" s="1"/>
  <c r="F904" i="3"/>
  <c r="G904" i="3" s="1"/>
  <c r="F905" i="3"/>
  <c r="G905" i="3" s="1"/>
  <c r="F906" i="3"/>
  <c r="G906" i="3" s="1"/>
  <c r="F907" i="3"/>
  <c r="G907" i="3" s="1"/>
  <c r="F908" i="3"/>
  <c r="G908" i="3" s="1"/>
  <c r="F909" i="3"/>
  <c r="G909" i="3" s="1"/>
  <c r="F910" i="3"/>
  <c r="G910" i="3" s="1"/>
  <c r="F911" i="3"/>
  <c r="G911" i="3" s="1"/>
  <c r="F912" i="3"/>
  <c r="G912" i="3" s="1"/>
  <c r="F913" i="3"/>
  <c r="G913" i="3" s="1"/>
  <c r="F914" i="3"/>
  <c r="G914" i="3" s="1"/>
  <c r="F915" i="3"/>
  <c r="G915" i="3" s="1"/>
  <c r="F916" i="3"/>
  <c r="G916" i="3" s="1"/>
  <c r="B25" i="3"/>
  <c r="E11" i="3"/>
  <c r="D12" i="3" l="1"/>
  <c r="C11" i="11"/>
  <c r="E11" i="11" s="1"/>
  <c r="B26" i="2"/>
  <c r="B9" i="3"/>
  <c r="A1" i="8"/>
  <c r="E12" i="3"/>
  <c r="D13" i="3" l="1"/>
  <c r="C10" i="11"/>
  <c r="B27" i="2"/>
  <c r="F1" i="7"/>
  <c r="A1" i="7"/>
  <c r="E13" i="3"/>
  <c r="D14" i="3" l="1"/>
  <c r="BA53" i="3"/>
  <c r="AZ53" i="3"/>
  <c r="AY53" i="3"/>
  <c r="AX53" i="3"/>
  <c r="AW53" i="3"/>
  <c r="AV53" i="3"/>
  <c r="AU53" i="3" s="1"/>
  <c r="BA52" i="3"/>
  <c r="AZ52" i="3"/>
  <c r="AY52" i="3"/>
  <c r="AX52" i="3"/>
  <c r="AW52" i="3"/>
  <c r="AV52" i="3"/>
  <c r="AU52" i="3" s="1"/>
  <c r="BA51" i="3"/>
  <c r="AZ51" i="3"/>
  <c r="AY51" i="3"/>
  <c r="AX51" i="3"/>
  <c r="AW51" i="3"/>
  <c r="AV51" i="3"/>
  <c r="AU51" i="3" s="1"/>
  <c r="BA50" i="3"/>
  <c r="AZ50" i="3"/>
  <c r="AY50" i="3"/>
  <c r="AX50" i="3"/>
  <c r="AW50" i="3"/>
  <c r="AV50" i="3"/>
  <c r="AU50" i="3" s="1"/>
  <c r="BA49" i="3"/>
  <c r="AZ49" i="3"/>
  <c r="AY49" i="3"/>
  <c r="AX49" i="3"/>
  <c r="AW49" i="3"/>
  <c r="AV49" i="3"/>
  <c r="AU49" i="3" s="1"/>
  <c r="BA48" i="3"/>
  <c r="AZ48" i="3"/>
  <c r="AY48" i="3"/>
  <c r="AX48" i="3"/>
  <c r="AW48" i="3"/>
  <c r="AV48" i="3"/>
  <c r="AU48" i="3" s="1"/>
  <c r="BA47" i="3"/>
  <c r="AZ47" i="3"/>
  <c r="AY47" i="3"/>
  <c r="AX47" i="3"/>
  <c r="AW47" i="3"/>
  <c r="AV47" i="3"/>
  <c r="AU47" i="3" s="1"/>
  <c r="BA46" i="3"/>
  <c r="AZ46" i="3"/>
  <c r="AY46" i="3"/>
  <c r="AX46" i="3"/>
  <c r="AW46" i="3"/>
  <c r="AV46" i="3"/>
  <c r="AU46" i="3" s="1"/>
  <c r="BA45" i="3"/>
  <c r="AZ45" i="3"/>
  <c r="AY45" i="3"/>
  <c r="AX45" i="3"/>
  <c r="AW45" i="3"/>
  <c r="AV45" i="3"/>
  <c r="AU45" i="3" s="1"/>
  <c r="BA44" i="3"/>
  <c r="AZ44" i="3"/>
  <c r="AY44" i="3"/>
  <c r="AX44" i="3"/>
  <c r="AW44" i="3"/>
  <c r="AV44" i="3"/>
  <c r="AU44" i="3" s="1"/>
  <c r="BA43" i="3"/>
  <c r="AZ43" i="3"/>
  <c r="AY43" i="3"/>
  <c r="AX43" i="3"/>
  <c r="AW43" i="3"/>
  <c r="AV43" i="3"/>
  <c r="AU43" i="3" s="1"/>
  <c r="BA42" i="3"/>
  <c r="AZ42" i="3"/>
  <c r="AY42" i="3"/>
  <c r="AX42" i="3"/>
  <c r="AW42" i="3"/>
  <c r="AV42" i="3"/>
  <c r="AU42" i="3" s="1"/>
  <c r="BA41" i="3"/>
  <c r="AZ41" i="3"/>
  <c r="AY41" i="3"/>
  <c r="AX41" i="3"/>
  <c r="AW41" i="3"/>
  <c r="AV41" i="3"/>
  <c r="AU41" i="3" s="1"/>
  <c r="BA40" i="3"/>
  <c r="AZ40" i="3"/>
  <c r="AY40" i="3"/>
  <c r="AX40" i="3"/>
  <c r="AW40" i="3"/>
  <c r="AV40" i="3"/>
  <c r="AU40" i="3" s="1"/>
  <c r="BA39" i="3"/>
  <c r="AZ39" i="3"/>
  <c r="AY39" i="3"/>
  <c r="AX39" i="3"/>
  <c r="AW39" i="3"/>
  <c r="AV39" i="3"/>
  <c r="AU39" i="3" s="1"/>
  <c r="BA38" i="3"/>
  <c r="AZ38" i="3"/>
  <c r="AY38" i="3"/>
  <c r="AX38" i="3"/>
  <c r="AW38" i="3"/>
  <c r="AV38" i="3"/>
  <c r="AU38" i="3" s="1"/>
  <c r="BA37" i="3"/>
  <c r="AZ37" i="3"/>
  <c r="AY37" i="3"/>
  <c r="AX37" i="3"/>
  <c r="AW37" i="3"/>
  <c r="AV37" i="3"/>
  <c r="AU37" i="3" s="1"/>
  <c r="BA36" i="3"/>
  <c r="AZ36" i="3"/>
  <c r="AY36" i="3"/>
  <c r="AX36" i="3"/>
  <c r="AW36" i="3"/>
  <c r="AV36" i="3"/>
  <c r="AU36" i="3" s="1"/>
  <c r="BA35" i="3"/>
  <c r="AZ35" i="3"/>
  <c r="AY35" i="3"/>
  <c r="AX35" i="3"/>
  <c r="AW35" i="3"/>
  <c r="AV35" i="3"/>
  <c r="AU35" i="3" s="1"/>
  <c r="BA34" i="3"/>
  <c r="AZ34" i="3"/>
  <c r="AY34" i="3"/>
  <c r="AX34" i="3"/>
  <c r="AW34" i="3"/>
  <c r="AV34" i="3"/>
  <c r="AU34" i="3" s="1"/>
  <c r="BA33" i="3"/>
  <c r="AZ33" i="3"/>
  <c r="AY33" i="3"/>
  <c r="AX33" i="3"/>
  <c r="AW33" i="3"/>
  <c r="AV33" i="3"/>
  <c r="AU33" i="3" s="1"/>
  <c r="BA32" i="3"/>
  <c r="AZ32" i="3"/>
  <c r="AY32" i="3"/>
  <c r="AX32" i="3"/>
  <c r="AW32" i="3"/>
  <c r="AV32" i="3"/>
  <c r="AU32" i="3" s="1"/>
  <c r="BA31" i="3"/>
  <c r="AZ31" i="3"/>
  <c r="AY31" i="3"/>
  <c r="AX31" i="3"/>
  <c r="AW31" i="3"/>
  <c r="AV31" i="3"/>
  <c r="AU31" i="3" s="1"/>
  <c r="BA30" i="3"/>
  <c r="AZ30" i="3"/>
  <c r="AY30" i="3"/>
  <c r="AX30" i="3"/>
  <c r="AW30" i="3"/>
  <c r="AV30" i="3"/>
  <c r="AU30" i="3" s="1"/>
  <c r="BA29" i="3"/>
  <c r="AZ29" i="3"/>
  <c r="AY29" i="3"/>
  <c r="AX29" i="3"/>
  <c r="AW29" i="3"/>
  <c r="AV29" i="3"/>
  <c r="AU29" i="3" s="1"/>
  <c r="AM48" i="3"/>
  <c r="AM47" i="3"/>
  <c r="AM46" i="3"/>
  <c r="AM45" i="3"/>
  <c r="AM44" i="3"/>
  <c r="AM43" i="3"/>
  <c r="AM42" i="3"/>
  <c r="AM41" i="3"/>
  <c r="AM40" i="3"/>
  <c r="AM39" i="3"/>
  <c r="AM38" i="3"/>
  <c r="AM37" i="3"/>
  <c r="AM36" i="3"/>
  <c r="AM35" i="3"/>
  <c r="AM34" i="3"/>
  <c r="AM33" i="3"/>
  <c r="AM32" i="3"/>
  <c r="AM31" i="3"/>
  <c r="AM30" i="3"/>
  <c r="AM29" i="3"/>
  <c r="AM28" i="3"/>
  <c r="AM27" i="3"/>
  <c r="AM26" i="3"/>
  <c r="AM25" i="3"/>
  <c r="AM24" i="3"/>
  <c r="AM23" i="3"/>
  <c r="AM22" i="3"/>
  <c r="AM21" i="3"/>
  <c r="AM20" i="3"/>
  <c r="AM19" i="3"/>
  <c r="AM18" i="3"/>
  <c r="AM17" i="3"/>
  <c r="AM16" i="3"/>
  <c r="AM15" i="3"/>
  <c r="AM14" i="3"/>
  <c r="AM13" i="3"/>
  <c r="AM12" i="3"/>
  <c r="AM11" i="3"/>
  <c r="AM10" i="3"/>
  <c r="AM9" i="3"/>
  <c r="AM8" i="3"/>
  <c r="AM7" i="3"/>
  <c r="AM6" i="3"/>
  <c r="W28" i="3"/>
  <c r="W27" i="3"/>
  <c r="W26" i="3"/>
  <c r="W25" i="3"/>
  <c r="W24" i="3"/>
  <c r="W23" i="3"/>
  <c r="W22" i="3"/>
  <c r="W21" i="3"/>
  <c r="W20" i="3"/>
  <c r="W19" i="3"/>
  <c r="W18" i="3"/>
  <c r="W17" i="3"/>
  <c r="W16" i="3"/>
  <c r="W15" i="3"/>
  <c r="W14" i="3"/>
  <c r="W13" i="3"/>
  <c r="W12" i="3"/>
  <c r="W11" i="3"/>
  <c r="W10" i="3"/>
  <c r="W9" i="3"/>
  <c r="W8" i="3"/>
  <c r="W7" i="3"/>
  <c r="W6" i="3"/>
  <c r="B17" i="3"/>
  <c r="B7" i="3"/>
  <c r="E14" i="3"/>
  <c r="D15" i="3" l="1"/>
  <c r="C9" i="11"/>
  <c r="BA28" i="3"/>
  <c r="AZ28" i="3"/>
  <c r="AY28" i="3"/>
  <c r="AX28" i="3"/>
  <c r="AW28" i="3"/>
  <c r="AV28" i="3"/>
  <c r="AU28" i="3" s="1"/>
  <c r="AJ28" i="3"/>
  <c r="AI28" i="3"/>
  <c r="AG28" i="3"/>
  <c r="AF28" i="3"/>
  <c r="AE28" i="3" s="1"/>
  <c r="BA27" i="3"/>
  <c r="AZ27" i="3"/>
  <c r="AY27" i="3"/>
  <c r="AX27" i="3"/>
  <c r="AW27" i="3"/>
  <c r="AV27" i="3"/>
  <c r="AU27" i="3" s="1"/>
  <c r="AJ27" i="3"/>
  <c r="AI27" i="3"/>
  <c r="AG27" i="3"/>
  <c r="AF27" i="3"/>
  <c r="AE27" i="3" s="1"/>
  <c r="BA26" i="3"/>
  <c r="AZ26" i="3"/>
  <c r="AY26" i="3"/>
  <c r="AX26" i="3"/>
  <c r="AW26" i="3"/>
  <c r="AV26" i="3"/>
  <c r="AU26" i="3" s="1"/>
  <c r="AJ26" i="3"/>
  <c r="AI26" i="3"/>
  <c r="AG26" i="3"/>
  <c r="AF26" i="3"/>
  <c r="AE26" i="3" s="1"/>
  <c r="BA25" i="3"/>
  <c r="AZ25" i="3"/>
  <c r="AY25" i="3"/>
  <c r="AX25" i="3"/>
  <c r="AW25" i="3"/>
  <c r="AV25" i="3"/>
  <c r="AU25" i="3" s="1"/>
  <c r="AJ25" i="3"/>
  <c r="AI25" i="3"/>
  <c r="AG25" i="3"/>
  <c r="AF25" i="3"/>
  <c r="AE25" i="3" s="1"/>
  <c r="BA24" i="3"/>
  <c r="AZ24" i="3"/>
  <c r="AY24" i="3"/>
  <c r="AX24" i="3"/>
  <c r="AW24" i="3"/>
  <c r="AV24" i="3"/>
  <c r="AU24" i="3" s="1"/>
  <c r="AJ24" i="3"/>
  <c r="AI24" i="3"/>
  <c r="AG24" i="3"/>
  <c r="AF24" i="3"/>
  <c r="AE24" i="3" s="1"/>
  <c r="BA23" i="3"/>
  <c r="AZ23" i="3"/>
  <c r="AY23" i="3"/>
  <c r="AX23" i="3"/>
  <c r="AW23" i="3"/>
  <c r="AV23" i="3"/>
  <c r="AU23" i="3" s="1"/>
  <c r="AJ23" i="3"/>
  <c r="AI23" i="3"/>
  <c r="AG23" i="3"/>
  <c r="AF23" i="3"/>
  <c r="AE23" i="3" s="1"/>
  <c r="BA22" i="3"/>
  <c r="AZ22" i="3"/>
  <c r="AY22" i="3"/>
  <c r="AX22" i="3"/>
  <c r="AW22" i="3"/>
  <c r="AV22" i="3"/>
  <c r="AU22" i="3" s="1"/>
  <c r="AJ22" i="3"/>
  <c r="AI22" i="3"/>
  <c r="AG22" i="3"/>
  <c r="AF22" i="3"/>
  <c r="AE22" i="3" s="1"/>
  <c r="BA21" i="3"/>
  <c r="AZ21" i="3"/>
  <c r="AY21" i="3"/>
  <c r="AX21" i="3"/>
  <c r="AW21" i="3"/>
  <c r="AV21" i="3"/>
  <c r="AU21" i="3" s="1"/>
  <c r="AJ21" i="3"/>
  <c r="AI21" i="3"/>
  <c r="AG21" i="3"/>
  <c r="AF21" i="3"/>
  <c r="AE21" i="3" s="1"/>
  <c r="BA20" i="3"/>
  <c r="AZ20" i="3"/>
  <c r="AY20" i="3"/>
  <c r="AX20" i="3"/>
  <c r="AW20" i="3"/>
  <c r="AV20" i="3"/>
  <c r="AU20" i="3" s="1"/>
  <c r="AJ20" i="3"/>
  <c r="AI20" i="3"/>
  <c r="AG20" i="3"/>
  <c r="AF20" i="3"/>
  <c r="AE20" i="3" s="1"/>
  <c r="BA19" i="3"/>
  <c r="AZ19" i="3"/>
  <c r="AY19" i="3"/>
  <c r="AX19" i="3"/>
  <c r="AW19" i="3"/>
  <c r="AV19" i="3"/>
  <c r="AU19" i="3" s="1"/>
  <c r="AJ19" i="3"/>
  <c r="AI19" i="3"/>
  <c r="AG19" i="3"/>
  <c r="AF19" i="3"/>
  <c r="AE19" i="3" s="1"/>
  <c r="BA18" i="3"/>
  <c r="AZ18" i="3"/>
  <c r="AY18" i="3"/>
  <c r="AX18" i="3"/>
  <c r="AW18" i="3"/>
  <c r="AV18" i="3"/>
  <c r="AU18" i="3" s="1"/>
  <c r="AJ18" i="3"/>
  <c r="AI18" i="3"/>
  <c r="AG18" i="3"/>
  <c r="AF18" i="3"/>
  <c r="AE18" i="3" s="1"/>
  <c r="BA17" i="3"/>
  <c r="AZ17" i="3"/>
  <c r="AY17" i="3"/>
  <c r="AX17" i="3"/>
  <c r="AW17" i="3"/>
  <c r="AV17" i="3"/>
  <c r="AU17" i="3" s="1"/>
  <c r="AJ17" i="3"/>
  <c r="AI17" i="3"/>
  <c r="AG17" i="3"/>
  <c r="AF17" i="3"/>
  <c r="AE17" i="3" s="1"/>
  <c r="BA16" i="3"/>
  <c r="AZ16" i="3"/>
  <c r="AY16" i="3"/>
  <c r="AX16" i="3"/>
  <c r="AW16" i="3"/>
  <c r="AV16" i="3"/>
  <c r="AU16" i="3" s="1"/>
  <c r="AJ16" i="3"/>
  <c r="AI16" i="3"/>
  <c r="AG16" i="3"/>
  <c r="AF16" i="3"/>
  <c r="AE16" i="3" s="1"/>
  <c r="BA15" i="3"/>
  <c r="AZ15" i="3"/>
  <c r="AY15" i="3"/>
  <c r="AX15" i="3"/>
  <c r="AW15" i="3"/>
  <c r="AV15" i="3"/>
  <c r="AU15" i="3" s="1"/>
  <c r="AJ15" i="3"/>
  <c r="AI15" i="3"/>
  <c r="AG15" i="3"/>
  <c r="AF15" i="3"/>
  <c r="AE15" i="3" s="1"/>
  <c r="BA14" i="3"/>
  <c r="AZ14" i="3"/>
  <c r="AY14" i="3"/>
  <c r="AX14" i="3"/>
  <c r="AW14" i="3"/>
  <c r="AV14" i="3"/>
  <c r="AU14" i="3" s="1"/>
  <c r="AJ14" i="3"/>
  <c r="AI14" i="3"/>
  <c r="AG14" i="3"/>
  <c r="AF14" i="3"/>
  <c r="AE14" i="3" s="1"/>
  <c r="BA13" i="3"/>
  <c r="AZ13" i="3"/>
  <c r="AY13" i="3"/>
  <c r="AX13" i="3"/>
  <c r="AW13" i="3"/>
  <c r="AV13" i="3"/>
  <c r="AU13" i="3" s="1"/>
  <c r="AJ13" i="3"/>
  <c r="AI13" i="3"/>
  <c r="AG13" i="3"/>
  <c r="AF13" i="3"/>
  <c r="AE13" i="3" s="1"/>
  <c r="BA12" i="3"/>
  <c r="AZ12" i="3"/>
  <c r="AY12" i="3"/>
  <c r="AX12" i="3"/>
  <c r="AW12" i="3"/>
  <c r="AV12" i="3"/>
  <c r="AU12" i="3" s="1"/>
  <c r="AJ12" i="3"/>
  <c r="AI12" i="3"/>
  <c r="AG12" i="3"/>
  <c r="AF12" i="3"/>
  <c r="AE12" i="3" s="1"/>
  <c r="BA11" i="3"/>
  <c r="AZ11" i="3"/>
  <c r="AY11" i="3"/>
  <c r="AX11" i="3"/>
  <c r="AW11" i="3"/>
  <c r="AV11" i="3"/>
  <c r="AU11" i="3" s="1"/>
  <c r="AJ11" i="3"/>
  <c r="AI11" i="3"/>
  <c r="AG11" i="3"/>
  <c r="AF11" i="3"/>
  <c r="AE11" i="3" s="1"/>
  <c r="BA10" i="3"/>
  <c r="AZ10" i="3"/>
  <c r="AY10" i="3"/>
  <c r="AX10" i="3"/>
  <c r="AW10" i="3"/>
  <c r="AV10" i="3"/>
  <c r="AU10" i="3" s="1"/>
  <c r="AJ10" i="3"/>
  <c r="AI10" i="3"/>
  <c r="AG10" i="3"/>
  <c r="AF10" i="3"/>
  <c r="AE10" i="3" s="1"/>
  <c r="BA9" i="3"/>
  <c r="AZ9" i="3"/>
  <c r="AY9" i="3"/>
  <c r="AX9" i="3"/>
  <c r="AW9" i="3"/>
  <c r="AV9" i="3"/>
  <c r="AU9" i="3" s="1"/>
  <c r="AJ9" i="3"/>
  <c r="AI9" i="3"/>
  <c r="AG9" i="3"/>
  <c r="AF9" i="3"/>
  <c r="AE9" i="3" s="1"/>
  <c r="BA8" i="3"/>
  <c r="AZ8" i="3"/>
  <c r="AY8" i="3"/>
  <c r="AX8" i="3"/>
  <c r="AW8" i="3"/>
  <c r="AV8" i="3"/>
  <c r="AU8" i="3" s="1"/>
  <c r="AJ8" i="3"/>
  <c r="AI8" i="3"/>
  <c r="AG8" i="3"/>
  <c r="AF8" i="3"/>
  <c r="AE8" i="3" s="1"/>
  <c r="BA7" i="3"/>
  <c r="AZ7" i="3"/>
  <c r="AY7" i="3"/>
  <c r="AX7" i="3"/>
  <c r="AW7" i="3"/>
  <c r="AV7" i="3"/>
  <c r="AU7" i="3" s="1"/>
  <c r="AJ7" i="3"/>
  <c r="AI7" i="3"/>
  <c r="AG7" i="3"/>
  <c r="AF7" i="3"/>
  <c r="AE7" i="3" s="1"/>
  <c r="BA6" i="3"/>
  <c r="AZ6" i="3"/>
  <c r="AY6" i="3"/>
  <c r="AX6" i="3"/>
  <c r="AW6" i="3"/>
  <c r="AV6" i="3"/>
  <c r="AU6" i="3" s="1"/>
  <c r="AJ6" i="3"/>
  <c r="AI6" i="3"/>
  <c r="AG6" i="3"/>
  <c r="AF6" i="3"/>
  <c r="AE6" i="3" s="1"/>
  <c r="X5" i="3"/>
  <c r="AN5" i="3"/>
  <c r="E15" i="3"/>
  <c r="D16" i="3" l="1"/>
  <c r="C80" i="2"/>
  <c r="A80" i="2"/>
  <c r="BV17" i="3"/>
  <c r="C16" i="2" s="1"/>
  <c r="BV10" i="3"/>
  <c r="C12" i="2" s="1"/>
  <c r="BV9" i="3"/>
  <c r="C11" i="2" s="1"/>
  <c r="BV8" i="3"/>
  <c r="C10" i="2" s="1"/>
  <c r="BV7" i="3"/>
  <c r="C9" i="2" s="1"/>
  <c r="BU8" i="3"/>
  <c r="B10" i="2" s="1"/>
  <c r="BU10" i="3"/>
  <c r="B12" i="2" s="1"/>
  <c r="BU9" i="3"/>
  <c r="B11" i="2" s="1"/>
  <c r="BU7" i="3"/>
  <c r="B9" i="2" s="1"/>
  <c r="BU18" i="3"/>
  <c r="B17" i="2" s="1"/>
  <c r="BU16" i="3"/>
  <c r="B15" i="2" s="1"/>
  <c r="BV18" i="3"/>
  <c r="C17" i="2" s="1"/>
  <c r="BV16" i="3"/>
  <c r="C15" i="2" s="1"/>
  <c r="BU17" i="3"/>
  <c r="B16" i="2" s="1"/>
  <c r="BV15" i="3"/>
  <c r="C14" i="2" s="1"/>
  <c r="BU15" i="3"/>
  <c r="B14" i="2" s="1"/>
  <c r="E16" i="3"/>
  <c r="D17" i="3" l="1"/>
  <c r="B5" i="2"/>
  <c r="J26" i="3"/>
  <c r="B8" i="3"/>
  <c r="N26" i="3"/>
  <c r="E17" i="3"/>
  <c r="D18" i="3" l="1"/>
  <c r="M22" i="3"/>
  <c r="B25" i="2"/>
  <c r="A30" i="2"/>
  <c r="A25" i="2"/>
  <c r="B24" i="2"/>
  <c r="J36" i="3"/>
  <c r="B13" i="3"/>
  <c r="K36" i="3"/>
  <c r="E18" i="3"/>
  <c r="D19" i="3" l="1"/>
  <c r="A1" i="2"/>
  <c r="B31" i="2"/>
  <c r="E19" i="3"/>
  <c r="D20" i="3" l="1"/>
  <c r="K6" i="3"/>
  <c r="U6" i="3" s="1"/>
  <c r="E20" i="3"/>
  <c r="D21" i="3" l="1"/>
  <c r="B16" i="11"/>
  <c r="K7" i="3"/>
  <c r="U7" i="3" s="1"/>
  <c r="C33" i="2"/>
  <c r="L6" i="3"/>
  <c r="B19" i="3"/>
  <c r="R36" i="3"/>
  <c r="CD25" i="3"/>
  <c r="CD26" i="3"/>
  <c r="B10" i="3"/>
  <c r="B24" i="3"/>
  <c r="M6" i="3"/>
  <c r="E21" i="3"/>
  <c r="B14" i="3"/>
  <c r="CD27" i="3"/>
  <c r="B11" i="3"/>
  <c r="CD28" i="3"/>
  <c r="CD30" i="3"/>
  <c r="CD24" i="3"/>
  <c r="B20" i="3"/>
  <c r="B15" i="3"/>
  <c r="B16" i="3"/>
  <c r="CD23" i="3"/>
  <c r="B12" i="3"/>
  <c r="CD29" i="3"/>
  <c r="B18" i="3"/>
  <c r="S36" i="3"/>
  <c r="CD22" i="3"/>
  <c r="B80" i="2" l="1"/>
  <c r="W1" i="2" s="1"/>
  <c r="A46" i="2"/>
  <c r="F80" i="2"/>
  <c r="X1" i="2" s="1"/>
  <c r="T1" i="6"/>
  <c r="D22" i="3"/>
  <c r="N5" i="3"/>
  <c r="G1" i="3"/>
  <c r="A47" i="2"/>
  <c r="O5" i="3"/>
  <c r="B23" i="3"/>
  <c r="A26" i="2" s="1"/>
  <c r="A63" i="2"/>
  <c r="A62" i="2"/>
  <c r="C32" i="11"/>
  <c r="C16" i="11"/>
  <c r="B17" i="11"/>
  <c r="L7" i="3"/>
  <c r="B33" i="2"/>
  <c r="B62" i="2"/>
  <c r="B29" i="2"/>
  <c r="B30" i="2"/>
  <c r="B63" i="2"/>
  <c r="B45" i="2"/>
  <c r="K8" i="3"/>
  <c r="D6" i="11"/>
  <c r="L21" i="11"/>
  <c r="M7" i="3"/>
  <c r="M21" i="11"/>
  <c r="P3" i="6"/>
  <c r="D7" i="11"/>
  <c r="L37" i="11"/>
  <c r="M5" i="11"/>
  <c r="E22" i="3"/>
  <c r="R5" i="11"/>
  <c r="R21" i="11"/>
  <c r="P4" i="6"/>
  <c r="O6" i="3"/>
  <c r="B21" i="3"/>
  <c r="K5" i="11"/>
  <c r="P53" i="11"/>
  <c r="Q36" i="3"/>
  <c r="K37" i="11"/>
  <c r="P5" i="11"/>
  <c r="P21" i="11"/>
  <c r="K21" i="11"/>
  <c r="L5" i="11"/>
  <c r="R37" i="11"/>
  <c r="D8" i="11"/>
  <c r="P2" i="6"/>
  <c r="P37" i="11"/>
  <c r="L53" i="11"/>
  <c r="O36" i="3"/>
  <c r="P36" i="3"/>
  <c r="Q5" i="11"/>
  <c r="N6" i="3"/>
  <c r="M37" i="11"/>
  <c r="Q53" i="11"/>
  <c r="K53" i="11"/>
  <c r="N36" i="3"/>
  <c r="AJ13" i="12" l="1"/>
  <c r="AJ31" i="12"/>
  <c r="AJ43" i="12"/>
  <c r="AJ25" i="12"/>
  <c r="AJ19" i="12"/>
  <c r="AJ7" i="12"/>
  <c r="AJ37" i="12"/>
  <c r="AJ17" i="12"/>
  <c r="AJ23" i="12"/>
  <c r="AJ29" i="12"/>
  <c r="AJ5" i="12"/>
  <c r="AJ41" i="12"/>
  <c r="AJ11" i="12"/>
  <c r="AJ35" i="12"/>
  <c r="AJ12" i="12"/>
  <c r="AJ30" i="12"/>
  <c r="AJ6" i="12"/>
  <c r="AJ42" i="12"/>
  <c r="AJ36" i="12"/>
  <c r="AJ18" i="12"/>
  <c r="AJ24" i="12"/>
  <c r="D23" i="3"/>
  <c r="B18" i="11"/>
  <c r="U8" i="3"/>
  <c r="P6" i="3"/>
  <c r="L36" i="3"/>
  <c r="T36" i="3" s="1"/>
  <c r="M36" i="3"/>
  <c r="U36" i="3" s="1"/>
  <c r="C7" i="11"/>
  <c r="E7" i="11" s="1"/>
  <c r="C8" i="11"/>
  <c r="E8" i="11" s="1"/>
  <c r="R53" i="11"/>
  <c r="C6" i="11"/>
  <c r="E6" i="11" s="1"/>
  <c r="M53" i="11"/>
  <c r="C17" i="11"/>
  <c r="C36" i="2"/>
  <c r="B64" i="2"/>
  <c r="L8" i="3"/>
  <c r="C37" i="2"/>
  <c r="K9" i="3"/>
  <c r="P22" i="11"/>
  <c r="M6" i="11"/>
  <c r="E23" i="3"/>
  <c r="K54" i="11"/>
  <c r="Q54" i="11"/>
  <c r="Q6" i="11"/>
  <c r="M22" i="11"/>
  <c r="N7" i="3"/>
  <c r="R6" i="11"/>
  <c r="R38" i="11"/>
  <c r="R22" i="11"/>
  <c r="K38" i="11"/>
  <c r="Q6" i="3"/>
  <c r="P54" i="11"/>
  <c r="P38" i="11"/>
  <c r="L38" i="11"/>
  <c r="M38" i="11"/>
  <c r="K22" i="11"/>
  <c r="L54" i="11"/>
  <c r="L6" i="11"/>
  <c r="L22" i="11"/>
  <c r="M8" i="3"/>
  <c r="K6" i="11"/>
  <c r="O7" i="3"/>
  <c r="P6" i="11"/>
  <c r="AJ15" i="12" l="1"/>
  <c r="F15" i="12" s="1"/>
  <c r="AJ9" i="12"/>
  <c r="O26" i="3" s="1"/>
  <c r="P26" i="3" s="1"/>
  <c r="D24" i="3"/>
  <c r="T6" i="3"/>
  <c r="P7" i="3"/>
  <c r="S6" i="3"/>
  <c r="B46" i="2" s="1"/>
  <c r="Y1" i="2" s="1"/>
  <c r="R6" i="3"/>
  <c r="S7" i="3"/>
  <c r="B19" i="11"/>
  <c r="U9" i="3"/>
  <c r="R54" i="11"/>
  <c r="J14" i="2"/>
  <c r="M54" i="11"/>
  <c r="C18" i="11"/>
  <c r="K10" i="3"/>
  <c r="L9" i="3"/>
  <c r="B37" i="2"/>
  <c r="B36" i="2"/>
  <c r="O8" i="3"/>
  <c r="K7" i="11"/>
  <c r="P55" i="11"/>
  <c r="L7" i="11"/>
  <c r="Q7" i="3"/>
  <c r="M7" i="11"/>
  <c r="M9" i="3"/>
  <c r="R23" i="11"/>
  <c r="M39" i="11"/>
  <c r="K55" i="11"/>
  <c r="N8" i="3"/>
  <c r="P7" i="11"/>
  <c r="K39" i="11"/>
  <c r="L39" i="11"/>
  <c r="L23" i="11"/>
  <c r="E24" i="3"/>
  <c r="K23" i="11"/>
  <c r="Q55" i="11"/>
  <c r="P23" i="11"/>
  <c r="Q7" i="11"/>
  <c r="R39" i="11"/>
  <c r="R7" i="11"/>
  <c r="L55" i="11"/>
  <c r="M23" i="11"/>
  <c r="P39" i="11"/>
  <c r="L49" i="3" l="1"/>
  <c r="K49" i="3"/>
  <c r="F9" i="12"/>
  <c r="O27" i="3"/>
  <c r="P27" i="3" s="1"/>
  <c r="J37" i="3" s="1"/>
  <c r="M26" i="3"/>
  <c r="L22" i="3" s="1"/>
  <c r="N22" i="3" s="1"/>
  <c r="C38" i="2" s="1"/>
  <c r="B38" i="2" s="1"/>
  <c r="B34" i="2" s="1"/>
  <c r="J13" i="2" s="1"/>
  <c r="D25" i="3"/>
  <c r="S8" i="3"/>
  <c r="R7" i="3"/>
  <c r="T7" i="3"/>
  <c r="P8" i="3"/>
  <c r="B20" i="11"/>
  <c r="U10" i="3"/>
  <c r="B47" i="2"/>
  <c r="R55" i="11"/>
  <c r="M55" i="11"/>
  <c r="C19" i="11"/>
  <c r="K11" i="3"/>
  <c r="U11" i="3" s="1"/>
  <c r="L10" i="3"/>
  <c r="O9" i="3"/>
  <c r="M8" i="11"/>
  <c r="M10" i="3"/>
  <c r="K40" i="11"/>
  <c r="M40" i="11"/>
  <c r="K56" i="11"/>
  <c r="K24" i="11"/>
  <c r="Q8" i="3"/>
  <c r="N9" i="3"/>
  <c r="L8" i="11"/>
  <c r="P24" i="11"/>
  <c r="R37" i="3"/>
  <c r="E25" i="3"/>
  <c r="L40" i="11"/>
  <c r="P56" i="11"/>
  <c r="M24" i="11"/>
  <c r="Q8" i="11"/>
  <c r="R24" i="11"/>
  <c r="P40" i="11"/>
  <c r="Q37" i="3"/>
  <c r="K8" i="11"/>
  <c r="P8" i="11"/>
  <c r="P37" i="3"/>
  <c r="R8" i="11"/>
  <c r="K37" i="3"/>
  <c r="Q56" i="11"/>
  <c r="O37" i="3"/>
  <c r="L24" i="11"/>
  <c r="S37" i="3"/>
  <c r="L56" i="11"/>
  <c r="R40" i="11"/>
  <c r="J38" i="3" l="1"/>
  <c r="J39" i="3" s="1"/>
  <c r="M27" i="3"/>
  <c r="D26" i="3"/>
  <c r="R8" i="3"/>
  <c r="T8" i="3"/>
  <c r="S9" i="3"/>
  <c r="P9" i="3"/>
  <c r="M37" i="3"/>
  <c r="U37" i="3" s="1"/>
  <c r="R56" i="11"/>
  <c r="M56" i="11"/>
  <c r="B21" i="11"/>
  <c r="C20" i="11"/>
  <c r="K12" i="3"/>
  <c r="L11" i="3"/>
  <c r="L41" i="11"/>
  <c r="M11" i="3"/>
  <c r="M41" i="11"/>
  <c r="R39" i="3"/>
  <c r="R9" i="11"/>
  <c r="K25" i="11"/>
  <c r="L25" i="11"/>
  <c r="K39" i="3"/>
  <c r="M9" i="11"/>
  <c r="S38" i="3"/>
  <c r="Q9" i="11"/>
  <c r="R25" i="11"/>
  <c r="P9" i="11"/>
  <c r="P57" i="11"/>
  <c r="M25" i="11"/>
  <c r="E26" i="3"/>
  <c r="N10" i="3"/>
  <c r="K9" i="11"/>
  <c r="R38" i="3"/>
  <c r="L9" i="11"/>
  <c r="Q38" i="3"/>
  <c r="Q9" i="3"/>
  <c r="S39" i="3"/>
  <c r="Q57" i="11"/>
  <c r="K41" i="11"/>
  <c r="P38" i="3"/>
  <c r="N37" i="3"/>
  <c r="P25" i="11"/>
  <c r="O10" i="3"/>
  <c r="K57" i="11"/>
  <c r="R41" i="11"/>
  <c r="L57" i="11"/>
  <c r="P39" i="3"/>
  <c r="O38" i="3"/>
  <c r="K38" i="3"/>
  <c r="P41" i="11"/>
  <c r="L37" i="3" l="1"/>
  <c r="T37" i="3" s="1"/>
  <c r="D27" i="3"/>
  <c r="S10" i="3"/>
  <c r="P10" i="3"/>
  <c r="T9" i="3"/>
  <c r="R9" i="3"/>
  <c r="M38" i="3"/>
  <c r="U38" i="3" s="1"/>
  <c r="B22" i="11"/>
  <c r="U12" i="3"/>
  <c r="R57" i="11"/>
  <c r="M57" i="11"/>
  <c r="C21" i="11"/>
  <c r="J40" i="3"/>
  <c r="K13" i="3"/>
  <c r="L12" i="3"/>
  <c r="R10" i="11"/>
  <c r="L26" i="11"/>
  <c r="M10" i="11"/>
  <c r="P42" i="11"/>
  <c r="O11" i="3"/>
  <c r="L58" i="11"/>
  <c r="K40" i="3"/>
  <c r="Q58" i="11"/>
  <c r="M12" i="3"/>
  <c r="N11" i="3"/>
  <c r="K26" i="11"/>
  <c r="N38" i="3"/>
  <c r="K58" i="11"/>
  <c r="O39" i="3"/>
  <c r="R40" i="3"/>
  <c r="P40" i="3"/>
  <c r="R42" i="11"/>
  <c r="K42" i="11"/>
  <c r="P26" i="11"/>
  <c r="Q10" i="11"/>
  <c r="S40" i="3"/>
  <c r="L10" i="11"/>
  <c r="N39" i="3"/>
  <c r="K10" i="11"/>
  <c r="Q10" i="3"/>
  <c r="M42" i="11"/>
  <c r="R26" i="11"/>
  <c r="E27" i="3"/>
  <c r="Q39" i="3"/>
  <c r="L42" i="11"/>
  <c r="P58" i="11"/>
  <c r="P10" i="11"/>
  <c r="M26" i="11"/>
  <c r="L38" i="3" l="1"/>
  <c r="T38" i="3" s="1"/>
  <c r="D28" i="3"/>
  <c r="R10" i="3"/>
  <c r="T10" i="3"/>
  <c r="P11" i="3"/>
  <c r="M39" i="3"/>
  <c r="U39" i="3" s="1"/>
  <c r="S11" i="3"/>
  <c r="L39" i="3"/>
  <c r="T39" i="3" s="1"/>
  <c r="B23" i="11"/>
  <c r="U13" i="3"/>
  <c r="R58" i="11"/>
  <c r="M58" i="11"/>
  <c r="C22" i="11"/>
  <c r="J41" i="3"/>
  <c r="K14" i="3"/>
  <c r="L13" i="3"/>
  <c r="N12" i="3"/>
  <c r="P43" i="11"/>
  <c r="L11" i="11"/>
  <c r="R41" i="3"/>
  <c r="L27" i="11"/>
  <c r="Q40" i="3"/>
  <c r="E28" i="3"/>
  <c r="P11" i="11"/>
  <c r="M43" i="11"/>
  <c r="K59" i="11"/>
  <c r="R27" i="11"/>
  <c r="P59" i="11"/>
  <c r="O40" i="3"/>
  <c r="L59" i="11"/>
  <c r="M11" i="11"/>
  <c r="N40" i="3"/>
  <c r="O12" i="3"/>
  <c r="M27" i="11"/>
  <c r="K27" i="11"/>
  <c r="Q11" i="11"/>
  <c r="P27" i="11"/>
  <c r="Q41" i="3"/>
  <c r="K41" i="3"/>
  <c r="L43" i="11"/>
  <c r="Q59" i="11"/>
  <c r="P41" i="3"/>
  <c r="K11" i="11"/>
  <c r="Q11" i="3"/>
  <c r="R43" i="11"/>
  <c r="S41" i="3"/>
  <c r="K43" i="11"/>
  <c r="R11" i="11"/>
  <c r="M13" i="3"/>
  <c r="S12" i="3" l="1"/>
  <c r="D29" i="3"/>
  <c r="T11" i="3"/>
  <c r="R11" i="3"/>
  <c r="P12" i="3"/>
  <c r="B24" i="11"/>
  <c r="U14" i="3"/>
  <c r="L40" i="3"/>
  <c r="T40" i="3" s="1"/>
  <c r="M40" i="3"/>
  <c r="U40" i="3" s="1"/>
  <c r="R59" i="11"/>
  <c r="M59" i="11"/>
  <c r="C23" i="11"/>
  <c r="J42" i="3"/>
  <c r="K15" i="3"/>
  <c r="L14" i="3"/>
  <c r="M12" i="11"/>
  <c r="Q12" i="3"/>
  <c r="P12" i="11"/>
  <c r="P60" i="11"/>
  <c r="Q60" i="11"/>
  <c r="M44" i="11"/>
  <c r="R28" i="11"/>
  <c r="L28" i="11"/>
  <c r="Q42" i="3"/>
  <c r="L12" i="11"/>
  <c r="K28" i="11"/>
  <c r="K12" i="11"/>
  <c r="P28" i="11"/>
  <c r="P42" i="3"/>
  <c r="O41" i="3"/>
  <c r="N13" i="3"/>
  <c r="K60" i="11"/>
  <c r="M28" i="11"/>
  <c r="Q12" i="11"/>
  <c r="R42" i="3"/>
  <c r="M14" i="3"/>
  <c r="S42" i="3"/>
  <c r="L44" i="11"/>
  <c r="K44" i="11"/>
  <c r="R12" i="11"/>
  <c r="R44" i="11"/>
  <c r="K42" i="3"/>
  <c r="L60" i="11"/>
  <c r="E29" i="3"/>
  <c r="P44" i="11"/>
  <c r="N41" i="3"/>
  <c r="O13" i="3"/>
  <c r="D30" i="3" l="1"/>
  <c r="R12" i="3"/>
  <c r="T12" i="3"/>
  <c r="P13" i="3"/>
  <c r="S13" i="3"/>
  <c r="B25" i="11"/>
  <c r="U15" i="3"/>
  <c r="M41" i="3"/>
  <c r="U41" i="3" s="1"/>
  <c r="L41" i="3"/>
  <c r="T41" i="3" s="1"/>
  <c r="R60" i="11"/>
  <c r="M60" i="11"/>
  <c r="C24" i="11"/>
  <c r="K16" i="3"/>
  <c r="U16" i="3" s="1"/>
  <c r="L15" i="3"/>
  <c r="R29" i="11"/>
  <c r="M45" i="11"/>
  <c r="K13" i="11"/>
  <c r="P13" i="11"/>
  <c r="M13" i="11"/>
  <c r="M15" i="3"/>
  <c r="K45" i="11"/>
  <c r="N14" i="3"/>
  <c r="O14" i="3"/>
  <c r="R45" i="11"/>
  <c r="L61" i="11"/>
  <c r="M29" i="11"/>
  <c r="L45" i="11"/>
  <c r="E30" i="3"/>
  <c r="L29" i="11"/>
  <c r="P29" i="11"/>
  <c r="N42" i="3"/>
  <c r="L13" i="11"/>
  <c r="Q13" i="3"/>
  <c r="Q13" i="11"/>
  <c r="Q61" i="11"/>
  <c r="K61" i="11"/>
  <c r="K29" i="11"/>
  <c r="R13" i="11"/>
  <c r="P61" i="11"/>
  <c r="P45" i="11"/>
  <c r="O42" i="3"/>
  <c r="D31" i="3" l="1"/>
  <c r="S14" i="3"/>
  <c r="R13" i="3"/>
  <c r="T13" i="3"/>
  <c r="P14" i="3"/>
  <c r="L42" i="3"/>
  <c r="T42" i="3" s="1"/>
  <c r="N50" i="3" s="1"/>
  <c r="M42" i="3"/>
  <c r="U42" i="3" s="1"/>
  <c r="L50" i="3" s="1"/>
  <c r="R61" i="11"/>
  <c r="M61" i="11"/>
  <c r="C25" i="11"/>
  <c r="B26" i="11"/>
  <c r="K17" i="3"/>
  <c r="L16" i="3"/>
  <c r="K14" i="11"/>
  <c r="R14" i="11"/>
  <c r="Q14" i="3"/>
  <c r="M46" i="11"/>
  <c r="K62" i="11"/>
  <c r="P30" i="11"/>
  <c r="M14" i="11"/>
  <c r="Q62" i="11"/>
  <c r="K46" i="11"/>
  <c r="L46" i="11"/>
  <c r="P46" i="11"/>
  <c r="M16" i="3"/>
  <c r="E31" i="3"/>
  <c r="R46" i="11"/>
  <c r="R30" i="11"/>
  <c r="L62" i="11"/>
  <c r="P62" i="11"/>
  <c r="N15" i="3"/>
  <c r="M30" i="11"/>
  <c r="P14" i="11"/>
  <c r="O15" i="3"/>
  <c r="K30" i="11"/>
  <c r="L30" i="11"/>
  <c r="Q14" i="11"/>
  <c r="L14" i="11"/>
  <c r="S15" i="3" l="1"/>
  <c r="K50" i="3"/>
  <c r="M50" i="3"/>
  <c r="D32" i="3"/>
  <c r="R14" i="3"/>
  <c r="T14" i="3"/>
  <c r="P15" i="3"/>
  <c r="K18" i="3"/>
  <c r="U18" i="3" s="1"/>
  <c r="U17" i="3"/>
  <c r="R62" i="11"/>
  <c r="M62" i="11"/>
  <c r="C26" i="11"/>
  <c r="B27" i="11"/>
  <c r="L17" i="3"/>
  <c r="Q15" i="3"/>
  <c r="P15" i="11"/>
  <c r="Q15" i="11"/>
  <c r="P47" i="11"/>
  <c r="M15" i="11"/>
  <c r="M31" i="11"/>
  <c r="K15" i="11"/>
  <c r="M17" i="3"/>
  <c r="R15" i="11"/>
  <c r="E32" i="3"/>
  <c r="L47" i="11"/>
  <c r="O16" i="3"/>
  <c r="R31" i="11"/>
  <c r="P63" i="11"/>
  <c r="K63" i="11"/>
  <c r="K47" i="11"/>
  <c r="L15" i="11"/>
  <c r="N16" i="3"/>
  <c r="L63" i="11"/>
  <c r="R47" i="11"/>
  <c r="Q63" i="11"/>
  <c r="M47" i="11"/>
  <c r="L31" i="11"/>
  <c r="P31" i="11"/>
  <c r="K31" i="11"/>
  <c r="D33" i="3" l="1"/>
  <c r="T15" i="3"/>
  <c r="R15" i="3"/>
  <c r="P16" i="3"/>
  <c r="S16" i="3"/>
  <c r="K47" i="3"/>
  <c r="K48" i="3"/>
  <c r="L47" i="3"/>
  <c r="L48" i="3"/>
  <c r="R63" i="11"/>
  <c r="M63" i="11"/>
  <c r="C27" i="11"/>
  <c r="L18" i="3"/>
  <c r="B28" i="11"/>
  <c r="Q16" i="3"/>
  <c r="K64" i="11"/>
  <c r="P16" i="11"/>
  <c r="P48" i="11"/>
  <c r="L64" i="11"/>
  <c r="L32" i="11"/>
  <c r="P32" i="11"/>
  <c r="M18" i="3"/>
  <c r="L48" i="11"/>
  <c r="R48" i="11"/>
  <c r="K16" i="11"/>
  <c r="M48" i="11"/>
  <c r="K48" i="11"/>
  <c r="Q64" i="11"/>
  <c r="P64" i="11"/>
  <c r="O17" i="3"/>
  <c r="M16" i="11"/>
  <c r="R16" i="11"/>
  <c r="L16" i="11"/>
  <c r="N17" i="3"/>
  <c r="E33" i="3"/>
  <c r="R32" i="11"/>
  <c r="K32" i="11"/>
  <c r="Q16" i="11"/>
  <c r="M32" i="11"/>
  <c r="D34" i="3" l="1"/>
  <c r="R16" i="3"/>
  <c r="T16" i="3"/>
  <c r="P17" i="3"/>
  <c r="S17" i="3"/>
  <c r="R64" i="11"/>
  <c r="M64" i="11"/>
  <c r="C28" i="11"/>
  <c r="M33" i="11"/>
  <c r="P49" i="11"/>
  <c r="O18" i="3"/>
  <c r="K17" i="11"/>
  <c r="L65" i="11"/>
  <c r="L49" i="11"/>
  <c r="R17" i="11"/>
  <c r="M49" i="11"/>
  <c r="L17" i="11"/>
  <c r="L33" i="11"/>
  <c r="E34" i="3"/>
  <c r="N18" i="3"/>
  <c r="R33" i="11"/>
  <c r="K65" i="11"/>
  <c r="M17" i="11"/>
  <c r="Q65" i="11"/>
  <c r="K49" i="11"/>
  <c r="P17" i="11"/>
  <c r="Q17" i="3"/>
  <c r="P65" i="11"/>
  <c r="P33" i="11"/>
  <c r="Q17" i="11"/>
  <c r="R49" i="11"/>
  <c r="K33" i="11"/>
  <c r="D35" i="3" l="1"/>
  <c r="T17" i="3"/>
  <c r="R17" i="3"/>
  <c r="S18" i="3"/>
  <c r="P18" i="3"/>
  <c r="R65" i="11"/>
  <c r="M65" i="11"/>
  <c r="J12" i="2"/>
  <c r="E35" i="3"/>
  <c r="Q18" i="3"/>
  <c r="D36" i="3" l="1"/>
  <c r="T18" i="3"/>
  <c r="R18" i="3"/>
  <c r="E36" i="3"/>
  <c r="D37" i="3" l="1"/>
  <c r="E37" i="3"/>
  <c r="D38" i="3" l="1"/>
  <c r="E38" i="3"/>
  <c r="D39" i="3" l="1"/>
  <c r="E39" i="3"/>
  <c r="F32" i="3" l="1"/>
  <c r="F31" i="3" s="1"/>
  <c r="D40" i="3"/>
  <c r="E40" i="3"/>
  <c r="F30" i="3" l="1"/>
  <c r="D41" i="3"/>
  <c r="E41" i="3"/>
  <c r="G32" i="3"/>
  <c r="G31" i="3"/>
  <c r="F29" i="3" l="1"/>
  <c r="D42" i="3"/>
  <c r="E42" i="3"/>
  <c r="G30" i="3"/>
  <c r="F28" i="3" l="1"/>
  <c r="D43" i="3"/>
  <c r="G29" i="3"/>
  <c r="E43" i="3"/>
  <c r="F27" i="3" l="1"/>
  <c r="D44" i="3"/>
  <c r="E44" i="3"/>
  <c r="G28" i="3"/>
  <c r="F26" i="3" l="1"/>
  <c r="D45" i="3"/>
  <c r="E45" i="3"/>
  <c r="G27" i="3"/>
  <c r="F25" i="3" l="1"/>
  <c r="D46" i="3"/>
  <c r="E46" i="3"/>
  <c r="G26" i="3"/>
  <c r="F24" i="3" l="1"/>
  <c r="D47" i="3"/>
  <c r="E47" i="3"/>
  <c r="G25" i="3"/>
  <c r="F23" i="3" l="1"/>
  <c r="D48" i="3"/>
  <c r="E48" i="3"/>
  <c r="G24" i="3"/>
  <c r="F22" i="3" l="1"/>
  <c r="D49" i="3"/>
  <c r="E49" i="3"/>
  <c r="G23" i="3"/>
  <c r="F21" i="3" l="1"/>
  <c r="D50" i="3"/>
  <c r="E50" i="3"/>
  <c r="G22" i="3"/>
  <c r="F20" i="3" l="1"/>
  <c r="D51" i="3"/>
  <c r="E51" i="3"/>
  <c r="G21" i="3"/>
  <c r="F19" i="3" l="1"/>
  <c r="D52" i="3"/>
  <c r="E52" i="3"/>
  <c r="G20" i="3"/>
  <c r="F18" i="3" l="1"/>
  <c r="D53" i="3"/>
  <c r="E53" i="3"/>
  <c r="G19" i="3"/>
  <c r="F17" i="3" l="1"/>
  <c r="D54" i="3"/>
  <c r="E54" i="3"/>
  <c r="G18" i="3"/>
  <c r="F16" i="3" l="1"/>
  <c r="D55" i="3"/>
  <c r="E55" i="3"/>
  <c r="G17" i="3"/>
  <c r="F15" i="3" l="1"/>
  <c r="D56" i="3"/>
  <c r="E56" i="3"/>
  <c r="G16" i="3"/>
  <c r="F14" i="3" l="1"/>
  <c r="D57" i="3"/>
  <c r="G15" i="3"/>
  <c r="E57" i="3"/>
  <c r="F13" i="3" l="1"/>
  <c r="D58" i="3"/>
  <c r="E58" i="3"/>
  <c r="G14" i="3"/>
  <c r="F12" i="3" l="1"/>
  <c r="D59" i="3"/>
  <c r="E59" i="3"/>
  <c r="G13" i="3"/>
  <c r="F11" i="3" l="1"/>
  <c r="D60" i="3"/>
  <c r="E60" i="3"/>
  <c r="G12" i="3"/>
  <c r="F10" i="3" l="1"/>
  <c r="D61" i="3"/>
  <c r="E61" i="3"/>
  <c r="G11" i="3"/>
  <c r="F9" i="3" l="1"/>
  <c r="D62" i="3"/>
  <c r="E62" i="3"/>
  <c r="G10" i="3"/>
  <c r="F8" i="3" l="1"/>
  <c r="D63" i="3"/>
  <c r="E63" i="3"/>
  <c r="G9" i="3"/>
  <c r="F7" i="3" l="1"/>
  <c r="D64" i="3"/>
  <c r="E64" i="3"/>
  <c r="G8" i="3"/>
  <c r="F6" i="3" l="1"/>
  <c r="D65" i="3"/>
  <c r="E65" i="3"/>
  <c r="G7" i="3"/>
  <c r="F5" i="3" l="1"/>
  <c r="D66" i="3"/>
  <c r="F63" i="3"/>
  <c r="G6" i="3"/>
  <c r="E66" i="3"/>
  <c r="F4" i="3" l="1"/>
  <c r="D67" i="3"/>
  <c r="F62" i="3"/>
  <c r="F61" i="3" s="1"/>
  <c r="G5" i="3"/>
  <c r="G63" i="3"/>
  <c r="E67" i="3"/>
  <c r="G61" i="3"/>
  <c r="F3" i="3" l="1"/>
  <c r="F60" i="3"/>
  <c r="D68" i="3"/>
  <c r="G62" i="3"/>
  <c r="G4" i="3"/>
  <c r="E68" i="3"/>
  <c r="G60" i="3"/>
  <c r="G3" i="3"/>
  <c r="F59" i="3" l="1"/>
  <c r="F58" i="3" s="1"/>
  <c r="D69" i="3"/>
  <c r="E69" i="3"/>
  <c r="F57" i="3" l="1"/>
  <c r="D70" i="3"/>
  <c r="E70" i="3"/>
  <c r="G58" i="3"/>
  <c r="G59" i="3"/>
  <c r="F56" i="3" l="1"/>
  <c r="D71" i="3"/>
  <c r="E71" i="3"/>
  <c r="G57" i="3"/>
  <c r="F55" i="3" l="1"/>
  <c r="D72" i="3"/>
  <c r="G56" i="3"/>
  <c r="E72" i="3"/>
  <c r="F54" i="3" l="1"/>
  <c r="D73" i="3"/>
  <c r="G55" i="3"/>
  <c r="E73" i="3"/>
  <c r="F53" i="3" l="1"/>
  <c r="D74" i="3"/>
  <c r="E74" i="3"/>
  <c r="G54" i="3"/>
  <c r="F52" i="3" l="1"/>
  <c r="D75" i="3"/>
  <c r="E75" i="3"/>
  <c r="G53" i="3"/>
  <c r="F51" i="3" l="1"/>
  <c r="D76" i="3"/>
  <c r="E76" i="3"/>
  <c r="G52" i="3"/>
  <c r="F50" i="3" l="1"/>
  <c r="D77" i="3"/>
  <c r="E77" i="3"/>
  <c r="G51" i="3"/>
  <c r="F49" i="3" l="1"/>
  <c r="D78" i="3"/>
  <c r="E78" i="3"/>
  <c r="G50" i="3"/>
  <c r="F48" i="3" l="1"/>
  <c r="D79" i="3"/>
  <c r="E79" i="3"/>
  <c r="G49" i="3"/>
  <c r="F47" i="3" l="1"/>
  <c r="D80" i="3"/>
  <c r="E80" i="3"/>
  <c r="G48" i="3"/>
  <c r="F46" i="3" l="1"/>
  <c r="D81" i="3"/>
  <c r="E81" i="3"/>
  <c r="G47" i="3"/>
  <c r="F45" i="3" l="1"/>
  <c r="D82" i="3"/>
  <c r="E82" i="3"/>
  <c r="G46" i="3"/>
  <c r="F44" i="3" l="1"/>
  <c r="D83" i="3"/>
  <c r="E83" i="3"/>
  <c r="G45" i="3"/>
  <c r="F43" i="3" l="1"/>
  <c r="D84" i="3"/>
  <c r="E84" i="3"/>
  <c r="G44" i="3"/>
  <c r="F42" i="3" l="1"/>
  <c r="D85" i="3"/>
  <c r="E85" i="3"/>
  <c r="G43" i="3"/>
  <c r="F41" i="3" l="1"/>
  <c r="D86" i="3"/>
  <c r="G42" i="3"/>
  <c r="E86" i="3"/>
  <c r="F40" i="3" l="1"/>
  <c r="D87" i="3"/>
  <c r="G41" i="3"/>
  <c r="E87" i="3"/>
  <c r="F39" i="3" l="1"/>
  <c r="D88" i="3"/>
  <c r="E88" i="3"/>
  <c r="G40" i="3"/>
  <c r="F38" i="3" l="1"/>
  <c r="D89" i="3"/>
  <c r="E89" i="3"/>
  <c r="G39" i="3"/>
  <c r="F37" i="3" l="1"/>
  <c r="D90" i="3"/>
  <c r="E90" i="3"/>
  <c r="G38" i="3"/>
  <c r="F36" i="3" l="1"/>
  <c r="D91" i="3"/>
  <c r="E91" i="3"/>
  <c r="G37" i="3"/>
  <c r="F35" i="3" l="1"/>
  <c r="F34" i="3" s="1"/>
  <c r="D92" i="3"/>
  <c r="G34" i="3"/>
  <c r="E92" i="3"/>
  <c r="G36" i="3"/>
  <c r="G35" i="3"/>
  <c r="F33" i="3" l="1"/>
  <c r="D93" i="3"/>
  <c r="G33" i="3"/>
  <c r="E93" i="3"/>
  <c r="D94" i="3" l="1"/>
  <c r="E94" i="3"/>
  <c r="D95" i="3" l="1"/>
  <c r="E95" i="3"/>
  <c r="D96" i="3" l="1"/>
  <c r="E96" i="3"/>
  <c r="D97" i="3" l="1"/>
  <c r="E97" i="3"/>
  <c r="D98" i="3" l="1"/>
  <c r="E98" i="3"/>
  <c r="D99" i="3" l="1"/>
  <c r="E99" i="3"/>
  <c r="D100" i="3" l="1"/>
  <c r="E100" i="3"/>
  <c r="D101" i="3" l="1"/>
  <c r="E101" i="3"/>
  <c r="D102" i="3" l="1"/>
  <c r="E102" i="3"/>
  <c r="D103" i="3" l="1"/>
  <c r="E103" i="3"/>
  <c r="D104" i="3" l="1"/>
  <c r="E104" i="3"/>
  <c r="D105" i="3" l="1"/>
  <c r="E105" i="3"/>
  <c r="D106" i="3" l="1"/>
  <c r="E106" i="3"/>
  <c r="D107" i="3" l="1"/>
  <c r="E107" i="3"/>
  <c r="D108" i="3" l="1"/>
  <c r="E108" i="3"/>
  <c r="D109" i="3" l="1"/>
  <c r="E109" i="3"/>
  <c r="D110" i="3" l="1"/>
  <c r="E110" i="3"/>
  <c r="D111" i="3" l="1"/>
  <c r="E111" i="3"/>
  <c r="D112" i="3" l="1"/>
  <c r="E112" i="3"/>
  <c r="D113" i="3" l="1"/>
  <c r="E113" i="3"/>
  <c r="D114" i="3" l="1"/>
  <c r="E114" i="3"/>
  <c r="D115" i="3" l="1"/>
  <c r="E115" i="3"/>
  <c r="D116" i="3" l="1"/>
  <c r="E116" i="3"/>
  <c r="D117" i="3" l="1"/>
  <c r="E117" i="3"/>
  <c r="D118" i="3" l="1"/>
  <c r="E118" i="3"/>
  <c r="D119" i="3" l="1"/>
  <c r="E119" i="3"/>
  <c r="D120" i="3" l="1"/>
  <c r="E120" i="3"/>
  <c r="D121" i="3" l="1"/>
  <c r="E121" i="3"/>
  <c r="D122" i="3" l="1"/>
  <c r="E122" i="3"/>
  <c r="D123" i="3" l="1"/>
  <c r="E123" i="3"/>
  <c r="D124" i="3" l="1"/>
  <c r="E124" i="3"/>
  <c r="D125" i="3" l="1"/>
  <c r="E125" i="3"/>
  <c r="D126" i="3" l="1"/>
  <c r="E126" i="3"/>
  <c r="D127" i="3" l="1"/>
  <c r="E127" i="3"/>
  <c r="D128" i="3" l="1"/>
  <c r="E128" i="3"/>
  <c r="D129" i="3" l="1"/>
  <c r="E129" i="3"/>
  <c r="D130" i="3" l="1"/>
  <c r="E130" i="3"/>
  <c r="D131" i="3" l="1"/>
  <c r="E131" i="3"/>
  <c r="D132" i="3" l="1"/>
  <c r="E132" i="3"/>
  <c r="D133" i="3" l="1"/>
  <c r="E133" i="3"/>
  <c r="D134" i="3" l="1"/>
  <c r="E134" i="3"/>
  <c r="D135" i="3" l="1"/>
  <c r="E135" i="3"/>
  <c r="D136" i="3" l="1"/>
  <c r="E136" i="3"/>
  <c r="D137" i="3" l="1"/>
  <c r="E137" i="3"/>
  <c r="D138" i="3" l="1"/>
  <c r="E138" i="3"/>
  <c r="D139" i="3" l="1"/>
  <c r="E139" i="3"/>
  <c r="D140" i="3" l="1"/>
  <c r="E140" i="3"/>
  <c r="D141" i="3" l="1"/>
  <c r="E141" i="3"/>
  <c r="D142" i="3" l="1"/>
  <c r="E142" i="3"/>
  <c r="D143" i="3" l="1"/>
  <c r="E143" i="3"/>
  <c r="D144" i="3" l="1"/>
  <c r="E144" i="3"/>
  <c r="D145" i="3" l="1"/>
  <c r="E145" i="3"/>
  <c r="D146" i="3" l="1"/>
  <c r="E146" i="3"/>
  <c r="D147" i="3" l="1"/>
  <c r="E147" i="3"/>
  <c r="D148" i="3" l="1"/>
  <c r="E148" i="3"/>
  <c r="D149" i="3" l="1"/>
  <c r="E149" i="3"/>
  <c r="D150" i="3" l="1"/>
  <c r="E150" i="3"/>
  <c r="D151" i="3" l="1"/>
  <c r="E151" i="3"/>
  <c r="D152" i="3" l="1"/>
  <c r="E152" i="3"/>
  <c r="D153" i="3" l="1"/>
  <c r="E153" i="3"/>
  <c r="D154" i="3" l="1"/>
  <c r="E154" i="3"/>
  <c r="D155" i="3" l="1"/>
  <c r="E155" i="3"/>
  <c r="D156" i="3" l="1"/>
  <c r="E156" i="3"/>
  <c r="D157" i="3" l="1"/>
  <c r="E157" i="3"/>
  <c r="D158" i="3" l="1"/>
  <c r="E158" i="3"/>
  <c r="D159" i="3" l="1"/>
  <c r="E159" i="3"/>
  <c r="D160" i="3" l="1"/>
  <c r="E160" i="3"/>
  <c r="D161" i="3" l="1"/>
  <c r="E161" i="3"/>
  <c r="D162" i="3" l="1"/>
  <c r="E162" i="3"/>
  <c r="D163" i="3" l="1"/>
  <c r="E163" i="3"/>
  <c r="D164" i="3" l="1"/>
  <c r="E164" i="3"/>
  <c r="D165" i="3" l="1"/>
  <c r="E165" i="3"/>
  <c r="D166" i="3" l="1"/>
  <c r="E166" i="3"/>
  <c r="D167" i="3" l="1"/>
  <c r="E167" i="3"/>
  <c r="D168" i="3" l="1"/>
  <c r="E168" i="3"/>
  <c r="D169" i="3" l="1"/>
  <c r="E169" i="3"/>
  <c r="D170" i="3" l="1"/>
  <c r="E170" i="3"/>
  <c r="D171" i="3" l="1"/>
  <c r="E171" i="3"/>
  <c r="D172" i="3" l="1"/>
  <c r="E172" i="3"/>
  <c r="D173" i="3" l="1"/>
  <c r="E173" i="3"/>
  <c r="D174" i="3" l="1"/>
  <c r="E174" i="3"/>
  <c r="D175" i="3" l="1"/>
  <c r="E175" i="3"/>
  <c r="D176" i="3" l="1"/>
  <c r="E176" i="3"/>
  <c r="D177" i="3" l="1"/>
  <c r="E177" i="3"/>
  <c r="D178" i="3" l="1"/>
  <c r="E178" i="3"/>
  <c r="D179" i="3" l="1"/>
  <c r="E179" i="3"/>
  <c r="D180" i="3" l="1"/>
  <c r="E180" i="3"/>
  <c r="D181" i="3" l="1"/>
  <c r="E181" i="3"/>
  <c r="D182" i="3" l="1"/>
  <c r="E182" i="3"/>
  <c r="D183" i="3" l="1"/>
  <c r="E183" i="3"/>
  <c r="D184" i="3" l="1"/>
  <c r="E184" i="3"/>
  <c r="D185" i="3" l="1"/>
  <c r="E185" i="3"/>
  <c r="D186" i="3" l="1"/>
  <c r="E186" i="3"/>
  <c r="D187" i="3" l="1"/>
  <c r="E187" i="3"/>
  <c r="D188" i="3" l="1"/>
  <c r="E188" i="3"/>
  <c r="D189" i="3" l="1"/>
  <c r="E189" i="3"/>
  <c r="D190" i="3" l="1"/>
  <c r="E190" i="3"/>
  <c r="D191" i="3" l="1"/>
  <c r="E191" i="3"/>
  <c r="D192" i="3" l="1"/>
  <c r="E192" i="3"/>
  <c r="D193" i="3" l="1"/>
  <c r="E193" i="3"/>
  <c r="D194" i="3" l="1"/>
  <c r="E194" i="3"/>
  <c r="D195" i="3" l="1"/>
  <c r="E195" i="3"/>
  <c r="D196" i="3" l="1"/>
  <c r="E196" i="3"/>
  <c r="D197" i="3" l="1"/>
  <c r="E197" i="3"/>
  <c r="D198" i="3" l="1"/>
  <c r="E198" i="3"/>
  <c r="D199" i="3" l="1"/>
  <c r="E199" i="3"/>
  <c r="D200" i="3" l="1"/>
  <c r="E200" i="3"/>
  <c r="D201" i="3" l="1"/>
  <c r="E201" i="3"/>
  <c r="D202" i="3" l="1"/>
  <c r="E202" i="3"/>
  <c r="D203" i="3" l="1"/>
  <c r="E203" i="3"/>
  <c r="D204" i="3" l="1"/>
  <c r="E204" i="3"/>
  <c r="D205" i="3" l="1"/>
  <c r="E205" i="3"/>
  <c r="D206" i="3" l="1"/>
  <c r="E206" i="3"/>
  <c r="D207" i="3" l="1"/>
  <c r="E207" i="3"/>
  <c r="D208" i="3" l="1"/>
  <c r="E208" i="3"/>
  <c r="D209" i="3" l="1"/>
  <c r="E209" i="3"/>
  <c r="D210" i="3" l="1"/>
  <c r="E210" i="3"/>
  <c r="D211" i="3" l="1"/>
  <c r="E211" i="3"/>
  <c r="D212" i="3" l="1"/>
  <c r="E212" i="3"/>
  <c r="D213" i="3" l="1"/>
  <c r="E213" i="3"/>
  <c r="D214" i="3" l="1"/>
  <c r="E214" i="3"/>
  <c r="D215" i="3" l="1"/>
  <c r="E215" i="3"/>
  <c r="D216" i="3" l="1"/>
  <c r="E216" i="3"/>
  <c r="D217" i="3" l="1"/>
  <c r="E217" i="3"/>
  <c r="F214" i="3" l="1"/>
  <c r="D218" i="3"/>
  <c r="E218" i="3"/>
  <c r="G214" i="3"/>
  <c r="F213" i="3" l="1"/>
  <c r="F212" i="3" s="1"/>
  <c r="D219" i="3"/>
  <c r="E219" i="3"/>
  <c r="F211" i="3" l="1"/>
  <c r="D220" i="3"/>
  <c r="G212" i="3"/>
  <c r="E220" i="3"/>
  <c r="G213" i="3"/>
  <c r="F210" i="3" l="1"/>
  <c r="D221" i="3"/>
  <c r="E221" i="3"/>
  <c r="G211" i="3"/>
  <c r="F209" i="3" l="1"/>
  <c r="D222" i="3"/>
  <c r="E222" i="3"/>
  <c r="G210" i="3"/>
  <c r="F208" i="3" l="1"/>
  <c r="D223" i="3"/>
  <c r="E223" i="3"/>
  <c r="G209" i="3"/>
  <c r="F207" i="3" l="1"/>
  <c r="D224" i="3"/>
  <c r="E224" i="3"/>
  <c r="G208" i="3"/>
  <c r="F206" i="3" l="1"/>
  <c r="D225" i="3"/>
  <c r="E225" i="3"/>
  <c r="G207" i="3"/>
  <c r="F205" i="3" l="1"/>
  <c r="D226" i="3"/>
  <c r="E226" i="3"/>
  <c r="G206" i="3"/>
  <c r="F204" i="3" l="1"/>
  <c r="D227" i="3"/>
  <c r="G205" i="3"/>
  <c r="E227" i="3"/>
  <c r="F203" i="3" l="1"/>
  <c r="D228" i="3"/>
  <c r="F152" i="3"/>
  <c r="G204" i="3"/>
  <c r="E228" i="3"/>
  <c r="F202" i="3" l="1"/>
  <c r="D229" i="3"/>
  <c r="F151" i="3"/>
  <c r="E229" i="3"/>
  <c r="G152" i="3"/>
  <c r="G203" i="3"/>
  <c r="F201" i="3" l="1"/>
  <c r="D230" i="3"/>
  <c r="F150" i="3"/>
  <c r="G202" i="3"/>
  <c r="E230" i="3"/>
  <c r="G151" i="3"/>
  <c r="F200" i="3" l="1"/>
  <c r="D231" i="3"/>
  <c r="F149" i="3"/>
  <c r="G201" i="3"/>
  <c r="E231" i="3"/>
  <c r="G150" i="3"/>
  <c r="F199" i="3" l="1"/>
  <c r="D232" i="3"/>
  <c r="F148" i="3"/>
  <c r="G149" i="3"/>
  <c r="E232" i="3"/>
  <c r="G200" i="3"/>
  <c r="F198" i="3" l="1"/>
  <c r="D233" i="3"/>
  <c r="F147" i="3"/>
  <c r="G148" i="3"/>
  <c r="E233" i="3"/>
  <c r="G199" i="3"/>
  <c r="F197" i="3" l="1"/>
  <c r="D234" i="3"/>
  <c r="F146" i="3"/>
  <c r="G198" i="3"/>
  <c r="E234" i="3"/>
  <c r="G147" i="3"/>
  <c r="F196" i="3" l="1"/>
  <c r="D235" i="3"/>
  <c r="F145" i="3"/>
  <c r="E235" i="3"/>
  <c r="G146" i="3"/>
  <c r="G197" i="3"/>
  <c r="F195" i="3" l="1"/>
  <c r="D236" i="3"/>
  <c r="F144" i="3"/>
  <c r="G145" i="3"/>
  <c r="E236" i="3"/>
  <c r="G196" i="3"/>
  <c r="F194" i="3" l="1"/>
  <c r="D237" i="3"/>
  <c r="F143" i="3"/>
  <c r="G144" i="3"/>
  <c r="E237" i="3"/>
  <c r="G195" i="3"/>
  <c r="F193" i="3" l="1"/>
  <c r="D238" i="3"/>
  <c r="F142" i="3"/>
  <c r="G143" i="3"/>
  <c r="E238" i="3"/>
  <c r="G194" i="3"/>
  <c r="F192" i="3" l="1"/>
  <c r="D239" i="3"/>
  <c r="F141" i="3"/>
  <c r="G193" i="3"/>
  <c r="E239" i="3"/>
  <c r="G142" i="3"/>
  <c r="F191" i="3" l="1"/>
  <c r="D240" i="3"/>
  <c r="F140" i="3"/>
  <c r="E240" i="3"/>
  <c r="G141" i="3"/>
  <c r="G192" i="3"/>
  <c r="F190" i="3" l="1"/>
  <c r="D241" i="3"/>
  <c r="F139" i="3"/>
  <c r="G191" i="3"/>
  <c r="E241" i="3"/>
  <c r="G140" i="3"/>
  <c r="F189" i="3" l="1"/>
  <c r="D242" i="3"/>
  <c r="F138" i="3"/>
  <c r="G190" i="3"/>
  <c r="E242" i="3"/>
  <c r="G139" i="3"/>
  <c r="F188" i="3" l="1"/>
  <c r="D243" i="3"/>
  <c r="F137" i="3"/>
  <c r="G138" i="3"/>
  <c r="E243" i="3"/>
  <c r="G189" i="3"/>
  <c r="F187" i="3" l="1"/>
  <c r="D244" i="3"/>
  <c r="F136" i="3"/>
  <c r="G188" i="3"/>
  <c r="E244" i="3"/>
  <c r="G137" i="3"/>
  <c r="F186" i="3" l="1"/>
  <c r="D245" i="3"/>
  <c r="F135" i="3"/>
  <c r="G187" i="3"/>
  <c r="E245" i="3"/>
  <c r="G136" i="3"/>
  <c r="F185" i="3" l="1"/>
  <c r="D246" i="3"/>
  <c r="F134" i="3"/>
  <c r="E246" i="3"/>
  <c r="G186" i="3"/>
  <c r="G135" i="3"/>
  <c r="F184" i="3" l="1"/>
  <c r="D247" i="3"/>
  <c r="F133" i="3"/>
  <c r="G185" i="3"/>
  <c r="G134" i="3"/>
  <c r="E247" i="3"/>
  <c r="F183" i="3" l="1"/>
  <c r="D248" i="3"/>
  <c r="F132" i="3"/>
  <c r="G184" i="3"/>
  <c r="E248" i="3"/>
  <c r="G133" i="3"/>
  <c r="F182" i="3" l="1"/>
  <c r="D249" i="3"/>
  <c r="F131" i="3"/>
  <c r="G183" i="3"/>
  <c r="G132" i="3"/>
  <c r="E249" i="3"/>
  <c r="F181" i="3" l="1"/>
  <c r="D250" i="3"/>
  <c r="F130" i="3"/>
  <c r="E250" i="3"/>
  <c r="G182" i="3"/>
  <c r="G131" i="3"/>
  <c r="F180" i="3" l="1"/>
  <c r="D251" i="3"/>
  <c r="F129" i="3"/>
  <c r="G181" i="3"/>
  <c r="E251" i="3"/>
  <c r="G130" i="3"/>
  <c r="F179" i="3" l="1"/>
  <c r="D252" i="3"/>
  <c r="F128" i="3"/>
  <c r="G180" i="3"/>
  <c r="G129" i="3"/>
  <c r="E252" i="3"/>
  <c r="F178" i="3" l="1"/>
  <c r="D253" i="3"/>
  <c r="F127" i="3"/>
  <c r="G128" i="3"/>
  <c r="G179" i="3"/>
  <c r="E253" i="3"/>
  <c r="F177" i="3" l="1"/>
  <c r="F243" i="3"/>
  <c r="D254" i="3"/>
  <c r="F126" i="3"/>
  <c r="G127" i="3"/>
  <c r="E254" i="3"/>
  <c r="G178" i="3"/>
  <c r="F176" i="3" l="1"/>
  <c r="F242" i="3"/>
  <c r="D255" i="3"/>
  <c r="F125" i="3"/>
  <c r="G177" i="3"/>
  <c r="G126" i="3"/>
  <c r="E255" i="3"/>
  <c r="G243" i="3"/>
  <c r="F241" i="3" l="1"/>
  <c r="F175" i="3"/>
  <c r="D256" i="3"/>
  <c r="F124" i="3"/>
  <c r="G125" i="3"/>
  <c r="G176" i="3"/>
  <c r="E256" i="3"/>
  <c r="G242" i="3"/>
  <c r="F174" i="3" l="1"/>
  <c r="F240" i="3"/>
  <c r="D257" i="3"/>
  <c r="F123" i="3"/>
  <c r="G124" i="3"/>
  <c r="G175" i="3"/>
  <c r="E257" i="3"/>
  <c r="G241" i="3"/>
  <c r="F239" i="3" l="1"/>
  <c r="F173" i="3"/>
  <c r="D258" i="3"/>
  <c r="F122" i="3"/>
  <c r="G174" i="3"/>
  <c r="G123" i="3"/>
  <c r="E258" i="3"/>
  <c r="G240" i="3"/>
  <c r="F172" i="3" l="1"/>
  <c r="F238" i="3"/>
  <c r="D259" i="3"/>
  <c r="F121" i="3"/>
  <c r="G173" i="3"/>
  <c r="G239" i="3"/>
  <c r="E259" i="3"/>
  <c r="G122" i="3"/>
  <c r="F237" i="3" l="1"/>
  <c r="F171" i="3"/>
  <c r="D260" i="3"/>
  <c r="F120" i="3"/>
  <c r="G172" i="3"/>
  <c r="G238" i="3"/>
  <c r="E260" i="3"/>
  <c r="G121" i="3"/>
  <c r="F170" i="3" l="1"/>
  <c r="F236" i="3"/>
  <c r="D261" i="3"/>
  <c r="F119" i="3"/>
  <c r="G237" i="3"/>
  <c r="G171" i="3"/>
  <c r="E261" i="3"/>
  <c r="G120" i="3"/>
  <c r="F169" i="3" l="1"/>
  <c r="F235" i="3"/>
  <c r="D262" i="3"/>
  <c r="F118" i="3"/>
  <c r="G170" i="3"/>
  <c r="G119" i="3"/>
  <c r="E262" i="3"/>
  <c r="G236" i="3"/>
  <c r="F168" i="3" l="1"/>
  <c r="F234" i="3"/>
  <c r="D263" i="3"/>
  <c r="F117" i="3"/>
  <c r="E263" i="3"/>
  <c r="G169" i="3"/>
  <c r="G235" i="3"/>
  <c r="G118" i="3"/>
  <c r="F233" i="3" l="1"/>
  <c r="F167" i="3"/>
  <c r="D264" i="3"/>
  <c r="F116" i="3"/>
  <c r="G117" i="3"/>
  <c r="G168" i="3"/>
  <c r="G234" i="3"/>
  <c r="E264" i="3"/>
  <c r="F166" i="3" l="1"/>
  <c r="F232" i="3"/>
  <c r="D265" i="3"/>
  <c r="F115" i="3"/>
  <c r="E265" i="3"/>
  <c r="G167" i="3"/>
  <c r="G233" i="3"/>
  <c r="G116" i="3"/>
  <c r="F165" i="3" l="1"/>
  <c r="F231" i="3"/>
  <c r="D266" i="3"/>
  <c r="F114" i="3"/>
  <c r="E266" i="3"/>
  <c r="G166" i="3"/>
  <c r="G115" i="3"/>
  <c r="G232" i="3"/>
  <c r="F164" i="3" l="1"/>
  <c r="F230" i="3"/>
  <c r="D267" i="3"/>
  <c r="F113" i="3"/>
  <c r="E267" i="3"/>
  <c r="G165" i="3"/>
  <c r="G231" i="3"/>
  <c r="G114" i="3"/>
  <c r="F163" i="3" l="1"/>
  <c r="F229" i="3"/>
  <c r="D268" i="3"/>
  <c r="F112" i="3"/>
  <c r="G164" i="3"/>
  <c r="G230" i="3"/>
  <c r="E268" i="3"/>
  <c r="G113" i="3"/>
  <c r="F162" i="3" l="1"/>
  <c r="F228" i="3"/>
  <c r="D269" i="3"/>
  <c r="F111" i="3"/>
  <c r="G163" i="3"/>
  <c r="G229" i="3"/>
  <c r="E269" i="3"/>
  <c r="G112" i="3"/>
  <c r="F227" i="3" l="1"/>
  <c r="F161" i="3"/>
  <c r="D270" i="3"/>
  <c r="F110" i="3"/>
  <c r="G228" i="3"/>
  <c r="G162" i="3"/>
  <c r="E270" i="3"/>
  <c r="G111" i="3"/>
  <c r="F160" i="3" l="1"/>
  <c r="F226" i="3"/>
  <c r="D271" i="3"/>
  <c r="F109" i="3"/>
  <c r="G110" i="3"/>
  <c r="G161" i="3"/>
  <c r="E271" i="3"/>
  <c r="G227" i="3"/>
  <c r="F159" i="3" l="1"/>
  <c r="F225" i="3"/>
  <c r="D272" i="3"/>
  <c r="F108" i="3"/>
  <c r="G109" i="3"/>
  <c r="G160" i="3"/>
  <c r="E272" i="3"/>
  <c r="G226" i="3"/>
  <c r="F158" i="3" l="1"/>
  <c r="F224" i="3"/>
  <c r="D273" i="3"/>
  <c r="F107" i="3"/>
  <c r="G159" i="3"/>
  <c r="G225" i="3"/>
  <c r="E273" i="3"/>
  <c r="G108" i="3"/>
  <c r="F223" i="3" l="1"/>
  <c r="F157" i="3"/>
  <c r="D274" i="3"/>
  <c r="F106" i="3"/>
  <c r="G107" i="3"/>
  <c r="G224" i="3"/>
  <c r="E274" i="3"/>
  <c r="G158" i="3"/>
  <c r="F222" i="3" l="1"/>
  <c r="F156" i="3"/>
  <c r="D275" i="3"/>
  <c r="F105" i="3"/>
  <c r="G223" i="3"/>
  <c r="G157" i="3"/>
  <c r="E275" i="3"/>
  <c r="G106" i="3"/>
  <c r="F221" i="3" l="1"/>
  <c r="F155" i="3"/>
  <c r="D276" i="3"/>
  <c r="F104" i="3"/>
  <c r="G222" i="3"/>
  <c r="G156" i="3"/>
  <c r="E276" i="3"/>
  <c r="G105" i="3"/>
  <c r="F220" i="3" l="1"/>
  <c r="F154" i="3"/>
  <c r="F153" i="3" s="1"/>
  <c r="D277" i="3"/>
  <c r="F103" i="3"/>
  <c r="G153" i="3"/>
  <c r="G104" i="3"/>
  <c r="G221" i="3"/>
  <c r="E277" i="3"/>
  <c r="G155" i="3"/>
  <c r="G154" i="3"/>
  <c r="F219" i="3" l="1"/>
  <c r="D278" i="3"/>
  <c r="F102" i="3"/>
  <c r="E278" i="3"/>
  <c r="G103" i="3"/>
  <c r="G220" i="3"/>
  <c r="F218" i="3" l="1"/>
  <c r="D279" i="3"/>
  <c r="F101" i="3"/>
  <c r="G102" i="3"/>
  <c r="G219" i="3"/>
  <c r="E279" i="3"/>
  <c r="F217" i="3" l="1"/>
  <c r="F216" i="3" s="1"/>
  <c r="D280" i="3"/>
  <c r="F100" i="3"/>
  <c r="G216" i="3"/>
  <c r="G218" i="3"/>
  <c r="G217" i="3"/>
  <c r="G101" i="3"/>
  <c r="E280" i="3"/>
  <c r="F215" i="3" l="1"/>
  <c r="D281" i="3"/>
  <c r="F99" i="3"/>
  <c r="G215" i="3"/>
  <c r="E281" i="3"/>
  <c r="G100" i="3"/>
  <c r="F276" i="3" l="1"/>
  <c r="D282" i="3"/>
  <c r="F98" i="3"/>
  <c r="G276" i="3"/>
  <c r="G99" i="3"/>
  <c r="E282" i="3"/>
  <c r="F275" i="3" l="1"/>
  <c r="F274" i="3" s="1"/>
  <c r="D283" i="3"/>
  <c r="F97" i="3"/>
  <c r="E283" i="3"/>
  <c r="G98" i="3"/>
  <c r="F273" i="3" l="1"/>
  <c r="D284" i="3"/>
  <c r="F96" i="3"/>
  <c r="G274" i="3"/>
  <c r="G275" i="3"/>
  <c r="G97" i="3"/>
  <c r="E284" i="3"/>
  <c r="F272" i="3" l="1"/>
  <c r="D285" i="3"/>
  <c r="F95" i="3"/>
  <c r="G96" i="3"/>
  <c r="G273" i="3"/>
  <c r="E285" i="3"/>
  <c r="F271" i="3" l="1"/>
  <c r="D286" i="3"/>
  <c r="F94" i="3"/>
  <c r="E286" i="3"/>
  <c r="G272" i="3"/>
  <c r="G95" i="3"/>
  <c r="F270" i="3" l="1"/>
  <c r="D287" i="3"/>
  <c r="F93" i="3"/>
  <c r="E287" i="3"/>
  <c r="G271" i="3"/>
  <c r="G94" i="3"/>
  <c r="F269" i="3" l="1"/>
  <c r="D288" i="3"/>
  <c r="F92" i="3"/>
  <c r="G270" i="3"/>
  <c r="G93" i="3"/>
  <c r="E288" i="3"/>
  <c r="F268" i="3" l="1"/>
  <c r="D289" i="3"/>
  <c r="F91" i="3"/>
  <c r="E289" i="3"/>
  <c r="G269" i="3"/>
  <c r="G92" i="3"/>
  <c r="F267" i="3" l="1"/>
  <c r="D290" i="3"/>
  <c r="F90" i="3"/>
  <c r="E290" i="3"/>
  <c r="G91" i="3"/>
  <c r="G268" i="3"/>
  <c r="F266" i="3" l="1"/>
  <c r="D291" i="3"/>
  <c r="F89" i="3"/>
  <c r="E291" i="3"/>
  <c r="G90" i="3"/>
  <c r="G267" i="3"/>
  <c r="F265" i="3" l="1"/>
  <c r="D292" i="3"/>
  <c r="F88" i="3"/>
  <c r="E292" i="3"/>
  <c r="G89" i="3"/>
  <c r="G266" i="3"/>
  <c r="F264" i="3" l="1"/>
  <c r="D293" i="3"/>
  <c r="F87" i="3"/>
  <c r="F86" i="3" s="1"/>
  <c r="F85" i="3" s="1"/>
  <c r="F2" i="3"/>
  <c r="G88" i="3"/>
  <c r="E293" i="3"/>
  <c r="G265" i="3"/>
  <c r="G2" i="3"/>
  <c r="F263" i="3" l="1"/>
  <c r="F84" i="3"/>
  <c r="D294" i="3"/>
  <c r="G86" i="3"/>
  <c r="G87" i="3"/>
  <c r="G264" i="3"/>
  <c r="G85" i="3"/>
  <c r="E294" i="3"/>
  <c r="F83" i="3" l="1"/>
  <c r="F262" i="3"/>
  <c r="D295" i="3"/>
  <c r="E295" i="3"/>
  <c r="G263" i="3"/>
  <c r="G84" i="3"/>
  <c r="F261" i="3" l="1"/>
  <c r="F82" i="3"/>
  <c r="D296" i="3"/>
  <c r="E296" i="3"/>
  <c r="G262" i="3"/>
  <c r="G83" i="3"/>
  <c r="F81" i="3" l="1"/>
  <c r="F260" i="3"/>
  <c r="D297" i="3"/>
  <c r="E297" i="3"/>
  <c r="G261" i="3"/>
  <c r="G82" i="3"/>
  <c r="F259" i="3" l="1"/>
  <c r="F80" i="3"/>
  <c r="D298" i="3"/>
  <c r="E298" i="3"/>
  <c r="G81" i="3"/>
  <c r="G260" i="3"/>
  <c r="F79" i="3" l="1"/>
  <c r="F258" i="3"/>
  <c r="D299" i="3"/>
  <c r="G80" i="3"/>
  <c r="G259" i="3"/>
  <c r="E299" i="3"/>
  <c r="F257" i="3" l="1"/>
  <c r="F78" i="3"/>
  <c r="D300" i="3"/>
  <c r="G79" i="3"/>
  <c r="E300" i="3"/>
  <c r="G258" i="3"/>
  <c r="F77" i="3" l="1"/>
  <c r="F256" i="3"/>
  <c r="D301" i="3"/>
  <c r="G257" i="3"/>
  <c r="G78" i="3"/>
  <c r="E301" i="3"/>
  <c r="F255" i="3" l="1"/>
  <c r="F76" i="3"/>
  <c r="D302" i="3"/>
  <c r="G256" i="3"/>
  <c r="G77" i="3"/>
  <c r="E302" i="3"/>
  <c r="F75" i="3" l="1"/>
  <c r="F254" i="3"/>
  <c r="D303" i="3"/>
  <c r="G76" i="3"/>
  <c r="G255" i="3"/>
  <c r="E303" i="3"/>
  <c r="F74" i="3" l="1"/>
  <c r="F253" i="3"/>
  <c r="D304" i="3"/>
  <c r="G254" i="3"/>
  <c r="G75" i="3"/>
  <c r="E304" i="3"/>
  <c r="F252" i="3" l="1"/>
  <c r="F73" i="3"/>
  <c r="D305" i="3"/>
  <c r="G253" i="3"/>
  <c r="G74" i="3"/>
  <c r="E305" i="3"/>
  <c r="F251" i="3" l="1"/>
  <c r="F72" i="3"/>
  <c r="D306" i="3"/>
  <c r="G252" i="3"/>
  <c r="G73" i="3"/>
  <c r="E306" i="3"/>
  <c r="F250" i="3" l="1"/>
  <c r="F71" i="3"/>
  <c r="D307" i="3"/>
  <c r="G72" i="3"/>
  <c r="G251" i="3"/>
  <c r="E307" i="3"/>
  <c r="F70" i="3" l="1"/>
  <c r="F249" i="3"/>
  <c r="D308" i="3"/>
  <c r="G71" i="3"/>
  <c r="G250" i="3"/>
  <c r="E308" i="3"/>
  <c r="F248" i="3" l="1"/>
  <c r="F69" i="3"/>
  <c r="D309" i="3"/>
  <c r="E309" i="3"/>
  <c r="G249" i="3"/>
  <c r="G70" i="3"/>
  <c r="F247" i="3" l="1"/>
  <c r="F68" i="3"/>
  <c r="F304" i="3"/>
  <c r="F303" i="3" s="1"/>
  <c r="D310" i="3"/>
  <c r="G248" i="3"/>
  <c r="G69" i="3"/>
  <c r="E310" i="3"/>
  <c r="F302" i="3" l="1"/>
  <c r="F67" i="3"/>
  <c r="F246" i="3"/>
  <c r="F245" i="3" s="1"/>
  <c r="D311" i="3"/>
  <c r="G245" i="3"/>
  <c r="G304" i="3"/>
  <c r="G68" i="3"/>
  <c r="G303" i="3"/>
  <c r="E311" i="3"/>
  <c r="G247" i="3"/>
  <c r="G246" i="3"/>
  <c r="F244" i="3" l="1"/>
  <c r="F66" i="3"/>
  <c r="F301" i="3"/>
  <c r="D312" i="3"/>
  <c r="G244" i="3"/>
  <c r="G67" i="3"/>
  <c r="G302" i="3"/>
  <c r="E312" i="3"/>
  <c r="F300" i="3" l="1"/>
  <c r="F65" i="3"/>
  <c r="F64" i="3" s="1"/>
  <c r="D313" i="3"/>
  <c r="G301" i="3"/>
  <c r="E313" i="3"/>
  <c r="G66" i="3"/>
  <c r="G64" i="3"/>
  <c r="F299" i="3" l="1"/>
  <c r="D314" i="3"/>
  <c r="G65" i="3"/>
  <c r="E314" i="3"/>
  <c r="G300" i="3"/>
  <c r="F298" i="3" l="1"/>
  <c r="D315" i="3"/>
  <c r="E315" i="3"/>
  <c r="G299" i="3"/>
  <c r="F297" i="3" l="1"/>
  <c r="D316" i="3"/>
  <c r="E316" i="3"/>
  <c r="G298" i="3"/>
  <c r="F296" i="3" l="1"/>
  <c r="D317" i="3"/>
  <c r="E317" i="3"/>
  <c r="G297" i="3"/>
  <c r="F295" i="3" l="1"/>
  <c r="D318" i="3"/>
  <c r="E318" i="3"/>
  <c r="G296" i="3"/>
  <c r="F294" i="3" l="1"/>
  <c r="D319" i="3"/>
  <c r="G295" i="3"/>
  <c r="E319" i="3"/>
  <c r="F293" i="3" l="1"/>
  <c r="D320" i="3"/>
  <c r="E320" i="3"/>
  <c r="G294" i="3"/>
  <c r="F292" i="3" l="1"/>
  <c r="D321" i="3"/>
  <c r="E321" i="3"/>
  <c r="G293" i="3"/>
  <c r="F291" i="3" l="1"/>
  <c r="D322" i="3"/>
  <c r="E322" i="3"/>
  <c r="G292" i="3"/>
  <c r="F290" i="3" l="1"/>
  <c r="D323" i="3"/>
  <c r="E323" i="3"/>
  <c r="G291" i="3"/>
  <c r="F289" i="3" l="1"/>
  <c r="D324" i="3"/>
  <c r="E324" i="3"/>
  <c r="G290" i="3"/>
  <c r="F288" i="3" l="1"/>
  <c r="D325" i="3"/>
  <c r="E325" i="3"/>
  <c r="G289" i="3"/>
  <c r="F287" i="3" l="1"/>
  <c r="D326" i="3"/>
  <c r="E326" i="3"/>
  <c r="G288" i="3"/>
  <c r="F286" i="3" l="1"/>
  <c r="D327" i="3"/>
  <c r="E327" i="3"/>
  <c r="G287" i="3"/>
  <c r="F285" i="3" l="1"/>
  <c r="D328" i="3"/>
  <c r="E328" i="3"/>
  <c r="G286" i="3"/>
  <c r="F284" i="3" l="1"/>
  <c r="D329" i="3"/>
  <c r="G285" i="3"/>
  <c r="E329" i="3"/>
  <c r="F283" i="3" l="1"/>
  <c r="D330" i="3"/>
  <c r="E330" i="3"/>
  <c r="G284" i="3"/>
  <c r="F282" i="3" l="1"/>
  <c r="D331" i="3"/>
  <c r="G283" i="3"/>
  <c r="E331" i="3"/>
  <c r="F281" i="3" l="1"/>
  <c r="D332" i="3"/>
  <c r="E332" i="3"/>
  <c r="G282" i="3"/>
  <c r="F280" i="3" l="1"/>
  <c r="D333" i="3"/>
  <c r="E333" i="3"/>
  <c r="G281" i="3"/>
  <c r="F279" i="3" l="1"/>
  <c r="D334" i="3"/>
  <c r="G280" i="3"/>
  <c r="E334" i="3"/>
  <c r="F278" i="3" l="1"/>
  <c r="D335" i="3"/>
  <c r="E335" i="3"/>
  <c r="G279" i="3"/>
  <c r="F277" i="3" l="1"/>
  <c r="D336" i="3"/>
  <c r="G277" i="3"/>
  <c r="E336" i="3"/>
  <c r="G278" i="3"/>
  <c r="D337" i="3" l="1"/>
  <c r="E337" i="3"/>
  <c r="D338" i="3" l="1"/>
  <c r="E338" i="3"/>
  <c r="D339" i="3" l="1"/>
  <c r="E339" i="3"/>
  <c r="F334" i="3" l="1"/>
  <c r="D340" i="3"/>
  <c r="E340" i="3"/>
  <c r="F333" i="3" l="1"/>
  <c r="D341" i="3"/>
  <c r="E341" i="3"/>
  <c r="G334" i="3"/>
  <c r="F332" i="3" l="1"/>
  <c r="D342" i="3"/>
  <c r="E342" i="3"/>
  <c r="G333" i="3"/>
  <c r="F331" i="3" l="1"/>
  <c r="D343" i="3"/>
  <c r="E343" i="3"/>
  <c r="G332" i="3"/>
  <c r="F330" i="3" l="1"/>
  <c r="D344" i="3"/>
  <c r="E344" i="3"/>
  <c r="G331" i="3"/>
  <c r="F329" i="3" l="1"/>
  <c r="D345" i="3"/>
  <c r="E345" i="3"/>
  <c r="G330" i="3"/>
  <c r="F328" i="3" l="1"/>
  <c r="D346" i="3"/>
  <c r="E346" i="3"/>
  <c r="G329" i="3"/>
  <c r="F327" i="3" l="1"/>
  <c r="D347" i="3"/>
  <c r="E347" i="3"/>
  <c r="G328" i="3"/>
  <c r="F326" i="3" l="1"/>
  <c r="D348" i="3"/>
  <c r="E348" i="3"/>
  <c r="G327" i="3"/>
  <c r="F325" i="3" l="1"/>
  <c r="D349" i="3"/>
  <c r="E349" i="3"/>
  <c r="G326" i="3"/>
  <c r="F324" i="3" l="1"/>
  <c r="D350" i="3"/>
  <c r="E350" i="3"/>
  <c r="G325" i="3"/>
  <c r="F323" i="3" l="1"/>
  <c r="D351" i="3"/>
  <c r="E351" i="3"/>
  <c r="G324" i="3"/>
  <c r="F322" i="3" l="1"/>
  <c r="D352" i="3"/>
  <c r="E352" i="3"/>
  <c r="G323" i="3"/>
  <c r="F321" i="3" l="1"/>
  <c r="D353" i="3"/>
  <c r="E353" i="3"/>
  <c r="G322" i="3"/>
  <c r="F320" i="3" l="1"/>
  <c r="D354" i="3"/>
  <c r="E354" i="3"/>
  <c r="G321" i="3"/>
  <c r="F319" i="3" l="1"/>
  <c r="D355" i="3"/>
  <c r="E355" i="3"/>
  <c r="G320" i="3"/>
  <c r="F318" i="3" l="1"/>
  <c r="D356" i="3"/>
  <c r="E356" i="3"/>
  <c r="G319" i="3"/>
  <c r="F317" i="3" l="1"/>
  <c r="D357" i="3"/>
  <c r="E357" i="3"/>
  <c r="G318" i="3"/>
  <c r="F316" i="3" l="1"/>
  <c r="D358" i="3"/>
  <c r="E358" i="3"/>
  <c r="G317" i="3"/>
  <c r="F315" i="3" l="1"/>
  <c r="D359" i="3"/>
  <c r="E359" i="3"/>
  <c r="G316" i="3"/>
  <c r="F314" i="3" l="1"/>
  <c r="D360" i="3"/>
  <c r="E360" i="3"/>
  <c r="G315" i="3"/>
  <c r="F313" i="3" l="1"/>
  <c r="D361" i="3"/>
  <c r="E361" i="3"/>
  <c r="G314" i="3"/>
  <c r="F312" i="3" l="1"/>
  <c r="D362" i="3"/>
  <c r="E362" i="3"/>
  <c r="G313" i="3"/>
  <c r="F311" i="3" l="1"/>
  <c r="D363" i="3"/>
  <c r="E363" i="3"/>
  <c r="G312" i="3"/>
  <c r="F310" i="3" l="1"/>
  <c r="D364" i="3"/>
  <c r="E364" i="3"/>
  <c r="G311" i="3"/>
  <c r="F309" i="3" l="1"/>
  <c r="D365" i="3"/>
  <c r="E365" i="3"/>
  <c r="G310" i="3"/>
  <c r="F308" i="3" l="1"/>
  <c r="F307" i="3" s="1"/>
  <c r="D366" i="3"/>
  <c r="E366" i="3"/>
  <c r="G309" i="3"/>
  <c r="G307" i="3"/>
  <c r="F306" i="3" l="1"/>
  <c r="D367" i="3"/>
  <c r="E367" i="3"/>
  <c r="G308" i="3"/>
  <c r="G306" i="3"/>
  <c r="F305" i="3" l="1"/>
  <c r="D368" i="3"/>
  <c r="E368" i="3"/>
  <c r="G305" i="3"/>
  <c r="D369" i="3" l="1"/>
  <c r="E369" i="3"/>
  <c r="D370" i="3" l="1"/>
  <c r="E370" i="3"/>
  <c r="D371" i="3" l="1"/>
  <c r="E371" i="3"/>
  <c r="D372" i="3" l="1"/>
  <c r="E372" i="3"/>
  <c r="D373" i="3" l="1"/>
  <c r="E373" i="3"/>
  <c r="F373" i="3" l="1"/>
  <c r="F372" i="3" l="1"/>
  <c r="G373" i="3"/>
  <c r="F371" i="3" l="1"/>
  <c r="G372" i="3"/>
  <c r="F370" i="3" l="1"/>
  <c r="F369" i="3" s="1"/>
  <c r="G371" i="3"/>
  <c r="G369" i="3"/>
  <c r="F368" i="3" l="1"/>
  <c r="G370" i="3"/>
  <c r="G368" i="3"/>
  <c r="F367" i="3" l="1"/>
  <c r="F366" i="3" s="1"/>
  <c r="F365" i="3" l="1"/>
  <c r="G366" i="3"/>
  <c r="G367" i="3"/>
  <c r="F364" i="3" l="1"/>
  <c r="G365" i="3"/>
  <c r="F363" i="3" l="1"/>
  <c r="G364" i="3"/>
  <c r="F362" i="3" l="1"/>
  <c r="G363" i="3"/>
  <c r="F361" i="3" l="1"/>
  <c r="G362" i="3"/>
  <c r="F360" i="3" l="1"/>
  <c r="G361" i="3"/>
  <c r="F359" i="3" l="1"/>
  <c r="G360" i="3"/>
  <c r="F358" i="3" l="1"/>
  <c r="G359" i="3"/>
  <c r="F357" i="3" l="1"/>
  <c r="G358" i="3"/>
  <c r="F356" i="3" l="1"/>
  <c r="G357" i="3"/>
  <c r="F355" i="3" l="1"/>
  <c r="G356" i="3"/>
  <c r="F354" i="3" l="1"/>
  <c r="G355" i="3"/>
  <c r="F353" i="3" l="1"/>
  <c r="G354" i="3"/>
  <c r="F352" i="3" l="1"/>
  <c r="G353" i="3"/>
  <c r="F351" i="3" l="1"/>
  <c r="G352" i="3"/>
  <c r="F350" i="3" l="1"/>
  <c r="G351" i="3"/>
  <c r="F349" i="3" l="1"/>
  <c r="G350" i="3"/>
  <c r="F348" i="3" l="1"/>
  <c r="G349" i="3"/>
  <c r="F347" i="3" l="1"/>
  <c r="G348" i="3"/>
  <c r="F346" i="3" l="1"/>
  <c r="G347" i="3"/>
  <c r="F345" i="3" l="1"/>
  <c r="G346" i="3"/>
  <c r="F344" i="3" l="1"/>
  <c r="G345" i="3"/>
  <c r="F343" i="3" l="1"/>
  <c r="G344" i="3"/>
  <c r="F342" i="3" l="1"/>
  <c r="G343" i="3"/>
  <c r="F341" i="3" l="1"/>
  <c r="G342" i="3"/>
  <c r="F340" i="3" l="1"/>
  <c r="G341" i="3"/>
  <c r="F339" i="3" l="1"/>
  <c r="G340" i="3"/>
  <c r="F338" i="3" l="1"/>
  <c r="F337" i="3" s="1"/>
  <c r="G339" i="3"/>
  <c r="G337" i="3"/>
  <c r="F336" i="3" l="1"/>
  <c r="F335" i="3" s="1"/>
  <c r="N47" i="3"/>
  <c r="M47" i="3"/>
  <c r="G335" i="3"/>
  <c r="G338" i="3"/>
  <c r="G336" i="3"/>
  <c r="M48" i="3" l="1"/>
  <c r="N48" i="3"/>
</calcChain>
</file>

<file path=xl/sharedStrings.xml><?xml version="1.0" encoding="utf-8"?>
<sst xmlns="http://schemas.openxmlformats.org/spreadsheetml/2006/main" count="3423" uniqueCount="2148">
  <si>
    <t>LAST</t>
  </si>
  <si>
    <t>ISIN</t>
  </si>
  <si>
    <t>Эмитент</t>
  </si>
  <si>
    <t>issuer</t>
  </si>
  <si>
    <t>Сектор</t>
  </si>
  <si>
    <t>Last</t>
  </si>
  <si>
    <t>Outlook</t>
  </si>
  <si>
    <t>Change</t>
  </si>
  <si>
    <t>Time</t>
  </si>
  <si>
    <t>Role</t>
  </si>
  <si>
    <t>EXP-Note-Nsc</t>
  </si>
  <si>
    <t>MIRA-I-Corp-LT-Nsc</t>
  </si>
  <si>
    <t>MDS-I-Corp-LT-Isc</t>
  </si>
  <si>
    <t>S&amp;P-I-Cr&amp;D-LT-Isc-Icur</t>
  </si>
  <si>
    <t>S&amp;P-I-Cr&amp;D-LT-Isc-Ncur</t>
  </si>
  <si>
    <t>S&amp;P-I-Cr&amp;D-LT-Nsc</t>
  </si>
  <si>
    <t>MDS-I-Cr&amp;D-LT-Isc-Ncur</t>
  </si>
  <si>
    <t>MIRA-I-Cr&amp;D-LT-Nsc</t>
  </si>
  <si>
    <t>EXP-C-Cr&amp;D-Nsc</t>
  </si>
  <si>
    <t>FCH-I-Dflt-LT-Isc-Icur</t>
  </si>
  <si>
    <t>MDS-I-Dflt-Isc</t>
  </si>
  <si>
    <t>IFX-I-Cr&amp;D-LT-Isc</t>
  </si>
  <si>
    <t>IFX-I-Cr&amp;D-LT-Nsc</t>
  </si>
  <si>
    <t>IFX-I-Cr&amp;D-LT-Isc-max</t>
  </si>
  <si>
    <t>IFX-I-Cr&amp;D-LT-Nsc-max</t>
  </si>
  <si>
    <t>Страна риска</t>
  </si>
  <si>
    <t>Кол-во выпусков облигаций в обращении</t>
  </si>
  <si>
    <t>Кредитный рейтинг эмиссии</t>
  </si>
  <si>
    <t>Эксперт РА</t>
  </si>
  <si>
    <t>Информация по выпуску</t>
  </si>
  <si>
    <t>Дата выпуска</t>
  </si>
  <si>
    <t>y</t>
  </si>
  <si>
    <t>Дата погашения</t>
  </si>
  <si>
    <t>Купон, %</t>
  </si>
  <si>
    <t>Кол-во купонных платежей в год</t>
  </si>
  <si>
    <t>с</t>
  </si>
  <si>
    <t>по</t>
  </si>
  <si>
    <t xml:space="preserve">Анализируемый период </t>
  </si>
  <si>
    <t>Активность рынка</t>
  </si>
  <si>
    <t>Значения</t>
  </si>
  <si>
    <t>Пороговые значения</t>
  </si>
  <si>
    <t>Кол-во торговых дней</t>
  </si>
  <si>
    <t>Кол-во сделок</t>
  </si>
  <si>
    <t>Объем торгов/объем выпуска в обращении</t>
  </si>
  <si>
    <t>Наличие торгов в течение последних 30 календарных дней</t>
  </si>
  <si>
    <t>выполняется</t>
  </si>
  <si>
    <t>да</t>
  </si>
  <si>
    <t>Источник информации</t>
  </si>
  <si>
    <t>Рыночная котировка, % от номинала</t>
  </si>
  <si>
    <t>Индикаторы рыночного риска</t>
  </si>
  <si>
    <t>DV01</t>
  </si>
  <si>
    <t>Сравнение с облигациями-аналогами</t>
  </si>
  <si>
    <t>Begin Date</t>
  </si>
  <si>
    <t>End Date</t>
  </si>
  <si>
    <t>TIME</t>
  </si>
  <si>
    <t>LAST_YIELD</t>
  </si>
  <si>
    <t>SHORTNAME_RUS</t>
  </si>
  <si>
    <t>FULLNAME_RUS</t>
  </si>
  <si>
    <t>MARKET_NAME_RUS_NRD</t>
  </si>
  <si>
    <t>Дата</t>
  </si>
  <si>
    <t>Первое число месяца</t>
  </si>
  <si>
    <t>Дата выгрузки</t>
  </si>
  <si>
    <t>G-spread</t>
  </si>
  <si>
    <t>Первое число предыдущего месяца</t>
  </si>
  <si>
    <t>Date</t>
  </si>
  <si>
    <t>DURATION</t>
  </si>
  <si>
    <t>Date Calc</t>
  </si>
  <si>
    <t>D, YEAR</t>
  </si>
  <si>
    <t>G-Curve, %</t>
  </si>
  <si>
    <t>G-spread, b.p.</t>
  </si>
  <si>
    <t>Fitch Ratings</t>
  </si>
  <si>
    <t>Эмиссия</t>
  </si>
  <si>
    <t>АКРА</t>
  </si>
  <si>
    <t>A.M. Best Company</t>
  </si>
  <si>
    <t>AK&amp;M</t>
  </si>
  <si>
    <t>Dagong</t>
  </si>
  <si>
    <t>Interfax</t>
  </si>
  <si>
    <t>JCR</t>
  </si>
  <si>
    <t>NRA</t>
  </si>
  <si>
    <t>RIA Rating</t>
  </si>
  <si>
    <t>RusRating</t>
  </si>
  <si>
    <t>DBRS</t>
  </si>
  <si>
    <t>OECD</t>
  </si>
  <si>
    <t>AMB-Bnd-Isc</t>
  </si>
  <si>
    <t>AKM-Bnd</t>
  </si>
  <si>
    <t>AKM-Fund</t>
  </si>
  <si>
    <t>AKM-MCP</t>
  </si>
  <si>
    <t>AKRA-Bnd-I-Nsc</t>
  </si>
  <si>
    <t>AKRA-Bnd-Nsc</t>
  </si>
  <si>
    <t>AKRA-BndG-Nsc</t>
  </si>
  <si>
    <t>AKRA-BndS-Nsc</t>
  </si>
  <si>
    <t>AKRA-Bnd-Sf-Nsc</t>
  </si>
  <si>
    <t>DGN-Bnd-LT-Isc-Ncur</t>
  </si>
  <si>
    <t>DGN-Bnd-LT-Isc-Icur</t>
  </si>
  <si>
    <t>DGN-Bnd-ShT-Isc-Icur</t>
  </si>
  <si>
    <t>DGN-Bnd-ShT-Isc-Ncur</t>
  </si>
  <si>
    <t>EXP-Note-S-Nsc</t>
  </si>
  <si>
    <t>EXP-Bnd-Sf-Nsc</t>
  </si>
  <si>
    <t>EXP-NoteS-Nsc</t>
  </si>
  <si>
    <t>EXP-Bnd-Isc</t>
  </si>
  <si>
    <t>EXP-Bnd-Nsc</t>
  </si>
  <si>
    <t>EXP-MCP-Nsc</t>
  </si>
  <si>
    <t>FCH-Bnd-Isc-Ncur</t>
  </si>
  <si>
    <t>FCH-Bnd-Isc</t>
  </si>
  <si>
    <t>FCH-Bnd-Nsc</t>
  </si>
  <si>
    <t>FCH-Bnd-KZsc</t>
  </si>
  <si>
    <t>FCH-Bnd-UAsc</t>
  </si>
  <si>
    <t>FCH-Bnd-RR</t>
  </si>
  <si>
    <t>FCH-Bnd-ShT-Isc-Icur</t>
  </si>
  <si>
    <t>IFX-Bnd-Isc-max</t>
  </si>
  <si>
    <t>IFX-Bnd-Nsc</t>
  </si>
  <si>
    <t>IFX-Bnd-Nsc-max</t>
  </si>
  <si>
    <t>IFX-Bnd-Isc</t>
  </si>
  <si>
    <t>JCR-Note-LT-Isc-Icur</t>
  </si>
  <si>
    <t>JCR-Note-ShT-Isc-Icur</t>
  </si>
  <si>
    <t>MDS-Bnd-Isc-Ncur</t>
  </si>
  <si>
    <t>MDS-BndS-Isc-Icur</t>
  </si>
  <si>
    <t>MDS-BndS-Isc-Ncur</t>
  </si>
  <si>
    <t>MDS-Bnd-RR</t>
  </si>
  <si>
    <t>MDS-Bnd-Isc-Icur</t>
  </si>
  <si>
    <t>MDS-Bnd-ShT-Isc-Icur</t>
  </si>
  <si>
    <t>MIRA-Bnd-Nsc</t>
  </si>
  <si>
    <t>NRA-Bnd</t>
  </si>
  <si>
    <t>RIA-Bnd</t>
  </si>
  <si>
    <t>RUS-Bnd-Isc</t>
  </si>
  <si>
    <t>RUS-Bnd-Nsc</t>
  </si>
  <si>
    <t>RUS-Fund-Isc</t>
  </si>
  <si>
    <t>RUS-MCP</t>
  </si>
  <si>
    <t>RUS-Fund-Nsc</t>
  </si>
  <si>
    <t>S&amp;P-Bnd-Isc-Icur</t>
  </si>
  <si>
    <t>S&amp;P-Bnd-Isc-Ncur</t>
  </si>
  <si>
    <t>S&amp;P-Bnd-Nsc</t>
  </si>
  <si>
    <t>S&amp;P-Bnd-KZsc</t>
  </si>
  <si>
    <t>S&amp;P-Bnd-UAsc</t>
  </si>
  <si>
    <t>S&amp;P-Bnd-RR</t>
  </si>
  <si>
    <t>S&amp;P-Bnd-ShT-Isc-Ncur</t>
  </si>
  <si>
    <t>S&amp;P-Bnd-ShT-Isc-Icur</t>
  </si>
  <si>
    <t>NCR-Bnd-Nsc</t>
  </si>
  <si>
    <t>AMB-I-Cr&amp;D-LT</t>
  </si>
  <si>
    <t>AKM-DP-Cr&amp;D</t>
  </si>
  <si>
    <t>AKM-R-Cr&amp;D</t>
  </si>
  <si>
    <t>AKM-PF-Cr&amp;D</t>
  </si>
  <si>
    <t>AKM-LC-Cr&amp;D</t>
  </si>
  <si>
    <t>AKM-I-Cr&amp;D</t>
  </si>
  <si>
    <t>AKM-AM-Cr&amp;D</t>
  </si>
  <si>
    <t>AKM-mkF-FS&amp;R</t>
  </si>
  <si>
    <t>AKM-AM-FS&amp;R</t>
  </si>
  <si>
    <t>AKM-MC-FS&amp;R</t>
  </si>
  <si>
    <t>AKM-IN-FS&amp;R</t>
  </si>
  <si>
    <t>AKM-B-Cr&amp;D</t>
  </si>
  <si>
    <t>AKRA-I-Cr&amp;D-LT-Isc-Icur</t>
  </si>
  <si>
    <t>AKRA-I-Cr&amp;D-LT-Isc-Ncur</t>
  </si>
  <si>
    <t>AKRA-I-SCA-LT-Isc</t>
  </si>
  <si>
    <t>AKRA-I-Cr&amp;D-LT-Isc</t>
  </si>
  <si>
    <t>AKRA-I-Cr&amp;D-LT-Nsc</t>
  </si>
  <si>
    <t>AKRA-I-SCA-LT-Nsc</t>
  </si>
  <si>
    <t>AKRA-I-Cr&amp;D-ShT-Isc-Icur</t>
  </si>
  <si>
    <t>AKRA-I-Cr&amp;D-ShT-Isc-Ncur</t>
  </si>
  <si>
    <t>DGN-I-Cr&amp;D-LT-Isc-Icur</t>
  </si>
  <si>
    <t>DGN-I-Cr&amp;D-LT-Isc-Ncur</t>
  </si>
  <si>
    <t>DGN-I-Cr&amp;D-ST-Isc-Icur</t>
  </si>
  <si>
    <t>DGN-I-Cr&amp;D-ST-Isc-Ncur</t>
  </si>
  <si>
    <t>DBRS-I-Cr&amp;D-LT-Isc-Ncur</t>
  </si>
  <si>
    <t>DBRS-I-Cr&amp;D-LT-Isc-Icur</t>
  </si>
  <si>
    <t>DBRS-Note-LT-Isc</t>
  </si>
  <si>
    <t>DBRS-NoteS-LT-Isc</t>
  </si>
  <si>
    <t>DBRS-B-Cr&amp;D-LT-Isc-Icur</t>
  </si>
  <si>
    <t>DBRS-I-Cr&amp;D-ShT-Isc-Ncur</t>
  </si>
  <si>
    <t>DBRS-I-Cr&amp;D-ShT-Isc-Icur</t>
  </si>
  <si>
    <t>DBRS-B-Cr&amp;D-ShT-Isc-Icur</t>
  </si>
  <si>
    <t>DBRS-Note-ShT-Isc</t>
  </si>
  <si>
    <t>EXP-FC-Cr&amp;D-Isc</t>
  </si>
  <si>
    <t>EXP-LC-Cr&amp;D-Isc</t>
  </si>
  <si>
    <t>EXP-R-Cr&amp;D-LT-Isc</t>
  </si>
  <si>
    <t>EXP-B-Cr&amp;D-Isc</t>
  </si>
  <si>
    <t>EXP-LC-Cr&amp;D-Nsc</t>
  </si>
  <si>
    <t>EXP-R-Cr&amp;D-LT-Nsc</t>
  </si>
  <si>
    <t>EXP-FC-Cr&amp;D-Nsc</t>
  </si>
  <si>
    <t>EXP-DP-Cr&amp;D-LT-Nsc</t>
  </si>
  <si>
    <t>EXP-B-Cr&amp;D-Nsc</t>
  </si>
  <si>
    <t>EXP-IN-FS&amp;R-Nsc</t>
  </si>
  <si>
    <t>EXP-C-Cr&amp;D-BYsc</t>
  </si>
  <si>
    <t>EXP-PF-Cr&amp;D-Nsc</t>
  </si>
  <si>
    <t>EXP-C-Cr&amp;D-KZsc</t>
  </si>
  <si>
    <t>EXP-IN-FS&amp;R-Isc</t>
  </si>
  <si>
    <t>EXP-C-Cr&amp;D-Isc</t>
  </si>
  <si>
    <t>EXP-INL-FS&amp;R-Isc</t>
  </si>
  <si>
    <t>EXP-NPF-FS&amp;R-Nsc</t>
  </si>
  <si>
    <t>EXP-HIM-R&amp;QS-Nsc</t>
  </si>
  <si>
    <t>EXP-FA-Cr&amp;D-Nsc</t>
  </si>
  <si>
    <t>EXP-mkF-FS&amp;R-Nsc</t>
  </si>
  <si>
    <t>EXP-IC-FS&amp;R-Nsc</t>
  </si>
  <si>
    <t>EXP-AM-R&amp;QS-Nsc</t>
  </si>
  <si>
    <t>EXP-mkF-Cr&amp;D-Nsc</t>
  </si>
  <si>
    <t>EXP-HC-Cr&amp;D-Nsc</t>
  </si>
  <si>
    <t>EXP-INL-FS&amp;R-Nsc</t>
  </si>
  <si>
    <t>EXP-GC-FS&amp;R-Nsc</t>
  </si>
  <si>
    <t>FCH-I-Dflt-LT-Isc-Ncur</t>
  </si>
  <si>
    <t>FCH-IN-FS&amp;R-LT-Isc-Icur</t>
  </si>
  <si>
    <t>FCH-IN-FS&amp;R-LT-Isc-Ncur</t>
  </si>
  <si>
    <t>FCH-I-Cr&amp;D-LT-KZsc</t>
  </si>
  <si>
    <t>FCH-I-Cr&amp;D-LT-Nsc</t>
  </si>
  <si>
    <t>FCH-IN-FS&amp;R-LT-Nsc</t>
  </si>
  <si>
    <t>FCH-I-Cr&amp;D-LT-UAsc</t>
  </si>
  <si>
    <t>FCH-I-Dflt-ShT-Isc-Ncur</t>
  </si>
  <si>
    <t>FCH-I-Dflt-ShT-Isc-Icur</t>
  </si>
  <si>
    <t>FCH-I-Cr&amp;D-ShT-Nsc</t>
  </si>
  <si>
    <t>FCH-I-Cr&amp;D-ShT-KZsc</t>
  </si>
  <si>
    <t>FCH-I-ViR</t>
  </si>
  <si>
    <t>FCH-I-Indv</t>
  </si>
  <si>
    <t>FCH-I-Supp</t>
  </si>
  <si>
    <t>FCH-I-SuppF</t>
  </si>
  <si>
    <t>JCR-I-Cr&amp;D-LT-Isc</t>
  </si>
  <si>
    <t>JCR-I-Cr&amp;D-LT-Isc-Icur</t>
  </si>
  <si>
    <t>JCR-I-Cr&amp;D-LT-Isc-Ncur</t>
  </si>
  <si>
    <t>JCR-I-Cr&amp;D-ShT-Isc-Ncur</t>
  </si>
  <si>
    <t>JCR-I-Cr&amp;D-ShT-Isc-Icur</t>
  </si>
  <si>
    <t>MDS-I-Cr&amp;D-LT-Isc</t>
  </si>
  <si>
    <t>MDS-NoteS-Isc-Icur-b</t>
  </si>
  <si>
    <t>MDS-NoteS-Isc-Ncur-b</t>
  </si>
  <si>
    <t>MDS-Note-Isc-Icur-b</t>
  </si>
  <si>
    <t>MDS-Note-Isc-Ncur-b</t>
  </si>
  <si>
    <t>MDS-I-Cr&amp;D-LT-Isc-b</t>
  </si>
  <si>
    <t>MDS-I-Cr&amp;D-LT-Isc-Ncur-b</t>
  </si>
  <si>
    <t>MDS-B-Cr&amp;D-LT-Isc-b</t>
  </si>
  <si>
    <t>MDS-Cp-RA-LT</t>
  </si>
  <si>
    <t>MDS-I-Cr&amp;D-LT-Isc-Icur</t>
  </si>
  <si>
    <t>MDS-B-Cr&amp;D-LT-Isc-Ncur</t>
  </si>
  <si>
    <t>MDS-Note-Isc-Icur</t>
  </si>
  <si>
    <t>MDS-B-Cr&amp;D-LT-Isc-Icur</t>
  </si>
  <si>
    <t>MDS-I-Corp-LT-Isc-Icur</t>
  </si>
  <si>
    <t>MDS-IN-FS&amp;R-LT-Isc-Icur</t>
  </si>
  <si>
    <t>MDS-I-Corp-LT-Isc-Ncur</t>
  </si>
  <si>
    <t>MDS-IN-FS&amp;R-LT-Isc-Ncur</t>
  </si>
  <si>
    <t>MDS-NoteS-Isc-Icur</t>
  </si>
  <si>
    <t>MDS-NoteS-Isc-Ncur</t>
  </si>
  <si>
    <t>MDS-IN-FS&amp;R-LT-Isc</t>
  </si>
  <si>
    <t>MDS-Note-Isc-Ncur</t>
  </si>
  <si>
    <t>MDS-Cp-RA-LT-Icur</t>
  </si>
  <si>
    <t>MDS-Cp-RA-LT-Ncur</t>
  </si>
  <si>
    <t>MDS-B-Cr&amp;D-LT-Isc-Icur-b</t>
  </si>
  <si>
    <t>MDS-I-Cr&amp;D-LT-Isc-Icur-b</t>
  </si>
  <si>
    <t>MDS-B-Cr&amp;D-LT-Isc-Ncur-b</t>
  </si>
  <si>
    <t>MDS-Note-Isc</t>
  </si>
  <si>
    <t>MDS-B-Cr&amp;D-LT-KZsc</t>
  </si>
  <si>
    <t>MDS-B-Cr&amp;D-LT-UAsc</t>
  </si>
  <si>
    <t>MDS-I-Corp-LT-UAsc</t>
  </si>
  <si>
    <t>MDS-I-Corp-LT-Kzsc</t>
  </si>
  <si>
    <t>MDS-B-Cr&amp;D-ShT-Isc-b</t>
  </si>
  <si>
    <t>MDS-I-Cr&amp;D-ShT-Isc-Ncur</t>
  </si>
  <si>
    <t>MDS-Cp-RA-ShT</t>
  </si>
  <si>
    <t>MDS-I-Cr&amp;D-ShT-Isc-Icur</t>
  </si>
  <si>
    <t>MDS-B-Cr&amp;D-ShT-Isc-Icur</t>
  </si>
  <si>
    <t>MDS-B-Cr&amp;D-ShT-Isc-Ncur</t>
  </si>
  <si>
    <t>MDS-IN-FS&amp;R-ShT-Isc</t>
  </si>
  <si>
    <t>MDS-Cp-RA-ST-Icur</t>
  </si>
  <si>
    <t>MDS-Cp-RA-ST-Ncur</t>
  </si>
  <si>
    <t>MDS-I-Cr&amp;D-ShT-Isc</t>
  </si>
  <si>
    <t>MDS-B-Cr&amp;D-ShT-Isc-Icur-b</t>
  </si>
  <si>
    <t>MDS-I-Cr&amp;D-ShT-Isc-b</t>
  </si>
  <si>
    <t>MDS-B-Cr&amp;D-ShT-Isc-Ncur-b</t>
  </si>
  <si>
    <t>MDS-B-FS&amp;R</t>
  </si>
  <si>
    <t>MDS-I-Cr&amp;D</t>
  </si>
  <si>
    <t>MIRA-B-Cr&amp;D-LT-Nsc</t>
  </si>
  <si>
    <t>MIRA-I-Corp-LT-Nsc-Icur</t>
  </si>
  <si>
    <t>NRA-HС-Cr&amp;D-Nsc</t>
  </si>
  <si>
    <t>NRA-INL-FS&amp;R</t>
  </si>
  <si>
    <t>NRA-I-Cr&amp;D-Nsc</t>
  </si>
  <si>
    <t>NRA-IС-R&amp;QS-Nsc</t>
  </si>
  <si>
    <t>NRA-DP-FS&amp;R-LT-Nsc</t>
  </si>
  <si>
    <t>NRA-NPF-FS&amp;R-LT-Nsc</t>
  </si>
  <si>
    <t>NRA-AM-R&amp;QS-LT-Nsc</t>
  </si>
  <si>
    <t>NRA-NPF-R&amp;QS-LT-Nsc</t>
  </si>
  <si>
    <t>NRA-IN-R&amp;QS-LT-Nsc</t>
  </si>
  <si>
    <t>NRA-IС-R&amp;QS-LT-Nsc</t>
  </si>
  <si>
    <t>NRA-B-Cr&amp;D-Isc</t>
  </si>
  <si>
    <t>NRA-I-Cr&amp;D-Isc</t>
  </si>
  <si>
    <t>NRA-HС-Cr&amp;D-Isc</t>
  </si>
  <si>
    <t>NRA-mkF-Cr&amp;D</t>
  </si>
  <si>
    <t>NRA-LC-FS&amp;R</t>
  </si>
  <si>
    <t>NRA-MC-Cr&amp;D</t>
  </si>
  <si>
    <t>NRA-R-Cr&amp;D</t>
  </si>
  <si>
    <t>NRA-DP-Cr&amp;D</t>
  </si>
  <si>
    <t>NRA-LC-Cr&amp;D</t>
  </si>
  <si>
    <t>NRA-DP-FS&amp;R</t>
  </si>
  <si>
    <t>NRA-NPF-FS&amp;R</t>
  </si>
  <si>
    <t>NRA-B-Cr&amp;D-Nsc</t>
  </si>
  <si>
    <t>NRA-IN-FS&amp;R</t>
  </si>
  <si>
    <t>NRA-AM-FS&amp;R</t>
  </si>
  <si>
    <t>NRA-IC-FS&amp;R</t>
  </si>
  <si>
    <t>NRA-RG-FS&amp;R</t>
  </si>
  <si>
    <t>NRA-AM-R&amp;QS-Nsc</t>
  </si>
  <si>
    <t>NRA-NPF-R&amp;QS-Nsc</t>
  </si>
  <si>
    <t>NRA-IN-R&amp;QS-Nsc</t>
  </si>
  <si>
    <t>NRA-mkF-FS&amp;R</t>
  </si>
  <si>
    <t>NRA-IC-Cr&amp;D</t>
  </si>
  <si>
    <t>NRA-IN-Cr&amp;D-Nsc</t>
  </si>
  <si>
    <t>RIA-B-Cr&amp;D</t>
  </si>
  <si>
    <t>RIA-IC-FS&amp;R</t>
  </si>
  <si>
    <t>RIA-R-Cr&amp;D</t>
  </si>
  <si>
    <t>RUS-B-Cr&amp;D-Isc</t>
  </si>
  <si>
    <t>RUS-IC-FS&amp;R-Nsc</t>
  </si>
  <si>
    <t>RUS-mkF-Cr&amp;D-Nsc</t>
  </si>
  <si>
    <t>RUS-NPF-FS&amp;R-Nsc</t>
  </si>
  <si>
    <t>RUS-AM-FS&amp;R-Isc</t>
  </si>
  <si>
    <t>RUS-IC-FS&amp;R-Isc</t>
  </si>
  <si>
    <t>RUS-I-Cr&amp;D-Isc</t>
  </si>
  <si>
    <t>RUS-NPF-FS&amp;R-Isc</t>
  </si>
  <si>
    <t>RUS-AM-FS&amp;R-Nsc</t>
  </si>
  <si>
    <t>RUS-I-Cr&amp;D-Nsc</t>
  </si>
  <si>
    <t>RUS-B-Cr&amp;D-Nsc</t>
  </si>
  <si>
    <t>S&amp;P-IN-FS&amp;R-Isc-Ncur</t>
  </si>
  <si>
    <t>S&amp;P-Cp-RA-LT-Icur</t>
  </si>
  <si>
    <t>S&amp;P-Cp-RA-LT-Ncur</t>
  </si>
  <si>
    <t>S&amp;P-IN-FS&amp;R-Isc-Icur</t>
  </si>
  <si>
    <t>S&amp;P-I-Cr&amp;D-LT-UAsc</t>
  </si>
  <si>
    <t>S&amp;P-I-Cr&amp;D-LT-KZsc</t>
  </si>
  <si>
    <t>S&amp;P-I-Cr&amp;D-ShT-Isc-Ncur</t>
  </si>
  <si>
    <t>S&amp;P-I-Cr&amp;D-ShT-Isc-Icur</t>
  </si>
  <si>
    <t>S&amp;P-Cp-RA-ST-Icur</t>
  </si>
  <si>
    <t>S&amp;P-Cp-RA-ST-Ncur</t>
  </si>
  <si>
    <t>S&amp;P-I-Corp</t>
  </si>
  <si>
    <t>NCR-I-SCA-LT-Nsc</t>
  </si>
  <si>
    <t>FCH-C-CC</t>
  </si>
  <si>
    <t>MDS-Bnd-CC-LT-Icur</t>
  </si>
  <si>
    <t>MDS-Bnk-CC-LT-Icur</t>
  </si>
  <si>
    <t>MDS-Bnd-CC-LT-Ncur</t>
  </si>
  <si>
    <t>MDS-Bnk-CC-LT-Ncur</t>
  </si>
  <si>
    <t>MDS-Bnd-CC-ShT-Icur</t>
  </si>
  <si>
    <t>MDS-Bnk-CC-ShT-Icur</t>
  </si>
  <si>
    <t>OESR-CRC</t>
  </si>
  <si>
    <t>S&amp;P-C-T&amp;C</t>
  </si>
  <si>
    <t>Кодовое имя</t>
  </si>
  <si>
    <t>Рейтинг</t>
  </si>
  <si>
    <t>Агенство</t>
  </si>
  <si>
    <t>Рейтинг эмиссии</t>
  </si>
  <si>
    <t>Рейтинг эмитента</t>
  </si>
  <si>
    <t>Активность</t>
  </si>
  <si>
    <t>Название агенства</t>
  </si>
  <si>
    <t>DEAL_ACC.SUM</t>
  </si>
  <si>
    <t>DEAL_ACC.CNN</t>
  </si>
  <si>
    <t>VAL_ACC.SUM</t>
  </si>
  <si>
    <t>SumMarketVal</t>
  </si>
  <si>
    <t>%</t>
  </si>
  <si>
    <t>Информация</t>
  </si>
  <si>
    <t>cpn_rate</t>
  </si>
  <si>
    <t>offer_date</t>
  </si>
  <si>
    <t>mty_date</t>
  </si>
  <si>
    <t>current_fv</t>
  </si>
  <si>
    <t>CouponPerYear</t>
  </si>
  <si>
    <t>convexity</t>
  </si>
  <si>
    <t>duration_n</t>
  </si>
  <si>
    <t>duration</t>
  </si>
  <si>
    <t>Аналоги</t>
  </si>
  <si>
    <t>Рынок</t>
  </si>
  <si>
    <t>FaceFTName</t>
  </si>
  <si>
    <t>Московская биржа</t>
  </si>
  <si>
    <t>Аналоги график</t>
  </si>
  <si>
    <t>Доходность</t>
  </si>
  <si>
    <t>Дюрация</t>
  </si>
  <si>
    <t>NickName</t>
  </si>
  <si>
    <t>Y2O_LAST</t>
  </si>
  <si>
    <t>DURATION_O</t>
  </si>
  <si>
    <t>Рейтинг эмиссии (значения)</t>
  </si>
  <si>
    <t>Рейтинг эмитента (значения)</t>
  </si>
  <si>
    <t>Name</t>
  </si>
  <si>
    <t>Отрасль</t>
  </si>
  <si>
    <t>G-curve, DUR_O</t>
  </si>
  <si>
    <t>DUR_O</t>
  </si>
  <si>
    <t>Короткое название</t>
  </si>
  <si>
    <t>Полное название</t>
  </si>
  <si>
    <t>PAR</t>
  </si>
  <si>
    <t>is_lombard</t>
  </si>
  <si>
    <t>Ломбард</t>
  </si>
  <si>
    <t>признак включения в ломбардный список БР (0 / 1)</t>
  </si>
  <si>
    <t>exch_main</t>
  </si>
  <si>
    <t>Площадка</t>
  </si>
  <si>
    <t>название основной площадки, на которой торгуется бумага</t>
  </si>
  <si>
    <t>listing_level</t>
  </si>
  <si>
    <t>Листинг</t>
  </si>
  <si>
    <t>уровень листинга Мосбиржи (1, 2 или 3)</t>
  </si>
  <si>
    <t>sum_mktval</t>
  </si>
  <si>
    <t>Сумма в обращ.</t>
  </si>
  <si>
    <t>объем в обращении в валюте номинала</t>
  </si>
  <si>
    <t>sum_mktvol</t>
  </si>
  <si>
    <t>Объем в обращ.</t>
  </si>
  <si>
    <t>объем в обращении в штуках</t>
  </si>
  <si>
    <t>CPN</t>
  </si>
  <si>
    <t>cpn_no</t>
  </si>
  <si>
    <t>Номер купона</t>
  </si>
  <si>
    <t>номер текущего купона</t>
  </si>
  <si>
    <t>cpn_begdate</t>
  </si>
  <si>
    <t>Начало купона</t>
  </si>
  <si>
    <t>дата начала текущего купона</t>
  </si>
  <si>
    <t>cpn_enddate</t>
  </si>
  <si>
    <t>Дата купона</t>
  </si>
  <si>
    <t>дата окончания текущего купона</t>
  </si>
  <si>
    <t>cpn_period</t>
  </si>
  <si>
    <t>Купонный период</t>
  </si>
  <si>
    <t>дней в текущем купонном периоде</t>
  </si>
  <si>
    <t>cpn_fixlist</t>
  </si>
  <si>
    <t>Дата фикс.купона</t>
  </si>
  <si>
    <t>дата фиксации списка на выплату купона</t>
  </si>
  <si>
    <t>Купонная ставка</t>
  </si>
  <si>
    <t>ставка текущего купона, % годовых</t>
  </si>
  <si>
    <t>cpn_value</t>
  </si>
  <si>
    <t>Купонная выплата</t>
  </si>
  <si>
    <t>выплата на облигацию в валюте номинала</t>
  </si>
  <si>
    <t>cpn_paydate</t>
  </si>
  <si>
    <t>Дата купона (факт)</t>
  </si>
  <si>
    <t>дата реальной выплаты купона</t>
  </si>
  <si>
    <t>cpn_knownno</t>
  </si>
  <si>
    <t>№ посл.изв.купона</t>
  </si>
  <si>
    <t>номер последнего известного купона</t>
  </si>
  <si>
    <t>cpn_knowndate</t>
  </si>
  <si>
    <t>Дата посл.изв.купона</t>
  </si>
  <si>
    <t>дата окончания последнего известного купона</t>
  </si>
  <si>
    <t>newcpn_date</t>
  </si>
  <si>
    <t>Дата опред.купона</t>
  </si>
  <si>
    <t>ближайшая дата определения неизвестных будущих купонов</t>
  </si>
  <si>
    <t>MTY</t>
  </si>
  <si>
    <t>ближайшая дата погашения части номинала</t>
  </si>
  <si>
    <t>mty_fixdate</t>
  </si>
  <si>
    <t>Дата фикс.погашения</t>
  </si>
  <si>
    <t>дата фиксации списка на выплату погашения</t>
  </si>
  <si>
    <t>mty_part</t>
  </si>
  <si>
    <t>Доля% погашения</t>
  </si>
  <si>
    <t>погашаемый % от первоначального номинала</t>
  </si>
  <si>
    <t>mty_value</t>
  </si>
  <si>
    <t>Размер погашения</t>
  </si>
  <si>
    <t>mty_paydate</t>
  </si>
  <si>
    <t>Дата погаш.(факт)</t>
  </si>
  <si>
    <t>реальная дата погашения/выплаты</t>
  </si>
  <si>
    <t>CALL</t>
  </si>
  <si>
    <t>call_date</t>
  </si>
  <si>
    <t>Дата доср.погашения</t>
  </si>
  <si>
    <t>дата досрочного погашения, опцион эмитента</t>
  </si>
  <si>
    <t>Дата оферты</t>
  </si>
  <si>
    <t>расчетная дата (ближайшей) оферты</t>
  </si>
  <si>
    <t>offer_end</t>
  </si>
  <si>
    <t>Дата фикс.выкупа</t>
  </si>
  <si>
    <t>дата окончания периода предъявления к выкупу</t>
  </si>
  <si>
    <t>offer_price</t>
  </si>
  <si>
    <t>Цена оферты</t>
  </si>
  <si>
    <t>цена выкупа, % от номинала, полная (с НКД)</t>
  </si>
  <si>
    <t>offer_paydate</t>
  </si>
  <si>
    <t>Дата выкупа (факт)</t>
  </si>
  <si>
    <t>дата реального выкупа</t>
  </si>
  <si>
    <t>CONV</t>
  </si>
  <si>
    <t>conv_begdate</t>
  </si>
  <si>
    <t>Начало конвертации</t>
  </si>
  <si>
    <t>дата начала конвертации (ближайшей)</t>
  </si>
  <si>
    <t>conv_enddate</t>
  </si>
  <si>
    <t>Дата конвертации</t>
  </si>
  <si>
    <t>дата окончания конвертации (ближайшей)</t>
  </si>
  <si>
    <t>conv_coeff</t>
  </si>
  <si>
    <t>Коэф.конвертации</t>
  </si>
  <si>
    <t>коэффициент конвертации (ближайшей)</t>
  </si>
  <si>
    <t>conv_fintoolid</t>
  </si>
  <si>
    <t>ID бумаги конвертации</t>
  </si>
  <si>
    <t>ID ценной бумаги, в которую совершается конвертация</t>
  </si>
  <si>
    <t>DFLT</t>
  </si>
  <si>
    <t>default_date</t>
  </si>
  <si>
    <t>Дата дефолта</t>
  </si>
  <si>
    <t>дата дефолта</t>
  </si>
  <si>
    <t>default_type</t>
  </si>
  <si>
    <t>Тип дефолта</t>
  </si>
  <si>
    <t>тип дефолта, либо отсутствие на заданную дату</t>
  </si>
  <si>
    <t>event_type</t>
  </si>
  <si>
    <t>Событие дефолта</t>
  </si>
  <si>
    <t>тип события, на котором возник дефолт</t>
  </si>
  <si>
    <t>duty_paydate</t>
  </si>
  <si>
    <t>Дата исполн.обязательств</t>
  </si>
  <si>
    <t>дата реального исполнения обязательства</t>
  </si>
  <si>
    <t>AUCT</t>
  </si>
  <si>
    <t>auct_exch</t>
  </si>
  <si>
    <t>Площадка аукциона</t>
  </si>
  <si>
    <t>название площадки, на кторой пройдет (до)размещение</t>
  </si>
  <si>
    <t>auct_begdate</t>
  </si>
  <si>
    <t>Начало аукциона</t>
  </si>
  <si>
    <t>дата начала (до)размещения (ближайшего)</t>
  </si>
  <si>
    <t>auct_askval</t>
  </si>
  <si>
    <t>Сумма размещения</t>
  </si>
  <si>
    <t>объем (до)размещаемых облигаций, в валюте номинала</t>
  </si>
  <si>
    <t>auct_askvol</t>
  </si>
  <si>
    <t>Объем размещения</t>
  </si>
  <si>
    <t>количество (до)размещаемых облигаций, штук</t>
  </si>
  <si>
    <t>auct_enddate</t>
  </si>
  <si>
    <t>Дата аукциона</t>
  </si>
  <si>
    <t>дата окончания (до)размещения (ближайшего)</t>
  </si>
  <si>
    <t>CALC</t>
  </si>
  <si>
    <t>accrued_int</t>
  </si>
  <si>
    <t>НКД</t>
  </si>
  <si>
    <t>НКД в валюте номинала</t>
  </si>
  <si>
    <t>accrued_int_pct</t>
  </si>
  <si>
    <t>НКД%</t>
  </si>
  <si>
    <t>НКД в % от номинала</t>
  </si>
  <si>
    <t>Текущ.номинал</t>
  </si>
  <si>
    <t>текущий номинал в валюте номинала</t>
  </si>
  <si>
    <t>current_fv_pct</t>
  </si>
  <si>
    <t>Текущ.номинал%</t>
  </si>
  <si>
    <t>текущий номинал в % от первоначального номинала</t>
  </si>
  <si>
    <t>fairvalue_avg</t>
  </si>
  <si>
    <t>ТСС средневзв.</t>
  </si>
  <si>
    <t>ТСС в валюте номинала, средневзв.цена биржи</t>
  </si>
  <si>
    <t>fairvalue_nfa</t>
  </si>
  <si>
    <t>ТСС ЦЦ НРД</t>
  </si>
  <si>
    <t>ТСС в валюте номинала, НРД</t>
  </si>
  <si>
    <t>mty_sumcpn</t>
  </si>
  <si>
    <t>Сумм.купон.до погаш.</t>
  </si>
  <si>
    <t>сумма купонов до погашения</t>
  </si>
  <si>
    <t>offer_sumcpn</t>
  </si>
  <si>
    <t>Сумм.купон.до оферт.</t>
  </si>
  <si>
    <t>сумма купонов до ближайшей оферты</t>
  </si>
  <si>
    <t>full_name_rus</t>
  </si>
  <si>
    <t>comment_rus</t>
  </si>
  <si>
    <t>ACCRUEDINT</t>
  </si>
  <si>
    <t>Накопленный купонный доход (= ставка купона * количество дней с момента начала очереного купонного периода)</t>
  </si>
  <si>
    <t>ADMQUOTE</t>
  </si>
  <si>
    <t>Призн.котир.</t>
  </si>
  <si>
    <t>Признаваемая котировка, рассчитываемая в соответствии Положением о порядке и сроках определения стоимости чистых активов акционерных инвестиционных фондов, стоимости чистых активов паевых инвестиционных фондов, расчетной стоимости инвестиционных паев паевых инвестиционных фондов, а также стоимости чистых активов акционерных инвестиционных фондов в расчете на одну акцию (утв. приказом Федеральной службы по финансовым рынкам от 15 июня 2005 г. № 05-21/пз-н)</t>
  </si>
  <si>
    <t>AKM_BL_N</t>
  </si>
  <si>
    <t>РО-К-Н-АКМ</t>
  </si>
  <si>
    <t>Рейтинг облигационного займа по национальной шкале - AK&amp;M</t>
  </si>
  <si>
    <t>AKM_E_N</t>
  </si>
  <si>
    <t>РЭ-К-Н-АКМ</t>
  </si>
  <si>
    <t>Кредитный рейтинг эмитента по национальной шкале - AK&amp;M</t>
  </si>
  <si>
    <t>ASK</t>
  </si>
  <si>
    <t>Продажа</t>
  </si>
  <si>
    <t>Лучшая цена продажи в валюте торгов</t>
  </si>
  <si>
    <t>ASK_SIZE</t>
  </si>
  <si>
    <t>Прод. объём</t>
  </si>
  <si>
    <t>Объем по лучшей цене продажи в штуках</t>
  </si>
  <si>
    <t>ASK_SIZE_TOTAL</t>
  </si>
  <si>
    <t>Объем предл.</t>
  </si>
  <si>
    <t>Полный объем предложения</t>
  </si>
  <si>
    <t>AVGE_CHNG</t>
  </si>
  <si>
    <t>Изм.средневзв.</t>
  </si>
  <si>
    <t>Изменение средневзвешенной цены за текущий торговый день к средневзвешенной цене предыдущего торгового дня в пунктах (= средневзвешенная цена - цена закрытия предыдущего торгового дня)</t>
  </si>
  <si>
    <t>AVGE_CHNG_PCT</t>
  </si>
  <si>
    <t>%Изм.средневзв.</t>
  </si>
  <si>
    <t>Относительное изменение средневзвешенной цены к средневзвешенной предыдущего дня в % (= Средневзвешенная цена / Средневзвешенная цена на закрытие предыдущего торгового дня - 1)</t>
  </si>
  <si>
    <t>AVGE_PRCE</t>
  </si>
  <si>
    <t>Средневзв.</t>
  </si>
  <si>
    <t>Средневзвешенная цена за текущий торговый день</t>
  </si>
  <si>
    <t>AVGE_YIELD</t>
  </si>
  <si>
    <t>Дох-П Срвз</t>
  </si>
  <si>
    <t>Доходность по средневзвешенной цене текущего торгового дня</t>
  </si>
  <si>
    <t>BID</t>
  </si>
  <si>
    <t>Покупка</t>
  </si>
  <si>
    <t>Лучшая цена покупки в валюте торгов</t>
  </si>
  <si>
    <t>BID_SIZE</t>
  </si>
  <si>
    <t>Пок. объём</t>
  </si>
  <si>
    <t>Объем по лучшей цене покупки в штуках</t>
  </si>
  <si>
    <t>BID_SIZE_TOTAL</t>
  </si>
  <si>
    <t>Объем спроса</t>
  </si>
  <si>
    <t>Полный объем спроса</t>
  </si>
  <si>
    <t>BOARDID</t>
  </si>
  <si>
    <t>Код режима</t>
  </si>
  <si>
    <t>Код режима торгов</t>
  </si>
  <si>
    <t>BOARDNAME</t>
  </si>
  <si>
    <t>Котир.лист</t>
  </si>
  <si>
    <t>Режим торгов и/или Котировальный лист</t>
  </si>
  <si>
    <t>BUYBACKDATE</t>
  </si>
  <si>
    <t>Дата обр.выкупа</t>
  </si>
  <si>
    <t>Дата обратного выкупа</t>
  </si>
  <si>
    <t>BUYBACKPRICE</t>
  </si>
  <si>
    <t>Цена обр.выкупа</t>
  </si>
  <si>
    <t>Цена обратного выкупа (по оферте)</t>
  </si>
  <si>
    <t>CBR_LOMBARD</t>
  </si>
  <si>
    <t>CBR_PLEDGE</t>
  </si>
  <si>
    <t>Залог РЕПО</t>
  </si>
  <si>
    <t>CHNG</t>
  </si>
  <si>
    <t>Изм.</t>
  </si>
  <si>
    <t>Изменение цены последней сделки к цене закрытия предыдущего дня в пунктах (= цена последней сделки - цена закрытия предыдущего торгового дня)</t>
  </si>
  <si>
    <t>CHNG_M</t>
  </si>
  <si>
    <t>Изм. мес.</t>
  </si>
  <si>
    <t>Изменение цены последней сделки к цене закрытия месяц назад в пунктах</t>
  </si>
  <si>
    <t>CHNG_M_PCT</t>
  </si>
  <si>
    <t>%Изм. мес.</t>
  </si>
  <si>
    <t>Относительное изменение цены последней сделки к цене закрытия месяц назад в %</t>
  </si>
  <si>
    <t>CHNG_PCT</t>
  </si>
  <si>
    <t>%Изм.</t>
  </si>
  <si>
    <t>Относительное изменение цены последней сделки к цене закрытия предыдущего дня в % (= Цена последней сделки / Цена закрытия предыдущего торгового дня - 1)</t>
  </si>
  <si>
    <t>CHNG_W</t>
  </si>
  <si>
    <t>Изм. нед.</t>
  </si>
  <si>
    <t>Изменение цены последней сделки к цене закрытия неделю назад в пунктах</t>
  </si>
  <si>
    <t>CHNG_W_PCT</t>
  </si>
  <si>
    <t>%Изм. нед.</t>
  </si>
  <si>
    <t>Относительное изменение цены последней сделки к цене закрытия неделю назад в %</t>
  </si>
  <si>
    <t>CHNG_Y</t>
  </si>
  <si>
    <t>Изм. год.</t>
  </si>
  <si>
    <t>Изменение цены последней сделки к цене закрытия год назад в пунктах</t>
  </si>
  <si>
    <t>CHNG_Y_PCT</t>
  </si>
  <si>
    <t>%Изм. год.</t>
  </si>
  <si>
    <t>Относительное изменение цены последней сделки к цене закрытия год назад в %</t>
  </si>
  <si>
    <t>CLOSE</t>
  </si>
  <si>
    <t>Закр. пред. дня</t>
  </si>
  <si>
    <t>Цена закрытия предыдущего дня в валюте торгов</t>
  </si>
  <si>
    <t>CONSENSUS_NUM_EST</t>
  </si>
  <si>
    <t>КолРек</t>
  </si>
  <si>
    <t>Количество рекомендаций</t>
  </si>
  <si>
    <t>CONSENSUS_TIME</t>
  </si>
  <si>
    <t>Дата последней оценки (подтверждение , изменение и т.д.)</t>
  </si>
  <si>
    <t>CONVEXITY</t>
  </si>
  <si>
    <t>Выпукл-П</t>
  </si>
  <si>
    <t>Выпуклость к погашению</t>
  </si>
  <si>
    <t>CONVEXITY_AGG</t>
  </si>
  <si>
    <t>Выпукл-С</t>
  </si>
  <si>
    <t>Выпуклость сводная</t>
  </si>
  <si>
    <t>CONVEXITY_O</t>
  </si>
  <si>
    <t>Выпукл-О</t>
  </si>
  <si>
    <t>Выпуклость к оферте</t>
  </si>
  <si>
    <t>Купон</t>
  </si>
  <si>
    <t>Размер ближайшего купона (облигации)</t>
  </si>
  <si>
    <t>CPN_DATE</t>
  </si>
  <si>
    <t>Дата очередной купонной выплаты (облигации)</t>
  </si>
  <si>
    <t>CPN_PERIOD</t>
  </si>
  <si>
    <t>Купон.период</t>
  </si>
  <si>
    <t>Купонный период в днях</t>
  </si>
  <si>
    <t>CPPRICE</t>
  </si>
  <si>
    <t>Период закр.</t>
  </si>
  <si>
    <t>Цена периода закрытия в валюте торгов</t>
  </si>
  <si>
    <t>DEAL_ACC</t>
  </si>
  <si>
    <t>Сделок</t>
  </si>
  <si>
    <t>Количество сделок за текущий торговый день</t>
  </si>
  <si>
    <t>DISCOUNT</t>
  </si>
  <si>
    <t>Дисконт</t>
  </si>
  <si>
    <t>DNT06BEG</t>
  </si>
  <si>
    <t>Днт06нач</t>
  </si>
  <si>
    <t>Начальный дисконт для сроков РЕПО до 6 дней</t>
  </si>
  <si>
    <t>DNT06MAX</t>
  </si>
  <si>
    <t>Днт06макс</t>
  </si>
  <si>
    <t>Максимальный дисконт для сроков РЕПО до 6 дней</t>
  </si>
  <si>
    <t>DNT06MIN</t>
  </si>
  <si>
    <t>Днт06мин</t>
  </si>
  <si>
    <t>Минимальный дисконт для сроков РЕПО до 6 дней</t>
  </si>
  <si>
    <t>DNT120BEG</t>
  </si>
  <si>
    <t>Днт90нач</t>
  </si>
  <si>
    <t>Начальный дисконт для сроков РЕПО от 15 до 90 дней</t>
  </si>
  <si>
    <t>DNT120MAX</t>
  </si>
  <si>
    <t>Днт90макс</t>
  </si>
  <si>
    <t>Максимальный дисконт для сроков РЕПО от 15 до 90 дней</t>
  </si>
  <si>
    <t>DNT120MIN</t>
  </si>
  <si>
    <t>Днт90мин</t>
  </si>
  <si>
    <t>Минимальный дисконт для сроков РЕПО от 15 до 90 дней</t>
  </si>
  <si>
    <t>DNT14BEG</t>
  </si>
  <si>
    <t>Днт14нач</t>
  </si>
  <si>
    <t>Начальный дисконт для сроков РЕПО от 7 до 14 дней</t>
  </si>
  <si>
    <t>DNT14MAX</t>
  </si>
  <si>
    <t>Днт14макс</t>
  </si>
  <si>
    <t>Максимальный дисконт для сроков РЕПО от 7 до 14 дней</t>
  </si>
  <si>
    <t>DNT14MIN</t>
  </si>
  <si>
    <t>Днт14мин</t>
  </si>
  <si>
    <t>Минимальный дисконт для сроков РЕПО от 7 до 14 дней</t>
  </si>
  <si>
    <t>DNT200BEG</t>
  </si>
  <si>
    <t>Днт180нач</t>
  </si>
  <si>
    <t>Начальный дисконт для сроков РЕПО от 91 до 180 дней</t>
  </si>
  <si>
    <t>DNT200MAX</t>
  </si>
  <si>
    <t>Днт180макс</t>
  </si>
  <si>
    <t>Максимальный дисконт для сроков РЕПО от 91 до 180 дней</t>
  </si>
  <si>
    <t>DNT200MIN</t>
  </si>
  <si>
    <t>Днт180мин</t>
  </si>
  <si>
    <t>Минимальный дисконт для сроков РЕПО от 91 до 180 дней</t>
  </si>
  <si>
    <t>DNT365BEG</t>
  </si>
  <si>
    <t>Днт365нач</t>
  </si>
  <si>
    <t>Начальный дисконт для сроков РЕПО от 201 до 365 дней</t>
  </si>
  <si>
    <t>DNT365MAX</t>
  </si>
  <si>
    <t>Днт365макс</t>
  </si>
  <si>
    <t>Максимальный дисконт для сроков РЕПО от 201 до 365 дней</t>
  </si>
  <si>
    <t>DNT365MIN</t>
  </si>
  <si>
    <t>Днт365мин</t>
  </si>
  <si>
    <t>Минимальный дисконт для сроков РЕПО от 201 до 365 дней</t>
  </si>
  <si>
    <t>ДюрМак-П</t>
  </si>
  <si>
    <t>Дюрация по Маколею</t>
  </si>
  <si>
    <t>DURATION_AGG</t>
  </si>
  <si>
    <t>ДюрМак-С</t>
  </si>
  <si>
    <t>Сводная дюрация</t>
  </si>
  <si>
    <t>DURATION_N</t>
  </si>
  <si>
    <t>Дюр.мод-П</t>
  </si>
  <si>
    <t>Дюрация к погашению модифицированная</t>
  </si>
  <si>
    <t>ДюрМак-О</t>
  </si>
  <si>
    <t>Дюрация к оферте</t>
  </si>
  <si>
    <t>DURATION_ON</t>
  </si>
  <si>
    <t>Дюр.мод-О</t>
  </si>
  <si>
    <t>Дюрация к оферте модифицированная</t>
  </si>
  <si>
    <t>EXCH</t>
  </si>
  <si>
    <t>Краткое наименование торговой площадки</t>
  </si>
  <si>
    <t>EXP_BL_N</t>
  </si>
  <si>
    <t>РО-К-Н-ЭксРА</t>
  </si>
  <si>
    <t>Рейтинг облигационного займа по национальной шкале - Эксперт РА</t>
  </si>
  <si>
    <t>EXP_E_N</t>
  </si>
  <si>
    <t>РЭ-К-Н-ЭксРА</t>
  </si>
  <si>
    <t>Кредитный рейтинг эмитента по национальной шкале - Эксперт РА</t>
  </si>
  <si>
    <t>FACEVALUE</t>
  </si>
  <si>
    <t>Номинал</t>
  </si>
  <si>
    <t>FACT_FRCST_CHNG</t>
  </si>
  <si>
    <t>Факт-Прогн.</t>
  </si>
  <si>
    <t>Абсолютное изменение между фактом и прогнозом</t>
  </si>
  <si>
    <t>FCH_B_I</t>
  </si>
  <si>
    <t>РО-К-M-Фитч</t>
  </si>
  <si>
    <t>Кредитный рейтинг облигации по международной шкале - Fitch</t>
  </si>
  <si>
    <t>FCH_B_N</t>
  </si>
  <si>
    <t>РО-К-Н-Фитч</t>
  </si>
  <si>
    <t>Кредитный рейтинг облигации по национальной шкале - Fitch</t>
  </si>
  <si>
    <t>FCH_E_DLTI</t>
  </si>
  <si>
    <t>РЭ-Д-М-Фитч</t>
  </si>
  <si>
    <t>Долгосрочный рейтинг дефолта эмитента по международной шкале - Fitch</t>
  </si>
  <si>
    <t>FCH_E_LTI</t>
  </si>
  <si>
    <t>РЭ-К-Н-Фитч</t>
  </si>
  <si>
    <t>Долгосрочный кредитный рейтинг эмитента по национальной шкале - Fitch</t>
  </si>
  <si>
    <t>FORECAST</t>
  </si>
  <si>
    <t>Прогноз</t>
  </si>
  <si>
    <t>FRCST_CHNG</t>
  </si>
  <si>
    <t>Изм. прогн.</t>
  </si>
  <si>
    <t>Абсолютное изменение прогноза</t>
  </si>
  <si>
    <t>HIGH</t>
  </si>
  <si>
    <t>Максимум</t>
  </si>
  <si>
    <t>Максимальная цена в валюте торгов за текущий торговый день</t>
  </si>
  <si>
    <t>ID_TRADE_SITE</t>
  </si>
  <si>
    <t>Ид торговой площадки</t>
  </si>
  <si>
    <t>Идентификатор торговой площадки</t>
  </si>
  <si>
    <t>IFRS_LEVEL</t>
  </si>
  <si>
    <t>Уровень МСФО13</t>
  </si>
  <si>
    <t>Уровень цен МСФО13</t>
  </si>
  <si>
    <t>IFX_B_I</t>
  </si>
  <si>
    <t>РО-К-М-ИФ</t>
  </si>
  <si>
    <t>Сводный кредитный рейтинг облигации по международной шкале (построен по рекомендациям МинФина) - Интерфакс</t>
  </si>
  <si>
    <t>IFX_B_N</t>
  </si>
  <si>
    <t>РО-К-Н-ИФ</t>
  </si>
  <si>
    <t>Сводный кредитный рейтинг облигации по национальной шкале (построен по рекомендациям МинФина) - Интерфакс</t>
  </si>
  <si>
    <t>IFX_E_I</t>
  </si>
  <si>
    <t>РЭ-К-Н-ИФ</t>
  </si>
  <si>
    <t>Сводный долгосрочный кредитный рейтинг эмитента по национальной шкале (построен по рекомендациям МинФина) - Интерфакс</t>
  </si>
  <si>
    <t>IFX_E_N</t>
  </si>
  <si>
    <t>РЭ-К-М-ИФ</t>
  </si>
  <si>
    <t>Сводный долгосрочный кредитный рейтинг эмитента по международной шкале (построен по рекомендациям МинФина) - Интерфакс</t>
  </si>
  <si>
    <t>Код инструмента ISIN</t>
  </si>
  <si>
    <t>ISSUER</t>
  </si>
  <si>
    <t>ISSUESIZE</t>
  </si>
  <si>
    <t>Выпуск, шт.</t>
  </si>
  <si>
    <t>Объем выпуска в штуках</t>
  </si>
  <si>
    <t>Последняя</t>
  </si>
  <si>
    <t>Цена последней сделки в валюте торгов</t>
  </si>
  <si>
    <t>LAST2AVGE</t>
  </si>
  <si>
    <t>Изм.к средневзв.</t>
  </si>
  <si>
    <t>Изменение последней цены к средневзвзвешенной на закрытие предыдущего торгового дня в пунктах</t>
  </si>
  <si>
    <t>LASTSETTLECODE</t>
  </si>
  <si>
    <t>Посл.код расч.</t>
  </si>
  <si>
    <t>Код расчетов последней сделки</t>
  </si>
  <si>
    <t>LAST_TIME</t>
  </si>
  <si>
    <t>Время посл. сд.</t>
  </si>
  <si>
    <t>Время последней сделки (= ЧЧ.ММ.СС, если в ходе последних торогов, ДД.ММ.ГГ, если ранее)</t>
  </si>
  <si>
    <t>Дох-П Посл</t>
  </si>
  <si>
    <t>Доходность к погашению по последней сделке в % годовых</t>
  </si>
  <si>
    <t>LCLOSE</t>
  </si>
  <si>
    <t>Офиц. закрытие</t>
  </si>
  <si>
    <t>Официальная текущая цена закрытия</t>
  </si>
  <si>
    <t>LCP_CHNG</t>
  </si>
  <si>
    <t>Изм. тек. цены</t>
  </si>
  <si>
    <t>Изменение официальной текущей цены закрытия</t>
  </si>
  <si>
    <t>LCP_CHNG_PCT</t>
  </si>
  <si>
    <t>%Изм. тек. цены</t>
  </si>
  <si>
    <t>Относительное изменение официальной текущей цены закрытия к текущей цене закрытия предыдущего дня в % (= Официальная текущая цена закрытия / Официальная текущая цена на закрытие предыдущего торгового дня - 1)</t>
  </si>
  <si>
    <t>LCURRENTPRICE</t>
  </si>
  <si>
    <t>Текущая цена</t>
  </si>
  <si>
    <t>Текущая цена в валюте торгов</t>
  </si>
  <si>
    <t>LNKCURRENCY</t>
  </si>
  <si>
    <t>Сопр. валюта</t>
  </si>
  <si>
    <t>Сопряженная валюта</t>
  </si>
  <si>
    <t>LOTSIZE</t>
  </si>
  <si>
    <t>Лот, шт.</t>
  </si>
  <si>
    <t>Лот в штуках</t>
  </si>
  <si>
    <t>LOW</t>
  </si>
  <si>
    <t>Минимум</t>
  </si>
  <si>
    <t>Минимальная цена в валюте торгов за текущий торговый день</t>
  </si>
  <si>
    <t>MAT_DATE</t>
  </si>
  <si>
    <t>Дата погашения (экспирации)</t>
  </si>
  <si>
    <t>MCAP</t>
  </si>
  <si>
    <t>Капитализ.</t>
  </si>
  <si>
    <t>Капитализация (= Рыночная цена * количество бумаг в обращении)</t>
  </si>
  <si>
    <t>MDS_B_I</t>
  </si>
  <si>
    <t>РО-К-M-Муд</t>
  </si>
  <si>
    <t>Кредитный рейтинг облигации по международной шкале - Moody's</t>
  </si>
  <si>
    <t>MDS_B_N</t>
  </si>
  <si>
    <t>РО-К-Н-МудИФ</t>
  </si>
  <si>
    <t>Кредитный рейтинг облигации по национальной шкале - Moody's-Interfax</t>
  </si>
  <si>
    <t>MDS_E_LTI</t>
  </si>
  <si>
    <t>РЭ-К-М-Муд</t>
  </si>
  <si>
    <t>Долгосрочный кредитный рейтинг эмитента по международной шкале - Moody's</t>
  </si>
  <si>
    <t>MDS_E_LTN</t>
  </si>
  <si>
    <t>РЭ-К-Н-МудИФ</t>
  </si>
  <si>
    <t>Долгосрочный кредитный рейтинг эмитента по национальной шкале - Moody's-Interfax</t>
  </si>
  <si>
    <t>MPRICE</t>
  </si>
  <si>
    <t>Рыночная3</t>
  </si>
  <si>
    <t>MPRICE2</t>
  </si>
  <si>
    <t>Рыночная2</t>
  </si>
  <si>
    <t>Рыночная цена2 в валюте торгов, рассчитываемая в соответствии с Порядком расчета рыночной стоимости активов и стоимости чистых активов, в которые инвестированы средства пенсионных накоплений (утв. приказом Федеральной службы по финансовым рынкам от 26 декабря 2006 г. № 06-155/пз-н) и Порядком расчета рыночной стоимости активов и стоимости чистых активов, в которые инвестированы накопления для жилищного обеспечения военнослужащих (утв. приказом Федеральной службы по финансовым рынкам от 15 декабря 2005 г. № 05-82/пз-н)</t>
  </si>
  <si>
    <t>NAME</t>
  </si>
  <si>
    <t>Тикер</t>
  </si>
  <si>
    <t>Краткое наименование инструмента на площадке</t>
  </si>
  <si>
    <t>OPEN</t>
  </si>
  <si>
    <t>Открытие</t>
  </si>
  <si>
    <t>Цена открытия (обычно = цена первой сделки) в валюте торгов</t>
  </si>
  <si>
    <t>OPEN_INST</t>
  </si>
  <si>
    <t>Откр. поз.</t>
  </si>
  <si>
    <t>Количество открытых позиций</t>
  </si>
  <si>
    <t>OPPRICE</t>
  </si>
  <si>
    <t>Период откр.</t>
  </si>
  <si>
    <t>Цена периода открытия в валюте торгов</t>
  </si>
  <si>
    <t>PERIOD</t>
  </si>
  <si>
    <t>Период</t>
  </si>
  <si>
    <t>Период в текстовом представлении</t>
  </si>
  <si>
    <t>POTENTIAL</t>
  </si>
  <si>
    <t>Пот-л%</t>
  </si>
  <si>
    <t>Относительное изменение Прогнозной к Рыночной цене</t>
  </si>
  <si>
    <t>PREVLCLOSE</t>
  </si>
  <si>
    <t>Пред. закрытие</t>
  </si>
  <si>
    <t>Официальное предыдущее закрытие</t>
  </si>
  <si>
    <t>PREVMPRICE</t>
  </si>
  <si>
    <t>Пред.рын.цена</t>
  </si>
  <si>
    <t>PUBLICATION_DATE</t>
  </si>
  <si>
    <t>Дата публикац.</t>
  </si>
  <si>
    <t>Дата публикации факта следующего периода</t>
  </si>
  <si>
    <t>PVBP</t>
  </si>
  <si>
    <t>PVBP-П</t>
  </si>
  <si>
    <t>PVBP  к погашению</t>
  </si>
  <si>
    <t>PVBP_AGG</t>
  </si>
  <si>
    <t>PVBP-С</t>
  </si>
  <si>
    <t>PVBP сводная</t>
  </si>
  <si>
    <t>PVBP_O</t>
  </si>
  <si>
    <t>PVBP-О</t>
  </si>
  <si>
    <t>PVBP к оферте</t>
  </si>
  <si>
    <t>RECOMMENDATION</t>
  </si>
  <si>
    <t>Рек</t>
  </si>
  <si>
    <t>Рекомендация по бумаге</t>
  </si>
  <si>
    <t>REC_BUY_PCT</t>
  </si>
  <si>
    <t>%РекПок</t>
  </si>
  <si>
    <t>Доля рекомендаций "Покупать"</t>
  </si>
  <si>
    <t>REC_CHANGE</t>
  </si>
  <si>
    <t>РекИзм</t>
  </si>
  <si>
    <t>Изменение рекомендации</t>
  </si>
  <si>
    <t>REC_HOLD_PCT</t>
  </si>
  <si>
    <t>%РекДерж</t>
  </si>
  <si>
    <t>Доля рекомендаций "Держать"</t>
  </si>
  <si>
    <t>REC_SELL_PCT</t>
  </si>
  <si>
    <t>%РекПрод</t>
  </si>
  <si>
    <t>Доля рекомендаций "Продавать"</t>
  </si>
  <si>
    <t>REC_VAL</t>
  </si>
  <si>
    <t>РекЗнач</t>
  </si>
  <si>
    <t>Оценка рекомендации в масштабе от -1 до 1</t>
  </si>
  <si>
    <t>RUS_B_N</t>
  </si>
  <si>
    <t>РО-К-Н-РусР</t>
  </si>
  <si>
    <t>Кредитный рейтинг облигаций по национальной шкале - Рус-Рейтинг</t>
  </si>
  <si>
    <t>RUS_E_I</t>
  </si>
  <si>
    <t>РЭ-К-М-РусР</t>
  </si>
  <si>
    <t>Кредитный рейтинг эмитента по международной шкале - Рус-Рейтинг</t>
  </si>
  <si>
    <t>RUS_E_N</t>
  </si>
  <si>
    <t>РЭ-К-Н-РусР</t>
  </si>
  <si>
    <t>Кредитный рейтинг эмитента по национальной шкале - Рус-Рейтинг</t>
  </si>
  <si>
    <t>SECCODE</t>
  </si>
  <si>
    <t>Торг.код</t>
  </si>
  <si>
    <t>Торговый код инструмента на площадке</t>
  </si>
  <si>
    <t>SECNAME</t>
  </si>
  <si>
    <t>Полн.наим.рус.</t>
  </si>
  <si>
    <t>Полное русское наименование</t>
  </si>
  <si>
    <t>SECNAME_E</t>
  </si>
  <si>
    <t>Полн.наим.англ.</t>
  </si>
  <si>
    <t>Полное английское наименование</t>
  </si>
  <si>
    <t>SECTOR</t>
  </si>
  <si>
    <t>SETTLECODE</t>
  </si>
  <si>
    <t>Код расчетов</t>
  </si>
  <si>
    <t>Код расчетов (определяет временнЫе параметры сделки)</t>
  </si>
  <si>
    <t>SHORTNAME_ENG</t>
  </si>
  <si>
    <t>Кр.наим.англ.</t>
  </si>
  <si>
    <t>Краткое английское наименование</t>
  </si>
  <si>
    <t>Кр.наим.рус.</t>
  </si>
  <si>
    <t>Краткое русское наименование</t>
  </si>
  <si>
    <t>SNP_B_I</t>
  </si>
  <si>
    <t>РО-К-M-СП</t>
  </si>
  <si>
    <t>Кредитный рейтинг облигации по международной шкале - S&amp;P</t>
  </si>
  <si>
    <t>SNP_B_N</t>
  </si>
  <si>
    <t>РО-К-Н-СП</t>
  </si>
  <si>
    <t>Кредитный рейтинг облигации по национальной шкале - S&amp;P</t>
  </si>
  <si>
    <t>SNP_E_LTI</t>
  </si>
  <si>
    <t>РЭ-К-М-СП</t>
  </si>
  <si>
    <t>Долгосрочный кредитный рейтинг эмитента по международной шкале - S&amp;P</t>
  </si>
  <si>
    <t>SNP_E_N</t>
  </si>
  <si>
    <t>РЭ-К-Н-СП</t>
  </si>
  <si>
    <t>Кредитный рейтинг эмитента по национальной шкале - S&amp;P</t>
  </si>
  <si>
    <t>SPREAD</t>
  </si>
  <si>
    <t>Спред</t>
  </si>
  <si>
    <t>STATUS</t>
  </si>
  <si>
    <t>Статус</t>
  </si>
  <si>
    <t>Торговый статус инструмента (торгуется ли он на площадке в текущий торговый день)</t>
  </si>
  <si>
    <t>TARGET_PRICE</t>
  </si>
  <si>
    <t>ПргнЦ</t>
  </si>
  <si>
    <t>Прогнозная цена</t>
  </si>
  <si>
    <t>TICK_ACC</t>
  </si>
  <si>
    <t>Кол-во изм.</t>
  </si>
  <si>
    <t>Количество изменений</t>
  </si>
  <si>
    <t>Время</t>
  </si>
  <si>
    <t>Время последнего события по инструменту (сделки или котировки)</t>
  </si>
  <si>
    <t>TP_CHNG</t>
  </si>
  <si>
    <t>ПргнИзм</t>
  </si>
  <si>
    <t>Абсолютное изменение Прогнозной цены</t>
  </si>
  <si>
    <t>TP_CHNG_M</t>
  </si>
  <si>
    <t>ПргнИзмМ</t>
  </si>
  <si>
    <t>Абсолютное изменение Прогнозной цены за месяц</t>
  </si>
  <si>
    <t>TP_CHNG_M_PCT</t>
  </si>
  <si>
    <t>Пргн%ИзмМ</t>
  </si>
  <si>
    <t>Относительное изменение Прогнозной цены за месяц</t>
  </si>
  <si>
    <t>TP_CHNG_PCT</t>
  </si>
  <si>
    <t>Пргн%Изм</t>
  </si>
  <si>
    <t>Относительное изменение Прогнозной цены</t>
  </si>
  <si>
    <t>TP_CHNG_Q</t>
  </si>
  <si>
    <t>ПргнИзм3М</t>
  </si>
  <si>
    <t>Абсолютное изменение Прогнозной цены за 3 месяца</t>
  </si>
  <si>
    <t>TP_CHNG_Q_PCT</t>
  </si>
  <si>
    <t>Пргн%Изм3М</t>
  </si>
  <si>
    <t>Относительное изменение Прогнозной цены за 3 месяца</t>
  </si>
  <si>
    <t>TP_CHNG_TIME</t>
  </si>
  <si>
    <t>ДатаПргн</t>
  </si>
  <si>
    <t>Дата последнего ненулевого изменения Прогнозной цены</t>
  </si>
  <si>
    <t>TP_CHNG_Y</t>
  </si>
  <si>
    <t>ПргнИзмГ</t>
  </si>
  <si>
    <t>Абсолютное изменение Прогнозной цены за год</t>
  </si>
  <si>
    <t>TP_CHNG_Y_PCT</t>
  </si>
  <si>
    <t>Пргн%ИзмГ</t>
  </si>
  <si>
    <t>Относительное изменение Прогнозной цены за год</t>
  </si>
  <si>
    <t>TP_DEVIATION</t>
  </si>
  <si>
    <t>ПргнСтО</t>
  </si>
  <si>
    <t>Стандартное отклонение по оценкам Прогнозной цены</t>
  </si>
  <si>
    <t>TP_HIGH</t>
  </si>
  <si>
    <t>ПргнМакс</t>
  </si>
  <si>
    <t>Максимальная из оценок Прогнозной цены</t>
  </si>
  <si>
    <t>TP_LOW</t>
  </si>
  <si>
    <t>ПргнМин</t>
  </si>
  <si>
    <t>Минимальная из оценок Прогнозной цены</t>
  </si>
  <si>
    <t>TP_MEDIAN</t>
  </si>
  <si>
    <t>ПргнЦМед</t>
  </si>
  <si>
    <t>Медианная оценка Прогнозной цены</t>
  </si>
  <si>
    <t>VAL</t>
  </si>
  <si>
    <t>Объём посл. ден.</t>
  </si>
  <si>
    <t>Оборот последней сделки в валюте торгов (= цена последней сделки * объем последней сделки)</t>
  </si>
  <si>
    <t>VAL_ACC</t>
  </si>
  <si>
    <t>Оборот за день</t>
  </si>
  <si>
    <t xml:space="preserve">Дневной оборот в валюте торгов за текущий торговый день </t>
  </si>
  <si>
    <t>VAL_ACC_USD</t>
  </si>
  <si>
    <t>Оборот, USD</t>
  </si>
  <si>
    <t>Суммарный оборот в долларах США</t>
  </si>
  <si>
    <t>VAL_USD</t>
  </si>
  <si>
    <t>Последняя, USD</t>
  </si>
  <si>
    <t>Оборот последней сделки в долларах США</t>
  </si>
  <si>
    <t>VOL</t>
  </si>
  <si>
    <t>Объём посл.шт.</t>
  </si>
  <si>
    <t>Объём последней сделки в штуках</t>
  </si>
  <si>
    <t>VOL_ACC</t>
  </si>
  <si>
    <t>Объем за день шт.</t>
  </si>
  <si>
    <t xml:space="preserve">Дневной объем в штуках за текущий торговый день </t>
  </si>
  <si>
    <t>VOL_LOTS</t>
  </si>
  <si>
    <t>Объем посл. лоты</t>
  </si>
  <si>
    <t>Объем последней сделки в лотах</t>
  </si>
  <si>
    <t>Y2O_ASK</t>
  </si>
  <si>
    <t>Дох-О Предл</t>
  </si>
  <si>
    <t>Доходность к оферте по предложению</t>
  </si>
  <si>
    <t>Y2O_BID</t>
  </si>
  <si>
    <t>Дох-О Спрос</t>
  </si>
  <si>
    <t>Доходность к оферте по спросу</t>
  </si>
  <si>
    <t>Y2O_CHANGE</t>
  </si>
  <si>
    <t>ИзмДох-О Посл</t>
  </si>
  <si>
    <t>Изменение доходности к оферте абс.</t>
  </si>
  <si>
    <t>Y2O_CHANGE_PCT</t>
  </si>
  <si>
    <t>%ИзмДох-О</t>
  </si>
  <si>
    <t>Изменение доходности к оферте отн.</t>
  </si>
  <si>
    <t>Дох-О Посл</t>
  </si>
  <si>
    <t>Доходность к оферте по цене последней сделки</t>
  </si>
  <si>
    <t>Y2O_PREV</t>
  </si>
  <si>
    <t>Дох-О предЗакр</t>
  </si>
  <si>
    <t>Доходность к оферте по цене пред.дня</t>
  </si>
  <si>
    <t>Y2O_WAP</t>
  </si>
  <si>
    <t>Дох-О Срвз</t>
  </si>
  <si>
    <t>Доходность к оферте по средневзвешенной цене</t>
  </si>
  <si>
    <t>YIELD_2</t>
  </si>
  <si>
    <t>Дох-Аукц</t>
  </si>
  <si>
    <t>Доходность к аукциону в % годовых</t>
  </si>
  <si>
    <t>YIELD_AGG</t>
  </si>
  <si>
    <t>Дох-П Сводн</t>
  </si>
  <si>
    <t>Сводная доходность</t>
  </si>
  <si>
    <t>YIELD_ASK</t>
  </si>
  <si>
    <t>Дох-П Предл</t>
  </si>
  <si>
    <t>Доходность к погашению по предложению</t>
  </si>
  <si>
    <t>YIELD_AVERAGE_12M</t>
  </si>
  <si>
    <t>Дох-П&lt;1Y&gt;</t>
  </si>
  <si>
    <t>Средняя доходность за 12 месяцев</t>
  </si>
  <si>
    <t>YIELD_AVERAGE_1M</t>
  </si>
  <si>
    <t>Дох-П&lt;1M&gt;</t>
  </si>
  <si>
    <t>Средняя доходность за 1 месяц</t>
  </si>
  <si>
    <t>YIELD_AVERAGE_2M</t>
  </si>
  <si>
    <t>Дох-П&lt;2M&gt;</t>
  </si>
  <si>
    <t>Средняя доходность за 2 месяца</t>
  </si>
  <si>
    <t>YIELD_AVERAGE_2W</t>
  </si>
  <si>
    <t>Дох-П&lt;2W&gt;</t>
  </si>
  <si>
    <t>Средняя доходность за 2 недели</t>
  </si>
  <si>
    <t>YIELD_AVERAGE_3M</t>
  </si>
  <si>
    <t>Дох-П&lt;3M&gt;</t>
  </si>
  <si>
    <t>Средняя доходность за 3 месяца</t>
  </si>
  <si>
    <t>YIELD_AVERAGE_6M</t>
  </si>
  <si>
    <t>Дох-П&lt;6M&gt;</t>
  </si>
  <si>
    <t>Средняя доходность за 6 месяцев</t>
  </si>
  <si>
    <t>YIELD_AVERAGE_O12M</t>
  </si>
  <si>
    <t>Дох-О&lt;1Y&gt;</t>
  </si>
  <si>
    <t>Средняя доходность к оферте за 12 месяцев</t>
  </si>
  <si>
    <t>YIELD_AVERAGE_O1M</t>
  </si>
  <si>
    <t>Дох-О&lt;1M&gt;</t>
  </si>
  <si>
    <t>Средняя доходность к оферте за 1 месяц</t>
  </si>
  <si>
    <t>YIELD_AVERAGE_O2M</t>
  </si>
  <si>
    <t>Дох-О&lt;2M&gt;</t>
  </si>
  <si>
    <t>Средняя доходность к оферте за 2 месяца</t>
  </si>
  <si>
    <t>YIELD_AVERAGE_O2W</t>
  </si>
  <si>
    <t>Дох-О&lt;2W&gt;</t>
  </si>
  <si>
    <t>Средняя доходность к оферте за 2 недели</t>
  </si>
  <si>
    <t>YIELD_AVERAGE_O3M</t>
  </si>
  <si>
    <t>Дох-О&lt;3M&gt;</t>
  </si>
  <si>
    <t>Средняя доходность к оферте за 3 месяца</t>
  </si>
  <si>
    <t>YIELD_AVERAGE_O6M</t>
  </si>
  <si>
    <t>Дох-О&lt;6M&gt;</t>
  </si>
  <si>
    <t>Средняя доходность к оферте за 6 месяцев</t>
  </si>
  <si>
    <t>YIELD_BID</t>
  </si>
  <si>
    <t>Дох-П Спрос</t>
  </si>
  <si>
    <t>Доходность к погашению по спросу</t>
  </si>
  <si>
    <t>YIELD_CHNG</t>
  </si>
  <si>
    <t>ИзмДох-П Посл</t>
  </si>
  <si>
    <t>Изменение доходности последней сделки к доходности по закрытию предыдущих торгов</t>
  </si>
  <si>
    <t>YIELD_CPPRICE</t>
  </si>
  <si>
    <t>Дох-П Закр</t>
  </si>
  <si>
    <t>Доходность к погашению по цене закрытия</t>
  </si>
  <si>
    <t>YIELD_CWA</t>
  </si>
  <si>
    <t>ТекДох-П Срвз</t>
  </si>
  <si>
    <t>Доходность текущая по средневзвешенной</t>
  </si>
  <si>
    <t>YIELD_HIGH</t>
  </si>
  <si>
    <t>Дох-П Макс</t>
  </si>
  <si>
    <t>Максимальная доходность</t>
  </si>
  <si>
    <t>YIELD_LOW</t>
  </si>
  <si>
    <t>Дох-П Мин</t>
  </si>
  <si>
    <t>Минимальная доходность</t>
  </si>
  <si>
    <t>YIELD_OPEN</t>
  </si>
  <si>
    <t>Дох-П Откр</t>
  </si>
  <si>
    <t>Доходность первой сделки</t>
  </si>
  <si>
    <t>YIELD_O_CWA</t>
  </si>
  <si>
    <t>ТекДох-О Срвз</t>
  </si>
  <si>
    <t>Доходность к оферте текущая по средневзвешенной</t>
  </si>
  <si>
    <t>YIELD_O_SWA</t>
  </si>
  <si>
    <t>ПрстДох-О Срвз</t>
  </si>
  <si>
    <t>Доходность к оферте простая по средневзвешенной</t>
  </si>
  <si>
    <t>YIELD_PREV</t>
  </si>
  <si>
    <t>Дох-П предЗакр</t>
  </si>
  <si>
    <t>Доходность к погашению по цене пред. дня</t>
  </si>
  <si>
    <t>YIELD_SWA</t>
  </si>
  <si>
    <t>ПрстДох-П Срвз</t>
  </si>
  <si>
    <t>Доходность простая по средневзвешенной</t>
  </si>
  <si>
    <t>Порядок действий</t>
  </si>
  <si>
    <t>Доходность индекса государственных облигаций (1-3 года)</t>
  </si>
  <si>
    <t>RU000A103JR3</t>
  </si>
  <si>
    <t>Эксперт РА изменило прогноз по рейтингу эмитента «Легенда» на «стабильный» и подтвердило кредитный рейтинг по Национальной российской рейтинговой шкале на уровне «ruBBB-»</t>
  </si>
  <si>
    <t>Оферта</t>
  </si>
  <si>
    <t>EndMtyDate</t>
  </si>
  <si>
    <t>Код поля</t>
  </si>
  <si>
    <t>Русское название</t>
  </si>
  <si>
    <t>Полное русское название</t>
  </si>
  <si>
    <t>Комментарий</t>
  </si>
  <si>
    <t>BOND</t>
  </si>
  <si>
    <t>TYPE</t>
  </si>
  <si>
    <t>CFI код</t>
  </si>
  <si>
    <t>Тип финансового инструмента (наименование)</t>
  </si>
  <si>
    <t>Вид облигации</t>
  </si>
  <si>
    <t>Биржевые, Классические, Ноты участия в кредите, Кредитные ноты, Евро-коммерческая бумага, Ссуда под долг.об., RMBS, Дим сум</t>
  </si>
  <si>
    <t>Тип облигации</t>
  </si>
  <si>
    <t>Гос, Муни, Корп, ЕвроКорп, ЕвроМуни, ЕвроГос</t>
  </si>
  <si>
    <t>Вид купона</t>
  </si>
  <si>
    <t>Дисконт, Фиксированный, Постоянный, Переменный, Индексируемый, Прочий</t>
  </si>
  <si>
    <t>Структурный параметр облигации</t>
  </si>
  <si>
    <t>Субординированные, Структурированные, Инфраструктурные, Дим сум</t>
  </si>
  <si>
    <t>Признак наличия по выпуску возможности досрочного выкупа или погашения (1-да)</t>
  </si>
  <si>
    <t>Признак наличия амортизационного погашения по выпуску (1-да)</t>
  </si>
  <si>
    <t>Наличие возможности конвертации / осуществленная конвертация в другой инструмент (1-да)</t>
  </si>
  <si>
    <t>Группа по периоду обращения</t>
  </si>
  <si>
    <t>Бессрочные, Краткосрочные, Среднесрочные, Долгосрочные</t>
  </si>
  <si>
    <t>Тип ц.б. по классификации Банка России</t>
  </si>
  <si>
    <t>Наименование типа ц.б. по классификации Банка России</t>
  </si>
  <si>
    <t>Идентификатор типа ценной бумаги</t>
  </si>
  <si>
    <t>Наименование типа ценных бумаг, русское</t>
  </si>
  <si>
    <t>Наименование типа ценных бумаг, английское</t>
  </si>
  <si>
    <t>Форма выпуска ценных бумаг</t>
  </si>
  <si>
    <t>Наименование формы выпуска (русс)</t>
  </si>
  <si>
    <t>Наименование формы выпуска (англ)</t>
  </si>
  <si>
    <t>Идентификатор вида купона (процента)</t>
  </si>
  <si>
    <t>Наименование вида купона (процента), русское</t>
  </si>
  <si>
    <t>Наименование вида купона (процента), английское</t>
  </si>
  <si>
    <t>Наименование типа купонного периода</t>
  </si>
  <si>
    <t>Наличие ковенантов согласно проспекту эмиссии</t>
  </si>
  <si>
    <t>ID</t>
  </si>
  <si>
    <t>Идентификатор выпуска облигаций Rusbonds</t>
  </si>
  <si>
    <t>Наличие возможности досрочного погашения по инициативе эмитента</t>
  </si>
  <si>
    <t>Идентификатор программы выпуска облигаций в базе Интерфакс</t>
  </si>
  <si>
    <t>Краткое название облигации</t>
  </si>
  <si>
    <t>присваивается RusBonds (Интерфакс), ограничение по символам – 25, уникальное</t>
  </si>
  <si>
    <t>Облигация с индексируемым номиналом</t>
  </si>
  <si>
    <t>ISIN-код выпуска облигаций, присваивается НДЦ</t>
  </si>
  <si>
    <t>Дополнительный ISIN-код выпуска облигаций</t>
  </si>
  <si>
    <t>Регистрационный номер выпуска облигаций</t>
  </si>
  <si>
    <t>Маркер сравнения данных НРД и Интерфакса</t>
  </si>
  <si>
    <t>0-данных нет, 1-данные есть только в НРД, 2-данные есть только в Интерфакс, 3-данные имеются в обоих источниках и совпадают, 4-данные имеются в обоих источниках, но не совпадают</t>
  </si>
  <si>
    <t>Номер государственной регистрации/Идентификационный номер</t>
  </si>
  <si>
    <t>Код НРД выпуска облигаций, присваивается НРД</t>
  </si>
  <si>
    <t>Полное название выпуска облигации</t>
  </si>
  <si>
    <t>Полное наименование выпуска ценной бумаги</t>
  </si>
  <si>
    <t>Серия облигации</t>
  </si>
  <si>
    <t>Порядковый номер выпуска</t>
  </si>
  <si>
    <t>Состояние выпуска облигаций</t>
  </si>
  <si>
    <t>Состояние выпуска</t>
  </si>
  <si>
    <t>Наименование состояния бумаги/ выпуска/транша, англ.</t>
  </si>
  <si>
    <t>Наименование состояния бумаги/ выпуска/транша, русское</t>
  </si>
  <si>
    <t xml:space="preserve">Признак наличия дефолта по выпуску (1-да) </t>
  </si>
  <si>
    <t>Секьюритизация</t>
  </si>
  <si>
    <t>Портфель ипотеки, Портфель автокредитов, Секьюритизация, Портфель потребкредитов, Портфель облигаций, Прочие активы</t>
  </si>
  <si>
    <t>Признак включения в ломбардный список БР</t>
  </si>
  <si>
    <t>Признак ценной бумаги предназначенной для квалифицированных инвесторов</t>
  </si>
  <si>
    <t>Листинг/внесписочные (ФБ ММВБ)</t>
  </si>
  <si>
    <t>Признак биржевой облигации</t>
  </si>
  <si>
    <t>Признак наличия по выпуску гарантии (1-да)</t>
  </si>
  <si>
    <t>Вид гарантии</t>
  </si>
  <si>
    <t>Залог, Гарантия, Необеспеченные, Поручительство</t>
  </si>
  <si>
    <t>Полнота гарантии</t>
  </si>
  <si>
    <t>Полная гарантия, Гарантия номинала, Частичная гарантия</t>
  </si>
  <si>
    <t>Гарантированная сумма</t>
  </si>
  <si>
    <t>Признак субъекта РФ</t>
  </si>
  <si>
    <t>Двухбуквенный код страны в соответствии с ОКСМ</t>
  </si>
  <si>
    <t>Признак, определяющий правила расчета НКД</t>
  </si>
  <si>
    <t>в случае значения ИСТИНА расчет НКД осуществляется исходя из купонной ставки; в противном случае – исходя из выплаты на одну облигации, рассчитанную с точностью до второго знака после запятой</t>
  </si>
  <si>
    <t>Идентификатор метода исчисления купонного дохода</t>
  </si>
  <si>
    <t>Базис НКД</t>
  </si>
  <si>
    <t>30/360, act/365, act/365L, act/360, 30E/360, 30/360 German, act/act, act/act ISDA</t>
  </si>
  <si>
    <t>Метод исчисления купонного дохода</t>
  </si>
  <si>
    <t>Количество купонов в год</t>
  </si>
  <si>
    <t>Периодичность  выплаты купона</t>
  </si>
  <si>
    <t>Базовый месяц</t>
  </si>
  <si>
    <t>Базовый год</t>
  </si>
  <si>
    <t>Номинал облигации</t>
  </si>
  <si>
    <t>Номинальная стоимость (в валюте номинала)</t>
  </si>
  <si>
    <t>Остаточная номинальная стоимость к погашению (в валюте номинала)</t>
  </si>
  <si>
    <t>Валюта номинала облигации</t>
  </si>
  <si>
    <t>трехбуквенный код валюты</t>
  </si>
  <si>
    <t>Валюта номинала</t>
  </si>
  <si>
    <t>Количество купонов всего</t>
  </si>
  <si>
    <t>Количество купонов</t>
  </si>
  <si>
    <t>Название оператора выпуска облигаций</t>
  </si>
  <si>
    <t>Name_operator</t>
  </si>
  <si>
    <t>Количество знаков после запятой, до которого выполняют округление НКД и купонных выплат</t>
  </si>
  <si>
    <t>Продолжительность текущего на дату запроса купонного периода в днях</t>
  </si>
  <si>
    <t>ИНН оператора выпуска облигаций</t>
  </si>
  <si>
    <t>Inn_operator</t>
  </si>
  <si>
    <t>Определен ли сектор рынка для инструмента</t>
  </si>
  <si>
    <t>ОКПО оператора выпуска облигаций</t>
  </si>
  <si>
    <t>Okpo_operator</t>
  </si>
  <si>
    <t>Сектор эмитента</t>
  </si>
  <si>
    <t>УИН оператора в БД RusBonds</t>
  </si>
  <si>
    <t>FinInstID_operator</t>
  </si>
  <si>
    <t>Название реального заемщика (эмитента) облигаций</t>
  </si>
  <si>
    <t>ОКПО  реального заемщика (эмитента) облигаций</t>
  </si>
  <si>
    <t>ИНН  реального заемщика (эмитента) облигаций</t>
  </si>
  <si>
    <t>Сектор реального заемщика</t>
  </si>
  <si>
    <t>УИН реального заемщика (эмитента) в БД RusBonds</t>
  </si>
  <si>
    <t>Количество гарантов/поручителей</t>
  </si>
  <si>
    <t>N - полное количество гарантов/поручителей выпуска</t>
  </si>
  <si>
    <t>Регистрирующий орган</t>
  </si>
  <si>
    <t>Орган, зарегистрировавший выпуск/присвоивший идентификационный номер</t>
  </si>
  <si>
    <t>Дата государственной регистрации выпуска</t>
  </si>
  <si>
    <t>Дата государственной регистрации/Дата допуска к торгам на фондовой бирже в процессе размещения</t>
  </si>
  <si>
    <t>Признак размещения по открытой/закрытой подписке</t>
  </si>
  <si>
    <t>Способ размещения</t>
  </si>
  <si>
    <t>Наименование способа размещения ценных бумаг</t>
  </si>
  <si>
    <t>Цена размещения в валюте номинала</t>
  </si>
  <si>
    <t>BegDistDate</t>
  </si>
  <si>
    <t>Дата начала размещения</t>
  </si>
  <si>
    <t>Дата окончания размещения</t>
  </si>
  <si>
    <t>Состояние отчета о выпуске</t>
  </si>
  <si>
    <t>Орган осуществивший регистрацию отчета</t>
  </si>
  <si>
    <t>Дата регистрации отчета о выпуске облигаций / дата отсылки уведомления</t>
  </si>
  <si>
    <t>Дата регистрации Отчёта об Итогах</t>
  </si>
  <si>
    <t>Дата начала начисления первого купона</t>
  </si>
  <si>
    <t>Количество дней с даты начала размещения до даты окончания погашения облигации</t>
  </si>
  <si>
    <t>Период обращения</t>
  </si>
  <si>
    <t>Дата начала погашения</t>
  </si>
  <si>
    <t>Дата погашения облигаций</t>
  </si>
  <si>
    <t>Дата погашения расчетная</t>
  </si>
  <si>
    <t>Дата погашения плановая</t>
  </si>
  <si>
    <t>Заявленный объем эмиссии в валюте номинала</t>
  </si>
  <si>
    <t>Заявленный объем эмиссии в штуках</t>
  </si>
  <si>
    <t>Объявленное  количество штук</t>
  </si>
  <si>
    <t>Объем в обращении в валюте номинала</t>
  </si>
  <si>
    <t>Объем в обращении в штуках</t>
  </si>
  <si>
    <t>Примечание</t>
  </si>
  <si>
    <t>Размещенное количество штук</t>
  </si>
  <si>
    <t>Уполномоченный депозитарий</t>
  </si>
  <si>
    <t>Дата начала первого купонного периода</t>
  </si>
  <si>
    <t>Номер лицевого счета</t>
  </si>
  <si>
    <t>Реестродержатель</t>
  </si>
  <si>
    <t>Тип лицевого счета (НД или НДЦД)</t>
  </si>
  <si>
    <t>Дата открытия лицевого счета/изменения типа ЛС</t>
  </si>
  <si>
    <t>Уровень листинга на Московской бирже</t>
  </si>
  <si>
    <t>1, 2, 3</t>
  </si>
  <si>
    <t>Идентификатор теста, в соответствии с которым по данным "на сегодня" бумага не может быть предложена неквалифицированным инвесторам</t>
  </si>
  <si>
    <t>Идентификатор теста, в соответствии с которым по данным "на завтра" бумага не может быть предложена неквалифицированным инвесторам</t>
  </si>
  <si>
    <t>Выпуск доступен для неквалифицированных инвесторов</t>
  </si>
  <si>
    <t>Идентификатор страны риска. Двухбуквенный код страны в соответствии с ОКСМ.</t>
  </si>
  <si>
    <t>Является сложным инструментом</t>
  </si>
  <si>
    <t>couponrate</t>
  </si>
  <si>
    <t>Ставка текущего купона</t>
  </si>
  <si>
    <t>floatratename</t>
  </si>
  <si>
    <t>Определение плавающей процентной ставки по купону</t>
  </si>
  <si>
    <t>fullname_en_nrd</t>
  </si>
  <si>
    <t>Полное наименование на английском языке по базе НРД</t>
  </si>
  <si>
    <t>issubordinated</t>
  </si>
  <si>
    <t>Признак субординированных облигаций(1-да)</t>
  </si>
  <si>
    <t>issuercountry</t>
  </si>
  <si>
    <t>Страна эмитента. Двухбуквенный код страны в соответствии с ОКСМ.Список возможных значений возвращает метод /Info/EnumValues(‘referenceData’, ‘Country’).</t>
  </si>
  <si>
    <t>issuerregionname</t>
  </si>
  <si>
    <t>Регион в стране эмитента</t>
  </si>
  <si>
    <t>nominaltype</t>
  </si>
  <si>
    <t>Тип номинала ценной бумаги. Список возможных значений возвращает метод /Info/EnumValues (‘referenceData’, ‘nominaltype’).</t>
  </si>
  <si>
    <t>nsd_service</t>
  </si>
  <si>
    <t>Обслуживание в НРД. («На обслуживании» и т.п.). Список возможных значений возвращает метод EnumValues(‘referenceData’, ‘nsd_service’).</t>
  </si>
  <si>
    <t>raterevisionsperyear</t>
  </si>
  <si>
    <t>Частота пересмотра плавающей ставки купона(кол-во раз в год)</t>
  </si>
  <si>
    <t>Сектор экономики по классификатору ЦБ РФ</t>
  </si>
  <si>
    <t>sna2008</t>
  </si>
  <si>
    <t>Система национальных счетов 2008</t>
  </si>
  <si>
    <t>update_time</t>
  </si>
  <si>
    <t>Дата последнего обновления данных по бумаге</t>
  </si>
  <si>
    <t>put</t>
  </si>
  <si>
    <t>Оферта:</t>
  </si>
  <si>
    <t>put+call</t>
  </si>
  <si>
    <t>Кредитный рейтинг эмитента</t>
  </si>
  <si>
    <t>Кредитный рейтинг гаранта/поручителя/оферента</t>
  </si>
  <si>
    <t>Гарант</t>
  </si>
  <si>
    <t>Рейтинг гаранта</t>
  </si>
  <si>
    <t>Рейтинг гаранта (значения)</t>
  </si>
  <si>
    <t>Возможные ошибки</t>
  </si>
  <si>
    <t>Название индекса</t>
  </si>
  <si>
    <t>Код</t>
  </si>
  <si>
    <t>Наименование</t>
  </si>
  <si>
    <t>Сравнение с индексами Московской биржи</t>
  </si>
  <si>
    <t>Доходность индекса государственных облигаций (менее года)</t>
  </si>
  <si>
    <t>Доходность индекса государственных облигаций (3-5 лет)</t>
  </si>
  <si>
    <t>Доходность индекса государственных облигаций (более 5 лет)</t>
  </si>
  <si>
    <t>RUGBITR1Y</t>
  </si>
  <si>
    <t>RUGBITR3Y</t>
  </si>
  <si>
    <t>RUGBITR5Y</t>
  </si>
  <si>
    <t>RUGBITR5+</t>
  </si>
  <si>
    <t>Rudata</t>
  </si>
  <si>
    <t>Cbond</t>
  </si>
  <si>
    <t>Показатели</t>
  </si>
  <si>
    <t>Дата оценки</t>
  </si>
  <si>
    <t>Код мос биржи</t>
  </si>
  <si>
    <t>Last price</t>
  </si>
  <si>
    <t>Placement date</t>
  </si>
  <si>
    <t>Maturity date</t>
  </si>
  <si>
    <t>Duration</t>
  </si>
  <si>
    <t>Offer date</t>
  </si>
  <si>
    <t>Country of risk</t>
  </si>
  <si>
    <t>Сходимость</t>
  </si>
  <si>
    <t>cbonds issuer</t>
  </si>
  <si>
    <t>Emitent industry</t>
  </si>
  <si>
    <t>1. Авторизироваться в cbonds</t>
  </si>
  <si>
    <t>cbond last price</t>
  </si>
  <si>
    <t>cbond close price</t>
  </si>
  <si>
    <t>cbond indicative price</t>
  </si>
  <si>
    <t>cbond last YTM</t>
  </si>
  <si>
    <t>cbond close YTM</t>
  </si>
  <si>
    <t>cbond indicative YTM</t>
  </si>
  <si>
    <t>cbond last YTP</t>
  </si>
  <si>
    <t>cbond close YTP</t>
  </si>
  <si>
    <t>cbond indicative YTP</t>
  </si>
  <si>
    <t>Duration to offer</t>
  </si>
  <si>
    <t>PRICE</t>
  </si>
  <si>
    <t>YTM</t>
  </si>
  <si>
    <t>YTP</t>
  </si>
  <si>
    <t>Duration in years</t>
  </si>
  <si>
    <t>3. Проверить правильность выгрузки рейтингов</t>
  </si>
  <si>
    <t>Подтвержден</t>
  </si>
  <si>
    <t>RUCBTRAAANS</t>
  </si>
  <si>
    <t>RUCBTRAANS</t>
  </si>
  <si>
    <t>RUCBTRANS</t>
  </si>
  <si>
    <t>Доходность индекса корпоративных облигаций с рейтингом AAA (менее года)</t>
  </si>
  <si>
    <t>Доходность индекса корпоративных облигаций с рейтингом AA (менее года)</t>
  </si>
  <si>
    <t>Доходность индекса корпоративных облигаций с рейтингом A (менее года)</t>
  </si>
  <si>
    <t>Доходность индекса корпоративных облигаций с рейтингом AAA (1-3 года)</t>
  </si>
  <si>
    <t>Доходность индекса корпоративных облигаций с рейтингом AA (1-3 года)</t>
  </si>
  <si>
    <t>Доходность индекса корпоративных облигаций с рейтингом A (1-3 года)</t>
  </si>
  <si>
    <t>RUCBTR3A3YNS</t>
  </si>
  <si>
    <t>RUCBTRAA3YNS</t>
  </si>
  <si>
    <t>RUCBTRA3YNS</t>
  </si>
  <si>
    <t>RUCBTR3A5YNS</t>
  </si>
  <si>
    <t>RUCBTRAA5YNS</t>
  </si>
  <si>
    <t>Доходность индекса корпоративных облигаций с рейтингом AAA (более 3-х лет)</t>
  </si>
  <si>
    <t>Доходность индекса корпоративных облигаций с рейтингом AA (более 3-х лет)</t>
  </si>
  <si>
    <t>Доходность индекса корпоративных облигаций с рейтингом BBB</t>
  </si>
  <si>
    <t>RUCBTRBBBNS</t>
  </si>
  <si>
    <t>Границы оси x</t>
  </si>
  <si>
    <t>Границы оси y</t>
  </si>
  <si>
    <t>Границы графиков</t>
  </si>
  <si>
    <t>Chart 1</t>
  </si>
  <si>
    <t>Chart 2</t>
  </si>
  <si>
    <t>Chart 3</t>
  </si>
  <si>
    <t>Max</t>
  </si>
  <si>
    <t>Min</t>
  </si>
  <si>
    <t>Ось X</t>
  </si>
  <si>
    <t>Ось Y</t>
  </si>
  <si>
    <t>Moody's</t>
  </si>
  <si>
    <t>Expert RA</t>
  </si>
  <si>
    <t>Standard &amp; Poor's</t>
  </si>
  <si>
    <t>Moody's Interfax</t>
  </si>
  <si>
    <t>AMB-I-FS&amp;R-LT-Isc</t>
  </si>
  <si>
    <t>MDS-Note-BNP-ShT-Isc-Ncur</t>
  </si>
  <si>
    <t>MDS-B-CDP-ShT-Isc-Ncur</t>
  </si>
  <si>
    <t>MDS-B-CDP-Isc-Icur</t>
  </si>
  <si>
    <t>MDS-B-CDP-Isc-Ncur</t>
  </si>
  <si>
    <t>MDS-Prnc-Shelf-Isc-Ncur</t>
  </si>
  <si>
    <t>MDS-Prnc-Isc-Icur</t>
  </si>
  <si>
    <t>MDS-Prnc-MTN-Isc-Icur</t>
  </si>
  <si>
    <t>MDS-Prnc-MTN-Isc-Ncur</t>
  </si>
  <si>
    <t>MDS-Prnc-Isc-Ncur</t>
  </si>
  <si>
    <t>NRA-C-Cr&amp;D-Nsc</t>
  </si>
  <si>
    <t>NRA-DP-R&amp;QS-Nsc</t>
  </si>
  <si>
    <t>NRA-ESG-Nsc</t>
  </si>
  <si>
    <t>AKRA</t>
  </si>
  <si>
    <t>NCR</t>
  </si>
  <si>
    <t>MDS-NoteJrSr-Isc-Icur</t>
  </si>
  <si>
    <t>MDS-NoteJrSr-Isc-Ncur</t>
  </si>
  <si>
    <t>MDS-NoteJrSr-MTN-Isc-Icur</t>
  </si>
  <si>
    <t>MDS-NoteJrSr-MTN-Isc-Ncur</t>
  </si>
  <si>
    <t>MDS-NoteJrSb-Isc-Icur</t>
  </si>
  <si>
    <t>MDS-NoteJrSb-Isc-Ncur</t>
  </si>
  <si>
    <t>MDS-NoteJrSb-MTN-Isc-Icur</t>
  </si>
  <si>
    <t>MDS-NoteJrSb-MTN-Isc-Ncur</t>
  </si>
  <si>
    <t>MDS-NoteJrSr-Shelf-Isc-Icur</t>
  </si>
  <si>
    <t>MDS-NoteJrSb-Shelf-Isc-Icur</t>
  </si>
  <si>
    <t>MDS-NoteSrSc-Isc-Icur</t>
  </si>
  <si>
    <t>MDS-NoteSrSc-Isc-Ncur</t>
  </si>
  <si>
    <t>MDS-NoteSrSc-MTN-Isc-Icur</t>
  </si>
  <si>
    <t>MDS-NoteSrSc-MTN-Isc-Ncur</t>
  </si>
  <si>
    <t>MDS-NoteSr-MTN-Isc-Icur</t>
  </si>
  <si>
    <t>MDS-NoteSr-MTN-Isc-Ncur</t>
  </si>
  <si>
    <t>MDS-BndC-Isc-Ncur</t>
  </si>
  <si>
    <t>MDS-NoteSrSr-Isc-Icur</t>
  </si>
  <si>
    <t>MDS-NoteSrSr-Isc-Ncur</t>
  </si>
  <si>
    <t>MDS-NoteSrSr-MTN-Isc-Icur</t>
  </si>
  <si>
    <t>MDS-NoteSrSr-MTN-Isc-Ncur</t>
  </si>
  <si>
    <t>MDS-NoteSr-Shelf-Isc-Icur</t>
  </si>
  <si>
    <t>MDS-NoteSr-Shelf-Isc-Ncur</t>
  </si>
  <si>
    <t>MDS-NoteSr-BNP-Isc-Ncur</t>
  </si>
  <si>
    <t>MDS-NoteSb-MTN-Isc-Icur</t>
  </si>
  <si>
    <t>MDS-NoteSb-MTN-Isc-Ncur</t>
  </si>
  <si>
    <t>MDS-NoteSb-Shelf-Isc-Icur</t>
  </si>
  <si>
    <t>MDS-NoteSb-Shelf-Isc-Ncur</t>
  </si>
  <si>
    <t>MDS-NoteSb-BNP-Isc-Ncur</t>
  </si>
  <si>
    <t>EXP-R-ESG-Nsc</t>
  </si>
  <si>
    <t>MDS-IN-FS&amp;R-ShT-Isc-Icur</t>
  </si>
  <si>
    <t>MDS-I-SCAA</t>
  </si>
  <si>
    <t>MDS-Other-ShT-Isc-Icur-b</t>
  </si>
  <si>
    <t>MDS-Other-ShT-Isc-Ncur-b</t>
  </si>
  <si>
    <t>MDS-Other-ShT-Isc-Icur</t>
  </si>
  <si>
    <t>MDS-Other-ShT-Isc-Ncur</t>
  </si>
  <si>
    <t>NRA-Funds-Ncr</t>
  </si>
  <si>
    <t>AKRA-R-ESG-Nsc</t>
  </si>
  <si>
    <t>NCR-C-Cr&amp;D-LT-Nsc</t>
  </si>
  <si>
    <t>AKRA-Bnd-Isc</t>
  </si>
  <si>
    <t>MDS-Cp-RA-LT-Icur-b</t>
  </si>
  <si>
    <t>MDS-Cp-RA-LT-Ncur-b</t>
  </si>
  <si>
    <t>MDS-Cp-RA-ST-Icur-b</t>
  </si>
  <si>
    <t>MDS-Cp-RA-ST-Ncur-b</t>
  </si>
  <si>
    <t>MDS-I-Cr&amp;D-ShT-Isc-Ncur-b</t>
  </si>
  <si>
    <t>MDS-Cp-RA-LT-b</t>
  </si>
  <si>
    <t>MDS-Cp-RA-ST-b</t>
  </si>
  <si>
    <t>NRA-RG-R&amp;QS-LT-Nsc</t>
  </si>
  <si>
    <t>NRA-Bnd-Ncr</t>
  </si>
  <si>
    <t>EXP-mkF-Cr&amp;D-KZsc</t>
  </si>
  <si>
    <t>EXP-B-Cr&amp;D-BYsc</t>
  </si>
  <si>
    <t>MDS-U-Cr&amp;D-LT-Isc</t>
  </si>
  <si>
    <t>NCR-R-ESG-Nsc</t>
  </si>
  <si>
    <t>NRA-LC-Cr&amp;D-Nsc</t>
  </si>
  <si>
    <t>MDS-BndJr-RR</t>
  </si>
  <si>
    <t>NCR-B-Cr&amp;D-LT-Nsc</t>
  </si>
  <si>
    <t>NCR-LC-Cr&amp;D-LT-Nsc</t>
  </si>
  <si>
    <t>NCR-IN-Cr&amp;D-LT-Nsc</t>
  </si>
  <si>
    <t>NCR-G-Cr&amp;D-LT-Nsc</t>
  </si>
  <si>
    <t>MDS-B-Cr&amp;D-LT-Isc</t>
  </si>
  <si>
    <t>MDS-B-Cr&amp;D-ShT-Isc</t>
  </si>
  <si>
    <t>MDS-NoteSr-MTN-Isc-Ncur-b</t>
  </si>
  <si>
    <t>S&amp;P-Bnd-Isc-Icur-p</t>
  </si>
  <si>
    <t>EXP-Funds-Nsc</t>
  </si>
  <si>
    <t>S&amp;P-Bnd-Isc-Ncur-p</t>
  </si>
  <si>
    <t>MDS-B-CDP-ShT-Isc-Icur</t>
  </si>
  <si>
    <t>MDS-NoteSrSc-Isc-Icur-b</t>
  </si>
  <si>
    <t>MDS-NoteSrSc-Isc-Ncur-b</t>
  </si>
  <si>
    <t>MDS-NoteSrSc-MTN-Isc-Icur-b</t>
  </si>
  <si>
    <t>MDS-NoteSr-MTN-Isc-Icur-b</t>
  </si>
  <si>
    <t>MDS-BndC-Isc-Icur</t>
  </si>
  <si>
    <t>NRA-IC-Cr&amp;D-Nsc</t>
  </si>
  <si>
    <t>AKRA-Funds-ESG-Nsc</t>
  </si>
  <si>
    <t>MDS-NoteJrSb-Shelf-Isc-Ncur</t>
  </si>
  <si>
    <t>RAEX-Europe</t>
  </si>
  <si>
    <t>Перевод</t>
  </si>
  <si>
    <t>НКР</t>
  </si>
  <si>
    <t>4. Ищем аналоги</t>
  </si>
  <si>
    <t>5. Добавить корпоративные события</t>
  </si>
  <si>
    <t>6. Активировать макрос и проверить подписи в графиках</t>
  </si>
  <si>
    <t>Корпоративный</t>
  </si>
  <si>
    <t>Определяется по итогам основной сессии в соответствии с п.3 Приложения 2 к Положению № 437-П и с Приказом ФСФР №10-65/пз-н от 09.11.2010</t>
  </si>
  <si>
    <t>Предыдущая рыночная цена цена3 в валюте торгов</t>
  </si>
  <si>
    <t>Наименование подгруппы полей</t>
  </si>
  <si>
    <t>Английское название</t>
  </si>
  <si>
    <t>securitization</t>
  </si>
  <si>
    <t>amortisedmty</t>
  </si>
  <si>
    <t>Признак наличия амортизационного погашения по выпуску (1 - да)</t>
  </si>
  <si>
    <t>haveindexedfv</t>
  </si>
  <si>
    <t>haveoffer</t>
  </si>
  <si>
    <t>Признак наличия по выпуску возможности досрочного выкупа или погашения (1 - да)</t>
  </si>
  <si>
    <t>haverepayment</t>
  </si>
  <si>
    <t>maturitygroup</t>
  </si>
  <si>
    <t>Группа по периоду обращения. Список возможных значений возвращает метод EnumValues (‘referenceData’, ‘MaturityGroup’).</t>
  </si>
  <si>
    <t>havecovenant</t>
  </si>
  <si>
    <t>ratetypenamerus_nrd</t>
  </si>
  <si>
    <t>Наименование вида купона (процента), русское. Список возможных значений возвращает метод EnumValues(‘referenceData’, ‘RateTypeNameRus_NRD’).</t>
  </si>
  <si>
    <t>ratetypenameeng_nrd</t>
  </si>
  <si>
    <t>Наименование вида купона (процента), английское. Список возможных значений возвращает метод EnumValues(‘referenceData’, ‘RateTypeNameEng_NRD’).</t>
  </si>
  <si>
    <t>coupontypename_nrd</t>
  </si>
  <si>
    <t>Наименование типа купонного периода. Список возможных значений возвращает метод EnumValues (‘referenceData’, ‘CouponTypeName_NRD’).</t>
  </si>
  <si>
    <t>rate_type_id</t>
  </si>
  <si>
    <t>isconvertible</t>
  </si>
  <si>
    <t>Наличие возможности конвертации / осуществленная конвертация в другой инструмент (1 - да)</t>
  </si>
  <si>
    <t>Признак субординированных облигаций (1 - да)</t>
  </si>
  <si>
    <t>seniority</t>
  </si>
  <si>
    <t>Старшинство выплат при банкротстве эмитента</t>
  </si>
  <si>
    <t>isnominalindex</t>
  </si>
  <si>
    <t>Дубль поля HaveIndexedFV</t>
  </si>
  <si>
    <t>CLASS</t>
  </si>
  <si>
    <t>fintooltype</t>
  </si>
  <si>
    <t>Тип финансового инструмента (наименование). Список возможных значений возвращает метод EnumValues(‘referenceData’, ‘fintooltype’).</t>
  </si>
  <si>
    <t>securitykind</t>
  </si>
  <si>
    <t>Вид выпуска/спонсируемость/тип инвестиций. Список возможных значений возвращает метод EnumValues (‘referenceData’, ‘SecurityKind’).</t>
  </si>
  <si>
    <t>securitytype</t>
  </si>
  <si>
    <t>Тип выпуска/расписки/фонда. Список возможных значений возвращает метод EnumValues(‘referenceData’, ‘SecurityType’).</t>
  </si>
  <si>
    <t>coupontype</t>
  </si>
  <si>
    <t>Вид купона. Список возможных значений возвращает метод EnumValues(‘referenceData’, ‘CouponType’).</t>
  </si>
  <si>
    <t>bondstructuralpar</t>
  </si>
  <si>
    <t>formarketbonds_nrd</t>
  </si>
  <si>
    <t>sectypenamerus_nrd</t>
  </si>
  <si>
    <t>Наименование типа ценных бумаг, русское. Список возможных значений возвращает метод EnumValues(‘referenceData’, ‘SecTypeNameRus_NRD’).</t>
  </si>
  <si>
    <t>sectypenameeng_nrd</t>
  </si>
  <si>
    <t>Наименование типа ценных бумаг, английское. Список возможных значений возвращает метод EnumValues(‘referenceData’, ‘SecTypeNameEng_NRD’).</t>
  </si>
  <si>
    <t>secformnamerus_nrd</t>
  </si>
  <si>
    <t>Наименование формы выпуска(русс). Список возможных значений возвращает метод EnumValues(‘referenceData’, ‘SecFormNameRus_NRD’).</t>
  </si>
  <si>
    <t>secformnameeng_nrd</t>
  </si>
  <si>
    <t>Наименование формы выпуска(англ). Список возможных значений возвращает метод EnumValues(‘referenceData’, ‘SecFormNameEng_NRD’).</t>
  </si>
  <si>
    <t>sectypenamebr_nrd</t>
  </si>
  <si>
    <t>Наименование типа ц.б.по классификации Банка России. Список возможных значений возвращает метод EnumValues (‘referenceData’, ‘SecTypeNameBR_NRD’).</t>
  </si>
  <si>
    <t>placementtype_nrd</t>
  </si>
  <si>
    <t>Наименование способа размещения ценных бумаг. Список возможных значений возвращает метод EnumValues(‘referenceData’, ‘PlacementType_NRD’).</t>
  </si>
  <si>
    <t>sec_type_id</t>
  </si>
  <si>
    <t>sec_form_id</t>
  </si>
  <si>
    <t>Идентификатор формы выпуска ценных бумаг. Соответствующие наименования см.поля secformnamerus_nrd и secformnameeng_nrd</t>
  </si>
  <si>
    <t>placement_type_id</t>
  </si>
  <si>
    <t>privatedist</t>
  </si>
  <si>
    <t>sec_type_br_code</t>
  </si>
  <si>
    <t>Тип ц.б. по классификации Банка России. Список возможных значений возвращает метод EnumValues (‘referenceData’, ‘Sec_Type_BR_Code’).</t>
  </si>
  <si>
    <t>fintool_rusbonds_type</t>
  </si>
  <si>
    <t>Классификация инструмента по RusBonds</t>
  </si>
  <si>
    <t>DR</t>
  </si>
  <si>
    <t>dr_category_name_nrd</t>
  </si>
  <si>
    <t>Полное наименование категории депозитарных расписок (рус.)</t>
  </si>
  <si>
    <t>dr_category_name_en_nrd</t>
  </si>
  <si>
    <t>Полное наименование категории депозитарных расписок (англ.)</t>
  </si>
  <si>
    <t>dr_category_mn</t>
  </si>
  <si>
    <t>Мнемокод категории депозитарных расписок</t>
  </si>
  <si>
    <t>QI</t>
  </si>
  <si>
    <t>isqualified_nrd</t>
  </si>
  <si>
    <t>Для квалифицированных инвесторов (1/0) по базе НРД</t>
  </si>
  <si>
    <t>isqualified</t>
  </si>
  <si>
    <t>Предназначено для квалифицированных инвесторов</t>
  </si>
  <si>
    <t>sector4212u</t>
  </si>
  <si>
    <t>assetssector</t>
  </si>
  <si>
    <t>SHARE</t>
  </si>
  <si>
    <t>share_category_name_nrd</t>
  </si>
  <si>
    <t>Наименование категории, русское. Список возможных значений возвращает метод EnumValues(‘referenceData’, ‘Share_Category_Name_NRD’).</t>
  </si>
  <si>
    <t>share_category_name_en_nrd</t>
  </si>
  <si>
    <t>Наименование категории, английское. Список возможных значений возвращает метод EnumValues(‘referenceData’, ‘Share_Category_Name_En_NRD’).</t>
  </si>
  <si>
    <t>share_category_id</t>
  </si>
  <si>
    <t>Категория акций</t>
  </si>
  <si>
    <t>BASE</t>
  </si>
  <si>
    <t>isincodebase_nrd</t>
  </si>
  <si>
    <t>ISIN-код выпуска акций, на которые выпущены расписки</t>
  </si>
  <si>
    <t>base_asset_fintoolid</t>
  </si>
  <si>
    <t>Идентификатор базового актива</t>
  </si>
  <si>
    <t>id_iss</t>
  </si>
  <si>
    <t>Идентификатор основного торгового инструмента</t>
  </si>
  <si>
    <t>CODE</t>
  </si>
  <si>
    <t>isincode</t>
  </si>
  <si>
    <t>ISIN-код финансового инструмента</t>
  </si>
  <si>
    <t>regcode</t>
  </si>
  <si>
    <t>Регистрационный номер финансового инструмента</t>
  </si>
  <si>
    <t>fintoolid</t>
  </si>
  <si>
    <t>Идентификатор финансового инструмента в базе Интерфакс</t>
  </si>
  <si>
    <t>Financial instrument's Interfax identifier</t>
  </si>
  <si>
    <t>nrdcode</t>
  </si>
  <si>
    <t>Код НРД финансового инструмента</t>
  </si>
  <si>
    <t>regcode_m</t>
  </si>
  <si>
    <t>Маркер сравнения регистрационного номера финансового инструмента НРД и Интерфакса</t>
  </si>
  <si>
    <t>issuenumber</t>
  </si>
  <si>
    <t>Номер выпуска по базе НРД</t>
  </si>
  <si>
    <t>bondseries</t>
  </si>
  <si>
    <t>Номер серии по базе НРД</t>
  </si>
  <si>
    <t>regcode_nrd</t>
  </si>
  <si>
    <t>Регистрационный номер финансового инструмента в базе НРД</t>
  </si>
  <si>
    <t>moex_code</t>
  </si>
  <si>
    <t>Идентификатор инструмента на Московской бирже (SECID)</t>
  </si>
  <si>
    <t>isin144a</t>
  </si>
  <si>
    <t>progfintoolid</t>
  </si>
  <si>
    <t>Связь между УИН выпуска облигаций и УИН программы облигаций</t>
  </si>
  <si>
    <t>regcode_norm</t>
  </si>
  <si>
    <t>Регистрационный номер финансового инструмента в нормализованном виде (только цифры и буквы)</t>
  </si>
  <si>
    <t>nickname</t>
  </si>
  <si>
    <t>Краткое наименование финансового инструмента</t>
  </si>
  <si>
    <t>fullname</t>
  </si>
  <si>
    <t>Полное название финансового инструмента</t>
  </si>
  <si>
    <t>fullname_nrd</t>
  </si>
  <si>
    <t>Полное название финансового инструмента по базе НРД</t>
  </si>
  <si>
    <t>moex_name</t>
  </si>
  <si>
    <t>Краткое наименование инструмента на Московской бирже (SHORTNAME)</t>
  </si>
  <si>
    <t>PARAM</t>
  </si>
  <si>
    <t>ACCINT</t>
  </si>
  <si>
    <t>basis</t>
  </si>
  <si>
    <t>Базис НКД по базе Интерфакс. Список возможных значений возвращает метод EnumValues(‘referenceData’, ‘Basis’).</t>
  </si>
  <si>
    <t>accruedintcalctype</t>
  </si>
  <si>
    <t>Признак, определяющий правила расчета НКД. Список возможных значений возвращает метод EnumValues(‘referenceData’, ‘AccruedintCalcType’).</t>
  </si>
  <si>
    <t>fraction_nrd</t>
  </si>
  <si>
    <t>Количество знаков после запятой</t>
  </si>
  <si>
    <t>base_month</t>
  </si>
  <si>
    <t>Базовый месяц по базе НРД</t>
  </si>
  <si>
    <t>base_year</t>
  </si>
  <si>
    <t>Базовый год по базе НРД</t>
  </si>
  <si>
    <t>basis_nrd</t>
  </si>
  <si>
    <t>Базис НКД по базе НРД. Список возможных значений возвращает метод EnumValues (‘referenceData’, ‘Basis_NRD’).</t>
  </si>
  <si>
    <t>coupon_period_base_id</t>
  </si>
  <si>
    <t>numdecimals</t>
  </si>
  <si>
    <t>COVER</t>
  </si>
  <si>
    <t>guaranteetype</t>
  </si>
  <si>
    <t>Вид гарантии. Список возможных значений возвращает метод EnumValues(‘referenceData’, ‘GuaranteeType’).</t>
  </si>
  <si>
    <t>guaranteeamount</t>
  </si>
  <si>
    <t>isguaranteed</t>
  </si>
  <si>
    <t>guarantval</t>
  </si>
  <si>
    <t>isgosgarantee</t>
  </si>
  <si>
    <t>Есть ли гос. гарантия</t>
  </si>
  <si>
    <t>couponperyear</t>
  </si>
  <si>
    <t>couponperiod</t>
  </si>
  <si>
    <t>numcoupons</t>
  </si>
  <si>
    <t>numcoupons_m</t>
  </si>
  <si>
    <t>Маркер сравнения количества купонов всего НРД и Интерфакса</t>
  </si>
  <si>
    <t>numcoupons_nrd</t>
  </si>
  <si>
    <t>Количество купонов всего по базе НРД</t>
  </si>
  <si>
    <t>cp_type_id</t>
  </si>
  <si>
    <t>Периодичность выплаты купона</t>
  </si>
  <si>
    <t>Частота пересмотра плавающей ставки купона (кол-во раз в год)</t>
  </si>
  <si>
    <t>Ближайшая дата определения купонной ставки (если применимо)</t>
  </si>
  <si>
    <t>FACEVAL</t>
  </si>
  <si>
    <t>facevalue</t>
  </si>
  <si>
    <t>Начальный номинал финансового инструмента</t>
  </si>
  <si>
    <t>faceftname</t>
  </si>
  <si>
    <t>Валюта номинала финансового инструмента. Список возможных значений возвращает метод /Info/EnumValues (‘referenceData’, ‘FaceFTName’).</t>
  </si>
  <si>
    <t>facevalue_m</t>
  </si>
  <si>
    <t>Маркер сравнения начального номинала финансового инструмента НРД и Интерфакса</t>
  </si>
  <si>
    <t>faceftname_m</t>
  </si>
  <si>
    <t>Маркер сравнения валюты номинала НРД и Интерфакса</t>
  </si>
  <si>
    <t>currentfacevalue_nrd</t>
  </si>
  <si>
    <t>Текущий номинал облигации с учетом амортизации по базе НРД</t>
  </si>
  <si>
    <t>facevalue_nrd</t>
  </si>
  <si>
    <t>Номинал финансового инструмента по базе НРД</t>
  </si>
  <si>
    <t>faceftname_nrd</t>
  </si>
  <si>
    <t>Валюта номинала финансового инструмента по базе НРД. Список возможных значений возвращает метод EnumValues (‘referenceData’, ‘FaceFTName_NRD’).</t>
  </si>
  <si>
    <t>drqty</t>
  </si>
  <si>
    <t>Количество ДР</t>
  </si>
  <si>
    <t>shqty</t>
  </si>
  <si>
    <t>Количество представляемых ц.б.</t>
  </si>
  <si>
    <t>LIST</t>
  </si>
  <si>
    <t>islombardcbr_nrd</t>
  </si>
  <si>
    <t>Включение в ломбардный список (1/0) по базе НРД</t>
  </si>
  <si>
    <t>micexlist_nrd</t>
  </si>
  <si>
    <t>listing_level_spb</t>
  </si>
  <si>
    <t>Уровень листинга на “Бирже СПБ”</t>
  </si>
  <si>
    <t>REGION</t>
  </si>
  <si>
    <t>country</t>
  </si>
  <si>
    <t>Двухбуквенный код страны в соответствии с ОКСМ. Список возможных значений возвращает метод /Info/EnumValues(‘referenceData’, ‘Country’).</t>
  </si>
  <si>
    <t>isregion</t>
  </si>
  <si>
    <t>Выпуск субъекта федерации: 0 - муниципальный выпуск, 1 - выпуск субъекта федерации, пусто - другое.</t>
  </si>
  <si>
    <t>original_country</t>
  </si>
  <si>
    <t>Идентификатор страны риска в базе Интерфакс. Двухбуквенный код страны в соответствии с ОКСМ.</t>
  </si>
  <si>
    <t>status</t>
  </si>
  <si>
    <t>Состояние выпуска финансового инструмента. Список возможных значений возвращает метод /Info/EnumValues(‘referenceData’, ‘Status’).</t>
  </si>
  <si>
    <t>havedefault</t>
  </si>
  <si>
    <t>Признак наличия дефолта по выпуску (1 - да)</t>
  </si>
  <si>
    <t>secstaterus_nrd</t>
  </si>
  <si>
    <t>Наименование состояния бумаги/ выпуска/транша, русское. Список возможных значений возвращает метод EnumValues(‘referenceData’, ‘SecStateRus_NRD’).</t>
  </si>
  <si>
    <t>secstateeng_nrd</t>
  </si>
  <si>
    <t>Наименование состояния бумаги/ выпуска/транша, англ. Список возможных значений возвращает метод EnumValues(‘referenceData’, ‘SecStateEng_NRD’).</t>
  </si>
  <si>
    <t>sec_state_id</t>
  </si>
  <si>
    <t>CUSTODY</t>
  </si>
  <si>
    <t>ACC</t>
  </si>
  <si>
    <t>registraracctype_nrd</t>
  </si>
  <si>
    <t>Тип лицевого счета (НД или НДЦД). Список возможных значений возвращает метод EnumValues (‘referenceData’, ‘RegistrarAccType_NRD’).</t>
  </si>
  <si>
    <t>registraracctypedate_nrd</t>
  </si>
  <si>
    <t>facialacc_nrd</t>
  </si>
  <si>
    <t>acc_open_date_nrd</t>
  </si>
  <si>
    <t>Дата первого открытия ЛС в реестре</t>
  </si>
  <si>
    <t>DEPO</t>
  </si>
  <si>
    <t>depositary_nrd</t>
  </si>
  <si>
    <t>registrar_nrd</t>
  </si>
  <si>
    <t>minlot_nrd</t>
  </si>
  <si>
    <t>Минимальный лот (в валюте номинала) для проведения расчетов в ISCD</t>
  </si>
  <si>
    <t>specialized_depo_nrd</t>
  </si>
  <si>
    <t>Код НРД специализированного депозитария</t>
  </si>
  <si>
    <t>DIST&amp;MTY</t>
  </si>
  <si>
    <t>Ближайшая дата безотзывной оферты</t>
  </si>
  <si>
    <t>Ближайшая дата досрочного погашения по инициативе эмитента</t>
  </si>
  <si>
    <t>firstcoupondate</t>
  </si>
  <si>
    <t>firstcoupondate_nrd</t>
  </si>
  <si>
    <t>endmtydate</t>
  </si>
  <si>
    <t>Дата погашения финансового инструмента</t>
  </si>
  <si>
    <t>endmtydate_m</t>
  </si>
  <si>
    <t>Маркер сравнения даты погашения финансового инструмента НРД и Интерфакса</t>
  </si>
  <si>
    <t>daysall_m</t>
  </si>
  <si>
    <t>Маркер сравнения количества дней с даты начала размещения до даты окончания погашения облигации НРД и Интерфакса</t>
  </si>
  <si>
    <t>daysall_nrd</t>
  </si>
  <si>
    <t>Количество дней с даты начала размещения до даты окончания погашения облигации по базе НРД</t>
  </si>
  <si>
    <t>endmtydate_nrd</t>
  </si>
  <si>
    <t>Дата погашения финансового инструмента по базе НРД</t>
  </si>
  <si>
    <t>planmtydate_nrd</t>
  </si>
  <si>
    <t>begmtydate</t>
  </si>
  <si>
    <t>daysall</t>
  </si>
  <si>
    <t>PLACEMT</t>
  </si>
  <si>
    <t>enddistdate</t>
  </si>
  <si>
    <t>begdistdate_m</t>
  </si>
  <si>
    <t>Маркер сравнения даты начала размещения НРД и Интерфакса</t>
  </si>
  <si>
    <t>enddistdate_m</t>
  </si>
  <si>
    <t>Маркер сравнения даты окончания размещения НРД и Интерфакса</t>
  </si>
  <si>
    <t>begdistdate_nrd</t>
  </si>
  <si>
    <t>Дата начала размещения по базе НРД</t>
  </si>
  <si>
    <t>enddistdate_nrd</t>
  </si>
  <si>
    <t>Дата окончания размещения по базе НРД</t>
  </si>
  <si>
    <t>placeprice_nrd</t>
  </si>
  <si>
    <t>begdistdate</t>
  </si>
  <si>
    <t>beg_book_date</t>
  </si>
  <si>
    <t>Дата открытия книги заявок</t>
  </si>
  <si>
    <t>REGISTR</t>
  </si>
  <si>
    <t>regdate_m</t>
  </si>
  <si>
    <t>Маркер сравнения даты государственной регистрации выпуска НРД и Интерфакса</t>
  </si>
  <si>
    <t>regdate_nrd</t>
  </si>
  <si>
    <t>Дата государственной регистрации выпуска в базе НРД</t>
  </si>
  <si>
    <t>regorg_nrd</t>
  </si>
  <si>
    <t>Регистрирующий орган по базе НРД</t>
  </si>
  <si>
    <t>regdate</t>
  </si>
  <si>
    <t>regorg</t>
  </si>
  <si>
    <t>REPORT</t>
  </si>
  <si>
    <t>regdistdate_m</t>
  </si>
  <si>
    <t>Маркер сравнения даты регистрации отчета о выпуске финансового инструмента / даты отсылки уведомления НРД и Интерфакса</t>
  </si>
  <si>
    <t>rpregorg_nrd</t>
  </si>
  <si>
    <t>Орган, осуществивший регистрацию отчета по базе НРД</t>
  </si>
  <si>
    <t>rpstate_nrd</t>
  </si>
  <si>
    <t>Состояние отчета о выпуске по базе НРД. Список возможных значений возвращает метод /EnumValues (‘referenceData’, ‘RpState_NRD’).</t>
  </si>
  <si>
    <t>regdistdate_nrd</t>
  </si>
  <si>
    <t>Дата регистрации отчета о выпуске финансового инструмента / дата отсылки уведомления по базе НРД</t>
  </si>
  <si>
    <t>VOLUME</t>
  </si>
  <si>
    <t>sumissueval</t>
  </si>
  <si>
    <t>summarketval</t>
  </si>
  <si>
    <t>sumissuevol_m</t>
  </si>
  <si>
    <t>Маркер сравнения заявленного объема эмиссии в штуках НРД и Интерфакса</t>
  </si>
  <si>
    <t>summarketvol_m</t>
  </si>
  <si>
    <t>Маркер сравнения объема в обращении в штуках НРД и Интерфакса</t>
  </si>
  <si>
    <t>summarketvol_nrd</t>
  </si>
  <si>
    <t>Объем в обращении в штуках по базе НРД</t>
  </si>
  <si>
    <t>sumissuevol_nrd</t>
  </si>
  <si>
    <t>Заявленный объем эмиссии в штуках по базе НРД</t>
  </si>
  <si>
    <t>summarketvolorig_nrd</t>
  </si>
  <si>
    <t>Объем бумаг в обращении (с учетом доп. выпусков за вычетом погашенных ц.б) по остаточной номинальной стоимости</t>
  </si>
  <si>
    <t>sumissuevol</t>
  </si>
  <si>
    <t>summarketvol</t>
  </si>
  <si>
    <t>MODEL</t>
  </si>
  <si>
    <t>RequestedCode</t>
  </si>
  <si>
    <t>Запрошенный код</t>
  </si>
  <si>
    <t>RequestedType</t>
  </si>
  <si>
    <t>Тип запрошенного кода</t>
  </si>
  <si>
    <t>cfi</t>
  </si>
  <si>
    <t>Код типа инструмента</t>
  </si>
  <si>
    <t>RequestedCodeError</t>
  </si>
  <si>
    <t>Ошибка при запросе кода</t>
  </si>
  <si>
    <t>seniorityname</t>
  </si>
  <si>
    <t>Старшинство выплат - наименование</t>
  </si>
  <si>
    <t>regdistdate</t>
  </si>
  <si>
    <t>Дата регистрации отчета о выпуске финансового инструмента / дата отсылки уведомления</t>
  </si>
  <si>
    <t>avge_yield</t>
  </si>
  <si>
    <t>Средневзвешенная доходность</t>
  </si>
  <si>
    <t>accruedinterest</t>
  </si>
  <si>
    <t>Накопленный купонный доход в валюте номинала</t>
  </si>
  <si>
    <t>nextcoupondate</t>
  </si>
  <si>
    <t>Дата следующего купона</t>
  </si>
  <si>
    <t>beg_offer_date</t>
  </si>
  <si>
    <t>Расчетная дата выкупа</t>
  </si>
  <si>
    <t>next_repayment_date</t>
  </si>
  <si>
    <t>Дата ближайшего возможного погашения</t>
  </si>
  <si>
    <t>isinold</t>
  </si>
  <si>
    <t>Прежний isin</t>
  </si>
  <si>
    <t>exch</t>
  </si>
  <si>
    <t>Идентификатор биржи</t>
  </si>
  <si>
    <t>Exchange ID</t>
  </si>
  <si>
    <t>MAINROLE</t>
  </si>
  <si>
    <t>BORROW</t>
  </si>
  <si>
    <t>borrowername</t>
  </si>
  <si>
    <t>borrowerinn</t>
  </si>
  <si>
    <t>ИНН / TIN реального заемщика(эмитента) облигаций; для депо-расписок ИНН / TIN эмитента представляемой(базовой) ценной бумаги</t>
  </si>
  <si>
    <t>borrowersector</t>
  </si>
  <si>
    <t>Сектор реального заемщика. Список возможных значений возвращает метод EnumValues(‘referenceData’, ‘BorrowerSector’).</t>
  </si>
  <si>
    <t>borrowerokpo</t>
  </si>
  <si>
    <t>ОКПО реального заемщика (эмитента) облигаций</t>
  </si>
  <si>
    <t>borroweruid</t>
  </si>
  <si>
    <t>УИН реального заемщика (эмитента) в БД Интерфакс (fininstid)</t>
  </si>
  <si>
    <t>borrowercountry</t>
  </si>
  <si>
    <t>Страна реального заёмщика. Двухбуквенный код страны в соответствии с ОКСМ. Список возможных значений возвращает метод /Info/EnumValues(‘referenceData’, ‘Country’).</t>
  </si>
  <si>
    <t>borrowerregionname</t>
  </si>
  <si>
    <t>Регион в стране реального заемщика</t>
  </si>
  <si>
    <t>borrower_investment_grade</t>
  </si>
  <si>
    <t>Принадлежность заемщика к инвестиционному классу</t>
  </si>
  <si>
    <t>MULTIPLIER</t>
  </si>
  <si>
    <t>DIV</t>
  </si>
  <si>
    <t>common_dividend_rate_lq</t>
  </si>
  <si>
    <t>Дивиденды по обыкновенным акциям за последний квартал</t>
  </si>
  <si>
    <t>common_dividend_yield_1y</t>
  </si>
  <si>
    <t>Дивидендная доходность по обыкновенным акциям за последний год</t>
  </si>
  <si>
    <t>common_dividend_yield_5y</t>
  </si>
  <si>
    <t>Дивидендная доходность по обыкновенным акциям за последние 5 лет</t>
  </si>
  <si>
    <t>FUND</t>
  </si>
  <si>
    <t>cmp_code_nsd_issuer_nrd</t>
  </si>
  <si>
    <t>Код НРД фонда/ИСУ</t>
  </si>
  <si>
    <t>cmp_code_nsd_managing_nrd</t>
  </si>
  <si>
    <t>Код НРД управляющего ипотечным покрытием</t>
  </si>
  <si>
    <t>company_state_name_nrd</t>
  </si>
  <si>
    <t>Наименование состояния организации</t>
  </si>
  <si>
    <t>company_state_mn</t>
  </si>
  <si>
    <t>Мнемокод состояния организации</t>
  </si>
  <si>
    <t>GUARANT</t>
  </si>
  <si>
    <t>numguarantors</t>
  </si>
  <si>
    <t>mspcorp_is_guarant</t>
  </si>
  <si>
    <t>Гарантом/поручителем по выпуску является “Федеральная корпорация по развитию малого и среднего предпринимательства”</t>
  </si>
  <si>
    <t>issuername</t>
  </si>
  <si>
    <t>Название оператора выпуска финансового инструмента</t>
  </si>
  <si>
    <t>issuerinn</t>
  </si>
  <si>
    <t>ИНН / TIN оператора выпуска финансового инструмента</t>
  </si>
  <si>
    <t>issuersector</t>
  </si>
  <si>
    <t>Сектор эмитента. Список возможных значений возвращает метод EnumValues(‘referenceData’, ‘IssuerSector’).</t>
  </si>
  <si>
    <t>nrdcompcode</t>
  </si>
  <si>
    <t>Код НРД эмитента</t>
  </si>
  <si>
    <t>issuername_nrd</t>
  </si>
  <si>
    <t>Название оператора выпуска финансового инструмента по базе НРД</t>
  </si>
  <si>
    <t>issuerokpo</t>
  </si>
  <si>
    <t>ОКПО оператора выпуска финансового инструмента</t>
  </si>
  <si>
    <t>issueruid</t>
  </si>
  <si>
    <t>УИН оператора в БД Интерфакс (fininstid)</t>
  </si>
  <si>
    <t>Страна эмитента. Двухбуквенный код страны в соответствии с ОКСМ. Список возможных значений возвращает метод /Info/EnumValues(‘referenceData’, ‘Country’).</t>
  </si>
  <si>
    <t>issuer_revenue_rank</t>
  </si>
  <si>
    <t>Оценка размера бизнеса эмитента по годовому выражению выручки из последней имеющейся отчетности РСБУ</t>
  </si>
  <si>
    <t>issuer_msp_type</t>
  </si>
  <si>
    <t>Категория МСП, если эмитент включен в реестр МСП</t>
  </si>
  <si>
    <t>issuer_rusbonds_type</t>
  </si>
  <si>
    <t>Классификация эмитента по RusBonds</t>
  </si>
  <si>
    <t>issuer_msp_support</t>
  </si>
  <si>
    <t>Признак участия эмитента в реестре МСП-ПП</t>
  </si>
  <si>
    <t>issuer_investment_grade</t>
  </si>
  <si>
    <t>Принадлежность эмитента к инвестиционному классу</t>
  </si>
  <si>
    <t>ORGANIZ</t>
  </si>
  <si>
    <t>beneficiary_revenue_rank</t>
  </si>
  <si>
    <t>Оценка размера бизнеса интересанта по годовому выражению выручки из последней имеющейся отчетности РСБУ</t>
  </si>
  <si>
    <t>beneficiaryuid</t>
  </si>
  <si>
    <t>Идентификатор бенефициара</t>
  </si>
  <si>
    <t>mspbank_is_coorganizer</t>
  </si>
  <si>
    <t>Соорганизатором выпуска является “Российский Банк поддержки малого и среднего предпринимательства”</t>
  </si>
  <si>
    <t>RATIO</t>
  </si>
  <si>
    <t>current_ratio</t>
  </si>
  <si>
    <t>Отношение оборотных активов к краткосрочным обязательствам</t>
  </si>
  <si>
    <t>ev_ebitda</t>
  </si>
  <si>
    <t>Отношение стоимости компании к ее прибыли до уплаты процентов, налогов и затрат на амортизацию</t>
  </si>
  <si>
    <t>ev_sales</t>
  </si>
  <si>
    <t>Отношение стоимости компании к ее выручке</t>
  </si>
  <si>
    <t>la</t>
  </si>
  <si>
    <t>Отношение обязательств компании к ее активам</t>
  </si>
  <si>
    <t>leverage</t>
  </si>
  <si>
    <t>Отношение долга к собственному капиталу компании</t>
  </si>
  <si>
    <t>net_debt_to_ebitda</t>
  </si>
  <si>
    <t>Отношение чистого долга к прибыли до уплаты процентов, налогов и затрат на амортизацию</t>
  </si>
  <si>
    <t>net_profit_margin</t>
  </si>
  <si>
    <t>Отношение чистой прибыли к выручке</t>
  </si>
  <si>
    <t>payout_ratio</t>
  </si>
  <si>
    <t>Отношение выплаченных за год дивидендов к чистой прибыли</t>
  </si>
  <si>
    <t>price_book</t>
  </si>
  <si>
    <t>Отношение текущей рыночной стоимости компании к балансовой стоимости ее активов</t>
  </si>
  <si>
    <t>price_earnings</t>
  </si>
  <si>
    <t>Отношение рыночной цены компании к чистой прибыли</t>
  </si>
  <si>
    <t>price_fcf</t>
  </si>
  <si>
    <t>Отношение рыночной цены компании к свободным денежным средствам компании</t>
  </si>
  <si>
    <t>price_sales</t>
  </si>
  <si>
    <t>Отношение текущей рыночной стоимости компании к ее выручке</t>
  </si>
  <si>
    <t>roa</t>
  </si>
  <si>
    <t>Отношение чистой прибыли компании к ее активам (коэффициент рентабельности активов)</t>
  </si>
  <si>
    <t>roe</t>
  </si>
  <si>
    <t>Отношение чистой прибыли к собственному капиталу компании (коэффициент рентабельности собственного капитала)</t>
  </si>
  <si>
    <t>roi</t>
  </si>
  <si>
    <t>Отношение чистой прибыли компании к ее инвестициям (коэффициент возврата инвестиий)</t>
  </si>
  <si>
    <t>ros</t>
  </si>
  <si>
    <t>Отношение чистой прибыли компании к ее собственному капиталу</t>
  </si>
  <si>
    <t>RESULT</t>
  </si>
  <si>
    <t>book_value</t>
  </si>
  <si>
    <t>Бухгалтерская стоимость компании</t>
  </si>
  <si>
    <t>sales</t>
  </si>
  <si>
    <t>Выручка</t>
  </si>
  <si>
    <t>earnings</t>
  </si>
  <si>
    <t>Чистая прибыль</t>
  </si>
  <si>
    <t>ebitda</t>
  </si>
  <si>
    <t>Прибыль до уплаты процентов, налогов и затрат на амортизацию</t>
  </si>
  <si>
    <t>enterprise_value</t>
  </si>
  <si>
    <t>Стоимость компании с учетом долговой нагрузки</t>
  </si>
  <si>
    <t>long_term_debt</t>
  </si>
  <si>
    <t>Долгосрочные обязательства компании (более 1 года)</t>
  </si>
  <si>
    <t>market_cap</t>
  </si>
  <si>
    <t>Стоимость компании на рынке без учета долговой нагрзки</t>
  </si>
  <si>
    <t>net_debt</t>
  </si>
  <si>
    <t>Чистый долг компании</t>
  </si>
  <si>
    <t>RATING</t>
  </si>
  <si>
    <t>s_and_p_fintool_rating</t>
  </si>
  <si>
    <t>Рейтинг инструмента S&amp;P Global</t>
  </si>
  <si>
    <t>moody_fintool_rating</t>
  </si>
  <si>
    <t>Рейтинг инструмента Moody's Investors</t>
  </si>
  <si>
    <t>fitch_fintool_rating</t>
  </si>
  <si>
    <t>Рейтинг инструмента Fitch Ratings</t>
  </si>
  <si>
    <t>akra_fintool_rating</t>
  </si>
  <si>
    <t>Рейтинг инструмента АКРА</t>
  </si>
  <si>
    <t>expert_ra_fintool_rating</t>
  </si>
  <si>
    <t>Рейтинг инструмента ЭкспертРА</t>
  </si>
  <si>
    <t>nra_fintool_rating</t>
  </si>
  <si>
    <t>Рейтинг инструмента НРА</t>
  </si>
  <si>
    <t>ncr_fintool_rating</t>
  </si>
  <si>
    <t>Рейтинг инструмента НКР</t>
  </si>
  <si>
    <t>s_and_p_emitent_rating</t>
  </si>
  <si>
    <t>Рейтинг эмитента S&amp;P Global</t>
  </si>
  <si>
    <t>moody_emitent_rating</t>
  </si>
  <si>
    <t>Рейтинг эмитента Moody's Investors</t>
  </si>
  <si>
    <t>fitch_emitent_rating</t>
  </si>
  <si>
    <t>Рейтинг эмитента Fitch Ratings</t>
  </si>
  <si>
    <t>akra_emitent_rating</t>
  </si>
  <si>
    <t>Рейтинг эмитента АКРА</t>
  </si>
  <si>
    <t>expert_ra_emitent_rating</t>
  </si>
  <si>
    <t>Рейтинг эмитента ЭкспертРА</t>
  </si>
  <si>
    <t>nra_emitent_rating</t>
  </si>
  <si>
    <t>Рейтинг эмитента НРА</t>
  </si>
  <si>
    <t>ncr_emitent_rating</t>
  </si>
  <si>
    <t>Рейтинг эмитента НКР</t>
  </si>
  <si>
    <t>SUPPORT</t>
  </si>
  <si>
    <t>ATTRIB</t>
  </si>
  <si>
    <t>ismatched</t>
  </si>
  <si>
    <t>Сверен ли инструмент (с НРД или иным первоисточником данных)</t>
  </si>
  <si>
    <t>includedinindex</t>
  </si>
  <si>
    <t>Входит в состав одного из основных индексов</t>
  </si>
  <si>
    <t>NOTE</t>
  </si>
  <si>
    <t>note</t>
  </si>
  <si>
    <t>Примечание - выдержки из эмиссионных документов</t>
  </si>
  <si>
    <t>UPDATE</t>
  </si>
  <si>
    <t>TRADING</t>
  </si>
  <si>
    <t>ACTIV</t>
  </si>
  <si>
    <t>numdealsdays_1d</t>
  </si>
  <si>
    <t>Количество дней со сделками за 1 торговый день</t>
  </si>
  <si>
    <t>numdealsdays_2d</t>
  </si>
  <si>
    <t>Количество дней со сделками за 2 торговых дня</t>
  </si>
  <si>
    <t>numdealsdays_5d</t>
  </si>
  <si>
    <t>Количество дней со сделками за 5 торговых дней</t>
  </si>
  <si>
    <t>numdealsdays_10d</t>
  </si>
  <si>
    <t>Количество дней со сделками за 10 торговых дней</t>
  </si>
  <si>
    <t>numdealsdays_1m</t>
  </si>
  <si>
    <t>Количество дней со сделками за 1 месяц</t>
  </si>
  <si>
    <t>CHANGE</t>
  </si>
  <si>
    <t>chng_pct</t>
  </si>
  <si>
    <t>Изменение цены за день</t>
  </si>
  <si>
    <t>chng_w_pct</t>
  </si>
  <si>
    <t>Изменение цены за неделю</t>
  </si>
  <si>
    <t>chng_m_pct</t>
  </si>
  <si>
    <t>Изменение цены за месяц</t>
  </si>
  <si>
    <t>chng_y_pct</t>
  </si>
  <si>
    <t>Изменение цены за год</t>
  </si>
  <si>
    <t>DEAL</t>
  </si>
  <si>
    <t>numtrades_1d</t>
  </si>
  <si>
    <t>Количество сделок за 1 торговый день</t>
  </si>
  <si>
    <t>numtrades_2d</t>
  </si>
  <si>
    <t>Количество сделок за 2 торговых дня</t>
  </si>
  <si>
    <t>numtrades_5d</t>
  </si>
  <si>
    <t>Количество сделок за 5 торговых дней</t>
  </si>
  <si>
    <t>numtrades_10d</t>
  </si>
  <si>
    <t>Количество сделок за 10 торговых дней</t>
  </si>
  <si>
    <t>numtrades_1m</t>
  </si>
  <si>
    <t>Количество сделок за 1 месяц</t>
  </si>
  <si>
    <t>EOD</t>
  </si>
  <si>
    <t>tradesite</t>
  </si>
  <si>
    <t>Идентификатор основной торговой площадки, см. поле id в /Info/ExchangeTree</t>
  </si>
  <si>
    <t>Дюрация к ближайшему погашению</t>
  </si>
  <si>
    <t>yield_agg</t>
  </si>
  <si>
    <t>Агрегированная оценка доходности к ближайшему погашению</t>
  </si>
  <si>
    <t>durmd</t>
  </si>
  <si>
    <t>Модифицированная дюрация к ближайшему погашению</t>
  </si>
  <si>
    <t>z_wa_mb</t>
  </si>
  <si>
    <t>Z-спред к ближайшему погашению</t>
  </si>
  <si>
    <t>last</t>
  </si>
  <si>
    <t>Цена на основной торговой площадке, в % для облигаций</t>
  </si>
  <si>
    <t>current_waprice</t>
  </si>
  <si>
    <t>Текущая средневзвешенная цена, в % к номиналу</t>
  </si>
  <si>
    <t>current_numtrades</t>
  </si>
  <si>
    <t>Текущее количество сделок</t>
  </si>
  <si>
    <t>current_dayvalue</t>
  </si>
  <si>
    <t>Текущий объем сделок, в валюте торгов</t>
  </si>
  <si>
    <t>current_agg_numtrades</t>
  </si>
  <si>
    <t>Агрегированное текущее количество сделок</t>
  </si>
  <si>
    <t>current_agg_dayvalue</t>
  </si>
  <si>
    <t>Агрегированный текущий объем сделок, в валюте торгов</t>
  </si>
  <si>
    <t>current_g_spread</t>
  </si>
  <si>
    <t>Текущий g-spread</t>
  </si>
  <si>
    <t>current_z_spread</t>
  </si>
  <si>
    <t>Текущий z-spread</t>
  </si>
  <si>
    <t>current_effective_yield</t>
  </si>
  <si>
    <t>Текущая эффективная доходность</t>
  </si>
  <si>
    <t>g_spread</t>
  </si>
  <si>
    <t>g-spread из предыдущих итогов торгов</t>
  </si>
  <si>
    <t>z_spread</t>
  </si>
  <si>
    <t>z-spread из предыдущих итогов торгов</t>
  </si>
  <si>
    <t>effective_yield</t>
  </si>
  <si>
    <t>Эффективная доходность из предыдущих итогов торгов</t>
  </si>
  <si>
    <t>have_mm_moex</t>
  </si>
  <si>
    <t>Бумага имеет маркетмейкеров на Московской бирже</t>
  </si>
  <si>
    <t>have_mm_spb</t>
  </si>
  <si>
    <t>Бумага имеет маркетмейкеров на Бирже СПБ</t>
  </si>
  <si>
    <t>high_risk</t>
  </si>
  <si>
    <t>Признак повышенного риска</t>
  </si>
  <si>
    <t>moex_growthsector</t>
  </si>
  <si>
    <t>Флаг принадлежности инструмента к сектору роста МБ</t>
  </si>
  <si>
    <t>moex_iir</t>
  </si>
  <si>
    <t>Флаг принадлежности инструмента к сектору ПИР Московской Биржи</t>
  </si>
  <si>
    <t>STAT</t>
  </si>
  <si>
    <t>mcap</t>
  </si>
  <si>
    <t>Капитализация выпуска по итогам торгов</t>
  </si>
  <si>
    <t>free_float</t>
  </si>
  <si>
    <t>Доля в свободном обращении</t>
  </si>
  <si>
    <t>beta</t>
  </si>
  <si>
    <t>Бэта к основному индексу</t>
  </si>
  <si>
    <t>beta_sector</t>
  </si>
  <si>
    <t>Бэта к секторальному индексу</t>
  </si>
  <si>
    <t>TEST</t>
  </si>
  <si>
    <t>iscomplicated</t>
  </si>
  <si>
    <t>Выпуск является сложным</t>
  </si>
  <si>
    <t>available_for_unqualified</t>
  </si>
  <si>
    <t>qualified_test_id</t>
  </si>
  <si>
    <t>Идентификатор теста, в соответствии с которым по данным ‘на сегодня’ бумага не может быть предложена неквалифицированным инвесторам</t>
  </si>
  <si>
    <t>qualified_test_id_tm</t>
  </si>
  <si>
    <t>Идентификатор теста, в соответствии с которым по данным ‘на завтра’ бумага не может быть предложена неквалифицированным инвесторам</t>
  </si>
  <si>
    <t>for_unqualified_investor</t>
  </si>
  <si>
    <t>Доступность для неквалифицированных инвесторов: 0 - Нет, 1 - Да, 2 - Да, после тестирования, -1 - Неизвестно</t>
  </si>
  <si>
    <t>val_acc</t>
  </si>
  <si>
    <t>Дневной оборот в валюте торгов за предыдущий торговый день</t>
  </si>
  <si>
    <t>val_1d</t>
  </si>
  <si>
    <t>Объем торгов за 1 торговый день</t>
  </si>
  <si>
    <t>val_2d</t>
  </si>
  <si>
    <t>Объем торгов за 2 торговых дня</t>
  </si>
  <si>
    <t>val_5d</t>
  </si>
  <si>
    <t>Объем торгов за 5 торговых дней</t>
  </si>
  <si>
    <t>val_10d</t>
  </si>
  <si>
    <t>Объем торгов за 10 торговых дней</t>
  </si>
  <si>
    <t>val_1m</t>
  </si>
  <si>
    <t>Объем торгов за 1 месяц</t>
  </si>
  <si>
    <t>avgval_1m</t>
  </si>
  <si>
    <t>Средний дневной оборот за месяц в валюте номинала</t>
  </si>
  <si>
    <t>currentfacevalue_ifx</t>
  </si>
  <si>
    <t>Текущий номинал по данным Интерфакс</t>
  </si>
  <si>
    <t>accrint_facevalue_currency</t>
  </si>
  <si>
    <t>Накопленный купонный доход, конвертированный в валюту номинала</t>
  </si>
  <si>
    <t>debt_to_ebitda</t>
  </si>
  <si>
    <t>Отношение долга компании к прибыли до уплаты процентов, налогов и затрат на амортизацию</t>
  </si>
  <si>
    <t>gross_margin</t>
  </si>
  <si>
    <t>Отношение валовой прибыль к выручке (в %)</t>
  </si>
  <si>
    <t>ebit_to_interest_expenses</t>
  </si>
  <si>
    <t>Отношение прибыли до уплаты налогов и процентов к затратам на уплату процентов</t>
  </si>
  <si>
    <t>debt_to_ffo</t>
  </si>
  <si>
    <t>Отношение долга к денежным потокам от операционной деятельности</t>
  </si>
  <si>
    <t>gross_income</t>
  </si>
  <si>
    <t>Валовая прибыль</t>
  </si>
  <si>
    <t>roce</t>
  </si>
  <si>
    <t>Доходность используемого капитала</t>
  </si>
  <si>
    <t>equity</t>
  </si>
  <si>
    <t>Собственный капитал компании</t>
  </si>
  <si>
    <t>assets</t>
  </si>
  <si>
    <t>Активы компании</t>
  </si>
  <si>
    <t>debt</t>
  </si>
  <si>
    <t>Совокупный долг компании</t>
  </si>
  <si>
    <t>prevlclose</t>
  </si>
  <si>
    <t>Цена на начало периода (день)</t>
  </si>
  <si>
    <t>lclose</t>
  </si>
  <si>
    <t>Цена на конец периода (день)</t>
  </si>
  <si>
    <t>high</t>
  </si>
  <si>
    <t>Максимальная цена за день</t>
  </si>
  <si>
    <t>low</t>
  </si>
  <si>
    <t>Минимальная цена за день</t>
  </si>
  <si>
    <t>range</t>
  </si>
  <si>
    <t>Диапазон за 1 день</t>
  </si>
  <si>
    <t>prevlclose_M</t>
  </si>
  <si>
    <t>Цена на начало периода (месяц)</t>
  </si>
  <si>
    <t>prevlclose_Y</t>
  </si>
  <si>
    <t>Цена на начало периода (год)</t>
  </si>
  <si>
    <t>high_M</t>
  </si>
  <si>
    <t>Максимальная цена за месяц</t>
  </si>
  <si>
    <t>high_Y</t>
  </si>
  <si>
    <t>Максимальная цена за год</t>
  </si>
  <si>
    <t>low_M</t>
  </si>
  <si>
    <t>Минимальная цена за месяц</t>
  </si>
  <si>
    <t>low_Y</t>
  </si>
  <si>
    <t>Минимальная цена за год</t>
  </si>
  <si>
    <t>range_M</t>
  </si>
  <si>
    <t>Диапазон за месяц</t>
  </si>
  <si>
    <t>range_Y</t>
  </si>
  <si>
    <t>Диапазон за год</t>
  </si>
  <si>
    <t>Биржа</t>
  </si>
  <si>
    <t>CLOSE (как значения)</t>
  </si>
  <si>
    <t>CLOSE_YIELD</t>
  </si>
  <si>
    <t>CLOSE_YIELD_OFFER</t>
  </si>
  <si>
    <t>DURATION_OFFER</t>
  </si>
  <si>
    <t>График 3</t>
  </si>
  <si>
    <t xml:space="preserve">
01.01.2024
</t>
  </si>
  <si>
    <t xml:space="preserve">
02.01.2024
</t>
  </si>
  <si>
    <t>Доходность индекса корпоративных облигаций с рейтингом A (более 1-го года)</t>
  </si>
  <si>
    <t>Double test выгружаемых данных из Rudata и Cbonds</t>
  </si>
  <si>
    <t>Выгрузка Cbonds</t>
  </si>
  <si>
    <t>Выгрузка Rudata</t>
  </si>
  <si>
    <t>G-Curve</t>
  </si>
  <si>
    <t>Last yield</t>
  </si>
  <si>
    <t>Критерий</t>
  </si>
  <si>
    <t>Количество облигаций в обращении</t>
  </si>
  <si>
    <t>Стабильный</t>
  </si>
  <si>
    <t>Begdistdate</t>
  </si>
  <si>
    <t>2. Активировать макрос bonds_out</t>
  </si>
  <si>
    <t>Даты</t>
  </si>
  <si>
    <t>Валюта</t>
  </si>
  <si>
    <t>Снят</t>
  </si>
  <si>
    <t>снят</t>
  </si>
  <si>
    <t>Issuer</t>
  </si>
  <si>
    <t>Установлен</t>
  </si>
  <si>
    <t>Количество брокеров, дилеров или иных участников рынка, чьи котировки публично доступны</t>
  </si>
  <si>
    <t>Разность между средней ценой спроса и средней ценой предложения в котировках брокеров, дилеров или иных участников рынка, чьи котировки публично доступны</t>
  </si>
  <si>
    <t>Критерии активности внебиржевого рынка</t>
  </si>
  <si>
    <t>Критерии активности биржевого рынка</t>
  </si>
  <si>
    <t>Cbonds Estimation</t>
  </si>
  <si>
    <t>Динамика доходности</t>
  </si>
  <si>
    <t>Объём торгов</t>
  </si>
  <si>
    <t>№1</t>
  </si>
  <si>
    <t>Количество сделок</t>
  </si>
  <si>
    <t>№2</t>
  </si>
  <si>
    <t>№3</t>
  </si>
  <si>
    <t>Московская Биржа T+ (CNY)</t>
  </si>
  <si>
    <t>Московская Биржа T+ (EUR)</t>
  </si>
  <si>
    <t>Московская Биржа T+ (USD)</t>
  </si>
  <si>
    <t xml:space="preserve">Московская Биржа Т+ </t>
  </si>
  <si>
    <t>ID1</t>
  </si>
  <si>
    <t>Основной рынок</t>
  </si>
  <si>
    <t>ID2</t>
  </si>
  <si>
    <t>ID3</t>
  </si>
  <si>
    <t>ID4</t>
  </si>
  <si>
    <t>ID5</t>
  </si>
  <si>
    <t>ID6</t>
  </si>
  <si>
    <t>ID7</t>
  </si>
  <si>
    <t>Код биржи</t>
  </si>
  <si>
    <t>Индекс курса</t>
  </si>
  <si>
    <t>Курс</t>
  </si>
  <si>
    <t>CNY</t>
  </si>
  <si>
    <t>EUR</t>
  </si>
  <si>
    <t>USD</t>
  </si>
  <si>
    <t>RUB</t>
  </si>
  <si>
    <t>RU000A1057D4</t>
  </si>
  <si>
    <t>"Холдинговая компания "Металлоинвест", АО</t>
  </si>
  <si>
    <t>BBB+</t>
  </si>
  <si>
    <t>aaa.ru</t>
  </si>
  <si>
    <t>AAA.ru</t>
  </si>
  <si>
    <t>XS0650962185</t>
  </si>
  <si>
    <t>RU000A0JR076</t>
  </si>
  <si>
    <t>RU000A0JS5B5</t>
  </si>
  <si>
    <t>RU000A0JTLJ3</t>
  </si>
  <si>
    <t>RU000A0JTLL9</t>
  </si>
  <si>
    <t>RU000A0JS5A7</t>
  </si>
  <si>
    <t>RU000A0JS5L4</t>
  </si>
  <si>
    <t>RU000A0JVWN8</t>
  </si>
  <si>
    <t>RU000A0JWBF6</t>
  </si>
  <si>
    <t>RU000A100YF3</t>
  </si>
  <si>
    <t>RU000A101EF3</t>
  </si>
  <si>
    <t>RU000A0JW5H6</t>
  </si>
  <si>
    <t>RU000A0JWBE9</t>
  </si>
  <si>
    <t>RU000A100B73</t>
  </si>
  <si>
    <t>RU000A101R90</t>
  </si>
  <si>
    <t>XS0918297382</t>
  </si>
  <si>
    <t>XS1603335610</t>
  </si>
  <si>
    <t>XS2400040973</t>
  </si>
  <si>
    <t>RU000A1057A0</t>
  </si>
  <si>
    <t>RU000A105A04</t>
  </si>
  <si>
    <t>RU000A105M75</t>
  </si>
  <si>
    <t>RU000A105W08</t>
  </si>
  <si>
    <t>RU000A1071S3</t>
  </si>
  <si>
    <t>RU000A1079S6</t>
  </si>
  <si>
    <t>RU000A107K18</t>
  </si>
  <si>
    <t>RU000A108WY1</t>
  </si>
  <si>
    <t>Cbonds Индекс замещающих облигаций (YTM)</t>
  </si>
  <si>
    <t>Cbonds Russia Corporate CNY YTM Index</t>
  </si>
  <si>
    <t>Cbonds Russia Corporate Onshore YTM Index</t>
  </si>
  <si>
    <t>Cbonds Russia Corporate Onshore AAA YTM Index</t>
  </si>
  <si>
    <t>Cbonds Russia Corporate Onshore A/AA YTM Index</t>
  </si>
  <si>
    <t>Eurozone Par Yield AAA Rated 10Y</t>
  </si>
  <si>
    <t>Eurozone Par Yield All Issuers 10Y</t>
  </si>
  <si>
    <t>ChinaBond Government Bond Yield Curve 10Y</t>
  </si>
  <si>
    <t>UST Zero-Coupon Yield Curve 10Y</t>
  </si>
  <si>
    <t>Сравнение с индексами облигаций Московской биржи и Cbonds</t>
  </si>
  <si>
    <t>x</t>
  </si>
  <si>
    <t>Chart 4</t>
  </si>
  <si>
    <t>Облигация с инфляционно-индексируемым номиналом</t>
  </si>
  <si>
    <t>current_coupontype</t>
  </si>
  <si>
    <t>Вид текущего купона</t>
  </si>
  <si>
    <t>profit_type</t>
  </si>
  <si>
    <t>Вид дохода</t>
  </si>
  <si>
    <t>Отрасль актива. Поле не поддерживается.</t>
  </si>
  <si>
    <t>AA+(RU)</t>
  </si>
  <si>
    <t>Понижен</t>
  </si>
  <si>
    <t>aa+(ru)</t>
  </si>
  <si>
    <t>AKRA-C-Cr&amp;D-LT-Nsc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</si>
</sst>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64" formatCode="_(* #,##0.00_);_(* \(#,##0.00\);_(* &quot;-&quot;??_);_(@_)"/>
    <numFmt numFmtId="165" formatCode="0.000000"/>
    <numFmt numFmtId="166" formatCode="0.000000000000"/>
    <numFmt numFmtId="167" formatCode="d/m/yyyy;@"/>
    <numFmt numFmtId="168" formatCode="dd/mm/yyyy;@"/>
    <numFmt numFmtId="169" formatCode="dd\.mm\.yyyy"/>
    <numFmt numFmtId="170" formatCode="###\ ###\ ###\ ##0.00%"/>
    <numFmt numFmtId="171" formatCode="#,##0\ _₽"/>
    <numFmt numFmtId="172" formatCode="###\ ###\ ###\ ##0"/>
    <numFmt numFmtId="173" formatCode="_(* #,##0_);_(* \(#,##0\);_(* &quot;-&quot;??_);_(@_)"/>
    <numFmt numFmtId="174" formatCode="0.000%"/>
  </numFmts>
  <fonts count="2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i/>
      <sz val="11"/>
      <color rgb="FF7F7F7F"/>
      <name val="Verdana"/>
      <family val="2"/>
    </font>
    <font>
      <sz val="11"/>
      <color theme="1"/>
      <name val="Calibri"/>
      <family val="2"/>
      <charset val="204"/>
    </font>
    <font>
      <b/>
      <sz val="10"/>
      <name val="Calibri"/>
      <family val="2"/>
      <charset val="204"/>
    </font>
    <font>
      <b/>
      <sz val="10"/>
      <color theme="4" tint="-0.499984740745262"/>
      <name val="Calibri"/>
      <family val="2"/>
      <charset val="204"/>
    </font>
    <font>
      <sz val="11"/>
      <name val="Calibri"/>
      <family val="2"/>
      <charset val="204"/>
      <scheme val="minor"/>
    </font>
    <font>
      <sz val="10"/>
      <name val="Calibri"/>
      <family val="2"/>
      <charset val="204"/>
    </font>
    <font>
      <sz val="10"/>
      <color theme="1"/>
      <name val="Calibri"/>
      <family val="2"/>
      <charset val="204"/>
    </font>
    <font>
      <b/>
      <sz val="12"/>
      <name val="Calibri"/>
      <family val="2"/>
      <charset val="204"/>
    </font>
    <font>
      <b/>
      <sz val="10"/>
      <color theme="1"/>
      <name val="Calibri"/>
      <family val="2"/>
      <charset val="204"/>
    </font>
    <font>
      <sz val="10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0070C0"/>
      <name val="Calibri"/>
      <family val="2"/>
      <charset val="204"/>
      <scheme val="minor"/>
    </font>
    <font>
      <sz val="11"/>
      <color rgb="FFC00000"/>
      <name val="Calibri"/>
      <family val="2"/>
      <charset val="204"/>
      <scheme val="minor"/>
    </font>
    <font>
      <b/>
      <sz val="11"/>
      <color rgb="FFC00000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b/>
      <sz val="11"/>
      <color rgb="FFFF0000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0"/>
      <color rgb="FFFFFFFF"/>
      <name val="Arial"/>
      <family val="2"/>
      <charset val="204"/>
    </font>
    <font>
      <b/>
      <sz val="11"/>
      <color theme="1"/>
      <name val="Arial"/>
      <family val="2"/>
      <charset val="204"/>
    </font>
    <font>
      <b/>
      <sz val="16"/>
      <color theme="1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theme="2" tint="-0.249977111117893"/>
      <name val="Calibri"/>
      <family val="2"/>
      <charset val="204"/>
      <scheme val="minor"/>
    </font>
    <font>
      <sz val="11"/>
      <color theme="0" tint="-0.499984740745262"/>
      <name val="Calibri"/>
      <family val="2"/>
      <charset val="204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E89F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7CE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751CB"/>
        <bgColor indexed="64"/>
      </patternFill>
    </fill>
    <fill>
      <patternFill patternType="solid">
        <fgColor rgb="FFCBA9E5"/>
        <bgColor indexed="64"/>
      </patternFill>
    </fill>
    <fill>
      <patternFill patternType="solid">
        <fgColor rgb="FFE1CCF0"/>
        <bgColor indexed="64"/>
      </patternFill>
    </fill>
    <fill>
      <patternFill patternType="solid">
        <fgColor rgb="FFEADBF5"/>
        <bgColor indexed="64"/>
      </patternFill>
    </fill>
    <fill>
      <patternFill patternType="solid">
        <fgColor theme="0" tint="-0.49998474074526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21" fillId="0" borderId="0">
      <alignment horizontal="left" vertical="center"/>
    </xf>
    <xf numFmtId="0" fontId="22" fillId="9" borderId="0">
      <alignment horizontal="center" vertical="center"/>
    </xf>
    <xf numFmtId="0" fontId="23" fillId="0" borderId="0">
      <alignment horizontal="left" vertical="center"/>
    </xf>
    <xf numFmtId="0" fontId="21" fillId="10" borderId="0">
      <alignment horizontal="left" vertical="center"/>
    </xf>
    <xf numFmtId="0" fontId="25" fillId="12" borderId="0" applyNumberFormat="0" applyBorder="0" applyAlignment="0" applyProtection="0"/>
  </cellStyleXfs>
  <cellXfs count="224">
    <xf numFmtId="0" fontId="0" fillId="0" borderId="0" xfId="0"/>
    <xf numFmtId="14" fontId="0" fillId="0" borderId="0" xfId="0" applyNumberFormat="1"/>
    <xf numFmtId="0" fontId="6" fillId="0" borderId="0" xfId="0" applyFont="1"/>
    <xf numFmtId="0" fontId="7" fillId="0" borderId="2" xfId="3" applyFont="1" applyFill="1" applyBorder="1" applyAlignment="1">
      <alignment horizontal="center" vertical="center" wrapText="1"/>
    </xf>
    <xf numFmtId="0" fontId="7" fillId="0" borderId="0" xfId="3" applyFont="1" applyFill="1" applyBorder="1" applyAlignment="1">
      <alignment horizontal="center" vertical="center" wrapText="1"/>
    </xf>
    <xf numFmtId="3" fontId="7" fillId="0" borderId="0" xfId="3" applyNumberFormat="1" applyFont="1" applyFill="1" applyBorder="1" applyAlignment="1">
      <alignment horizontal="center" vertical="center"/>
    </xf>
    <xf numFmtId="0" fontId="7" fillId="0" borderId="1" xfId="3" applyFont="1" applyFill="1" applyBorder="1" applyAlignment="1">
      <alignment horizontal="center" vertical="center" wrapText="1"/>
    </xf>
    <xf numFmtId="0" fontId="7" fillId="0" borderId="1" xfId="3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14" fontId="15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8" fontId="0" fillId="0" borderId="0" xfId="0" applyNumberFormat="1"/>
    <xf numFmtId="0" fontId="16" fillId="0" borderId="0" xfId="0" applyFont="1"/>
    <xf numFmtId="167" fontId="0" fillId="0" borderId="0" xfId="0" applyNumberFormat="1"/>
    <xf numFmtId="0" fontId="15" fillId="0" borderId="3" xfId="0" applyFont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14" fontId="0" fillId="0" borderId="3" xfId="0" applyNumberFormat="1" applyBorder="1"/>
    <xf numFmtId="0" fontId="0" fillId="2" borderId="3" xfId="0" applyFill="1" applyBorder="1"/>
    <xf numFmtId="14" fontId="16" fillId="0" borderId="3" xfId="0" applyNumberFormat="1" applyFont="1" applyBorder="1"/>
    <xf numFmtId="0" fontId="0" fillId="0" borderId="3" xfId="0" applyBorder="1"/>
    <xf numFmtId="168" fontId="0" fillId="0" borderId="3" xfId="0" applyNumberFormat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vertical="center"/>
    </xf>
    <xf numFmtId="14" fontId="0" fillId="0" borderId="3" xfId="0" applyNumberFormat="1" applyBorder="1" applyAlignment="1">
      <alignment horizontal="center" vertical="center"/>
    </xf>
    <xf numFmtId="167" fontId="0" fillId="0" borderId="3" xfId="0" applyNumberFormat="1" applyBorder="1" applyAlignment="1">
      <alignment horizontal="center" vertical="center"/>
    </xf>
    <xf numFmtId="167" fontId="14" fillId="2" borderId="3" xfId="0" applyNumberFormat="1" applyFont="1" applyFill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167" fontId="16" fillId="0" borderId="3" xfId="0" applyNumberFormat="1" applyFont="1" applyBorder="1" applyAlignment="1">
      <alignment horizontal="center" vertical="center"/>
    </xf>
    <xf numFmtId="10" fontId="0" fillId="0" borderId="3" xfId="2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8" fillId="0" borderId="0" xfId="0" applyFont="1"/>
    <xf numFmtId="0" fontId="8" fillId="0" borderId="1" xfId="0" applyFont="1" applyBorder="1" applyAlignment="1">
      <alignment wrapText="1"/>
    </xf>
    <xf numFmtId="0" fontId="8" fillId="0" borderId="1" xfId="0" applyFont="1" applyBorder="1"/>
    <xf numFmtId="0" fontId="8" fillId="0" borderId="0" xfId="0" applyFont="1" applyAlignment="1">
      <alignment horizontal="right"/>
    </xf>
    <xf numFmtId="0" fontId="9" fillId="0" borderId="0" xfId="0" applyFont="1" applyAlignment="1">
      <alignment vertical="center"/>
    </xf>
    <xf numFmtId="0" fontId="3" fillId="0" borderId="0" xfId="0" applyFont="1"/>
    <xf numFmtId="0" fontId="8" fillId="0" borderId="0" xfId="0" applyFont="1" applyAlignment="1">
      <alignment horizontal="left" vertical="center"/>
    </xf>
    <xf numFmtId="14" fontId="3" fillId="0" borderId="0" xfId="0" applyNumberFormat="1" applyFont="1"/>
    <xf numFmtId="3" fontId="8" fillId="0" borderId="0" xfId="0" applyNumberFormat="1" applyFont="1" applyAlignment="1">
      <alignment horizontal="center"/>
    </xf>
    <xf numFmtId="10" fontId="8" fillId="0" borderId="0" xfId="0" applyNumberFormat="1" applyFont="1" applyAlignment="1">
      <alignment horizontal="center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14" fontId="3" fillId="0" borderId="1" xfId="0" applyNumberFormat="1" applyFont="1" applyBorder="1"/>
    <xf numFmtId="0" fontId="3" fillId="0" borderId="1" xfId="0" applyFont="1" applyBorder="1"/>
    <xf numFmtId="0" fontId="10" fillId="0" borderId="0" xfId="0" applyFont="1" applyAlignment="1">
      <alignment horizontal="center"/>
    </xf>
    <xf numFmtId="0" fontId="8" fillId="0" borderId="0" xfId="0" applyFont="1" applyAlignment="1">
      <alignment horizontal="left" vertical="center" wrapText="1"/>
    </xf>
    <xf numFmtId="10" fontId="8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/>
    </xf>
    <xf numFmtId="2" fontId="11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" fontId="11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166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3" fontId="16" fillId="0" borderId="3" xfId="0" applyNumberFormat="1" applyFont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169" fontId="8" fillId="0" borderId="0" xfId="0" applyNumberFormat="1" applyFont="1" applyAlignment="1">
      <alignment horizontal="center"/>
    </xf>
    <xf numFmtId="169" fontId="3" fillId="0" borderId="0" xfId="0" applyNumberFormat="1" applyFont="1" applyAlignment="1">
      <alignment horizontal="center" vertical="center"/>
    </xf>
    <xf numFmtId="2" fontId="16" fillId="0" borderId="3" xfId="0" applyNumberFormat="1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1" fontId="0" fillId="0" borderId="3" xfId="0" applyNumberFormat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0" fillId="0" borderId="3" xfId="0" applyNumberFormat="1" applyBorder="1" applyAlignment="1">
      <alignment horizontal="center" vertical="center"/>
    </xf>
    <xf numFmtId="0" fontId="0" fillId="0" borderId="0" xfId="0" applyNumberFormat="1"/>
    <xf numFmtId="0" fontId="14" fillId="2" borderId="3" xfId="0" applyNumberFormat="1" applyFont="1" applyFill="1" applyBorder="1" applyAlignment="1">
      <alignment horizontal="center" vertical="center"/>
    </xf>
    <xf numFmtId="0" fontId="0" fillId="0" borderId="3" xfId="0" applyNumberFormat="1" applyBorder="1"/>
    <xf numFmtId="0" fontId="6" fillId="3" borderId="0" xfId="0" applyFont="1" applyFill="1"/>
    <xf numFmtId="14" fontId="8" fillId="0" borderId="0" xfId="0" applyNumberFormat="1" applyFont="1" applyAlignment="1">
      <alignment horizontal="right"/>
    </xf>
    <xf numFmtId="0" fontId="0" fillId="4" borderId="0" xfId="0" applyFill="1"/>
    <xf numFmtId="169" fontId="3" fillId="0" borderId="0" xfId="0" applyNumberFormat="1" applyFont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0" xfId="0" applyAlignment="1">
      <alignment wrapText="1"/>
    </xf>
    <xf numFmtId="0" fontId="0" fillId="5" borderId="0" xfId="0" applyFill="1"/>
    <xf numFmtId="0" fontId="0" fillId="5" borderId="0" xfId="0" applyFill="1" applyAlignment="1">
      <alignment wrapText="1"/>
    </xf>
    <xf numFmtId="0" fontId="14" fillId="6" borderId="3" xfId="0" applyFont="1" applyFill="1" applyBorder="1" applyAlignment="1">
      <alignment horizontal="center" vertical="center"/>
    </xf>
    <xf numFmtId="169" fontId="8" fillId="0" borderId="0" xfId="0" applyNumberFormat="1" applyFont="1" applyFill="1" applyAlignment="1">
      <alignment horizont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6" fillId="0" borderId="0" xfId="0" applyFont="1" applyFill="1"/>
    <xf numFmtId="0" fontId="19" fillId="2" borderId="3" xfId="0" applyFont="1" applyFill="1" applyBorder="1" applyAlignment="1">
      <alignment horizontal="center" vertical="center"/>
    </xf>
    <xf numFmtId="0" fontId="0" fillId="0" borderId="0" xfId="0" applyFill="1" applyBorder="1"/>
    <xf numFmtId="0" fontId="14" fillId="0" borderId="0" xfId="0" applyFont="1" applyAlignment="1">
      <alignment horizontal="left"/>
    </xf>
    <xf numFmtId="0" fontId="14" fillId="0" borderId="0" xfId="0" applyFont="1"/>
    <xf numFmtId="0" fontId="0" fillId="0" borderId="3" xfId="0" applyFill="1" applyBorder="1"/>
    <xf numFmtId="0" fontId="20" fillId="4" borderId="3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170" fontId="0" fillId="0" borderId="3" xfId="0" applyNumberFormat="1" applyBorder="1" applyAlignment="1">
      <alignment horizontal="center"/>
    </xf>
    <xf numFmtId="3" fontId="8" fillId="0" borderId="0" xfId="0" applyNumberFormat="1" applyFont="1" applyFill="1" applyAlignment="1">
      <alignment horizontal="center"/>
    </xf>
    <xf numFmtId="0" fontId="15" fillId="7" borderId="3" xfId="0" applyFont="1" applyFill="1" applyBorder="1" applyAlignment="1">
      <alignment horizontal="center" vertical="center"/>
    </xf>
    <xf numFmtId="14" fontId="15" fillId="7" borderId="3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6" fillId="0" borderId="3" xfId="0" applyNumberFormat="1" applyFont="1" applyBorder="1" applyAlignment="1">
      <alignment horizontal="center" vertical="center" wrapText="1"/>
    </xf>
    <xf numFmtId="0" fontId="0" fillId="0" borderId="3" xfId="0" applyNumberFormat="1" applyBorder="1" applyAlignment="1">
      <alignment horizontal="center" vertical="center" wrapText="1"/>
    </xf>
    <xf numFmtId="0" fontId="20" fillId="6" borderId="0" xfId="0" applyFont="1" applyFill="1" applyBorder="1" applyAlignment="1">
      <alignment horizontal="center"/>
    </xf>
    <xf numFmtId="14" fontId="6" fillId="8" borderId="3" xfId="0" applyNumberFormat="1" applyFont="1" applyFill="1" applyBorder="1"/>
    <xf numFmtId="49" fontId="0" fillId="0" borderId="3" xfId="0" applyNumberFormat="1" applyBorder="1" applyAlignment="1">
      <alignment horizontal="center" vertical="center" wrapText="1"/>
    </xf>
    <xf numFmtId="3" fontId="7" fillId="0" borderId="2" xfId="3" applyNumberFormat="1" applyFont="1" applyFill="1" applyBorder="1" applyAlignment="1">
      <alignment horizontal="center" vertical="center"/>
    </xf>
    <xf numFmtId="2" fontId="0" fillId="0" borderId="3" xfId="0" applyNumberForma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0" fillId="3" borderId="0" xfId="0" applyFill="1"/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/>
    </xf>
    <xf numFmtId="0" fontId="6" fillId="0" borderId="3" xfId="0" applyNumberFormat="1" applyFont="1" applyBorder="1" applyAlignment="1">
      <alignment horizontal="center" vertical="center"/>
    </xf>
    <xf numFmtId="2" fontId="6" fillId="0" borderId="3" xfId="0" applyNumberFormat="1" applyFon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2" fontId="11" fillId="0" borderId="0" xfId="2" applyNumberFormat="1" applyFont="1" applyAlignment="1">
      <alignment horizontal="center" vertical="center"/>
    </xf>
    <xf numFmtId="0" fontId="24" fillId="11" borderId="0" xfId="0" applyFont="1" applyFill="1"/>
    <xf numFmtId="0" fontId="14" fillId="11" borderId="0" xfId="0" applyFont="1" applyFill="1"/>
    <xf numFmtId="0" fontId="24" fillId="0" borderId="0" xfId="0" applyFont="1"/>
    <xf numFmtId="0" fontId="20" fillId="4" borderId="3" xfId="0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14" fontId="0" fillId="0" borderId="3" xfId="0" applyNumberFormat="1" applyFill="1" applyBorder="1" applyAlignment="1">
      <alignment horizontal="center" vertical="center"/>
    </xf>
    <xf numFmtId="2" fontId="0" fillId="11" borderId="3" xfId="0" applyNumberFormat="1" applyFill="1" applyBorder="1" applyAlignment="1">
      <alignment horizontal="center" vertical="center"/>
    </xf>
    <xf numFmtId="2" fontId="0" fillId="8" borderId="3" xfId="0" applyNumberFormat="1" applyFill="1" applyBorder="1" applyAlignment="1">
      <alignment horizontal="center" vertical="center"/>
    </xf>
    <xf numFmtId="170" fontId="0" fillId="8" borderId="3" xfId="1" applyNumberFormat="1" applyFont="1" applyFill="1" applyBorder="1" applyAlignment="1">
      <alignment horizontal="center" vertical="center"/>
    </xf>
    <xf numFmtId="170" fontId="0" fillId="0" borderId="3" xfId="1" applyNumberFormat="1" applyFont="1" applyFill="1" applyBorder="1" applyAlignment="1">
      <alignment horizontal="center" vertical="center"/>
    </xf>
    <xf numFmtId="0" fontId="0" fillId="8" borderId="3" xfId="1" applyNumberFormat="1" applyFont="1" applyFill="1" applyBorder="1" applyAlignment="1">
      <alignment horizontal="center" vertical="center"/>
    </xf>
    <xf numFmtId="0" fontId="0" fillId="0" borderId="3" xfId="1" applyNumberFormat="1" applyFont="1" applyFill="1" applyBorder="1" applyAlignment="1">
      <alignment horizontal="center" vertical="center"/>
    </xf>
    <xf numFmtId="2" fontId="0" fillId="0" borderId="3" xfId="0" applyNumberFormat="1" applyFill="1" applyBorder="1" applyAlignment="1">
      <alignment horizontal="center" vertical="center"/>
    </xf>
    <xf numFmtId="22" fontId="0" fillId="0" borderId="0" xfId="0" applyNumberFormat="1"/>
    <xf numFmtId="0" fontId="0" fillId="0" borderId="0" xfId="0" applyNumberFormat="1" applyAlignment="1">
      <alignment horizontal="center" vertical="center"/>
    </xf>
    <xf numFmtId="0" fontId="6" fillId="11" borderId="3" xfId="0" applyFont="1" applyFill="1" applyBorder="1" applyAlignment="1">
      <alignment horizontal="center" vertical="center"/>
    </xf>
    <xf numFmtId="14" fontId="15" fillId="0" borderId="3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0" fillId="0" borderId="3" xfId="0" applyNumberForma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13" fillId="0" borderId="2" xfId="8" applyFont="1" applyFill="1" applyBorder="1" applyAlignment="1">
      <alignment horizontal="center" vertical="center"/>
    </xf>
    <xf numFmtId="0" fontId="13" fillId="0" borderId="1" xfId="8" applyFont="1" applyFill="1" applyBorder="1" applyAlignment="1">
      <alignment horizontal="center" vertical="center"/>
    </xf>
    <xf numFmtId="10" fontId="7" fillId="0" borderId="1" xfId="2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2" fontId="11" fillId="0" borderId="1" xfId="0" applyNumberFormat="1" applyFont="1" applyBorder="1" applyAlignment="1">
      <alignment horizontal="center"/>
    </xf>
    <xf numFmtId="10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4" fontId="0" fillId="13" borderId="3" xfId="0" applyNumberFormat="1" applyFill="1" applyBorder="1" applyAlignment="1">
      <alignment horizontal="center"/>
    </xf>
    <xf numFmtId="171" fontId="0" fillId="0" borderId="3" xfId="0" applyNumberFormat="1" applyBorder="1" applyAlignment="1">
      <alignment horizontal="center"/>
    </xf>
    <xf numFmtId="0" fontId="26" fillId="15" borderId="3" xfId="1" applyNumberFormat="1" applyFont="1" applyFill="1" applyBorder="1" applyAlignment="1">
      <alignment horizontal="center"/>
    </xf>
    <xf numFmtId="0" fontId="0" fillId="5" borderId="3" xfId="0" applyFill="1" applyBorder="1"/>
    <xf numFmtId="0" fontId="0" fillId="16" borderId="3" xfId="1" applyNumberFormat="1" applyFont="1" applyFill="1" applyBorder="1"/>
    <xf numFmtId="0" fontId="0" fillId="4" borderId="3" xfId="0" applyFill="1" applyBorder="1" applyAlignment="1">
      <alignment horizontal="center"/>
    </xf>
    <xf numFmtId="171" fontId="0" fillId="4" borderId="3" xfId="0" applyNumberFormat="1" applyFill="1" applyBorder="1" applyAlignment="1">
      <alignment horizontal="center"/>
    </xf>
    <xf numFmtId="14" fontId="0" fillId="4" borderId="3" xfId="0" applyNumberFormat="1" applyFill="1" applyBorder="1"/>
    <xf numFmtId="0" fontId="0" fillId="17" borderId="3" xfId="1" applyNumberFormat="1" applyFont="1" applyFill="1" applyBorder="1"/>
    <xf numFmtId="171" fontId="0" fillId="18" borderId="3" xfId="1" applyNumberFormat="1" applyFont="1" applyFill="1" applyBorder="1"/>
    <xf numFmtId="172" fontId="0" fillId="0" borderId="3" xfId="0" applyNumberFormat="1" applyBorder="1"/>
    <xf numFmtId="0" fontId="14" fillId="6" borderId="3" xfId="0" applyFont="1" applyFill="1" applyBorder="1" applyAlignment="1">
      <alignment horizontal="center"/>
    </xf>
    <xf numFmtId="0" fontId="0" fillId="0" borderId="3" xfId="0" applyBorder="1" applyAlignment="1">
      <alignment horizontal="left"/>
    </xf>
    <xf numFmtId="0" fontId="27" fillId="0" borderId="3" xfId="0" applyFont="1" applyBorder="1"/>
    <xf numFmtId="171" fontId="0" fillId="6" borderId="3" xfId="1" applyNumberFormat="1" applyFont="1" applyFill="1" applyBorder="1"/>
    <xf numFmtId="0" fontId="0" fillId="18" borderId="3" xfId="0" applyFill="1" applyBorder="1" applyAlignment="1">
      <alignment horizontal="center"/>
    </xf>
    <xf numFmtId="171" fontId="0" fillId="18" borderId="3" xfId="0" applyNumberFormat="1" applyFill="1" applyBorder="1" applyAlignment="1">
      <alignment horizontal="center"/>
    </xf>
    <xf numFmtId="0" fontId="0" fillId="18" borderId="3" xfId="0" applyFill="1" applyBorder="1"/>
    <xf numFmtId="171" fontId="0" fillId="0" borderId="0" xfId="0" applyNumberFormat="1" applyAlignment="1">
      <alignment horizontal="center"/>
    </xf>
    <xf numFmtId="0" fontId="0" fillId="0" borderId="0" xfId="1" applyNumberFormat="1" applyFont="1"/>
    <xf numFmtId="0" fontId="0" fillId="0" borderId="3" xfId="0" applyFill="1" applyBorder="1" applyAlignment="1">
      <alignment horizontal="center"/>
    </xf>
    <xf numFmtId="0" fontId="26" fillId="15" borderId="3" xfId="1" applyNumberFormat="1" applyFont="1" applyFill="1" applyBorder="1" applyAlignment="1">
      <alignment horizontal="center" vertical="center"/>
    </xf>
    <xf numFmtId="0" fontId="0" fillId="16" borderId="3" xfId="1" applyNumberFormat="1" applyFont="1" applyFill="1" applyBorder="1" applyAlignment="1">
      <alignment horizontal="center" vertical="center"/>
    </xf>
    <xf numFmtId="0" fontId="0" fillId="17" borderId="3" xfId="1" applyNumberFormat="1" applyFont="1" applyFill="1" applyBorder="1" applyAlignment="1">
      <alignment horizontal="center" vertical="center"/>
    </xf>
    <xf numFmtId="171" fontId="0" fillId="18" borderId="3" xfId="1" applyNumberFormat="1" applyFont="1" applyFill="1" applyBorder="1" applyAlignment="1">
      <alignment horizontal="center" vertical="center"/>
    </xf>
    <xf numFmtId="10" fontId="0" fillId="6" borderId="3" xfId="2" applyNumberFormat="1" applyFont="1" applyFill="1" applyBorder="1" applyAlignment="1">
      <alignment horizontal="center" vertical="center"/>
    </xf>
    <xf numFmtId="0" fontId="0" fillId="0" borderId="0" xfId="1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10" fontId="6" fillId="0" borderId="3" xfId="2" applyNumberFormat="1" applyFont="1" applyBorder="1" applyAlignment="1">
      <alignment horizontal="center" vertical="center"/>
    </xf>
    <xf numFmtId="10" fontId="16" fillId="0" borderId="3" xfId="2" applyNumberFormat="1" applyFont="1" applyBorder="1" applyAlignment="1">
      <alignment horizontal="center" vertical="center"/>
    </xf>
    <xf numFmtId="3" fontId="6" fillId="0" borderId="3" xfId="0" applyNumberFormat="1" applyFont="1" applyBorder="1" applyAlignment="1">
      <alignment horizontal="center" vertical="center"/>
    </xf>
    <xf numFmtId="173" fontId="16" fillId="0" borderId="3" xfId="1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73" fontId="6" fillId="0" borderId="3" xfId="1" applyNumberFormat="1" applyFont="1" applyBorder="1" applyAlignment="1">
      <alignment horizontal="center" vertical="center"/>
    </xf>
    <xf numFmtId="9" fontId="0" fillId="0" borderId="0" xfId="2" applyNumberFormat="1" applyFont="1"/>
    <xf numFmtId="174" fontId="0" fillId="0" borderId="0" xfId="2" applyNumberFormat="1" applyFont="1"/>
    <xf numFmtId="2" fontId="0" fillId="0" borderId="3" xfId="2" applyNumberFormat="1" applyFont="1" applyBorder="1" applyAlignment="1">
      <alignment horizontal="center" vertical="center"/>
    </xf>
    <xf numFmtId="2" fontId="0" fillId="0" borderId="3" xfId="2" applyNumberFormat="1" applyFont="1" applyBorder="1" applyAlignment="1">
      <alignment horizontal="center"/>
    </xf>
    <xf numFmtId="2" fontId="11" fillId="0" borderId="0" xfId="0" applyNumberFormat="1" applyFont="1" applyAlignment="1">
      <alignment horizontal="center" vertical="center"/>
    </xf>
    <xf numFmtId="0" fontId="0" fillId="0" borderId="3" xfId="0" applyBorder="1" applyAlignment="1">
      <alignment horizontal="center"/>
    </xf>
    <xf numFmtId="10" fontId="13" fillId="2" borderId="0" xfId="2" applyNumberFormat="1" applyFont="1" applyFill="1" applyBorder="1" applyAlignment="1">
      <alignment horizontal="center" vertical="center"/>
    </xf>
    <xf numFmtId="10" fontId="6" fillId="0" borderId="0" xfId="2" applyNumberFormat="1" applyFont="1" applyFill="1" applyBorder="1" applyAlignment="1">
      <alignment horizontal="center" vertical="center"/>
    </xf>
    <xf numFmtId="0" fontId="0" fillId="19" borderId="3" xfId="0" applyFill="1" applyBorder="1" applyAlignment="1">
      <alignment horizontal="center" vertical="center"/>
    </xf>
    <xf numFmtId="10" fontId="0" fillId="19" borderId="3" xfId="2" applyNumberFormat="1" applyFont="1" applyFill="1" applyBorder="1" applyAlignment="1">
      <alignment horizontal="center" vertical="center"/>
    </xf>
    <xf numFmtId="10" fontId="0" fillId="19" borderId="3" xfId="0" applyNumberFormat="1" applyFill="1" applyBorder="1" applyAlignment="1">
      <alignment horizontal="center" vertical="center"/>
    </xf>
    <xf numFmtId="0" fontId="0" fillId="19" borderId="0" xfId="0" applyFill="1" applyAlignment="1">
      <alignment horizontal="center" vertical="center"/>
    </xf>
    <xf numFmtId="0" fontId="0" fillId="2" borderId="0" xfId="0" applyFill="1"/>
    <xf numFmtId="10" fontId="0" fillId="0" borderId="3" xfId="2" applyNumberFormat="1" applyFont="1" applyBorder="1" applyAlignment="1">
      <alignment horizontal="center"/>
    </xf>
    <xf numFmtId="10" fontId="0" fillId="8" borderId="3" xfId="2" applyNumberFormat="1" applyFont="1" applyFill="1" applyBorder="1" applyAlignment="1">
      <alignment horizontal="center" vertical="center"/>
    </xf>
    <xf numFmtId="10" fontId="0" fillId="0" borderId="3" xfId="2" applyNumberFormat="1" applyFont="1" applyFill="1" applyBorder="1" applyAlignment="1">
      <alignment horizontal="center" vertical="center"/>
    </xf>
    <xf numFmtId="10" fontId="0" fillId="8" borderId="3" xfId="1" applyNumberFormat="1" applyFont="1" applyFill="1" applyBorder="1" applyAlignment="1">
      <alignment horizontal="center" vertical="center"/>
    </xf>
    <xf numFmtId="10" fontId="16" fillId="0" borderId="3" xfId="0" applyNumberFormat="1" applyFont="1" applyBorder="1" applyAlignment="1">
      <alignment horizontal="center" vertical="center"/>
    </xf>
    <xf numFmtId="10" fontId="0" fillId="0" borderId="3" xfId="0" applyNumberFormat="1" applyBorder="1" applyAlignment="1">
      <alignment horizontal="center"/>
    </xf>
    <xf numFmtId="10" fontId="0" fillId="0" borderId="3" xfId="1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8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4" fillId="0" borderId="0" xfId="3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10" fontId="8" fillId="0" borderId="0" xfId="0" applyNumberFormat="1" applyFont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9" fontId="8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14" fillId="14" borderId="3" xfId="0" applyFont="1" applyFill="1" applyBorder="1" applyAlignment="1">
      <alignment horizontal="center"/>
    </xf>
  </cellXfs>
  <cellStyles count="9">
    <cellStyle name="CbondsStyleHeader" xfId="6"/>
    <cellStyle name="CbondsStyleOne" xfId="4"/>
    <cellStyle name="CbondsStyleThree" xfId="5"/>
    <cellStyle name="CbondsStyleTwo" xfId="7"/>
    <cellStyle name="Обычный" xfId="0" builtinId="0"/>
    <cellStyle name="Плохой" xfId="8" builtinId="27"/>
    <cellStyle name="Пояснение" xfId="3" builtinId="53"/>
    <cellStyle name="Процентный" xfId="2" builtinId="5"/>
    <cellStyle name="Финансовый" xfId="1" builtinId="3"/>
  </cellStyles>
  <dxfs count="19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00B050"/>
      </font>
    </dxf>
    <dxf>
      <font>
        <b/>
        <i val="0"/>
        <color rgb="FF00B050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E89F"/>
      <color rgb="FFFFD54F"/>
      <color rgb="FF9C0006"/>
      <color rgb="FFFFC7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6/relationships/vbaProject" Target="vbaProject.bin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ru-RU">
                <a:solidFill>
                  <a:schemeClr val="tx1"/>
                </a:solidFill>
              </a:rPr>
              <a:t>Динамика цен</a:t>
            </a:r>
          </a:p>
        </c:rich>
      </c:tx>
      <c:layout>
        <c:manualLayout>
          <c:xMode val="edge"/>
          <c:yMode val="edge"/>
          <c:x val="0.41052521967362771"/>
          <c:y val="3.107317015280302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ru-RU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solidFill>
            <a:schemeClr val="accent1"/>
          </a:solidFill>
          <a:ln w="22225" cap="rnd">
            <a:solidFill>
              <a:schemeClr val="accent1">
                <a:lumMod val="75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tx1">
                <a:lumMod val="95000"/>
                <a:lumOff val="5000"/>
              </a:schemeClr>
            </a:solidFill>
            <a:ln w="15875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</c:marker>
      </c:pivotFmt>
      <c:pivotFmt>
        <c:idx val="3"/>
        <c:spPr>
          <a:solidFill>
            <a:schemeClr val="accent1"/>
          </a:solidFill>
          <a:ln w="22225" cap="rnd">
            <a:solidFill>
              <a:schemeClr val="accent1">
                <a:lumMod val="75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tx1">
                <a:lumMod val="95000"/>
                <a:lumOff val="5000"/>
              </a:schemeClr>
            </a:solidFill>
            <a:ln w="15875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</c:marker>
      </c:pivotFmt>
      <c:pivotFmt>
        <c:idx val="4"/>
        <c:spPr>
          <a:solidFill>
            <a:schemeClr val="accent1"/>
          </a:solidFill>
          <a:ln w="22225" cap="rnd">
            <a:solidFill>
              <a:schemeClr val="accent1">
                <a:lumMod val="75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tx1">
                <a:lumMod val="95000"/>
                <a:lumOff val="5000"/>
              </a:schemeClr>
            </a:solidFill>
            <a:ln w="15875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</c:marker>
      </c:pivotFmt>
      <c:pivotFmt>
        <c:idx val="5"/>
        <c:spPr>
          <a:solidFill>
            <a:schemeClr val="accent1"/>
          </a:solidFill>
          <a:ln w="22225" cap="rnd">
            <a:solidFill>
              <a:schemeClr val="accent1">
                <a:lumMod val="75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tx1">
                <a:lumMod val="95000"/>
                <a:lumOff val="5000"/>
              </a:schemeClr>
            </a:solidFill>
            <a:ln w="15875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</c:marker>
      </c:pivotFmt>
      <c:pivotFmt>
        <c:idx val="6"/>
        <c:spPr>
          <a:solidFill>
            <a:schemeClr val="accent1"/>
          </a:solidFill>
          <a:ln w="22225" cap="rnd">
            <a:solidFill>
              <a:schemeClr val="accent1">
                <a:lumMod val="75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tx1">
                <a:lumMod val="95000"/>
                <a:lumOff val="5000"/>
              </a:schemeClr>
            </a:solidFill>
            <a:ln w="15875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</c:marker>
      </c:pivotFmt>
      <c:pivotFmt>
        <c:idx val="7"/>
        <c:spPr>
          <a:solidFill>
            <a:schemeClr val="accent1"/>
          </a:solidFill>
          <a:ln w="22225" cap="rnd">
            <a:solidFill>
              <a:schemeClr val="accent1">
                <a:lumMod val="75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tx1">
                <a:lumMod val="95000"/>
                <a:lumOff val="5000"/>
              </a:schemeClr>
            </a:solidFill>
            <a:ln w="15875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</c:marker>
      </c:pivotFmt>
      <c:pivotFmt>
        <c:idx val="8"/>
        <c:spPr>
          <a:solidFill>
            <a:schemeClr val="accent1"/>
          </a:solidFill>
          <a:ln w="22225" cap="rnd">
            <a:solidFill>
              <a:schemeClr val="accent1">
                <a:lumMod val="75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tx1">
                <a:lumMod val="95000"/>
                <a:lumOff val="5000"/>
              </a:schemeClr>
            </a:solidFill>
            <a:ln w="15875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</c:marker>
      </c:pivotFmt>
      <c:pivotFmt>
        <c:idx val="9"/>
        <c:spPr>
          <a:solidFill>
            <a:schemeClr val="accent1"/>
          </a:solidFill>
          <a:ln w="22225" cap="rnd">
            <a:solidFill>
              <a:schemeClr val="accent1">
                <a:lumMod val="75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tx1">
                <a:lumMod val="95000"/>
                <a:lumOff val="5000"/>
              </a:schemeClr>
            </a:solidFill>
            <a:ln w="15875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</c:marker>
      </c:pivotFmt>
      <c:pivotFmt>
        <c:idx val="10"/>
        <c:spPr>
          <a:solidFill>
            <a:schemeClr val="accent1"/>
          </a:solidFill>
          <a:ln w="22225" cap="rnd">
            <a:solidFill>
              <a:schemeClr val="accent1">
                <a:lumMod val="75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tx1">
                <a:lumMod val="95000"/>
                <a:lumOff val="5000"/>
              </a:schemeClr>
            </a:solidFill>
            <a:ln w="15875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</c:marker>
      </c:pivotFmt>
      <c:pivotFmt>
        <c:idx val="11"/>
        <c:spPr>
          <a:solidFill>
            <a:schemeClr val="accent1"/>
          </a:solidFill>
          <a:ln w="22225" cap="rnd">
            <a:solidFill>
              <a:schemeClr val="tx1"/>
            </a:solidFill>
            <a:round/>
          </a:ln>
          <a:effectLst/>
        </c:spPr>
        <c:marker>
          <c:symbol val="circle"/>
          <c:size val="6"/>
          <c:spPr>
            <a:noFill/>
            <a:ln w="15875">
              <a:noFill/>
              <a:round/>
            </a:ln>
            <a:effectLst/>
          </c:spPr>
        </c:marker>
      </c:pivotFmt>
      <c:pivotFmt>
        <c:idx val="12"/>
        <c:spPr>
          <a:solidFill>
            <a:schemeClr val="accent1"/>
          </a:solidFill>
          <a:ln w="22225" cap="rnd">
            <a:solidFill>
              <a:schemeClr val="tx1"/>
            </a:solidFill>
            <a:round/>
          </a:ln>
          <a:effectLst/>
        </c:spPr>
        <c:marker>
          <c:symbol val="circle"/>
          <c:size val="6"/>
          <c:spPr>
            <a:noFill/>
            <a:ln w="15875">
              <a:noFill/>
              <a:round/>
            </a:ln>
            <a:effectLst/>
          </c:spPr>
        </c:marker>
      </c:pivotFmt>
      <c:pivotFmt>
        <c:idx val="13"/>
        <c:spPr>
          <a:solidFill>
            <a:schemeClr val="accent1"/>
          </a:solidFill>
          <a:ln w="22225" cap="rnd">
            <a:solidFill>
              <a:schemeClr val="tx1"/>
            </a:solidFill>
            <a:round/>
          </a:ln>
          <a:effectLst/>
        </c:spPr>
        <c:marker>
          <c:symbol val="circle"/>
          <c:size val="6"/>
          <c:spPr>
            <a:noFill/>
            <a:ln w="15875">
              <a:noFill/>
              <a:round/>
            </a:ln>
            <a:effectLst/>
          </c:spPr>
        </c:marker>
      </c:pivotFmt>
      <c:pivotFmt>
        <c:idx val="14"/>
        <c:spPr>
          <a:solidFill>
            <a:schemeClr val="accent1"/>
          </a:solidFill>
          <a:ln w="22225" cap="rnd">
            <a:solidFill>
              <a:schemeClr val="tx1"/>
            </a:solidFill>
            <a:round/>
          </a:ln>
          <a:effectLst/>
        </c:spPr>
        <c:marker>
          <c:symbol val="circle"/>
          <c:size val="6"/>
          <c:spPr>
            <a:noFill/>
            <a:ln w="15875">
              <a:noFill/>
              <a:round/>
            </a:ln>
            <a:effectLst/>
          </c:spPr>
        </c:marker>
      </c:pivotFmt>
      <c:pivotFmt>
        <c:idx val="15"/>
        <c:spPr>
          <a:solidFill>
            <a:schemeClr val="accent1"/>
          </a:solidFill>
          <a:ln w="22225" cap="rnd">
            <a:solidFill>
              <a:schemeClr val="tx1"/>
            </a:solidFill>
            <a:round/>
          </a:ln>
          <a:effectLst/>
        </c:spPr>
        <c:marker>
          <c:symbol val="circle"/>
          <c:size val="6"/>
          <c:spPr>
            <a:noFill/>
            <a:ln w="15875">
              <a:noFill/>
              <a:round/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7.2344019657746228E-2"/>
          <c:y val="0.14686169997981022"/>
          <c:w val="0.91606128038343038"/>
          <c:h val="0.77162766942754735"/>
        </c:manualLayout>
      </c:layout>
      <c:lineChart>
        <c:grouping val="standard"/>
        <c:varyColors val="0"/>
        <c:ser>
          <c:idx val="0"/>
          <c:order val="0"/>
          <c:tx>
            <c:strRef>
              <c:f>Calculation!$F$1</c:f>
              <c:strCache>
                <c:ptCount val="1"/>
                <c:pt idx="0">
                  <c:v>CLOSE (как значения)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noFill/>
              <a:ln w="15875">
                <a:noFill/>
                <a:round/>
              </a:ln>
              <a:effectLst/>
            </c:spPr>
          </c:marker>
          <c:cat>
            <c:numRef>
              <c:f>Calculation!$D$2:$D$437</c:f>
              <c:numCache>
                <c:formatCode>m/d/yyyy</c:formatCode>
                <c:ptCount val="436"/>
                <c:pt idx="0">
                  <c:v>46023</c:v>
                </c:pt>
                <c:pt idx="1">
                  <c:v>46022</c:v>
                </c:pt>
                <c:pt idx="2">
                  <c:v>46021</c:v>
                </c:pt>
                <c:pt idx="3">
                  <c:v>46020</c:v>
                </c:pt>
                <c:pt idx="4">
                  <c:v>46019</c:v>
                </c:pt>
                <c:pt idx="5">
                  <c:v>46018</c:v>
                </c:pt>
                <c:pt idx="6">
                  <c:v>46017</c:v>
                </c:pt>
                <c:pt idx="7">
                  <c:v>46016</c:v>
                </c:pt>
                <c:pt idx="8">
                  <c:v>46015</c:v>
                </c:pt>
                <c:pt idx="9">
                  <c:v>46014</c:v>
                </c:pt>
                <c:pt idx="10">
                  <c:v>46013</c:v>
                </c:pt>
                <c:pt idx="11">
                  <c:v>46012</c:v>
                </c:pt>
                <c:pt idx="12">
                  <c:v>46011</c:v>
                </c:pt>
                <c:pt idx="13">
                  <c:v>46010</c:v>
                </c:pt>
                <c:pt idx="14">
                  <c:v>46009</c:v>
                </c:pt>
                <c:pt idx="15">
                  <c:v>46008</c:v>
                </c:pt>
                <c:pt idx="16">
                  <c:v>46007</c:v>
                </c:pt>
                <c:pt idx="17">
                  <c:v>46006</c:v>
                </c:pt>
                <c:pt idx="18">
                  <c:v>46005</c:v>
                </c:pt>
                <c:pt idx="19">
                  <c:v>46004</c:v>
                </c:pt>
                <c:pt idx="20">
                  <c:v>46003</c:v>
                </c:pt>
                <c:pt idx="21">
                  <c:v>46002</c:v>
                </c:pt>
                <c:pt idx="22">
                  <c:v>46001</c:v>
                </c:pt>
                <c:pt idx="23">
                  <c:v>46000</c:v>
                </c:pt>
                <c:pt idx="24">
                  <c:v>45999</c:v>
                </c:pt>
                <c:pt idx="25">
                  <c:v>45998</c:v>
                </c:pt>
                <c:pt idx="26">
                  <c:v>45997</c:v>
                </c:pt>
                <c:pt idx="27">
                  <c:v>45996</c:v>
                </c:pt>
                <c:pt idx="28">
                  <c:v>45995</c:v>
                </c:pt>
                <c:pt idx="29">
                  <c:v>45994</c:v>
                </c:pt>
                <c:pt idx="30">
                  <c:v>45993</c:v>
                </c:pt>
                <c:pt idx="31">
                  <c:v>45992</c:v>
                </c:pt>
                <c:pt idx="32">
                  <c:v>45991</c:v>
                </c:pt>
                <c:pt idx="33">
                  <c:v>45990</c:v>
                </c:pt>
                <c:pt idx="34">
                  <c:v>45989</c:v>
                </c:pt>
                <c:pt idx="35">
                  <c:v>45988</c:v>
                </c:pt>
                <c:pt idx="36">
                  <c:v>45987</c:v>
                </c:pt>
                <c:pt idx="37">
                  <c:v>45986</c:v>
                </c:pt>
                <c:pt idx="38">
                  <c:v>45985</c:v>
                </c:pt>
                <c:pt idx="39">
                  <c:v>45984</c:v>
                </c:pt>
                <c:pt idx="40">
                  <c:v>45983</c:v>
                </c:pt>
                <c:pt idx="41">
                  <c:v>45982</c:v>
                </c:pt>
                <c:pt idx="42">
                  <c:v>45981</c:v>
                </c:pt>
                <c:pt idx="43">
                  <c:v>45980</c:v>
                </c:pt>
                <c:pt idx="44">
                  <c:v>45979</c:v>
                </c:pt>
                <c:pt idx="45">
                  <c:v>45978</c:v>
                </c:pt>
                <c:pt idx="46">
                  <c:v>45977</c:v>
                </c:pt>
                <c:pt idx="47">
                  <c:v>45976</c:v>
                </c:pt>
                <c:pt idx="48">
                  <c:v>45975</c:v>
                </c:pt>
                <c:pt idx="49">
                  <c:v>45974</c:v>
                </c:pt>
                <c:pt idx="50">
                  <c:v>45973</c:v>
                </c:pt>
                <c:pt idx="51">
                  <c:v>45972</c:v>
                </c:pt>
                <c:pt idx="52">
                  <c:v>45971</c:v>
                </c:pt>
                <c:pt idx="53">
                  <c:v>45970</c:v>
                </c:pt>
                <c:pt idx="54">
                  <c:v>45969</c:v>
                </c:pt>
                <c:pt idx="55">
                  <c:v>45968</c:v>
                </c:pt>
                <c:pt idx="56">
                  <c:v>45967</c:v>
                </c:pt>
                <c:pt idx="57">
                  <c:v>45966</c:v>
                </c:pt>
                <c:pt idx="58">
                  <c:v>45965</c:v>
                </c:pt>
                <c:pt idx="59">
                  <c:v>45964</c:v>
                </c:pt>
                <c:pt idx="60">
                  <c:v>45963</c:v>
                </c:pt>
                <c:pt idx="61">
                  <c:v>45962</c:v>
                </c:pt>
                <c:pt idx="62">
                  <c:v>45961</c:v>
                </c:pt>
                <c:pt idx="63">
                  <c:v>45960</c:v>
                </c:pt>
                <c:pt idx="64">
                  <c:v>45959</c:v>
                </c:pt>
                <c:pt idx="65">
                  <c:v>45958</c:v>
                </c:pt>
                <c:pt idx="66">
                  <c:v>45957</c:v>
                </c:pt>
                <c:pt idx="67">
                  <c:v>45956</c:v>
                </c:pt>
                <c:pt idx="68">
                  <c:v>45955</c:v>
                </c:pt>
                <c:pt idx="69">
                  <c:v>45954</c:v>
                </c:pt>
                <c:pt idx="70">
                  <c:v>45953</c:v>
                </c:pt>
                <c:pt idx="71">
                  <c:v>45952</c:v>
                </c:pt>
                <c:pt idx="72">
                  <c:v>45951</c:v>
                </c:pt>
                <c:pt idx="73">
                  <c:v>45950</c:v>
                </c:pt>
                <c:pt idx="74">
                  <c:v>45949</c:v>
                </c:pt>
                <c:pt idx="75">
                  <c:v>45948</c:v>
                </c:pt>
                <c:pt idx="76">
                  <c:v>45947</c:v>
                </c:pt>
                <c:pt idx="77">
                  <c:v>45946</c:v>
                </c:pt>
                <c:pt idx="78">
                  <c:v>45945</c:v>
                </c:pt>
                <c:pt idx="79">
                  <c:v>45944</c:v>
                </c:pt>
                <c:pt idx="80">
                  <c:v>45943</c:v>
                </c:pt>
                <c:pt idx="81">
                  <c:v>45942</c:v>
                </c:pt>
                <c:pt idx="82">
                  <c:v>45941</c:v>
                </c:pt>
                <c:pt idx="83">
                  <c:v>45940</c:v>
                </c:pt>
                <c:pt idx="84">
                  <c:v>45939</c:v>
                </c:pt>
                <c:pt idx="85">
                  <c:v>45938</c:v>
                </c:pt>
                <c:pt idx="86">
                  <c:v>45937</c:v>
                </c:pt>
                <c:pt idx="87">
                  <c:v>45936</c:v>
                </c:pt>
                <c:pt idx="88">
                  <c:v>45935</c:v>
                </c:pt>
                <c:pt idx="89">
                  <c:v>45934</c:v>
                </c:pt>
                <c:pt idx="90">
                  <c:v>45933</c:v>
                </c:pt>
                <c:pt idx="91">
                  <c:v>45932</c:v>
                </c:pt>
                <c:pt idx="92">
                  <c:v>45931</c:v>
                </c:pt>
                <c:pt idx="93">
                  <c:v>45930</c:v>
                </c:pt>
                <c:pt idx="94">
                  <c:v>45929</c:v>
                </c:pt>
                <c:pt idx="95">
                  <c:v>45928</c:v>
                </c:pt>
                <c:pt idx="96">
                  <c:v>45927</c:v>
                </c:pt>
                <c:pt idx="97">
                  <c:v>45926</c:v>
                </c:pt>
                <c:pt idx="98">
                  <c:v>45925</c:v>
                </c:pt>
                <c:pt idx="99">
                  <c:v>45924</c:v>
                </c:pt>
                <c:pt idx="100">
                  <c:v>45923</c:v>
                </c:pt>
                <c:pt idx="101">
                  <c:v>45922</c:v>
                </c:pt>
                <c:pt idx="102">
                  <c:v>45921</c:v>
                </c:pt>
                <c:pt idx="103">
                  <c:v>45920</c:v>
                </c:pt>
                <c:pt idx="104">
                  <c:v>45919</c:v>
                </c:pt>
                <c:pt idx="105">
                  <c:v>45918</c:v>
                </c:pt>
                <c:pt idx="106">
                  <c:v>45917</c:v>
                </c:pt>
                <c:pt idx="107">
                  <c:v>45916</c:v>
                </c:pt>
                <c:pt idx="108">
                  <c:v>45915</c:v>
                </c:pt>
                <c:pt idx="109">
                  <c:v>45914</c:v>
                </c:pt>
                <c:pt idx="110">
                  <c:v>45913</c:v>
                </c:pt>
                <c:pt idx="111">
                  <c:v>45912</c:v>
                </c:pt>
                <c:pt idx="112">
                  <c:v>45911</c:v>
                </c:pt>
                <c:pt idx="113">
                  <c:v>45910</c:v>
                </c:pt>
                <c:pt idx="114">
                  <c:v>45909</c:v>
                </c:pt>
                <c:pt idx="115">
                  <c:v>45908</c:v>
                </c:pt>
                <c:pt idx="116">
                  <c:v>45907</c:v>
                </c:pt>
                <c:pt idx="117">
                  <c:v>45906</c:v>
                </c:pt>
                <c:pt idx="118">
                  <c:v>45905</c:v>
                </c:pt>
                <c:pt idx="119">
                  <c:v>45904</c:v>
                </c:pt>
                <c:pt idx="120">
                  <c:v>45903</c:v>
                </c:pt>
                <c:pt idx="121">
                  <c:v>45902</c:v>
                </c:pt>
                <c:pt idx="122">
                  <c:v>45901</c:v>
                </c:pt>
                <c:pt idx="123">
                  <c:v>45900</c:v>
                </c:pt>
                <c:pt idx="124">
                  <c:v>45899</c:v>
                </c:pt>
                <c:pt idx="125">
                  <c:v>45898</c:v>
                </c:pt>
                <c:pt idx="126">
                  <c:v>45897</c:v>
                </c:pt>
                <c:pt idx="127">
                  <c:v>45896</c:v>
                </c:pt>
                <c:pt idx="128">
                  <c:v>45895</c:v>
                </c:pt>
                <c:pt idx="129">
                  <c:v>45894</c:v>
                </c:pt>
                <c:pt idx="130">
                  <c:v>45893</c:v>
                </c:pt>
                <c:pt idx="131">
                  <c:v>45892</c:v>
                </c:pt>
                <c:pt idx="132">
                  <c:v>45891</c:v>
                </c:pt>
                <c:pt idx="133">
                  <c:v>45890</c:v>
                </c:pt>
                <c:pt idx="134">
                  <c:v>45889</c:v>
                </c:pt>
                <c:pt idx="135">
                  <c:v>45888</c:v>
                </c:pt>
                <c:pt idx="136">
                  <c:v>45887</c:v>
                </c:pt>
                <c:pt idx="137">
                  <c:v>45886</c:v>
                </c:pt>
                <c:pt idx="138">
                  <c:v>45885</c:v>
                </c:pt>
                <c:pt idx="139">
                  <c:v>45884</c:v>
                </c:pt>
                <c:pt idx="140">
                  <c:v>45883</c:v>
                </c:pt>
                <c:pt idx="141">
                  <c:v>45882</c:v>
                </c:pt>
                <c:pt idx="142">
                  <c:v>45881</c:v>
                </c:pt>
                <c:pt idx="143">
                  <c:v>45880</c:v>
                </c:pt>
                <c:pt idx="144">
                  <c:v>45879</c:v>
                </c:pt>
                <c:pt idx="145">
                  <c:v>45878</c:v>
                </c:pt>
                <c:pt idx="146">
                  <c:v>45877</c:v>
                </c:pt>
                <c:pt idx="147">
                  <c:v>45876</c:v>
                </c:pt>
                <c:pt idx="148">
                  <c:v>45875</c:v>
                </c:pt>
                <c:pt idx="149">
                  <c:v>45874</c:v>
                </c:pt>
                <c:pt idx="150">
                  <c:v>45873</c:v>
                </c:pt>
                <c:pt idx="151">
                  <c:v>45872</c:v>
                </c:pt>
                <c:pt idx="152">
                  <c:v>45871</c:v>
                </c:pt>
                <c:pt idx="153">
                  <c:v>45870</c:v>
                </c:pt>
                <c:pt idx="154">
                  <c:v>45869</c:v>
                </c:pt>
                <c:pt idx="155">
                  <c:v>45868</c:v>
                </c:pt>
                <c:pt idx="156">
                  <c:v>45867</c:v>
                </c:pt>
                <c:pt idx="157">
                  <c:v>45866</c:v>
                </c:pt>
                <c:pt idx="158">
                  <c:v>45865</c:v>
                </c:pt>
                <c:pt idx="159">
                  <c:v>45864</c:v>
                </c:pt>
                <c:pt idx="160">
                  <c:v>45863</c:v>
                </c:pt>
                <c:pt idx="161">
                  <c:v>45862</c:v>
                </c:pt>
                <c:pt idx="162">
                  <c:v>45861</c:v>
                </c:pt>
                <c:pt idx="163">
                  <c:v>45860</c:v>
                </c:pt>
                <c:pt idx="164">
                  <c:v>45859</c:v>
                </c:pt>
                <c:pt idx="165">
                  <c:v>45858</c:v>
                </c:pt>
                <c:pt idx="166">
                  <c:v>45857</c:v>
                </c:pt>
                <c:pt idx="167">
                  <c:v>45856</c:v>
                </c:pt>
                <c:pt idx="168">
                  <c:v>45855</c:v>
                </c:pt>
                <c:pt idx="169">
                  <c:v>45854</c:v>
                </c:pt>
                <c:pt idx="170">
                  <c:v>45853</c:v>
                </c:pt>
                <c:pt idx="171">
                  <c:v>45852</c:v>
                </c:pt>
                <c:pt idx="172">
                  <c:v>45851</c:v>
                </c:pt>
                <c:pt idx="173">
                  <c:v>45850</c:v>
                </c:pt>
                <c:pt idx="174">
                  <c:v>45849</c:v>
                </c:pt>
                <c:pt idx="175">
                  <c:v>45848</c:v>
                </c:pt>
                <c:pt idx="176">
                  <c:v>45847</c:v>
                </c:pt>
                <c:pt idx="177">
                  <c:v>45846</c:v>
                </c:pt>
                <c:pt idx="178">
                  <c:v>45845</c:v>
                </c:pt>
                <c:pt idx="179">
                  <c:v>45844</c:v>
                </c:pt>
                <c:pt idx="180">
                  <c:v>45843</c:v>
                </c:pt>
                <c:pt idx="181">
                  <c:v>45842</c:v>
                </c:pt>
                <c:pt idx="182">
                  <c:v>45841</c:v>
                </c:pt>
                <c:pt idx="183">
                  <c:v>45840</c:v>
                </c:pt>
                <c:pt idx="184">
                  <c:v>45839</c:v>
                </c:pt>
                <c:pt idx="185">
                  <c:v>45838</c:v>
                </c:pt>
                <c:pt idx="186">
                  <c:v>45837</c:v>
                </c:pt>
                <c:pt idx="187">
                  <c:v>45836</c:v>
                </c:pt>
                <c:pt idx="188">
                  <c:v>45835</c:v>
                </c:pt>
                <c:pt idx="189">
                  <c:v>45834</c:v>
                </c:pt>
                <c:pt idx="190">
                  <c:v>45833</c:v>
                </c:pt>
                <c:pt idx="191">
                  <c:v>45832</c:v>
                </c:pt>
                <c:pt idx="192">
                  <c:v>45831</c:v>
                </c:pt>
                <c:pt idx="193">
                  <c:v>45830</c:v>
                </c:pt>
                <c:pt idx="194">
                  <c:v>45829</c:v>
                </c:pt>
                <c:pt idx="195">
                  <c:v>45828</c:v>
                </c:pt>
                <c:pt idx="196">
                  <c:v>45827</c:v>
                </c:pt>
                <c:pt idx="197">
                  <c:v>45826</c:v>
                </c:pt>
                <c:pt idx="198">
                  <c:v>45825</c:v>
                </c:pt>
                <c:pt idx="199">
                  <c:v>45824</c:v>
                </c:pt>
                <c:pt idx="200">
                  <c:v>45823</c:v>
                </c:pt>
                <c:pt idx="201">
                  <c:v>45822</c:v>
                </c:pt>
                <c:pt idx="202">
                  <c:v>45821</c:v>
                </c:pt>
                <c:pt idx="203">
                  <c:v>45820</c:v>
                </c:pt>
                <c:pt idx="204">
                  <c:v>45819</c:v>
                </c:pt>
                <c:pt idx="205">
                  <c:v>45818</c:v>
                </c:pt>
                <c:pt idx="206">
                  <c:v>45817</c:v>
                </c:pt>
                <c:pt idx="207">
                  <c:v>45816</c:v>
                </c:pt>
                <c:pt idx="208">
                  <c:v>45815</c:v>
                </c:pt>
                <c:pt idx="209">
                  <c:v>45814</c:v>
                </c:pt>
                <c:pt idx="210">
                  <c:v>45813</c:v>
                </c:pt>
                <c:pt idx="211">
                  <c:v>45812</c:v>
                </c:pt>
                <c:pt idx="212">
                  <c:v>45811</c:v>
                </c:pt>
                <c:pt idx="213">
                  <c:v>45810</c:v>
                </c:pt>
                <c:pt idx="214">
                  <c:v>45809</c:v>
                </c:pt>
                <c:pt idx="215">
                  <c:v>45808</c:v>
                </c:pt>
                <c:pt idx="216">
                  <c:v>45807</c:v>
                </c:pt>
                <c:pt idx="217">
                  <c:v>45806</c:v>
                </c:pt>
                <c:pt idx="218">
                  <c:v>45805</c:v>
                </c:pt>
                <c:pt idx="219">
                  <c:v>45804</c:v>
                </c:pt>
                <c:pt idx="220">
                  <c:v>45803</c:v>
                </c:pt>
                <c:pt idx="221">
                  <c:v>45802</c:v>
                </c:pt>
                <c:pt idx="222">
                  <c:v>45801</c:v>
                </c:pt>
                <c:pt idx="223">
                  <c:v>45800</c:v>
                </c:pt>
                <c:pt idx="224">
                  <c:v>45799</c:v>
                </c:pt>
                <c:pt idx="225">
                  <c:v>45798</c:v>
                </c:pt>
                <c:pt idx="226">
                  <c:v>45797</c:v>
                </c:pt>
                <c:pt idx="227">
                  <c:v>45796</c:v>
                </c:pt>
                <c:pt idx="228">
                  <c:v>45795</c:v>
                </c:pt>
                <c:pt idx="229">
                  <c:v>45794</c:v>
                </c:pt>
                <c:pt idx="230">
                  <c:v>45793</c:v>
                </c:pt>
                <c:pt idx="231">
                  <c:v>45792</c:v>
                </c:pt>
                <c:pt idx="232">
                  <c:v>45791</c:v>
                </c:pt>
                <c:pt idx="233">
                  <c:v>45790</c:v>
                </c:pt>
                <c:pt idx="234">
                  <c:v>45789</c:v>
                </c:pt>
                <c:pt idx="235">
                  <c:v>45788</c:v>
                </c:pt>
                <c:pt idx="236">
                  <c:v>45787</c:v>
                </c:pt>
                <c:pt idx="237">
                  <c:v>45786</c:v>
                </c:pt>
                <c:pt idx="238">
                  <c:v>45785</c:v>
                </c:pt>
                <c:pt idx="239">
                  <c:v>45784</c:v>
                </c:pt>
                <c:pt idx="240">
                  <c:v>45783</c:v>
                </c:pt>
                <c:pt idx="241">
                  <c:v>45782</c:v>
                </c:pt>
                <c:pt idx="242">
                  <c:v>45781</c:v>
                </c:pt>
                <c:pt idx="243">
                  <c:v>45780</c:v>
                </c:pt>
                <c:pt idx="244">
                  <c:v>45779</c:v>
                </c:pt>
                <c:pt idx="245">
                  <c:v>45778</c:v>
                </c:pt>
                <c:pt idx="246">
                  <c:v>45777</c:v>
                </c:pt>
                <c:pt idx="247">
                  <c:v>45776</c:v>
                </c:pt>
                <c:pt idx="248">
                  <c:v>45775</c:v>
                </c:pt>
                <c:pt idx="249">
                  <c:v>45774</c:v>
                </c:pt>
                <c:pt idx="250">
                  <c:v>45773</c:v>
                </c:pt>
                <c:pt idx="251">
                  <c:v>45772</c:v>
                </c:pt>
                <c:pt idx="252">
                  <c:v>45771</c:v>
                </c:pt>
                <c:pt idx="253">
                  <c:v>45770</c:v>
                </c:pt>
                <c:pt idx="254">
                  <c:v>45769</c:v>
                </c:pt>
                <c:pt idx="255">
                  <c:v>45768</c:v>
                </c:pt>
                <c:pt idx="256">
                  <c:v>45767</c:v>
                </c:pt>
                <c:pt idx="257">
                  <c:v>45766</c:v>
                </c:pt>
                <c:pt idx="258">
                  <c:v>45765</c:v>
                </c:pt>
                <c:pt idx="259">
                  <c:v>45764</c:v>
                </c:pt>
                <c:pt idx="260">
                  <c:v>45763</c:v>
                </c:pt>
                <c:pt idx="261">
                  <c:v>45762</c:v>
                </c:pt>
                <c:pt idx="262">
                  <c:v>45761</c:v>
                </c:pt>
                <c:pt idx="263">
                  <c:v>45760</c:v>
                </c:pt>
                <c:pt idx="264">
                  <c:v>45759</c:v>
                </c:pt>
                <c:pt idx="265">
                  <c:v>45758</c:v>
                </c:pt>
                <c:pt idx="266">
                  <c:v>45757</c:v>
                </c:pt>
                <c:pt idx="267">
                  <c:v>45756</c:v>
                </c:pt>
                <c:pt idx="268">
                  <c:v>45755</c:v>
                </c:pt>
                <c:pt idx="269">
                  <c:v>45754</c:v>
                </c:pt>
                <c:pt idx="270">
                  <c:v>45753</c:v>
                </c:pt>
                <c:pt idx="271">
                  <c:v>45752</c:v>
                </c:pt>
                <c:pt idx="272">
                  <c:v>45751</c:v>
                </c:pt>
                <c:pt idx="273">
                  <c:v>45750</c:v>
                </c:pt>
                <c:pt idx="274">
                  <c:v>45749</c:v>
                </c:pt>
                <c:pt idx="275">
                  <c:v>45748</c:v>
                </c:pt>
                <c:pt idx="276">
                  <c:v>45747</c:v>
                </c:pt>
                <c:pt idx="277">
                  <c:v>45746</c:v>
                </c:pt>
                <c:pt idx="278">
                  <c:v>45745</c:v>
                </c:pt>
                <c:pt idx="279">
                  <c:v>45744</c:v>
                </c:pt>
                <c:pt idx="280">
                  <c:v>45743</c:v>
                </c:pt>
                <c:pt idx="281">
                  <c:v>45742</c:v>
                </c:pt>
                <c:pt idx="282">
                  <c:v>45741</c:v>
                </c:pt>
                <c:pt idx="283">
                  <c:v>45740</c:v>
                </c:pt>
                <c:pt idx="284">
                  <c:v>45739</c:v>
                </c:pt>
                <c:pt idx="285">
                  <c:v>45738</c:v>
                </c:pt>
                <c:pt idx="286">
                  <c:v>45737</c:v>
                </c:pt>
                <c:pt idx="287">
                  <c:v>45736</c:v>
                </c:pt>
                <c:pt idx="288">
                  <c:v>45735</c:v>
                </c:pt>
                <c:pt idx="289">
                  <c:v>45734</c:v>
                </c:pt>
                <c:pt idx="290">
                  <c:v>45733</c:v>
                </c:pt>
                <c:pt idx="291">
                  <c:v>45732</c:v>
                </c:pt>
                <c:pt idx="292">
                  <c:v>45731</c:v>
                </c:pt>
                <c:pt idx="293">
                  <c:v>45730</c:v>
                </c:pt>
                <c:pt idx="294">
                  <c:v>45729</c:v>
                </c:pt>
                <c:pt idx="295">
                  <c:v>45728</c:v>
                </c:pt>
                <c:pt idx="296">
                  <c:v>45727</c:v>
                </c:pt>
                <c:pt idx="297">
                  <c:v>45726</c:v>
                </c:pt>
                <c:pt idx="298">
                  <c:v>45725</c:v>
                </c:pt>
                <c:pt idx="299">
                  <c:v>45724</c:v>
                </c:pt>
                <c:pt idx="300">
                  <c:v>45723</c:v>
                </c:pt>
                <c:pt idx="301">
                  <c:v>45722</c:v>
                </c:pt>
                <c:pt idx="302">
                  <c:v>45721</c:v>
                </c:pt>
                <c:pt idx="303">
                  <c:v>45720</c:v>
                </c:pt>
                <c:pt idx="304">
                  <c:v>45719</c:v>
                </c:pt>
                <c:pt idx="305">
                  <c:v>45718</c:v>
                </c:pt>
                <c:pt idx="306">
                  <c:v>45717</c:v>
                </c:pt>
                <c:pt idx="307">
                  <c:v>45716</c:v>
                </c:pt>
                <c:pt idx="308">
                  <c:v>45715</c:v>
                </c:pt>
                <c:pt idx="309">
                  <c:v>45714</c:v>
                </c:pt>
                <c:pt idx="310">
                  <c:v>45713</c:v>
                </c:pt>
                <c:pt idx="311">
                  <c:v>45712</c:v>
                </c:pt>
                <c:pt idx="312">
                  <c:v>45711</c:v>
                </c:pt>
                <c:pt idx="313">
                  <c:v>45710</c:v>
                </c:pt>
                <c:pt idx="314">
                  <c:v>45709</c:v>
                </c:pt>
                <c:pt idx="315">
                  <c:v>45708</c:v>
                </c:pt>
                <c:pt idx="316">
                  <c:v>45707</c:v>
                </c:pt>
                <c:pt idx="317">
                  <c:v>45706</c:v>
                </c:pt>
                <c:pt idx="318">
                  <c:v>45705</c:v>
                </c:pt>
                <c:pt idx="319">
                  <c:v>45704</c:v>
                </c:pt>
                <c:pt idx="320">
                  <c:v>45703</c:v>
                </c:pt>
                <c:pt idx="321">
                  <c:v>45702</c:v>
                </c:pt>
                <c:pt idx="322">
                  <c:v>45701</c:v>
                </c:pt>
                <c:pt idx="323">
                  <c:v>45700</c:v>
                </c:pt>
                <c:pt idx="324">
                  <c:v>45699</c:v>
                </c:pt>
                <c:pt idx="325">
                  <c:v>45698</c:v>
                </c:pt>
                <c:pt idx="326">
                  <c:v>45697</c:v>
                </c:pt>
                <c:pt idx="327">
                  <c:v>45696</c:v>
                </c:pt>
                <c:pt idx="328">
                  <c:v>45695</c:v>
                </c:pt>
                <c:pt idx="329">
                  <c:v>45694</c:v>
                </c:pt>
                <c:pt idx="330">
                  <c:v>45693</c:v>
                </c:pt>
                <c:pt idx="331">
                  <c:v>45692</c:v>
                </c:pt>
                <c:pt idx="332">
                  <c:v>45691</c:v>
                </c:pt>
                <c:pt idx="333">
                  <c:v>45690</c:v>
                </c:pt>
                <c:pt idx="334">
                  <c:v>45689</c:v>
                </c:pt>
                <c:pt idx="335">
                  <c:v>45688</c:v>
                </c:pt>
                <c:pt idx="336">
                  <c:v>45687</c:v>
                </c:pt>
                <c:pt idx="337">
                  <c:v>45686</c:v>
                </c:pt>
                <c:pt idx="338">
                  <c:v>45685</c:v>
                </c:pt>
                <c:pt idx="339">
                  <c:v>45684</c:v>
                </c:pt>
                <c:pt idx="340">
                  <c:v>45683</c:v>
                </c:pt>
                <c:pt idx="341">
                  <c:v>45682</c:v>
                </c:pt>
                <c:pt idx="342">
                  <c:v>45681</c:v>
                </c:pt>
                <c:pt idx="343">
                  <c:v>45680</c:v>
                </c:pt>
                <c:pt idx="344">
                  <c:v>45679</c:v>
                </c:pt>
                <c:pt idx="345">
                  <c:v>45678</c:v>
                </c:pt>
                <c:pt idx="346">
                  <c:v>45677</c:v>
                </c:pt>
                <c:pt idx="347">
                  <c:v>45676</c:v>
                </c:pt>
                <c:pt idx="348">
                  <c:v>45675</c:v>
                </c:pt>
                <c:pt idx="349">
                  <c:v>45674</c:v>
                </c:pt>
                <c:pt idx="350">
                  <c:v>45673</c:v>
                </c:pt>
                <c:pt idx="351">
                  <c:v>45672</c:v>
                </c:pt>
                <c:pt idx="352">
                  <c:v>45671</c:v>
                </c:pt>
                <c:pt idx="353">
                  <c:v>45670</c:v>
                </c:pt>
                <c:pt idx="354">
                  <c:v>45669</c:v>
                </c:pt>
                <c:pt idx="355">
                  <c:v>45668</c:v>
                </c:pt>
                <c:pt idx="356">
                  <c:v>45667</c:v>
                </c:pt>
                <c:pt idx="357">
                  <c:v>45666</c:v>
                </c:pt>
                <c:pt idx="358">
                  <c:v>45665</c:v>
                </c:pt>
                <c:pt idx="359">
                  <c:v>45664</c:v>
                </c:pt>
                <c:pt idx="360">
                  <c:v>45663</c:v>
                </c:pt>
                <c:pt idx="361">
                  <c:v>45662</c:v>
                </c:pt>
                <c:pt idx="362">
                  <c:v>45661</c:v>
                </c:pt>
                <c:pt idx="363">
                  <c:v>45660</c:v>
                </c:pt>
                <c:pt idx="364">
                  <c:v>45659</c:v>
                </c:pt>
                <c:pt idx="365">
                  <c:v>45658</c:v>
                </c:pt>
                <c:pt idx="366">
                  <c:v>45657</c:v>
                </c:pt>
                <c:pt idx="367">
                  <c:v>45656</c:v>
                </c:pt>
                <c:pt idx="368">
                  <c:v>45655</c:v>
                </c:pt>
                <c:pt idx="369">
                  <c:v>45654</c:v>
                </c:pt>
                <c:pt idx="370">
                  <c:v>45653</c:v>
                </c:pt>
                <c:pt idx="371">
                  <c:v>45652</c:v>
                </c:pt>
              </c:numCache>
            </c:numRef>
          </c:cat>
          <c:val>
            <c:numRef>
              <c:f>Calculation!$F$2:$F$437</c:f>
              <c:numCache>
                <c:formatCode>General</c:formatCode>
                <c:ptCount val="436"/>
                <c:pt idx="0">
                  <c:v>96.448099999999997</c:v>
                </c:pt>
                <c:pt idx="1">
                  <c:v>96.448099999999997</c:v>
                </c:pt>
                <c:pt idx="2">
                  <c:v>96.448099999999997</c:v>
                </c:pt>
                <c:pt idx="3">
                  <c:v>95.510199999999998</c:v>
                </c:pt>
                <c:pt idx="4">
                  <c:v>95.999499999999998</c:v>
                </c:pt>
                <c:pt idx="5">
                  <c:v>95.999499999999998</c:v>
                </c:pt>
                <c:pt idx="6">
                  <c:v>95.999499999999998</c:v>
                </c:pt>
                <c:pt idx="7">
                  <c:v>95.223799999999997</c:v>
                </c:pt>
                <c:pt idx="8">
                  <c:v>95.490600000000001</c:v>
                </c:pt>
                <c:pt idx="9">
                  <c:v>94.650099999999995</c:v>
                </c:pt>
                <c:pt idx="10">
                  <c:v>95.094999999999999</c:v>
                </c:pt>
                <c:pt idx="11">
                  <c:v>95.8</c:v>
                </c:pt>
                <c:pt idx="12">
                  <c:v>95.8</c:v>
                </c:pt>
                <c:pt idx="13">
                  <c:v>95.8</c:v>
                </c:pt>
                <c:pt idx="14">
                  <c:v>94.944000000000003</c:v>
                </c:pt>
                <c:pt idx="15">
                  <c:v>94.202399999999997</c:v>
                </c:pt>
                <c:pt idx="16">
                  <c:v>94.95</c:v>
                </c:pt>
                <c:pt idx="17">
                  <c:v>95.019499999999994</c:v>
                </c:pt>
                <c:pt idx="18">
                  <c:v>95.587299999999999</c:v>
                </c:pt>
                <c:pt idx="19">
                  <c:v>95.587299999999999</c:v>
                </c:pt>
                <c:pt idx="20">
                  <c:v>95.587299999999999</c:v>
                </c:pt>
                <c:pt idx="21">
                  <c:v>94.1</c:v>
                </c:pt>
                <c:pt idx="22">
                  <c:v>94.25</c:v>
                </c:pt>
                <c:pt idx="23">
                  <c:v>94.872900000000001</c:v>
                </c:pt>
                <c:pt idx="24">
                  <c:v>95.299400000000006</c:v>
                </c:pt>
                <c:pt idx="25">
                  <c:v>95.775999999999996</c:v>
                </c:pt>
                <c:pt idx="26">
                  <c:v>95.775999999999996</c:v>
                </c:pt>
                <c:pt idx="27">
                  <c:v>95.775999999999996</c:v>
                </c:pt>
                <c:pt idx="28">
                  <c:v>94.513099999999994</c:v>
                </c:pt>
                <c:pt idx="29">
                  <c:v>94.899600000000007</c:v>
                </c:pt>
                <c:pt idx="30">
                  <c:v>94.284899999999993</c:v>
                </c:pt>
                <c:pt idx="31">
                  <c:v>95.698899999999995</c:v>
                </c:pt>
                <c:pt idx="32">
                  <c:v>95.8</c:v>
                </c:pt>
                <c:pt idx="33">
                  <c:v>95.8</c:v>
                </c:pt>
                <c:pt idx="34">
                  <c:v>95.8</c:v>
                </c:pt>
                <c:pt idx="35">
                  <c:v>95.870500000000007</c:v>
                </c:pt>
                <c:pt idx="36">
                  <c:v>95.628100000000003</c:v>
                </c:pt>
                <c:pt idx="37">
                  <c:v>95.7</c:v>
                </c:pt>
                <c:pt idx="38">
                  <c:v>95.944000000000003</c:v>
                </c:pt>
                <c:pt idx="39">
                  <c:v>96.067300000000003</c:v>
                </c:pt>
                <c:pt idx="40">
                  <c:v>96.067300000000003</c:v>
                </c:pt>
                <c:pt idx="41">
                  <c:v>96.067300000000003</c:v>
                </c:pt>
                <c:pt idx="42">
                  <c:v>95.251000000000005</c:v>
                </c:pt>
                <c:pt idx="43">
                  <c:v>95.5</c:v>
                </c:pt>
                <c:pt idx="44">
                  <c:v>95.5</c:v>
                </c:pt>
                <c:pt idx="45">
                  <c:v>95.187399999999997</c:v>
                </c:pt>
                <c:pt idx="46">
                  <c:v>96.969099999999997</c:v>
                </c:pt>
                <c:pt idx="47">
                  <c:v>96.969099999999997</c:v>
                </c:pt>
                <c:pt idx="48">
                  <c:v>96.969099999999997</c:v>
                </c:pt>
                <c:pt idx="49">
                  <c:v>95.500100000000003</c:v>
                </c:pt>
                <c:pt idx="50">
                  <c:v>95.380099999999999</c:v>
                </c:pt>
                <c:pt idx="51">
                  <c:v>95.524000000000001</c:v>
                </c:pt>
                <c:pt idx="52">
                  <c:v>95.25</c:v>
                </c:pt>
                <c:pt idx="53">
                  <c:v>95.35</c:v>
                </c:pt>
                <c:pt idx="54">
                  <c:v>95.35</c:v>
                </c:pt>
                <c:pt idx="55">
                  <c:v>95.35</c:v>
                </c:pt>
                <c:pt idx="56">
                  <c:v>95.259799999999998</c:v>
                </c:pt>
                <c:pt idx="57">
                  <c:v>95.193299999999994</c:v>
                </c:pt>
                <c:pt idx="58">
                  <c:v>95.259500000000003</c:v>
                </c:pt>
                <c:pt idx="59">
                  <c:v>95.259500000000003</c:v>
                </c:pt>
                <c:pt idx="60">
                  <c:v>95.467699999999994</c:v>
                </c:pt>
                <c:pt idx="61">
                  <c:v>95.467699999999994</c:v>
                </c:pt>
                <c:pt idx="62">
                  <c:v>95.905500000000004</c:v>
                </c:pt>
                <c:pt idx="63">
                  <c:v>95.030100000000004</c:v>
                </c:pt>
                <c:pt idx="64">
                  <c:v>94.999899999999997</c:v>
                </c:pt>
                <c:pt idx="65">
                  <c:v>95</c:v>
                </c:pt>
                <c:pt idx="66">
                  <c:v>94.426000000000002</c:v>
                </c:pt>
                <c:pt idx="67">
                  <c:v>95.399900000000002</c:v>
                </c:pt>
                <c:pt idx="68">
                  <c:v>95.399900000000002</c:v>
                </c:pt>
                <c:pt idx="69">
                  <c:v>95.399900000000002</c:v>
                </c:pt>
                <c:pt idx="70">
                  <c:v>95.638599999999997</c:v>
                </c:pt>
                <c:pt idx="71">
                  <c:v>95.674400000000006</c:v>
                </c:pt>
                <c:pt idx="72">
                  <c:v>95.339799999999997</c:v>
                </c:pt>
                <c:pt idx="73">
                  <c:v>95.974900000000005</c:v>
                </c:pt>
                <c:pt idx="74">
                  <c:v>96.442899999999995</c:v>
                </c:pt>
                <c:pt idx="75">
                  <c:v>96.442899999999995</c:v>
                </c:pt>
                <c:pt idx="76">
                  <c:v>96.442899999999995</c:v>
                </c:pt>
                <c:pt idx="77">
                  <c:v>96.0428</c:v>
                </c:pt>
                <c:pt idx="78">
                  <c:v>94.513900000000007</c:v>
                </c:pt>
                <c:pt idx="79">
                  <c:v>95.982200000000006</c:v>
                </c:pt>
                <c:pt idx="80">
                  <c:v>95.969899999999996</c:v>
                </c:pt>
                <c:pt idx="81">
                  <c:v>96</c:v>
                </c:pt>
                <c:pt idx="82">
                  <c:v>96</c:v>
                </c:pt>
                <c:pt idx="83">
                  <c:v>96</c:v>
                </c:pt>
                <c:pt idx="84">
                  <c:v>95.95</c:v>
                </c:pt>
                <c:pt idx="85">
                  <c:v>96.593400000000003</c:v>
                </c:pt>
                <c:pt idx="86">
                  <c:v>96.900099999999995</c:v>
                </c:pt>
                <c:pt idx="87">
                  <c:v>96.856499999999997</c:v>
                </c:pt>
                <c:pt idx="88">
                  <c:v>96.6</c:v>
                </c:pt>
                <c:pt idx="89">
                  <c:v>96.6</c:v>
                </c:pt>
                <c:pt idx="90">
                  <c:v>96.6</c:v>
                </c:pt>
                <c:pt idx="91">
                  <c:v>96.736099999999993</c:v>
                </c:pt>
                <c:pt idx="92">
                  <c:v>96.949100000000001</c:v>
                </c:pt>
                <c:pt idx="93">
                  <c:v>96.997399999999999</c:v>
                </c:pt>
                <c:pt idx="94">
                  <c:v>95.813000000000002</c:v>
                </c:pt>
                <c:pt idx="95">
                  <c:v>96.602699999999999</c:v>
                </c:pt>
                <c:pt idx="96">
                  <c:v>96.602699999999999</c:v>
                </c:pt>
                <c:pt idx="97">
                  <c:v>96.602699999999999</c:v>
                </c:pt>
                <c:pt idx="98">
                  <c:v>96.695499999999996</c:v>
                </c:pt>
                <c:pt idx="99">
                  <c:v>96.76</c:v>
                </c:pt>
                <c:pt idx="100">
                  <c:v>96.849400000000003</c:v>
                </c:pt>
                <c:pt idx="101">
                  <c:v>96.37</c:v>
                </c:pt>
                <c:pt idx="102">
                  <c:v>96.578100000000006</c:v>
                </c:pt>
                <c:pt idx="103">
                  <c:v>96.578100000000006</c:v>
                </c:pt>
                <c:pt idx="104">
                  <c:v>96.578100000000006</c:v>
                </c:pt>
                <c:pt idx="105">
                  <c:v>97.241</c:v>
                </c:pt>
                <c:pt idx="106">
                  <c:v>97.299899999999994</c:v>
                </c:pt>
                <c:pt idx="107">
                  <c:v>96.9726</c:v>
                </c:pt>
                <c:pt idx="108">
                  <c:v>96.783900000000003</c:v>
                </c:pt>
                <c:pt idx="109">
                  <c:v>97.352999999999994</c:v>
                </c:pt>
                <c:pt idx="110">
                  <c:v>97.352999999999994</c:v>
                </c:pt>
                <c:pt idx="111">
                  <c:v>97.352999999999994</c:v>
                </c:pt>
                <c:pt idx="112">
                  <c:v>97.514700000000005</c:v>
                </c:pt>
                <c:pt idx="113">
                  <c:v>96.65</c:v>
                </c:pt>
                <c:pt idx="114">
                  <c:v>97.437100000000001</c:v>
                </c:pt>
                <c:pt idx="115">
                  <c:v>96.999700000000004</c:v>
                </c:pt>
                <c:pt idx="116">
                  <c:v>97.870500000000007</c:v>
                </c:pt>
                <c:pt idx="117">
                  <c:v>97.870500000000007</c:v>
                </c:pt>
                <c:pt idx="118">
                  <c:v>97.870500000000007</c:v>
                </c:pt>
                <c:pt idx="119">
                  <c:v>97.130700000000004</c:v>
                </c:pt>
                <c:pt idx="120">
                  <c:v>97.559600000000003</c:v>
                </c:pt>
                <c:pt idx="121">
                  <c:v>97.599900000000005</c:v>
                </c:pt>
                <c:pt idx="122">
                  <c:v>97.614400000000003</c:v>
                </c:pt>
                <c:pt idx="123">
                  <c:v>97.566599999999994</c:v>
                </c:pt>
                <c:pt idx="124">
                  <c:v>97.566599999999994</c:v>
                </c:pt>
                <c:pt idx="125">
                  <c:v>97.566599999999994</c:v>
                </c:pt>
                <c:pt idx="126">
                  <c:v>97.392799999999994</c:v>
                </c:pt>
                <c:pt idx="127">
                  <c:v>98.198300000000003</c:v>
                </c:pt>
                <c:pt idx="128">
                  <c:v>97.999899999999997</c:v>
                </c:pt>
                <c:pt idx="129">
                  <c:v>97.742099999999994</c:v>
                </c:pt>
                <c:pt idx="130">
                  <c:v>98.2624</c:v>
                </c:pt>
                <c:pt idx="131">
                  <c:v>98.2624</c:v>
                </c:pt>
                <c:pt idx="132">
                  <c:v>98.2624</c:v>
                </c:pt>
                <c:pt idx="133">
                  <c:v>97.718800000000002</c:v>
                </c:pt>
                <c:pt idx="134">
                  <c:v>97.885900000000007</c:v>
                </c:pt>
                <c:pt idx="135">
                  <c:v>98.696299999999994</c:v>
                </c:pt>
                <c:pt idx="136">
                  <c:v>98</c:v>
                </c:pt>
                <c:pt idx="137">
                  <c:v>97.023899999999998</c:v>
                </c:pt>
                <c:pt idx="138">
                  <c:v>97.023899999999998</c:v>
                </c:pt>
                <c:pt idx="139">
                  <c:v>97.023899999999998</c:v>
                </c:pt>
                <c:pt idx="140">
                  <c:v>96.385999999999996</c:v>
                </c:pt>
                <c:pt idx="141">
                  <c:v>96.549400000000006</c:v>
                </c:pt>
                <c:pt idx="142">
                  <c:v>96.5</c:v>
                </c:pt>
                <c:pt idx="143">
                  <c:v>96.354100000000003</c:v>
                </c:pt>
                <c:pt idx="144">
                  <c:v>96.6477</c:v>
                </c:pt>
                <c:pt idx="145">
                  <c:v>96.6477</c:v>
                </c:pt>
                <c:pt idx="146">
                  <c:v>96.6477</c:v>
                </c:pt>
                <c:pt idx="147">
                  <c:v>96.110699999999994</c:v>
                </c:pt>
                <c:pt idx="148">
                  <c:v>96.2</c:v>
                </c:pt>
                <c:pt idx="149">
                  <c:v>96.189899999999994</c:v>
                </c:pt>
                <c:pt idx="150">
                  <c:v>96.148899999999998</c:v>
                </c:pt>
                <c:pt idx="151">
                  <c:v>96.653300000000002</c:v>
                </c:pt>
                <c:pt idx="152">
                  <c:v>96.653300000000002</c:v>
                </c:pt>
                <c:pt idx="153">
                  <c:v>96.653300000000002</c:v>
                </c:pt>
                <c:pt idx="154">
                  <c:v>96.5</c:v>
                </c:pt>
                <c:pt idx="155">
                  <c:v>95.34</c:v>
                </c:pt>
                <c:pt idx="156">
                  <c:v>96.25</c:v>
                </c:pt>
                <c:pt idx="157">
                  <c:v>96.1</c:v>
                </c:pt>
                <c:pt idx="158">
                  <c:v>96.369600000000005</c:v>
                </c:pt>
                <c:pt idx="159">
                  <c:v>96.369600000000005</c:v>
                </c:pt>
                <c:pt idx="160">
                  <c:v>96.369600000000005</c:v>
                </c:pt>
                <c:pt idx="161">
                  <c:v>96.56</c:v>
                </c:pt>
                <c:pt idx="162">
                  <c:v>96.25</c:v>
                </c:pt>
                <c:pt idx="163">
                  <c:v>96.25</c:v>
                </c:pt>
                <c:pt idx="164">
                  <c:v>96.248999999999995</c:v>
                </c:pt>
                <c:pt idx="165">
                  <c:v>96.245900000000006</c:v>
                </c:pt>
                <c:pt idx="166">
                  <c:v>96.245900000000006</c:v>
                </c:pt>
                <c:pt idx="167">
                  <c:v>96.245900000000006</c:v>
                </c:pt>
                <c:pt idx="168">
                  <c:v>96.495000000000005</c:v>
                </c:pt>
                <c:pt idx="169">
                  <c:v>96.461699999999993</c:v>
                </c:pt>
                <c:pt idx="170">
                  <c:v>96.063800000000001</c:v>
                </c:pt>
                <c:pt idx="171">
                  <c:v>96.147300000000001</c:v>
                </c:pt>
                <c:pt idx="172">
                  <c:v>96.340900000000005</c:v>
                </c:pt>
                <c:pt idx="173">
                  <c:v>96.340900000000005</c:v>
                </c:pt>
                <c:pt idx="174">
                  <c:v>96.340900000000005</c:v>
                </c:pt>
                <c:pt idx="175">
                  <c:v>96.294200000000004</c:v>
                </c:pt>
                <c:pt idx="176">
                  <c:v>96.399900000000002</c:v>
                </c:pt>
                <c:pt idx="177">
                  <c:v>96.000200000000007</c:v>
                </c:pt>
                <c:pt idx="178">
                  <c:v>94.9786</c:v>
                </c:pt>
                <c:pt idx="179">
                  <c:v>96.162400000000005</c:v>
                </c:pt>
                <c:pt idx="180">
                  <c:v>96.162400000000005</c:v>
                </c:pt>
                <c:pt idx="181">
                  <c:v>96.162400000000005</c:v>
                </c:pt>
                <c:pt idx="182">
                  <c:v>96.069599999999994</c:v>
                </c:pt>
                <c:pt idx="183">
                  <c:v>95.984499999999997</c:v>
                </c:pt>
                <c:pt idx="184">
                  <c:v>96</c:v>
                </c:pt>
                <c:pt idx="185">
                  <c:v>96.091499999999996</c:v>
                </c:pt>
                <c:pt idx="186">
                  <c:v>95.757499999999993</c:v>
                </c:pt>
                <c:pt idx="187">
                  <c:v>95.757499999999993</c:v>
                </c:pt>
                <c:pt idx="188">
                  <c:v>95.757499999999993</c:v>
                </c:pt>
                <c:pt idx="189">
                  <c:v>96.249399999999994</c:v>
                </c:pt>
                <c:pt idx="190">
                  <c:v>96.183400000000006</c:v>
                </c:pt>
                <c:pt idx="191">
                  <c:v>95.612700000000004</c:v>
                </c:pt>
                <c:pt idx="192">
                  <c:v>96</c:v>
                </c:pt>
                <c:pt idx="193">
                  <c:v>95.85</c:v>
                </c:pt>
                <c:pt idx="194">
                  <c:v>95.85</c:v>
                </c:pt>
                <c:pt idx="195">
                  <c:v>95.85</c:v>
                </c:pt>
                <c:pt idx="196">
                  <c:v>95.495699999999999</c:v>
                </c:pt>
                <c:pt idx="197">
                  <c:v>96.2</c:v>
                </c:pt>
                <c:pt idx="198">
                  <c:v>96.160799999999995</c:v>
                </c:pt>
                <c:pt idx="199">
                  <c:v>96.5</c:v>
                </c:pt>
                <c:pt idx="200">
                  <c:v>97</c:v>
                </c:pt>
                <c:pt idx="201">
                  <c:v>97</c:v>
                </c:pt>
                <c:pt idx="202">
                  <c:v>97</c:v>
                </c:pt>
                <c:pt idx="203">
                  <c:v>96.251900000000006</c:v>
                </c:pt>
                <c:pt idx="204">
                  <c:v>96.251900000000006</c:v>
                </c:pt>
                <c:pt idx="205">
                  <c:v>95.700199999999995</c:v>
                </c:pt>
                <c:pt idx="206">
                  <c:v>96.353300000000004</c:v>
                </c:pt>
                <c:pt idx="207">
                  <c:v>96.317999999999998</c:v>
                </c:pt>
                <c:pt idx="208">
                  <c:v>96.317999999999998</c:v>
                </c:pt>
                <c:pt idx="209">
                  <c:v>96.317999999999998</c:v>
                </c:pt>
                <c:pt idx="210">
                  <c:v>96.560400000000001</c:v>
                </c:pt>
                <c:pt idx="211">
                  <c:v>95.93</c:v>
                </c:pt>
                <c:pt idx="212">
                  <c:v>96.487099999999998</c:v>
                </c:pt>
                <c:pt idx="213">
                  <c:v>95.999899999999997</c:v>
                </c:pt>
                <c:pt idx="214">
                  <c:v>96.2898</c:v>
                </c:pt>
                <c:pt idx="215">
                  <c:v>96.2898</c:v>
                </c:pt>
                <c:pt idx="216">
                  <c:v>96.2898</c:v>
                </c:pt>
                <c:pt idx="217">
                  <c:v>95.604299999999995</c:v>
                </c:pt>
                <c:pt idx="218">
                  <c:v>95.919200000000004</c:v>
                </c:pt>
                <c:pt idx="219">
                  <c:v>95.787400000000005</c:v>
                </c:pt>
                <c:pt idx="220">
                  <c:v>95.749700000000004</c:v>
                </c:pt>
                <c:pt idx="221">
                  <c:v>95.801699999999997</c:v>
                </c:pt>
                <c:pt idx="222">
                  <c:v>95.801699999999997</c:v>
                </c:pt>
                <c:pt idx="223">
                  <c:v>95.801699999999997</c:v>
                </c:pt>
                <c:pt idx="224">
                  <c:v>95.397000000000006</c:v>
                </c:pt>
                <c:pt idx="225">
                  <c:v>95.03</c:v>
                </c:pt>
                <c:pt idx="226">
                  <c:v>95.669399999999996</c:v>
                </c:pt>
                <c:pt idx="227">
                  <c:v>96.013999999999996</c:v>
                </c:pt>
                <c:pt idx="228">
                  <c:v>96.025800000000004</c:v>
                </c:pt>
                <c:pt idx="229">
                  <c:v>96.025800000000004</c:v>
                </c:pt>
                <c:pt idx="230">
                  <c:v>96.025800000000004</c:v>
                </c:pt>
                <c:pt idx="231">
                  <c:v>96.255399999999995</c:v>
                </c:pt>
                <c:pt idx="232">
                  <c:v>95.6</c:v>
                </c:pt>
                <c:pt idx="233">
                  <c:v>96.249899999999997</c:v>
                </c:pt>
                <c:pt idx="234">
                  <c:v>95.841300000000004</c:v>
                </c:pt>
                <c:pt idx="235">
                  <c:v>97.5</c:v>
                </c:pt>
                <c:pt idx="236">
                  <c:v>97.5</c:v>
                </c:pt>
                <c:pt idx="237">
                  <c:v>97.5</c:v>
                </c:pt>
                <c:pt idx="238">
                  <c:v>97.5</c:v>
                </c:pt>
                <c:pt idx="239">
                  <c:v>96.38</c:v>
                </c:pt>
                <c:pt idx="240">
                  <c:v>95.499899999999997</c:v>
                </c:pt>
                <c:pt idx="241">
                  <c:v>95.239900000000006</c:v>
                </c:pt>
                <c:pt idx="242">
                  <c:v>95.399799999999999</c:v>
                </c:pt>
                <c:pt idx="243">
                  <c:v>95.399799999999999</c:v>
                </c:pt>
                <c:pt idx="244">
                  <c:v>95.399799999999999</c:v>
                </c:pt>
                <c:pt idx="245">
                  <c:v>95.76</c:v>
                </c:pt>
                <c:pt idx="246">
                  <c:v>95.76</c:v>
                </c:pt>
                <c:pt idx="247">
                  <c:v>94.846599999999995</c:v>
                </c:pt>
                <c:pt idx="248">
                  <c:v>95.7</c:v>
                </c:pt>
                <c:pt idx="249">
                  <c:v>94.85</c:v>
                </c:pt>
                <c:pt idx="250">
                  <c:v>94.85</c:v>
                </c:pt>
                <c:pt idx="251">
                  <c:v>94.85</c:v>
                </c:pt>
                <c:pt idx="252">
                  <c:v>93.398600000000002</c:v>
                </c:pt>
                <c:pt idx="253">
                  <c:v>95.612799999999993</c:v>
                </c:pt>
                <c:pt idx="254">
                  <c:v>93.150099999999995</c:v>
                </c:pt>
                <c:pt idx="255">
                  <c:v>93.275999999999996</c:v>
                </c:pt>
                <c:pt idx="256">
                  <c:v>93.124399999999994</c:v>
                </c:pt>
                <c:pt idx="257">
                  <c:v>93.124399999999994</c:v>
                </c:pt>
                <c:pt idx="258">
                  <c:v>93.124399999999994</c:v>
                </c:pt>
                <c:pt idx="259">
                  <c:v>93.195899999999995</c:v>
                </c:pt>
                <c:pt idx="260">
                  <c:v>93.969800000000006</c:v>
                </c:pt>
                <c:pt idx="261">
                  <c:v>92.8125</c:v>
                </c:pt>
                <c:pt idx="262">
                  <c:v>92.892799999999994</c:v>
                </c:pt>
                <c:pt idx="263">
                  <c:v>93.338999999999999</c:v>
                </c:pt>
                <c:pt idx="264">
                  <c:v>93.338999999999999</c:v>
                </c:pt>
                <c:pt idx="265">
                  <c:v>93.338999999999999</c:v>
                </c:pt>
                <c:pt idx="266">
                  <c:v>92.877700000000004</c:v>
                </c:pt>
                <c:pt idx="267">
                  <c:v>93.3</c:v>
                </c:pt>
                <c:pt idx="268">
                  <c:v>92.6999</c:v>
                </c:pt>
                <c:pt idx="269">
                  <c:v>92.199799999999996</c:v>
                </c:pt>
                <c:pt idx="270">
                  <c:v>93.4983</c:v>
                </c:pt>
                <c:pt idx="271">
                  <c:v>93.4983</c:v>
                </c:pt>
                <c:pt idx="272">
                  <c:v>93.4983</c:v>
                </c:pt>
                <c:pt idx="273">
                  <c:v>93.4495</c:v>
                </c:pt>
                <c:pt idx="274">
                  <c:v>92.991200000000006</c:v>
                </c:pt>
                <c:pt idx="275">
                  <c:v>92.104699999999994</c:v>
                </c:pt>
                <c:pt idx="276">
                  <c:v>92.4</c:v>
                </c:pt>
                <c:pt idx="277">
                  <c:v>91.951300000000003</c:v>
                </c:pt>
                <c:pt idx="278">
                  <c:v>91.951300000000003</c:v>
                </c:pt>
                <c:pt idx="279">
                  <c:v>91.951300000000003</c:v>
                </c:pt>
                <c:pt idx="280">
                  <c:v>92.049899999999994</c:v>
                </c:pt>
                <c:pt idx="281">
                  <c:v>91.94</c:v>
                </c:pt>
                <c:pt idx="282">
                  <c:v>91.999899999999997</c:v>
                </c:pt>
                <c:pt idx="283">
                  <c:v>91.603300000000004</c:v>
                </c:pt>
                <c:pt idx="284">
                  <c:v>91.433300000000003</c:v>
                </c:pt>
                <c:pt idx="285">
                  <c:v>91.433300000000003</c:v>
                </c:pt>
                <c:pt idx="286">
                  <c:v>91.433300000000003</c:v>
                </c:pt>
                <c:pt idx="287">
                  <c:v>91.699799999999996</c:v>
                </c:pt>
                <c:pt idx="288">
                  <c:v>91.5</c:v>
                </c:pt>
                <c:pt idx="289">
                  <c:v>90.659199999999998</c:v>
                </c:pt>
                <c:pt idx="290">
                  <c:v>90.265000000000001</c:v>
                </c:pt>
                <c:pt idx="291">
                  <c:v>90.1053</c:v>
                </c:pt>
                <c:pt idx="292">
                  <c:v>90.1053</c:v>
                </c:pt>
                <c:pt idx="293">
                  <c:v>90.1053</c:v>
                </c:pt>
                <c:pt idx="294">
                  <c:v>90.1999</c:v>
                </c:pt>
                <c:pt idx="295">
                  <c:v>89.831500000000005</c:v>
                </c:pt>
                <c:pt idx="296">
                  <c:v>90.049899999999994</c:v>
                </c:pt>
                <c:pt idx="297">
                  <c:v>89.804000000000002</c:v>
                </c:pt>
                <c:pt idx="298">
                  <c:v>90</c:v>
                </c:pt>
                <c:pt idx="299">
                  <c:v>90</c:v>
                </c:pt>
                <c:pt idx="300">
                  <c:v>90</c:v>
                </c:pt>
                <c:pt idx="301">
                  <c:v>90.6982</c:v>
                </c:pt>
                <c:pt idx="302">
                  <c:v>90.799899999999994</c:v>
                </c:pt>
                <c:pt idx="303">
                  <c:v>90.716300000000004</c:v>
                </c:pt>
                <c:pt idx="304">
                  <c:v>91.146799999999999</c:v>
                </c:pt>
                <c:pt idx="305">
                  <c:v>94.2</c:v>
                </c:pt>
                <c:pt idx="306">
                  <c:v>94.2</c:v>
                </c:pt>
                <c:pt idx="307">
                  <c:v>94.2</c:v>
                </c:pt>
                <c:pt idx="308">
                  <c:v>91.698999999999998</c:v>
                </c:pt>
                <c:pt idx="309">
                  <c:v>92.489900000000006</c:v>
                </c:pt>
                <c:pt idx="310">
                  <c:v>91.399900000000002</c:v>
                </c:pt>
                <c:pt idx="311">
                  <c:v>92.740799999999993</c:v>
                </c:pt>
                <c:pt idx="312">
                  <c:v>91.949799999999996</c:v>
                </c:pt>
                <c:pt idx="313">
                  <c:v>91.949799999999996</c:v>
                </c:pt>
                <c:pt idx="314">
                  <c:v>91.949799999999996</c:v>
                </c:pt>
                <c:pt idx="315">
                  <c:v>89.096900000000005</c:v>
                </c:pt>
                <c:pt idx="316">
                  <c:v>90.630799999999994</c:v>
                </c:pt>
                <c:pt idx="317">
                  <c:v>89.727800000000002</c:v>
                </c:pt>
                <c:pt idx="318">
                  <c:v>90.863900000000001</c:v>
                </c:pt>
                <c:pt idx="319">
                  <c:v>90.8</c:v>
                </c:pt>
                <c:pt idx="320">
                  <c:v>90.8</c:v>
                </c:pt>
                <c:pt idx="321">
                  <c:v>90.8</c:v>
                </c:pt>
                <c:pt idx="322">
                  <c:v>89.760099999999994</c:v>
                </c:pt>
                <c:pt idx="323">
                  <c:v>89.272000000000006</c:v>
                </c:pt>
                <c:pt idx="324">
                  <c:v>89.338499999999996</c:v>
                </c:pt>
                <c:pt idx="325">
                  <c:v>89.299899999999994</c:v>
                </c:pt>
                <c:pt idx="326">
                  <c:v>88.999499999999998</c:v>
                </c:pt>
                <c:pt idx="327">
                  <c:v>88.999499999999998</c:v>
                </c:pt>
                <c:pt idx="328">
                  <c:v>88.999499999999998</c:v>
                </c:pt>
                <c:pt idx="329">
                  <c:v>89</c:v>
                </c:pt>
                <c:pt idx="330">
                  <c:v>88.626400000000004</c:v>
                </c:pt>
                <c:pt idx="331">
                  <c:v>88.600099999999998</c:v>
                </c:pt>
                <c:pt idx="332">
                  <c:v>89.300299999999993</c:v>
                </c:pt>
                <c:pt idx="333">
                  <c:v>89.241</c:v>
                </c:pt>
                <c:pt idx="334">
                  <c:v>89.241</c:v>
                </c:pt>
                <c:pt idx="335">
                  <c:v>89.241</c:v>
                </c:pt>
                <c:pt idx="336">
                  <c:v>88.722399999999993</c:v>
                </c:pt>
                <c:pt idx="337">
                  <c:v>86.9482</c:v>
                </c:pt>
                <c:pt idx="338">
                  <c:v>87.24</c:v>
                </c:pt>
                <c:pt idx="339">
                  <c:v>87.111500000000007</c:v>
                </c:pt>
                <c:pt idx="340">
                  <c:v>87.11</c:v>
                </c:pt>
                <c:pt idx="341">
                  <c:v>87.11</c:v>
                </c:pt>
                <c:pt idx="342">
                  <c:v>87.11</c:v>
                </c:pt>
                <c:pt idx="343">
                  <c:v>87.27</c:v>
                </c:pt>
                <c:pt idx="344">
                  <c:v>87.249899999999997</c:v>
                </c:pt>
                <c:pt idx="345">
                  <c:v>87.008899999999997</c:v>
                </c:pt>
                <c:pt idx="346">
                  <c:v>86</c:v>
                </c:pt>
                <c:pt idx="347">
                  <c:v>86.860100000000003</c:v>
                </c:pt>
                <c:pt idx="348">
                  <c:v>86.860100000000003</c:v>
                </c:pt>
                <c:pt idx="349">
                  <c:v>86.860100000000003</c:v>
                </c:pt>
                <c:pt idx="350">
                  <c:v>86.656700000000001</c:v>
                </c:pt>
                <c:pt idx="351">
                  <c:v>86.750600000000006</c:v>
                </c:pt>
                <c:pt idx="352">
                  <c:v>86.721900000000005</c:v>
                </c:pt>
                <c:pt idx="353">
                  <c:v>86.979900000000001</c:v>
                </c:pt>
                <c:pt idx="354">
                  <c:v>85.96</c:v>
                </c:pt>
                <c:pt idx="355">
                  <c:v>85.96</c:v>
                </c:pt>
                <c:pt idx="356">
                  <c:v>85.96</c:v>
                </c:pt>
                <c:pt idx="357">
                  <c:v>86.400099999999995</c:v>
                </c:pt>
                <c:pt idx="358">
                  <c:v>86.001400000000004</c:v>
                </c:pt>
                <c:pt idx="359">
                  <c:v>85.75</c:v>
                </c:pt>
                <c:pt idx="360">
                  <c:v>85.75</c:v>
                </c:pt>
                <c:pt idx="361">
                  <c:v>86.179000000000002</c:v>
                </c:pt>
                <c:pt idx="362">
                  <c:v>86.179000000000002</c:v>
                </c:pt>
                <c:pt idx="363">
                  <c:v>86.179000000000002</c:v>
                </c:pt>
                <c:pt idx="364">
                  <c:v>85.44</c:v>
                </c:pt>
                <c:pt idx="365">
                  <c:v>85.44</c:v>
                </c:pt>
                <c:pt idx="366">
                  <c:v>85.44</c:v>
                </c:pt>
                <c:pt idx="367">
                  <c:v>85.44</c:v>
                </c:pt>
                <c:pt idx="368">
                  <c:v>84.154899999999998</c:v>
                </c:pt>
                <c:pt idx="369">
                  <c:v>84.154899999999998</c:v>
                </c:pt>
                <c:pt idx="370">
                  <c:v>82</c:v>
                </c:pt>
                <c:pt idx="371">
                  <c:v>82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60-43DD-941B-8FDC3DC210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6046376"/>
        <c:axId val="836041280"/>
      </c:lineChart>
      <c:dateAx>
        <c:axId val="836046376"/>
        <c:scaling>
          <c:orientation val="minMax"/>
          <c:max val="46023"/>
          <c:min val="45658"/>
        </c:scaling>
        <c:delete val="0"/>
        <c:axPos val="b"/>
        <c:minorGridlines>
          <c:spPr>
            <a:ln w="9525" cap="flat" cmpd="sng" algn="ctr">
              <a:solidFill>
                <a:schemeClr val="dk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d\.mm\.yyyy" sourceLinked="0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2460000" spcFirstLastPara="1" vertOverflow="ellipsis" wrap="square" anchor="ctr" anchorCtr="1"/>
          <a:lstStyle/>
          <a:p>
            <a:pPr algn="ctr">
              <a:defRPr lang="ru-RU" sz="800" b="0" i="0" u="none" strike="noStrike" kern="1200" cap="none" spc="0" normalizeH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836041280"/>
        <c:crosses val="autoZero"/>
        <c:auto val="1"/>
        <c:lblOffset val="100"/>
        <c:baseTimeUnit val="days"/>
        <c:majorTimeUnit val="months"/>
        <c:minorUnit val="1"/>
        <c:minorTimeUnit val="months"/>
      </c:dateAx>
      <c:valAx>
        <c:axId val="836041280"/>
        <c:scaling>
          <c:orientation val="minMax"/>
          <c:max val="100"/>
          <c:min val="81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36046376"/>
        <c:crosses val="autoZero"/>
        <c:crossBetween val="between"/>
        <c:minorUnit val="0.4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rgbClr val="F7F2E5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074294439436908E-2"/>
          <c:y val="6.658251750518672E-2"/>
          <c:w val="0.87949317005169925"/>
          <c:h val="0.76600508947095436"/>
        </c:manualLayout>
      </c:layout>
      <c:scatterChart>
        <c:scatterStyle val="lineMarker"/>
        <c:varyColors val="0"/>
        <c:ser>
          <c:idx val="0"/>
          <c:order val="0"/>
          <c:tx>
            <c:strRef>
              <c:f>Calculation!$K$35</c:f>
              <c:strCache>
                <c:ptCount val="1"/>
                <c:pt idx="0">
                  <c:v>NickName</c:v>
                </c:pt>
              </c:strCache>
            </c:strRef>
          </c:tx>
          <c:spPr>
            <a:ln w="19050">
              <a:noFill/>
            </a:ln>
          </c:spPr>
          <c:dPt>
            <c:idx val="0"/>
            <c:marker>
              <c:spPr>
                <a:solidFill>
                  <a:srgbClr val="FF0000"/>
                </a:solidFill>
                <a:ln>
                  <a:solidFill>
                    <a:srgbClr val="FF000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468B-4189-AAC2-6615C9EF474F}"/>
              </c:ext>
            </c:extLst>
          </c:dPt>
          <c:dLbls>
            <c:dLbl>
              <c:idx val="0"/>
              <c:layout>
                <c:manualLayout>
                  <c:x val="-5.3658555936089675E-2"/>
                  <c:y val="-8.1478229299470656E-2"/>
                </c:manualLayout>
              </c:layout>
              <c:tx>
                <c:rich>
                  <a:bodyPr/>
                  <a:lstStyle/>
                  <a:p>
                    <a:fld id="{805C6EFE-6DE2-4A10-B8C5-A5C0D04DD297}" type="CELLRANGE">
                      <a:rPr lang="en-US"/>
                      <a:pPr/>
                      <a:t>[ДИАПАЗОН ЯЧЕЕК]</a:t>
                    </a:fld>
                    <a:endParaRPr lang="ru-RU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468B-4189-AAC2-6615C9EF474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A685D74-5105-4981-A344-B8E643A7F6E8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B72E-480D-8C69-E01F1456EC1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8FFD734-C6D6-4019-8F65-768332E40786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B72E-480D-8C69-E01F1456EC1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1D408AB-34A9-4352-8947-69E22DF14ECE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B72E-480D-8C69-E01F1456EC1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65D833F-51C4-40DA-8D09-46FFAD3E542D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B72E-480D-8C69-E01F1456EC1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AB46371D-792C-4541-AEC7-15EBBCF00863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B72E-480D-8C69-E01F1456EC1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B5F47C59-5AF3-46DB-8040-C613479A63F8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B72E-480D-8C69-E01F1456EC1B}"/>
                </c:ext>
              </c:extLst>
            </c:dLbl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Calculation!$M$36:$M$42</c:f>
              <c:numCache>
                <c:formatCode>0.00</c:formatCode>
                <c:ptCount val="7"/>
                <c:pt idx="0">
                  <c:v>1.6476962249989042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xVal>
          <c:yVal>
            <c:numRef>
              <c:f>Calculation!$L$36:$L$42</c:f>
              <c:numCache>
                <c:formatCode>0.00</c:formatCode>
                <c:ptCount val="7"/>
                <c:pt idx="0">
                  <c:v>6.0468882619138995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Calculation!$K$36:$K$42</c15:f>
                <c15:dlblRangeCache>
                  <c:ptCount val="7"/>
                  <c:pt idx="0">
                    <c:v>Металлоинвест, 001P-02</c:v>
                  </c:pt>
                  <c:pt idx="1">
                    <c:v>#ЗНАЧ!</c:v>
                  </c:pt>
                  <c:pt idx="2">
                    <c:v>#ЗНАЧ!</c:v>
                  </c:pt>
                  <c:pt idx="3">
                    <c:v>#ЗНАЧ!</c:v>
                  </c:pt>
                  <c:pt idx="4">
                    <c:v>#ЗНАЧ!</c:v>
                  </c:pt>
                  <c:pt idx="5">
                    <c:v>#ЗНАЧ!</c:v>
                  </c:pt>
                  <c:pt idx="6">
                    <c:v>#ЗНАЧ!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7-B72E-480D-8C69-E01F1456EC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6044808"/>
        <c:axId val="836042456"/>
        <c:extLst/>
      </c:scatterChart>
      <c:valAx>
        <c:axId val="836044808"/>
        <c:scaling>
          <c:orientation val="minMax"/>
          <c:max val="2"/>
          <c:min val="1.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ru-RU" sz="8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Дюрация, лет.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836042456"/>
        <c:crosses val="autoZero"/>
        <c:crossBetween val="midCat"/>
      </c:valAx>
      <c:valAx>
        <c:axId val="836042456"/>
        <c:scaling>
          <c:orientation val="minMax"/>
          <c:max val="7"/>
          <c:min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800">
                    <a:solidFill>
                      <a:sysClr val="windowText" lastClr="000000"/>
                    </a:solidFill>
                  </a:rPr>
                  <a:t>Доходность к</a:t>
                </a:r>
                <a:r>
                  <a:rPr lang="ru-RU" sz="800" baseline="0">
                    <a:solidFill>
                      <a:sysClr val="windowText" lastClr="000000"/>
                    </a:solidFill>
                  </a:rPr>
                  <a:t> оферте/погашению, %</a:t>
                </a:r>
                <a:endParaRPr lang="ru-RU" sz="800">
                  <a:solidFill>
                    <a:sysClr val="windowText" lastClr="000000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836044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7F2E5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ru-RU">
                <a:solidFill>
                  <a:schemeClr val="tx1"/>
                </a:solidFill>
              </a:rPr>
              <a:t>Динамика доходности облигации</a:t>
            </a:r>
          </a:p>
        </c:rich>
      </c:tx>
      <c:layout>
        <c:manualLayout>
          <c:xMode val="edge"/>
          <c:yMode val="edge"/>
          <c:x val="0.27376841643977912"/>
          <c:y val="1.33636180092873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ru-RU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solidFill>
            <a:schemeClr val="accent1"/>
          </a:solidFill>
          <a:ln w="22225" cap="rnd">
            <a:solidFill>
              <a:schemeClr val="accent1">
                <a:lumMod val="75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tx1">
                <a:lumMod val="95000"/>
                <a:lumOff val="5000"/>
              </a:schemeClr>
            </a:solidFill>
            <a:ln w="15875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</c:marker>
      </c:pivotFmt>
      <c:pivotFmt>
        <c:idx val="3"/>
        <c:spPr>
          <a:solidFill>
            <a:schemeClr val="accent1"/>
          </a:solidFill>
          <a:ln w="22225" cap="rnd">
            <a:solidFill>
              <a:schemeClr val="accent1">
                <a:lumMod val="75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tx1">
                <a:lumMod val="95000"/>
                <a:lumOff val="5000"/>
              </a:schemeClr>
            </a:solidFill>
            <a:ln w="15875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</c:marker>
      </c:pivotFmt>
      <c:pivotFmt>
        <c:idx val="4"/>
        <c:spPr>
          <a:solidFill>
            <a:schemeClr val="accent1"/>
          </a:solidFill>
          <a:ln w="22225" cap="rnd">
            <a:solidFill>
              <a:schemeClr val="accent1">
                <a:lumMod val="75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tx1">
                <a:lumMod val="95000"/>
                <a:lumOff val="5000"/>
              </a:schemeClr>
            </a:solidFill>
            <a:ln w="15875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</c:marker>
      </c:pivotFmt>
      <c:pivotFmt>
        <c:idx val="5"/>
        <c:spPr>
          <a:solidFill>
            <a:schemeClr val="accent1"/>
          </a:solidFill>
          <a:ln w="22225" cap="rnd">
            <a:solidFill>
              <a:schemeClr val="accent1">
                <a:lumMod val="75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tx1">
                <a:lumMod val="95000"/>
                <a:lumOff val="5000"/>
              </a:schemeClr>
            </a:solidFill>
            <a:ln w="15875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</c:marker>
      </c:pivotFmt>
      <c:pivotFmt>
        <c:idx val="6"/>
        <c:spPr>
          <a:solidFill>
            <a:schemeClr val="accent1"/>
          </a:solidFill>
          <a:ln w="22225" cap="rnd">
            <a:solidFill>
              <a:schemeClr val="accent1">
                <a:lumMod val="75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tx1">
                <a:lumMod val="95000"/>
                <a:lumOff val="5000"/>
              </a:schemeClr>
            </a:solidFill>
            <a:ln w="15875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</c:marker>
      </c:pivotFmt>
      <c:pivotFmt>
        <c:idx val="7"/>
        <c:spPr>
          <a:solidFill>
            <a:schemeClr val="accent1"/>
          </a:solidFill>
          <a:ln w="22225" cap="rnd">
            <a:solidFill>
              <a:schemeClr val="accent1">
                <a:lumMod val="75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tx1">
                <a:lumMod val="95000"/>
                <a:lumOff val="5000"/>
              </a:schemeClr>
            </a:solidFill>
            <a:ln w="15875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</c:marker>
      </c:pivotFmt>
      <c:pivotFmt>
        <c:idx val="8"/>
        <c:spPr>
          <a:solidFill>
            <a:schemeClr val="accent1"/>
          </a:solidFill>
          <a:ln w="22225" cap="rnd">
            <a:solidFill>
              <a:schemeClr val="accent1">
                <a:lumMod val="75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tx1">
                <a:lumMod val="95000"/>
                <a:lumOff val="5000"/>
              </a:schemeClr>
            </a:solidFill>
            <a:ln w="15875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</c:marker>
      </c:pivotFmt>
      <c:pivotFmt>
        <c:idx val="9"/>
        <c:spPr>
          <a:solidFill>
            <a:schemeClr val="accent1"/>
          </a:solidFill>
          <a:ln w="22225" cap="rnd">
            <a:solidFill>
              <a:schemeClr val="accent1">
                <a:lumMod val="75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tx1">
                <a:lumMod val="95000"/>
                <a:lumOff val="5000"/>
              </a:schemeClr>
            </a:solidFill>
            <a:ln w="15875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</c:marker>
      </c:pivotFmt>
      <c:pivotFmt>
        <c:idx val="10"/>
        <c:spPr>
          <a:solidFill>
            <a:schemeClr val="accent1"/>
          </a:solidFill>
          <a:ln w="22225" cap="rnd">
            <a:solidFill>
              <a:schemeClr val="accent1">
                <a:lumMod val="75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tx1">
                <a:lumMod val="95000"/>
                <a:lumOff val="5000"/>
              </a:schemeClr>
            </a:solidFill>
            <a:ln w="15875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</c:marker>
      </c:pivotFmt>
      <c:pivotFmt>
        <c:idx val="11"/>
        <c:spPr>
          <a:solidFill>
            <a:schemeClr val="accent1"/>
          </a:solidFill>
          <a:ln w="22225" cap="rnd">
            <a:solidFill>
              <a:schemeClr val="tx1"/>
            </a:solidFill>
            <a:round/>
          </a:ln>
          <a:effectLst/>
        </c:spPr>
        <c:marker>
          <c:symbol val="circle"/>
          <c:size val="6"/>
          <c:spPr>
            <a:noFill/>
            <a:ln w="15875">
              <a:noFill/>
              <a:round/>
            </a:ln>
            <a:effectLst/>
          </c:spPr>
        </c:marker>
      </c:pivotFmt>
      <c:pivotFmt>
        <c:idx val="12"/>
        <c:spPr>
          <a:solidFill>
            <a:schemeClr val="accent1"/>
          </a:solidFill>
          <a:ln w="22225" cap="rnd">
            <a:solidFill>
              <a:schemeClr val="tx1"/>
            </a:solidFill>
            <a:round/>
          </a:ln>
          <a:effectLst/>
        </c:spPr>
        <c:marker>
          <c:symbol val="circle"/>
          <c:size val="6"/>
          <c:spPr>
            <a:noFill/>
            <a:ln w="15875">
              <a:noFill/>
              <a:round/>
            </a:ln>
            <a:effectLst/>
          </c:spPr>
        </c:marker>
      </c:pivotFmt>
      <c:pivotFmt>
        <c:idx val="13"/>
        <c:spPr>
          <a:solidFill>
            <a:schemeClr val="accent1"/>
          </a:solidFill>
          <a:ln w="22225" cap="rnd">
            <a:solidFill>
              <a:schemeClr val="tx1"/>
            </a:solidFill>
            <a:round/>
          </a:ln>
          <a:effectLst/>
        </c:spPr>
        <c:marker>
          <c:symbol val="circle"/>
          <c:size val="6"/>
          <c:spPr>
            <a:noFill/>
            <a:ln w="15875">
              <a:noFill/>
              <a:round/>
            </a:ln>
            <a:effectLst/>
          </c:spPr>
        </c:marker>
      </c:pivotFmt>
      <c:pivotFmt>
        <c:idx val="14"/>
        <c:spPr>
          <a:solidFill>
            <a:schemeClr val="accent1"/>
          </a:solidFill>
          <a:ln w="22225" cap="rnd">
            <a:solidFill>
              <a:schemeClr val="tx1"/>
            </a:solidFill>
            <a:round/>
          </a:ln>
          <a:effectLst/>
        </c:spPr>
        <c:marker>
          <c:symbol val="circle"/>
          <c:size val="6"/>
          <c:spPr>
            <a:noFill/>
            <a:ln w="15875">
              <a:noFill/>
              <a:round/>
            </a:ln>
            <a:effectLst/>
          </c:spPr>
        </c:marker>
      </c:pivotFmt>
      <c:pivotFmt>
        <c:idx val="15"/>
        <c:spPr>
          <a:solidFill>
            <a:schemeClr val="accent1"/>
          </a:solidFill>
          <a:ln w="22225" cap="rnd">
            <a:solidFill>
              <a:schemeClr val="tx1"/>
            </a:solidFill>
            <a:round/>
          </a:ln>
          <a:effectLst/>
        </c:spPr>
        <c:marker>
          <c:symbol val="circle"/>
          <c:size val="6"/>
          <c:spPr>
            <a:noFill/>
            <a:ln w="15875">
              <a:noFill/>
              <a:round/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7.2344019657746228E-2"/>
          <c:y val="0.14686169997981022"/>
          <c:w val="0.91606128038343038"/>
          <c:h val="0.77162766942754735"/>
        </c:manualLayout>
      </c:layout>
      <c:lineChart>
        <c:grouping val="standard"/>
        <c:varyColors val="0"/>
        <c:ser>
          <c:idx val="0"/>
          <c:order val="0"/>
          <c:tx>
            <c:strRef>
              <c:f>Calculation!$G$1</c:f>
              <c:strCache>
                <c:ptCount val="1"/>
                <c:pt idx="0">
                  <c:v>YTM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noFill/>
              <a:ln w="15875">
                <a:noFill/>
                <a:round/>
              </a:ln>
              <a:effectLst/>
            </c:spPr>
          </c:marker>
          <c:cat>
            <c:numRef>
              <c:f>Calculation!$D$2:$D$437</c:f>
              <c:numCache>
                <c:formatCode>m/d/yyyy</c:formatCode>
                <c:ptCount val="436"/>
                <c:pt idx="0">
                  <c:v>46023</c:v>
                </c:pt>
                <c:pt idx="1">
                  <c:v>46022</c:v>
                </c:pt>
                <c:pt idx="2">
                  <c:v>46021</c:v>
                </c:pt>
                <c:pt idx="3">
                  <c:v>46020</c:v>
                </c:pt>
                <c:pt idx="4">
                  <c:v>46019</c:v>
                </c:pt>
                <c:pt idx="5">
                  <c:v>46018</c:v>
                </c:pt>
                <c:pt idx="6">
                  <c:v>46017</c:v>
                </c:pt>
                <c:pt idx="7">
                  <c:v>46016</c:v>
                </c:pt>
                <c:pt idx="8">
                  <c:v>46015</c:v>
                </c:pt>
                <c:pt idx="9">
                  <c:v>46014</c:v>
                </c:pt>
                <c:pt idx="10">
                  <c:v>46013</c:v>
                </c:pt>
                <c:pt idx="11">
                  <c:v>46012</c:v>
                </c:pt>
                <c:pt idx="12">
                  <c:v>46011</c:v>
                </c:pt>
                <c:pt idx="13">
                  <c:v>46010</c:v>
                </c:pt>
                <c:pt idx="14">
                  <c:v>46009</c:v>
                </c:pt>
                <c:pt idx="15">
                  <c:v>46008</c:v>
                </c:pt>
                <c:pt idx="16">
                  <c:v>46007</c:v>
                </c:pt>
                <c:pt idx="17">
                  <c:v>46006</c:v>
                </c:pt>
                <c:pt idx="18">
                  <c:v>46005</c:v>
                </c:pt>
                <c:pt idx="19">
                  <c:v>46004</c:v>
                </c:pt>
                <c:pt idx="20">
                  <c:v>46003</c:v>
                </c:pt>
                <c:pt idx="21">
                  <c:v>46002</c:v>
                </c:pt>
                <c:pt idx="22">
                  <c:v>46001</c:v>
                </c:pt>
                <c:pt idx="23">
                  <c:v>46000</c:v>
                </c:pt>
                <c:pt idx="24">
                  <c:v>45999</c:v>
                </c:pt>
                <c:pt idx="25">
                  <c:v>45998</c:v>
                </c:pt>
                <c:pt idx="26">
                  <c:v>45997</c:v>
                </c:pt>
                <c:pt idx="27">
                  <c:v>45996</c:v>
                </c:pt>
                <c:pt idx="28">
                  <c:v>45995</c:v>
                </c:pt>
                <c:pt idx="29">
                  <c:v>45994</c:v>
                </c:pt>
                <c:pt idx="30">
                  <c:v>45993</c:v>
                </c:pt>
                <c:pt idx="31">
                  <c:v>45992</c:v>
                </c:pt>
                <c:pt idx="32">
                  <c:v>45991</c:v>
                </c:pt>
                <c:pt idx="33">
                  <c:v>45990</c:v>
                </c:pt>
                <c:pt idx="34">
                  <c:v>45989</c:v>
                </c:pt>
                <c:pt idx="35">
                  <c:v>45988</c:v>
                </c:pt>
                <c:pt idx="36">
                  <c:v>45987</c:v>
                </c:pt>
                <c:pt idx="37">
                  <c:v>45986</c:v>
                </c:pt>
                <c:pt idx="38">
                  <c:v>45985</c:v>
                </c:pt>
                <c:pt idx="39">
                  <c:v>45984</c:v>
                </c:pt>
                <c:pt idx="40">
                  <c:v>45983</c:v>
                </c:pt>
                <c:pt idx="41">
                  <c:v>45982</c:v>
                </c:pt>
                <c:pt idx="42">
                  <c:v>45981</c:v>
                </c:pt>
                <c:pt idx="43">
                  <c:v>45980</c:v>
                </c:pt>
                <c:pt idx="44">
                  <c:v>45979</c:v>
                </c:pt>
                <c:pt idx="45">
                  <c:v>45978</c:v>
                </c:pt>
                <c:pt idx="46">
                  <c:v>45977</c:v>
                </c:pt>
                <c:pt idx="47">
                  <c:v>45976</c:v>
                </c:pt>
                <c:pt idx="48">
                  <c:v>45975</c:v>
                </c:pt>
                <c:pt idx="49">
                  <c:v>45974</c:v>
                </c:pt>
                <c:pt idx="50">
                  <c:v>45973</c:v>
                </c:pt>
                <c:pt idx="51">
                  <c:v>45972</c:v>
                </c:pt>
                <c:pt idx="52">
                  <c:v>45971</c:v>
                </c:pt>
                <c:pt idx="53">
                  <c:v>45970</c:v>
                </c:pt>
                <c:pt idx="54">
                  <c:v>45969</c:v>
                </c:pt>
                <c:pt idx="55">
                  <c:v>45968</c:v>
                </c:pt>
                <c:pt idx="56">
                  <c:v>45967</c:v>
                </c:pt>
                <c:pt idx="57">
                  <c:v>45966</c:v>
                </c:pt>
                <c:pt idx="58">
                  <c:v>45965</c:v>
                </c:pt>
                <c:pt idx="59">
                  <c:v>45964</c:v>
                </c:pt>
                <c:pt idx="60">
                  <c:v>45963</c:v>
                </c:pt>
                <c:pt idx="61">
                  <c:v>45962</c:v>
                </c:pt>
                <c:pt idx="62">
                  <c:v>45961</c:v>
                </c:pt>
                <c:pt idx="63">
                  <c:v>45960</c:v>
                </c:pt>
                <c:pt idx="64">
                  <c:v>45959</c:v>
                </c:pt>
                <c:pt idx="65">
                  <c:v>45958</c:v>
                </c:pt>
                <c:pt idx="66">
                  <c:v>45957</c:v>
                </c:pt>
                <c:pt idx="67">
                  <c:v>45956</c:v>
                </c:pt>
                <c:pt idx="68">
                  <c:v>45955</c:v>
                </c:pt>
                <c:pt idx="69">
                  <c:v>45954</c:v>
                </c:pt>
                <c:pt idx="70">
                  <c:v>45953</c:v>
                </c:pt>
                <c:pt idx="71">
                  <c:v>45952</c:v>
                </c:pt>
                <c:pt idx="72">
                  <c:v>45951</c:v>
                </c:pt>
                <c:pt idx="73">
                  <c:v>45950</c:v>
                </c:pt>
                <c:pt idx="74">
                  <c:v>45949</c:v>
                </c:pt>
                <c:pt idx="75">
                  <c:v>45948</c:v>
                </c:pt>
                <c:pt idx="76">
                  <c:v>45947</c:v>
                </c:pt>
                <c:pt idx="77">
                  <c:v>45946</c:v>
                </c:pt>
                <c:pt idx="78">
                  <c:v>45945</c:v>
                </c:pt>
                <c:pt idx="79">
                  <c:v>45944</c:v>
                </c:pt>
                <c:pt idx="80">
                  <c:v>45943</c:v>
                </c:pt>
                <c:pt idx="81">
                  <c:v>45942</c:v>
                </c:pt>
                <c:pt idx="82">
                  <c:v>45941</c:v>
                </c:pt>
                <c:pt idx="83">
                  <c:v>45940</c:v>
                </c:pt>
                <c:pt idx="84">
                  <c:v>45939</c:v>
                </c:pt>
                <c:pt idx="85">
                  <c:v>45938</c:v>
                </c:pt>
                <c:pt idx="86">
                  <c:v>45937</c:v>
                </c:pt>
                <c:pt idx="87">
                  <c:v>45936</c:v>
                </c:pt>
                <c:pt idx="88">
                  <c:v>45935</c:v>
                </c:pt>
                <c:pt idx="89">
                  <c:v>45934</c:v>
                </c:pt>
                <c:pt idx="90">
                  <c:v>45933</c:v>
                </c:pt>
                <c:pt idx="91">
                  <c:v>45932</c:v>
                </c:pt>
                <c:pt idx="92">
                  <c:v>45931</c:v>
                </c:pt>
                <c:pt idx="93">
                  <c:v>45930</c:v>
                </c:pt>
                <c:pt idx="94">
                  <c:v>45929</c:v>
                </c:pt>
                <c:pt idx="95">
                  <c:v>45928</c:v>
                </c:pt>
                <c:pt idx="96">
                  <c:v>45927</c:v>
                </c:pt>
                <c:pt idx="97">
                  <c:v>45926</c:v>
                </c:pt>
                <c:pt idx="98">
                  <c:v>45925</c:v>
                </c:pt>
                <c:pt idx="99">
                  <c:v>45924</c:v>
                </c:pt>
                <c:pt idx="100">
                  <c:v>45923</c:v>
                </c:pt>
                <c:pt idx="101">
                  <c:v>45922</c:v>
                </c:pt>
                <c:pt idx="102">
                  <c:v>45921</c:v>
                </c:pt>
                <c:pt idx="103">
                  <c:v>45920</c:v>
                </c:pt>
                <c:pt idx="104">
                  <c:v>45919</c:v>
                </c:pt>
                <c:pt idx="105">
                  <c:v>45918</c:v>
                </c:pt>
                <c:pt idx="106">
                  <c:v>45917</c:v>
                </c:pt>
                <c:pt idx="107">
                  <c:v>45916</c:v>
                </c:pt>
                <c:pt idx="108">
                  <c:v>45915</c:v>
                </c:pt>
                <c:pt idx="109">
                  <c:v>45914</c:v>
                </c:pt>
                <c:pt idx="110">
                  <c:v>45913</c:v>
                </c:pt>
                <c:pt idx="111">
                  <c:v>45912</c:v>
                </c:pt>
                <c:pt idx="112">
                  <c:v>45911</c:v>
                </c:pt>
                <c:pt idx="113">
                  <c:v>45910</c:v>
                </c:pt>
                <c:pt idx="114">
                  <c:v>45909</c:v>
                </c:pt>
                <c:pt idx="115">
                  <c:v>45908</c:v>
                </c:pt>
                <c:pt idx="116">
                  <c:v>45907</c:v>
                </c:pt>
                <c:pt idx="117">
                  <c:v>45906</c:v>
                </c:pt>
                <c:pt idx="118">
                  <c:v>45905</c:v>
                </c:pt>
                <c:pt idx="119">
                  <c:v>45904</c:v>
                </c:pt>
                <c:pt idx="120">
                  <c:v>45903</c:v>
                </c:pt>
                <c:pt idx="121">
                  <c:v>45902</c:v>
                </c:pt>
                <c:pt idx="122">
                  <c:v>45901</c:v>
                </c:pt>
                <c:pt idx="123">
                  <c:v>45900</c:v>
                </c:pt>
                <c:pt idx="124">
                  <c:v>45899</c:v>
                </c:pt>
                <c:pt idx="125">
                  <c:v>45898</c:v>
                </c:pt>
                <c:pt idx="126">
                  <c:v>45897</c:v>
                </c:pt>
                <c:pt idx="127">
                  <c:v>45896</c:v>
                </c:pt>
                <c:pt idx="128">
                  <c:v>45895</c:v>
                </c:pt>
                <c:pt idx="129">
                  <c:v>45894</c:v>
                </c:pt>
                <c:pt idx="130">
                  <c:v>45893</c:v>
                </c:pt>
                <c:pt idx="131">
                  <c:v>45892</c:v>
                </c:pt>
                <c:pt idx="132">
                  <c:v>45891</c:v>
                </c:pt>
                <c:pt idx="133">
                  <c:v>45890</c:v>
                </c:pt>
                <c:pt idx="134">
                  <c:v>45889</c:v>
                </c:pt>
                <c:pt idx="135">
                  <c:v>45888</c:v>
                </c:pt>
                <c:pt idx="136">
                  <c:v>45887</c:v>
                </c:pt>
                <c:pt idx="137">
                  <c:v>45886</c:v>
                </c:pt>
                <c:pt idx="138">
                  <c:v>45885</c:v>
                </c:pt>
                <c:pt idx="139">
                  <c:v>45884</c:v>
                </c:pt>
                <c:pt idx="140">
                  <c:v>45883</c:v>
                </c:pt>
                <c:pt idx="141">
                  <c:v>45882</c:v>
                </c:pt>
                <c:pt idx="142">
                  <c:v>45881</c:v>
                </c:pt>
                <c:pt idx="143">
                  <c:v>45880</c:v>
                </c:pt>
                <c:pt idx="144">
                  <c:v>45879</c:v>
                </c:pt>
                <c:pt idx="145">
                  <c:v>45878</c:v>
                </c:pt>
                <c:pt idx="146">
                  <c:v>45877</c:v>
                </c:pt>
                <c:pt idx="147">
                  <c:v>45876</c:v>
                </c:pt>
                <c:pt idx="148">
                  <c:v>45875</c:v>
                </c:pt>
                <c:pt idx="149">
                  <c:v>45874</c:v>
                </c:pt>
                <c:pt idx="150">
                  <c:v>45873</c:v>
                </c:pt>
                <c:pt idx="151">
                  <c:v>45872</c:v>
                </c:pt>
                <c:pt idx="152">
                  <c:v>45871</c:v>
                </c:pt>
                <c:pt idx="153">
                  <c:v>45870</c:v>
                </c:pt>
                <c:pt idx="154">
                  <c:v>45869</c:v>
                </c:pt>
                <c:pt idx="155">
                  <c:v>45868</c:v>
                </c:pt>
                <c:pt idx="156">
                  <c:v>45867</c:v>
                </c:pt>
                <c:pt idx="157">
                  <c:v>45866</c:v>
                </c:pt>
                <c:pt idx="158">
                  <c:v>45865</c:v>
                </c:pt>
                <c:pt idx="159">
                  <c:v>45864</c:v>
                </c:pt>
                <c:pt idx="160">
                  <c:v>45863</c:v>
                </c:pt>
                <c:pt idx="161">
                  <c:v>45862</c:v>
                </c:pt>
                <c:pt idx="162">
                  <c:v>45861</c:v>
                </c:pt>
                <c:pt idx="163">
                  <c:v>45860</c:v>
                </c:pt>
                <c:pt idx="164">
                  <c:v>45859</c:v>
                </c:pt>
                <c:pt idx="165">
                  <c:v>45858</c:v>
                </c:pt>
                <c:pt idx="166">
                  <c:v>45857</c:v>
                </c:pt>
                <c:pt idx="167">
                  <c:v>45856</c:v>
                </c:pt>
                <c:pt idx="168">
                  <c:v>45855</c:v>
                </c:pt>
                <c:pt idx="169">
                  <c:v>45854</c:v>
                </c:pt>
                <c:pt idx="170">
                  <c:v>45853</c:v>
                </c:pt>
                <c:pt idx="171">
                  <c:v>45852</c:v>
                </c:pt>
                <c:pt idx="172">
                  <c:v>45851</c:v>
                </c:pt>
                <c:pt idx="173">
                  <c:v>45850</c:v>
                </c:pt>
                <c:pt idx="174">
                  <c:v>45849</c:v>
                </c:pt>
                <c:pt idx="175">
                  <c:v>45848</c:v>
                </c:pt>
                <c:pt idx="176">
                  <c:v>45847</c:v>
                </c:pt>
                <c:pt idx="177">
                  <c:v>45846</c:v>
                </c:pt>
                <c:pt idx="178">
                  <c:v>45845</c:v>
                </c:pt>
                <c:pt idx="179">
                  <c:v>45844</c:v>
                </c:pt>
                <c:pt idx="180">
                  <c:v>45843</c:v>
                </c:pt>
                <c:pt idx="181">
                  <c:v>45842</c:v>
                </c:pt>
                <c:pt idx="182">
                  <c:v>45841</c:v>
                </c:pt>
                <c:pt idx="183">
                  <c:v>45840</c:v>
                </c:pt>
                <c:pt idx="184">
                  <c:v>45839</c:v>
                </c:pt>
                <c:pt idx="185">
                  <c:v>45838</c:v>
                </c:pt>
                <c:pt idx="186">
                  <c:v>45837</c:v>
                </c:pt>
                <c:pt idx="187">
                  <c:v>45836</c:v>
                </c:pt>
                <c:pt idx="188">
                  <c:v>45835</c:v>
                </c:pt>
                <c:pt idx="189">
                  <c:v>45834</c:v>
                </c:pt>
                <c:pt idx="190">
                  <c:v>45833</c:v>
                </c:pt>
                <c:pt idx="191">
                  <c:v>45832</c:v>
                </c:pt>
                <c:pt idx="192">
                  <c:v>45831</c:v>
                </c:pt>
                <c:pt idx="193">
                  <c:v>45830</c:v>
                </c:pt>
                <c:pt idx="194">
                  <c:v>45829</c:v>
                </c:pt>
                <c:pt idx="195">
                  <c:v>45828</c:v>
                </c:pt>
                <c:pt idx="196">
                  <c:v>45827</c:v>
                </c:pt>
                <c:pt idx="197">
                  <c:v>45826</c:v>
                </c:pt>
                <c:pt idx="198">
                  <c:v>45825</c:v>
                </c:pt>
                <c:pt idx="199">
                  <c:v>45824</c:v>
                </c:pt>
                <c:pt idx="200">
                  <c:v>45823</c:v>
                </c:pt>
                <c:pt idx="201">
                  <c:v>45822</c:v>
                </c:pt>
                <c:pt idx="202">
                  <c:v>45821</c:v>
                </c:pt>
                <c:pt idx="203">
                  <c:v>45820</c:v>
                </c:pt>
                <c:pt idx="204">
                  <c:v>45819</c:v>
                </c:pt>
                <c:pt idx="205">
                  <c:v>45818</c:v>
                </c:pt>
                <c:pt idx="206">
                  <c:v>45817</c:v>
                </c:pt>
                <c:pt idx="207">
                  <c:v>45816</c:v>
                </c:pt>
                <c:pt idx="208">
                  <c:v>45815</c:v>
                </c:pt>
                <c:pt idx="209">
                  <c:v>45814</c:v>
                </c:pt>
                <c:pt idx="210">
                  <c:v>45813</c:v>
                </c:pt>
                <c:pt idx="211">
                  <c:v>45812</c:v>
                </c:pt>
                <c:pt idx="212">
                  <c:v>45811</c:v>
                </c:pt>
                <c:pt idx="213">
                  <c:v>45810</c:v>
                </c:pt>
                <c:pt idx="214">
                  <c:v>45809</c:v>
                </c:pt>
                <c:pt idx="215">
                  <c:v>45808</c:v>
                </c:pt>
                <c:pt idx="216">
                  <c:v>45807</c:v>
                </c:pt>
                <c:pt idx="217">
                  <c:v>45806</c:v>
                </c:pt>
                <c:pt idx="218">
                  <c:v>45805</c:v>
                </c:pt>
                <c:pt idx="219">
                  <c:v>45804</c:v>
                </c:pt>
                <c:pt idx="220">
                  <c:v>45803</c:v>
                </c:pt>
                <c:pt idx="221">
                  <c:v>45802</c:v>
                </c:pt>
                <c:pt idx="222">
                  <c:v>45801</c:v>
                </c:pt>
                <c:pt idx="223">
                  <c:v>45800</c:v>
                </c:pt>
                <c:pt idx="224">
                  <c:v>45799</c:v>
                </c:pt>
                <c:pt idx="225">
                  <c:v>45798</c:v>
                </c:pt>
                <c:pt idx="226">
                  <c:v>45797</c:v>
                </c:pt>
                <c:pt idx="227">
                  <c:v>45796</c:v>
                </c:pt>
                <c:pt idx="228">
                  <c:v>45795</c:v>
                </c:pt>
                <c:pt idx="229">
                  <c:v>45794</c:v>
                </c:pt>
                <c:pt idx="230">
                  <c:v>45793</c:v>
                </c:pt>
                <c:pt idx="231">
                  <c:v>45792</c:v>
                </c:pt>
                <c:pt idx="232">
                  <c:v>45791</c:v>
                </c:pt>
                <c:pt idx="233">
                  <c:v>45790</c:v>
                </c:pt>
                <c:pt idx="234">
                  <c:v>45789</c:v>
                </c:pt>
                <c:pt idx="235">
                  <c:v>45788</c:v>
                </c:pt>
                <c:pt idx="236">
                  <c:v>45787</c:v>
                </c:pt>
                <c:pt idx="237">
                  <c:v>45786</c:v>
                </c:pt>
                <c:pt idx="238">
                  <c:v>45785</c:v>
                </c:pt>
                <c:pt idx="239">
                  <c:v>45784</c:v>
                </c:pt>
                <c:pt idx="240">
                  <c:v>45783</c:v>
                </c:pt>
                <c:pt idx="241">
                  <c:v>45782</c:v>
                </c:pt>
                <c:pt idx="242">
                  <c:v>45781</c:v>
                </c:pt>
                <c:pt idx="243">
                  <c:v>45780</c:v>
                </c:pt>
                <c:pt idx="244">
                  <c:v>45779</c:v>
                </c:pt>
                <c:pt idx="245">
                  <c:v>45778</c:v>
                </c:pt>
                <c:pt idx="246">
                  <c:v>45777</c:v>
                </c:pt>
                <c:pt idx="247">
                  <c:v>45776</c:v>
                </c:pt>
                <c:pt idx="248">
                  <c:v>45775</c:v>
                </c:pt>
                <c:pt idx="249">
                  <c:v>45774</c:v>
                </c:pt>
                <c:pt idx="250">
                  <c:v>45773</c:v>
                </c:pt>
                <c:pt idx="251">
                  <c:v>45772</c:v>
                </c:pt>
                <c:pt idx="252">
                  <c:v>45771</c:v>
                </c:pt>
                <c:pt idx="253">
                  <c:v>45770</c:v>
                </c:pt>
                <c:pt idx="254">
                  <c:v>45769</c:v>
                </c:pt>
                <c:pt idx="255">
                  <c:v>45768</c:v>
                </c:pt>
                <c:pt idx="256">
                  <c:v>45767</c:v>
                </c:pt>
                <c:pt idx="257">
                  <c:v>45766</c:v>
                </c:pt>
                <c:pt idx="258">
                  <c:v>45765</c:v>
                </c:pt>
                <c:pt idx="259">
                  <c:v>45764</c:v>
                </c:pt>
                <c:pt idx="260">
                  <c:v>45763</c:v>
                </c:pt>
                <c:pt idx="261">
                  <c:v>45762</c:v>
                </c:pt>
                <c:pt idx="262">
                  <c:v>45761</c:v>
                </c:pt>
                <c:pt idx="263">
                  <c:v>45760</c:v>
                </c:pt>
                <c:pt idx="264">
                  <c:v>45759</c:v>
                </c:pt>
                <c:pt idx="265">
                  <c:v>45758</c:v>
                </c:pt>
                <c:pt idx="266">
                  <c:v>45757</c:v>
                </c:pt>
                <c:pt idx="267">
                  <c:v>45756</c:v>
                </c:pt>
                <c:pt idx="268">
                  <c:v>45755</c:v>
                </c:pt>
                <c:pt idx="269">
                  <c:v>45754</c:v>
                </c:pt>
                <c:pt idx="270">
                  <c:v>45753</c:v>
                </c:pt>
                <c:pt idx="271">
                  <c:v>45752</c:v>
                </c:pt>
                <c:pt idx="272">
                  <c:v>45751</c:v>
                </c:pt>
                <c:pt idx="273">
                  <c:v>45750</c:v>
                </c:pt>
                <c:pt idx="274">
                  <c:v>45749</c:v>
                </c:pt>
                <c:pt idx="275">
                  <c:v>45748</c:v>
                </c:pt>
                <c:pt idx="276">
                  <c:v>45747</c:v>
                </c:pt>
                <c:pt idx="277">
                  <c:v>45746</c:v>
                </c:pt>
                <c:pt idx="278">
                  <c:v>45745</c:v>
                </c:pt>
                <c:pt idx="279">
                  <c:v>45744</c:v>
                </c:pt>
                <c:pt idx="280">
                  <c:v>45743</c:v>
                </c:pt>
                <c:pt idx="281">
                  <c:v>45742</c:v>
                </c:pt>
                <c:pt idx="282">
                  <c:v>45741</c:v>
                </c:pt>
                <c:pt idx="283">
                  <c:v>45740</c:v>
                </c:pt>
                <c:pt idx="284">
                  <c:v>45739</c:v>
                </c:pt>
                <c:pt idx="285">
                  <c:v>45738</c:v>
                </c:pt>
                <c:pt idx="286">
                  <c:v>45737</c:v>
                </c:pt>
                <c:pt idx="287">
                  <c:v>45736</c:v>
                </c:pt>
                <c:pt idx="288">
                  <c:v>45735</c:v>
                </c:pt>
                <c:pt idx="289">
                  <c:v>45734</c:v>
                </c:pt>
                <c:pt idx="290">
                  <c:v>45733</c:v>
                </c:pt>
                <c:pt idx="291">
                  <c:v>45732</c:v>
                </c:pt>
                <c:pt idx="292">
                  <c:v>45731</c:v>
                </c:pt>
                <c:pt idx="293">
                  <c:v>45730</c:v>
                </c:pt>
                <c:pt idx="294">
                  <c:v>45729</c:v>
                </c:pt>
                <c:pt idx="295">
                  <c:v>45728</c:v>
                </c:pt>
                <c:pt idx="296">
                  <c:v>45727</c:v>
                </c:pt>
                <c:pt idx="297">
                  <c:v>45726</c:v>
                </c:pt>
                <c:pt idx="298">
                  <c:v>45725</c:v>
                </c:pt>
                <c:pt idx="299">
                  <c:v>45724</c:v>
                </c:pt>
                <c:pt idx="300">
                  <c:v>45723</c:v>
                </c:pt>
                <c:pt idx="301">
                  <c:v>45722</c:v>
                </c:pt>
                <c:pt idx="302">
                  <c:v>45721</c:v>
                </c:pt>
                <c:pt idx="303">
                  <c:v>45720</c:v>
                </c:pt>
                <c:pt idx="304">
                  <c:v>45719</c:v>
                </c:pt>
                <c:pt idx="305">
                  <c:v>45718</c:v>
                </c:pt>
                <c:pt idx="306">
                  <c:v>45717</c:v>
                </c:pt>
                <c:pt idx="307">
                  <c:v>45716</c:v>
                </c:pt>
                <c:pt idx="308">
                  <c:v>45715</c:v>
                </c:pt>
                <c:pt idx="309">
                  <c:v>45714</c:v>
                </c:pt>
                <c:pt idx="310">
                  <c:v>45713</c:v>
                </c:pt>
                <c:pt idx="311">
                  <c:v>45712</c:v>
                </c:pt>
                <c:pt idx="312">
                  <c:v>45711</c:v>
                </c:pt>
                <c:pt idx="313">
                  <c:v>45710</c:v>
                </c:pt>
                <c:pt idx="314">
                  <c:v>45709</c:v>
                </c:pt>
                <c:pt idx="315">
                  <c:v>45708</c:v>
                </c:pt>
                <c:pt idx="316">
                  <c:v>45707</c:v>
                </c:pt>
                <c:pt idx="317">
                  <c:v>45706</c:v>
                </c:pt>
                <c:pt idx="318">
                  <c:v>45705</c:v>
                </c:pt>
                <c:pt idx="319">
                  <c:v>45704</c:v>
                </c:pt>
                <c:pt idx="320">
                  <c:v>45703</c:v>
                </c:pt>
                <c:pt idx="321">
                  <c:v>45702</c:v>
                </c:pt>
                <c:pt idx="322">
                  <c:v>45701</c:v>
                </c:pt>
                <c:pt idx="323">
                  <c:v>45700</c:v>
                </c:pt>
                <c:pt idx="324">
                  <c:v>45699</c:v>
                </c:pt>
                <c:pt idx="325">
                  <c:v>45698</c:v>
                </c:pt>
                <c:pt idx="326">
                  <c:v>45697</c:v>
                </c:pt>
                <c:pt idx="327">
                  <c:v>45696</c:v>
                </c:pt>
                <c:pt idx="328">
                  <c:v>45695</c:v>
                </c:pt>
                <c:pt idx="329">
                  <c:v>45694</c:v>
                </c:pt>
                <c:pt idx="330">
                  <c:v>45693</c:v>
                </c:pt>
                <c:pt idx="331">
                  <c:v>45692</c:v>
                </c:pt>
                <c:pt idx="332">
                  <c:v>45691</c:v>
                </c:pt>
                <c:pt idx="333">
                  <c:v>45690</c:v>
                </c:pt>
                <c:pt idx="334">
                  <c:v>45689</c:v>
                </c:pt>
                <c:pt idx="335">
                  <c:v>45688</c:v>
                </c:pt>
                <c:pt idx="336">
                  <c:v>45687</c:v>
                </c:pt>
                <c:pt idx="337">
                  <c:v>45686</c:v>
                </c:pt>
                <c:pt idx="338">
                  <c:v>45685</c:v>
                </c:pt>
                <c:pt idx="339">
                  <c:v>45684</c:v>
                </c:pt>
                <c:pt idx="340">
                  <c:v>45683</c:v>
                </c:pt>
                <c:pt idx="341">
                  <c:v>45682</c:v>
                </c:pt>
                <c:pt idx="342">
                  <c:v>45681</c:v>
                </c:pt>
                <c:pt idx="343">
                  <c:v>45680</c:v>
                </c:pt>
                <c:pt idx="344">
                  <c:v>45679</c:v>
                </c:pt>
                <c:pt idx="345">
                  <c:v>45678</c:v>
                </c:pt>
                <c:pt idx="346">
                  <c:v>45677</c:v>
                </c:pt>
                <c:pt idx="347">
                  <c:v>45676</c:v>
                </c:pt>
                <c:pt idx="348">
                  <c:v>45675</c:v>
                </c:pt>
                <c:pt idx="349">
                  <c:v>45674</c:v>
                </c:pt>
                <c:pt idx="350">
                  <c:v>45673</c:v>
                </c:pt>
                <c:pt idx="351">
                  <c:v>45672</c:v>
                </c:pt>
                <c:pt idx="352">
                  <c:v>45671</c:v>
                </c:pt>
                <c:pt idx="353">
                  <c:v>45670</c:v>
                </c:pt>
                <c:pt idx="354">
                  <c:v>45669</c:v>
                </c:pt>
                <c:pt idx="355">
                  <c:v>45668</c:v>
                </c:pt>
                <c:pt idx="356">
                  <c:v>45667</c:v>
                </c:pt>
                <c:pt idx="357">
                  <c:v>45666</c:v>
                </c:pt>
                <c:pt idx="358">
                  <c:v>45665</c:v>
                </c:pt>
                <c:pt idx="359">
                  <c:v>45664</c:v>
                </c:pt>
                <c:pt idx="360">
                  <c:v>45663</c:v>
                </c:pt>
                <c:pt idx="361">
                  <c:v>45662</c:v>
                </c:pt>
                <c:pt idx="362">
                  <c:v>45661</c:v>
                </c:pt>
                <c:pt idx="363">
                  <c:v>45660</c:v>
                </c:pt>
                <c:pt idx="364">
                  <c:v>45659</c:v>
                </c:pt>
                <c:pt idx="365">
                  <c:v>45658</c:v>
                </c:pt>
                <c:pt idx="366">
                  <c:v>45657</c:v>
                </c:pt>
                <c:pt idx="367">
                  <c:v>45656</c:v>
                </c:pt>
                <c:pt idx="368">
                  <c:v>45655</c:v>
                </c:pt>
                <c:pt idx="369">
                  <c:v>45654</c:v>
                </c:pt>
                <c:pt idx="370">
                  <c:v>45653</c:v>
                </c:pt>
                <c:pt idx="371">
                  <c:v>45652</c:v>
                </c:pt>
              </c:numCache>
            </c:numRef>
          </c:cat>
          <c:val>
            <c:numRef>
              <c:f>Calculation!$G$2:$G$373</c:f>
              <c:numCache>
                <c:formatCode>0.00%</c:formatCode>
                <c:ptCount val="372"/>
                <c:pt idx="0">
                  <c:v>6.0536304806698</c:v>
                </c:pt>
                <c:pt idx="1">
                  <c:v>6.0499197667663998</c:v>
                </c:pt>
                <c:pt idx="2">
                  <c:v>6.0468882619138995</c:v>
                </c:pt>
                <c:pt idx="3">
                  <c:v>6.6718578073492001</c:v>
                </c:pt>
                <c:pt idx="4">
                  <c:v>6.3384984228537</c:v>
                </c:pt>
                <c:pt idx="5">
                  <c:v>6.3343639277683996</c:v>
                </c:pt>
                <c:pt idx="6">
                  <c:v>6.3302439505953005</c:v>
                </c:pt>
                <c:pt idx="7">
                  <c:v>6.8459901829826002</c:v>
                </c:pt>
                <c:pt idx="8">
                  <c:v>6.6617873923469002</c:v>
                </c:pt>
                <c:pt idx="9">
                  <c:v>7.2238462958587002</c:v>
                </c:pt>
                <c:pt idx="10">
                  <c:v>6.9185360383507009</c:v>
                </c:pt>
                <c:pt idx="11">
                  <c:v>6.4427333044013002</c:v>
                </c:pt>
                <c:pt idx="12">
                  <c:v>6.4384900865725996</c:v>
                </c:pt>
                <c:pt idx="13">
                  <c:v>6.4342615912214001</c:v>
                </c:pt>
                <c:pt idx="14">
                  <c:v>6.9997216417104005</c:v>
                </c:pt>
                <c:pt idx="15">
                  <c:v>7.4941168364541992</c:v>
                </c:pt>
                <c:pt idx="16">
                  <c:v>6.9855448720058995</c:v>
                </c:pt>
                <c:pt idx="17">
                  <c:v>6.9348222064155003</c:v>
                </c:pt>
                <c:pt idx="18">
                  <c:v>6.5539046697158998</c:v>
                </c:pt>
                <c:pt idx="19">
                  <c:v>6.5495445585425998</c:v>
                </c:pt>
                <c:pt idx="20">
                  <c:v>6.5451993975620004</c:v>
                </c:pt>
                <c:pt idx="21">
                  <c:v>7.5286184677571004</c:v>
                </c:pt>
                <c:pt idx="22">
                  <c:v>7.4220415930283998</c:v>
                </c:pt>
                <c:pt idx="23">
                  <c:v>7.0018585490649006</c:v>
                </c:pt>
                <c:pt idx="24">
                  <c:v>6.7159507491143993</c:v>
                </c:pt>
                <c:pt idx="25">
                  <c:v>6.4003746913658999</c:v>
                </c:pt>
                <c:pt idx="26">
                  <c:v>6.3962058036034</c:v>
                </c:pt>
                <c:pt idx="27">
                  <c:v>6.3920511943285003</c:v>
                </c:pt>
                <c:pt idx="28">
                  <c:v>7.2140404968374998</c:v>
                </c:pt>
                <c:pt idx="29">
                  <c:v>6.9545315445669997</c:v>
                </c:pt>
                <c:pt idx="30">
                  <c:v>7.3538228247857997</c:v>
                </c:pt>
                <c:pt idx="31">
                  <c:v>6.4258833119711003</c:v>
                </c:pt>
                <c:pt idx="32">
                  <c:v>6.3567093609722001</c:v>
                </c:pt>
                <c:pt idx="33">
                  <c:v>6.3526616284719006</c:v>
                </c:pt>
                <c:pt idx="34">
                  <c:v>6.3486276212589994</c:v>
                </c:pt>
                <c:pt idx="35">
                  <c:v>6.3001832223798004</c:v>
                </c:pt>
                <c:pt idx="36">
                  <c:v>6.4511716136155002</c:v>
                </c:pt>
                <c:pt idx="37">
                  <c:v>6.4010607699492006</c:v>
                </c:pt>
                <c:pt idx="38">
                  <c:v>6.2416947288690006</c:v>
                </c:pt>
                <c:pt idx="39">
                  <c:v>6.1597520203576002</c:v>
                </c:pt>
                <c:pt idx="40">
                  <c:v>6.1560545158771998</c:v>
                </c:pt>
                <c:pt idx="41">
                  <c:v>6.1523694517825005</c:v>
                </c:pt>
                <c:pt idx="42">
                  <c:v>6.6671181133399999</c:v>
                </c:pt>
                <c:pt idx="43">
                  <c:v>6.5042265836881992</c:v>
                </c:pt>
                <c:pt idx="44">
                  <c:v>6.5000383990282007</c:v>
                </c:pt>
                <c:pt idx="45">
                  <c:v>6.6942918579077997</c:v>
                </c:pt>
                <c:pt idx="46">
                  <c:v>5.5741601420973996</c:v>
                </c:pt>
                <c:pt idx="47">
                  <c:v>5.5713827002874998</c:v>
                </c:pt>
                <c:pt idx="48">
                  <c:v>5.5686146215410002</c:v>
                </c:pt>
                <c:pt idx="49">
                  <c:v>6.4798718111362996</c:v>
                </c:pt>
                <c:pt idx="50">
                  <c:v>6.5512493036172996</c:v>
                </c:pt>
                <c:pt idx="51">
                  <c:v>6.4566791404902997</c:v>
                </c:pt>
                <c:pt idx="52">
                  <c:v>6.6246159842203998</c:v>
                </c:pt>
                <c:pt idx="53">
                  <c:v>6.5575485020021</c:v>
                </c:pt>
                <c:pt idx="54">
                  <c:v>6.5533568136769995</c:v>
                </c:pt>
                <c:pt idx="55">
                  <c:v>6.5491788776500997</c:v>
                </c:pt>
                <c:pt idx="56">
                  <c:v>6.6013764770729999</c:v>
                </c:pt>
                <c:pt idx="57">
                  <c:v>6.6393132160479</c:v>
                </c:pt>
                <c:pt idx="58">
                  <c:v>6.5937333931448006</c:v>
                </c:pt>
                <c:pt idx="59">
                  <c:v>6.5895260660965</c:v>
                </c:pt>
                <c:pt idx="60">
                  <c:v>6.4561244419996999</c:v>
                </c:pt>
                <c:pt idx="61">
                  <c:v>6.4521335965463003</c:v>
                </c:pt>
                <c:pt idx="62">
                  <c:v>6.1786891364558993</c:v>
                </c:pt>
                <c:pt idx="63">
                  <c:v>6.7150872266152</c:v>
                </c:pt>
                <c:pt idx="64">
                  <c:v>6.7301012930418995</c:v>
                </c:pt>
                <c:pt idx="65">
                  <c:v>6.7256782503513994</c:v>
                </c:pt>
                <c:pt idx="66">
                  <c:v>7.0782716872214007</c:v>
                </c:pt>
                <c:pt idx="67">
                  <c:v>6.4706740565217</c:v>
                </c:pt>
                <c:pt idx="68">
                  <c:v>6.4667117503511005</c:v>
                </c:pt>
                <c:pt idx="69">
                  <c:v>6.4627621989065007</c:v>
                </c:pt>
                <c:pt idx="70">
                  <c:v>6.3131974584933994</c:v>
                </c:pt>
                <c:pt idx="71">
                  <c:v>6.2883296496562009</c:v>
                </c:pt>
                <c:pt idx="72">
                  <c:v>6.4882502216855</c:v>
                </c:pt>
                <c:pt idx="73">
                  <c:v>6.0993600233912</c:v>
                </c:pt>
                <c:pt idx="74">
                  <c:v>5.8152547959873999</c:v>
                </c:pt>
                <c:pt idx="75">
                  <c:v>5.8122758468107998</c:v>
                </c:pt>
                <c:pt idx="76">
                  <c:v>5.8093064977379001</c:v>
                </c:pt>
                <c:pt idx="77">
                  <c:v>6.0451810725485</c:v>
                </c:pt>
                <c:pt idx="78">
                  <c:v>6.9677340963161996</c:v>
                </c:pt>
                <c:pt idx="79">
                  <c:v>6.0754193270306995</c:v>
                </c:pt>
                <c:pt idx="80">
                  <c:v>6.0794427684964996</c:v>
                </c:pt>
                <c:pt idx="81">
                  <c:v>6.0581817967494</c:v>
                </c:pt>
                <c:pt idx="82">
                  <c:v>6.0548982421112996</c:v>
                </c:pt>
                <c:pt idx="83">
                  <c:v>6.0516251168887001</c:v>
                </c:pt>
                <c:pt idx="84">
                  <c:v>6.0780448734497998</c:v>
                </c:pt>
                <c:pt idx="85">
                  <c:v>5.6951564570465001</c:v>
                </c:pt>
                <c:pt idx="86">
                  <c:v>5.5136709140909996</c:v>
                </c:pt>
                <c:pt idx="87">
                  <c:v>5.5365778484214001</c:v>
                </c:pt>
                <c:pt idx="88">
                  <c:v>5.6836506504370004</c:v>
                </c:pt>
                <c:pt idx="89">
                  <c:v>5.6809283285549999</c:v>
                </c:pt>
                <c:pt idx="90">
                  <c:v>5.6782146454623001</c:v>
                </c:pt>
                <c:pt idx="91">
                  <c:v>5.5963866269466003</c:v>
                </c:pt>
                <c:pt idx="92">
                  <c:v>5.4704864598323999</c:v>
                </c:pt>
                <c:pt idx="93">
                  <c:v>5.4407884011898</c:v>
                </c:pt>
                <c:pt idx="94">
                  <c:v>6.1270681764933999</c:v>
                </c:pt>
                <c:pt idx="95">
                  <c:v>5.6637905534417996</c:v>
                </c:pt>
                <c:pt idx="96">
                  <c:v>5.6611292615113005</c:v>
                </c:pt>
                <c:pt idx="97">
                  <c:v>5.6584763422449003</c:v>
                </c:pt>
                <c:pt idx="98">
                  <c:v>5.6023816469690999</c:v>
                </c:pt>
                <c:pt idx="99">
                  <c:v>5.5627656366283</c:v>
                </c:pt>
                <c:pt idx="100">
                  <c:v>5.5090371186095997</c:v>
                </c:pt>
                <c:pt idx="101">
                  <c:v>5.7823527448082999</c:v>
                </c:pt>
                <c:pt idx="102">
                  <c:v>5.6600145857104005</c:v>
                </c:pt>
                <c:pt idx="103">
                  <c:v>5.6573912109101006</c:v>
                </c:pt>
                <c:pt idx="104">
                  <c:v>5.6547760159106</c:v>
                </c:pt>
                <c:pt idx="105">
                  <c:v>5.2755343807440997</c:v>
                </c:pt>
                <c:pt idx="106">
                  <c:v>5.2402152472184005</c:v>
                </c:pt>
                <c:pt idx="107">
                  <c:v>5.4229664976925003</c:v>
                </c:pt>
                <c:pt idx="108">
                  <c:v>5.5280840193694001</c:v>
                </c:pt>
                <c:pt idx="109">
                  <c:v>5.2048678451193</c:v>
                </c:pt>
                <c:pt idx="110">
                  <c:v>5.2028867171146</c:v>
                </c:pt>
                <c:pt idx="111">
                  <c:v>5.2009118246058996</c:v>
                </c:pt>
                <c:pt idx="112">
                  <c:v>5.1086125657776007</c:v>
                </c:pt>
                <c:pt idx="113">
                  <c:v>5.5914066703012004</c:v>
                </c:pt>
                <c:pt idx="114">
                  <c:v>5.1479643804366004</c:v>
                </c:pt>
                <c:pt idx="115">
                  <c:v>5.3900031141604003</c:v>
                </c:pt>
                <c:pt idx="116">
                  <c:v>4.9042635612463998</c:v>
                </c:pt>
                <c:pt idx="117">
                  <c:v>4.9026382727732001</c:v>
                </c:pt>
                <c:pt idx="118">
                  <c:v>4.9010181767552998</c:v>
                </c:pt>
                <c:pt idx="119">
                  <c:v>5.3086224328070006</c:v>
                </c:pt>
                <c:pt idx="120">
                  <c:v>5.0692785722786997</c:v>
                </c:pt>
                <c:pt idx="121">
                  <c:v>5.0452712227453995</c:v>
                </c:pt>
                <c:pt idx="122">
                  <c:v>5.0355094552691</c:v>
                </c:pt>
                <c:pt idx="123">
                  <c:v>5.0599562007802001</c:v>
                </c:pt>
                <c:pt idx="124">
                  <c:v>5.0581461247094994</c:v>
                </c:pt>
                <c:pt idx="125">
                  <c:v>5.0563417210084998</c:v>
                </c:pt>
                <c:pt idx="126">
                  <c:v>5.1502426047018997</c:v>
                </c:pt>
                <c:pt idx="127">
                  <c:v>4.7100717640765</c:v>
                </c:pt>
                <c:pt idx="128">
                  <c:v>4.8160264827338999</c:v>
                </c:pt>
                <c:pt idx="129">
                  <c:v>4.9542810628998</c:v>
                </c:pt>
                <c:pt idx="130">
                  <c:v>4.6715679380011998</c:v>
                </c:pt>
                <c:pt idx="131">
                  <c:v>4.6702880273525</c:v>
                </c:pt>
                <c:pt idx="132">
                  <c:v>4.6690122337346995</c:v>
                </c:pt>
                <c:pt idx="133">
                  <c:v>4.9608345646877998</c:v>
                </c:pt>
                <c:pt idx="134">
                  <c:v>4.8691088570612004</c:v>
                </c:pt>
                <c:pt idx="135">
                  <c:v>4.4345892635719002</c:v>
                </c:pt>
                <c:pt idx="136">
                  <c:v>4.8048474886624</c:v>
                </c:pt>
                <c:pt idx="137">
                  <c:v>5.3299276503591999</c:v>
                </c:pt>
                <c:pt idx="138">
                  <c:v>5.3278126939209001</c:v>
                </c:pt>
                <c:pt idx="139">
                  <c:v>5.3257041626200001</c:v>
                </c:pt>
                <c:pt idx="140">
                  <c:v>5.6712588085497</c:v>
                </c:pt>
                <c:pt idx="141">
                  <c:v>5.5795821109833996</c:v>
                </c:pt>
                <c:pt idx="142">
                  <c:v>5.6040469365134005</c:v>
                </c:pt>
                <c:pt idx="143">
                  <c:v>5.6810270619554997</c:v>
                </c:pt>
                <c:pt idx="144">
                  <c:v>5.5190324223116001</c:v>
                </c:pt>
                <c:pt idx="145">
                  <c:v>5.5166999377951997</c:v>
                </c:pt>
                <c:pt idx="146">
                  <c:v>5.5143744272196002</c:v>
                </c:pt>
                <c:pt idx="147">
                  <c:v>5.8031255441711993</c:v>
                </c:pt>
                <c:pt idx="148">
                  <c:v>5.7524719433742</c:v>
                </c:pt>
                <c:pt idx="149">
                  <c:v>5.7553328095882996</c:v>
                </c:pt>
                <c:pt idx="150">
                  <c:v>5.7749293513476001</c:v>
                </c:pt>
                <c:pt idx="151">
                  <c:v>5.5003804122405002</c:v>
                </c:pt>
                <c:pt idx="152">
                  <c:v>5.4980992935964004</c:v>
                </c:pt>
                <c:pt idx="153">
                  <c:v>5.4958249428221997</c:v>
                </c:pt>
                <c:pt idx="154">
                  <c:v>5.5756571754259001</c:v>
                </c:pt>
                <c:pt idx="155">
                  <c:v>6.2007326223993999</c:v>
                </c:pt>
                <c:pt idx="156">
                  <c:v>5.7054420459813997</c:v>
                </c:pt>
                <c:pt idx="157">
                  <c:v>5.783455087968</c:v>
                </c:pt>
                <c:pt idx="158">
                  <c:v>5.6364108924179002</c:v>
                </c:pt>
                <c:pt idx="159">
                  <c:v>5.6339851313327003</c:v>
                </c:pt>
                <c:pt idx="160">
                  <c:v>5.6315664743158003</c:v>
                </c:pt>
                <c:pt idx="161">
                  <c:v>5.5279053121155997</c:v>
                </c:pt>
                <c:pt idx="162">
                  <c:v>5.6909575854921997</c:v>
                </c:pt>
                <c:pt idx="163">
                  <c:v>5.688479528197</c:v>
                </c:pt>
                <c:pt idx="164">
                  <c:v>5.6865402511252006</c:v>
                </c:pt>
                <c:pt idx="165">
                  <c:v>5.6857217781240994</c:v>
                </c:pt>
                <c:pt idx="166">
                  <c:v>5.6832625468141007</c:v>
                </c:pt>
                <c:pt idx="167">
                  <c:v>5.6808104471494003</c:v>
                </c:pt>
                <c:pt idx="168">
                  <c:v>5.5468598389674</c:v>
                </c:pt>
                <c:pt idx="169">
                  <c:v>5.5621138279968001</c:v>
                </c:pt>
                <c:pt idx="170">
                  <c:v>5.7702451798831005</c:v>
                </c:pt>
                <c:pt idx="171">
                  <c:v>5.7236010379594999</c:v>
                </c:pt>
                <c:pt idx="172">
                  <c:v>5.6192172113551999</c:v>
                </c:pt>
                <c:pt idx="173">
                  <c:v>5.6168684200026995</c:v>
                </c:pt>
                <c:pt idx="174">
                  <c:v>5.6145263988841005</c:v>
                </c:pt>
                <c:pt idx="175">
                  <c:v>5.6366528446630006</c:v>
                </c:pt>
                <c:pt idx="176">
                  <c:v>5.5790214366757001</c:v>
                </c:pt>
                <c:pt idx="177">
                  <c:v>5.7864961693034997</c:v>
                </c:pt>
                <c:pt idx="178">
                  <c:v>6.3240733050770004</c:v>
                </c:pt>
                <c:pt idx="179">
                  <c:v>5.6965758308372001</c:v>
                </c:pt>
                <c:pt idx="180">
                  <c:v>5.6941592554525</c:v>
                </c:pt>
                <c:pt idx="181">
                  <c:v>5.6917495722035003</c:v>
                </c:pt>
                <c:pt idx="182">
                  <c:v>5.7376926160043</c:v>
                </c:pt>
                <c:pt idx="183">
                  <c:v>5.7795794171894999</c:v>
                </c:pt>
                <c:pt idx="184">
                  <c:v>5.7695272224417993</c:v>
                </c:pt>
                <c:pt idx="185">
                  <c:v>5.7194941381586997</c:v>
                </c:pt>
                <c:pt idx="186">
                  <c:v>5.8907512960626995</c:v>
                </c:pt>
                <c:pt idx="187">
                  <c:v>5.8881265213383003</c:v>
                </c:pt>
                <c:pt idx="188">
                  <c:v>5.8855091316242003</c:v>
                </c:pt>
                <c:pt idx="189">
                  <c:v>5.6283546702612002</c:v>
                </c:pt>
                <c:pt idx="190">
                  <c:v>5.6600585005595994</c:v>
                </c:pt>
                <c:pt idx="191">
                  <c:v>5.9528212344276001</c:v>
                </c:pt>
                <c:pt idx="192">
                  <c:v>5.7503527305444004</c:v>
                </c:pt>
                <c:pt idx="193">
                  <c:v>5.8252643872901002</c:v>
                </c:pt>
                <c:pt idx="194">
                  <c:v>5.8227475090993002</c:v>
                </c:pt>
                <c:pt idx="195">
                  <c:v>5.8202376681471995</c:v>
                </c:pt>
                <c:pt idx="196">
                  <c:v>6.0004765176771997</c:v>
                </c:pt>
                <c:pt idx="197">
                  <c:v>5.6359149011934999</c:v>
                </c:pt>
                <c:pt idx="198">
                  <c:v>5.6536521275330998</c:v>
                </c:pt>
                <c:pt idx="199">
                  <c:v>5.4793080571181996</c:v>
                </c:pt>
                <c:pt idx="200">
                  <c:v>5.2247994856710998</c:v>
                </c:pt>
                <c:pt idx="201">
                  <c:v>5.2230230436783005</c:v>
                </c:pt>
                <c:pt idx="202">
                  <c:v>5.2212516524412997</c:v>
                </c:pt>
                <c:pt idx="203">
                  <c:v>5.5964780659483004</c:v>
                </c:pt>
                <c:pt idx="204">
                  <c:v>5.5942021089420004</c:v>
                </c:pt>
                <c:pt idx="205">
                  <c:v>5.8721290160009998</c:v>
                </c:pt>
                <c:pt idx="206">
                  <c:v>5.5384908633642</c:v>
                </c:pt>
                <c:pt idx="207">
                  <c:v>5.5540811939093002</c:v>
                </c:pt>
                <c:pt idx="208">
                  <c:v>5.5518702413692997</c:v>
                </c:pt>
                <c:pt idx="209">
                  <c:v>5.5496654633166003</c:v>
                </c:pt>
                <c:pt idx="210">
                  <c:v>5.4264595596285998</c:v>
                </c:pt>
                <c:pt idx="211">
                  <c:v>5.7409859391504003</c:v>
                </c:pt>
                <c:pt idx="212">
                  <c:v>5.4589759052759996</c:v>
                </c:pt>
                <c:pt idx="213">
                  <c:v>5.7009856099334</c:v>
                </c:pt>
                <c:pt idx="214">
                  <c:v>5.5533317888345</c:v>
                </c:pt>
                <c:pt idx="215">
                  <c:v>5.5511463727793</c:v>
                </c:pt>
                <c:pt idx="216">
                  <c:v>5.5489670129977995</c:v>
                </c:pt>
                <c:pt idx="217">
                  <c:v>5.8906874249359999</c:v>
                </c:pt>
                <c:pt idx="218">
                  <c:v>5.7301050393501001</c:v>
                </c:pt>
                <c:pt idx="219">
                  <c:v>5.7936901956115996</c:v>
                </c:pt>
                <c:pt idx="220">
                  <c:v>5.8101114758426</c:v>
                </c:pt>
                <c:pt idx="221">
                  <c:v>5.7816511978624998</c:v>
                </c:pt>
                <c:pt idx="222">
                  <c:v>5.7792233990245006</c:v>
                </c:pt>
                <c:pt idx="223">
                  <c:v>5.7768022272667006</c:v>
                </c:pt>
                <c:pt idx="224">
                  <c:v>5.9770443962842998</c:v>
                </c:pt>
                <c:pt idx="225">
                  <c:v>6.1586087549817998</c:v>
                </c:pt>
                <c:pt idx="226">
                  <c:v>5.8358703249771002</c:v>
                </c:pt>
                <c:pt idx="227">
                  <c:v>5.6625003856365996</c:v>
                </c:pt>
                <c:pt idx="228">
                  <c:v>5.6544040342840001</c:v>
                </c:pt>
                <c:pt idx="229">
                  <c:v>5.6521498198120002</c:v>
                </c:pt>
                <c:pt idx="230">
                  <c:v>5.6499017358075001</c:v>
                </c:pt>
                <c:pt idx="231">
                  <c:v>5.5353285709378</c:v>
                </c:pt>
                <c:pt idx="232">
                  <c:v>5.8559621761802001</c:v>
                </c:pt>
                <c:pt idx="233">
                  <c:v>5.5338129291694997</c:v>
                </c:pt>
                <c:pt idx="234">
                  <c:v>5.7320970801163007</c:v>
                </c:pt>
                <c:pt idx="235">
                  <c:v>4.9249371965307001</c:v>
                </c:pt>
                <c:pt idx="236">
                  <c:v>4.9235403410786001</c:v>
                </c:pt>
                <c:pt idx="237">
                  <c:v>4.9221474128141001</c:v>
                </c:pt>
                <c:pt idx="238">
                  <c:v>4.9207583973331994</c:v>
                </c:pt>
                <c:pt idx="239">
                  <c:v>5.4586155111085999</c:v>
                </c:pt>
                <c:pt idx="240">
                  <c:v>5.8859870581502998</c:v>
                </c:pt>
                <c:pt idx="241">
                  <c:v>6.0113211037324996</c:v>
                </c:pt>
                <c:pt idx="242">
                  <c:v>5.9301317814550005</c:v>
                </c:pt>
                <c:pt idx="243">
                  <c:v>5.9276129725733</c:v>
                </c:pt>
                <c:pt idx="244">
                  <c:v>5.9251008565068997</c:v>
                </c:pt>
                <c:pt idx="245">
                  <c:v>5.7468998457930995</c:v>
                </c:pt>
                <c:pt idx="246">
                  <c:v>5.7450857683405001</c:v>
                </c:pt>
                <c:pt idx="247">
                  <c:v>6.1892182553127002</c:v>
                </c:pt>
                <c:pt idx="248">
                  <c:v>5.7696037709874997</c:v>
                </c:pt>
                <c:pt idx="249">
                  <c:v>6.1819704670188003</c:v>
                </c:pt>
                <c:pt idx="250">
                  <c:v>6.179194258131</c:v>
                </c:pt>
                <c:pt idx="251">
                  <c:v>6.1764253286487003</c:v>
                </c:pt>
                <c:pt idx="252">
                  <c:v>6.8920275135239999</c:v>
                </c:pt>
                <c:pt idx="253">
                  <c:v>5.8006764615893998</c:v>
                </c:pt>
                <c:pt idx="254">
                  <c:v>7.0097595801445003</c:v>
                </c:pt>
                <c:pt idx="255">
                  <c:v>6.9430809791538</c:v>
                </c:pt>
                <c:pt idx="256">
                  <c:v>7.0152539078201004</c:v>
                </c:pt>
                <c:pt idx="257">
                  <c:v>7.0115711958900997</c:v>
                </c:pt>
                <c:pt idx="258">
                  <c:v>7.0078979552418996</c:v>
                </c:pt>
                <c:pt idx="259">
                  <c:v>6.9685918604657999</c:v>
                </c:pt>
                <c:pt idx="260">
                  <c:v>6.5821597486263999</c:v>
                </c:pt>
                <c:pt idx="261">
                  <c:v>7.1530338400618998</c:v>
                </c:pt>
                <c:pt idx="262">
                  <c:v>7.1091352154197995</c:v>
                </c:pt>
                <c:pt idx="263">
                  <c:v>6.8837880437169998</c:v>
                </c:pt>
                <c:pt idx="264">
                  <c:v>6.8802889986141995</c:v>
                </c:pt>
                <c:pt idx="265">
                  <c:v>6.8767988959319997</c:v>
                </c:pt>
                <c:pt idx="266">
                  <c:v>7.1016700455598007</c:v>
                </c:pt>
                <c:pt idx="267">
                  <c:v>6.8890660912577006</c:v>
                </c:pt>
                <c:pt idx="268">
                  <c:v>7.182983981378201</c:v>
                </c:pt>
                <c:pt idx="269">
                  <c:v>7.4284809467382997</c:v>
                </c:pt>
                <c:pt idx="270">
                  <c:v>6.7818433684423001</c:v>
                </c:pt>
                <c:pt idx="271">
                  <c:v>6.7784919524198006</c:v>
                </c:pt>
                <c:pt idx="272">
                  <c:v>6.7751490471819</c:v>
                </c:pt>
                <c:pt idx="273">
                  <c:v>6.7956491314593999</c:v>
                </c:pt>
                <c:pt idx="274">
                  <c:v>7.0167755159767999</c:v>
                </c:pt>
                <c:pt idx="275">
                  <c:v>7.4520116469523998</c:v>
                </c:pt>
                <c:pt idx="276">
                  <c:v>7.3014174247717003</c:v>
                </c:pt>
                <c:pt idx="277">
                  <c:v>7.5201973510798004</c:v>
                </c:pt>
                <c:pt idx="278">
                  <c:v>7.5160696471933006</c:v>
                </c:pt>
                <c:pt idx="279">
                  <c:v>7.5119522787154001</c:v>
                </c:pt>
                <c:pt idx="280">
                  <c:v>7.4589401436567009</c:v>
                </c:pt>
                <c:pt idx="281">
                  <c:v>7.5093518559393004</c:v>
                </c:pt>
                <c:pt idx="282">
                  <c:v>7.4755997461961998</c:v>
                </c:pt>
                <c:pt idx="283">
                  <c:v>7.6687309812399</c:v>
                </c:pt>
                <c:pt idx="284">
                  <c:v>7.7490703055229</c:v>
                </c:pt>
                <c:pt idx="285">
                  <c:v>7.7447332269040006</c:v>
                </c:pt>
                <c:pt idx="286">
                  <c:v>7.7404069124062005</c:v>
                </c:pt>
                <c:pt idx="287">
                  <c:v>7.6040108552328993</c:v>
                </c:pt>
                <c:pt idx="288">
                  <c:v>7.6987128542484999</c:v>
                </c:pt>
                <c:pt idx="289">
                  <c:v>8.1134879521909991</c:v>
                </c:pt>
                <c:pt idx="290">
                  <c:v>8.3074759644549996</c:v>
                </c:pt>
                <c:pt idx="291">
                  <c:v>8.3831293457802012</c:v>
                </c:pt>
                <c:pt idx="292">
                  <c:v>8.3781463706138002</c:v>
                </c:pt>
                <c:pt idx="293">
                  <c:v>8.3731756398863002</c:v>
                </c:pt>
                <c:pt idx="294">
                  <c:v>8.3205249972260997</c:v>
                </c:pt>
                <c:pt idx="295">
                  <c:v>8.5010623861771997</c:v>
                </c:pt>
                <c:pt idx="296">
                  <c:v>8.3858731460101001</c:v>
                </c:pt>
                <c:pt idx="297">
                  <c:v>8.5045640949855006</c:v>
                </c:pt>
                <c:pt idx="298">
                  <c:v>8.4008223535665998</c:v>
                </c:pt>
                <c:pt idx="299">
                  <c:v>8.3957660882247005</c:v>
                </c:pt>
                <c:pt idx="300">
                  <c:v>8.3907222649283</c:v>
                </c:pt>
                <c:pt idx="301">
                  <c:v>8.0387165821811006</c:v>
                </c:pt>
                <c:pt idx="302">
                  <c:v>7.9838380249313001</c:v>
                </c:pt>
                <c:pt idx="303">
                  <c:v>8.0205069028249998</c:v>
                </c:pt>
                <c:pt idx="304">
                  <c:v>7.8043176198520001</c:v>
                </c:pt>
                <c:pt idx="305">
                  <c:v>6.3412143329105</c:v>
                </c:pt>
                <c:pt idx="306">
                  <c:v>6.3384171564739997</c:v>
                </c:pt>
                <c:pt idx="307">
                  <c:v>6.3356269238890999</c:v>
                </c:pt>
                <c:pt idx="308">
                  <c:v>7.5192508288590005</c:v>
                </c:pt>
                <c:pt idx="309">
                  <c:v>7.1355938375915002</c:v>
                </c:pt>
                <c:pt idx="310">
                  <c:v>7.6558182307570997</c:v>
                </c:pt>
                <c:pt idx="311">
                  <c:v>7.0091545559126995</c:v>
                </c:pt>
                <c:pt idx="312">
                  <c:v>7.3826472190173007</c:v>
                </c:pt>
                <c:pt idx="313">
                  <c:v>7.3787744466251999</c:v>
                </c:pt>
                <c:pt idx="314">
                  <c:v>7.3749111045860003</c:v>
                </c:pt>
                <c:pt idx="315">
                  <c:v>8.7664447180618001</c:v>
                </c:pt>
                <c:pt idx="316">
                  <c:v>8.0040806029908005</c:v>
                </c:pt>
                <c:pt idx="317">
                  <c:v>8.4425058456420992</c:v>
                </c:pt>
                <c:pt idx="318">
                  <c:v>7.8818790945999</c:v>
                </c:pt>
                <c:pt idx="319">
                  <c:v>7.9084643656885003</c:v>
                </c:pt>
                <c:pt idx="320">
                  <c:v>7.9040728392639998</c:v>
                </c:pt>
                <c:pt idx="321">
                  <c:v>7.8996918979180002</c:v>
                </c:pt>
                <c:pt idx="322">
                  <c:v>8.4023882223752988</c:v>
                </c:pt>
                <c:pt idx="323">
                  <c:v>8.6379283141701002</c:v>
                </c:pt>
                <c:pt idx="324">
                  <c:v>8.5999557738091994</c:v>
                </c:pt>
                <c:pt idx="325">
                  <c:v>8.6138979013511001</c:v>
                </c:pt>
                <c:pt idx="326">
                  <c:v>8.7571747309385994</c:v>
                </c:pt>
                <c:pt idx="327">
                  <c:v>8.7519304493958003</c:v>
                </c:pt>
                <c:pt idx="328">
                  <c:v>8.746698687443299</c:v>
                </c:pt>
                <c:pt idx="329">
                  <c:v>8.7412326238879992</c:v>
                </c:pt>
                <c:pt idx="330">
                  <c:v>8.9212758609333012</c:v>
                </c:pt>
                <c:pt idx="331">
                  <c:v>8.9289211863495002</c:v>
                </c:pt>
                <c:pt idx="332">
                  <c:v>8.5787481746788998</c:v>
                </c:pt>
                <c:pt idx="333">
                  <c:v>8.6027516170519007</c:v>
                </c:pt>
                <c:pt idx="334">
                  <c:v>8.5977175902411993</c:v>
                </c:pt>
                <c:pt idx="335">
                  <c:v>8.5926954973001006</c:v>
                </c:pt>
                <c:pt idx="336">
                  <c:v>8.8418497179393007</c:v>
                </c:pt>
                <c:pt idx="337">
                  <c:v>9.7220275981524988</c:v>
                </c:pt>
                <c:pt idx="338">
                  <c:v>9.5686908129874002</c:v>
                </c:pt>
                <c:pt idx="339">
                  <c:v>9.6273313177504996</c:v>
                </c:pt>
                <c:pt idx="340">
                  <c:v>9.6220233830288002</c:v>
                </c:pt>
                <c:pt idx="341">
                  <c:v>9.6159742524489005</c:v>
                </c:pt>
                <c:pt idx="342">
                  <c:v>9.6099393476903998</c:v>
                </c:pt>
                <c:pt idx="343">
                  <c:v>9.5237756099727999</c:v>
                </c:pt>
                <c:pt idx="344">
                  <c:v>9.5283983065920985</c:v>
                </c:pt>
                <c:pt idx="345">
                  <c:v>9.6430641327517996</c:v>
                </c:pt>
                <c:pt idx="346">
                  <c:v>10.146538372779</c:v>
                </c:pt>
                <c:pt idx="347">
                  <c:v>9.7055514906361999</c:v>
                </c:pt>
                <c:pt idx="348">
                  <c:v>9.6994707648174998</c:v>
                </c:pt>
                <c:pt idx="349">
                  <c:v>9.6934042367991999</c:v>
                </c:pt>
                <c:pt idx="350">
                  <c:v>9.7892165261279995</c:v>
                </c:pt>
                <c:pt idx="351">
                  <c:v>9.7360532718412998</c:v>
                </c:pt>
                <c:pt idx="352">
                  <c:v>9.7448214148402013</c:v>
                </c:pt>
                <c:pt idx="353">
                  <c:v>9.6101236899121005</c:v>
                </c:pt>
                <c:pt idx="354">
                  <c:v>10.115298369995001</c:v>
                </c:pt>
                <c:pt idx="355">
                  <c:v>10.108850677325</c:v>
                </c:pt>
                <c:pt idx="356">
                  <c:v>10.102417935443</c:v>
                </c:pt>
                <c:pt idx="357">
                  <c:v>9.8750783360488992</c:v>
                </c:pt>
                <c:pt idx="358">
                  <c:v>10.068767924427</c:v>
                </c:pt>
                <c:pt idx="359">
                  <c:v>10.189480509999999</c:v>
                </c:pt>
                <c:pt idx="360">
                  <c:v>10.182998141520001</c:v>
                </c:pt>
                <c:pt idx="361">
                  <c:v>9.9612928083087002</c:v>
                </c:pt>
                <c:pt idx="362">
                  <c:v>9.9550602674936997</c:v>
                </c:pt>
                <c:pt idx="363">
                  <c:v>9.9488420747978008</c:v>
                </c:pt>
                <c:pt idx="364">
                  <c:v>10.313227866212999</c:v>
                </c:pt>
                <c:pt idx="365">
                  <c:v>10.306660740877</c:v>
                </c:pt>
                <c:pt idx="366">
                  <c:v>10.300612224982</c:v>
                </c:pt>
                <c:pt idx="367">
                  <c:v>10.294074691302999</c:v>
                </c:pt>
                <c:pt idx="368">
                  <c:v>10.940319381825001</c:v>
                </c:pt>
                <c:pt idx="369">
                  <c:v>10.93314771771</c:v>
                </c:pt>
                <c:pt idx="370">
                  <c:v>12.050701183272</c:v>
                </c:pt>
                <c:pt idx="371">
                  <c:v>12.042413624591001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60-43DD-941B-8FDC3DC210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6043632"/>
        <c:axId val="836042848"/>
      </c:lineChart>
      <c:dateAx>
        <c:axId val="836043632"/>
        <c:scaling>
          <c:orientation val="minMax"/>
          <c:max val="46023"/>
          <c:min val="45658"/>
        </c:scaling>
        <c:delete val="0"/>
        <c:axPos val="b"/>
        <c:minorGridlines>
          <c:spPr>
            <a:ln w="9525" cap="flat" cmpd="sng" algn="ctr">
              <a:solidFill>
                <a:schemeClr val="dk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d\.mm\.yyyy" sourceLinked="0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2460000" spcFirstLastPara="1" vertOverflow="ellipsis" wrap="square" anchor="ctr" anchorCtr="1"/>
          <a:lstStyle/>
          <a:p>
            <a:pPr algn="ctr">
              <a:defRPr lang="ru-RU" sz="800" b="0" i="0" u="none" strike="noStrike" kern="1200" cap="none" spc="0" normalizeH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836042848"/>
        <c:crosses val="autoZero"/>
        <c:auto val="1"/>
        <c:lblOffset val="100"/>
        <c:baseTimeUnit val="days"/>
        <c:majorTimeUnit val="months"/>
        <c:minorUnit val="1"/>
        <c:minorTimeUnit val="months"/>
      </c:dateAx>
      <c:valAx>
        <c:axId val="836042848"/>
        <c:scaling>
          <c:orientation val="minMax"/>
          <c:max val="13"/>
          <c:min val="3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36043632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rgbClr val="F7F2E5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layout>
        <c:manualLayout>
          <c:xMode val="edge"/>
          <c:yMode val="edge"/>
          <c:x val="0.48876436628474995"/>
          <c:y val="9.48678899271029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4.8184362854361847E-2"/>
          <c:y val="0.46667348352102922"/>
          <c:w val="0.92058119821014139"/>
          <c:h val="0.23757790967358114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24"/>
            <c:spPr>
              <a:solidFill>
                <a:schemeClr val="bg1">
                  <a:lumMod val="50000"/>
                </a:schemeClr>
              </a:solidFill>
              <a:ln w="9525">
                <a:noFill/>
                <a:round/>
              </a:ln>
              <a:effectLst/>
              <a:scene3d>
                <a:camera prst="orthographicFront"/>
                <a:lightRig rig="threePt" dir="t"/>
              </a:scene3d>
              <a:sp3d/>
            </c:spPr>
          </c:marker>
          <c:dPt>
            <c:idx val="2"/>
            <c:marker>
              <c:symbol val="circle"/>
              <c:size val="24"/>
              <c:spPr>
                <a:solidFill>
                  <a:srgbClr val="C00000"/>
                </a:solidFill>
                <a:ln w="9525">
                  <a:noFill/>
                  <a:round/>
                </a:ln>
                <a:effectLst/>
                <a:scene3d>
                  <a:camera prst="orthographicFront"/>
                  <a:lightRig rig="threePt" dir="t"/>
                </a:scene3d>
                <a:sp3d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A632-49EF-8B88-994199E70A74}"/>
              </c:ext>
            </c:extLst>
          </c:dPt>
          <c:dLbls>
            <c:dLbl>
              <c:idx val="0"/>
              <c:layout>
                <c:manualLayout>
                  <c:x val="-9.4528183977002869E-2"/>
                  <c:y val="-0.3610077658871888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700" b="1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29287E8C-9C80-4493-8640-4FF0E4C33634}" type="CELLRANGE">
                      <a:rPr lang="en-US"/>
                      <a:pPr>
                        <a:defRPr sz="700" b="1">
                          <a:solidFill>
                            <a:schemeClr val="tx1"/>
                          </a:solidFill>
                        </a:defRPr>
                      </a:pPr>
                      <a:t>[ДИАПАЗОН ЯЧЕЕК]</a:t>
                    </a:fld>
                    <a:endParaRPr lang="ru-RU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7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7715160604924385"/>
                      <c:h val="0.315209475456386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A632-49EF-8B88-994199E70A74}"/>
                </c:ext>
              </c:extLst>
            </c:dLbl>
            <c:dLbl>
              <c:idx val="1"/>
              <c:layout>
                <c:manualLayout>
                  <c:x val="-1.8809992500937383E-2"/>
                  <c:y val="-0.3311722692915359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noAutofit/>
                  </a:bodyPr>
                  <a:lstStyle/>
                  <a:p>
                    <a:pPr marL="0" marR="0" lvl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700" b="1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AE56F46C-8694-4751-A253-66948D7F82A1}" type="CELLRANGE">
                      <a:rPr lang="en-US"/>
                      <a:pPr marL="0" marR="0" lvl="0" indent="0" algn="ctr" defTabSz="914400" rtl="0" eaLnBrk="1" fontAlgn="auto" latinLnBrk="0" hangingPunct="1">
                        <a:lnSpc>
                          <a:spcPct val="100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ClrTx/>
                        <a:buSzTx/>
                        <a:buFontTx/>
                        <a:buNone/>
                        <a:tabLst/>
                        <a:defRPr sz="700" b="1">
                          <a:solidFill>
                            <a:sysClr val="windowText" lastClr="000000"/>
                          </a:solidFill>
                        </a:defRPr>
                      </a:pPr>
                      <a:t>[ДИАПАЗОН ЯЧЕЕК]</a:t>
                    </a:fld>
                    <a:endParaRPr lang="ru-RU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marL="0" marR="0" lvl="0" indent="0" algn="ctr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7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9635014373203349"/>
                      <c:h val="0.3273307789345952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A632-49EF-8B88-994199E70A74}"/>
                </c:ext>
              </c:extLst>
            </c:dLbl>
            <c:dLbl>
              <c:idx val="2"/>
              <c:layout>
                <c:manualLayout>
                  <c:x val="-0.22793424259467568"/>
                  <c:y val="-0.32511303073098075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noAutofit/>
                  </a:bodyPr>
                  <a:lstStyle/>
                  <a:p>
                    <a:pPr marL="0" marR="0" lvl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700" b="1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ru-RU" sz="700" b="1" i="0" u="none" strike="noStrike" kern="1200" baseline="0">
                        <a:solidFill>
                          <a:sysClr val="windowText" lastClr="000000"/>
                        </a:solidFill>
                      </a:rPr>
                      <a:t>Оцениваемая облигация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marL="0" marR="0" lvl="0" indent="0" algn="ctr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7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2253543307086615"/>
                      <c:h val="0.2673500391703541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A632-49EF-8B88-994199E70A7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Template!$W$1:$Y$1</c:f>
              <c:numCache>
                <c:formatCode>0.00%</c:formatCode>
                <c:ptCount val="3"/>
                <c:pt idx="0">
                  <c:v>1.8582000000000001E-2</c:v>
                </c:pt>
                <c:pt idx="1">
                  <c:v>7.400000000000001E-2</c:v>
                </c:pt>
                <c:pt idx="2">
                  <c:v>6.0468882619138992E-2</c:v>
                </c:pt>
              </c:numCache>
            </c:numRef>
          </c:xVal>
          <c:yVal>
            <c:numRef>
              <c:f>Template!$W$4:$Y$4</c:f>
              <c:numCache>
                <c:formatCode>General</c:formatCode>
                <c:ptCount val="3"/>
                <c:pt idx="0">
                  <c:v>0.85</c:v>
                </c:pt>
                <c:pt idx="1">
                  <c:v>0.85</c:v>
                </c:pt>
                <c:pt idx="2">
                  <c:v>0.85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(Template!$A$80,Template!$C$80)</c15:f>
                <c15:dlblRangeCache>
                  <c:ptCount val="2"/>
                  <c:pt idx="0">
                    <c:v>ChinaBond Government Bond Yield Curve 10Y</c:v>
                  </c:pt>
                  <c:pt idx="1">
                    <c:v>Cbonds Russia Corporate CNY YTM Index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6AC2-47E0-8DD5-6C6A7FCF271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482498648"/>
        <c:axId val="482499824"/>
      </c:scatterChart>
      <c:valAx>
        <c:axId val="482498648"/>
        <c:scaling>
          <c:orientation val="minMax"/>
          <c:max val="0.08"/>
          <c:min val="0.01"/>
        </c:scaling>
        <c:delete val="0"/>
        <c:axPos val="b"/>
        <c:numFmt formatCode="0.0%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cap="all" spc="120" normalizeH="0" baseline="0">
                <a:solidFill>
                  <a:schemeClr val="tx1"/>
                </a:solidFill>
                <a:latin typeface="+mn-lt"/>
                <a:ea typeface="+mn-ea"/>
                <a:cs typeface="Aharoni" panose="02010803020104030203" pitchFamily="2" charset="-79"/>
              </a:defRPr>
            </a:pPr>
            <a:endParaRPr lang="ru-RU"/>
          </a:p>
        </c:txPr>
        <c:crossAx val="482499824"/>
        <c:crosses val="autoZero"/>
        <c:crossBetween val="midCat"/>
      </c:valAx>
      <c:valAx>
        <c:axId val="482499824"/>
        <c:scaling>
          <c:orientation val="minMax"/>
          <c:min val="0.8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482498648"/>
        <c:crosses val="autoZero"/>
        <c:crossBetween val="midCat"/>
      </c:valAx>
      <c:spPr>
        <a:gradFill flip="none" rotWithShape="1">
          <a:gsLst>
            <a:gs pos="0">
              <a:srgbClr val="DFCA95"/>
            </a:gs>
            <a:gs pos="100000">
              <a:srgbClr val="F7F2E5"/>
            </a:gs>
          </a:gsLst>
          <a:path path="circle">
            <a:fillToRect l="100000" t="100000"/>
          </a:path>
          <a:tileRect r="-100000" b="-100000"/>
        </a:gradFill>
        <a:ln>
          <a:gradFill flip="none" rotWithShape="1">
            <a:gsLst>
              <a:gs pos="13271">
                <a:srgbClr val="EBF3FA"/>
              </a:gs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8100000" scaled="1"/>
            <a:tileRect/>
          </a:gradFill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571500</xdr:colOff>
          <xdr:row>6</xdr:row>
          <xdr:rowOff>220980</xdr:rowOff>
        </xdr:from>
        <xdr:to>
          <xdr:col>19</xdr:col>
          <xdr:colOff>137160</xdr:colOff>
          <xdr:row>8</xdr:row>
          <xdr:rowOff>22860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ru-RU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Macro</a:t>
              </a:r>
            </a:p>
          </xdr:txBody>
        </xdr:sp>
        <xdr:clientData fPrintsWithSheet="0"/>
      </xdr:twoCellAnchor>
    </mc:Choice>
    <mc:Fallback/>
  </mc:AlternateContent>
  <xdr:twoCellAnchor>
    <xdr:from>
      <xdr:col>0</xdr:col>
      <xdr:colOff>0</xdr:colOff>
      <xdr:row>47</xdr:row>
      <xdr:rowOff>38100</xdr:rowOff>
    </xdr:from>
    <xdr:to>
      <xdr:col>6</xdr:col>
      <xdr:colOff>25976</xdr:colOff>
      <xdr:row>60</xdr:row>
      <xdr:rowOff>38100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0308E3A0-161B-48DF-B109-B3B0F4E31AB9}"/>
            </a:ext>
            <a:ext uri="{C183D7F6-B498-43B3-948B-1728B52AA6E4}">
              <adec:decorative xmlns:adec="http://schemas.microsoft.com/office/drawing/2017/decorative" xmlns="" val="1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85</xdr:row>
      <xdr:rowOff>28575</xdr:rowOff>
    </xdr:from>
    <xdr:to>
      <xdr:col>6</xdr:col>
      <xdr:colOff>8659</xdr:colOff>
      <xdr:row>98</xdr:row>
      <xdr:rowOff>19915</xdr:rowOff>
    </xdr:to>
    <xdr:graphicFrame macro="">
      <xdr:nvGraphicFramePr>
        <xdr:cNvPr id="25" name="Chart 4">
          <a:extLst>
            <a:ext uri="{FF2B5EF4-FFF2-40B4-BE49-F238E27FC236}">
              <a16:creationId xmlns:a16="http://schemas.microsoft.com/office/drawing/2014/main" id="{F97CDF63-E804-41B0-B3F8-BE10628E4F37}"/>
            </a:ext>
            <a:ext uri="{C183D7F6-B498-43B3-948B-1728B52AA6E4}">
              <adec:decorative xmlns:adec="http://schemas.microsoft.com/office/drawing/2017/decorative" xmlns="" val="1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571500</xdr:colOff>
          <xdr:row>3</xdr:row>
          <xdr:rowOff>160020</xdr:rowOff>
        </xdr:from>
        <xdr:to>
          <xdr:col>19</xdr:col>
          <xdr:colOff>175260</xdr:colOff>
          <xdr:row>5</xdr:row>
          <xdr:rowOff>137160</xdr:rowOff>
        </xdr:to>
        <xdr:sp macro="" textlink="">
          <xdr:nvSpPr>
            <xdr:cNvPr id="1027" name="Button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ru-RU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Graph axes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0</xdr:colOff>
          <xdr:row>1</xdr:row>
          <xdr:rowOff>160020</xdr:rowOff>
        </xdr:from>
        <xdr:to>
          <xdr:col>19</xdr:col>
          <xdr:colOff>152400</xdr:colOff>
          <xdr:row>2</xdr:row>
          <xdr:rowOff>304800</xdr:rowOff>
        </xdr:to>
        <xdr:sp macro="" textlink="">
          <xdr:nvSpPr>
            <xdr:cNvPr id="1028" name="Button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ru-RU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Bonds_out</a:t>
              </a:r>
            </a:p>
          </xdr:txBody>
        </xdr:sp>
        <xdr:clientData fPrintsWithSheet="0"/>
      </xdr:twoCellAnchor>
    </mc:Choice>
    <mc:Fallback/>
  </mc:AlternateContent>
  <xdr:twoCellAnchor>
    <xdr:from>
      <xdr:col>0</xdr:col>
      <xdr:colOff>0</xdr:colOff>
      <xdr:row>65</xdr:row>
      <xdr:rowOff>19050</xdr:rowOff>
    </xdr:from>
    <xdr:to>
      <xdr:col>6</xdr:col>
      <xdr:colOff>25976</xdr:colOff>
      <xdr:row>77</xdr:row>
      <xdr:rowOff>133350</xdr:rowOff>
    </xdr:to>
    <xdr:graphicFrame macro="">
      <xdr:nvGraphicFramePr>
        <xdr:cNvPr id="9" name="Chart 2">
          <a:extLst>
            <a:ext uri="{FF2B5EF4-FFF2-40B4-BE49-F238E27FC236}">
              <a16:creationId xmlns:a16="http://schemas.microsoft.com/office/drawing/2014/main" id="{0308E3A0-161B-48DF-B109-B3B0F4E31AB9}"/>
            </a:ext>
            <a:ext uri="{C183D7F6-B498-43B3-948B-1728B52AA6E4}">
              <adec:decorative xmlns:adec="http://schemas.microsoft.com/office/drawing/2017/decorative" xmlns="" val="1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80</xdr:row>
      <xdr:rowOff>0</xdr:rowOff>
    </xdr:from>
    <xdr:to>
      <xdr:col>6</xdr:col>
      <xdr:colOff>19050</xdr:colOff>
      <xdr:row>83</xdr:row>
      <xdr:rowOff>261337</xdr:rowOff>
    </xdr:to>
    <xdr:graphicFrame macro="">
      <xdr:nvGraphicFramePr>
        <xdr:cNvPr id="12" name="Chart 3">
          <a:extLst>
            <a:ext uri="{FF2B5EF4-FFF2-40B4-BE49-F238E27FC236}">
              <a16:creationId xmlns:a16="http://schemas.microsoft.com/office/drawing/2014/main" id="{26CDA746-3C9A-4953-8E7E-63C0A03C17BC}"/>
            </a:ext>
            <a:ext uri="{C183D7F6-B498-43B3-948B-1728B52AA6E4}">
              <adec:decorative xmlns:adec="http://schemas.microsoft.com/office/drawing/2017/decorative" xmlns="" val="1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9" tint="-0.499984740745262"/>
  </sheetPr>
  <dimension ref="A1:FL2016"/>
  <sheetViews>
    <sheetView zoomScaleNormal="100" workbookViewId="0">
      <selection activeCell="B3" sqref="B3"/>
    </sheetView>
  </sheetViews>
  <sheetFormatPr defaultRowHeight="14.4" x14ac:dyDescent="0.3"/>
  <cols>
    <col min="1" max="1" width="17" bestFit="1" customWidth="1"/>
    <col min="2" max="2" width="15.109375" bestFit="1" customWidth="1"/>
    <col min="4" max="4" width="24" style="1" bestFit="1" customWidth="1"/>
    <col min="5" max="5" width="20.33203125" customWidth="1"/>
    <col min="6" max="6" width="20.6640625" customWidth="1"/>
    <col min="7" max="7" width="20.33203125" style="12" customWidth="1"/>
    <col min="8" max="8" width="24.5546875" customWidth="1"/>
    <col min="10" max="10" width="18.33203125" bestFit="1" customWidth="1"/>
    <col min="11" max="11" width="21" bestFit="1" customWidth="1"/>
    <col min="12" max="12" width="22.109375" customWidth="1"/>
    <col min="13" max="13" width="20.88671875" bestFit="1" customWidth="1"/>
    <col min="14" max="14" width="21" customWidth="1"/>
    <col min="15" max="15" width="23.109375" customWidth="1"/>
    <col min="16" max="16" width="19.109375" bestFit="1" customWidth="1"/>
    <col min="17" max="17" width="19" customWidth="1"/>
    <col min="18" max="18" width="14.44140625" customWidth="1"/>
    <col min="19" max="19" width="14.5546875" customWidth="1"/>
    <col min="20" max="20" width="16.44140625" bestFit="1" customWidth="1"/>
    <col min="21" max="21" width="14.109375" bestFit="1" customWidth="1"/>
    <col min="22" max="22" width="9" customWidth="1"/>
    <col min="23" max="23" width="30.44140625" bestFit="1" customWidth="1"/>
    <col min="24" max="24" width="21.6640625" bestFit="1" customWidth="1"/>
    <col min="25" max="25" width="7.33203125" bestFit="1" customWidth="1"/>
    <col min="26" max="26" width="12.109375" bestFit="1" customWidth="1"/>
    <col min="27" max="27" width="13.33203125" bestFit="1" customWidth="1"/>
    <col min="28" max="28" width="13.88671875" bestFit="1" customWidth="1"/>
    <col min="29" max="29" width="10.6640625" bestFit="1" customWidth="1"/>
    <col min="31" max="31" width="30.44140625" bestFit="1" customWidth="1"/>
    <col min="32" max="32" width="21.6640625" bestFit="1" customWidth="1"/>
    <col min="33" max="33" width="7.33203125" bestFit="1" customWidth="1"/>
    <col min="34" max="34" width="12.109375" bestFit="1" customWidth="1"/>
    <col min="35" max="35" width="13.33203125" bestFit="1" customWidth="1"/>
    <col min="36" max="36" width="13.88671875" bestFit="1" customWidth="1"/>
    <col min="37" max="37" width="10.6640625" bestFit="1" customWidth="1"/>
    <col min="39" max="39" width="30.44140625" bestFit="1" customWidth="1"/>
    <col min="40" max="40" width="21.6640625" bestFit="1" customWidth="1"/>
    <col min="41" max="41" width="7.33203125" bestFit="1" customWidth="1"/>
    <col min="42" max="42" width="12.109375" bestFit="1" customWidth="1"/>
    <col min="43" max="43" width="13.33203125" bestFit="1" customWidth="1"/>
    <col min="44" max="44" width="10.6640625" bestFit="1" customWidth="1"/>
    <col min="45" max="45" width="6" bestFit="1" customWidth="1"/>
    <col min="47" max="47" width="30.44140625" bestFit="1" customWidth="1"/>
    <col min="48" max="48" width="21.6640625" bestFit="1" customWidth="1"/>
    <col min="49" max="49" width="7.33203125" bestFit="1" customWidth="1"/>
    <col min="50" max="50" width="12.109375" bestFit="1" customWidth="1"/>
    <col min="51" max="51" width="17.6640625" customWidth="1"/>
    <col min="52" max="52" width="16.88671875" customWidth="1"/>
    <col min="53" max="53" width="15.88671875" customWidth="1"/>
    <col min="55" max="55" width="15.88671875" customWidth="1"/>
    <col min="56" max="56" width="19.109375" bestFit="1" customWidth="1"/>
    <col min="57" max="57" width="10.109375" customWidth="1"/>
    <col min="58" max="58" width="15.6640625" customWidth="1"/>
    <col min="59" max="60" width="14.109375" customWidth="1"/>
    <col min="61" max="61" width="13.6640625" customWidth="1"/>
    <col min="63" max="63" width="17.5546875" bestFit="1" customWidth="1"/>
    <col min="64" max="64" width="19.109375" bestFit="1" customWidth="1"/>
    <col min="65" max="65" width="9.109375" customWidth="1"/>
    <col min="66" max="66" width="16" customWidth="1"/>
    <col min="67" max="67" width="16.88671875" customWidth="1"/>
    <col min="68" max="68" width="14.6640625" customWidth="1"/>
    <col min="69" max="69" width="13.109375" customWidth="1"/>
    <col min="72" max="72" width="25.6640625" customWidth="1"/>
    <col min="73" max="73" width="17.6640625" customWidth="1"/>
    <col min="74" max="74" width="16.109375" customWidth="1"/>
    <col min="75" max="75" width="15.6640625" customWidth="1"/>
    <col min="79" max="79" width="75.44140625" customWidth="1"/>
    <col min="80" max="80" width="15.44140625" customWidth="1"/>
    <col min="81" max="81" width="7.88671875" customWidth="1"/>
    <col min="82" max="83" width="12.44140625" customWidth="1"/>
    <col min="84" max="84" width="15.109375" style="12" bestFit="1" customWidth="1"/>
    <col min="85" max="85" width="10.109375" style="12" customWidth="1"/>
    <col min="86" max="86" width="15.44140625" style="12" bestFit="1" customWidth="1"/>
    <col min="87" max="87" width="13.33203125" style="12" bestFit="1" customWidth="1"/>
    <col min="88" max="88" width="15.88671875" style="12" bestFit="1" customWidth="1"/>
    <col min="89" max="89" width="15.88671875" style="12" customWidth="1"/>
    <col min="90" max="90" width="9.88671875" style="12" bestFit="1" customWidth="1"/>
    <col min="91" max="91" width="35.109375" style="12" bestFit="1" customWidth="1"/>
    <col min="93" max="93" width="11" bestFit="1" customWidth="1"/>
    <col min="94" max="94" width="8" bestFit="1" customWidth="1"/>
    <col min="95" max="95" width="3" bestFit="1" customWidth="1"/>
    <col min="96" max="97" width="10.109375" bestFit="1" customWidth="1"/>
    <col min="99" max="99" width="10.109375" bestFit="1" customWidth="1"/>
    <col min="102" max="102" width="10.109375" bestFit="1" customWidth="1"/>
    <col min="104" max="106" width="10.109375" bestFit="1" customWidth="1"/>
    <col min="131" max="131" width="8.88671875" customWidth="1"/>
    <col min="133" max="133" width="10.109375" bestFit="1" customWidth="1"/>
    <col min="137" max="137" width="10.109375" bestFit="1" customWidth="1"/>
    <col min="138" max="138" width="15.33203125" bestFit="1" customWidth="1"/>
  </cols>
  <sheetData>
    <row r="1" spans="1:168" x14ac:dyDescent="0.3">
      <c r="A1" s="17" t="s">
        <v>1</v>
      </c>
      <c r="B1" s="100" t="s">
        <v>2095</v>
      </c>
      <c r="D1" s="17" t="s">
        <v>54</v>
      </c>
      <c r="E1" s="17" t="s">
        <v>596</v>
      </c>
      <c r="F1" s="17" t="s">
        <v>2041</v>
      </c>
      <c r="G1" s="17" t="str">
        <f>IF($B$10 = "", "YTM","YTP")</f>
        <v>YTM</v>
      </c>
      <c r="J1" s="76"/>
      <c r="K1" s="17" t="s">
        <v>1270</v>
      </c>
      <c r="L1" s="17" t="s">
        <v>1273</v>
      </c>
      <c r="N1" s="18"/>
      <c r="O1" s="17" t="s">
        <v>56</v>
      </c>
      <c r="P1" s="17" t="s">
        <v>57</v>
      </c>
      <c r="Q1" s="17" t="s">
        <v>58</v>
      </c>
    </row>
    <row r="2" spans="1:168" ht="45" customHeight="1" x14ac:dyDescent="0.3">
      <c r="A2" s="17" t="s">
        <v>53</v>
      </c>
      <c r="B2" s="101">
        <v>46023</v>
      </c>
      <c r="D2" s="22">
        <f>B2</f>
        <v>46023</v>
      </c>
      <c r="E2" s="73" t="str">
        <f>_xll.CbondsClosePrice($B$1,D2,VLOOKUP($B$27,'Help Page'!$M:$N,2,0))</f>
        <v>Нет данных</v>
      </c>
      <c r="F2" s="73">
        <f>IF(IF(AND(E2="",D2=""),"",IF(AND(E2="Нет данных",D2&lt;&gt;""),F3,E2)) = 0,"",IF(AND(E2="",D2=""),"",IF(AND(E2="Нет данных",D2&lt;&gt;""),F3,E2)))</f>
        <v>96.448099999999997</v>
      </c>
      <c r="G2" s="33">
        <f>IF(F2 = "","",IFERROR(IF($G$1 = "YTM",_xll.CbondsCalcYTM($B$1,D2,F2),_xll.CbondsCalcYTP($B$1,D2,F2)),"")*100)</f>
        <v>6.0536304806698</v>
      </c>
      <c r="J2" s="17" t="s">
        <v>1272</v>
      </c>
      <c r="K2" s="104" t="str">
        <f>_xll.CbondsEmitentCountry(B1)</f>
        <v>Россия</v>
      </c>
      <c r="L2" s="104" t="str">
        <f>_xll.CbondsEmitentIndustry(B1)</f>
        <v>Черная металлургия</v>
      </c>
      <c r="N2" s="17" t="s">
        <v>3</v>
      </c>
      <c r="O2" s="103" t="str">
        <f>_xll.IssueOrgAndRoles(B1,N2,,,,O1:Q1)</f>
        <v>Металлоинвест ХК</v>
      </c>
      <c r="P2" s="107" t="s">
        <v>2096</v>
      </c>
      <c r="Q2" s="104" t="s">
        <v>1418</v>
      </c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4"/>
      <c r="AP2" s="74"/>
      <c r="AQ2" s="74"/>
      <c r="AR2" s="74"/>
      <c r="AS2" s="74"/>
      <c r="AT2" s="74"/>
      <c r="AU2" s="74"/>
      <c r="AV2" s="74"/>
      <c r="AW2" s="74"/>
      <c r="AX2" s="74"/>
      <c r="AY2" s="74"/>
      <c r="AZ2" s="74"/>
      <c r="BA2" s="74"/>
      <c r="BB2" s="74"/>
      <c r="BC2" s="74"/>
      <c r="BD2" s="74"/>
      <c r="BE2" s="74"/>
      <c r="BF2" s="74"/>
      <c r="BG2" s="74"/>
      <c r="BH2" s="74"/>
      <c r="BI2" s="74"/>
      <c r="BJ2" s="74"/>
      <c r="BK2" s="74"/>
      <c r="BL2" s="74"/>
      <c r="BM2" s="74"/>
      <c r="BN2" s="74"/>
      <c r="BO2" s="74"/>
      <c r="BP2" s="74"/>
      <c r="BQ2" s="74"/>
      <c r="BR2" s="74"/>
      <c r="BS2" s="74"/>
      <c r="BT2" s="74"/>
      <c r="BU2" s="74"/>
      <c r="BV2" s="74"/>
      <c r="BW2" s="74"/>
      <c r="BX2" s="74"/>
      <c r="BY2" s="74"/>
      <c r="BZ2" s="74"/>
      <c r="CA2" s="74"/>
      <c r="CB2" s="74"/>
      <c r="CC2" s="74"/>
      <c r="CD2" s="74"/>
      <c r="CE2" s="74"/>
      <c r="CF2" s="134"/>
      <c r="CG2" s="134"/>
      <c r="CH2" s="134"/>
      <c r="CI2" s="134"/>
      <c r="CJ2" s="134"/>
      <c r="CK2" s="134"/>
      <c r="CL2" s="134"/>
      <c r="CM2" s="134"/>
      <c r="CN2" s="74"/>
      <c r="CO2" s="74"/>
      <c r="CP2" s="74"/>
      <c r="CQ2" s="74"/>
      <c r="CR2" s="74"/>
      <c r="CS2" s="74"/>
      <c r="CT2" s="74"/>
      <c r="CU2" s="74"/>
      <c r="CV2" s="74"/>
      <c r="CW2" s="74"/>
      <c r="CX2" s="74"/>
      <c r="CY2" s="74"/>
      <c r="CZ2" s="74"/>
      <c r="DA2" s="74"/>
      <c r="DB2" s="74"/>
      <c r="DC2" s="74"/>
      <c r="DD2" s="74"/>
      <c r="DE2" s="74"/>
      <c r="DF2" s="74"/>
      <c r="DG2" s="74"/>
      <c r="DH2" s="74"/>
      <c r="DI2" s="74"/>
      <c r="DJ2" s="74"/>
      <c r="DK2" s="74"/>
      <c r="DL2" s="74"/>
      <c r="DM2" s="74"/>
      <c r="DN2" s="74"/>
      <c r="DO2" s="74"/>
      <c r="DP2" s="74"/>
      <c r="DQ2" s="74"/>
      <c r="DR2" s="74"/>
      <c r="DS2" s="74"/>
      <c r="DT2" s="74"/>
      <c r="DU2" s="74"/>
      <c r="DV2" s="74"/>
      <c r="DW2" s="74"/>
      <c r="DX2" s="74"/>
      <c r="DY2" s="74"/>
      <c r="DZ2" s="74"/>
      <c r="EA2" s="74"/>
      <c r="EB2" s="74"/>
      <c r="EC2" s="74"/>
      <c r="ED2" s="74"/>
      <c r="EE2" s="74"/>
      <c r="EF2" s="74"/>
      <c r="EG2" s="74"/>
      <c r="EH2" s="74"/>
      <c r="EI2" s="74"/>
      <c r="EJ2" s="74"/>
      <c r="EK2" s="74"/>
      <c r="EL2" s="74"/>
      <c r="EM2" s="74"/>
      <c r="EN2" s="74"/>
      <c r="EO2" s="74"/>
      <c r="EP2" s="74"/>
      <c r="EQ2" s="74"/>
      <c r="ER2" s="74"/>
      <c r="ES2" s="74"/>
      <c r="ET2" s="74"/>
      <c r="EU2" s="74"/>
      <c r="EV2" s="74"/>
      <c r="EW2" s="74"/>
      <c r="EX2" s="74"/>
      <c r="EY2" s="74"/>
      <c r="EZ2" s="74"/>
      <c r="FA2" s="74"/>
      <c r="FB2" s="74"/>
      <c r="FC2" s="74"/>
      <c r="FD2" s="74"/>
      <c r="FE2" s="74"/>
      <c r="FF2" s="74"/>
      <c r="FG2" s="74"/>
      <c r="FH2" s="74"/>
      <c r="FI2" s="74"/>
      <c r="FJ2" s="74"/>
      <c r="FK2" s="74"/>
      <c r="FL2" s="74"/>
    </row>
    <row r="3" spans="1:168" x14ac:dyDescent="0.3">
      <c r="A3" s="17" t="s">
        <v>52</v>
      </c>
      <c r="B3" s="136">
        <f>EDATE(B2,-12)</f>
        <v>45658</v>
      </c>
      <c r="D3" s="20">
        <f>D2-1</f>
        <v>46022</v>
      </c>
      <c r="E3" s="73" t="str">
        <f>_xll.CbondsClosePrice($B$1,D3,VLOOKUP($B$27,'Help Page'!$M:$N,2,0))</f>
        <v>Нет данных</v>
      </c>
      <c r="F3" s="73">
        <f t="shared" ref="F3:F66" si="0">IF(IF(AND(E3="",D3=""),"",IF(AND(E3="Нет данных",D3&lt;&gt;""),F4,E3)) = 0,"",IF(AND(E3="",D3=""),"",IF(AND(E3="Нет данных",D3&lt;&gt;""),F4,E3)))</f>
        <v>96.448099999999997</v>
      </c>
      <c r="G3" s="33">
        <f>IF(F3 = "","",IFERROR(IF($G$1 = "YTM",_xll.CbondsCalcYTM($B$1,D3,F3),_xll.CbondsCalcYTP($B$1,D3,F3)),"")*100)</f>
        <v>6.0499197667663998</v>
      </c>
      <c r="J3" s="9"/>
    </row>
    <row r="4" spans="1:168" x14ac:dyDescent="0.3">
      <c r="D4" s="20">
        <f t="shared" ref="D4:D67" si="1">D3-1</f>
        <v>46021</v>
      </c>
      <c r="E4" s="73">
        <f>_xll.CbondsClosePrice($B$1,D4,VLOOKUP($B$27,'Help Page'!$M:$N,2,0))</f>
        <v>96.448099999999997</v>
      </c>
      <c r="F4" s="73">
        <f t="shared" si="0"/>
        <v>96.448099999999997</v>
      </c>
      <c r="G4" s="33">
        <f>IF(F4 = "","",IFERROR(IF($G$1 = "YTM",_xll.CbondsCalcYTM($B$1,D4,F4),_xll.CbondsCalcYTP($B$1,D4,F4)),"")*100)</f>
        <v>6.0468882619138995</v>
      </c>
      <c r="J4" s="10" t="s">
        <v>62</v>
      </c>
      <c r="Q4" s="12" t="s">
        <v>31</v>
      </c>
      <c r="S4" s="201" t="s">
        <v>2045</v>
      </c>
      <c r="T4" s="201"/>
      <c r="W4" s="10" t="s">
        <v>335</v>
      </c>
      <c r="AE4" s="10" t="s">
        <v>363</v>
      </c>
      <c r="AM4" s="10" t="s">
        <v>336</v>
      </c>
      <c r="AU4" s="10" t="s">
        <v>364</v>
      </c>
      <c r="BC4" s="10" t="s">
        <v>1246</v>
      </c>
      <c r="BJ4" s="62"/>
      <c r="BK4" s="92" t="s">
        <v>1247</v>
      </c>
      <c r="CA4" s="93"/>
    </row>
    <row r="5" spans="1:168" x14ac:dyDescent="0.3">
      <c r="D5" s="20">
        <f t="shared" si="1"/>
        <v>46020</v>
      </c>
      <c r="E5" s="73">
        <f>_xll.CbondsClosePrice($B$1,D5,VLOOKUP($B$27,'Help Page'!$M:$N,2,0))</f>
        <v>95.510199999999998</v>
      </c>
      <c r="F5" s="73">
        <f t="shared" si="0"/>
        <v>95.510199999999998</v>
      </c>
      <c r="G5" s="33">
        <f>IF(F5 = "","",IFERROR(IF($G$1 = "YTM",_xll.CbondsCalcYTM($B$1,D5,F5),_xll.CbondsCalcYTP($B$1,D5,F5)),"")*100)</f>
        <v>6.6718578073492001</v>
      </c>
      <c r="J5" s="21"/>
      <c r="K5" s="17" t="s">
        <v>64</v>
      </c>
      <c r="L5" s="17" t="s">
        <v>66</v>
      </c>
      <c r="M5" s="17" t="s">
        <v>596</v>
      </c>
      <c r="N5" s="85" t="str">
        <f>IF($B$10 = "", "YTM","YTP")</f>
        <v>YTM</v>
      </c>
      <c r="O5" s="85" t="str">
        <f>IF($B$10 = "", "DURATION to maturity","DURATION to put")</f>
        <v>DURATION to maturity</v>
      </c>
      <c r="P5" s="17" t="s">
        <v>67</v>
      </c>
      <c r="Q5" s="17" t="s">
        <v>68</v>
      </c>
      <c r="R5" s="17" t="s">
        <v>69</v>
      </c>
      <c r="S5" s="17" t="s">
        <v>1287</v>
      </c>
      <c r="T5" s="17" t="s">
        <v>2052</v>
      </c>
      <c r="U5" s="17" t="s">
        <v>2059</v>
      </c>
      <c r="W5" s="17" t="s">
        <v>334</v>
      </c>
      <c r="X5" s="25" t="str">
        <f>_xll.InstrumentRatings(B1,B2,"*",)</f>
        <v>Name</v>
      </c>
      <c r="Y5" s="75" t="s">
        <v>5</v>
      </c>
      <c r="Z5" s="75" t="s">
        <v>6</v>
      </c>
      <c r="AA5" s="75" t="s">
        <v>7</v>
      </c>
      <c r="AB5" s="75" t="s">
        <v>8</v>
      </c>
      <c r="AC5" s="75" t="s">
        <v>9</v>
      </c>
      <c r="AE5" s="17" t="s">
        <v>334</v>
      </c>
      <c r="AF5" s="17" t="s">
        <v>365</v>
      </c>
      <c r="AG5" s="17" t="s">
        <v>5</v>
      </c>
      <c r="AH5" s="17" t="s">
        <v>6</v>
      </c>
      <c r="AI5" s="17" t="s">
        <v>7</v>
      </c>
      <c r="AJ5" s="17" t="s">
        <v>8</v>
      </c>
      <c r="AK5" s="17" t="s">
        <v>9</v>
      </c>
      <c r="AM5" s="17" t="s">
        <v>334</v>
      </c>
      <c r="AN5" s="25" t="str">
        <f>_xll.InstrumentRatings(B1,B2,,"*")</f>
        <v>Name</v>
      </c>
      <c r="AO5" s="75" t="s">
        <v>5</v>
      </c>
      <c r="AP5" s="75" t="s">
        <v>6</v>
      </c>
      <c r="AQ5" s="75" t="s">
        <v>7</v>
      </c>
      <c r="AR5" s="75" t="s">
        <v>8</v>
      </c>
      <c r="AS5" s="75" t="s">
        <v>9</v>
      </c>
      <c r="AU5" s="17" t="s">
        <v>334</v>
      </c>
      <c r="AV5" s="17" t="s">
        <v>365</v>
      </c>
      <c r="AW5" s="17" t="s">
        <v>5</v>
      </c>
      <c r="AX5" s="17" t="s">
        <v>6</v>
      </c>
      <c r="AY5" s="17" t="s">
        <v>7</v>
      </c>
      <c r="AZ5" s="17" t="s">
        <v>8</v>
      </c>
      <c r="BA5" s="17" t="s">
        <v>9</v>
      </c>
      <c r="BC5" s="17" t="s">
        <v>334</v>
      </c>
      <c r="BD5" s="25" t="str">
        <f>_xll.InstrumentRatings(B1,B2,,"*",4)</f>
        <v>Name</v>
      </c>
      <c r="BE5" s="75" t="s">
        <v>5</v>
      </c>
      <c r="BF5" s="75" t="s">
        <v>6</v>
      </c>
      <c r="BG5" s="75" t="s">
        <v>7</v>
      </c>
      <c r="BH5" s="75" t="s">
        <v>8</v>
      </c>
      <c r="BI5" s="75" t="s">
        <v>9</v>
      </c>
      <c r="BK5" s="17" t="s">
        <v>334</v>
      </c>
      <c r="BL5" s="90" t="s">
        <v>365</v>
      </c>
      <c r="BM5" s="17" t="s">
        <v>5</v>
      </c>
      <c r="BN5" s="17" t="s">
        <v>6</v>
      </c>
      <c r="BO5" s="17" t="s">
        <v>7</v>
      </c>
      <c r="BP5" s="17" t="s">
        <v>8</v>
      </c>
      <c r="BQ5" s="17" t="s">
        <v>9</v>
      </c>
      <c r="BT5" s="66" t="s">
        <v>71</v>
      </c>
      <c r="CA5" s="93" t="s">
        <v>1252</v>
      </c>
    </row>
    <row r="6" spans="1:168" x14ac:dyDescent="0.3">
      <c r="A6" s="10" t="s">
        <v>344</v>
      </c>
      <c r="D6" s="20">
        <f t="shared" si="1"/>
        <v>46019</v>
      </c>
      <c r="E6" s="73" t="str">
        <f>_xll.CbondsClosePrice($B$1,D6,VLOOKUP($B$27,'Help Page'!$M:$N,2,0))</f>
        <v>Нет данных</v>
      </c>
      <c r="F6" s="73">
        <f t="shared" si="0"/>
        <v>95.999499999999998</v>
      </c>
      <c r="G6" s="33">
        <f>IF(F6 = "","",IFERROR(IF($G$1 = "YTM",_xll.CbondsCalcYTM($B$1,D6,F6),_xll.CbondsCalcYTP($B$1,D6,F6)),"")*100)</f>
        <v>6.3384984228537</v>
      </c>
      <c r="J6" s="21">
        <v>1</v>
      </c>
      <c r="K6" s="27">
        <f>$B$2</f>
        <v>46023</v>
      </c>
      <c r="L6" s="28">
        <f>VLOOKUP(K6,'Help Page'!A:C,3,0)</f>
        <v>46021</v>
      </c>
      <c r="M6" s="69">
        <f>IF(_xll.CbondsClosePrice($B$1,L6,VLOOKUP($B$27,'Help Page'!$M:$N,2,0)) = "Нет данных","",_xll.CbondsClosePrice($B$1,L6,VLOOKUP($B$27,'Help Page'!$M:$N,2,0)))</f>
        <v>96.448099999999997</v>
      </c>
      <c r="N6" s="33">
        <f>IFERROR(IF($N$5 = "YTM",_xll.CbondsCalcYTM($B$1,L6,M6),_xll.CbondsCalcYTP($B$1,L6,M6)),"")</f>
        <v>6.0468882619138999E-2</v>
      </c>
      <c r="O6" s="71">
        <f>IFERROR(IF($O$5 = "DURATION to maturity",_xll.CbondsCalcDuration($B$1,L6,M6),_xll.CbondsCalcDurationToPutCall($B$1,L6,M6)),"")</f>
        <v>601.4091221246</v>
      </c>
      <c r="P6" s="31">
        <f>IFERROR(O6/365,"")</f>
        <v>1.6476962249989042</v>
      </c>
      <c r="Q6" s="33">
        <f>IFERROR(_xll.GCurve(L6,O6,$Q$4)/100,"")</f>
        <v>0.13701132908736299</v>
      </c>
      <c r="R6" s="31">
        <f>IFERROR((N6-Q6)*10000,"")</f>
        <v>-765.42446468224</v>
      </c>
      <c r="S6" s="109">
        <f>IFERROR(N6*100,"")</f>
        <v>6.0468882619138995</v>
      </c>
      <c r="T6" s="109">
        <f>IFERROR(Q6*100,"")</f>
        <v>13.7011329087363</v>
      </c>
      <c r="U6" s="27">
        <f>IF(K6 &gt;$B$7,K6,"")</f>
        <v>46023</v>
      </c>
      <c r="W6" s="18" t="str">
        <f>VLOOKUP(X6,'Help Page'!E:F,2,0)</f>
        <v>AKRA</v>
      </c>
      <c r="X6" s="73" t="s">
        <v>88</v>
      </c>
      <c r="Y6" s="73" t="s">
        <v>2144</v>
      </c>
      <c r="Z6" s="73"/>
      <c r="AA6" s="73" t="s">
        <v>2145</v>
      </c>
      <c r="AB6" s="27">
        <v>45791</v>
      </c>
      <c r="AC6" s="73"/>
      <c r="AE6" s="18" t="str">
        <f>VLOOKUP(AF6,'Help Page'!E:F,2,0)</f>
        <v>AKRA</v>
      </c>
      <c r="AF6" s="18" t="str">
        <f>IF(Y6&lt;&gt;"Снят",X6," ")</f>
        <v>AKRA-Bnd-Nsc</v>
      </c>
      <c r="AG6" s="18" t="str">
        <f>IF(Y6&lt;&gt;"Снят",Y6," ")</f>
        <v>AA+(RU)</v>
      </c>
      <c r="AH6" s="18"/>
      <c r="AI6" s="18" t="str">
        <f>IF(Y6&lt;&gt;"Снят",AA6," ")</f>
        <v>Понижен</v>
      </c>
      <c r="AJ6" s="27">
        <f>IF(Y6&lt;&gt;"Снят",AB6," ")</f>
        <v>45791</v>
      </c>
      <c r="AK6" s="18"/>
      <c r="AM6" s="18" t="str">
        <f>VLOOKUP(AN6,'Help Page'!E:F,2,0)</f>
        <v>Moody's Interfax</v>
      </c>
      <c r="AN6" s="73" t="s">
        <v>11</v>
      </c>
      <c r="AO6" s="73" t="s">
        <v>2061</v>
      </c>
      <c r="AP6" s="73"/>
      <c r="AQ6" s="73" t="s">
        <v>2062</v>
      </c>
      <c r="AR6" s="27">
        <v>42438</v>
      </c>
      <c r="AS6" s="73" t="s">
        <v>2063</v>
      </c>
      <c r="AU6" s="18" t="e">
        <f>VLOOKUP(AV6,'Help Page'!E:F,2,0)</f>
        <v>#N/A</v>
      </c>
      <c r="AV6" s="18" t="str">
        <f>IF(AO6&lt;&gt;"Снят",AN6," ")</f>
        <v xml:space="preserve"> </v>
      </c>
      <c r="AW6" s="18" t="str">
        <f>IF(AO6&lt;&gt;"Снят",AO6," ")</f>
        <v xml:space="preserve"> </v>
      </c>
      <c r="AX6" s="18" t="str">
        <f>IF(AO6&lt;&gt;"Снят",AP6," ")</f>
        <v xml:space="preserve"> </v>
      </c>
      <c r="AY6" s="18" t="str">
        <f>IF(AO6&lt;&gt;"Снят",AQ6," ")</f>
        <v xml:space="preserve"> </v>
      </c>
      <c r="AZ6" s="27" t="str">
        <f>IF(AO6&lt;&gt;"Снят",AR6," ")</f>
        <v xml:space="preserve"> </v>
      </c>
      <c r="BA6" s="18" t="str">
        <f>IF(AO6&lt;&gt;"Снят",AS6," ")</f>
        <v xml:space="preserve"> </v>
      </c>
      <c r="BC6" s="18" t="e">
        <f>VLOOKUP(BD6,'Help Page'!E:F,2,0)</f>
        <v>#N/A</v>
      </c>
      <c r="BD6" s="73"/>
      <c r="BE6" s="73"/>
      <c r="BF6" s="73"/>
      <c r="BG6" s="73"/>
      <c r="BH6" s="73"/>
      <c r="BI6" s="73"/>
      <c r="BJ6" s="74"/>
      <c r="BK6" s="18" t="e">
        <f>VLOOKUP(BL6,'Help Page'!E:F,2,0)</f>
        <v>#N/A</v>
      </c>
      <c r="BL6" s="18">
        <f>IF(BE6&lt;&gt;"Снят",BD6," ")</f>
        <v>0</v>
      </c>
      <c r="BM6" s="18">
        <f t="shared" ref="BM6:BM28" si="2">IF(BE6&lt;&gt;"Снят",BE6," ")</f>
        <v>0</v>
      </c>
      <c r="BN6" s="18">
        <f t="shared" ref="BN6:BN28" si="3">IF(BE6&lt;&gt;"Снят",BF6," ")</f>
        <v>0</v>
      </c>
      <c r="BO6" s="18">
        <f t="shared" ref="BO6:BO28" si="4">IF(BE6&lt;&gt;"Снят",BG6," ")</f>
        <v>0</v>
      </c>
      <c r="BP6" s="27">
        <f t="shared" ref="BP6:BP28" si="5">IF(BE6&lt;&gt;"Снят",BH6," ")</f>
        <v>0</v>
      </c>
      <c r="BQ6" s="18">
        <f t="shared" ref="BQ6:BQ28" si="6">IF(BE6&lt;&gt;"Снят",BI6," ")</f>
        <v>0</v>
      </c>
      <c r="BT6" s="17" t="s">
        <v>334</v>
      </c>
      <c r="BU6" s="17" t="s">
        <v>333</v>
      </c>
      <c r="BV6" s="17" t="s">
        <v>59</v>
      </c>
      <c r="BW6" s="17" t="s">
        <v>1413</v>
      </c>
      <c r="CA6" s="17" t="s">
        <v>1249</v>
      </c>
      <c r="CB6" s="17" t="s">
        <v>1251</v>
      </c>
      <c r="CC6" s="17" t="s">
        <v>1250</v>
      </c>
      <c r="CD6" s="17" t="s">
        <v>358</v>
      </c>
      <c r="CF6" s="17" t="s">
        <v>1764</v>
      </c>
      <c r="CG6" s="18"/>
      <c r="CH6" s="17" t="s">
        <v>1</v>
      </c>
      <c r="CI6" s="17" t="s">
        <v>1607</v>
      </c>
      <c r="CJ6" s="17" t="s">
        <v>2057</v>
      </c>
      <c r="CK6" s="17" t="s">
        <v>1448</v>
      </c>
      <c r="CL6" s="17" t="s">
        <v>2054</v>
      </c>
      <c r="CM6" s="17" t="s">
        <v>2055</v>
      </c>
      <c r="CN6" s="1"/>
      <c r="CO6" s="1"/>
      <c r="CQ6" s="1"/>
      <c r="CS6" s="1"/>
      <c r="CT6" s="1"/>
      <c r="CU6" s="1"/>
      <c r="CV6" s="1"/>
      <c r="CW6" s="1"/>
      <c r="CX6" s="1"/>
      <c r="CZ6" s="1"/>
      <c r="DA6" s="1"/>
      <c r="DB6" s="1"/>
      <c r="DC6" s="1"/>
      <c r="DD6" s="1"/>
      <c r="DE6" s="1"/>
      <c r="DG6" s="1"/>
      <c r="DH6" s="1"/>
      <c r="DI6" s="1"/>
      <c r="DK6" s="1"/>
      <c r="DM6" s="1"/>
      <c r="EC6" s="1"/>
      <c r="ED6" s="1"/>
      <c r="EG6" s="1"/>
      <c r="EH6" s="133"/>
    </row>
    <row r="7" spans="1:168" x14ac:dyDescent="0.3">
      <c r="A7" s="17" t="s">
        <v>1183</v>
      </c>
      <c r="B7" s="32">
        <f>_xll.ReferenceParams($B$1,A7)</f>
        <v>44820</v>
      </c>
      <c r="D7" s="20">
        <f t="shared" si="1"/>
        <v>46018</v>
      </c>
      <c r="E7" s="73" t="str">
        <f>_xll.CbondsClosePrice($B$1,D7,VLOOKUP($B$27,'Help Page'!$M:$N,2,0))</f>
        <v>Нет данных</v>
      </c>
      <c r="F7" s="73">
        <f t="shared" si="0"/>
        <v>95.999499999999998</v>
      </c>
      <c r="G7" s="33">
        <f>IF(F7 = "","",IFERROR(IF($G$1 = "YTM",_xll.CbondsCalcYTM($B$1,D7,F7),_xll.CbondsCalcYTP($B$1,D7,F7)),"")*100)</f>
        <v>6.3343639277683996</v>
      </c>
      <c r="J7" s="21">
        <v>2</v>
      </c>
      <c r="K7" s="27">
        <f>VLOOKUP(K6,'Help Page'!A:B,2,0)</f>
        <v>45992</v>
      </c>
      <c r="L7" s="28">
        <f>VLOOKUP(K7,'Help Page'!A:C,3,0)</f>
        <v>45989</v>
      </c>
      <c r="M7" s="69">
        <f>IF(_xll.CbondsClosePrice($B$1,L7,VLOOKUP($B$27,'Help Page'!$M:$N,2,0)) = "Нет данных","",_xll.CbondsClosePrice($B$1,L7,VLOOKUP($B$27,'Help Page'!$M:$N,2,0)))</f>
        <v>95.8</v>
      </c>
      <c r="N7" s="33">
        <f>IFERROR(IF($N$5 = "YTM",_xll.CbondsCalcYTM($B$1,L7,M7),_xll.CbondsCalcYTP($B$1,L7,M7)),"")</f>
        <v>6.3486276212589995E-2</v>
      </c>
      <c r="O7" s="71">
        <f>IFERROR(IF($O$5 = "DURATION to maturity",_xll.CbondsCalcDuration($B$1,L7,M7),_xll.CbondsCalcDurationToPutCall($B$1,L7,M7)),"")</f>
        <v>627.45836559265001</v>
      </c>
      <c r="P7" s="31">
        <f t="shared" ref="P7:P18" si="7">IFERROR(O7/365,"")</f>
        <v>1.7190640153223289</v>
      </c>
      <c r="Q7" s="33">
        <f>IFERROR(_xll.GCurve(L7,O7,$Q$4)/100,"")</f>
        <v>0.144576354499312</v>
      </c>
      <c r="R7" s="31">
        <f t="shared" ref="R7:R18" si="8">IFERROR((N7-Q7)*10000,"")</f>
        <v>-810.90078286722007</v>
      </c>
      <c r="S7" s="109">
        <f t="shared" ref="S7:S18" si="9">IFERROR(N7*100,"")</f>
        <v>6.3486276212589994</v>
      </c>
      <c r="T7" s="109">
        <f t="shared" ref="T7:T18" si="10">IFERROR(Q7*100,"")</f>
        <v>14.4576354499312</v>
      </c>
      <c r="U7" s="27">
        <f t="shared" ref="U7:U18" si="11">IF(K7 &gt;$B$7,K7,"")</f>
        <v>45992</v>
      </c>
      <c r="W7" s="18" t="str">
        <f>VLOOKUP(X7,'Help Page'!E:F,2,0)</f>
        <v>NCR</v>
      </c>
      <c r="X7" s="73" t="s">
        <v>137</v>
      </c>
      <c r="Y7" s="73" t="s">
        <v>2099</v>
      </c>
      <c r="Z7" s="73"/>
      <c r="AA7" s="73" t="s">
        <v>1290</v>
      </c>
      <c r="AB7" s="27">
        <v>45776</v>
      </c>
      <c r="AC7" s="73"/>
      <c r="AE7" s="18" t="str">
        <f>VLOOKUP(AF7,'Help Page'!E:F,2,0)</f>
        <v>NCR</v>
      </c>
      <c r="AF7" s="18" t="str">
        <f t="shared" ref="AF7:AF28" si="12">IF(Y7&lt;&gt;"Снят",X7," ")</f>
        <v>NCR-Bnd-Nsc</v>
      </c>
      <c r="AG7" s="18" t="str">
        <f t="shared" ref="AG7:AG28" si="13">IF(Y7&lt;&gt;"Снят",Y7," ")</f>
        <v>AAA.ru</v>
      </c>
      <c r="AH7" s="18"/>
      <c r="AI7" s="18" t="str">
        <f t="shared" ref="AI7:AI28" si="14">IF(Y7&lt;&gt;"Снят",AA7," ")</f>
        <v>Подтвержден</v>
      </c>
      <c r="AJ7" s="27">
        <f t="shared" ref="AJ7:AJ28" si="15">IF(Y7&lt;&gt;"Снят",AB7," ")</f>
        <v>45776</v>
      </c>
      <c r="AK7" s="18"/>
      <c r="AM7" s="18" t="str">
        <f>VLOOKUP(AN7,'Help Page'!E:F,2,0)</f>
        <v>Expert RA</v>
      </c>
      <c r="AN7" s="73" t="s">
        <v>18</v>
      </c>
      <c r="AO7" s="73" t="s">
        <v>2061</v>
      </c>
      <c r="AP7" s="73"/>
      <c r="AQ7" s="73" t="s">
        <v>2062</v>
      </c>
      <c r="AR7" s="27">
        <v>44113</v>
      </c>
      <c r="AS7" s="73" t="s">
        <v>2063</v>
      </c>
      <c r="AU7" s="18" t="e">
        <f>VLOOKUP(AV7,'Help Page'!E:F,2,0)</f>
        <v>#N/A</v>
      </c>
      <c r="AV7" s="18" t="str">
        <f t="shared" ref="AV7:AV28" si="16">IF(AO7&lt;&gt;"Снят",AN7," ")</f>
        <v xml:space="preserve"> </v>
      </c>
      <c r="AW7" s="18" t="str">
        <f t="shared" ref="AW7:AW28" si="17">IF(AO7&lt;&gt;"Снят",AO7," ")</f>
        <v xml:space="preserve"> </v>
      </c>
      <c r="AX7" s="18" t="str">
        <f t="shared" ref="AX7:AX28" si="18">IF(AO7&lt;&gt;"Снят",AP7," ")</f>
        <v xml:space="preserve"> </v>
      </c>
      <c r="AY7" s="18" t="str">
        <f t="shared" ref="AY7:AY28" si="19">IF(AO7&lt;&gt;"Снят",AQ7," ")</f>
        <v xml:space="preserve"> </v>
      </c>
      <c r="AZ7" s="27" t="str">
        <f t="shared" ref="AZ7:AZ28" si="20">IF(AO7&lt;&gt;"Снят",AR7," ")</f>
        <v xml:space="preserve"> </v>
      </c>
      <c r="BA7" s="18" t="str">
        <f t="shared" ref="BA7:BA28" si="21">IF(AO7&lt;&gt;"Снят",AS7," ")</f>
        <v xml:space="preserve"> </v>
      </c>
      <c r="BC7" s="18" t="e">
        <f>VLOOKUP(BD7,'Help Page'!E:F,2,0)</f>
        <v>#N/A</v>
      </c>
      <c r="BD7" s="73"/>
      <c r="BE7" s="73"/>
      <c r="BF7" s="73"/>
      <c r="BG7" s="73"/>
      <c r="BH7" s="73"/>
      <c r="BI7" s="73"/>
      <c r="BK7" s="18" t="e">
        <f>VLOOKUP(BL7,'Help Page'!E:F,2,0)</f>
        <v>#N/A</v>
      </c>
      <c r="BL7" s="18">
        <f t="shared" ref="BL7:BL28" si="22">IF(BE7&lt;&gt;"Снят",BD7," ")</f>
        <v>0</v>
      </c>
      <c r="BM7" s="18">
        <f t="shared" si="2"/>
        <v>0</v>
      </c>
      <c r="BN7" s="18">
        <f t="shared" si="3"/>
        <v>0</v>
      </c>
      <c r="BO7" s="18">
        <f t="shared" si="4"/>
        <v>0</v>
      </c>
      <c r="BP7" s="27">
        <f t="shared" si="5"/>
        <v>0</v>
      </c>
      <c r="BQ7" s="18">
        <f t="shared" si="6"/>
        <v>0</v>
      </c>
      <c r="BT7" s="18" t="s">
        <v>1320</v>
      </c>
      <c r="BU7" s="18" t="str">
        <f>IFERROR(IF(VLOOKUP(BT7,AE:AK,7,0)="",VLOOKUP(BT7,AE:AK,3,0),""),"")</f>
        <v/>
      </c>
      <c r="BV7" s="28" t="str">
        <f>IFERROR(IF(VLOOKUP(BT7,AE:AK,7,0)="",VLOOKUP(BT7,AE:AK,6,0),""),"")</f>
        <v/>
      </c>
      <c r="BW7" s="18" t="s">
        <v>28</v>
      </c>
      <c r="CA7" s="94" t="s">
        <v>1253</v>
      </c>
      <c r="CB7" s="81" t="s">
        <v>1256</v>
      </c>
      <c r="CC7" s="81">
        <v>9201</v>
      </c>
      <c r="CD7" s="109"/>
      <c r="CF7" s="18" t="str">
        <f>CONCATENATE(_xll.ReferenceParams($B$1,CF6),":INN")</f>
        <v>7705392230:INN</v>
      </c>
      <c r="CG7" s="18"/>
      <c r="CH7" s="18" t="s">
        <v>2100</v>
      </c>
      <c r="CI7" s="18" t="str">
        <f>_xll.ReferenceParams(CH7,$CI$6 )</f>
        <v>Погашен</v>
      </c>
      <c r="CJ7" s="27">
        <f>_xll.ReferenceParams(CH7,$CJ$6 )</f>
        <v>40738</v>
      </c>
      <c r="CK7" s="27" t="str">
        <f>_xll.ReferenceParams(CH7,$CK$6)</f>
        <v>Облигация</v>
      </c>
      <c r="CL7" s="18">
        <f t="shared" ref="CL7:CL38" si="23">IF(CH7 = "","",IF(AND(CI7="В обращении",CJ7&lt;=$B$2,CK7 = "Облигация"),1,0))</f>
        <v>0</v>
      </c>
      <c r="CM7" s="135">
        <f>SUM(CL7:CL200)</f>
        <v>13</v>
      </c>
      <c r="DM7" s="1"/>
    </row>
    <row r="8" spans="1:168" x14ac:dyDescent="0.3">
      <c r="A8" s="17" t="s">
        <v>342</v>
      </c>
      <c r="B8" s="30">
        <f>_xll.ReferenceParams($B$1,A8)</f>
        <v>1000000000</v>
      </c>
      <c r="D8" s="20">
        <f t="shared" si="1"/>
        <v>46017</v>
      </c>
      <c r="E8" s="73">
        <f>_xll.CbondsClosePrice($B$1,D8,VLOOKUP($B$27,'Help Page'!$M:$N,2,0))</f>
        <v>95.999499999999998</v>
      </c>
      <c r="F8" s="73">
        <f t="shared" si="0"/>
        <v>95.999499999999998</v>
      </c>
      <c r="G8" s="33">
        <f>IF(F8 = "","",IFERROR(IF($G$1 = "YTM",_xll.CbondsCalcYTM($B$1,D8,F8),_xll.CbondsCalcYTP($B$1,D8,F8)),"")*100)</f>
        <v>6.3302439505953005</v>
      </c>
      <c r="J8" s="21">
        <v>3</v>
      </c>
      <c r="K8" s="27">
        <f>VLOOKUP(K7,'Help Page'!A:B,2,0)</f>
        <v>45962</v>
      </c>
      <c r="L8" s="28">
        <f>VLOOKUP(K8,'Help Page'!A:C,3,0)</f>
        <v>45961</v>
      </c>
      <c r="M8" s="69">
        <f>IF(_xll.CbondsClosePrice($B$1,L8,VLOOKUP($B$27,'Help Page'!$M:$N,2,0)) = "Нет данных","",_xll.CbondsClosePrice($B$1,L8,VLOOKUP($B$27,'Help Page'!$M:$N,2,0)))</f>
        <v>95.905500000000004</v>
      </c>
      <c r="N8" s="33">
        <f>IFERROR(IF($N$5 = "YTM",_xll.CbondsCalcYTM($B$1,L8,M8),_xll.CbondsCalcYTP($B$1,L8,M8)),"")</f>
        <v>6.1786891364558998E-2</v>
      </c>
      <c r="O8" s="71">
        <f>IFERROR(IF($O$5 = "DURATION to maturity",_xll.CbondsCalcDuration($B$1,L8,M8),_xll.CbondsCalcDurationToPutCall($B$1,L8,M8)),"")</f>
        <v>655.50325135306002</v>
      </c>
      <c r="P8" s="31">
        <f t="shared" si="7"/>
        <v>1.795899318775507</v>
      </c>
      <c r="Q8" s="33">
        <f>IFERROR(_xll.GCurve(L8,O8,$Q$4)/100,"")</f>
        <v>0.142434955653097</v>
      </c>
      <c r="R8" s="31">
        <f t="shared" si="8"/>
        <v>-806.48064288537989</v>
      </c>
      <c r="S8" s="109">
        <f t="shared" si="9"/>
        <v>6.1786891364558993</v>
      </c>
      <c r="T8" s="109">
        <f t="shared" si="10"/>
        <v>14.243495565309699</v>
      </c>
      <c r="U8" s="27">
        <f t="shared" si="11"/>
        <v>45962</v>
      </c>
      <c r="W8" s="18" t="e">
        <f>VLOOKUP(X8,'Help Page'!E:F,2,0)</f>
        <v>#N/A</v>
      </c>
      <c r="X8" s="73"/>
      <c r="Y8" s="73"/>
      <c r="Z8" s="73"/>
      <c r="AA8" s="73"/>
      <c r="AB8" s="73"/>
      <c r="AC8" s="73"/>
      <c r="AE8" s="18" t="e">
        <f>VLOOKUP(AF8,'Help Page'!E:F,2,0)</f>
        <v>#N/A</v>
      </c>
      <c r="AF8" s="18">
        <f t="shared" si="12"/>
        <v>0</v>
      </c>
      <c r="AG8" s="18">
        <f t="shared" si="13"/>
        <v>0</v>
      </c>
      <c r="AH8" s="18"/>
      <c r="AI8" s="18">
        <f t="shared" si="14"/>
        <v>0</v>
      </c>
      <c r="AJ8" s="27">
        <f t="shared" si="15"/>
        <v>0</v>
      </c>
      <c r="AK8" s="18"/>
      <c r="AM8" s="18" t="str">
        <f>VLOOKUP(AN8,'Help Page'!E:F,2,0)</f>
        <v>AKRA</v>
      </c>
      <c r="AN8" s="73" t="s">
        <v>154</v>
      </c>
      <c r="AO8" s="73" t="s">
        <v>2061</v>
      </c>
      <c r="AP8" s="73"/>
      <c r="AQ8" s="73" t="s">
        <v>2062</v>
      </c>
      <c r="AR8" s="27">
        <v>45839</v>
      </c>
      <c r="AS8" s="73" t="s">
        <v>2063</v>
      </c>
      <c r="AU8" s="18" t="e">
        <f>VLOOKUP(AV8,'Help Page'!E:F,2,0)</f>
        <v>#N/A</v>
      </c>
      <c r="AV8" s="18" t="str">
        <f t="shared" si="16"/>
        <v xml:space="preserve"> </v>
      </c>
      <c r="AW8" s="18" t="str">
        <f t="shared" si="17"/>
        <v xml:space="preserve"> </v>
      </c>
      <c r="AX8" s="18" t="str">
        <f t="shared" si="18"/>
        <v xml:space="preserve"> </v>
      </c>
      <c r="AY8" s="18" t="str">
        <f t="shared" si="19"/>
        <v xml:space="preserve"> </v>
      </c>
      <c r="AZ8" s="27" t="str">
        <f t="shared" si="20"/>
        <v xml:space="preserve"> </v>
      </c>
      <c r="BA8" s="18" t="str">
        <f t="shared" si="21"/>
        <v xml:space="preserve"> </v>
      </c>
      <c r="BC8" s="18" t="e">
        <f>VLOOKUP(BD8,'Help Page'!E:F,2,0)</f>
        <v>#N/A</v>
      </c>
      <c r="BD8" s="73"/>
      <c r="BE8" s="73"/>
      <c r="BF8" s="73"/>
      <c r="BG8" s="73"/>
      <c r="BH8" s="73"/>
      <c r="BI8" s="73"/>
      <c r="BK8" s="18" t="e">
        <f>VLOOKUP(BL8,'Help Page'!E:F,2,0)</f>
        <v>#N/A</v>
      </c>
      <c r="BL8" s="18">
        <f t="shared" si="22"/>
        <v>0</v>
      </c>
      <c r="BM8" s="18">
        <f t="shared" si="2"/>
        <v>0</v>
      </c>
      <c r="BN8" s="18">
        <f t="shared" si="3"/>
        <v>0</v>
      </c>
      <c r="BO8" s="18">
        <f t="shared" si="4"/>
        <v>0</v>
      </c>
      <c r="BP8" s="27">
        <f t="shared" si="5"/>
        <v>0</v>
      </c>
      <c r="BQ8" s="18">
        <f t="shared" si="6"/>
        <v>0</v>
      </c>
      <c r="BT8" s="18" t="s">
        <v>1336</v>
      </c>
      <c r="BU8" s="18" t="str">
        <f>IFERROR(IF(VLOOKUP(BT8,AE:AK,7,0)="",VLOOKUP(BT8,AE:AK,3,0),""),"")</f>
        <v>AA+(RU)</v>
      </c>
      <c r="BV8" s="28">
        <f>IFERROR(IF(VLOOKUP(BT8,AE:AK,7,0)="",VLOOKUP(BT8,AE:AK,6,0),""),"")</f>
        <v>45791</v>
      </c>
      <c r="BW8" s="18" t="s">
        <v>72</v>
      </c>
      <c r="CA8" s="94" t="s">
        <v>1294</v>
      </c>
      <c r="CB8" s="81" t="s">
        <v>1291</v>
      </c>
      <c r="CC8" s="81">
        <v>80471</v>
      </c>
      <c r="CD8" s="109"/>
      <c r="CF8" s="18"/>
      <c r="CG8" s="18"/>
      <c r="CH8" s="18" t="s">
        <v>2101</v>
      </c>
      <c r="CI8" s="18" t="str">
        <f>_xll.ReferenceParams(CH8,$CI$6 )</f>
        <v>В обращении</v>
      </c>
      <c r="CJ8" s="27">
        <f>_xll.ReferenceParams(CH8,$CJ$6 )</f>
        <v>39657</v>
      </c>
      <c r="CK8" s="27" t="str">
        <f>_xll.ReferenceParams(CH8,$CK$6)</f>
        <v>Акция</v>
      </c>
      <c r="CL8" s="18">
        <f t="shared" si="23"/>
        <v>0</v>
      </c>
      <c r="CM8" s="18"/>
      <c r="DM8" s="1"/>
    </row>
    <row r="9" spans="1:168" x14ac:dyDescent="0.3">
      <c r="A9" s="17" t="s">
        <v>1066</v>
      </c>
      <c r="B9" s="28">
        <f>_xll.ReferenceParams($B$1,A9)</f>
        <v>46640</v>
      </c>
      <c r="D9" s="20">
        <f t="shared" si="1"/>
        <v>46016</v>
      </c>
      <c r="E9" s="73">
        <f>_xll.CbondsClosePrice($B$1,D9,VLOOKUP($B$27,'Help Page'!$M:$N,2,0))</f>
        <v>95.223799999999997</v>
      </c>
      <c r="F9" s="73">
        <f t="shared" si="0"/>
        <v>95.223799999999997</v>
      </c>
      <c r="G9" s="33">
        <f>IF(F9 = "","",IFERROR(IF($G$1 = "YTM",_xll.CbondsCalcYTM($B$1,D9,F9),_xll.CbondsCalcYTP($B$1,D9,F9)),"")*100)</f>
        <v>6.8459901829826002</v>
      </c>
      <c r="J9" s="21">
        <v>4</v>
      </c>
      <c r="K9" s="27">
        <f>VLOOKUP(K8,'Help Page'!A:B,2,0)</f>
        <v>45931</v>
      </c>
      <c r="L9" s="28">
        <f>VLOOKUP(K9,'Help Page'!A:C,3,0)</f>
        <v>45930</v>
      </c>
      <c r="M9" s="69">
        <f>IF(_xll.CbondsClosePrice($B$1,L9,VLOOKUP($B$27,'Help Page'!$M:$N,2,0)) = "Нет данных","",_xll.CbondsClosePrice($B$1,L9,VLOOKUP($B$27,'Help Page'!$M:$N,2,0)))</f>
        <v>96.997399999999999</v>
      </c>
      <c r="N9" s="33">
        <f>IFERROR(IF($N$5 = "YTM",_xll.CbondsCalcYTM($B$1,L9,M9),_xll.CbondsCalcYTP($B$1,L9,M9)),"")</f>
        <v>5.4407884011898E-2</v>
      </c>
      <c r="O9" s="71">
        <f>IFERROR(IF($O$5 = "DURATION to maturity",_xll.CbondsCalcDuration($B$1,L9,M9),_xll.CbondsCalcDurationToPutCall($B$1,L9,M9)),"")</f>
        <v>686.69791674611997</v>
      </c>
      <c r="P9" s="31">
        <f t="shared" si="7"/>
        <v>1.8813641554688219</v>
      </c>
      <c r="Q9" s="33">
        <f>IFERROR(_xll.GCurve(L9,O9,$Q$4)/100,"")</f>
        <v>0.143966566903207</v>
      </c>
      <c r="R9" s="31">
        <f t="shared" si="8"/>
        <v>-895.58682891309002</v>
      </c>
      <c r="S9" s="109">
        <f t="shared" si="9"/>
        <v>5.4407884011898</v>
      </c>
      <c r="T9" s="109">
        <f t="shared" si="10"/>
        <v>14.3966566903207</v>
      </c>
      <c r="U9" s="27">
        <f t="shared" si="11"/>
        <v>45931</v>
      </c>
      <c r="W9" s="18" t="e">
        <f>VLOOKUP(X9,'Help Page'!E:F,2,0)</f>
        <v>#N/A</v>
      </c>
      <c r="X9" s="73"/>
      <c r="Y9" s="73"/>
      <c r="Z9" s="73"/>
      <c r="AA9" s="73"/>
      <c r="AB9" s="73"/>
      <c r="AC9" s="73"/>
      <c r="AE9" s="18" t="e">
        <f>VLOOKUP(AF9,'Help Page'!E:F,2,0)</f>
        <v>#N/A</v>
      </c>
      <c r="AF9" s="18">
        <f t="shared" si="12"/>
        <v>0</v>
      </c>
      <c r="AG9" s="18">
        <f t="shared" si="13"/>
        <v>0</v>
      </c>
      <c r="AH9" s="18"/>
      <c r="AI9" s="18">
        <f t="shared" si="14"/>
        <v>0</v>
      </c>
      <c r="AJ9" s="27">
        <f t="shared" si="15"/>
        <v>0</v>
      </c>
      <c r="AK9" s="18"/>
      <c r="AM9" s="18" t="str">
        <f>VLOOKUP(AN9,'Help Page'!E:F,2,0)</f>
        <v>Dagong</v>
      </c>
      <c r="AN9" s="73" t="s">
        <v>158</v>
      </c>
      <c r="AO9" s="73" t="s">
        <v>2097</v>
      </c>
      <c r="AP9" s="73" t="s">
        <v>2056</v>
      </c>
      <c r="AQ9" s="73" t="s">
        <v>2064</v>
      </c>
      <c r="AR9" s="27">
        <v>42310</v>
      </c>
      <c r="AS9" s="73" t="s">
        <v>2063</v>
      </c>
      <c r="AU9" s="18" t="str">
        <f>VLOOKUP(AV9,'Help Page'!E:F,2,0)</f>
        <v>Dagong</v>
      </c>
      <c r="AV9" s="18" t="str">
        <f t="shared" si="16"/>
        <v>DGN-I-Cr&amp;D-LT-Isc-Icur</v>
      </c>
      <c r="AW9" s="18" t="str">
        <f t="shared" si="17"/>
        <v>BBB+</v>
      </c>
      <c r="AX9" s="18" t="str">
        <f t="shared" si="18"/>
        <v>Стабильный</v>
      </c>
      <c r="AY9" s="18" t="str">
        <f t="shared" si="19"/>
        <v>Установлен</v>
      </c>
      <c r="AZ9" s="27">
        <f t="shared" si="20"/>
        <v>42310</v>
      </c>
      <c r="BA9" s="18" t="str">
        <f t="shared" si="21"/>
        <v>Issuer</v>
      </c>
      <c r="BC9" s="18" t="e">
        <f>VLOOKUP(BD9,'Help Page'!E:F,2,0)</f>
        <v>#N/A</v>
      </c>
      <c r="BD9" s="73"/>
      <c r="BE9" s="73"/>
      <c r="BF9" s="73"/>
      <c r="BG9" s="73"/>
      <c r="BH9" s="73"/>
      <c r="BI9" s="73"/>
      <c r="BK9" s="18" t="e">
        <f>VLOOKUP(BL9,'Help Page'!E:F,2,0)</f>
        <v>#N/A</v>
      </c>
      <c r="BL9" s="18">
        <f t="shared" si="22"/>
        <v>0</v>
      </c>
      <c r="BM9" s="18">
        <f t="shared" si="2"/>
        <v>0</v>
      </c>
      <c r="BN9" s="18">
        <f t="shared" si="3"/>
        <v>0</v>
      </c>
      <c r="BO9" s="18">
        <f t="shared" si="4"/>
        <v>0</v>
      </c>
      <c r="BP9" s="27">
        <f t="shared" si="5"/>
        <v>0</v>
      </c>
      <c r="BQ9" s="18">
        <f t="shared" si="6"/>
        <v>0</v>
      </c>
      <c r="BT9" s="18" t="s">
        <v>1337</v>
      </c>
      <c r="BU9" s="18" t="str">
        <f>IFERROR(IF(VLOOKUP(BT9,AE:AK,7,0)="",VLOOKUP(BT9,AE:AK,3,0),""),"")</f>
        <v>AAA.ru</v>
      </c>
      <c r="BV9" s="28">
        <f>IFERROR(IF(VLOOKUP(BT9,AE:AK,7,0)="",VLOOKUP(BT9,AE:AK,6,0),""),"")</f>
        <v>45776</v>
      </c>
      <c r="BW9" s="18" t="s">
        <v>1414</v>
      </c>
      <c r="CA9" s="94" t="s">
        <v>1295</v>
      </c>
      <c r="CB9" s="81" t="s">
        <v>1292</v>
      </c>
      <c r="CC9" s="81">
        <v>80479</v>
      </c>
      <c r="CD9" s="109"/>
      <c r="CF9" s="18"/>
      <c r="CG9" s="18"/>
      <c r="CH9" s="18" t="s">
        <v>2102</v>
      </c>
      <c r="CI9" s="18" t="str">
        <f>_xll.ReferenceParams(CH9,$CI$6 )</f>
        <v>Погашен</v>
      </c>
      <c r="CJ9" s="27">
        <f>_xll.ReferenceParams(CH9,$CJ$6 )</f>
        <v>40987</v>
      </c>
      <c r="CK9" s="27" t="str">
        <f>_xll.ReferenceParams(CH9,$CK$6)</f>
        <v>Облигация</v>
      </c>
      <c r="CL9" s="18">
        <f t="shared" si="23"/>
        <v>0</v>
      </c>
      <c r="CM9" s="18"/>
      <c r="DM9" s="1"/>
    </row>
    <row r="10" spans="1:168" x14ac:dyDescent="0.3">
      <c r="A10" s="17" t="s">
        <v>346</v>
      </c>
      <c r="B10" s="28" t="str">
        <f>_xll.BondDateParams($B$1,$L$6,A10)</f>
        <v/>
      </c>
      <c r="D10" s="20">
        <f t="shared" si="1"/>
        <v>46015</v>
      </c>
      <c r="E10" s="73">
        <f>_xll.CbondsClosePrice($B$1,D10,VLOOKUP($B$27,'Help Page'!$M:$N,2,0))</f>
        <v>95.490600000000001</v>
      </c>
      <c r="F10" s="73">
        <f t="shared" si="0"/>
        <v>95.490600000000001</v>
      </c>
      <c r="G10" s="33">
        <f>IF(F10 = "","",IFERROR(IF($G$1 = "YTM",_xll.CbondsCalcYTM($B$1,D10,F10),_xll.CbondsCalcYTP($B$1,D10,F10)),"")*100)</f>
        <v>6.6617873923469002</v>
      </c>
      <c r="J10" s="21">
        <v>5</v>
      </c>
      <c r="K10" s="27">
        <f>VLOOKUP(K9,'Help Page'!A:B,2,0)</f>
        <v>45901</v>
      </c>
      <c r="L10" s="28">
        <f>VLOOKUP(K10,'Help Page'!A:C,3,0)</f>
        <v>45898</v>
      </c>
      <c r="M10" s="69">
        <f>IF(_xll.CbondsClosePrice($B$1,L10,VLOOKUP($B$27,'Help Page'!$M:$N,2,0)) = "Нет данных","",_xll.CbondsClosePrice($B$1,L10,VLOOKUP($B$27,'Help Page'!$M:$N,2,0)))</f>
        <v>97.566599999999994</v>
      </c>
      <c r="N10" s="33">
        <f>IFERROR(IF($N$5 = "YTM",_xll.CbondsCalcYTM($B$1,L10,M10),_xll.CbondsCalcYTP($B$1,L10,M10)),"")</f>
        <v>5.0563417210084997E-2</v>
      </c>
      <c r="O10" s="71">
        <f>IFERROR(IF($O$5 = "DURATION to maturity",_xll.CbondsCalcDuration($B$1,L10,M10),_xll.CbondsCalcDurationToPutCall($B$1,L10,M10)),"")</f>
        <v>712.20424471061995</v>
      </c>
      <c r="P10" s="31">
        <f t="shared" si="7"/>
        <v>1.9512445060564929</v>
      </c>
      <c r="Q10" s="33">
        <f>IFERROR(_xll.GCurve(L10,O10,$Q$4)/100,"")</f>
        <v>0.13781422837685001</v>
      </c>
      <c r="R10" s="31">
        <f t="shared" si="8"/>
        <v>-872.50811166765004</v>
      </c>
      <c r="S10" s="109">
        <f t="shared" si="9"/>
        <v>5.0563417210084998</v>
      </c>
      <c r="T10" s="109">
        <f t="shared" si="10"/>
        <v>13.781422837685001</v>
      </c>
      <c r="U10" s="27">
        <f t="shared" si="11"/>
        <v>45901</v>
      </c>
      <c r="W10" s="18" t="e">
        <f>VLOOKUP(X10,'Help Page'!E:F,2,0)</f>
        <v>#N/A</v>
      </c>
      <c r="X10" s="73"/>
      <c r="Y10" s="73"/>
      <c r="Z10" s="73"/>
      <c r="AA10" s="73"/>
      <c r="AB10" s="73"/>
      <c r="AC10" s="73"/>
      <c r="AE10" s="18" t="e">
        <f>VLOOKUP(AF10,'Help Page'!E:F,2,0)</f>
        <v>#N/A</v>
      </c>
      <c r="AF10" s="18">
        <f t="shared" si="12"/>
        <v>0</v>
      </c>
      <c r="AG10" s="18">
        <f t="shared" si="13"/>
        <v>0</v>
      </c>
      <c r="AH10" s="18"/>
      <c r="AI10" s="18">
        <f t="shared" si="14"/>
        <v>0</v>
      </c>
      <c r="AJ10" s="27">
        <f t="shared" si="15"/>
        <v>0</v>
      </c>
      <c r="AK10" s="18"/>
      <c r="AM10" s="18" t="str">
        <f>VLOOKUP(AN10,'Help Page'!E:F,2,0)</f>
        <v>Dagong</v>
      </c>
      <c r="AN10" s="73" t="s">
        <v>159</v>
      </c>
      <c r="AO10" s="73" t="s">
        <v>2097</v>
      </c>
      <c r="AP10" s="73" t="s">
        <v>2056</v>
      </c>
      <c r="AQ10" s="73" t="s">
        <v>2064</v>
      </c>
      <c r="AR10" s="27">
        <v>42310</v>
      </c>
      <c r="AS10" s="73" t="s">
        <v>2063</v>
      </c>
      <c r="AU10" s="18" t="str">
        <f>VLOOKUP(AV10,'Help Page'!E:F,2,0)</f>
        <v>Dagong</v>
      </c>
      <c r="AV10" s="18" t="str">
        <f t="shared" si="16"/>
        <v>DGN-I-Cr&amp;D-LT-Isc-Ncur</v>
      </c>
      <c r="AW10" s="18" t="str">
        <f t="shared" si="17"/>
        <v>BBB+</v>
      </c>
      <c r="AX10" s="18" t="str">
        <f t="shared" si="18"/>
        <v>Стабильный</v>
      </c>
      <c r="AY10" s="18" t="str">
        <f t="shared" si="19"/>
        <v>Установлен</v>
      </c>
      <c r="AZ10" s="27">
        <f t="shared" si="20"/>
        <v>42310</v>
      </c>
      <c r="BA10" s="18" t="str">
        <f t="shared" si="21"/>
        <v>Issuer</v>
      </c>
      <c r="BC10" s="18" t="e">
        <f>VLOOKUP(BD10,'Help Page'!E:F,2,0)</f>
        <v>#N/A</v>
      </c>
      <c r="BD10" s="73"/>
      <c r="BE10" s="73"/>
      <c r="BF10" s="73"/>
      <c r="BG10" s="73"/>
      <c r="BH10" s="73"/>
      <c r="BI10" s="73"/>
      <c r="BK10" s="18" t="e">
        <f>VLOOKUP(BL10,'Help Page'!E:F,2,0)</f>
        <v>#N/A</v>
      </c>
      <c r="BL10" s="18">
        <f t="shared" si="22"/>
        <v>0</v>
      </c>
      <c r="BM10" s="18">
        <f t="shared" si="2"/>
        <v>0</v>
      </c>
      <c r="BN10" s="18">
        <f t="shared" si="3"/>
        <v>0</v>
      </c>
      <c r="BO10" s="18">
        <f t="shared" si="4"/>
        <v>0</v>
      </c>
      <c r="BP10" s="27">
        <f t="shared" si="5"/>
        <v>0</v>
      </c>
      <c r="BQ10" s="18">
        <f t="shared" si="6"/>
        <v>0</v>
      </c>
      <c r="BT10" s="18" t="s">
        <v>1412</v>
      </c>
      <c r="BU10" s="18" t="str">
        <f>IFERROR(IF(VLOOKUP(BT10,AE:AK,7,0)="",VLOOKUP(BT10,AE:AK,3,0),""),"")</f>
        <v/>
      </c>
      <c r="BV10" s="28" t="str">
        <f>IFERROR(IF(VLOOKUP(BT10,AE:AK,7,0)="",VLOOKUP(BT10,AE:AK,6,0),""),"")</f>
        <v/>
      </c>
      <c r="BW10" s="18" t="s">
        <v>1412</v>
      </c>
      <c r="CA10" s="94" t="s">
        <v>1296</v>
      </c>
      <c r="CB10" s="81" t="s">
        <v>1293</v>
      </c>
      <c r="CC10" s="81">
        <v>80487</v>
      </c>
      <c r="CD10" s="109"/>
      <c r="CF10" s="18"/>
      <c r="CG10" s="18"/>
      <c r="CH10" s="18" t="s">
        <v>2103</v>
      </c>
      <c r="CI10" s="18" t="str">
        <f>_xll.ReferenceParams(CH10,$CI$6 )</f>
        <v>Погашен</v>
      </c>
      <c r="CJ10" s="27">
        <f>_xll.ReferenceParams(CH10,$CJ$6 )</f>
        <v>41313</v>
      </c>
      <c r="CK10" s="27" t="str">
        <f>_xll.ReferenceParams(CH10,$CK$6)</f>
        <v>Облигация</v>
      </c>
      <c r="CL10" s="18">
        <f t="shared" si="23"/>
        <v>0</v>
      </c>
      <c r="CM10" s="18"/>
      <c r="DM10" s="1"/>
    </row>
    <row r="11" spans="1:168" x14ac:dyDescent="0.3">
      <c r="A11" s="17" t="s">
        <v>345</v>
      </c>
      <c r="B11" s="18">
        <f>_xll.BondDateParams($B$1,$L$6,A11)</f>
        <v>3.7</v>
      </c>
      <c r="D11" s="20">
        <f t="shared" si="1"/>
        <v>46014</v>
      </c>
      <c r="E11" s="73">
        <f>_xll.CbondsClosePrice($B$1,D11,VLOOKUP($B$27,'Help Page'!$M:$N,2,0))</f>
        <v>94.650099999999995</v>
      </c>
      <c r="F11" s="73">
        <f t="shared" si="0"/>
        <v>94.650099999999995</v>
      </c>
      <c r="G11" s="33">
        <f>IF(F11 = "","",IFERROR(IF($G$1 = "YTM",_xll.CbondsCalcYTM($B$1,D11,F11),_xll.CbondsCalcYTP($B$1,D11,F11)),"")*100)</f>
        <v>7.2238462958587002</v>
      </c>
      <c r="J11" s="21">
        <v>6</v>
      </c>
      <c r="K11" s="27">
        <f>VLOOKUP(K10,'Help Page'!A:B,2,0)</f>
        <v>45870</v>
      </c>
      <c r="L11" s="28">
        <f>VLOOKUP(K11,'Help Page'!A:C,3,0)</f>
        <v>45869</v>
      </c>
      <c r="M11" s="69">
        <f>IF(_xll.CbondsClosePrice($B$1,L11,VLOOKUP($B$27,'Help Page'!$M:$N,2,0)) = "Нет данных","",_xll.CbondsClosePrice($B$1,L11,VLOOKUP($B$27,'Help Page'!$M:$N,2,0)))</f>
        <v>96.5</v>
      </c>
      <c r="N11" s="33">
        <f>IFERROR(IF($N$5 = "YTM",_xll.CbondsCalcYTM($B$1,L11,M11),_xll.CbondsCalcYTP($B$1,L11,M11)),"")</f>
        <v>5.5756571754259E-2</v>
      </c>
      <c r="O11" s="71">
        <f>IFERROR(IF($O$5 = "DURATION to maturity",_xll.CbondsCalcDuration($B$1,L11,M11),_xll.CbondsCalcDurationToPutCall($B$1,L11,M11)),"")</f>
        <v>741.00622550437004</v>
      </c>
      <c r="P11" s="31">
        <f t="shared" si="7"/>
        <v>2.0301540424777262</v>
      </c>
      <c r="Q11" s="33">
        <f>IFERROR(_xll.GCurve(L11,O11,$Q$4)/100,"")</f>
        <v>0.13598771397314599</v>
      </c>
      <c r="R11" s="31">
        <f t="shared" si="8"/>
        <v>-802.31142218886998</v>
      </c>
      <c r="S11" s="109">
        <f t="shared" si="9"/>
        <v>5.5756571754259001</v>
      </c>
      <c r="T11" s="109">
        <f t="shared" si="10"/>
        <v>13.598771397314598</v>
      </c>
      <c r="U11" s="27">
        <f t="shared" si="11"/>
        <v>45870</v>
      </c>
      <c r="W11" s="18" t="e">
        <f>VLOOKUP(X11,'Help Page'!E:F,2,0)</f>
        <v>#N/A</v>
      </c>
      <c r="X11" s="73"/>
      <c r="Y11" s="73"/>
      <c r="Z11" s="73"/>
      <c r="AA11" s="73"/>
      <c r="AB11" s="73"/>
      <c r="AC11" s="73"/>
      <c r="AE11" s="18" t="e">
        <f>VLOOKUP(AF11,'Help Page'!E:F,2,0)</f>
        <v>#N/A</v>
      </c>
      <c r="AF11" s="18">
        <f t="shared" si="12"/>
        <v>0</v>
      </c>
      <c r="AG11" s="18">
        <f t="shared" si="13"/>
        <v>0</v>
      </c>
      <c r="AH11" s="18"/>
      <c r="AI11" s="18">
        <f t="shared" si="14"/>
        <v>0</v>
      </c>
      <c r="AJ11" s="27">
        <f t="shared" si="15"/>
        <v>0</v>
      </c>
      <c r="AK11" s="18"/>
      <c r="AM11" s="18" t="str">
        <f>VLOOKUP(AN11,'Help Page'!E:F,2,0)</f>
        <v>AKRA</v>
      </c>
      <c r="AN11" s="73" t="s">
        <v>155</v>
      </c>
      <c r="AO11" s="73" t="s">
        <v>2146</v>
      </c>
      <c r="AP11" s="73" t="s">
        <v>2056</v>
      </c>
      <c r="AQ11" s="73" t="s">
        <v>2145</v>
      </c>
      <c r="AR11" s="27">
        <v>45791</v>
      </c>
      <c r="AS11" s="73" t="s">
        <v>2063</v>
      </c>
      <c r="AU11" s="18" t="str">
        <f>VLOOKUP(AV11,'Help Page'!E:F,2,0)</f>
        <v>AKRA</v>
      </c>
      <c r="AV11" s="18" t="str">
        <f t="shared" si="16"/>
        <v>AKRA-I-SCA-LT-Nsc</v>
      </c>
      <c r="AW11" s="18" t="str">
        <f t="shared" si="17"/>
        <v>aa+(ru)</v>
      </c>
      <c r="AX11" s="18" t="str">
        <f t="shared" si="18"/>
        <v>Стабильный</v>
      </c>
      <c r="AY11" s="18" t="str">
        <f t="shared" si="19"/>
        <v>Понижен</v>
      </c>
      <c r="AZ11" s="27">
        <f t="shared" si="20"/>
        <v>45791</v>
      </c>
      <c r="BA11" s="18" t="str">
        <f t="shared" si="21"/>
        <v>Issuer</v>
      </c>
      <c r="BC11" s="18" t="e">
        <f>VLOOKUP(BD11,'Help Page'!E:F,2,0)</f>
        <v>#N/A</v>
      </c>
      <c r="BD11" s="73"/>
      <c r="BE11" s="73"/>
      <c r="BF11" s="73"/>
      <c r="BG11" s="73"/>
      <c r="BH11" s="73"/>
      <c r="BI11" s="73"/>
      <c r="BK11" s="18" t="e">
        <f>VLOOKUP(BL11,'Help Page'!E:F,2,0)</f>
        <v>#N/A</v>
      </c>
      <c r="BL11" s="18">
        <f t="shared" si="22"/>
        <v>0</v>
      </c>
      <c r="BM11" s="18">
        <f t="shared" si="2"/>
        <v>0</v>
      </c>
      <c r="BN11" s="18">
        <f t="shared" si="3"/>
        <v>0</v>
      </c>
      <c r="BO11" s="18">
        <f t="shared" si="4"/>
        <v>0</v>
      </c>
      <c r="BP11" s="27">
        <f t="shared" si="5"/>
        <v>0</v>
      </c>
      <c r="BQ11" s="18">
        <f t="shared" si="6"/>
        <v>0</v>
      </c>
      <c r="BT11" s="91"/>
      <c r="BU11" s="91"/>
      <c r="BV11" s="91"/>
      <c r="BW11" s="91"/>
      <c r="CA11" s="94" t="s">
        <v>1062</v>
      </c>
      <c r="CB11" s="81" t="s">
        <v>1257</v>
      </c>
      <c r="CC11" s="81">
        <v>9209</v>
      </c>
      <c r="CD11" s="109"/>
      <c r="CF11" s="18"/>
      <c r="CG11" s="18"/>
      <c r="CH11" s="18" t="s">
        <v>2104</v>
      </c>
      <c r="CI11" s="18" t="str">
        <f>_xll.ReferenceParams(CH11,$CI$6 )</f>
        <v>Погашен</v>
      </c>
      <c r="CJ11" s="27">
        <f>_xll.ReferenceParams(CH11,$CJ$6 )</f>
        <v>41313</v>
      </c>
      <c r="CK11" s="27" t="str">
        <f>_xll.ReferenceParams(CH11,$CK$6)</f>
        <v>Облигация</v>
      </c>
      <c r="CL11" s="18">
        <f t="shared" si="23"/>
        <v>0</v>
      </c>
      <c r="CM11" s="18"/>
      <c r="DM11" s="1"/>
    </row>
    <row r="12" spans="1:168" x14ac:dyDescent="0.3">
      <c r="A12" s="17" t="s">
        <v>348</v>
      </c>
      <c r="B12" s="30">
        <f>_xll.BondDateParams($B$1,$L$6,A12)</f>
        <v>1000</v>
      </c>
      <c r="D12" s="20">
        <f t="shared" si="1"/>
        <v>46013</v>
      </c>
      <c r="E12" s="73">
        <f>_xll.CbondsClosePrice($B$1,D12,VLOOKUP($B$27,'Help Page'!$M:$N,2,0))</f>
        <v>95.094999999999999</v>
      </c>
      <c r="F12" s="73">
        <f t="shared" si="0"/>
        <v>95.094999999999999</v>
      </c>
      <c r="G12" s="33">
        <f>IF(F12 = "","",IFERROR(IF($G$1 = "YTM",_xll.CbondsCalcYTM($B$1,D12,F12),_xll.CbondsCalcYTP($B$1,D12,F12)),"")*100)</f>
        <v>6.9185360383507009</v>
      </c>
      <c r="J12" s="21">
        <v>7</v>
      </c>
      <c r="K12" s="27">
        <f>VLOOKUP(K11,'Help Page'!A:B,2,0)</f>
        <v>45839</v>
      </c>
      <c r="L12" s="28">
        <f>VLOOKUP(K12,'Help Page'!A:C,3,0)</f>
        <v>45838</v>
      </c>
      <c r="M12" s="69">
        <f>IF(_xll.CbondsClosePrice($B$1,L12,VLOOKUP($B$27,'Help Page'!$M:$N,2,0)) = "Нет данных","",_xll.CbondsClosePrice($B$1,L12,VLOOKUP($B$27,'Help Page'!$M:$N,2,0)))</f>
        <v>96.091499999999996</v>
      </c>
      <c r="N12" s="33">
        <f>IFERROR(IF($N$5 = "YTM",_xll.CbondsCalcYTM($B$1,L12,M12),_xll.CbondsCalcYTP($B$1,L12,M12)),"")</f>
        <v>5.7194941381586997E-2</v>
      </c>
      <c r="O12" s="71">
        <f>IFERROR(IF($O$5 = "DURATION to maturity",_xll.CbondsCalcDuration($B$1,L12,M12),_xll.CbondsCalcDurationToPutCall($B$1,L12,M12)),"")</f>
        <v>771.95130361534996</v>
      </c>
      <c r="P12" s="31">
        <f t="shared" si="7"/>
        <v>2.114935078398219</v>
      </c>
      <c r="Q12" s="33">
        <f>IFERROR(_xll.GCurve(L12,O12,$Q$4)/100,"")</f>
        <v>0.14581288207989901</v>
      </c>
      <c r="R12" s="31">
        <f t="shared" si="8"/>
        <v>-886.17940698312009</v>
      </c>
      <c r="S12" s="109">
        <f t="shared" si="9"/>
        <v>5.7194941381586997</v>
      </c>
      <c r="T12" s="109">
        <f t="shared" si="10"/>
        <v>14.581288207989902</v>
      </c>
      <c r="U12" s="27">
        <f t="shared" si="11"/>
        <v>45839</v>
      </c>
      <c r="W12" s="18" t="e">
        <f>VLOOKUP(X12,'Help Page'!E:F,2,0)</f>
        <v>#N/A</v>
      </c>
      <c r="X12" s="73"/>
      <c r="Y12" s="73"/>
      <c r="Z12" s="73"/>
      <c r="AA12" s="73"/>
      <c r="AB12" s="73"/>
      <c r="AC12" s="73"/>
      <c r="AE12" s="18" t="e">
        <f>VLOOKUP(AF12,'Help Page'!E:F,2,0)</f>
        <v>#N/A</v>
      </c>
      <c r="AF12" s="18">
        <f t="shared" si="12"/>
        <v>0</v>
      </c>
      <c r="AG12" s="18">
        <f t="shared" si="13"/>
        <v>0</v>
      </c>
      <c r="AH12" s="18"/>
      <c r="AI12" s="18">
        <f t="shared" si="14"/>
        <v>0</v>
      </c>
      <c r="AJ12" s="27">
        <f t="shared" si="15"/>
        <v>0</v>
      </c>
      <c r="AK12" s="18"/>
      <c r="AM12" s="18" t="str">
        <f>VLOOKUP(AN12,'Help Page'!E:F,2,0)</f>
        <v>NCR</v>
      </c>
      <c r="AN12" s="73" t="s">
        <v>322</v>
      </c>
      <c r="AO12" s="73" t="s">
        <v>2098</v>
      </c>
      <c r="AP12" s="73" t="s">
        <v>2056</v>
      </c>
      <c r="AQ12" s="73" t="s">
        <v>1290</v>
      </c>
      <c r="AR12" s="27">
        <v>45776</v>
      </c>
      <c r="AS12" s="73" t="s">
        <v>2063</v>
      </c>
      <c r="AU12" s="18" t="str">
        <f>VLOOKUP(AV12,'Help Page'!E:F,2,0)</f>
        <v>NCR</v>
      </c>
      <c r="AV12" s="18" t="str">
        <f t="shared" si="16"/>
        <v>NCR-I-SCA-LT-Nsc</v>
      </c>
      <c r="AW12" s="18" t="str">
        <f t="shared" si="17"/>
        <v>aaa.ru</v>
      </c>
      <c r="AX12" s="18" t="str">
        <f t="shared" si="18"/>
        <v>Стабильный</v>
      </c>
      <c r="AY12" s="18" t="str">
        <f t="shared" si="19"/>
        <v>Подтвержден</v>
      </c>
      <c r="AZ12" s="27">
        <f t="shared" si="20"/>
        <v>45776</v>
      </c>
      <c r="BA12" s="18" t="str">
        <f t="shared" si="21"/>
        <v>Issuer</v>
      </c>
      <c r="BC12" s="18" t="e">
        <f>VLOOKUP(BD12,'Help Page'!E:F,2,0)</f>
        <v>#N/A</v>
      </c>
      <c r="BD12" s="73"/>
      <c r="BE12" s="73"/>
      <c r="BF12" s="73"/>
      <c r="BG12" s="73"/>
      <c r="BH12" s="73"/>
      <c r="BI12" s="73"/>
      <c r="BK12" s="18" t="e">
        <f>VLOOKUP(BL12,'Help Page'!E:F,2,0)</f>
        <v>#N/A</v>
      </c>
      <c r="BL12" s="18">
        <f t="shared" si="22"/>
        <v>0</v>
      </c>
      <c r="BM12" s="18">
        <f t="shared" si="2"/>
        <v>0</v>
      </c>
      <c r="BN12" s="18">
        <f t="shared" si="3"/>
        <v>0</v>
      </c>
      <c r="BO12" s="18">
        <f t="shared" si="4"/>
        <v>0</v>
      </c>
      <c r="BP12" s="27">
        <f t="shared" si="5"/>
        <v>0</v>
      </c>
      <c r="BQ12" s="18">
        <f t="shared" si="6"/>
        <v>0</v>
      </c>
      <c r="BV12" s="15"/>
      <c r="CA12" s="94" t="s">
        <v>1297</v>
      </c>
      <c r="CB12" s="81" t="s">
        <v>1300</v>
      </c>
      <c r="CC12" s="81">
        <v>80503</v>
      </c>
      <c r="CD12" s="109"/>
      <c r="CF12" s="18"/>
      <c r="CG12" s="18"/>
      <c r="CH12" s="18"/>
      <c r="CI12" s="18" t="str">
        <f>_xll.ReferenceParams(CH12,$CI$6 )</f>
        <v/>
      </c>
      <c r="CJ12" s="27" t="str">
        <f>_xll.ReferenceParams(CH12,$CJ$6 )</f>
        <v/>
      </c>
      <c r="CK12" s="27" t="str">
        <f>_xll.ReferenceParams(CH12,$CK$6)</f>
        <v/>
      </c>
      <c r="CL12" s="18" t="str">
        <f t="shared" si="23"/>
        <v/>
      </c>
      <c r="CM12" s="27"/>
      <c r="DM12" s="1"/>
    </row>
    <row r="13" spans="1:168" x14ac:dyDescent="0.3">
      <c r="A13" s="17" t="s">
        <v>349</v>
      </c>
      <c r="B13" s="18">
        <f>_xll.ReferenceParams($B$1,A13)</f>
        <v>4</v>
      </c>
      <c r="D13" s="20">
        <f t="shared" si="1"/>
        <v>46012</v>
      </c>
      <c r="E13" s="73" t="str">
        <f>_xll.CbondsClosePrice($B$1,D13,VLOOKUP($B$27,'Help Page'!$M:$N,2,0))</f>
        <v>Нет данных</v>
      </c>
      <c r="F13" s="73">
        <f t="shared" si="0"/>
        <v>95.8</v>
      </c>
      <c r="G13" s="33">
        <f>IF(F13 = "","",IFERROR(IF($G$1 = "YTM",_xll.CbondsCalcYTM($B$1,D13,F13),_xll.CbondsCalcYTP($B$1,D13,F13)),"")*100)</f>
        <v>6.4427333044013002</v>
      </c>
      <c r="J13" s="21">
        <v>8</v>
      </c>
      <c r="K13" s="27">
        <f>VLOOKUP(K12,'Help Page'!A:B,2,0)</f>
        <v>45809</v>
      </c>
      <c r="L13" s="28">
        <f>VLOOKUP(K13,'Help Page'!A:C,3,0)</f>
        <v>45807</v>
      </c>
      <c r="M13" s="69">
        <f>IF(_xll.CbondsClosePrice($B$1,L13,VLOOKUP($B$27,'Help Page'!$M:$N,2,0)) = "Нет данных","",_xll.CbondsClosePrice($B$1,L13,VLOOKUP($B$27,'Help Page'!$M:$N,2,0)))</f>
        <v>96.2898</v>
      </c>
      <c r="N13" s="33">
        <f>IFERROR(IF($N$5 = "YTM",_xll.CbondsCalcYTM($B$1,L13,M13),_xll.CbondsCalcYTP($B$1,L13,M13)),"")</f>
        <v>5.5489670129977998E-2</v>
      </c>
      <c r="O13" s="71">
        <f>IFERROR(IF($O$5 = "DURATION to maturity",_xll.CbondsCalcDuration($B$1,L13,M13),_xll.CbondsCalcDurationToPutCall($B$1,L13,M13)),"")</f>
        <v>795.53766778647002</v>
      </c>
      <c r="P13" s="31">
        <f t="shared" si="7"/>
        <v>2.1795552542095069</v>
      </c>
      <c r="Q13" s="33">
        <f>IFERROR(_xll.GCurve(L13,O13,$Q$4)/100,"")</f>
        <v>0.16169525841288601</v>
      </c>
      <c r="R13" s="31">
        <f t="shared" si="8"/>
        <v>-1062.0558828290802</v>
      </c>
      <c r="S13" s="109">
        <f t="shared" si="9"/>
        <v>5.5489670129977995</v>
      </c>
      <c r="T13" s="109">
        <f t="shared" si="10"/>
        <v>16.1695258412886</v>
      </c>
      <c r="U13" s="27">
        <f t="shared" si="11"/>
        <v>45809</v>
      </c>
      <c r="W13" s="18" t="e">
        <f>VLOOKUP(X13,'Help Page'!E:F,2,0)</f>
        <v>#N/A</v>
      </c>
      <c r="X13" s="73"/>
      <c r="Y13" s="73"/>
      <c r="Z13" s="73"/>
      <c r="AA13" s="73"/>
      <c r="AB13" s="73"/>
      <c r="AC13" s="73"/>
      <c r="AE13" s="18" t="e">
        <f>VLOOKUP(AF13,'Help Page'!E:F,2,0)</f>
        <v>#N/A</v>
      </c>
      <c r="AF13" s="18">
        <f t="shared" si="12"/>
        <v>0</v>
      </c>
      <c r="AG13" s="18">
        <f t="shared" si="13"/>
        <v>0</v>
      </c>
      <c r="AH13" s="18"/>
      <c r="AI13" s="18">
        <f t="shared" si="14"/>
        <v>0</v>
      </c>
      <c r="AJ13" s="27">
        <f t="shared" si="15"/>
        <v>0</v>
      </c>
      <c r="AK13" s="18"/>
      <c r="AM13" s="18" t="str">
        <f>VLOOKUP(AN13,'Help Page'!E:F,2,0)</f>
        <v>Interfax</v>
      </c>
      <c r="AN13" s="73" t="s">
        <v>21</v>
      </c>
      <c r="AO13" s="73" t="s">
        <v>2061</v>
      </c>
      <c r="AP13" s="73"/>
      <c r="AQ13" s="73" t="s">
        <v>2062</v>
      </c>
      <c r="AR13" s="27">
        <v>44652</v>
      </c>
      <c r="AS13" s="73" t="s">
        <v>2063</v>
      </c>
      <c r="AU13" s="18" t="e">
        <f>VLOOKUP(AV13,'Help Page'!E:F,2,0)</f>
        <v>#N/A</v>
      </c>
      <c r="AV13" s="18" t="str">
        <f t="shared" si="16"/>
        <v xml:space="preserve"> </v>
      </c>
      <c r="AW13" s="18" t="str">
        <f t="shared" si="17"/>
        <v xml:space="preserve"> </v>
      </c>
      <c r="AX13" s="18" t="str">
        <f t="shared" si="18"/>
        <v xml:space="preserve"> </v>
      </c>
      <c r="AY13" s="18" t="str">
        <f t="shared" si="19"/>
        <v xml:space="preserve"> </v>
      </c>
      <c r="AZ13" s="27" t="str">
        <f t="shared" si="20"/>
        <v xml:space="preserve"> </v>
      </c>
      <c r="BA13" s="18" t="str">
        <f t="shared" si="21"/>
        <v xml:space="preserve"> </v>
      </c>
      <c r="BC13" s="18" t="e">
        <f>VLOOKUP(BD13,'Help Page'!E:F,2,0)</f>
        <v>#N/A</v>
      </c>
      <c r="BD13" s="73"/>
      <c r="BE13" s="73"/>
      <c r="BF13" s="73"/>
      <c r="BG13" s="73"/>
      <c r="BH13" s="73"/>
      <c r="BI13" s="73"/>
      <c r="BK13" s="18" t="e">
        <f>VLOOKUP(BL13,'Help Page'!E:F,2,0)</f>
        <v>#N/A</v>
      </c>
      <c r="BL13" s="18">
        <f t="shared" si="22"/>
        <v>0</v>
      </c>
      <c r="BM13" s="18">
        <f t="shared" si="2"/>
        <v>0</v>
      </c>
      <c r="BN13" s="18">
        <f t="shared" si="3"/>
        <v>0</v>
      </c>
      <c r="BO13" s="18">
        <f t="shared" si="4"/>
        <v>0</v>
      </c>
      <c r="BP13" s="27">
        <f t="shared" si="5"/>
        <v>0</v>
      </c>
      <c r="BQ13" s="18">
        <f t="shared" si="6"/>
        <v>0</v>
      </c>
      <c r="BT13" s="17" t="s">
        <v>2</v>
      </c>
      <c r="BV13" s="15"/>
      <c r="CA13" s="94" t="s">
        <v>1298</v>
      </c>
      <c r="CB13" s="81" t="s">
        <v>1301</v>
      </c>
      <c r="CC13" s="81">
        <v>80511</v>
      </c>
      <c r="CD13" s="109"/>
      <c r="CF13" s="18"/>
      <c r="CG13" s="18"/>
      <c r="CH13" s="18" t="s">
        <v>2105</v>
      </c>
      <c r="CI13" s="18" t="str">
        <f>_xll.ReferenceParams(CH13,$CI$6 )</f>
        <v>Погашен</v>
      </c>
      <c r="CJ13" s="27">
        <f>_xll.ReferenceParams(CH13,$CJ$6 )</f>
        <v>40987</v>
      </c>
      <c r="CK13" s="27" t="str">
        <f>_xll.ReferenceParams(CH13,$CK$6)</f>
        <v>Облигация</v>
      </c>
      <c r="CL13" s="18">
        <f t="shared" si="23"/>
        <v>0</v>
      </c>
      <c r="CM13" s="18"/>
      <c r="DM13" s="1"/>
    </row>
    <row r="14" spans="1:168" x14ac:dyDescent="0.3">
      <c r="A14" s="17" t="s">
        <v>350</v>
      </c>
      <c r="B14" s="31">
        <f>_xll.EfirYields($B$1,$L$6,A14)</f>
        <v>3.9334143799999999</v>
      </c>
      <c r="D14" s="20">
        <f t="shared" si="1"/>
        <v>46011</v>
      </c>
      <c r="E14" s="73" t="str">
        <f>_xll.CbondsClosePrice($B$1,D14,VLOOKUP($B$27,'Help Page'!$M:$N,2,0))</f>
        <v>Нет данных</v>
      </c>
      <c r="F14" s="73">
        <f t="shared" si="0"/>
        <v>95.8</v>
      </c>
      <c r="G14" s="33">
        <f>IF(F14 = "","",IFERROR(IF($G$1 = "YTM",_xll.CbondsCalcYTM($B$1,D14,F14),_xll.CbondsCalcYTP($B$1,D14,F14)),"")*100)</f>
        <v>6.4384900865725996</v>
      </c>
      <c r="J14" s="21">
        <v>9</v>
      </c>
      <c r="K14" s="27">
        <f>VLOOKUP(K13,'Help Page'!A:B,2,0)</f>
        <v>45778</v>
      </c>
      <c r="L14" s="28">
        <f>VLOOKUP(K14,'Help Page'!A:C,3,0)</f>
        <v>45777</v>
      </c>
      <c r="M14" s="69">
        <f>IF(_xll.CbondsClosePrice($B$1,L14,VLOOKUP($B$27,'Help Page'!$M:$N,2,0)) = "Нет данных","",_xll.CbondsClosePrice($B$1,L14,VLOOKUP($B$27,'Help Page'!$M:$N,2,0)))</f>
        <v>95.76</v>
      </c>
      <c r="N14" s="33">
        <f>IFERROR(IF($N$5 = "YTM",_xll.CbondsCalcYTM($B$1,L14,M14),_xll.CbondsCalcYTP($B$1,L14,M14)),"")</f>
        <v>5.7450857683405E-2</v>
      </c>
      <c r="O14" s="71">
        <f>IFERROR(IF($O$5 = "DURATION to maturity",_xll.CbondsCalcDuration($B$1,L14,M14),_xll.CbondsCalcDurationToPutCall($B$1,L14,M14)),"")</f>
        <v>825.43371176572998</v>
      </c>
      <c r="P14" s="31">
        <f t="shared" si="7"/>
        <v>2.2614622240156987</v>
      </c>
      <c r="Q14" s="33">
        <f>IFERROR(_xll.GCurve(L14,O14,$Q$4)/100,"")</f>
        <v>0.168847855662147</v>
      </c>
      <c r="R14" s="31">
        <f t="shared" si="8"/>
        <v>-1113.96997978742</v>
      </c>
      <c r="S14" s="109">
        <f t="shared" si="9"/>
        <v>5.7450857683405001</v>
      </c>
      <c r="T14" s="109">
        <f t="shared" si="10"/>
        <v>16.884785566214699</v>
      </c>
      <c r="U14" s="27">
        <f t="shared" si="11"/>
        <v>45778</v>
      </c>
      <c r="W14" s="18" t="e">
        <f>VLOOKUP(X14,'Help Page'!E:F,2,0)</f>
        <v>#N/A</v>
      </c>
      <c r="X14" s="73"/>
      <c r="Y14" s="73"/>
      <c r="Z14" s="73"/>
      <c r="AA14" s="73"/>
      <c r="AB14" s="73"/>
      <c r="AC14" s="73"/>
      <c r="AE14" s="18" t="e">
        <f>VLOOKUP(AF14,'Help Page'!E:F,2,0)</f>
        <v>#N/A</v>
      </c>
      <c r="AF14" s="18">
        <f t="shared" si="12"/>
        <v>0</v>
      </c>
      <c r="AG14" s="18">
        <f t="shared" si="13"/>
        <v>0</v>
      </c>
      <c r="AH14" s="18"/>
      <c r="AI14" s="18">
        <f t="shared" si="14"/>
        <v>0</v>
      </c>
      <c r="AJ14" s="27">
        <f t="shared" si="15"/>
        <v>0</v>
      </c>
      <c r="AK14" s="18"/>
      <c r="AM14" s="18" t="str">
        <f>VLOOKUP(AN14,'Help Page'!E:F,2,0)</f>
        <v>Interfax</v>
      </c>
      <c r="AN14" s="73" t="s">
        <v>22</v>
      </c>
      <c r="AO14" s="73" t="s">
        <v>2061</v>
      </c>
      <c r="AP14" s="73"/>
      <c r="AQ14" s="73" t="s">
        <v>2062</v>
      </c>
      <c r="AR14" s="27">
        <v>44113</v>
      </c>
      <c r="AS14" s="73" t="s">
        <v>2063</v>
      </c>
      <c r="AU14" s="18" t="e">
        <f>VLOOKUP(AV14,'Help Page'!E:F,2,0)</f>
        <v>#N/A</v>
      </c>
      <c r="AV14" s="18" t="str">
        <f t="shared" si="16"/>
        <v xml:space="preserve"> </v>
      </c>
      <c r="AW14" s="18" t="str">
        <f t="shared" si="17"/>
        <v xml:space="preserve"> </v>
      </c>
      <c r="AX14" s="18" t="str">
        <f t="shared" si="18"/>
        <v xml:space="preserve"> </v>
      </c>
      <c r="AY14" s="18" t="str">
        <f t="shared" si="19"/>
        <v xml:space="preserve"> </v>
      </c>
      <c r="AZ14" s="27" t="str">
        <f t="shared" si="20"/>
        <v xml:space="preserve"> </v>
      </c>
      <c r="BA14" s="18" t="str">
        <f t="shared" si="21"/>
        <v xml:space="preserve"> </v>
      </c>
      <c r="BC14" s="18" t="e">
        <f>VLOOKUP(BD14,'Help Page'!E:F,2,0)</f>
        <v>#N/A</v>
      </c>
      <c r="BD14" s="73"/>
      <c r="BE14" s="73"/>
      <c r="BF14" s="73"/>
      <c r="BG14" s="73"/>
      <c r="BH14" s="73"/>
      <c r="BI14" s="73"/>
      <c r="BK14" s="18" t="e">
        <f>VLOOKUP(BL14,'Help Page'!E:F,2,0)</f>
        <v>#N/A</v>
      </c>
      <c r="BL14" s="18">
        <f t="shared" si="22"/>
        <v>0</v>
      </c>
      <c r="BM14" s="18">
        <f t="shared" si="2"/>
        <v>0</v>
      </c>
      <c r="BN14" s="18">
        <f t="shared" si="3"/>
        <v>0</v>
      </c>
      <c r="BO14" s="18">
        <f t="shared" si="4"/>
        <v>0</v>
      </c>
      <c r="BP14" s="27">
        <f t="shared" si="5"/>
        <v>0</v>
      </c>
      <c r="BQ14" s="18">
        <f t="shared" si="6"/>
        <v>0</v>
      </c>
      <c r="BT14" s="17" t="s">
        <v>334</v>
      </c>
      <c r="BU14" s="17" t="s">
        <v>333</v>
      </c>
      <c r="BV14" s="29" t="s">
        <v>59</v>
      </c>
      <c r="BW14" s="17" t="s">
        <v>1413</v>
      </c>
      <c r="CA14" s="94" t="s">
        <v>1299</v>
      </c>
      <c r="CB14" s="81" t="s">
        <v>1302</v>
      </c>
      <c r="CC14" s="81">
        <v>80519</v>
      </c>
      <c r="CD14" s="109"/>
      <c r="CF14" s="18"/>
      <c r="CG14" s="18"/>
      <c r="CH14" s="18" t="s">
        <v>2106</v>
      </c>
      <c r="CI14" s="18" t="str">
        <f>_xll.ReferenceParams(CH14,$CI$6 )</f>
        <v>Погашен</v>
      </c>
      <c r="CJ14" s="27">
        <f>_xll.ReferenceParams(CH14,$CJ$6 )</f>
        <v>40990</v>
      </c>
      <c r="CK14" s="27" t="str">
        <f>_xll.ReferenceParams(CH14,$CK$6)</f>
        <v>Облигация</v>
      </c>
      <c r="CL14" s="18">
        <f t="shared" si="23"/>
        <v>0</v>
      </c>
      <c r="CM14" s="18"/>
      <c r="DM14" s="1"/>
    </row>
    <row r="15" spans="1:168" x14ac:dyDescent="0.3">
      <c r="A15" s="17" t="s">
        <v>351</v>
      </c>
      <c r="B15" s="31">
        <f>_xll.EfirYields($B$1,$L$6,A15)</f>
        <v>1.5556599099999999</v>
      </c>
      <c r="D15" s="20">
        <f t="shared" si="1"/>
        <v>46010</v>
      </c>
      <c r="E15" s="73">
        <f>_xll.CbondsClosePrice($B$1,D15,VLOOKUP($B$27,'Help Page'!$M:$N,2,0))</f>
        <v>95.8</v>
      </c>
      <c r="F15" s="73">
        <f t="shared" si="0"/>
        <v>95.8</v>
      </c>
      <c r="G15" s="33">
        <f>IF(F15 = "","",IFERROR(IF($G$1 = "YTM",_xll.CbondsCalcYTM($B$1,D15,F15),_xll.CbondsCalcYTP($B$1,D15,F15)),"")*100)</f>
        <v>6.4342615912214001</v>
      </c>
      <c r="J15" s="21">
        <v>10</v>
      </c>
      <c r="K15" s="27">
        <f>VLOOKUP(K14,'Help Page'!A:B,2,0)</f>
        <v>45748</v>
      </c>
      <c r="L15" s="28">
        <f>VLOOKUP(K15,'Help Page'!A:C,3,0)</f>
        <v>45747</v>
      </c>
      <c r="M15" s="69">
        <f>IF(_xll.CbondsClosePrice($B$1,L15,VLOOKUP($B$27,'Help Page'!$M:$N,2,0)) = "Нет данных","",_xll.CbondsClosePrice($B$1,L15,VLOOKUP($B$27,'Help Page'!$M:$N,2,0)))</f>
        <v>92.4</v>
      </c>
      <c r="N15" s="33">
        <f>IFERROR(IF($N$5 = "YTM",_xll.CbondsCalcYTM($B$1,L15,M15),_xll.CbondsCalcYTP($B$1,L15,M15)),"")</f>
        <v>7.3014174247717001E-2</v>
      </c>
      <c r="O15" s="71">
        <f>IFERROR(IF($O$5 = "DURATION to maturity",_xll.CbondsCalcDuration($B$1,L15,M15),_xll.CbondsCalcDurationToPutCall($B$1,L15,M15)),"")</f>
        <v>854.60472758027004</v>
      </c>
      <c r="P15" s="31">
        <f t="shared" si="7"/>
        <v>2.3413828152884109</v>
      </c>
      <c r="Q15" s="33">
        <f>IFERROR(_xll.GCurve(L15,O15,$Q$4)/100,"")</f>
        <v>0.16412246926779001</v>
      </c>
      <c r="R15" s="31">
        <f t="shared" si="8"/>
        <v>-911.08295020073001</v>
      </c>
      <c r="S15" s="109">
        <f t="shared" si="9"/>
        <v>7.3014174247717003</v>
      </c>
      <c r="T15" s="109">
        <f t="shared" si="10"/>
        <v>16.412246926779002</v>
      </c>
      <c r="U15" s="27">
        <f t="shared" si="11"/>
        <v>45748</v>
      </c>
      <c r="W15" s="18" t="e">
        <f>VLOOKUP(X15,'Help Page'!E:F,2,0)</f>
        <v>#N/A</v>
      </c>
      <c r="X15" s="73"/>
      <c r="Y15" s="73"/>
      <c r="Z15" s="73"/>
      <c r="AA15" s="73"/>
      <c r="AB15" s="73"/>
      <c r="AC15" s="73"/>
      <c r="AE15" s="18" t="e">
        <f>VLOOKUP(AF15,'Help Page'!E:F,2,0)</f>
        <v>#N/A</v>
      </c>
      <c r="AF15" s="18">
        <f t="shared" si="12"/>
        <v>0</v>
      </c>
      <c r="AG15" s="18">
        <f t="shared" si="13"/>
        <v>0</v>
      </c>
      <c r="AH15" s="18"/>
      <c r="AI15" s="18">
        <f t="shared" si="14"/>
        <v>0</v>
      </c>
      <c r="AJ15" s="27">
        <f t="shared" si="15"/>
        <v>0</v>
      </c>
      <c r="AK15" s="18"/>
      <c r="AM15" s="18" t="str">
        <f>VLOOKUP(AN15,'Help Page'!E:F,2,0)</f>
        <v>Interfax</v>
      </c>
      <c r="AN15" s="73" t="s">
        <v>23</v>
      </c>
      <c r="AO15" s="73" t="s">
        <v>2061</v>
      </c>
      <c r="AP15" s="73"/>
      <c r="AQ15" s="73" t="s">
        <v>2062</v>
      </c>
      <c r="AR15" s="27">
        <v>44652</v>
      </c>
      <c r="AS15" s="73" t="s">
        <v>2063</v>
      </c>
      <c r="AU15" s="18" t="e">
        <f>VLOOKUP(AV15,'Help Page'!E:F,2,0)</f>
        <v>#N/A</v>
      </c>
      <c r="AV15" s="18" t="str">
        <f t="shared" si="16"/>
        <v xml:space="preserve"> </v>
      </c>
      <c r="AW15" s="18" t="str">
        <f t="shared" si="17"/>
        <v xml:space="preserve"> </v>
      </c>
      <c r="AX15" s="18" t="str">
        <f t="shared" si="18"/>
        <v xml:space="preserve"> </v>
      </c>
      <c r="AY15" s="18" t="str">
        <f t="shared" si="19"/>
        <v xml:space="preserve"> </v>
      </c>
      <c r="AZ15" s="27" t="str">
        <f t="shared" si="20"/>
        <v xml:space="preserve"> </v>
      </c>
      <c r="BA15" s="18" t="str">
        <f t="shared" si="21"/>
        <v xml:space="preserve"> </v>
      </c>
      <c r="BC15" s="18" t="e">
        <f>VLOOKUP(BD15,'Help Page'!E:F,2,0)</f>
        <v>#N/A</v>
      </c>
      <c r="BD15" s="73"/>
      <c r="BE15" s="73"/>
      <c r="BF15" s="73"/>
      <c r="BG15" s="73"/>
      <c r="BH15" s="73"/>
      <c r="BI15" s="73"/>
      <c r="BK15" s="18" t="e">
        <f>VLOOKUP(BL15,'Help Page'!E:F,2,0)</f>
        <v>#N/A</v>
      </c>
      <c r="BL15" s="18">
        <f t="shared" si="22"/>
        <v>0</v>
      </c>
      <c r="BM15" s="18">
        <f t="shared" si="2"/>
        <v>0</v>
      </c>
      <c r="BN15" s="18">
        <f t="shared" si="3"/>
        <v>0</v>
      </c>
      <c r="BO15" s="18">
        <f t="shared" si="4"/>
        <v>0</v>
      </c>
      <c r="BP15" s="27">
        <f t="shared" si="5"/>
        <v>0</v>
      </c>
      <c r="BQ15" s="18">
        <f t="shared" si="6"/>
        <v>0</v>
      </c>
      <c r="BT15" s="18" t="s">
        <v>1320</v>
      </c>
      <c r="BU15" s="18" t="str">
        <f>IFERROR(IF(VLOOKUP(BT15,AU:BA,7,0)="Issuer",VLOOKUP(BT15,AU:BA,3,0)&amp;"/"&amp;VLOOKUP(BT15,AU:BA,4,0),""),"")</f>
        <v/>
      </c>
      <c r="BV15" s="28" t="str">
        <f>IFERROR(IF(VLOOKUP(BT15,AU:BA,7,0)="Issuer",VLOOKUP(BT15,AU:BA,6,0),""),"")</f>
        <v/>
      </c>
      <c r="BW15" s="18" t="s">
        <v>28</v>
      </c>
      <c r="CA15" s="94" t="s">
        <v>1254</v>
      </c>
      <c r="CB15" s="81" t="s">
        <v>1258</v>
      </c>
      <c r="CC15" s="81">
        <v>9217</v>
      </c>
      <c r="CD15" s="109"/>
      <c r="CF15" s="18"/>
      <c r="CG15" s="18"/>
      <c r="CH15" s="18"/>
      <c r="CI15" s="18" t="str">
        <f>_xll.ReferenceParams(CH15,$CI$6 )</f>
        <v/>
      </c>
      <c r="CJ15" s="27" t="str">
        <f>_xll.ReferenceParams(CH15,$CJ$6 )</f>
        <v/>
      </c>
      <c r="CK15" s="27" t="str">
        <f>_xll.ReferenceParams(CH15,$CK$6)</f>
        <v/>
      </c>
      <c r="CL15" s="18" t="str">
        <f t="shared" si="23"/>
        <v/>
      </c>
      <c r="CM15" s="18"/>
      <c r="DM15" s="1"/>
    </row>
    <row r="16" spans="1:168" x14ac:dyDescent="0.3">
      <c r="A16" s="17" t="s">
        <v>352</v>
      </c>
      <c r="B16" s="31">
        <f>_xll.EfirEndOfDay(,L6,$A$16,"LAST_TRADE_DATE",,$B$1,,0)/365</f>
        <v>1.6465753424657534</v>
      </c>
      <c r="D16" s="20">
        <f t="shared" si="1"/>
        <v>46009</v>
      </c>
      <c r="E16" s="73">
        <f>_xll.CbondsClosePrice($B$1,D16,VLOOKUP($B$27,'Help Page'!$M:$N,2,0))</f>
        <v>94.944000000000003</v>
      </c>
      <c r="F16" s="73">
        <f t="shared" si="0"/>
        <v>94.944000000000003</v>
      </c>
      <c r="G16" s="33">
        <f>IF(F16 = "","",IFERROR(IF($G$1 = "YTM",_xll.CbondsCalcYTM($B$1,D16,F16),_xll.CbondsCalcYTP($B$1,D16,F16)),"")*100)</f>
        <v>6.9997216417104005</v>
      </c>
      <c r="J16" s="21">
        <v>11</v>
      </c>
      <c r="K16" s="27">
        <f>VLOOKUP(K15,'Help Page'!A:B,2,0)</f>
        <v>45717</v>
      </c>
      <c r="L16" s="28">
        <f>VLOOKUP(K16,'Help Page'!A:C,3,0)</f>
        <v>45716</v>
      </c>
      <c r="M16" s="69">
        <f>IF(_xll.CbondsClosePrice($B$1,L16,VLOOKUP($B$27,'Help Page'!$M:$N,2,0)) = "Нет данных","",_xll.CbondsClosePrice($B$1,L16,VLOOKUP($B$27,'Help Page'!$M:$N,2,0)))</f>
        <v>94.2</v>
      </c>
      <c r="N16" s="33">
        <f>IFERROR(IF($N$5 = "YTM",_xll.CbondsCalcYTM($B$1,L16,M16),_xll.CbondsCalcYTP($B$1,L16,M16)),"")</f>
        <v>6.3356269238890997E-2</v>
      </c>
      <c r="O16" s="71">
        <f>IFERROR(IF($O$5 = "DURATION to maturity",_xll.CbondsCalcDuration($B$1,L16,M16),_xll.CbondsCalcDurationToPutCall($B$1,L16,M16)),"")</f>
        <v>877.67407557453998</v>
      </c>
      <c r="P16" s="31">
        <f t="shared" si="7"/>
        <v>2.4045865084233973</v>
      </c>
      <c r="Q16" s="33">
        <f>IFERROR(_xll.GCurve(L16,O16,$Q$4)/100,"")</f>
        <v>0.17634133274987801</v>
      </c>
      <c r="R16" s="31">
        <f t="shared" si="8"/>
        <v>-1129.8506351098702</v>
      </c>
      <c r="S16" s="109">
        <f t="shared" si="9"/>
        <v>6.3356269238890999</v>
      </c>
      <c r="T16" s="109">
        <f t="shared" si="10"/>
        <v>17.6341332749878</v>
      </c>
      <c r="U16" s="27">
        <f t="shared" si="11"/>
        <v>45717</v>
      </c>
      <c r="W16" s="18" t="e">
        <f>VLOOKUP(X16,'Help Page'!E:F,2,0)</f>
        <v>#N/A</v>
      </c>
      <c r="X16" s="73"/>
      <c r="Y16" s="73"/>
      <c r="Z16" s="73"/>
      <c r="AA16" s="73"/>
      <c r="AB16" s="73"/>
      <c r="AC16" s="73"/>
      <c r="AE16" s="18" t="e">
        <f>VLOOKUP(AF16,'Help Page'!E:F,2,0)</f>
        <v>#N/A</v>
      </c>
      <c r="AF16" s="18">
        <f t="shared" si="12"/>
        <v>0</v>
      </c>
      <c r="AG16" s="18">
        <f t="shared" si="13"/>
        <v>0</v>
      </c>
      <c r="AH16" s="18"/>
      <c r="AI16" s="18">
        <f t="shared" si="14"/>
        <v>0</v>
      </c>
      <c r="AJ16" s="27">
        <f t="shared" si="15"/>
        <v>0</v>
      </c>
      <c r="AK16" s="18"/>
      <c r="AM16" s="18" t="str">
        <f>VLOOKUP(AN16,'Help Page'!E:F,2,0)</f>
        <v>Interfax</v>
      </c>
      <c r="AN16" s="73" t="s">
        <v>24</v>
      </c>
      <c r="AO16" s="73" t="s">
        <v>2061</v>
      </c>
      <c r="AP16" s="73"/>
      <c r="AQ16" s="73" t="s">
        <v>2062</v>
      </c>
      <c r="AR16" s="27">
        <v>44113</v>
      </c>
      <c r="AS16" s="73" t="s">
        <v>2063</v>
      </c>
      <c r="AU16" s="18" t="e">
        <f>VLOOKUP(AV16,'Help Page'!E:F,2,0)</f>
        <v>#N/A</v>
      </c>
      <c r="AV16" s="18" t="str">
        <f t="shared" si="16"/>
        <v xml:space="preserve"> </v>
      </c>
      <c r="AW16" s="18" t="str">
        <f t="shared" si="17"/>
        <v xml:space="preserve"> </v>
      </c>
      <c r="AX16" s="18" t="str">
        <f t="shared" si="18"/>
        <v xml:space="preserve"> </v>
      </c>
      <c r="AY16" s="18" t="str">
        <f t="shared" si="19"/>
        <v xml:space="preserve"> </v>
      </c>
      <c r="AZ16" s="27" t="str">
        <f t="shared" si="20"/>
        <v xml:space="preserve"> </v>
      </c>
      <c r="BA16" s="18" t="str">
        <f t="shared" si="21"/>
        <v xml:space="preserve"> </v>
      </c>
      <c r="BC16" s="18" t="e">
        <f>VLOOKUP(BD16,'Help Page'!E:F,2,0)</f>
        <v>#N/A</v>
      </c>
      <c r="BD16" s="73"/>
      <c r="BE16" s="73"/>
      <c r="BF16" s="73"/>
      <c r="BG16" s="73"/>
      <c r="BH16" s="73"/>
      <c r="BI16" s="73"/>
      <c r="BK16" s="18" t="e">
        <f>VLOOKUP(BL16,'Help Page'!E:F,2,0)</f>
        <v>#N/A</v>
      </c>
      <c r="BL16" s="18">
        <f t="shared" si="22"/>
        <v>0</v>
      </c>
      <c r="BM16" s="18">
        <f t="shared" si="2"/>
        <v>0</v>
      </c>
      <c r="BN16" s="18">
        <f t="shared" si="3"/>
        <v>0</v>
      </c>
      <c r="BO16" s="18">
        <f t="shared" si="4"/>
        <v>0</v>
      </c>
      <c r="BP16" s="27">
        <f t="shared" si="5"/>
        <v>0</v>
      </c>
      <c r="BQ16" s="18">
        <f t="shared" si="6"/>
        <v>0</v>
      </c>
      <c r="BT16" s="18" t="s">
        <v>1336</v>
      </c>
      <c r="BU16" s="18" t="str">
        <f>IFERROR(IF(VLOOKUP(BT16,AU:BA,7,0)="Issuer",VLOOKUP(BT16,AU:BA,3,0)&amp;"/"&amp;VLOOKUP(BT16,AU:BA,4,0),""),"")</f>
        <v>aa+(ru)/Стабильный</v>
      </c>
      <c r="BV16" s="28">
        <f>IFERROR(IF(VLOOKUP(BT16,AU:BA,7,0)="Issuer",VLOOKUP(BT16,AU:BA,6,0),""),"")</f>
        <v>45791</v>
      </c>
      <c r="BW16" s="18" t="s">
        <v>72</v>
      </c>
      <c r="CA16" s="94" t="s">
        <v>1305</v>
      </c>
      <c r="CB16" s="81" t="s">
        <v>1303</v>
      </c>
      <c r="CC16" s="81">
        <v>80527</v>
      </c>
      <c r="CD16" s="109"/>
      <c r="CF16" s="18"/>
      <c r="CG16" s="18"/>
      <c r="CH16" s="18" t="s">
        <v>2107</v>
      </c>
      <c r="CI16" s="18" t="str">
        <f>_xll.ReferenceParams(CH16,$CI$6 )</f>
        <v>Погашен</v>
      </c>
      <c r="CJ16" s="27">
        <f>_xll.ReferenceParams(CH16,$CJ$6 )</f>
        <v>42311</v>
      </c>
      <c r="CK16" s="27" t="str">
        <f>_xll.ReferenceParams(CH16,$CK$6)</f>
        <v>Облигация</v>
      </c>
      <c r="CL16" s="18">
        <f t="shared" si="23"/>
        <v>0</v>
      </c>
      <c r="CM16" s="18"/>
      <c r="DM16" s="1"/>
    </row>
    <row r="17" spans="1:117" x14ac:dyDescent="0.3">
      <c r="A17" s="17" t="s">
        <v>355</v>
      </c>
      <c r="B17" s="28" t="str">
        <f>_xll.ReferenceParams($B$1,A17)</f>
        <v>CNY</v>
      </c>
      <c r="D17" s="20">
        <f t="shared" si="1"/>
        <v>46008</v>
      </c>
      <c r="E17" s="73">
        <f>_xll.CbondsClosePrice($B$1,D17,VLOOKUP($B$27,'Help Page'!$M:$N,2,0))</f>
        <v>94.202399999999997</v>
      </c>
      <c r="F17" s="73">
        <f t="shared" si="0"/>
        <v>94.202399999999997</v>
      </c>
      <c r="G17" s="33">
        <f>IF(F17 = "","",IFERROR(IF($G$1 = "YTM",_xll.CbondsCalcYTM($B$1,D17,F17),_xll.CbondsCalcYTP($B$1,D17,F17)),"")*100)</f>
        <v>7.4941168364541992</v>
      </c>
      <c r="J17" s="21">
        <v>12</v>
      </c>
      <c r="K17" s="27">
        <f>VLOOKUP(K16,'Help Page'!A:B,2,0)</f>
        <v>45689</v>
      </c>
      <c r="L17" s="28">
        <f>VLOOKUP(K17,'Help Page'!A:C,3,0)</f>
        <v>45688</v>
      </c>
      <c r="M17" s="69">
        <f>IF(_xll.CbondsClosePrice($B$1,L17,VLOOKUP($B$27,'Help Page'!$M:$N,2,0)) = "Нет данных","",_xll.CbondsClosePrice($B$1,L17,VLOOKUP($B$27,'Help Page'!$M:$N,2,0)))</f>
        <v>89.241</v>
      </c>
      <c r="N17" s="33">
        <f>IFERROR(IF($N$5 = "YTM",_xll.CbondsCalcYTM($B$1,L17,M17),_xll.CbondsCalcYTP($B$1,L17,M17)),"")</f>
        <v>8.5926954973000999E-2</v>
      </c>
      <c r="O17" s="71">
        <f>IFERROR(IF($O$5 = "DURATION to maturity",_xll.CbondsCalcDuration($B$1,L17,M17),_xll.CbondsCalcDurationToPutCall($B$1,L17,M17)),"")</f>
        <v>904.04795120167</v>
      </c>
      <c r="P17" s="31">
        <f t="shared" si="7"/>
        <v>2.4768437019223835</v>
      </c>
      <c r="Q17" s="33">
        <f>IFERROR(_xll.GCurve(L17,O17,$Q$4)/100,"")</f>
        <v>0.17690884171114601</v>
      </c>
      <c r="R17" s="31">
        <f t="shared" si="8"/>
        <v>-909.8188673814501</v>
      </c>
      <c r="S17" s="109">
        <f t="shared" si="9"/>
        <v>8.5926954973001006</v>
      </c>
      <c r="T17" s="109">
        <f t="shared" si="10"/>
        <v>17.6908841711146</v>
      </c>
      <c r="U17" s="27">
        <f>IF(K17 &gt;$B$7,K17,"")</f>
        <v>45689</v>
      </c>
      <c r="W17" s="18" t="e">
        <f>VLOOKUP(X17,'Help Page'!E:F,2,0)</f>
        <v>#N/A</v>
      </c>
      <c r="X17" s="73"/>
      <c r="Y17" s="73"/>
      <c r="Z17" s="73"/>
      <c r="AA17" s="73"/>
      <c r="AB17" s="73"/>
      <c r="AC17" s="73"/>
      <c r="AE17" s="18" t="e">
        <f>VLOOKUP(AF17,'Help Page'!E:F,2,0)</f>
        <v>#N/A</v>
      </c>
      <c r="AF17" s="18">
        <f t="shared" si="12"/>
        <v>0</v>
      </c>
      <c r="AG17" s="18">
        <f t="shared" si="13"/>
        <v>0</v>
      </c>
      <c r="AH17" s="18"/>
      <c r="AI17" s="18">
        <f t="shared" si="14"/>
        <v>0</v>
      </c>
      <c r="AJ17" s="27">
        <f t="shared" si="15"/>
        <v>0</v>
      </c>
      <c r="AK17" s="18"/>
      <c r="AM17" s="18" t="str">
        <f>VLOOKUP(AN17,'Help Page'!E:F,2,0)</f>
        <v>NCR</v>
      </c>
      <c r="AN17" s="73" t="s">
        <v>1376</v>
      </c>
      <c r="AO17" s="73" t="s">
        <v>2099</v>
      </c>
      <c r="AP17" s="73" t="s">
        <v>2056</v>
      </c>
      <c r="AQ17" s="73" t="s">
        <v>1290</v>
      </c>
      <c r="AR17" s="27">
        <v>45776</v>
      </c>
      <c r="AS17" s="73" t="s">
        <v>2063</v>
      </c>
      <c r="AU17" s="18" t="str">
        <f>VLOOKUP(AV17,'Help Page'!E:F,2,0)</f>
        <v>NCR</v>
      </c>
      <c r="AV17" s="18" t="str">
        <f t="shared" si="16"/>
        <v>NCR-C-Cr&amp;D-LT-Nsc</v>
      </c>
      <c r="AW17" s="18" t="str">
        <f t="shared" si="17"/>
        <v>AAA.ru</v>
      </c>
      <c r="AX17" s="18" t="str">
        <f t="shared" si="18"/>
        <v>Стабильный</v>
      </c>
      <c r="AY17" s="18" t="str">
        <f t="shared" si="19"/>
        <v>Подтвержден</v>
      </c>
      <c r="AZ17" s="27">
        <f t="shared" si="20"/>
        <v>45776</v>
      </c>
      <c r="BA17" s="18" t="str">
        <f t="shared" si="21"/>
        <v>Issuer</v>
      </c>
      <c r="BC17" s="18" t="e">
        <f>VLOOKUP(BD17,'Help Page'!E:F,2,0)</f>
        <v>#N/A</v>
      </c>
      <c r="BD17" s="73"/>
      <c r="BE17" s="73"/>
      <c r="BF17" s="73"/>
      <c r="BG17" s="73"/>
      <c r="BH17" s="73"/>
      <c r="BI17" s="73"/>
      <c r="BK17" s="18" t="e">
        <f>VLOOKUP(BL17,'Help Page'!E:F,2,0)</f>
        <v>#N/A</v>
      </c>
      <c r="BL17" s="18">
        <f t="shared" si="22"/>
        <v>0</v>
      </c>
      <c r="BM17" s="18">
        <f t="shared" si="2"/>
        <v>0</v>
      </c>
      <c r="BN17" s="18">
        <f t="shared" si="3"/>
        <v>0</v>
      </c>
      <c r="BO17" s="18">
        <f t="shared" si="4"/>
        <v>0</v>
      </c>
      <c r="BP17" s="27">
        <f t="shared" si="5"/>
        <v>0</v>
      </c>
      <c r="BQ17" s="18">
        <f t="shared" si="6"/>
        <v>0</v>
      </c>
      <c r="BT17" s="18" t="s">
        <v>1337</v>
      </c>
      <c r="BU17" s="18" t="str">
        <f>IFERROR(IF(VLOOKUP(BT17,AU:BA,7,0)="Issuer",VLOOKUP(BT17,AU:BA,3,0)&amp;"/"&amp;VLOOKUP(BT17,AU:BA,4,0),""),"")</f>
        <v>aaa.ru/Стабильный</v>
      </c>
      <c r="BV17" s="28">
        <f>IFERROR(IF(VLOOKUP(BT17,AU:BA,7,0)="Issuer",VLOOKUP(BT17,AU:BA,6,0),""),"")</f>
        <v>45776</v>
      </c>
      <c r="BW17" s="18" t="s">
        <v>1414</v>
      </c>
      <c r="CA17" s="94" t="s">
        <v>1306</v>
      </c>
      <c r="CB17" s="81" t="s">
        <v>1304</v>
      </c>
      <c r="CC17" s="81">
        <v>80535</v>
      </c>
      <c r="CD17" s="109"/>
      <c r="CF17" s="18"/>
      <c r="CG17" s="18"/>
      <c r="CH17" s="18" t="s">
        <v>2108</v>
      </c>
      <c r="CI17" s="18" t="str">
        <f>_xll.ReferenceParams(CH17,$CI$6 )</f>
        <v>Погашен</v>
      </c>
      <c r="CJ17" s="27">
        <f>_xll.ReferenceParams(CH17,$CJ$6 )</f>
        <v>42458</v>
      </c>
      <c r="CK17" s="27" t="str">
        <f>_xll.ReferenceParams(CH17,$CK$6)</f>
        <v>Облигация</v>
      </c>
      <c r="CL17" s="18">
        <f t="shared" si="23"/>
        <v>0</v>
      </c>
      <c r="CM17" s="18"/>
      <c r="DM17" s="1"/>
    </row>
    <row r="18" spans="1:117" x14ac:dyDescent="0.3">
      <c r="A18" s="17" t="s">
        <v>361</v>
      </c>
      <c r="B18" s="31" t="str">
        <f>_xll.EfirEndOfDay(,$L$6,A18,"LAST_TRADE_DATE",,$B$1,,0)</f>
        <v/>
      </c>
      <c r="D18" s="20">
        <f t="shared" si="1"/>
        <v>46007</v>
      </c>
      <c r="E18" s="73">
        <f>_xll.CbondsClosePrice($B$1,D18,VLOOKUP($B$27,'Help Page'!$M:$N,2,0))</f>
        <v>94.95</v>
      </c>
      <c r="F18" s="73">
        <f t="shared" si="0"/>
        <v>94.95</v>
      </c>
      <c r="G18" s="33">
        <f>IF(F18 = "","",IFERROR(IF($G$1 = "YTM",_xll.CbondsCalcYTM($B$1,D18,F18),_xll.CbondsCalcYTP($B$1,D18,F18)),"")*100)</f>
        <v>6.9855448720058995</v>
      </c>
      <c r="J18" s="21">
        <v>13</v>
      </c>
      <c r="K18" s="27">
        <f>VLOOKUP(K17,'Help Page'!A:B,2,0)</f>
        <v>45658</v>
      </c>
      <c r="L18" s="28">
        <f>VLOOKUP(K18,'Help Page'!A:C,3,0)</f>
        <v>45656</v>
      </c>
      <c r="M18" s="69">
        <f>IF(_xll.CbondsClosePrice($B$1,L18,VLOOKUP($B$27,'Help Page'!$M:$N,2,0)) = "Нет данных","",_xll.CbondsClosePrice($B$1,L18,VLOOKUP($B$27,'Help Page'!$M:$N,2,0)))</f>
        <v>85.44</v>
      </c>
      <c r="N18" s="33">
        <f>IFERROR(IF($N$5 = "YTM",_xll.CbondsCalcYTM($B$1,L18,M18),_xll.CbondsCalcYTP($B$1,L18,M18)),"")</f>
        <v>0.10294074691303</v>
      </c>
      <c r="O18" s="71">
        <f>IFERROR(IF($O$5 = "DURATION to maturity",_xll.CbondsCalcDuration($B$1,L18,M18),_xll.CbondsCalcDurationToPutCall($B$1,L18,M18)),"")</f>
        <v>934.80566447935996</v>
      </c>
      <c r="P18" s="31">
        <f t="shared" si="7"/>
        <v>2.5611114095324932</v>
      </c>
      <c r="Q18" s="33">
        <f>IFERROR(_xll.GCurve(L18,O18,$Q$4)/100,"")</f>
        <v>0.17730653256187201</v>
      </c>
      <c r="R18" s="31">
        <f t="shared" si="8"/>
        <v>-743.65785648842007</v>
      </c>
      <c r="S18" s="109">
        <f t="shared" si="9"/>
        <v>10.294074691302999</v>
      </c>
      <c r="T18" s="109">
        <f t="shared" si="10"/>
        <v>17.7306532561872</v>
      </c>
      <c r="U18" s="27">
        <f t="shared" si="11"/>
        <v>45658</v>
      </c>
      <c r="W18" s="18" t="e">
        <f>VLOOKUP(X18,'Help Page'!E:F,2,0)</f>
        <v>#N/A</v>
      </c>
      <c r="X18" s="73"/>
      <c r="Y18" s="73"/>
      <c r="Z18" s="73"/>
      <c r="AA18" s="73"/>
      <c r="AB18" s="73"/>
      <c r="AC18" s="73"/>
      <c r="AE18" s="18" t="e">
        <f>VLOOKUP(AF18,'Help Page'!E:F,2,0)</f>
        <v>#N/A</v>
      </c>
      <c r="AF18" s="18">
        <f t="shared" si="12"/>
        <v>0</v>
      </c>
      <c r="AG18" s="18">
        <f t="shared" si="13"/>
        <v>0</v>
      </c>
      <c r="AH18" s="18"/>
      <c r="AI18" s="18">
        <f t="shared" si="14"/>
        <v>0</v>
      </c>
      <c r="AJ18" s="27">
        <f t="shared" si="15"/>
        <v>0</v>
      </c>
      <c r="AK18" s="18"/>
      <c r="AM18" s="18" t="e">
        <f>VLOOKUP(AN18,'Help Page'!E:F,2,0)</f>
        <v>#N/A</v>
      </c>
      <c r="AN18" s="73" t="s">
        <v>2147</v>
      </c>
      <c r="AO18" s="73" t="s">
        <v>2144</v>
      </c>
      <c r="AP18" s="73" t="s">
        <v>2056</v>
      </c>
      <c r="AQ18" s="73" t="s">
        <v>2145</v>
      </c>
      <c r="AR18" s="27">
        <v>45791</v>
      </c>
      <c r="AS18" s="73" t="s">
        <v>2063</v>
      </c>
      <c r="AU18" s="18" t="e">
        <f>VLOOKUP(AV18,'Help Page'!E:F,2,0)</f>
        <v>#N/A</v>
      </c>
      <c r="AV18" s="18" t="str">
        <f t="shared" si="16"/>
        <v>AKRA-C-Cr&amp;D-LT-Nsc</v>
      </c>
      <c r="AW18" s="18" t="str">
        <f t="shared" si="17"/>
        <v>AA+(RU)</v>
      </c>
      <c r="AX18" s="18" t="str">
        <f t="shared" si="18"/>
        <v>Стабильный</v>
      </c>
      <c r="AY18" s="18" t="str">
        <f t="shared" si="19"/>
        <v>Понижен</v>
      </c>
      <c r="AZ18" s="27">
        <f t="shared" si="20"/>
        <v>45791</v>
      </c>
      <c r="BA18" s="18" t="str">
        <f t="shared" si="21"/>
        <v>Issuer</v>
      </c>
      <c r="BC18" s="18" t="e">
        <f>VLOOKUP(BD18,'Help Page'!E:F,2,0)</f>
        <v>#N/A</v>
      </c>
      <c r="BD18" s="73"/>
      <c r="BE18" s="73"/>
      <c r="BF18" s="73"/>
      <c r="BG18" s="73"/>
      <c r="BH18" s="73"/>
      <c r="BI18" s="73"/>
      <c r="BK18" s="18" t="e">
        <f>VLOOKUP(BL18,'Help Page'!E:F,2,0)</f>
        <v>#N/A</v>
      </c>
      <c r="BL18" s="18">
        <f t="shared" si="22"/>
        <v>0</v>
      </c>
      <c r="BM18" s="18">
        <f t="shared" si="2"/>
        <v>0</v>
      </c>
      <c r="BN18" s="18">
        <f t="shared" si="3"/>
        <v>0</v>
      </c>
      <c r="BO18" s="18">
        <f t="shared" si="4"/>
        <v>0</v>
      </c>
      <c r="BP18" s="27">
        <f t="shared" si="5"/>
        <v>0</v>
      </c>
      <c r="BQ18" s="18">
        <f t="shared" si="6"/>
        <v>0</v>
      </c>
      <c r="BT18" s="18" t="s">
        <v>1412</v>
      </c>
      <c r="BU18" s="18" t="str">
        <f>IFERROR(IF(VLOOKUP(BT18,AU:BA,7,0)="Issuer",VLOOKUP(BT18,AU:BA,3,0)&amp;"/"&amp;VLOOKUP(BT18,AU:BA,4,0),""),"")</f>
        <v/>
      </c>
      <c r="BV18" s="28" t="str">
        <f>IFERROR(IF(VLOOKUP(BT18,AU:BA,7,0)="Issuer",VLOOKUP(BT18,AU:BA,6,0),""),"")</f>
        <v/>
      </c>
      <c r="BW18" s="18" t="s">
        <v>1412</v>
      </c>
      <c r="CA18" s="94" t="s">
        <v>2048</v>
      </c>
      <c r="CB18" s="113" t="s">
        <v>1302</v>
      </c>
      <c r="CC18" s="113">
        <v>80519</v>
      </c>
      <c r="CD18" s="109"/>
      <c r="CF18" s="18"/>
      <c r="CG18" s="18"/>
      <c r="CH18" s="18" t="s">
        <v>2109</v>
      </c>
      <c r="CI18" s="18" t="str">
        <f>_xll.ReferenceParams(CH18,$CI$6 )</f>
        <v>В обращении</v>
      </c>
      <c r="CJ18" s="27">
        <f>_xll.ReferenceParams(CH18,$CJ$6 )</f>
        <v>43761</v>
      </c>
      <c r="CK18" s="27" t="str">
        <f>_xll.ReferenceParams(CH18,$CK$6)</f>
        <v>Облигация</v>
      </c>
      <c r="CL18" s="18">
        <f t="shared" si="23"/>
        <v>1</v>
      </c>
      <c r="CM18" s="18"/>
      <c r="DM18" s="1"/>
    </row>
    <row r="19" spans="1:117" x14ac:dyDescent="0.3">
      <c r="A19" s="17" t="s">
        <v>362</v>
      </c>
      <c r="B19" s="31" t="e">
        <f>_xll.EfirEndOfDay(,$L$6,A19,"LAST_TRADE_DATE",,$B$1,,0)/365</f>
        <v>#VALUE!</v>
      </c>
      <c r="D19" s="20">
        <f t="shared" si="1"/>
        <v>46006</v>
      </c>
      <c r="E19" s="73">
        <f>_xll.CbondsClosePrice($B$1,D19,VLOOKUP($B$27,'Help Page'!$M:$N,2,0))</f>
        <v>95.019499999999994</v>
      </c>
      <c r="F19" s="73">
        <f t="shared" si="0"/>
        <v>95.019499999999994</v>
      </c>
      <c r="G19" s="33">
        <f>IF(F19 = "","",IFERROR(IF($G$1 = "YTM",_xll.CbondsCalcYTM($B$1,D19,F19),_xll.CbondsCalcYTP($B$1,D19,F19)),"")*100)</f>
        <v>6.9348222064155003</v>
      </c>
      <c r="W19" s="18" t="e">
        <f>VLOOKUP(X19,'Help Page'!E:F,2,0)</f>
        <v>#N/A</v>
      </c>
      <c r="X19" s="73"/>
      <c r="Y19" s="73"/>
      <c r="Z19" s="73"/>
      <c r="AA19" s="73"/>
      <c r="AB19" s="73"/>
      <c r="AC19" s="73"/>
      <c r="AE19" s="18" t="e">
        <f>VLOOKUP(AF19,'Help Page'!E:F,2,0)</f>
        <v>#N/A</v>
      </c>
      <c r="AF19" s="18">
        <f t="shared" si="12"/>
        <v>0</v>
      </c>
      <c r="AG19" s="18">
        <f t="shared" si="13"/>
        <v>0</v>
      </c>
      <c r="AH19" s="18"/>
      <c r="AI19" s="18">
        <f t="shared" si="14"/>
        <v>0</v>
      </c>
      <c r="AJ19" s="27">
        <f t="shared" si="15"/>
        <v>0</v>
      </c>
      <c r="AK19" s="18"/>
      <c r="AM19" s="18" t="e">
        <f>VLOOKUP(AN19,'Help Page'!E:F,2,0)</f>
        <v>#N/A</v>
      </c>
      <c r="AN19" s="73"/>
      <c r="AO19" s="73"/>
      <c r="AP19" s="73"/>
      <c r="AQ19" s="73"/>
      <c r="AR19" s="73"/>
      <c r="AS19" s="73"/>
      <c r="AU19" s="18" t="e">
        <f>VLOOKUP(AV19,'Help Page'!E:F,2,0)</f>
        <v>#N/A</v>
      </c>
      <c r="AV19" s="18">
        <f t="shared" si="16"/>
        <v>0</v>
      </c>
      <c r="AW19" s="18">
        <f t="shared" si="17"/>
        <v>0</v>
      </c>
      <c r="AX19" s="18">
        <f t="shared" si="18"/>
        <v>0</v>
      </c>
      <c r="AY19" s="18">
        <f t="shared" si="19"/>
        <v>0</v>
      </c>
      <c r="AZ19" s="27">
        <f t="shared" si="20"/>
        <v>0</v>
      </c>
      <c r="BA19" s="18">
        <f t="shared" si="21"/>
        <v>0</v>
      </c>
      <c r="BC19" s="18" t="e">
        <f>VLOOKUP(BD19,'Help Page'!E:F,2,0)</f>
        <v>#N/A</v>
      </c>
      <c r="BD19" s="73"/>
      <c r="BE19" s="73"/>
      <c r="BF19" s="73"/>
      <c r="BG19" s="73"/>
      <c r="BH19" s="73"/>
      <c r="BI19" s="73"/>
      <c r="BK19" s="18" t="e">
        <f>VLOOKUP(BL19,'Help Page'!E:F,2,0)</f>
        <v>#N/A</v>
      </c>
      <c r="BL19" s="18">
        <f t="shared" si="22"/>
        <v>0</v>
      </c>
      <c r="BM19" s="18">
        <f t="shared" si="2"/>
        <v>0</v>
      </c>
      <c r="BN19" s="18">
        <f t="shared" si="3"/>
        <v>0</v>
      </c>
      <c r="BO19" s="18">
        <f t="shared" si="4"/>
        <v>0</v>
      </c>
      <c r="BP19" s="27">
        <f t="shared" si="5"/>
        <v>0</v>
      </c>
      <c r="BQ19" s="18">
        <f t="shared" si="6"/>
        <v>0</v>
      </c>
      <c r="BT19" s="91"/>
      <c r="BU19" s="91"/>
      <c r="BV19" s="91"/>
      <c r="BW19" s="91"/>
      <c r="CA19" s="94" t="s">
        <v>1255</v>
      </c>
      <c r="CB19" s="81" t="s">
        <v>1259</v>
      </c>
      <c r="CC19" s="81">
        <v>9225</v>
      </c>
      <c r="CD19" s="109"/>
      <c r="CF19" s="18"/>
      <c r="CG19" s="18"/>
      <c r="CH19" s="18" t="s">
        <v>2110</v>
      </c>
      <c r="CI19" s="18" t="str">
        <f>_xll.ReferenceParams(CH19,$CI$6 )</f>
        <v>В обращении</v>
      </c>
      <c r="CJ19" s="27">
        <f>_xll.ReferenceParams(CH19,$CJ$6 )</f>
        <v>43873</v>
      </c>
      <c r="CK19" s="27" t="str">
        <f>_xll.ReferenceParams(CH19,$CK$6)</f>
        <v>Облигация</v>
      </c>
      <c r="CL19" s="18">
        <f t="shared" si="23"/>
        <v>1</v>
      </c>
      <c r="CM19" s="18"/>
      <c r="DM19" s="1"/>
    </row>
    <row r="20" spans="1:117" x14ac:dyDescent="0.3">
      <c r="A20" s="17" t="s">
        <v>368</v>
      </c>
      <c r="B20" s="71" t="str">
        <f>_xll.EfirEndOfDay(,$L$6,A19,"LAST_TRADE_DATE",,$B$1,,0)</f>
        <v/>
      </c>
      <c r="D20" s="20">
        <f t="shared" si="1"/>
        <v>46005</v>
      </c>
      <c r="E20" s="73" t="str">
        <f>_xll.CbondsClosePrice($B$1,D20,VLOOKUP($B$27,'Help Page'!$M:$N,2,0))</f>
        <v>Нет данных</v>
      </c>
      <c r="F20" s="73">
        <f t="shared" si="0"/>
        <v>95.587299999999999</v>
      </c>
      <c r="G20" s="33">
        <f>IF(F20 = "","",IFERROR(IF($G$1 = "YTM",_xll.CbondsCalcYTM($B$1,D20,F20),_xll.CbondsCalcYTP($B$1,D20,F20)),"")*100)</f>
        <v>6.5539046697158998</v>
      </c>
      <c r="J20" s="8" t="s">
        <v>337</v>
      </c>
      <c r="K20" s="14"/>
      <c r="N20" s="12"/>
      <c r="W20" s="18" t="e">
        <f>VLOOKUP(X20,'Help Page'!E:F,2,0)</f>
        <v>#N/A</v>
      </c>
      <c r="X20" s="73"/>
      <c r="Y20" s="73"/>
      <c r="Z20" s="73"/>
      <c r="AA20" s="73"/>
      <c r="AB20" s="73"/>
      <c r="AC20" s="73"/>
      <c r="AE20" s="18" t="e">
        <f>VLOOKUP(AF20,'Help Page'!E:F,2,0)</f>
        <v>#N/A</v>
      </c>
      <c r="AF20" s="18">
        <f t="shared" si="12"/>
        <v>0</v>
      </c>
      <c r="AG20" s="18">
        <f t="shared" si="13"/>
        <v>0</v>
      </c>
      <c r="AH20" s="18"/>
      <c r="AI20" s="18">
        <f t="shared" si="14"/>
        <v>0</v>
      </c>
      <c r="AJ20" s="27">
        <f t="shared" si="15"/>
        <v>0</v>
      </c>
      <c r="AK20" s="18"/>
      <c r="AM20" s="18" t="e">
        <f>VLOOKUP(AN20,'Help Page'!E:F,2,0)</f>
        <v>#N/A</v>
      </c>
      <c r="AN20" s="73"/>
      <c r="AO20" s="73"/>
      <c r="AP20" s="73"/>
      <c r="AQ20" s="73"/>
      <c r="AR20" s="73"/>
      <c r="AS20" s="73"/>
      <c r="AU20" s="18" t="e">
        <f>VLOOKUP(AV20,'Help Page'!E:F,2,0)</f>
        <v>#N/A</v>
      </c>
      <c r="AV20" s="18">
        <f t="shared" si="16"/>
        <v>0</v>
      </c>
      <c r="AW20" s="18">
        <f t="shared" si="17"/>
        <v>0</v>
      </c>
      <c r="AX20" s="18">
        <f t="shared" si="18"/>
        <v>0</v>
      </c>
      <c r="AY20" s="18">
        <f t="shared" si="19"/>
        <v>0</v>
      </c>
      <c r="AZ20" s="27">
        <f t="shared" si="20"/>
        <v>0</v>
      </c>
      <c r="BA20" s="18">
        <f t="shared" si="21"/>
        <v>0</v>
      </c>
      <c r="BC20" s="18" t="e">
        <f>VLOOKUP(BD20,'Help Page'!E:F,2,0)</f>
        <v>#N/A</v>
      </c>
      <c r="BD20" s="73"/>
      <c r="BE20" s="73"/>
      <c r="BF20" s="73"/>
      <c r="BG20" s="73"/>
      <c r="BH20" s="73"/>
      <c r="BI20" s="73"/>
      <c r="BK20" s="18" t="e">
        <f>VLOOKUP(BL20,'Help Page'!E:F,2,0)</f>
        <v>#N/A</v>
      </c>
      <c r="BL20" s="18">
        <f t="shared" si="22"/>
        <v>0</v>
      </c>
      <c r="BM20" s="18">
        <f t="shared" si="2"/>
        <v>0</v>
      </c>
      <c r="BN20" s="18">
        <f t="shared" si="3"/>
        <v>0</v>
      </c>
      <c r="BO20" s="18">
        <f t="shared" si="4"/>
        <v>0</v>
      </c>
      <c r="BP20" s="27">
        <f t="shared" si="5"/>
        <v>0</v>
      </c>
      <c r="BQ20" s="18">
        <f t="shared" si="6"/>
        <v>0</v>
      </c>
      <c r="BT20" s="91"/>
      <c r="BU20" s="91"/>
      <c r="BV20" s="91"/>
      <c r="BW20" s="91"/>
      <c r="CA20" s="94" t="s">
        <v>1307</v>
      </c>
      <c r="CB20" s="81" t="s">
        <v>1308</v>
      </c>
      <c r="CC20" s="81">
        <v>80495</v>
      </c>
      <c r="CD20" s="109"/>
      <c r="CF20" s="18"/>
      <c r="CG20" s="18"/>
      <c r="CH20" s="18"/>
      <c r="CI20" s="18" t="str">
        <f>_xll.ReferenceParams(CH20,$CI$6 )</f>
        <v/>
      </c>
      <c r="CJ20" s="27" t="str">
        <f>_xll.ReferenceParams(CH20,$CJ$6 )</f>
        <v/>
      </c>
      <c r="CK20" s="27" t="str">
        <f>_xll.ReferenceParams(CH20,$CK$6)</f>
        <v/>
      </c>
      <c r="CL20" s="18" t="str">
        <f t="shared" si="23"/>
        <v/>
      </c>
      <c r="CM20" s="18"/>
      <c r="DM20" s="1"/>
    </row>
    <row r="21" spans="1:117" x14ac:dyDescent="0.3">
      <c r="A21" s="72" t="s">
        <v>367</v>
      </c>
      <c r="B21" s="31" t="e">
        <f>_xll.GCurve(L6,B20,$Q$4)</f>
        <v>#VALUE!</v>
      </c>
      <c r="D21" s="20">
        <f t="shared" si="1"/>
        <v>46004</v>
      </c>
      <c r="E21" s="73" t="str">
        <f>_xll.CbondsClosePrice($B$1,D21,VLOOKUP($B$27,'Help Page'!$M:$N,2,0))</f>
        <v>Нет данных</v>
      </c>
      <c r="F21" s="73">
        <f t="shared" si="0"/>
        <v>95.587299999999999</v>
      </c>
      <c r="G21" s="33">
        <f>IF(F21 = "","",IFERROR(IF($G$1 = "YTM",_xll.CbondsCalcYTM($B$1,D21,F21),_xll.CbondsCalcYTP($B$1,D21,F21)),"")*100)</f>
        <v>6.5495445585425998</v>
      </c>
      <c r="J21" s="17" t="s">
        <v>339</v>
      </c>
      <c r="K21" s="17" t="s">
        <v>340</v>
      </c>
      <c r="L21" s="17" t="s">
        <v>341</v>
      </c>
      <c r="M21" s="17" t="s">
        <v>342</v>
      </c>
      <c r="N21" s="17" t="s">
        <v>343</v>
      </c>
      <c r="P21" s="8"/>
      <c r="W21" s="18" t="e">
        <f>VLOOKUP(X21,'Help Page'!E:F,2,0)</f>
        <v>#N/A</v>
      </c>
      <c r="X21" s="73"/>
      <c r="Y21" s="73"/>
      <c r="Z21" s="73"/>
      <c r="AA21" s="73"/>
      <c r="AB21" s="73"/>
      <c r="AC21" s="73"/>
      <c r="AE21" s="18" t="e">
        <f>VLOOKUP(AF21,'Help Page'!E:F,2,0)</f>
        <v>#N/A</v>
      </c>
      <c r="AF21" s="18">
        <f t="shared" si="12"/>
        <v>0</v>
      </c>
      <c r="AG21" s="18">
        <f t="shared" si="13"/>
        <v>0</v>
      </c>
      <c r="AH21" s="18"/>
      <c r="AI21" s="18">
        <f t="shared" si="14"/>
        <v>0</v>
      </c>
      <c r="AJ21" s="27">
        <f t="shared" si="15"/>
        <v>0</v>
      </c>
      <c r="AK21" s="18"/>
      <c r="AM21" s="18" t="e">
        <f>VLOOKUP(AN21,'Help Page'!E:F,2,0)</f>
        <v>#N/A</v>
      </c>
      <c r="AN21" s="73"/>
      <c r="AO21" s="73"/>
      <c r="AP21" s="73"/>
      <c r="AQ21" s="73"/>
      <c r="AR21" s="73"/>
      <c r="AS21" s="73"/>
      <c r="AU21" s="18" t="e">
        <f>VLOOKUP(AV21,'Help Page'!E:F,2,0)</f>
        <v>#N/A</v>
      </c>
      <c r="AV21" s="18">
        <f t="shared" si="16"/>
        <v>0</v>
      </c>
      <c r="AW21" s="18">
        <f t="shared" si="17"/>
        <v>0</v>
      </c>
      <c r="AX21" s="18">
        <f t="shared" si="18"/>
        <v>0</v>
      </c>
      <c r="AY21" s="18">
        <f t="shared" si="19"/>
        <v>0</v>
      </c>
      <c r="AZ21" s="27">
        <f t="shared" si="20"/>
        <v>0</v>
      </c>
      <c r="BA21" s="18">
        <f t="shared" si="21"/>
        <v>0</v>
      </c>
      <c r="BC21" s="18" t="e">
        <f>VLOOKUP(BD21,'Help Page'!E:F,2,0)</f>
        <v>#N/A</v>
      </c>
      <c r="BD21" s="73"/>
      <c r="BE21" s="73"/>
      <c r="BF21" s="73"/>
      <c r="BG21" s="73"/>
      <c r="BH21" s="73"/>
      <c r="BI21" s="73"/>
      <c r="BK21" s="18" t="e">
        <f>VLOOKUP(BL21,'Help Page'!E:F,2,0)</f>
        <v>#N/A</v>
      </c>
      <c r="BL21" s="18">
        <f t="shared" si="22"/>
        <v>0</v>
      </c>
      <c r="BM21" s="18">
        <f t="shared" si="2"/>
        <v>0</v>
      </c>
      <c r="BN21" s="18">
        <f t="shared" si="3"/>
        <v>0</v>
      </c>
      <c r="BO21" s="18">
        <f t="shared" si="4"/>
        <v>0</v>
      </c>
      <c r="BP21" s="27">
        <f t="shared" si="5"/>
        <v>0</v>
      </c>
      <c r="BQ21" s="18">
        <f t="shared" si="6"/>
        <v>0</v>
      </c>
      <c r="BT21" s="17" t="s">
        <v>1245</v>
      </c>
      <c r="BV21" s="15"/>
      <c r="BW21" s="91"/>
      <c r="BX21" s="91"/>
      <c r="CA21" s="94"/>
      <c r="CB21" s="186"/>
      <c r="CC21" s="186"/>
      <c r="CD21" s="109"/>
      <c r="CF21" s="18"/>
      <c r="CG21" s="18"/>
      <c r="CH21" s="18"/>
      <c r="CI21" s="18" t="str">
        <f>_xll.ReferenceParams(CH21,$CI$6 )</f>
        <v/>
      </c>
      <c r="CJ21" s="27" t="str">
        <f>_xll.ReferenceParams(CH21,$CJ$6 )</f>
        <v/>
      </c>
      <c r="CK21" s="27" t="str">
        <f>_xll.ReferenceParams(CH21,$CK$6)</f>
        <v/>
      </c>
      <c r="CL21" s="18" t="str">
        <f t="shared" si="23"/>
        <v/>
      </c>
      <c r="CM21" s="18"/>
      <c r="DM21" s="1"/>
    </row>
    <row r="22" spans="1:117" x14ac:dyDescent="0.3">
      <c r="D22" s="20">
        <f t="shared" si="1"/>
        <v>46003</v>
      </c>
      <c r="E22" s="73">
        <f>_xll.CbondsClosePrice($B$1,D22,VLOOKUP($B$27,'Help Page'!$M:$N,2,0))</f>
        <v>95.587299999999999</v>
      </c>
      <c r="F22" s="73">
        <f t="shared" si="0"/>
        <v>95.587299999999999</v>
      </c>
      <c r="G22" s="33">
        <f>IF(F22 = "","",IFERROR(IF($G$1 = "YTM",_xll.CbondsCalcYTM($B$1,D22,F22),_xll.CbondsCalcYTP($B$1,D22,F22)),"")*100)</f>
        <v>6.5451993975620004</v>
      </c>
      <c r="I22" s="174"/>
      <c r="J22" s="65">
        <f>K26</f>
        <v>2016</v>
      </c>
      <c r="K22" s="30">
        <f>L26</f>
        <v>21</v>
      </c>
      <c r="L22" s="30">
        <f>M26</f>
        <v>16832967.525992345</v>
      </c>
      <c r="M22" s="30">
        <f>N26</f>
        <v>1000000000</v>
      </c>
      <c r="N22" s="33">
        <f>L22/M22</f>
        <v>1.6832967525992344E-2</v>
      </c>
      <c r="W22" s="18" t="e">
        <f>VLOOKUP(X22,'Help Page'!E:F,2,0)</f>
        <v>#N/A</v>
      </c>
      <c r="X22" s="73"/>
      <c r="Y22" s="73"/>
      <c r="Z22" s="73"/>
      <c r="AA22" s="73"/>
      <c r="AB22" s="73"/>
      <c r="AC22" s="73"/>
      <c r="AE22" s="18" t="e">
        <f>VLOOKUP(AF22,'Help Page'!E:F,2,0)</f>
        <v>#N/A</v>
      </c>
      <c r="AF22" s="18">
        <f t="shared" si="12"/>
        <v>0</v>
      </c>
      <c r="AG22" s="18">
        <f t="shared" si="13"/>
        <v>0</v>
      </c>
      <c r="AH22" s="18"/>
      <c r="AI22" s="18">
        <f t="shared" si="14"/>
        <v>0</v>
      </c>
      <c r="AJ22" s="27">
        <f t="shared" si="15"/>
        <v>0</v>
      </c>
      <c r="AK22" s="18"/>
      <c r="AM22" s="18" t="e">
        <f>VLOOKUP(AN22,'Help Page'!E:F,2,0)</f>
        <v>#N/A</v>
      </c>
      <c r="AN22" s="73"/>
      <c r="AO22" s="73"/>
      <c r="AP22" s="73"/>
      <c r="AQ22" s="73"/>
      <c r="AR22" s="73"/>
      <c r="AS22" s="73"/>
      <c r="AU22" s="18" t="e">
        <f>VLOOKUP(AV22,'Help Page'!E:F,2,0)</f>
        <v>#N/A</v>
      </c>
      <c r="AV22" s="18">
        <f t="shared" si="16"/>
        <v>0</v>
      </c>
      <c r="AW22" s="18">
        <f t="shared" si="17"/>
        <v>0</v>
      </c>
      <c r="AX22" s="18">
        <f t="shared" si="18"/>
        <v>0</v>
      </c>
      <c r="AY22" s="18">
        <f t="shared" si="19"/>
        <v>0</v>
      </c>
      <c r="AZ22" s="27">
        <f t="shared" si="20"/>
        <v>0</v>
      </c>
      <c r="BA22" s="18">
        <f t="shared" si="21"/>
        <v>0</v>
      </c>
      <c r="BC22" s="18" t="e">
        <f>VLOOKUP(BD22,'Help Page'!E:F,2,0)</f>
        <v>#N/A</v>
      </c>
      <c r="BD22" s="73"/>
      <c r="BE22" s="73"/>
      <c r="BF22" s="73"/>
      <c r="BG22" s="73"/>
      <c r="BH22" s="73"/>
      <c r="BI22" s="73"/>
      <c r="BK22" s="18" t="e">
        <f>VLOOKUP(BL22,'Help Page'!E:F,2,0)</f>
        <v>#N/A</v>
      </c>
      <c r="BL22" s="18">
        <f t="shared" si="22"/>
        <v>0</v>
      </c>
      <c r="BM22" s="18">
        <f t="shared" si="2"/>
        <v>0</v>
      </c>
      <c r="BN22" s="18">
        <f t="shared" si="3"/>
        <v>0</v>
      </c>
      <c r="BO22" s="18">
        <f t="shared" si="4"/>
        <v>0</v>
      </c>
      <c r="BP22" s="27">
        <f t="shared" si="5"/>
        <v>0</v>
      </c>
      <c r="BQ22" s="18">
        <f t="shared" si="6"/>
        <v>0</v>
      </c>
      <c r="BT22" s="17" t="s">
        <v>334</v>
      </c>
      <c r="BU22" s="17" t="s">
        <v>333</v>
      </c>
      <c r="BV22" s="29" t="s">
        <v>59</v>
      </c>
      <c r="BW22" s="17" t="s">
        <v>1413</v>
      </c>
      <c r="BX22" s="91"/>
      <c r="CA22" s="94" t="s">
        <v>2134</v>
      </c>
      <c r="CB22" s="186"/>
      <c r="CC22" s="186">
        <v>79135</v>
      </c>
      <c r="CD22" s="109">
        <f>_xll.CbondsIndexValue(CC22,$L$6)</f>
        <v>4.2126999999999999</v>
      </c>
      <c r="CF22" s="18"/>
      <c r="CG22" s="18"/>
      <c r="CH22" s="18" t="s">
        <v>2111</v>
      </c>
      <c r="CI22" s="18" t="str">
        <f>_xll.ReferenceParams(CH22,$CI$6 )</f>
        <v>Погашен</v>
      </c>
      <c r="CJ22" s="27">
        <f>_xll.ReferenceParams(CH22,$CJ$6 )</f>
        <v>42425</v>
      </c>
      <c r="CK22" s="27" t="str">
        <f>_xll.ReferenceParams(CH22,$CK$6)</f>
        <v>Облигация</v>
      </c>
      <c r="CL22" s="18">
        <f t="shared" si="23"/>
        <v>0</v>
      </c>
      <c r="CM22" s="18"/>
      <c r="DM22" s="1"/>
    </row>
    <row r="23" spans="1:117" x14ac:dyDescent="0.3">
      <c r="A23" s="17" t="s">
        <v>1241</v>
      </c>
      <c r="B23" s="28" t="str">
        <f>IF(AND(B25&lt;&gt;"",B24=""),"Call",IF(AND(B25&lt;&gt;"",B24&lt;&gt;""),"Put","Нет"))</f>
        <v>Нет</v>
      </c>
      <c r="D23" s="20">
        <f t="shared" si="1"/>
        <v>46002</v>
      </c>
      <c r="E23" s="73">
        <f>_xll.CbondsClosePrice($B$1,D23,VLOOKUP($B$27,'Help Page'!$M:$N,2,0))</f>
        <v>94.1</v>
      </c>
      <c r="F23" s="73">
        <f t="shared" si="0"/>
        <v>94.1</v>
      </c>
      <c r="G23" s="33">
        <f>IF(F23 = "","",IFERROR(IF($G$1 = "YTM",_xll.CbondsCalcYTM($B$1,D23,F23),_xll.CbondsCalcYTP($B$1,D23,F23)),"")*100)</f>
        <v>7.5286184677571004</v>
      </c>
      <c r="I23" s="174"/>
      <c r="P23" s="1"/>
      <c r="R23" s="91"/>
      <c r="W23" s="18" t="e">
        <f>VLOOKUP(X23,'Help Page'!E:F,2,0)</f>
        <v>#N/A</v>
      </c>
      <c r="X23" s="73"/>
      <c r="Y23" s="73"/>
      <c r="Z23" s="73"/>
      <c r="AA23" s="73"/>
      <c r="AB23" s="73"/>
      <c r="AC23" s="73"/>
      <c r="AE23" s="18" t="e">
        <f>VLOOKUP(AF23,'Help Page'!E:F,2,0)</f>
        <v>#N/A</v>
      </c>
      <c r="AF23" s="18">
        <f t="shared" si="12"/>
        <v>0</v>
      </c>
      <c r="AG23" s="18">
        <f t="shared" si="13"/>
        <v>0</v>
      </c>
      <c r="AH23" s="18"/>
      <c r="AI23" s="18">
        <f t="shared" si="14"/>
        <v>0</v>
      </c>
      <c r="AJ23" s="27">
        <f t="shared" si="15"/>
        <v>0</v>
      </c>
      <c r="AK23" s="18"/>
      <c r="AM23" s="18" t="e">
        <f>VLOOKUP(AN23,'Help Page'!E:F,2,0)</f>
        <v>#N/A</v>
      </c>
      <c r="AN23" s="73"/>
      <c r="AO23" s="73"/>
      <c r="AP23" s="73"/>
      <c r="AQ23" s="73"/>
      <c r="AR23" s="73"/>
      <c r="AS23" s="73"/>
      <c r="AU23" s="18" t="e">
        <f>VLOOKUP(AV23,'Help Page'!E:F,2,0)</f>
        <v>#N/A</v>
      </c>
      <c r="AV23" s="18">
        <f t="shared" si="16"/>
        <v>0</v>
      </c>
      <c r="AW23" s="18">
        <f t="shared" si="17"/>
        <v>0</v>
      </c>
      <c r="AX23" s="18">
        <f t="shared" si="18"/>
        <v>0</v>
      </c>
      <c r="AY23" s="18">
        <f t="shared" si="19"/>
        <v>0</v>
      </c>
      <c r="AZ23" s="27">
        <f t="shared" si="20"/>
        <v>0</v>
      </c>
      <c r="BA23" s="18">
        <f t="shared" si="21"/>
        <v>0</v>
      </c>
      <c r="BC23" s="18" t="e">
        <f>VLOOKUP(BD23,'Help Page'!E:F,2,0)</f>
        <v>#N/A</v>
      </c>
      <c r="BD23" s="73"/>
      <c r="BE23" s="73"/>
      <c r="BF23" s="73"/>
      <c r="BG23" s="73"/>
      <c r="BH23" s="73"/>
      <c r="BI23" s="73"/>
      <c r="BK23" s="18" t="e">
        <f>VLOOKUP(BL23,'Help Page'!E:F,2,0)</f>
        <v>#N/A</v>
      </c>
      <c r="BL23" s="18">
        <f t="shared" si="22"/>
        <v>0</v>
      </c>
      <c r="BM23" s="18">
        <f t="shared" si="2"/>
        <v>0</v>
      </c>
      <c r="BN23" s="18">
        <f t="shared" si="3"/>
        <v>0</v>
      </c>
      <c r="BO23" s="18">
        <f t="shared" si="4"/>
        <v>0</v>
      </c>
      <c r="BP23" s="27">
        <f t="shared" si="5"/>
        <v>0</v>
      </c>
      <c r="BQ23" s="18">
        <f t="shared" si="6"/>
        <v>0</v>
      </c>
      <c r="BT23" s="18" t="s">
        <v>1320</v>
      </c>
      <c r="BU23" s="18" t="str">
        <f>IFERROR(IF(VLOOKUP(BT23,BK:BQ,7,0)="Guarant 1",VLOOKUP(BT23,BK:BQ,3,0)&amp;"/"&amp;VLOOKUP(BT23,BK:BQ,4,0),""),"")</f>
        <v/>
      </c>
      <c r="BV23" s="28" t="str">
        <f>IFERROR(IF(VLOOKUP(BT23,BK:BQ,7,0)="Guarant 1",VLOOKUP(BT23,BK:BQ,6,0),""),"")</f>
        <v/>
      </c>
      <c r="BW23" s="18" t="s">
        <v>28</v>
      </c>
      <c r="BX23" s="91"/>
      <c r="CA23" s="94" t="s">
        <v>2126</v>
      </c>
      <c r="CB23" s="186"/>
      <c r="CC23" s="186">
        <v>98892</v>
      </c>
      <c r="CD23" s="109">
        <f>_xll.CbondsIndexValue(CC23,$L$6)</f>
        <v>7.5</v>
      </c>
      <c r="CF23" s="18"/>
      <c r="CG23" s="18"/>
      <c r="CH23" s="18" t="s">
        <v>2112</v>
      </c>
      <c r="CI23" s="18" t="str">
        <f>_xll.ReferenceParams(CH23,$CI$6 )</f>
        <v>Погашен</v>
      </c>
      <c r="CJ23" s="27">
        <f>_xll.ReferenceParams(CH23,$CJ$6 )</f>
        <v>42458</v>
      </c>
      <c r="CK23" s="27" t="str">
        <f>_xll.ReferenceParams(CH23,$CK$6)</f>
        <v>Облигация</v>
      </c>
      <c r="CL23" s="18">
        <f t="shared" si="23"/>
        <v>0</v>
      </c>
      <c r="CM23" s="18"/>
      <c r="DM23" s="1"/>
    </row>
    <row r="24" spans="1:117" x14ac:dyDescent="0.3">
      <c r="A24" s="17" t="s">
        <v>346</v>
      </c>
      <c r="B24" s="28" t="str">
        <f>_xll.BondDateParams($B$1,$L$6,A24)</f>
        <v/>
      </c>
      <c r="C24" t="s">
        <v>1240</v>
      </c>
      <c r="D24" s="20">
        <f t="shared" si="1"/>
        <v>46001</v>
      </c>
      <c r="E24" s="73">
        <f>_xll.CbondsClosePrice($B$1,D24,VLOOKUP($B$27,'Help Page'!$M:$N,2,0))</f>
        <v>94.25</v>
      </c>
      <c r="F24" s="73">
        <f t="shared" si="0"/>
        <v>94.25</v>
      </c>
      <c r="G24" s="33">
        <f>IF(F24 = "","",IFERROR(IF($G$1 = "YTM",_xll.CbondsCalcYTM($B$1,D24,F24),_xll.CbondsCalcYTP($B$1,D24,F24)),"")*100)</f>
        <v>7.4220415930283998</v>
      </c>
      <c r="I24" s="174"/>
      <c r="J24" s="8" t="s">
        <v>353</v>
      </c>
      <c r="K24" s="12">
        <v>67</v>
      </c>
      <c r="L24" s="12">
        <v>68</v>
      </c>
      <c r="M24" s="12"/>
      <c r="N24" s="12"/>
      <c r="O24" s="12">
        <v>36</v>
      </c>
      <c r="P24" s="64"/>
      <c r="R24" s="91"/>
      <c r="W24" s="18" t="e">
        <f>VLOOKUP(X24,'Help Page'!E:F,2,0)</f>
        <v>#N/A</v>
      </c>
      <c r="X24" s="73"/>
      <c r="Y24" s="73"/>
      <c r="Z24" s="73"/>
      <c r="AA24" s="73"/>
      <c r="AB24" s="73"/>
      <c r="AC24" s="73"/>
      <c r="AE24" s="18" t="e">
        <f>VLOOKUP(AF24,'Help Page'!E:F,2,0)</f>
        <v>#N/A</v>
      </c>
      <c r="AF24" s="18">
        <f t="shared" si="12"/>
        <v>0</v>
      </c>
      <c r="AG24" s="18">
        <f t="shared" si="13"/>
        <v>0</v>
      </c>
      <c r="AH24" s="18"/>
      <c r="AI24" s="18">
        <f t="shared" si="14"/>
        <v>0</v>
      </c>
      <c r="AJ24" s="27">
        <f t="shared" si="15"/>
        <v>0</v>
      </c>
      <c r="AK24" s="18"/>
      <c r="AM24" s="18" t="e">
        <f>VLOOKUP(AN24,'Help Page'!E:F,2,0)</f>
        <v>#N/A</v>
      </c>
      <c r="AN24" s="73"/>
      <c r="AO24" s="73"/>
      <c r="AP24" s="73"/>
      <c r="AQ24" s="73"/>
      <c r="AR24" s="73"/>
      <c r="AS24" s="73"/>
      <c r="AU24" s="18" t="e">
        <f>VLOOKUP(AV24,'Help Page'!E:F,2,0)</f>
        <v>#N/A</v>
      </c>
      <c r="AV24" s="18">
        <f t="shared" si="16"/>
        <v>0</v>
      </c>
      <c r="AW24" s="18">
        <f t="shared" si="17"/>
        <v>0</v>
      </c>
      <c r="AX24" s="18">
        <f t="shared" si="18"/>
        <v>0</v>
      </c>
      <c r="AY24" s="18">
        <f t="shared" si="19"/>
        <v>0</v>
      </c>
      <c r="AZ24" s="27">
        <f t="shared" si="20"/>
        <v>0</v>
      </c>
      <c r="BA24" s="18">
        <f t="shared" si="21"/>
        <v>0</v>
      </c>
      <c r="BC24" s="18" t="e">
        <f>VLOOKUP(BD24,'Help Page'!E:F,2,0)</f>
        <v>#N/A</v>
      </c>
      <c r="BD24" s="73"/>
      <c r="BE24" s="73"/>
      <c r="BF24" s="73"/>
      <c r="BG24" s="73"/>
      <c r="BH24" s="73"/>
      <c r="BI24" s="73"/>
      <c r="BK24" s="18" t="e">
        <f>VLOOKUP(BL24,'Help Page'!E:F,2,0)</f>
        <v>#N/A</v>
      </c>
      <c r="BL24" s="18">
        <f t="shared" si="22"/>
        <v>0</v>
      </c>
      <c r="BM24" s="18">
        <f t="shared" si="2"/>
        <v>0</v>
      </c>
      <c r="BN24" s="18">
        <f t="shared" si="3"/>
        <v>0</v>
      </c>
      <c r="BO24" s="18">
        <f t="shared" si="4"/>
        <v>0</v>
      </c>
      <c r="BP24" s="27">
        <f t="shared" si="5"/>
        <v>0</v>
      </c>
      <c r="BQ24" s="18">
        <f t="shared" si="6"/>
        <v>0</v>
      </c>
      <c r="BT24" s="18" t="s">
        <v>1336</v>
      </c>
      <c r="BU24" s="18" t="str">
        <f>IFERROR(IF(VLOOKUP(BT24,BK:BQ,7,0)="Guarant 1",VLOOKUP(BT24,BK:BQ,3,0)&amp;"/"&amp;VLOOKUP(BT24,BK:BQ,4,0),""),"")</f>
        <v/>
      </c>
      <c r="BV24" s="28" t="str">
        <f>IFERROR(IF(VLOOKUP(BT24,BK:BQ,7,0)="Guarant 1",VLOOKUP(BT24,BK:BQ,6,0),""),"")</f>
        <v/>
      </c>
      <c r="BW24" s="18" t="s">
        <v>72</v>
      </c>
      <c r="BX24" s="91"/>
      <c r="CA24" s="94" t="s">
        <v>2128</v>
      </c>
      <c r="CB24" s="186"/>
      <c r="CC24" s="186">
        <v>161895</v>
      </c>
      <c r="CD24" s="109">
        <f>_xll.CbondsIndexValue(CC24,$L$6)</f>
        <v>8.3800000000000008</v>
      </c>
      <c r="CF24" s="18"/>
      <c r="CG24" s="18"/>
      <c r="CH24" s="18" t="s">
        <v>2113</v>
      </c>
      <c r="CI24" s="18" t="str">
        <f>_xll.ReferenceParams(CH24,$CI$6 )</f>
        <v>В обращении</v>
      </c>
      <c r="CJ24" s="27">
        <f>_xll.ReferenceParams(CH24,$CJ$6 )</f>
        <v>43584</v>
      </c>
      <c r="CK24" s="27" t="str">
        <f>_xll.ReferenceParams(CH24,$CK$6)</f>
        <v>Облигация</v>
      </c>
      <c r="CL24" s="18">
        <f t="shared" si="23"/>
        <v>1</v>
      </c>
      <c r="CM24" s="18"/>
      <c r="DM24" s="1"/>
    </row>
    <row r="25" spans="1:117" x14ac:dyDescent="0.3">
      <c r="A25" s="17" t="s">
        <v>346</v>
      </c>
      <c r="B25" s="28" t="str">
        <f>_xll.ReferenceParams($B$1,A25)</f>
        <v/>
      </c>
      <c r="C25" t="s">
        <v>1242</v>
      </c>
      <c r="D25" s="20">
        <f t="shared" si="1"/>
        <v>46000</v>
      </c>
      <c r="E25" s="73">
        <f>_xll.CbondsClosePrice($B$1,D25,VLOOKUP($B$27,'Help Page'!$M:$N,2,0))</f>
        <v>94.872900000000001</v>
      </c>
      <c r="F25" s="73">
        <f t="shared" si="0"/>
        <v>94.872900000000001</v>
      </c>
      <c r="G25" s="33">
        <f>IF(F25 = "","",IFERROR(IF($G$1 = "YTM",_xll.CbondsCalcYTM($B$1,D25,F25),_xll.CbondsCalcYTP($B$1,D25,F25)),"")*100)</f>
        <v>7.0018585490649006</v>
      </c>
      <c r="I25" s="174"/>
      <c r="J25" s="17" t="s">
        <v>1</v>
      </c>
      <c r="K25" s="17" t="s">
        <v>339</v>
      </c>
      <c r="L25" s="17" t="s">
        <v>340</v>
      </c>
      <c r="M25" s="17" t="s">
        <v>341</v>
      </c>
      <c r="N25" s="17" t="s">
        <v>342</v>
      </c>
      <c r="O25" s="17" t="s">
        <v>343</v>
      </c>
      <c r="P25" s="72" t="s">
        <v>354</v>
      </c>
      <c r="R25" s="117"/>
      <c r="T25" s="64"/>
      <c r="W25" s="18" t="e">
        <f>VLOOKUP(X25,'Help Page'!E:F,2,0)</f>
        <v>#N/A</v>
      </c>
      <c r="X25" s="73"/>
      <c r="Y25" s="73"/>
      <c r="Z25" s="73"/>
      <c r="AA25" s="73"/>
      <c r="AB25" s="73"/>
      <c r="AC25" s="73"/>
      <c r="AE25" s="18" t="e">
        <f>VLOOKUP(AF25,'Help Page'!E:F,2,0)</f>
        <v>#N/A</v>
      </c>
      <c r="AF25" s="18">
        <f t="shared" si="12"/>
        <v>0</v>
      </c>
      <c r="AG25" s="18">
        <f t="shared" si="13"/>
        <v>0</v>
      </c>
      <c r="AH25" s="18"/>
      <c r="AI25" s="18">
        <f t="shared" si="14"/>
        <v>0</v>
      </c>
      <c r="AJ25" s="27">
        <f t="shared" si="15"/>
        <v>0</v>
      </c>
      <c r="AK25" s="18"/>
      <c r="AM25" s="18" t="e">
        <f>VLOOKUP(AN25,'Help Page'!E:F,2,0)</f>
        <v>#N/A</v>
      </c>
      <c r="AN25" s="73"/>
      <c r="AO25" s="73"/>
      <c r="AP25" s="73"/>
      <c r="AQ25" s="73"/>
      <c r="AR25" s="73"/>
      <c r="AS25" s="73"/>
      <c r="AU25" s="18" t="e">
        <f>VLOOKUP(AV25,'Help Page'!E:F,2,0)</f>
        <v>#N/A</v>
      </c>
      <c r="AV25" s="18">
        <f t="shared" si="16"/>
        <v>0</v>
      </c>
      <c r="AW25" s="18">
        <f t="shared" si="17"/>
        <v>0</v>
      </c>
      <c r="AX25" s="18">
        <f t="shared" si="18"/>
        <v>0</v>
      </c>
      <c r="AY25" s="18">
        <f t="shared" si="19"/>
        <v>0</v>
      </c>
      <c r="AZ25" s="27">
        <f t="shared" si="20"/>
        <v>0</v>
      </c>
      <c r="BA25" s="18">
        <f t="shared" si="21"/>
        <v>0</v>
      </c>
      <c r="BC25" s="18" t="e">
        <f>VLOOKUP(BD25,'Help Page'!E:F,2,0)</f>
        <v>#N/A</v>
      </c>
      <c r="BD25" s="73"/>
      <c r="BE25" s="73"/>
      <c r="BF25" s="73"/>
      <c r="BG25" s="73"/>
      <c r="BH25" s="73"/>
      <c r="BI25" s="73"/>
      <c r="BK25" s="18" t="e">
        <f>VLOOKUP(BL25,'Help Page'!E:F,2,0)</f>
        <v>#N/A</v>
      </c>
      <c r="BL25" s="18">
        <f t="shared" si="22"/>
        <v>0</v>
      </c>
      <c r="BM25" s="18">
        <f t="shared" si="2"/>
        <v>0</v>
      </c>
      <c r="BN25" s="18">
        <f t="shared" si="3"/>
        <v>0</v>
      </c>
      <c r="BO25" s="18">
        <f t="shared" si="4"/>
        <v>0</v>
      </c>
      <c r="BP25" s="27">
        <f t="shared" si="5"/>
        <v>0</v>
      </c>
      <c r="BQ25" s="18">
        <f t="shared" si="6"/>
        <v>0</v>
      </c>
      <c r="BT25" s="18" t="s">
        <v>1337</v>
      </c>
      <c r="BU25" s="18" t="str">
        <f>IFERROR(IF(VLOOKUP(BT25,BK:BQ,7,0)="Guarant 1",VLOOKUP(BT25,BK:BQ,3,0)&amp;"/"&amp;VLOOKUP(BT25,BK:BQ,4,0),""),"")</f>
        <v/>
      </c>
      <c r="BV25" s="28" t="str">
        <f>IFERROR(IF(VLOOKUP(BT25,BK:BQ,7,0)="Guarant 1",VLOOKUP(BT25,BK:BQ,6,0),""),"")</f>
        <v/>
      </c>
      <c r="BW25" s="18" t="s">
        <v>1414</v>
      </c>
      <c r="BX25" s="91"/>
      <c r="CA25" s="94" t="s">
        <v>2129</v>
      </c>
      <c r="CB25" s="186"/>
      <c r="CC25" s="186">
        <v>161939</v>
      </c>
      <c r="CD25" s="109">
        <f>_xll.CbondsIndexValue(CC25,$L$6)</f>
        <v>8.3800000000000008</v>
      </c>
      <c r="CF25" s="18"/>
      <c r="CG25" s="18"/>
      <c r="CH25" s="18" t="s">
        <v>2114</v>
      </c>
      <c r="CI25" s="18" t="str">
        <f>_xll.ReferenceParams(CH25,$CI$6 )</f>
        <v>В обращении</v>
      </c>
      <c r="CJ25" s="27">
        <f>_xll.ReferenceParams(CH25,$CJ$6 )</f>
        <v>43986</v>
      </c>
      <c r="CK25" s="27" t="str">
        <f>_xll.ReferenceParams(CH25,$CK$6)</f>
        <v>Облигация</v>
      </c>
      <c r="CL25" s="18">
        <f t="shared" si="23"/>
        <v>1</v>
      </c>
      <c r="CM25" s="18"/>
      <c r="DM25" s="1"/>
    </row>
    <row r="26" spans="1:117" x14ac:dyDescent="0.3">
      <c r="D26" s="20">
        <f t="shared" si="1"/>
        <v>45999</v>
      </c>
      <c r="E26" s="73">
        <f>_xll.CbondsClosePrice($B$1,D26,VLOOKUP($B$27,'Help Page'!$M:$N,2,0))</f>
        <v>95.299400000000006</v>
      </c>
      <c r="F26" s="73">
        <f t="shared" si="0"/>
        <v>95.299400000000006</v>
      </c>
      <c r="G26" s="33">
        <f>IF(F26 = "","",IFERROR(IF($G$1 = "YTM",_xll.CbondsCalcYTM($B$1,D26,F26),_xll.CbondsCalcYTP($B$1,D26,F26)),"")*100)</f>
        <v>6.7159507491143993</v>
      </c>
      <c r="I26" s="174">
        <v>1</v>
      </c>
      <c r="J26" s="18" t="str">
        <f>B1</f>
        <v>RU000A1057D4</v>
      </c>
      <c r="K26" s="19">
        <f>VLOOKUP("ID"&amp;$I26,Activity!$A:$BP,K$24,0)</f>
        <v>2016</v>
      </c>
      <c r="L26" s="19">
        <f>VLOOKUP("ID"&amp;$I26,Activity!$A:$BP,L$24,0)</f>
        <v>21</v>
      </c>
      <c r="M26" s="178">
        <f>N26*O26</f>
        <v>16832967.525992345</v>
      </c>
      <c r="N26" s="65">
        <f>_xll.ReferenceParams(J26,$N$25)</f>
        <v>1000000000</v>
      </c>
      <c r="O26" s="176">
        <f>VLOOKUP("ID"&amp;$I26,Activity!$A:$BP,O$24,0)</f>
        <v>1.6832967525992344E-2</v>
      </c>
      <c r="P26" s="116" t="str">
        <f>IF(J26 = "",M26,IF(AND(K26&gt;=10,L26&gt;=5,O26&gt;=0.001),"Активный","Не активный"))</f>
        <v>Активный</v>
      </c>
      <c r="R26" s="118"/>
      <c r="T26" s="64"/>
      <c r="W26" s="18" t="e">
        <f>VLOOKUP(X26,'Help Page'!E:F,2,0)</f>
        <v>#N/A</v>
      </c>
      <c r="X26" s="73"/>
      <c r="Y26" s="73"/>
      <c r="Z26" s="73"/>
      <c r="AA26" s="73"/>
      <c r="AB26" s="73"/>
      <c r="AC26" s="73"/>
      <c r="AE26" s="18" t="e">
        <f>VLOOKUP(AF26,'Help Page'!E:F,2,0)</f>
        <v>#N/A</v>
      </c>
      <c r="AF26" s="18">
        <f t="shared" si="12"/>
        <v>0</v>
      </c>
      <c r="AG26" s="18">
        <f t="shared" si="13"/>
        <v>0</v>
      </c>
      <c r="AH26" s="18"/>
      <c r="AI26" s="18">
        <f t="shared" si="14"/>
        <v>0</v>
      </c>
      <c r="AJ26" s="27">
        <f t="shared" si="15"/>
        <v>0</v>
      </c>
      <c r="AK26" s="18"/>
      <c r="AM26" s="18" t="e">
        <f>VLOOKUP(AN26,'Help Page'!E:F,2,0)</f>
        <v>#N/A</v>
      </c>
      <c r="AN26" s="73"/>
      <c r="AO26" s="73"/>
      <c r="AP26" s="73"/>
      <c r="AQ26" s="73"/>
      <c r="AR26" s="73"/>
      <c r="AS26" s="73"/>
      <c r="AU26" s="18" t="e">
        <f>VLOOKUP(AV26,'Help Page'!E:F,2,0)</f>
        <v>#N/A</v>
      </c>
      <c r="AV26" s="18">
        <f t="shared" si="16"/>
        <v>0</v>
      </c>
      <c r="AW26" s="18">
        <f t="shared" si="17"/>
        <v>0</v>
      </c>
      <c r="AX26" s="18">
        <f t="shared" si="18"/>
        <v>0</v>
      </c>
      <c r="AY26" s="18">
        <f t="shared" si="19"/>
        <v>0</v>
      </c>
      <c r="AZ26" s="27">
        <f t="shared" si="20"/>
        <v>0</v>
      </c>
      <c r="BA26" s="18">
        <f t="shared" si="21"/>
        <v>0</v>
      </c>
      <c r="BC26" s="18" t="e">
        <f>VLOOKUP(BD26,'Help Page'!E:F,2,0)</f>
        <v>#N/A</v>
      </c>
      <c r="BD26" s="73"/>
      <c r="BE26" s="73"/>
      <c r="BF26" s="73"/>
      <c r="BG26" s="73"/>
      <c r="BH26" s="73"/>
      <c r="BI26" s="73"/>
      <c r="BK26" s="18" t="e">
        <f>VLOOKUP(BL26,'Help Page'!E:F,2,0)</f>
        <v>#N/A</v>
      </c>
      <c r="BL26" s="18">
        <f t="shared" si="22"/>
        <v>0</v>
      </c>
      <c r="BM26" s="18">
        <f t="shared" si="2"/>
        <v>0</v>
      </c>
      <c r="BN26" s="18">
        <f t="shared" si="3"/>
        <v>0</v>
      </c>
      <c r="BO26" s="18">
        <f t="shared" si="4"/>
        <v>0</v>
      </c>
      <c r="BP26" s="27">
        <f t="shared" si="5"/>
        <v>0</v>
      </c>
      <c r="BQ26" s="18">
        <f t="shared" si="6"/>
        <v>0</v>
      </c>
      <c r="BT26" s="18" t="s">
        <v>1412</v>
      </c>
      <c r="BU26" s="18" t="str">
        <f>IFERROR(IF(VLOOKUP(BT26,BK:BQ,7,0)="Guarant 1",VLOOKUP(BT26,BK:BQ,3,0)&amp;"/"&amp;VLOOKUP(BT26,BK:BQ,4,0),""),"")</f>
        <v/>
      </c>
      <c r="BV26" s="28" t="str">
        <f>IFERROR(IF(VLOOKUP(BT26,BK:BQ,7,0)="Guarant 1",VLOOKUP(BT26,BK:BQ,6,0),""),"")</f>
        <v/>
      </c>
      <c r="BW26" s="18" t="s">
        <v>1412</v>
      </c>
      <c r="BX26" s="91"/>
      <c r="CA26" s="94" t="s">
        <v>2130</v>
      </c>
      <c r="CB26" s="186"/>
      <c r="CC26" s="186">
        <v>161949</v>
      </c>
      <c r="CD26" s="109">
        <f>_xll.CbondsIndexValue(CC26,$L$6)</f>
        <v>8.3800000000000008</v>
      </c>
      <c r="CF26" s="18"/>
      <c r="CG26" s="18"/>
      <c r="CH26" s="18"/>
      <c r="CI26" s="18" t="str">
        <f>_xll.ReferenceParams(CH26,$CI$6 )</f>
        <v/>
      </c>
      <c r="CJ26" s="27" t="str">
        <f>_xll.ReferenceParams(CH26,$CJ$6 )</f>
        <v/>
      </c>
      <c r="CK26" s="27" t="str">
        <f>_xll.ReferenceParams(CH26,$CK$6)</f>
        <v/>
      </c>
      <c r="CL26" s="18" t="str">
        <f t="shared" si="23"/>
        <v/>
      </c>
      <c r="CM26" s="18"/>
      <c r="DM26" s="1"/>
    </row>
    <row r="27" spans="1:117" x14ac:dyDescent="0.3">
      <c r="A27" s="17" t="s">
        <v>2040</v>
      </c>
      <c r="B27" s="112" t="s">
        <v>2094</v>
      </c>
      <c r="D27" s="20">
        <f t="shared" si="1"/>
        <v>45998</v>
      </c>
      <c r="E27" s="73" t="str">
        <f>_xll.CbondsClosePrice($B$1,D27,VLOOKUP($B$27,'Help Page'!$M:$N,2,0))</f>
        <v>Нет данных</v>
      </c>
      <c r="F27" s="73">
        <f t="shared" si="0"/>
        <v>95.775999999999996</v>
      </c>
      <c r="G27" s="33">
        <f>IF(F27 = "","",IFERROR(IF($G$1 = "YTM",_xll.CbondsCalcYTM($B$1,D27,F27),_xll.CbondsCalcYTP($B$1,D27,F27)),"")*100)</f>
        <v>6.4003746913658999</v>
      </c>
      <c r="I27" s="174">
        <v>2</v>
      </c>
      <c r="J27" s="100" t="s">
        <v>1063</v>
      </c>
      <c r="K27" s="179">
        <f>VLOOKUP("ID"&amp;$I27,Activity!$A:$BP,K$24,0)</f>
        <v>0</v>
      </c>
      <c r="L27" s="179">
        <f>VLOOKUP("ID"&amp;$I27,Activity!$A:$BP,L$24,0)</f>
        <v>0</v>
      </c>
      <c r="M27" s="180">
        <f>N27*O27</f>
        <v>0</v>
      </c>
      <c r="N27" s="177">
        <f>_xll.ReferenceParams(J27,$N$25)</f>
        <v>239029200</v>
      </c>
      <c r="O27" s="175">
        <f>VLOOKUP("ID"&amp;$I27,Activity!$A:$BP,O$24,0)</f>
        <v>0</v>
      </c>
      <c r="P27" s="116" t="str">
        <f t="shared" ref="P27:P32" si="24">IF(J27 = "",M27,IF(AND(K27&gt;=10,L27&gt;=5,O27&gt;=0.001),"Активный","Не активный"))</f>
        <v>Не активный</v>
      </c>
      <c r="R27" s="118"/>
      <c r="T27" s="64"/>
      <c r="W27" s="18" t="e">
        <f>VLOOKUP(X27,'Help Page'!E:F,2,0)</f>
        <v>#N/A</v>
      </c>
      <c r="X27" s="73"/>
      <c r="Y27" s="73"/>
      <c r="Z27" s="73"/>
      <c r="AA27" s="73"/>
      <c r="AB27" s="73"/>
      <c r="AC27" s="73"/>
      <c r="AE27" s="18" t="e">
        <f>VLOOKUP(AF27,'Help Page'!E:F,2,0)</f>
        <v>#N/A</v>
      </c>
      <c r="AF27" s="18">
        <f t="shared" si="12"/>
        <v>0</v>
      </c>
      <c r="AG27" s="18">
        <f t="shared" si="13"/>
        <v>0</v>
      </c>
      <c r="AH27" s="18"/>
      <c r="AI27" s="18">
        <f t="shared" si="14"/>
        <v>0</v>
      </c>
      <c r="AJ27" s="27">
        <f t="shared" si="15"/>
        <v>0</v>
      </c>
      <c r="AK27" s="18"/>
      <c r="AM27" s="18" t="e">
        <f>VLOOKUP(AN27,'Help Page'!E:F,2,0)</f>
        <v>#N/A</v>
      </c>
      <c r="AN27" s="73"/>
      <c r="AO27" s="73"/>
      <c r="AP27" s="73"/>
      <c r="AQ27" s="73"/>
      <c r="AR27" s="73"/>
      <c r="AS27" s="73"/>
      <c r="AU27" s="18" t="e">
        <f>VLOOKUP(AV27,'Help Page'!E:F,2,0)</f>
        <v>#N/A</v>
      </c>
      <c r="AV27" s="18">
        <f t="shared" si="16"/>
        <v>0</v>
      </c>
      <c r="AW27" s="18">
        <f t="shared" si="17"/>
        <v>0</v>
      </c>
      <c r="AX27" s="18">
        <f t="shared" si="18"/>
        <v>0</v>
      </c>
      <c r="AY27" s="18">
        <f t="shared" si="19"/>
        <v>0</v>
      </c>
      <c r="AZ27" s="27">
        <f t="shared" si="20"/>
        <v>0</v>
      </c>
      <c r="BA27" s="18">
        <f t="shared" si="21"/>
        <v>0</v>
      </c>
      <c r="BC27" s="18" t="e">
        <f>VLOOKUP(BD27,'Help Page'!E:F,2,0)</f>
        <v>#N/A</v>
      </c>
      <c r="BD27" s="73"/>
      <c r="BE27" s="73"/>
      <c r="BF27" s="73"/>
      <c r="BG27" s="73"/>
      <c r="BH27" s="73"/>
      <c r="BI27" s="73"/>
      <c r="BK27" s="18" t="e">
        <f>VLOOKUP(BL27,'Help Page'!E:F,2,0)</f>
        <v>#N/A</v>
      </c>
      <c r="BL27" s="18">
        <f t="shared" si="22"/>
        <v>0</v>
      </c>
      <c r="BM27" s="18">
        <f t="shared" si="2"/>
        <v>0</v>
      </c>
      <c r="BN27" s="18">
        <f t="shared" si="3"/>
        <v>0</v>
      </c>
      <c r="BO27" s="18">
        <f t="shared" si="4"/>
        <v>0</v>
      </c>
      <c r="BP27" s="27">
        <f t="shared" si="5"/>
        <v>0</v>
      </c>
      <c r="BQ27" s="18">
        <f t="shared" si="6"/>
        <v>0</v>
      </c>
      <c r="BW27" s="91"/>
      <c r="BX27" s="91"/>
      <c r="CA27" s="94" t="s">
        <v>2131</v>
      </c>
      <c r="CB27" s="186"/>
      <c r="CC27" s="186">
        <v>76731</v>
      </c>
      <c r="CD27" s="109">
        <f>_xll.CbondsIndexValue(CC27,$L$6)</f>
        <v>2.9005580000000002</v>
      </c>
      <c r="CF27" s="18"/>
      <c r="CG27" s="18"/>
      <c r="CH27" s="18"/>
      <c r="CI27" s="18" t="str">
        <f>_xll.ReferenceParams(CH27,$CI$6 )</f>
        <v/>
      </c>
      <c r="CJ27" s="27" t="str">
        <f>_xll.ReferenceParams(CH27,$CJ$6 )</f>
        <v/>
      </c>
      <c r="CK27" s="27" t="str">
        <f>_xll.ReferenceParams(CH27,$CK$6)</f>
        <v/>
      </c>
      <c r="CL27" s="18" t="str">
        <f t="shared" si="23"/>
        <v/>
      </c>
      <c r="CM27" s="18"/>
      <c r="DM27" s="1"/>
    </row>
    <row r="28" spans="1:117" x14ac:dyDescent="0.3">
      <c r="D28" s="20">
        <f t="shared" si="1"/>
        <v>45997</v>
      </c>
      <c r="E28" s="73" t="str">
        <f>_xll.CbondsClosePrice($B$1,D28,VLOOKUP($B$27,'Help Page'!$M:$N,2,0))</f>
        <v>Нет данных</v>
      </c>
      <c r="F28" s="73">
        <f t="shared" si="0"/>
        <v>95.775999999999996</v>
      </c>
      <c r="G28" s="33">
        <f>IF(F28 = "","",IFERROR(IF($G$1 = "YTM",_xll.CbondsCalcYTM($B$1,D28,F28),_xll.CbondsCalcYTP($B$1,D28,F28)),"")*100)</f>
        <v>6.3962058036034</v>
      </c>
      <c r="I28" s="174">
        <v>3</v>
      </c>
      <c r="J28" s="100"/>
      <c r="K28" s="179" t="str">
        <f>VLOOKUP("ID"&amp;$I28,Activity!$A:$BP,K$24,0)</f>
        <v/>
      </c>
      <c r="L28" s="179" t="str">
        <f>VLOOKUP("ID"&amp;$I28,Activity!$A:$BP,L$24,0)</f>
        <v/>
      </c>
      <c r="M28" s="180" t="e">
        <f t="shared" ref="M28:M32" si="25">N28*O28</f>
        <v>#VALUE!</v>
      </c>
      <c r="N28" s="177" t="str">
        <f>_xll.ReferenceParams(J28,$N$25)</f>
        <v/>
      </c>
      <c r="O28" s="175" t="str">
        <f>VLOOKUP("ID"&amp;$I28,Activity!$A:$BP,O$24,0)</f>
        <v/>
      </c>
      <c r="P28" s="116" t="e">
        <f t="shared" si="24"/>
        <v>#VALUE!</v>
      </c>
      <c r="R28" s="118"/>
      <c r="T28" s="64"/>
      <c r="W28" s="18" t="e">
        <f>VLOOKUP(X28,'Help Page'!E:F,2,0)</f>
        <v>#N/A</v>
      </c>
      <c r="X28" s="73"/>
      <c r="Y28" s="73"/>
      <c r="Z28" s="73"/>
      <c r="AA28" s="73"/>
      <c r="AB28" s="73"/>
      <c r="AC28" s="73"/>
      <c r="AE28" s="18" t="e">
        <f>VLOOKUP(AF28,'Help Page'!E:F,2,0)</f>
        <v>#N/A</v>
      </c>
      <c r="AF28" s="18">
        <f t="shared" si="12"/>
        <v>0</v>
      </c>
      <c r="AG28" s="18">
        <f t="shared" si="13"/>
        <v>0</v>
      </c>
      <c r="AH28" s="18"/>
      <c r="AI28" s="18">
        <f t="shared" si="14"/>
        <v>0</v>
      </c>
      <c r="AJ28" s="27">
        <f t="shared" si="15"/>
        <v>0</v>
      </c>
      <c r="AK28" s="18"/>
      <c r="AM28" s="18" t="e">
        <f>VLOOKUP(AN28,'Help Page'!E:F,2,0)</f>
        <v>#N/A</v>
      </c>
      <c r="AN28" s="73"/>
      <c r="AO28" s="73"/>
      <c r="AP28" s="73"/>
      <c r="AQ28" s="73"/>
      <c r="AR28" s="73"/>
      <c r="AS28" s="73"/>
      <c r="AU28" s="18" t="e">
        <f>VLOOKUP(AV28,'Help Page'!E:F,2,0)</f>
        <v>#N/A</v>
      </c>
      <c r="AV28" s="18">
        <f t="shared" si="16"/>
        <v>0</v>
      </c>
      <c r="AW28" s="18">
        <f t="shared" si="17"/>
        <v>0</v>
      </c>
      <c r="AX28" s="18">
        <f t="shared" si="18"/>
        <v>0</v>
      </c>
      <c r="AY28" s="18">
        <f t="shared" si="19"/>
        <v>0</v>
      </c>
      <c r="AZ28" s="27">
        <f t="shared" si="20"/>
        <v>0</v>
      </c>
      <c r="BA28" s="18">
        <f t="shared" si="21"/>
        <v>0</v>
      </c>
      <c r="BC28" s="18" t="e">
        <f>VLOOKUP(BD28,'Help Page'!E:F,2,0)</f>
        <v>#N/A</v>
      </c>
      <c r="BD28" s="73"/>
      <c r="BE28" s="73"/>
      <c r="BF28" s="73"/>
      <c r="BG28" s="73"/>
      <c r="BH28" s="73"/>
      <c r="BI28" s="73"/>
      <c r="BK28" s="18" t="e">
        <f>VLOOKUP(BL28,'Help Page'!E:F,2,0)</f>
        <v>#N/A</v>
      </c>
      <c r="BL28" s="18">
        <f t="shared" si="22"/>
        <v>0</v>
      </c>
      <c r="BM28" s="18">
        <f t="shared" si="2"/>
        <v>0</v>
      </c>
      <c r="BN28" s="18">
        <f t="shared" si="3"/>
        <v>0</v>
      </c>
      <c r="BO28" s="18">
        <f t="shared" si="4"/>
        <v>0</v>
      </c>
      <c r="BP28" s="27">
        <f t="shared" si="5"/>
        <v>0</v>
      </c>
      <c r="BQ28" s="18">
        <f t="shared" si="6"/>
        <v>0</v>
      </c>
      <c r="BT28" s="91"/>
      <c r="BU28" s="91"/>
      <c r="BV28" s="91"/>
      <c r="BW28" s="91"/>
      <c r="BX28" s="91"/>
      <c r="CA28" s="94" t="s">
        <v>2132</v>
      </c>
      <c r="CB28" s="186"/>
      <c r="CC28" s="186">
        <v>76809</v>
      </c>
      <c r="CD28" s="109">
        <f>_xll.CbondsIndexValue(CC28,$L$6)</f>
        <v>3.2487460000000001</v>
      </c>
      <c r="CF28" s="18"/>
      <c r="CG28" s="18"/>
      <c r="CH28" s="18"/>
      <c r="CI28" s="18" t="str">
        <f>_xll.ReferenceParams(CH28,$CI$6 )</f>
        <v/>
      </c>
      <c r="CJ28" s="27" t="str">
        <f>_xll.ReferenceParams(CH28,$CJ$6 )</f>
        <v/>
      </c>
      <c r="CK28" s="27" t="str">
        <f>_xll.ReferenceParams(CH28,$CK$6)</f>
        <v/>
      </c>
      <c r="CL28" s="18" t="str">
        <f t="shared" si="23"/>
        <v/>
      </c>
      <c r="CM28" s="18"/>
      <c r="DM28" s="1"/>
    </row>
    <row r="29" spans="1:117" x14ac:dyDescent="0.3">
      <c r="D29" s="20">
        <f t="shared" si="1"/>
        <v>45996</v>
      </c>
      <c r="E29" s="73">
        <f>_xll.CbondsClosePrice($B$1,D29,VLOOKUP($B$27,'Help Page'!$M:$N,2,0))</f>
        <v>95.775999999999996</v>
      </c>
      <c r="F29" s="73">
        <f t="shared" si="0"/>
        <v>95.775999999999996</v>
      </c>
      <c r="G29" s="33">
        <f>IF(F29 = "","",IFERROR(IF($G$1 = "YTM",_xll.CbondsCalcYTM($B$1,D29,F29),_xll.CbondsCalcYTP($B$1,D29,F29)),"")*100)</f>
        <v>6.3920511943285003</v>
      </c>
      <c r="I29" s="174">
        <v>4</v>
      </c>
      <c r="J29" s="100"/>
      <c r="K29" s="179" t="str">
        <f>VLOOKUP("ID"&amp;$I29,Activity!$A:$BP,K$24,0)</f>
        <v/>
      </c>
      <c r="L29" s="179" t="str">
        <f>VLOOKUP("ID"&amp;$I29,Activity!$A:$BP,L$24,0)</f>
        <v/>
      </c>
      <c r="M29" s="180" t="e">
        <f t="shared" si="25"/>
        <v>#VALUE!</v>
      </c>
      <c r="N29" s="177" t="str">
        <f>_xll.ReferenceParams(J29,$N$25)</f>
        <v/>
      </c>
      <c r="O29" s="175" t="str">
        <f>VLOOKUP("ID"&amp;$I29,Activity!$A:$BP,O$24,0)</f>
        <v/>
      </c>
      <c r="P29" s="116" t="e">
        <f t="shared" si="24"/>
        <v>#VALUE!</v>
      </c>
      <c r="R29" s="118"/>
      <c r="T29" s="64"/>
      <c r="X29" s="74"/>
      <c r="Y29" s="74"/>
      <c r="Z29" s="74"/>
      <c r="AA29" s="74"/>
      <c r="AB29" s="74"/>
      <c r="AC29" s="74"/>
      <c r="AM29" s="18" t="e">
        <f>VLOOKUP(AN29,'Help Page'!E:F,2,0)</f>
        <v>#N/A</v>
      </c>
      <c r="AN29" s="73"/>
      <c r="AO29" s="73"/>
      <c r="AP29" s="73"/>
      <c r="AQ29" s="73"/>
      <c r="AR29" s="73"/>
      <c r="AS29" s="73"/>
      <c r="AU29" s="18" t="e">
        <f>VLOOKUP(AV29,'Help Page'!E:F,2,0)</f>
        <v>#N/A</v>
      </c>
      <c r="AV29" s="18">
        <f t="shared" ref="AV29:AV53" si="26">IF(AO29&lt;&gt;"Снят",AN29," ")</f>
        <v>0</v>
      </c>
      <c r="AW29" s="18">
        <f t="shared" ref="AW29:AW53" si="27">IF(AO29&lt;&gt;"Снят",AO29," ")</f>
        <v>0</v>
      </c>
      <c r="AX29" s="18">
        <f t="shared" ref="AX29:AX53" si="28">IF(AO29&lt;&gt;"Снят",AP29," ")</f>
        <v>0</v>
      </c>
      <c r="AY29" s="18">
        <f t="shared" ref="AY29:AY53" si="29">IF(AO29&lt;&gt;"Снят",AQ29," ")</f>
        <v>0</v>
      </c>
      <c r="AZ29" s="27">
        <f t="shared" ref="AZ29:AZ53" si="30">IF(AO29&lt;&gt;"Снят",AR29," ")</f>
        <v>0</v>
      </c>
      <c r="BA29" s="18">
        <f t="shared" ref="BA29:BA53" si="31">IF(AO29&lt;&gt;"Снят",AS29," ")</f>
        <v>0</v>
      </c>
      <c r="BD29" s="74"/>
      <c r="BE29" s="74"/>
      <c r="BF29" s="74"/>
      <c r="BG29" s="74"/>
      <c r="BH29" s="74"/>
      <c r="BI29" s="74"/>
      <c r="BT29" s="91"/>
      <c r="BU29" s="91"/>
      <c r="BV29" s="91"/>
      <c r="BW29" s="91"/>
      <c r="BX29" s="91"/>
      <c r="CA29" s="94" t="s">
        <v>2133</v>
      </c>
      <c r="CB29" s="186"/>
      <c r="CC29" s="186">
        <v>86859</v>
      </c>
      <c r="CD29" s="109">
        <f>_xll.CbondsIndexValue(CC29,$L$6)</f>
        <v>1.8582000000000001</v>
      </c>
      <c r="CF29" s="18"/>
      <c r="CG29" s="18"/>
      <c r="CH29" s="18"/>
      <c r="CI29" s="18" t="str">
        <f>_xll.ReferenceParams(CH29,$CI$6 )</f>
        <v/>
      </c>
      <c r="CJ29" s="27" t="str">
        <f>_xll.ReferenceParams(CH29,$CJ$6 )</f>
        <v/>
      </c>
      <c r="CK29" s="27" t="str">
        <f>_xll.ReferenceParams(CH29,$CK$6)</f>
        <v/>
      </c>
      <c r="CL29" s="18" t="str">
        <f t="shared" si="23"/>
        <v/>
      </c>
      <c r="CM29" s="18"/>
      <c r="DM29" s="1"/>
    </row>
    <row r="30" spans="1:117" x14ac:dyDescent="0.3">
      <c r="D30" s="20">
        <f t="shared" si="1"/>
        <v>45995</v>
      </c>
      <c r="E30" s="73">
        <f>_xll.CbondsClosePrice($B$1,D30,VLOOKUP($B$27,'Help Page'!$M:$N,2,0))</f>
        <v>94.513099999999994</v>
      </c>
      <c r="F30" s="73">
        <f t="shared" si="0"/>
        <v>94.513099999999994</v>
      </c>
      <c r="G30" s="33">
        <f>IF(F30 = "","",IFERROR(IF($G$1 = "YTM",_xll.CbondsCalcYTM($B$1,D30,F30),_xll.CbondsCalcYTP($B$1,D30,F30)),"")*100)</f>
        <v>7.2140404968374998</v>
      </c>
      <c r="I30" s="174">
        <v>5</v>
      </c>
      <c r="J30" s="100"/>
      <c r="K30" s="179" t="str">
        <f>VLOOKUP("ID"&amp;$I30,Activity!$A:$BP,K$24,0)</f>
        <v/>
      </c>
      <c r="L30" s="179" t="str">
        <f>VLOOKUP("ID"&amp;$I30,Activity!$A:$BP,L$24,0)</f>
        <v/>
      </c>
      <c r="M30" s="180" t="e">
        <f t="shared" si="25"/>
        <v>#VALUE!</v>
      </c>
      <c r="N30" s="177" t="str">
        <f>_xll.ReferenceParams(J30,$N$25)</f>
        <v/>
      </c>
      <c r="O30" s="175" t="str">
        <f>VLOOKUP("ID"&amp;$I30,Activity!$A:$BP,O$24,0)</f>
        <v/>
      </c>
      <c r="P30" s="116" t="e">
        <f t="shared" si="24"/>
        <v>#VALUE!</v>
      </c>
      <c r="R30" s="118"/>
      <c r="T30" s="64"/>
      <c r="X30" s="74"/>
      <c r="Y30" s="74"/>
      <c r="Z30" s="74"/>
      <c r="AA30" s="74"/>
      <c r="AB30" s="74"/>
      <c r="AC30" s="74"/>
      <c r="AM30" s="18" t="e">
        <f>VLOOKUP(AN30,'Help Page'!E:F,2,0)</f>
        <v>#N/A</v>
      </c>
      <c r="AN30" s="73"/>
      <c r="AO30" s="73"/>
      <c r="AP30" s="73"/>
      <c r="AQ30" s="73"/>
      <c r="AR30" s="73"/>
      <c r="AS30" s="73"/>
      <c r="AU30" s="18" t="e">
        <f>VLOOKUP(AV30,'Help Page'!E:F,2,0)</f>
        <v>#N/A</v>
      </c>
      <c r="AV30" s="18">
        <f t="shared" si="26"/>
        <v>0</v>
      </c>
      <c r="AW30" s="18">
        <f t="shared" si="27"/>
        <v>0</v>
      </c>
      <c r="AX30" s="18">
        <f t="shared" si="28"/>
        <v>0</v>
      </c>
      <c r="AY30" s="18">
        <f t="shared" si="29"/>
        <v>0</v>
      </c>
      <c r="AZ30" s="27">
        <f t="shared" si="30"/>
        <v>0</v>
      </c>
      <c r="BA30" s="18">
        <f t="shared" si="31"/>
        <v>0</v>
      </c>
      <c r="BD30" s="74"/>
      <c r="BE30" s="74"/>
      <c r="BF30" s="74"/>
      <c r="BG30" s="74"/>
      <c r="BH30" s="74"/>
      <c r="BI30" s="74"/>
      <c r="BT30" s="91"/>
      <c r="BU30" s="91"/>
      <c r="BV30" s="91"/>
      <c r="BW30" s="91"/>
      <c r="BX30" s="91"/>
      <c r="CA30" s="94" t="s">
        <v>2127</v>
      </c>
      <c r="CB30" s="186"/>
      <c r="CC30" s="186">
        <v>91643</v>
      </c>
      <c r="CD30" s="109">
        <f>_xll.CbondsIndexValue(CC30,$L$6)</f>
        <v>7.4</v>
      </c>
      <c r="CF30" s="18"/>
      <c r="CG30" s="18"/>
      <c r="CH30" s="18" t="s">
        <v>2115</v>
      </c>
      <c r="CI30" s="18" t="str">
        <f>_xll.ReferenceParams(CH30,$CI$6 )</f>
        <v>Погашен</v>
      </c>
      <c r="CJ30" s="27">
        <f>_xll.ReferenceParams(CH30,$CJ$6 )</f>
        <v>41374</v>
      </c>
      <c r="CK30" s="27" t="str">
        <f>_xll.ReferenceParams(CH30,$CK$6)</f>
        <v>Облигация</v>
      </c>
      <c r="CL30" s="18">
        <f t="shared" si="23"/>
        <v>0</v>
      </c>
      <c r="CM30" s="18"/>
      <c r="DM30" s="1"/>
    </row>
    <row r="31" spans="1:117" x14ac:dyDescent="0.3">
      <c r="D31" s="20">
        <f t="shared" si="1"/>
        <v>45994</v>
      </c>
      <c r="E31" s="73">
        <f>_xll.CbondsClosePrice($B$1,D31,VLOOKUP($B$27,'Help Page'!$M:$N,2,0))</f>
        <v>94.899600000000007</v>
      </c>
      <c r="F31" s="73">
        <f t="shared" si="0"/>
        <v>94.899600000000007</v>
      </c>
      <c r="G31" s="33">
        <f>IF(F31 = "","",IFERROR(IF($G$1 = "YTM",_xll.CbondsCalcYTM($B$1,D31,F31),_xll.CbondsCalcYTP($B$1,D31,F31)),"")*100)</f>
        <v>6.9545315445669997</v>
      </c>
      <c r="I31" s="174">
        <v>6</v>
      </c>
      <c r="J31" s="100"/>
      <c r="K31" s="179" t="str">
        <f>VLOOKUP("ID"&amp;$I31,Activity!$A:$BP,K$24,0)</f>
        <v/>
      </c>
      <c r="L31" s="179" t="str">
        <f>VLOOKUP("ID"&amp;$I31,Activity!$A:$BP,L$24,0)</f>
        <v/>
      </c>
      <c r="M31" s="180" t="e">
        <f t="shared" si="25"/>
        <v>#VALUE!</v>
      </c>
      <c r="N31" s="177" t="str">
        <f>_xll.ReferenceParams(J31,$N$25)</f>
        <v/>
      </c>
      <c r="O31" s="175" t="str">
        <f>VLOOKUP("ID"&amp;$I31,Activity!$A:$BP,O$24,0)</f>
        <v/>
      </c>
      <c r="P31" s="116" t="e">
        <f t="shared" si="24"/>
        <v>#VALUE!</v>
      </c>
      <c r="R31" s="118"/>
      <c r="T31" s="64"/>
      <c r="X31" s="74"/>
      <c r="Y31" s="74"/>
      <c r="Z31" s="74"/>
      <c r="AA31" s="74"/>
      <c r="AB31" s="74"/>
      <c r="AC31" s="74"/>
      <c r="AM31" s="18" t="e">
        <f>VLOOKUP(AN31,'Help Page'!E:F,2,0)</f>
        <v>#N/A</v>
      </c>
      <c r="AN31" s="73"/>
      <c r="AO31" s="73"/>
      <c r="AP31" s="73"/>
      <c r="AQ31" s="73"/>
      <c r="AR31" s="73"/>
      <c r="AS31" s="73"/>
      <c r="AU31" s="18" t="e">
        <f>VLOOKUP(AV31,'Help Page'!E:F,2,0)</f>
        <v>#N/A</v>
      </c>
      <c r="AV31" s="18">
        <f t="shared" si="26"/>
        <v>0</v>
      </c>
      <c r="AW31" s="18">
        <f t="shared" si="27"/>
        <v>0</v>
      </c>
      <c r="AX31" s="18">
        <f t="shared" si="28"/>
        <v>0</v>
      </c>
      <c r="AY31" s="18">
        <f t="shared" si="29"/>
        <v>0</v>
      </c>
      <c r="AZ31" s="27">
        <f t="shared" si="30"/>
        <v>0</v>
      </c>
      <c r="BA31" s="18">
        <f t="shared" si="31"/>
        <v>0</v>
      </c>
      <c r="BD31" s="74"/>
      <c r="BE31" s="74"/>
      <c r="BF31" s="74"/>
      <c r="BG31" s="74"/>
      <c r="BH31" s="74"/>
      <c r="BI31" s="74"/>
      <c r="BT31" s="91"/>
      <c r="BU31" s="91"/>
      <c r="BV31" s="91"/>
      <c r="BW31" s="91"/>
      <c r="BX31" s="91"/>
      <c r="CA31" s="94"/>
      <c r="CB31" s="186"/>
      <c r="CC31" s="186"/>
      <c r="CD31" s="109"/>
      <c r="CF31" s="18"/>
      <c r="CG31" s="18"/>
      <c r="CH31" s="18" t="s">
        <v>2116</v>
      </c>
      <c r="CI31" s="18" t="str">
        <f>_xll.ReferenceParams(CH31,$CI$6 )</f>
        <v>Погашен</v>
      </c>
      <c r="CJ31" s="27">
        <f>_xll.ReferenceParams(CH31,$CJ$6 )</f>
        <v>42849</v>
      </c>
      <c r="CK31" s="27" t="str">
        <f>_xll.ReferenceParams(CH31,$CK$6)</f>
        <v>Облигация</v>
      </c>
      <c r="CL31" s="18">
        <f t="shared" si="23"/>
        <v>0</v>
      </c>
      <c r="CM31" s="18"/>
      <c r="DM31" s="1"/>
    </row>
    <row r="32" spans="1:117" x14ac:dyDescent="0.3">
      <c r="D32" s="20">
        <f t="shared" si="1"/>
        <v>45993</v>
      </c>
      <c r="E32" s="73">
        <f>_xll.CbondsClosePrice($B$1,D32,VLOOKUP($B$27,'Help Page'!$M:$N,2,0))</f>
        <v>94.284899999999993</v>
      </c>
      <c r="F32" s="73">
        <f t="shared" si="0"/>
        <v>94.284899999999993</v>
      </c>
      <c r="G32" s="33">
        <f>IF(F32 = "","",IFERROR(IF($G$1 = "YTM",_xll.CbondsCalcYTM($B$1,D32,F32),_xll.CbondsCalcYTP($B$1,D32,F32)),"")*100)</f>
        <v>7.3538228247857997</v>
      </c>
      <c r="I32" s="174">
        <v>7</v>
      </c>
      <c r="J32" s="100"/>
      <c r="K32" s="179" t="str">
        <f>VLOOKUP("ID"&amp;$I32,Activity!$A:$BP,K$24,0)</f>
        <v/>
      </c>
      <c r="L32" s="179" t="str">
        <f>VLOOKUP("ID"&amp;$I32,Activity!$A:$BP,L$24,0)</f>
        <v/>
      </c>
      <c r="M32" s="180" t="e">
        <f t="shared" si="25"/>
        <v>#VALUE!</v>
      </c>
      <c r="N32" s="177" t="str">
        <f>_xll.ReferenceParams(J32,$N$25)</f>
        <v/>
      </c>
      <c r="O32" s="175" t="str">
        <f>VLOOKUP("ID"&amp;$I32,Activity!$A:$BP,O$24,0)</f>
        <v/>
      </c>
      <c r="P32" s="116" t="e">
        <f t="shared" si="24"/>
        <v>#VALUE!</v>
      </c>
      <c r="R32" s="118"/>
      <c r="T32" s="64"/>
      <c r="X32" s="74"/>
      <c r="Y32" s="74"/>
      <c r="Z32" s="74"/>
      <c r="AA32" s="74"/>
      <c r="AB32" s="74"/>
      <c r="AC32" s="74"/>
      <c r="AM32" s="18" t="e">
        <f>VLOOKUP(AN32,'Help Page'!E:F,2,0)</f>
        <v>#N/A</v>
      </c>
      <c r="AN32" s="73"/>
      <c r="AO32" s="73"/>
      <c r="AP32" s="73"/>
      <c r="AQ32" s="73"/>
      <c r="AR32" s="73"/>
      <c r="AS32" s="73"/>
      <c r="AU32" s="18" t="e">
        <f>VLOOKUP(AV32,'Help Page'!E:F,2,0)</f>
        <v>#N/A</v>
      </c>
      <c r="AV32" s="18">
        <f t="shared" si="26"/>
        <v>0</v>
      </c>
      <c r="AW32" s="18">
        <f t="shared" si="27"/>
        <v>0</v>
      </c>
      <c r="AX32" s="18">
        <f t="shared" si="28"/>
        <v>0</v>
      </c>
      <c r="AY32" s="18">
        <f t="shared" si="29"/>
        <v>0</v>
      </c>
      <c r="AZ32" s="27">
        <f t="shared" si="30"/>
        <v>0</v>
      </c>
      <c r="BA32" s="18">
        <f t="shared" si="31"/>
        <v>0</v>
      </c>
      <c r="BD32" s="74"/>
      <c r="BE32" s="74"/>
      <c r="BF32" s="74"/>
      <c r="BG32" s="74"/>
      <c r="BH32" s="74"/>
      <c r="BI32" s="74"/>
      <c r="CA32" s="94"/>
      <c r="CB32" s="186"/>
      <c r="CC32" s="186"/>
      <c r="CD32" s="109"/>
      <c r="CF32" s="18"/>
      <c r="CG32" s="18"/>
      <c r="CH32" s="18" t="s">
        <v>2117</v>
      </c>
      <c r="CI32" s="18" t="str">
        <f>_xll.ReferenceParams(CH32,$CI$6 )</f>
        <v>В обращении</v>
      </c>
      <c r="CJ32" s="27">
        <f>_xll.ReferenceParams(CH32,$CJ$6 )</f>
        <v>44482</v>
      </c>
      <c r="CK32" s="27" t="str">
        <f>_xll.ReferenceParams(CH32,$CK$6)</f>
        <v>Облигация</v>
      </c>
      <c r="CL32" s="18">
        <f t="shared" si="23"/>
        <v>1</v>
      </c>
      <c r="CM32" s="18"/>
      <c r="DM32" s="1"/>
    </row>
    <row r="33" spans="4:117" x14ac:dyDescent="0.3">
      <c r="D33" s="20">
        <f t="shared" si="1"/>
        <v>45992</v>
      </c>
      <c r="E33" s="73">
        <f>_xll.CbondsClosePrice($B$1,D33,VLOOKUP($B$27,'Help Page'!$M:$N,2,0))</f>
        <v>95.698899999999995</v>
      </c>
      <c r="F33" s="73">
        <f t="shared" si="0"/>
        <v>95.698899999999995</v>
      </c>
      <c r="G33" s="33">
        <f>IF(F33 = "","",IFERROR(IF($G$1 = "YTM",_xll.CbondsCalcYTM($B$1,D33,F33),_xll.CbondsCalcYTP($B$1,D33,F33)),"")*100)</f>
        <v>6.4258833119711003</v>
      </c>
      <c r="I33" s="174"/>
      <c r="P33" s="1"/>
      <c r="X33" s="74"/>
      <c r="Y33" s="74"/>
      <c r="Z33" s="74"/>
      <c r="AA33" s="74"/>
      <c r="AB33" s="74"/>
      <c r="AC33" s="74"/>
      <c r="AM33" s="18" t="e">
        <f>VLOOKUP(AN33,'Help Page'!E:F,2,0)</f>
        <v>#N/A</v>
      </c>
      <c r="AN33" s="73"/>
      <c r="AO33" s="73"/>
      <c r="AP33" s="73"/>
      <c r="AQ33" s="73"/>
      <c r="AR33" s="73"/>
      <c r="AS33" s="73"/>
      <c r="AU33" s="18" t="e">
        <f>VLOOKUP(AV33,'Help Page'!E:F,2,0)</f>
        <v>#N/A</v>
      </c>
      <c r="AV33" s="18">
        <f t="shared" si="26"/>
        <v>0</v>
      </c>
      <c r="AW33" s="18">
        <f t="shared" si="27"/>
        <v>0</v>
      </c>
      <c r="AX33" s="18">
        <f t="shared" si="28"/>
        <v>0</v>
      </c>
      <c r="AY33" s="18">
        <f t="shared" si="29"/>
        <v>0</v>
      </c>
      <c r="AZ33" s="27">
        <f t="shared" si="30"/>
        <v>0</v>
      </c>
      <c r="BA33" s="18">
        <f t="shared" si="31"/>
        <v>0</v>
      </c>
      <c r="BD33" s="74"/>
      <c r="BE33" s="74"/>
      <c r="BF33" s="74"/>
      <c r="BG33" s="74"/>
      <c r="BH33" s="74"/>
      <c r="BI33" s="74"/>
      <c r="CA33" s="94"/>
      <c r="CB33" s="186"/>
      <c r="CC33" s="186"/>
      <c r="CD33" s="109"/>
      <c r="CF33" s="18"/>
      <c r="CG33" s="18"/>
      <c r="CH33" s="18" t="s">
        <v>2118</v>
      </c>
      <c r="CI33" s="18" t="str">
        <f>_xll.ReferenceParams(CH33,$CI$6 )</f>
        <v>Погашен</v>
      </c>
      <c r="CJ33" s="27">
        <f>_xll.ReferenceParams(CH33,$CJ$6 )</f>
        <v>44820</v>
      </c>
      <c r="CK33" s="27" t="str">
        <f>_xll.ReferenceParams(CH33,$CK$6)</f>
        <v>Облигация</v>
      </c>
      <c r="CL33" s="18">
        <f t="shared" si="23"/>
        <v>0</v>
      </c>
      <c r="CM33" s="18"/>
      <c r="DM33" s="1"/>
    </row>
    <row r="34" spans="4:117" x14ac:dyDescent="0.3">
      <c r="D34" s="20">
        <f t="shared" si="1"/>
        <v>45991</v>
      </c>
      <c r="E34" s="73" t="str">
        <f>_xll.CbondsClosePrice($B$1,D34,VLOOKUP($B$27,'Help Page'!$M:$N,2,0))</f>
        <v>Нет данных</v>
      </c>
      <c r="F34" s="73">
        <f t="shared" si="0"/>
        <v>95.8</v>
      </c>
      <c r="G34" s="33">
        <f>IF(F34 = "","",IFERROR(IF($G$1 = "YTM",_xll.CbondsCalcYTM($B$1,D34,F34),_xll.CbondsCalcYTP($B$1,D34,F34)),"")*100)</f>
        <v>6.3567093609722001</v>
      </c>
      <c r="J34" s="8" t="s">
        <v>357</v>
      </c>
      <c r="P34" s="1"/>
      <c r="X34" s="74"/>
      <c r="Y34" s="74"/>
      <c r="Z34" s="74"/>
      <c r="AA34" s="74"/>
      <c r="AB34" s="74"/>
      <c r="AC34" s="74"/>
      <c r="AM34" s="18" t="e">
        <f>VLOOKUP(AN34,'Help Page'!E:F,2,0)</f>
        <v>#N/A</v>
      </c>
      <c r="AN34" s="73"/>
      <c r="AO34" s="73"/>
      <c r="AP34" s="73"/>
      <c r="AQ34" s="73"/>
      <c r="AR34" s="73"/>
      <c r="AS34" s="73"/>
      <c r="AU34" s="18" t="e">
        <f>VLOOKUP(AV34,'Help Page'!E:F,2,0)</f>
        <v>#N/A</v>
      </c>
      <c r="AV34" s="18">
        <f t="shared" si="26"/>
        <v>0</v>
      </c>
      <c r="AW34" s="18">
        <f t="shared" si="27"/>
        <v>0</v>
      </c>
      <c r="AX34" s="18">
        <f t="shared" si="28"/>
        <v>0</v>
      </c>
      <c r="AY34" s="18">
        <f t="shared" si="29"/>
        <v>0</v>
      </c>
      <c r="AZ34" s="27">
        <f t="shared" si="30"/>
        <v>0</v>
      </c>
      <c r="BA34" s="18">
        <f t="shared" si="31"/>
        <v>0</v>
      </c>
      <c r="BD34" s="74"/>
      <c r="BE34" s="74"/>
      <c r="BF34" s="74"/>
      <c r="BG34" s="74"/>
      <c r="BH34" s="74"/>
      <c r="BI34" s="74"/>
      <c r="CA34" s="94"/>
      <c r="CB34" s="186"/>
      <c r="CC34" s="186"/>
      <c r="CD34" s="109"/>
      <c r="CF34" s="18"/>
      <c r="CG34" s="18"/>
      <c r="CH34" s="18" t="s">
        <v>2095</v>
      </c>
      <c r="CI34" s="18" t="str">
        <f>_xll.ReferenceParams(CH34,$CI$6 )</f>
        <v>В обращении</v>
      </c>
      <c r="CJ34" s="27">
        <f>_xll.ReferenceParams(CH34,$CJ$6 )</f>
        <v>44820</v>
      </c>
      <c r="CK34" s="27" t="str">
        <f>_xll.ReferenceParams(CH34,$CK$6)</f>
        <v>Облигация</v>
      </c>
      <c r="CL34" s="18">
        <f t="shared" si="23"/>
        <v>1</v>
      </c>
      <c r="CM34" s="18"/>
      <c r="DM34" s="1"/>
    </row>
    <row r="35" spans="4:117" x14ac:dyDescent="0.3">
      <c r="D35" s="20">
        <f t="shared" si="1"/>
        <v>45990</v>
      </c>
      <c r="E35" s="73" t="str">
        <f>_xll.CbondsClosePrice($B$1,D35,VLOOKUP($B$27,'Help Page'!$M:$N,2,0))</f>
        <v>Нет данных</v>
      </c>
      <c r="F35" s="73">
        <f t="shared" si="0"/>
        <v>95.8</v>
      </c>
      <c r="G35" s="33">
        <f>IF(F35 = "","",IFERROR(IF($G$1 = "YTM",_xll.CbondsCalcYTM($B$1,D35,F35),_xll.CbondsCalcYTP($B$1,D35,F35)),"")*100)</f>
        <v>6.3526616284719006</v>
      </c>
      <c r="J35" s="17" t="s">
        <v>1</v>
      </c>
      <c r="K35" s="17" t="s">
        <v>360</v>
      </c>
      <c r="L35" s="17" t="s">
        <v>358</v>
      </c>
      <c r="M35" s="17" t="s">
        <v>359</v>
      </c>
      <c r="N35" s="17" t="s">
        <v>2042</v>
      </c>
      <c r="O35" s="17" t="s">
        <v>65</v>
      </c>
      <c r="P35" s="17" t="s">
        <v>2043</v>
      </c>
      <c r="Q35" s="17" t="s">
        <v>2044</v>
      </c>
      <c r="R35" s="17" t="s">
        <v>596</v>
      </c>
      <c r="S35" s="17" t="s">
        <v>1065</v>
      </c>
      <c r="T35" s="17" t="s">
        <v>1310</v>
      </c>
      <c r="U35" s="17" t="s">
        <v>1309</v>
      </c>
      <c r="X35" s="74"/>
      <c r="Y35" s="74"/>
      <c r="Z35" s="74"/>
      <c r="AA35" s="74"/>
      <c r="AB35" s="74"/>
      <c r="AC35" s="74"/>
      <c r="AM35" s="18" t="e">
        <f>VLOOKUP(AN35,'Help Page'!E:F,2,0)</f>
        <v>#N/A</v>
      </c>
      <c r="AN35" s="73"/>
      <c r="AO35" s="73"/>
      <c r="AP35" s="73"/>
      <c r="AQ35" s="73"/>
      <c r="AR35" s="73"/>
      <c r="AS35" s="73"/>
      <c r="AU35" s="18" t="e">
        <f>VLOOKUP(AV35,'Help Page'!E:F,2,0)</f>
        <v>#N/A</v>
      </c>
      <c r="AV35" s="18">
        <f t="shared" si="26"/>
        <v>0</v>
      </c>
      <c r="AW35" s="18">
        <f t="shared" si="27"/>
        <v>0</v>
      </c>
      <c r="AX35" s="18">
        <f t="shared" si="28"/>
        <v>0</v>
      </c>
      <c r="AY35" s="18">
        <f t="shared" si="29"/>
        <v>0</v>
      </c>
      <c r="AZ35" s="27">
        <f t="shared" si="30"/>
        <v>0</v>
      </c>
      <c r="BA35" s="18">
        <f t="shared" si="31"/>
        <v>0</v>
      </c>
      <c r="BD35" s="74"/>
      <c r="BE35" s="74"/>
      <c r="BF35" s="74"/>
      <c r="BG35" s="74"/>
      <c r="BH35" s="74"/>
      <c r="BI35" s="74"/>
      <c r="CF35" s="18"/>
      <c r="CG35" s="18"/>
      <c r="CH35" s="18" t="s">
        <v>2119</v>
      </c>
      <c r="CI35" s="18" t="str">
        <f>_xll.ReferenceParams(CH35,$CI$6 )</f>
        <v>В обращении</v>
      </c>
      <c r="CJ35" s="27">
        <f>_xll.ReferenceParams(CH35,$CJ$6 )</f>
        <v>44839</v>
      </c>
      <c r="CK35" s="27" t="str">
        <f>_xll.ReferenceParams(CH35,$CK$6)</f>
        <v>Облигация</v>
      </c>
      <c r="CL35" s="18">
        <f t="shared" si="23"/>
        <v>1</v>
      </c>
      <c r="CM35" s="18"/>
      <c r="DM35" s="1"/>
    </row>
    <row r="36" spans="4:117" x14ac:dyDescent="0.3">
      <c r="D36" s="20">
        <f t="shared" si="1"/>
        <v>45989</v>
      </c>
      <c r="E36" s="73">
        <f>_xll.CbondsClosePrice($B$1,D36,VLOOKUP($B$27,'Help Page'!$M:$N,2,0))</f>
        <v>95.8</v>
      </c>
      <c r="F36" s="73">
        <f t="shared" si="0"/>
        <v>95.8</v>
      </c>
      <c r="G36" s="33">
        <f>IF(F36 = "","",IFERROR(IF($G$1 = "YTM",_xll.CbondsCalcYTM($B$1,D36,F36),_xll.CbondsCalcYTP($B$1,D36,F36)),"")*100)</f>
        <v>6.3486276212589994</v>
      </c>
      <c r="J36" s="18" t="str">
        <f>J26</f>
        <v>RU000A1057D4</v>
      </c>
      <c r="K36" s="18" t="str">
        <f>_xll.CbondsBondName(J36)</f>
        <v>Металлоинвест, 001P-02</v>
      </c>
      <c r="L36" s="31">
        <f>IF(S36="O",P36,N36)*100</f>
        <v>6.0468882619138995</v>
      </c>
      <c r="M36" s="31">
        <f>IF(S36="O",Q36,O36)</f>
        <v>1.6476962249989042</v>
      </c>
      <c r="N36" s="198">
        <f>_xll.CbondsCalcYTM(J26,$L$6,R36)</f>
        <v>6.0468882619138999E-2</v>
      </c>
      <c r="O36" s="69">
        <f>_xll.CbondsCalcDuration(J26,$L$6,R36)/365</f>
        <v>1.6476962249989042</v>
      </c>
      <c r="P36" s="73" t="str">
        <f>_xll.CbondsCalcYTP(J36,$L$6,R36)</f>
        <v>Нет данных</v>
      </c>
      <c r="Q36" s="31" t="e">
        <f>_xll.CbondsCalcDurationToPutCall(J36,$L$6,R36)/365</f>
        <v>#VALUE!</v>
      </c>
      <c r="R36" s="112">
        <f>IFERROR(_xll.CbondsClosePrice(J36,$L$6,VLOOKUP($B$27,'Help Page'!$M:$N,2,0)),"")</f>
        <v>96.448099999999997</v>
      </c>
      <c r="S36" s="18" t="str">
        <f>IF(IFERROR(_xll.BondDateParams($J36,$L$6,$A$10)+1,"нет оферты") = "нет оферты", "нет","O")</f>
        <v>нет</v>
      </c>
      <c r="T36" s="109">
        <f t="shared" ref="T36:T42" si="32">IF(IFERROR(J36,"-") = "-","Нет",L36)</f>
        <v>6.0468882619138995</v>
      </c>
      <c r="U36" s="109">
        <f t="shared" ref="U36:U42" si="33">IF(IFERROR(J36,"-") = "-","Нет",M36)</f>
        <v>1.6476962249989042</v>
      </c>
      <c r="X36" s="74"/>
      <c r="Y36" s="74"/>
      <c r="Z36" s="74"/>
      <c r="AA36" s="74"/>
      <c r="AB36" s="74"/>
      <c r="AC36" s="74"/>
      <c r="AM36" s="18" t="e">
        <f>VLOOKUP(AN36,'Help Page'!E:F,2,0)</f>
        <v>#N/A</v>
      </c>
      <c r="AN36" s="73"/>
      <c r="AO36" s="73"/>
      <c r="AP36" s="73"/>
      <c r="AQ36" s="73"/>
      <c r="AR36" s="73"/>
      <c r="AS36" s="73"/>
      <c r="AU36" s="18" t="e">
        <f>VLOOKUP(AV36,'Help Page'!E:F,2,0)</f>
        <v>#N/A</v>
      </c>
      <c r="AV36" s="18">
        <f t="shared" si="26"/>
        <v>0</v>
      </c>
      <c r="AW36" s="18">
        <f t="shared" si="27"/>
        <v>0</v>
      </c>
      <c r="AX36" s="18">
        <f t="shared" si="28"/>
        <v>0</v>
      </c>
      <c r="AY36" s="18">
        <f t="shared" si="29"/>
        <v>0</v>
      </c>
      <c r="AZ36" s="27">
        <f t="shared" si="30"/>
        <v>0</v>
      </c>
      <c r="BA36" s="18">
        <f t="shared" si="31"/>
        <v>0</v>
      </c>
      <c r="BD36" s="74"/>
      <c r="BE36" s="74"/>
      <c r="BF36" s="74"/>
      <c r="BG36" s="74"/>
      <c r="BH36" s="74"/>
      <c r="BI36" s="74"/>
      <c r="CF36" s="18"/>
      <c r="CG36" s="18"/>
      <c r="CH36" s="18" t="s">
        <v>2120</v>
      </c>
      <c r="CI36" s="18" t="str">
        <f>_xll.ReferenceParams(CH36,$CI$6 )</f>
        <v>В обращении</v>
      </c>
      <c r="CJ36" s="27">
        <f>_xll.ReferenceParams(CH36,$CJ$6 )</f>
        <v>44910</v>
      </c>
      <c r="CK36" s="27" t="str">
        <f>_xll.ReferenceParams(CH36,$CK$6)</f>
        <v>Облигация</v>
      </c>
      <c r="CL36" s="18">
        <f t="shared" si="23"/>
        <v>1</v>
      </c>
      <c r="CM36" s="18"/>
      <c r="DM36" s="1"/>
    </row>
    <row r="37" spans="4:117" x14ac:dyDescent="0.3">
      <c r="D37" s="20">
        <f t="shared" si="1"/>
        <v>45988</v>
      </c>
      <c r="E37" s="73">
        <f>_xll.CbondsClosePrice($B$1,D37,VLOOKUP($B$27,'Help Page'!$M:$N,2,0))</f>
        <v>95.870500000000007</v>
      </c>
      <c r="F37" s="73">
        <f t="shared" si="0"/>
        <v>95.870500000000007</v>
      </c>
      <c r="G37" s="33">
        <f>IF(F37 = "","",IFERROR(IF($G$1 = "YTM",_xll.CbondsCalcYTM($B$1,D37,F37),_xll.CbondsCalcYTP($B$1,D37,F37)),"")*100)</f>
        <v>6.3001832223798004</v>
      </c>
      <c r="J37" s="16" t="e">
        <f>IF(P27="Активный",J27,IF(P28="Активный",J28,IF(P29="Активный",J29,IF(P30="Активный",J30,IF(P31="Активный",J31,IF(P32="Активный",J32,0))))))</f>
        <v>#VALUE!</v>
      </c>
      <c r="K37" s="18" t="e">
        <f>_xll.CbondsBondName(J37)</f>
        <v>#VALUE!</v>
      </c>
      <c r="L37" s="31" t="e">
        <f t="shared" ref="L37:L42" si="34">IF(S37="O",P37,N37)*100</f>
        <v>#VALUE!</v>
      </c>
      <c r="M37" s="31" t="e">
        <f t="shared" ref="M37:M42" si="35">IF(S37="O",Q37,O37)</f>
        <v>#VALUE!</v>
      </c>
      <c r="N37" s="114" t="e">
        <f>_xll.CbondsCalcYTM(J27,$L$6,R37)</f>
        <v>#VALUE!</v>
      </c>
      <c r="O37" s="115" t="e">
        <f>_xll.CbondsCalcDuration(J27,$L$6,R37)/365</f>
        <v>#VALUE!</v>
      </c>
      <c r="P37" s="73" t="e">
        <f>_xll.CbondsCalcYTP(J37,$L$6,R37)</f>
        <v>#VALUE!</v>
      </c>
      <c r="Q37" s="31" t="e">
        <f>_xll.CbondsCalcDurationToPutCall(J37,$L$6,R37)/365</f>
        <v>#VALUE!</v>
      </c>
      <c r="R37" s="186" t="str">
        <f>IFERROR(_xll.CbondsClosePrice(J37,$L$6,VLOOKUP($B$27,'Help Page'!$M:$N,2,0)),"")</f>
        <v/>
      </c>
      <c r="S37" s="18" t="str">
        <f>IF(IFERROR(_xll.BondDateParams($J37,$L$6,$A$10)+1,"нет оферты") = "нет оферты", "нет","O")</f>
        <v>нет</v>
      </c>
      <c r="T37" s="109" t="str">
        <f t="shared" si="32"/>
        <v>Нет</v>
      </c>
      <c r="U37" s="109" t="str">
        <f t="shared" si="33"/>
        <v>Нет</v>
      </c>
      <c r="X37" s="74"/>
      <c r="Y37" s="74"/>
      <c r="Z37" s="74"/>
      <c r="AA37" s="74"/>
      <c r="AB37" s="74"/>
      <c r="AC37" s="74"/>
      <c r="AM37" s="18" t="e">
        <f>VLOOKUP(AN37,'Help Page'!E:F,2,0)</f>
        <v>#N/A</v>
      </c>
      <c r="AN37" s="73"/>
      <c r="AO37" s="73"/>
      <c r="AP37" s="73"/>
      <c r="AQ37" s="73"/>
      <c r="AR37" s="73"/>
      <c r="AS37" s="73"/>
      <c r="AU37" s="18" t="e">
        <f>VLOOKUP(AV37,'Help Page'!E:F,2,0)</f>
        <v>#N/A</v>
      </c>
      <c r="AV37" s="18">
        <f t="shared" si="26"/>
        <v>0</v>
      </c>
      <c r="AW37" s="18">
        <f t="shared" si="27"/>
        <v>0</v>
      </c>
      <c r="AX37" s="18">
        <f t="shared" si="28"/>
        <v>0</v>
      </c>
      <c r="AY37" s="18">
        <f t="shared" si="29"/>
        <v>0</v>
      </c>
      <c r="AZ37" s="27">
        <f t="shared" si="30"/>
        <v>0</v>
      </c>
      <c r="BA37" s="18">
        <f t="shared" si="31"/>
        <v>0</v>
      </c>
      <c r="BD37" s="74"/>
      <c r="BE37" s="74"/>
      <c r="BF37" s="74"/>
      <c r="BG37" s="74"/>
      <c r="BH37" s="74"/>
      <c r="BI37" s="74"/>
      <c r="CF37" s="18"/>
      <c r="CG37" s="18"/>
      <c r="CH37" s="18" t="s">
        <v>2121</v>
      </c>
      <c r="CI37" s="18" t="str">
        <f>_xll.ReferenceParams(CH37,$CI$6 )</f>
        <v>В обращении</v>
      </c>
      <c r="CJ37" s="27">
        <f>_xll.ReferenceParams(CH37,$CJ$6 )</f>
        <v>44979</v>
      </c>
      <c r="CK37" s="27" t="str">
        <f>_xll.ReferenceParams(CH37,$CK$6)</f>
        <v>Облигация</v>
      </c>
      <c r="CL37" s="18">
        <f t="shared" si="23"/>
        <v>1</v>
      </c>
      <c r="CM37" s="18"/>
      <c r="DM37" s="1"/>
    </row>
    <row r="38" spans="4:117" x14ac:dyDescent="0.3">
      <c r="D38" s="20">
        <f t="shared" si="1"/>
        <v>45987</v>
      </c>
      <c r="E38" s="73">
        <f>_xll.CbondsClosePrice($B$1,D38,VLOOKUP($B$27,'Help Page'!$M:$N,2,0))</f>
        <v>95.628100000000003</v>
      </c>
      <c r="F38" s="73">
        <f t="shared" si="0"/>
        <v>95.628100000000003</v>
      </c>
      <c r="G38" s="33">
        <f>IF(F38 = "","",IFERROR(IF($G$1 = "YTM",_xll.CbondsCalcYTM($B$1,D38,F38),_xll.CbondsCalcYTP($B$1,D38,F38)),"")*100)</f>
        <v>6.4511716136155002</v>
      </c>
      <c r="J38" s="16" t="e">
        <f>IF(AND($P$27="Активный",$J$27&lt;&gt;J37),$J$27,IF(AND($P$28="Активный",$J$28&lt;&gt;J37),$J$28,IF(AND($P$29="Активный",$J$29&lt;&gt;J37),$J$29,IF(AND($P$30="Активный",$J$30&lt;&gt;J37),$J$30,IF(AND($P$31="Активный",$J$31&lt;&gt;J37),$J$31,IF(AND($P$32="Активный",$J$32&lt;&gt;J37),$J$32,0))))))</f>
        <v>#VALUE!</v>
      </c>
      <c r="K38" s="18" t="e">
        <f>_xll.CbondsBondName(J38)</f>
        <v>#VALUE!</v>
      </c>
      <c r="L38" s="31" t="e">
        <f t="shared" si="34"/>
        <v>#VALUE!</v>
      </c>
      <c r="M38" s="31" t="e">
        <f t="shared" si="35"/>
        <v>#VALUE!</v>
      </c>
      <c r="N38" s="114" t="e">
        <f>_xll.CbondsCalcYTM(J28,$L$6,R38)</f>
        <v>#VALUE!</v>
      </c>
      <c r="O38" s="115" t="e">
        <f>_xll.CbondsCalcDuration(J28,$L$6,R38)/365</f>
        <v>#VALUE!</v>
      </c>
      <c r="P38" s="73" t="e">
        <f>_xll.CbondsCalcYTP(J38,$L$6,R38)</f>
        <v>#VALUE!</v>
      </c>
      <c r="Q38" s="31" t="e">
        <f>_xll.CbondsCalcDurationToPutCall(J38,$L$6,R38)/365</f>
        <v>#VALUE!</v>
      </c>
      <c r="R38" s="186" t="str">
        <f>IFERROR(_xll.CbondsClosePrice(J38,$L$6,VLOOKUP($B$27,'Help Page'!$M:$N,2,0)),"")</f>
        <v/>
      </c>
      <c r="S38" s="18" t="str">
        <f>IF(IFERROR(_xll.BondDateParams($J38,$L$6,$A$10)+1,"нет оферты") = "нет оферты", "нет","O")</f>
        <v>нет</v>
      </c>
      <c r="T38" s="109" t="str">
        <f t="shared" si="32"/>
        <v>Нет</v>
      </c>
      <c r="U38" s="109" t="str">
        <f t="shared" si="33"/>
        <v>Нет</v>
      </c>
      <c r="X38" s="74"/>
      <c r="Y38" s="74"/>
      <c r="Z38" s="74"/>
      <c r="AA38" s="74"/>
      <c r="AB38" s="74"/>
      <c r="AC38" s="74"/>
      <c r="AM38" s="18" t="e">
        <f>VLOOKUP(AN38,'Help Page'!E:F,2,0)</f>
        <v>#N/A</v>
      </c>
      <c r="AN38" s="73"/>
      <c r="AO38" s="73"/>
      <c r="AP38" s="73"/>
      <c r="AQ38" s="73"/>
      <c r="AR38" s="73"/>
      <c r="AS38" s="73"/>
      <c r="AU38" s="18" t="e">
        <f>VLOOKUP(AV38,'Help Page'!E:F,2,0)</f>
        <v>#N/A</v>
      </c>
      <c r="AV38" s="18">
        <f t="shared" si="26"/>
        <v>0</v>
      </c>
      <c r="AW38" s="18">
        <f t="shared" si="27"/>
        <v>0</v>
      </c>
      <c r="AX38" s="18">
        <f t="shared" si="28"/>
        <v>0</v>
      </c>
      <c r="AY38" s="18">
        <f t="shared" si="29"/>
        <v>0</v>
      </c>
      <c r="AZ38" s="27">
        <f t="shared" si="30"/>
        <v>0</v>
      </c>
      <c r="BA38" s="18">
        <f t="shared" si="31"/>
        <v>0</v>
      </c>
      <c r="BD38" s="74"/>
      <c r="BE38" s="74"/>
      <c r="BF38" s="74"/>
      <c r="BG38" s="74"/>
      <c r="BH38" s="74"/>
      <c r="BI38" s="74"/>
      <c r="CF38" s="18"/>
      <c r="CG38" s="18"/>
      <c r="CH38" s="18" t="s">
        <v>2122</v>
      </c>
      <c r="CI38" s="18" t="str">
        <f>_xll.ReferenceParams(CH38,$CI$6 )</f>
        <v>В обращении</v>
      </c>
      <c r="CJ38" s="27">
        <f>_xll.ReferenceParams(CH38,$CJ$6 )</f>
        <v>45216</v>
      </c>
      <c r="CK38" s="27" t="str">
        <f>_xll.ReferenceParams(CH38,$CK$6)</f>
        <v>Облигация</v>
      </c>
      <c r="CL38" s="18">
        <f t="shared" si="23"/>
        <v>1</v>
      </c>
      <c r="CM38" s="18"/>
      <c r="DM38" s="1"/>
    </row>
    <row r="39" spans="4:117" x14ac:dyDescent="0.3">
      <c r="D39" s="20">
        <f t="shared" si="1"/>
        <v>45986</v>
      </c>
      <c r="E39" s="73">
        <f>_xll.CbondsClosePrice($B$1,D39,VLOOKUP($B$27,'Help Page'!$M:$N,2,0))</f>
        <v>95.7</v>
      </c>
      <c r="F39" s="73">
        <f t="shared" si="0"/>
        <v>95.7</v>
      </c>
      <c r="G39" s="33">
        <f>IF(F39 = "","",IFERROR(IF($G$1 = "YTM",_xll.CbondsCalcYTM($B$1,D39,F39),_xll.CbondsCalcYTP($B$1,D39,F39)),"")*100)</f>
        <v>6.4010607699492006</v>
      </c>
      <c r="J39" s="16" t="e">
        <f>IF(AND($P$27="Активный",$J$27&lt;&gt;J38,$J$27&lt;&gt;J37),$J$27,IF(AND($P$28="Активный",$J$28&lt;&gt;J38,$J$28&lt;&gt;J37),$J$28,IF(AND($P$29="Активный",$J$29&lt;&gt;J38,$J$29&lt;&gt;J37),$J$29,IF(AND($P$30="Активный",$J$30&lt;&gt;J38,$J$30&lt;&gt;J37),$J$30,IF(AND($P$31="Активный",$J$31&lt;&gt;J38,$J$31&lt;&gt;J37),$J$31,IF(AND($P$32="Активный",$J$32&lt;&gt;J38,$J$32&lt;&gt;J37),$J$32,0))))))</f>
        <v>#VALUE!</v>
      </c>
      <c r="K39" s="18" t="e">
        <f>_xll.CbondsBondName(J39)</f>
        <v>#VALUE!</v>
      </c>
      <c r="L39" s="31" t="e">
        <f t="shared" si="34"/>
        <v>#VALUE!</v>
      </c>
      <c r="M39" s="31" t="e">
        <f t="shared" si="35"/>
        <v>#VALUE!</v>
      </c>
      <c r="N39" s="114" t="e">
        <f>_xll.CbondsCalcYTM(J29,$L$6,R39)</f>
        <v>#VALUE!</v>
      </c>
      <c r="O39" s="115" t="e">
        <f>_xll.CbondsCalcDuration(J29,$L$6,R39)/365</f>
        <v>#VALUE!</v>
      </c>
      <c r="P39" s="73" t="e">
        <f>_xll.CbondsCalcYTP(J39,$L$6,R39)</f>
        <v>#VALUE!</v>
      </c>
      <c r="Q39" s="31" t="e">
        <f>_xll.CbondsCalcDurationToPutCall(J39,$L$6,R39)/365</f>
        <v>#VALUE!</v>
      </c>
      <c r="R39" s="186" t="str">
        <f>IFERROR(_xll.CbondsClosePrice(J39,$L$6,VLOOKUP($B$27,'Help Page'!$M:$N,2,0)),"")</f>
        <v/>
      </c>
      <c r="S39" s="18" t="str">
        <f>IF(IFERROR(_xll.BondDateParams($J39,$L$6,$A$10)+1,"нет оферты") = "нет оферты", "нет","O")</f>
        <v>нет</v>
      </c>
      <c r="T39" s="109" t="str">
        <f t="shared" si="32"/>
        <v>Нет</v>
      </c>
      <c r="U39" s="109" t="str">
        <f t="shared" si="33"/>
        <v>Нет</v>
      </c>
      <c r="X39" s="74"/>
      <c r="Y39" s="74"/>
      <c r="Z39" s="74"/>
      <c r="AA39" s="74"/>
      <c r="AB39" s="74"/>
      <c r="AC39" s="74"/>
      <c r="AM39" s="18" t="e">
        <f>VLOOKUP(AN39,'Help Page'!E:F,2,0)</f>
        <v>#N/A</v>
      </c>
      <c r="AN39" s="73"/>
      <c r="AO39" s="73"/>
      <c r="AP39" s="73"/>
      <c r="AQ39" s="73"/>
      <c r="AR39" s="73"/>
      <c r="AS39" s="73"/>
      <c r="AU39" s="18" t="e">
        <f>VLOOKUP(AV39,'Help Page'!E:F,2,0)</f>
        <v>#N/A</v>
      </c>
      <c r="AV39" s="18">
        <f t="shared" si="26"/>
        <v>0</v>
      </c>
      <c r="AW39" s="18">
        <f t="shared" si="27"/>
        <v>0</v>
      </c>
      <c r="AX39" s="18">
        <f t="shared" si="28"/>
        <v>0</v>
      </c>
      <c r="AY39" s="18">
        <f t="shared" si="29"/>
        <v>0</v>
      </c>
      <c r="AZ39" s="27">
        <f t="shared" si="30"/>
        <v>0</v>
      </c>
      <c r="BA39" s="18">
        <f t="shared" si="31"/>
        <v>0</v>
      </c>
      <c r="BD39" s="74"/>
      <c r="BE39" s="74"/>
      <c r="BF39" s="74"/>
      <c r="BG39" s="74"/>
      <c r="BH39" s="74"/>
      <c r="BI39" s="74"/>
      <c r="CF39" s="18"/>
      <c r="CG39" s="18"/>
      <c r="CH39" s="18" t="s">
        <v>2123</v>
      </c>
      <c r="CI39" s="18" t="str">
        <f>_xll.ReferenceParams(CH39,$CI$6 )</f>
        <v>В обращении</v>
      </c>
      <c r="CJ39" s="27">
        <f>_xll.ReferenceParams(CH39,$CJ$6 )</f>
        <v>45258</v>
      </c>
      <c r="CK39" s="27" t="str">
        <f>_xll.ReferenceParams(CH39,$CK$6)</f>
        <v>Облигация</v>
      </c>
      <c r="CL39" s="18">
        <f t="shared" ref="CL39:CL70" si="36">IF(CH39 = "","",IF(AND(CI39="В обращении",CJ39&lt;=$B$2,CK39 = "Облигация"),1,0))</f>
        <v>1</v>
      </c>
      <c r="CM39" s="18"/>
      <c r="DM39" s="1"/>
    </row>
    <row r="40" spans="4:117" x14ac:dyDescent="0.3">
      <c r="D40" s="20">
        <f t="shared" si="1"/>
        <v>45985</v>
      </c>
      <c r="E40" s="73">
        <f>_xll.CbondsClosePrice($B$1,D40,VLOOKUP($B$27,'Help Page'!$M:$N,2,0))</f>
        <v>95.944000000000003</v>
      </c>
      <c r="F40" s="73">
        <f t="shared" si="0"/>
        <v>95.944000000000003</v>
      </c>
      <c r="G40" s="33">
        <f>IF(F40 = "","",IFERROR(IF($G$1 = "YTM",_xll.CbondsCalcYTM($B$1,D40,F40),_xll.CbondsCalcYTP($B$1,D40,F40)),"")*100)</f>
        <v>6.2416947288690006</v>
      </c>
      <c r="J40" s="16" t="e">
        <f>IF(AND($P$27="Активный",$J$27&lt;&gt;J39,$J$27&lt;&gt;J38,$J$27&lt;&gt;J37),$J$27,IF(AND($P$28="Активный",$J$28&lt;&gt;J39,$J$28&lt;&gt;J38,$J$28&lt;&gt;J37),$J$28,IF(AND($P$29="Активный",$J$29&lt;&gt;J39,$J$29&lt;&gt;J38,$J$29&lt;&gt;J37),$J$29,IF(AND($P$30="Активный",$J$30&lt;&gt;J39,$J$30&lt;&gt;J38,$J$30&lt;&gt;J37),$J$30,IF(AND($P$31="Активный",$J$31&lt;&gt;J39,$J$31&lt;&gt;J38,$J$31&lt;&gt;J37),$J$31,IF(AND($P$32="Активный",$J$32&lt;&gt;J39,$J$32&lt;&gt;J38,$J$32&lt;&gt;J37),$J$32,0))))))</f>
        <v>#VALUE!</v>
      </c>
      <c r="K40" s="18" t="e">
        <f>_xll.CbondsBondName(J40)</f>
        <v>#VALUE!</v>
      </c>
      <c r="L40" s="31" t="e">
        <f t="shared" si="34"/>
        <v>#VALUE!</v>
      </c>
      <c r="M40" s="31" t="e">
        <f t="shared" si="35"/>
        <v>#VALUE!</v>
      </c>
      <c r="N40" s="114" t="e">
        <f>_xll.CbondsCalcYTM(J30,$L$6,R40)</f>
        <v>#VALUE!</v>
      </c>
      <c r="O40" s="115" t="e">
        <f>_xll.CbondsCalcDuration(J30,$L$6,R40)/365</f>
        <v>#VALUE!</v>
      </c>
      <c r="P40" s="73" t="e">
        <f>_xll.CbondsCalcYTP(J40,$L$6,R40)</f>
        <v>#VALUE!</v>
      </c>
      <c r="Q40" s="31" t="e">
        <f>_xll.CbondsCalcDurationToPutCall(J40,$L$6,R40)/365</f>
        <v>#VALUE!</v>
      </c>
      <c r="R40" s="186" t="str">
        <f>IFERROR(_xll.CbondsClosePrice(J40,$L$6,VLOOKUP($B$27,'Help Page'!$M:$N,2,0)),"")</f>
        <v/>
      </c>
      <c r="S40" s="18" t="str">
        <f>IF(IFERROR(_xll.BondDateParams($J40,$L$6,$A$10)+1,"нет оферты") = "нет оферты", "нет","O")</f>
        <v>нет</v>
      </c>
      <c r="T40" s="109" t="str">
        <f t="shared" si="32"/>
        <v>Нет</v>
      </c>
      <c r="U40" s="109" t="str">
        <f t="shared" si="33"/>
        <v>Нет</v>
      </c>
      <c r="X40" s="74"/>
      <c r="Y40" s="74"/>
      <c r="Z40" s="74"/>
      <c r="AA40" s="74"/>
      <c r="AB40" s="74"/>
      <c r="AC40" s="74"/>
      <c r="AM40" s="18" t="e">
        <f>VLOOKUP(AN40,'Help Page'!E:F,2,0)</f>
        <v>#N/A</v>
      </c>
      <c r="AN40" s="73"/>
      <c r="AO40" s="73"/>
      <c r="AP40" s="73"/>
      <c r="AQ40" s="73"/>
      <c r="AR40" s="73"/>
      <c r="AS40" s="73"/>
      <c r="AU40" s="18" t="e">
        <f>VLOOKUP(AV40,'Help Page'!E:F,2,0)</f>
        <v>#N/A</v>
      </c>
      <c r="AV40" s="18">
        <f t="shared" si="26"/>
        <v>0</v>
      </c>
      <c r="AW40" s="18">
        <f t="shared" si="27"/>
        <v>0</v>
      </c>
      <c r="AX40" s="18">
        <f t="shared" si="28"/>
        <v>0</v>
      </c>
      <c r="AY40" s="18">
        <f t="shared" si="29"/>
        <v>0</v>
      </c>
      <c r="AZ40" s="27">
        <f t="shared" si="30"/>
        <v>0</v>
      </c>
      <c r="BA40" s="18">
        <f t="shared" si="31"/>
        <v>0</v>
      </c>
      <c r="BD40" s="74"/>
      <c r="BE40" s="74"/>
      <c r="BF40" s="74"/>
      <c r="BG40" s="74"/>
      <c r="BH40" s="74"/>
      <c r="BI40" s="74"/>
      <c r="CF40" s="18"/>
      <c r="CG40" s="18"/>
      <c r="CH40" s="18" t="s">
        <v>2124</v>
      </c>
      <c r="CI40" s="18" t="str">
        <f>_xll.ReferenceParams(CH40,$CI$6 )</f>
        <v>В обращении</v>
      </c>
      <c r="CJ40" s="27">
        <f>_xll.ReferenceParams(CH40,$CJ$6 )</f>
        <v>45302</v>
      </c>
      <c r="CK40" s="27" t="str">
        <f>_xll.ReferenceParams(CH40,$CK$6)</f>
        <v>Облигация</v>
      </c>
      <c r="CL40" s="18">
        <f t="shared" si="36"/>
        <v>1</v>
      </c>
      <c r="CM40" s="18"/>
      <c r="DM40" s="1"/>
    </row>
    <row r="41" spans="4:117" x14ac:dyDescent="0.3">
      <c r="D41" s="20">
        <f t="shared" si="1"/>
        <v>45984</v>
      </c>
      <c r="E41" s="73" t="str">
        <f>_xll.CbondsClosePrice($B$1,D41,VLOOKUP($B$27,'Help Page'!$M:$N,2,0))</f>
        <v>Нет данных</v>
      </c>
      <c r="F41" s="73">
        <f t="shared" si="0"/>
        <v>96.067300000000003</v>
      </c>
      <c r="G41" s="33">
        <f>IF(F41 = "","",IFERROR(IF($G$1 = "YTM",_xll.CbondsCalcYTM($B$1,D41,F41),_xll.CbondsCalcYTP($B$1,D41,F41)),"")*100)</f>
        <v>6.1597520203576002</v>
      </c>
      <c r="J41" s="16" t="e">
        <f>IF(AND($P$27="Активный",$J$27&lt;&gt;J40,$J$27&lt;&gt;J39,$J$27&lt;&gt;J38,$J$27&lt;&gt;J37),$J$27,IF(AND($P$28="Активный",$J$28&lt;&gt;J40,$J$28&lt;&gt;J39,$J$28&lt;&gt;J38,$J$28&lt;&gt;J37),$J$28,IF(AND($P$29="Активный",$J$29&lt;&gt;J40,$J$29&lt;&gt;J39,$J$29&lt;&gt;J38,$J$29&lt;&gt;J37),$J$29,IF(AND($P$30="Активный",$J$30&lt;&gt;J40,$J$30&lt;&gt;J39,$J$30&lt;&gt;J38,$J$30&lt;&gt;J37),$J$30,IF(AND($P$31="Активный",$J$31&lt;&gt;J40,$J$31&lt;&gt;J39,$J$31&lt;&gt;J38,$J$31&lt;&gt;J37),$J$31,IF(AND($P$32="Активный",$J$32&lt;&gt;J40,$J$32&lt;&gt;J39,$J$32&lt;&gt;J38,$J$32&lt;&gt;J37),$J$32,0))))))</f>
        <v>#VALUE!</v>
      </c>
      <c r="K41" s="18" t="e">
        <f>_xll.CbondsBondName(J41)</f>
        <v>#VALUE!</v>
      </c>
      <c r="L41" s="31" t="e">
        <f t="shared" si="34"/>
        <v>#VALUE!</v>
      </c>
      <c r="M41" s="31" t="e">
        <f t="shared" si="35"/>
        <v>#VALUE!</v>
      </c>
      <c r="N41" s="114" t="e">
        <f>_xll.CbondsCalcYTM(J31,$L$6,R41)</f>
        <v>#VALUE!</v>
      </c>
      <c r="O41" s="115" t="e">
        <f>_xll.CbondsCalcDuration(J31,$L$6,R41)/365</f>
        <v>#VALUE!</v>
      </c>
      <c r="P41" s="73" t="e">
        <f>_xll.CbondsCalcYTP(J41,$L$6,R41)</f>
        <v>#VALUE!</v>
      </c>
      <c r="Q41" s="31" t="e">
        <f>_xll.CbondsCalcDurationToPutCall(J41,$L$6,R41)/365</f>
        <v>#VALUE!</v>
      </c>
      <c r="R41" s="186" t="str">
        <f>IFERROR(_xll.CbondsClosePrice(J41,$L$6,VLOOKUP($B$27,'Help Page'!$M:$N,2,0)),"")</f>
        <v/>
      </c>
      <c r="S41" s="18" t="str">
        <f>IF(IFERROR(_xll.BondDateParams($J41,$L$6,$A$10)+1,"нет оферты") = "нет оферты", "нет","O")</f>
        <v>нет</v>
      </c>
      <c r="T41" s="109" t="str">
        <f t="shared" si="32"/>
        <v>Нет</v>
      </c>
      <c r="U41" s="109" t="str">
        <f t="shared" si="33"/>
        <v>Нет</v>
      </c>
      <c r="X41" s="74"/>
      <c r="Y41" s="74"/>
      <c r="Z41" s="74"/>
      <c r="AA41" s="74"/>
      <c r="AB41" s="74"/>
      <c r="AC41" s="74"/>
      <c r="AM41" s="18" t="e">
        <f>VLOOKUP(AN41,'Help Page'!E:F,2,0)</f>
        <v>#N/A</v>
      </c>
      <c r="AN41" s="73"/>
      <c r="AO41" s="73"/>
      <c r="AP41" s="73"/>
      <c r="AQ41" s="73"/>
      <c r="AR41" s="73"/>
      <c r="AS41" s="73"/>
      <c r="AU41" s="18" t="e">
        <f>VLOOKUP(AV41,'Help Page'!E:F,2,0)</f>
        <v>#N/A</v>
      </c>
      <c r="AV41" s="18">
        <f t="shared" si="26"/>
        <v>0</v>
      </c>
      <c r="AW41" s="18">
        <f t="shared" si="27"/>
        <v>0</v>
      </c>
      <c r="AX41" s="18">
        <f t="shared" si="28"/>
        <v>0</v>
      </c>
      <c r="AY41" s="18">
        <f t="shared" si="29"/>
        <v>0</v>
      </c>
      <c r="AZ41" s="27">
        <f t="shared" si="30"/>
        <v>0</v>
      </c>
      <c r="BA41" s="18">
        <f t="shared" si="31"/>
        <v>0</v>
      </c>
      <c r="BD41" s="74"/>
      <c r="BE41" s="74"/>
      <c r="BF41" s="74"/>
      <c r="BG41" s="74"/>
      <c r="BH41" s="74"/>
      <c r="BI41" s="74"/>
      <c r="CF41" s="18"/>
      <c r="CG41" s="18"/>
      <c r="CH41" s="18" t="s">
        <v>2125</v>
      </c>
      <c r="CI41" s="18" t="str">
        <f>_xll.ReferenceParams(CH41,$CI$6 )</f>
        <v>В обращении</v>
      </c>
      <c r="CJ41" s="27">
        <f>_xll.ReferenceParams(CH41,$CJ$6 )</f>
        <v>45478</v>
      </c>
      <c r="CK41" s="27" t="str">
        <f>_xll.ReferenceParams(CH41,$CK$6)</f>
        <v>Облигация</v>
      </c>
      <c r="CL41" s="18">
        <f t="shared" si="36"/>
        <v>1</v>
      </c>
      <c r="CM41" s="18"/>
      <c r="DM41" s="1"/>
    </row>
    <row r="42" spans="4:117" x14ac:dyDescent="0.3">
      <c r="D42" s="20">
        <f t="shared" si="1"/>
        <v>45983</v>
      </c>
      <c r="E42" s="73" t="str">
        <f>_xll.CbondsClosePrice($B$1,D42,VLOOKUP($B$27,'Help Page'!$M:$N,2,0))</f>
        <v>Нет данных</v>
      </c>
      <c r="F42" s="73">
        <f t="shared" si="0"/>
        <v>96.067300000000003</v>
      </c>
      <c r="G42" s="33">
        <f>IF(F42 = "","",IFERROR(IF($G$1 = "YTM",_xll.CbondsCalcYTM($B$1,D42,F42),_xll.CbondsCalcYTP($B$1,D42,F42)),"")*100)</f>
        <v>6.1560545158771998</v>
      </c>
      <c r="J42" s="16" t="e">
        <f>IF(AND($P$27="Активный",$J$27&lt;&gt;J41,$J$27&lt;&gt;J40,$J$27&lt;&gt;J39,$J$27&lt;&gt;J38,$J$27&lt;&gt;J37),$J$27,IF(AND($P$28="Активный",$J$28&lt;&gt;J41,$J$28&lt;&gt;J40,$J$28&lt;&gt;J39,$J$28&lt;&gt;J38,$J$28&lt;&gt;J37),$J$28,IF(AND($P$29="Активный",$J$29&lt;&gt;J41,$J$29&lt;&gt;J40,$J$29&lt;&gt;J39,$J$29&lt;&gt;J38,$J$29&lt;&gt;J37),$J$29,IF(AND($P$30="Активный",$J$30&lt;&gt;J41,$J$30&lt;&gt;J40,$J$30&lt;&gt;J39,$J$30&lt;&gt;J38,$J$30&lt;&gt;J37),$J$30,IF(AND($P$31="Активный",$J$31&lt;&gt;J41,$J$31&lt;&gt;J40,$J$31&lt;&gt;J39,$J$31&lt;&gt;J38,$J$31&lt;&gt;J37),$J$31,IF(AND($P$32="Активный",$J$32&lt;&gt;J41,$J$32&lt;&gt;J40,$J$32&lt;&gt;J39,$J$32&lt;&gt;J38,$J$32&lt;&gt;J37),$J$32,0))))))</f>
        <v>#VALUE!</v>
      </c>
      <c r="K42" s="18" t="e">
        <f>_xll.CbondsBondName(J42)</f>
        <v>#VALUE!</v>
      </c>
      <c r="L42" s="31" t="e">
        <f t="shared" si="34"/>
        <v>#VALUE!</v>
      </c>
      <c r="M42" s="31" t="e">
        <f t="shared" si="35"/>
        <v>#VALUE!</v>
      </c>
      <c r="N42" s="114" t="e">
        <f>_xll.CbondsCalcYTM(J32,$L$6,R42)</f>
        <v>#VALUE!</v>
      </c>
      <c r="O42" s="115" t="e">
        <f>_xll.CbondsCalcDuration(J32,$L$6,R42)/365</f>
        <v>#VALUE!</v>
      </c>
      <c r="P42" s="73" t="e">
        <f>_xll.CbondsCalcYTP(J42,$L$6,R42)</f>
        <v>#VALUE!</v>
      </c>
      <c r="Q42" s="31" t="e">
        <f>_xll.CbondsCalcDurationToPutCall(J42,$L$6,R42)/365</f>
        <v>#VALUE!</v>
      </c>
      <c r="R42" s="186" t="str">
        <f>IFERROR(_xll.CbondsClosePrice(J42,$L$6,VLOOKUP($B$27,'Help Page'!$M:$N,2,0)),"")</f>
        <v/>
      </c>
      <c r="S42" s="18" t="str">
        <f>IF(IFERROR(_xll.BondDateParams($J42,$L$6,$A$10)+1,"нет оферты") = "нет оферты", "нет","O")</f>
        <v>нет</v>
      </c>
      <c r="T42" s="109" t="str">
        <f t="shared" si="32"/>
        <v>Нет</v>
      </c>
      <c r="U42" s="109" t="str">
        <f t="shared" si="33"/>
        <v>Нет</v>
      </c>
      <c r="X42" s="74"/>
      <c r="Y42" s="74"/>
      <c r="Z42" s="74"/>
      <c r="AA42" s="74"/>
      <c r="AB42" s="74"/>
      <c r="AC42" s="74"/>
      <c r="AM42" s="18" t="e">
        <f>VLOOKUP(AN42,'Help Page'!E:F,2,0)</f>
        <v>#N/A</v>
      </c>
      <c r="AN42" s="73"/>
      <c r="AO42" s="73"/>
      <c r="AP42" s="73"/>
      <c r="AQ42" s="73"/>
      <c r="AR42" s="73"/>
      <c r="AS42" s="73"/>
      <c r="AU42" s="18" t="e">
        <f>VLOOKUP(AV42,'Help Page'!E:F,2,0)</f>
        <v>#N/A</v>
      </c>
      <c r="AV42" s="18">
        <f t="shared" si="26"/>
        <v>0</v>
      </c>
      <c r="AW42" s="18">
        <f t="shared" si="27"/>
        <v>0</v>
      </c>
      <c r="AX42" s="18">
        <f t="shared" si="28"/>
        <v>0</v>
      </c>
      <c r="AY42" s="18">
        <f t="shared" si="29"/>
        <v>0</v>
      </c>
      <c r="AZ42" s="27">
        <f t="shared" si="30"/>
        <v>0</v>
      </c>
      <c r="BA42" s="18">
        <f t="shared" si="31"/>
        <v>0</v>
      </c>
      <c r="BD42" s="74"/>
      <c r="BE42" s="74"/>
      <c r="BF42" s="74"/>
      <c r="BG42" s="74"/>
      <c r="BH42" s="74"/>
      <c r="BI42" s="74"/>
      <c r="CF42" s="18"/>
      <c r="CG42" s="18"/>
      <c r="CH42" s="18"/>
      <c r="CI42" s="18" t="str">
        <f>_xll.ReferenceParams(CH42,$CI$6 )</f>
        <v/>
      </c>
      <c r="CJ42" s="27" t="str">
        <f>_xll.ReferenceParams(CH42,$CJ$6 )</f>
        <v/>
      </c>
      <c r="CK42" s="27" t="str">
        <f>_xll.ReferenceParams(CH42,$CK$6)</f>
        <v/>
      </c>
      <c r="CL42" s="18" t="str">
        <f t="shared" si="36"/>
        <v/>
      </c>
      <c r="CM42" s="18"/>
      <c r="DM42" s="1"/>
    </row>
    <row r="43" spans="4:117" x14ac:dyDescent="0.3">
      <c r="D43" s="20">
        <f t="shared" si="1"/>
        <v>45982</v>
      </c>
      <c r="E43" s="73">
        <f>_xll.CbondsClosePrice($B$1,D43,VLOOKUP($B$27,'Help Page'!$M:$N,2,0))</f>
        <v>96.067300000000003</v>
      </c>
      <c r="F43" s="73">
        <f t="shared" si="0"/>
        <v>96.067300000000003</v>
      </c>
      <c r="G43" s="33">
        <f>IF(F43 = "","",IFERROR(IF($G$1 = "YTM",_xll.CbondsCalcYTM($B$1,D43,F43),_xll.CbondsCalcYTP($B$1,D43,F43)),"")*100)</f>
        <v>6.1523694517825005</v>
      </c>
      <c r="P43" s="1"/>
      <c r="X43" s="74"/>
      <c r="Y43" s="74"/>
      <c r="Z43" s="74"/>
      <c r="AA43" s="74"/>
      <c r="AB43" s="74"/>
      <c r="AC43" s="74"/>
      <c r="AM43" s="18" t="e">
        <f>VLOOKUP(AN43,'Help Page'!E:F,2,0)</f>
        <v>#N/A</v>
      </c>
      <c r="AN43" s="73"/>
      <c r="AO43" s="73"/>
      <c r="AP43" s="73"/>
      <c r="AQ43" s="73"/>
      <c r="AR43" s="73"/>
      <c r="AS43" s="73"/>
      <c r="AU43" s="18" t="e">
        <f>VLOOKUP(AV43,'Help Page'!E:F,2,0)</f>
        <v>#N/A</v>
      </c>
      <c r="AV43" s="18">
        <f t="shared" si="26"/>
        <v>0</v>
      </c>
      <c r="AW43" s="18">
        <f t="shared" si="27"/>
        <v>0</v>
      </c>
      <c r="AX43" s="18">
        <f t="shared" si="28"/>
        <v>0</v>
      </c>
      <c r="AY43" s="18">
        <f t="shared" si="29"/>
        <v>0</v>
      </c>
      <c r="AZ43" s="27">
        <f t="shared" si="30"/>
        <v>0</v>
      </c>
      <c r="BA43" s="18">
        <f t="shared" si="31"/>
        <v>0</v>
      </c>
      <c r="BD43" s="74"/>
      <c r="BE43" s="74"/>
      <c r="BF43" s="74"/>
      <c r="BG43" s="74"/>
      <c r="BH43" s="74"/>
      <c r="BI43" s="74"/>
      <c r="CF43" s="18"/>
      <c r="CG43" s="18"/>
      <c r="CH43" s="18"/>
      <c r="CI43" s="18" t="str">
        <f>_xll.ReferenceParams(CH43,$CI$6 )</f>
        <v/>
      </c>
      <c r="CJ43" s="27" t="str">
        <f>_xll.ReferenceParams(CH43,$CJ$6 )</f>
        <v/>
      </c>
      <c r="CK43" s="27" t="str">
        <f>_xll.ReferenceParams(CH43,$CK$6)</f>
        <v/>
      </c>
      <c r="CL43" s="18" t="str">
        <f t="shared" si="36"/>
        <v/>
      </c>
      <c r="CM43" s="18"/>
      <c r="DM43" s="1"/>
    </row>
    <row r="44" spans="4:117" x14ac:dyDescent="0.3">
      <c r="D44" s="20">
        <f t="shared" si="1"/>
        <v>45981</v>
      </c>
      <c r="E44" s="73">
        <f>_xll.CbondsClosePrice($B$1,D44,VLOOKUP($B$27,'Help Page'!$M:$N,2,0))</f>
        <v>95.251000000000005</v>
      </c>
      <c r="F44" s="73">
        <f t="shared" si="0"/>
        <v>95.251000000000005</v>
      </c>
      <c r="G44" s="33">
        <f>IF(F44 = "","",IFERROR(IF($G$1 = "YTM",_xll.CbondsCalcYTM($B$1,D44,F44),_xll.CbondsCalcYTP($B$1,D44,F44)),"")*100)</f>
        <v>6.6671181133399999</v>
      </c>
      <c r="P44" s="1"/>
      <c r="X44" s="74"/>
      <c r="Y44" s="74"/>
      <c r="Z44" s="74"/>
      <c r="AA44" s="74"/>
      <c r="AB44" s="74"/>
      <c r="AC44" s="74"/>
      <c r="AM44" s="18" t="e">
        <f>VLOOKUP(AN44,'Help Page'!E:F,2,0)</f>
        <v>#N/A</v>
      </c>
      <c r="AN44" s="73"/>
      <c r="AO44" s="73"/>
      <c r="AP44" s="73"/>
      <c r="AQ44" s="73"/>
      <c r="AR44" s="73"/>
      <c r="AS44" s="73"/>
      <c r="AU44" s="18" t="e">
        <f>VLOOKUP(AV44,'Help Page'!E:F,2,0)</f>
        <v>#N/A</v>
      </c>
      <c r="AV44" s="18">
        <f t="shared" si="26"/>
        <v>0</v>
      </c>
      <c r="AW44" s="18">
        <f t="shared" si="27"/>
        <v>0</v>
      </c>
      <c r="AX44" s="18">
        <f t="shared" si="28"/>
        <v>0</v>
      </c>
      <c r="AY44" s="18">
        <f t="shared" si="29"/>
        <v>0</v>
      </c>
      <c r="AZ44" s="27">
        <f t="shared" si="30"/>
        <v>0</v>
      </c>
      <c r="BA44" s="18">
        <f t="shared" si="31"/>
        <v>0</v>
      </c>
      <c r="BD44" s="74"/>
      <c r="BE44" s="74"/>
      <c r="BF44" s="74"/>
      <c r="BG44" s="74"/>
      <c r="BH44" s="74"/>
      <c r="BI44" s="74"/>
      <c r="CF44" s="18"/>
      <c r="CG44" s="18"/>
      <c r="CH44" s="18"/>
      <c r="CI44" s="18" t="str">
        <f>_xll.ReferenceParams(CH44,$CI$6 )</f>
        <v/>
      </c>
      <c r="CJ44" s="27" t="str">
        <f>_xll.ReferenceParams(CH44,$CJ$6 )</f>
        <v/>
      </c>
      <c r="CK44" s="27" t="str">
        <f>_xll.ReferenceParams(CH44,$CK$6)</f>
        <v/>
      </c>
      <c r="CL44" s="18" t="str">
        <f t="shared" si="36"/>
        <v/>
      </c>
      <c r="CM44" s="18"/>
      <c r="DM44" s="1"/>
    </row>
    <row r="45" spans="4:117" x14ac:dyDescent="0.3">
      <c r="D45" s="20">
        <f t="shared" si="1"/>
        <v>45980</v>
      </c>
      <c r="E45" s="73">
        <f>_xll.CbondsClosePrice($B$1,D45,VLOOKUP($B$27,'Help Page'!$M:$N,2,0))</f>
        <v>95.5</v>
      </c>
      <c r="F45" s="73">
        <f t="shared" si="0"/>
        <v>95.5</v>
      </c>
      <c r="G45" s="33">
        <f>IF(F45 = "","",IFERROR(IF($G$1 = "YTM",_xll.CbondsCalcYTM($B$1,D45,F45),_xll.CbondsCalcYTP($B$1,D45,F45)),"")*100)</f>
        <v>6.5042265836881992</v>
      </c>
      <c r="J45" s="110" t="s">
        <v>1311</v>
      </c>
      <c r="K45" s="201" t="s">
        <v>1317</v>
      </c>
      <c r="L45" s="201"/>
      <c r="M45" s="201" t="s">
        <v>1318</v>
      </c>
      <c r="N45" s="201"/>
      <c r="P45" s="1"/>
      <c r="X45" s="74"/>
      <c r="Y45" s="74"/>
      <c r="Z45" s="74"/>
      <c r="AA45" s="74"/>
      <c r="AB45" s="74"/>
      <c r="AC45" s="74"/>
      <c r="AM45" s="18" t="e">
        <f>VLOOKUP(AN45,'Help Page'!E:F,2,0)</f>
        <v>#N/A</v>
      </c>
      <c r="AN45" s="73"/>
      <c r="AO45" s="73"/>
      <c r="AP45" s="73"/>
      <c r="AQ45" s="73"/>
      <c r="AR45" s="73"/>
      <c r="AS45" s="73"/>
      <c r="AU45" s="18" t="e">
        <f>VLOOKUP(AV45,'Help Page'!E:F,2,0)</f>
        <v>#N/A</v>
      </c>
      <c r="AV45" s="18">
        <f t="shared" si="26"/>
        <v>0</v>
      </c>
      <c r="AW45" s="18">
        <f t="shared" si="27"/>
        <v>0</v>
      </c>
      <c r="AX45" s="18">
        <f t="shared" si="28"/>
        <v>0</v>
      </c>
      <c r="AY45" s="18">
        <f t="shared" si="29"/>
        <v>0</v>
      </c>
      <c r="AZ45" s="27">
        <f t="shared" si="30"/>
        <v>0</v>
      </c>
      <c r="BA45" s="18">
        <f t="shared" si="31"/>
        <v>0</v>
      </c>
      <c r="BD45" s="74"/>
      <c r="BE45" s="74"/>
      <c r="BF45" s="74"/>
      <c r="BG45" s="74"/>
      <c r="BH45" s="74"/>
      <c r="BI45" s="74"/>
      <c r="CF45" s="18"/>
      <c r="CG45" s="18"/>
      <c r="CH45" s="18"/>
      <c r="CI45" s="18" t="str">
        <f>_xll.ReferenceParams(CH45,$CI$6 )</f>
        <v/>
      </c>
      <c r="CJ45" s="27" t="str">
        <f>_xll.ReferenceParams(CH45,$CJ$6 )</f>
        <v/>
      </c>
      <c r="CK45" s="27" t="str">
        <f>_xll.ReferenceParams(CH45,$CK$6)</f>
        <v/>
      </c>
      <c r="CL45" s="18" t="str">
        <f t="shared" si="36"/>
        <v/>
      </c>
      <c r="CM45" s="18"/>
      <c r="DM45" s="1"/>
    </row>
    <row r="46" spans="4:117" x14ac:dyDescent="0.3">
      <c r="D46" s="20">
        <f t="shared" si="1"/>
        <v>45979</v>
      </c>
      <c r="E46" s="73">
        <f>_xll.CbondsClosePrice($B$1,D46,VLOOKUP($B$27,'Help Page'!$M:$N,2,0))</f>
        <v>95.5</v>
      </c>
      <c r="F46" s="73">
        <f t="shared" si="0"/>
        <v>95.5</v>
      </c>
      <c r="G46" s="33">
        <f>IF(F46 = "","",IFERROR(IF($G$1 = "YTM",_xll.CbondsCalcYTM($B$1,D46,F46),_xll.CbondsCalcYTP($B$1,D46,F46)),"")*100)</f>
        <v>6.5000383990282007</v>
      </c>
      <c r="J46" s="23"/>
      <c r="K46" s="81" t="s">
        <v>1316</v>
      </c>
      <c r="L46" s="81" t="s">
        <v>1315</v>
      </c>
      <c r="M46" s="81" t="s">
        <v>1316</v>
      </c>
      <c r="N46" s="81" t="s">
        <v>1315</v>
      </c>
      <c r="P46" s="1"/>
      <c r="X46" s="74"/>
      <c r="Y46" s="74"/>
      <c r="Z46" s="74"/>
      <c r="AA46" s="74"/>
      <c r="AB46" s="74"/>
      <c r="AC46" s="74"/>
      <c r="AM46" s="18" t="e">
        <f>VLOOKUP(AN46,'Help Page'!E:F,2,0)</f>
        <v>#N/A</v>
      </c>
      <c r="AN46" s="73"/>
      <c r="AO46" s="73"/>
      <c r="AP46" s="73"/>
      <c r="AQ46" s="73"/>
      <c r="AR46" s="73"/>
      <c r="AS46" s="73"/>
      <c r="AU46" s="18" t="e">
        <f>VLOOKUP(AV46,'Help Page'!E:F,2,0)</f>
        <v>#N/A</v>
      </c>
      <c r="AV46" s="18">
        <f t="shared" si="26"/>
        <v>0</v>
      </c>
      <c r="AW46" s="18">
        <f t="shared" si="27"/>
        <v>0</v>
      </c>
      <c r="AX46" s="18">
        <f t="shared" si="28"/>
        <v>0</v>
      </c>
      <c r="AY46" s="18">
        <f t="shared" si="29"/>
        <v>0</v>
      </c>
      <c r="AZ46" s="27">
        <f t="shared" si="30"/>
        <v>0</v>
      </c>
      <c r="BA46" s="18">
        <f t="shared" si="31"/>
        <v>0</v>
      </c>
      <c r="BD46" s="74"/>
      <c r="BE46" s="74"/>
      <c r="BF46" s="74"/>
      <c r="BG46" s="74"/>
      <c r="BH46" s="74"/>
      <c r="BI46" s="74"/>
      <c r="CF46" s="18"/>
      <c r="CG46" s="18"/>
      <c r="CH46" s="18"/>
      <c r="CI46" s="18" t="str">
        <f>_xll.ReferenceParams(CH46,$CI$6 )</f>
        <v/>
      </c>
      <c r="CJ46" s="27" t="str">
        <f>_xll.ReferenceParams(CH46,$CJ$6 )</f>
        <v/>
      </c>
      <c r="CK46" s="27" t="str">
        <f>_xll.ReferenceParams(CH46,$CK$6)</f>
        <v/>
      </c>
      <c r="CL46" s="18" t="str">
        <f t="shared" si="36"/>
        <v/>
      </c>
      <c r="CM46" s="18"/>
      <c r="DM46" s="1"/>
    </row>
    <row r="47" spans="4:117" x14ac:dyDescent="0.3">
      <c r="D47" s="20">
        <f t="shared" si="1"/>
        <v>45978</v>
      </c>
      <c r="E47" s="73">
        <f>_xll.CbondsClosePrice($B$1,D47,VLOOKUP($B$27,'Help Page'!$M:$N,2,0))</f>
        <v>95.187399999999997</v>
      </c>
      <c r="F47" s="73">
        <f t="shared" si="0"/>
        <v>95.187399999999997</v>
      </c>
      <c r="G47" s="33">
        <f>IF(F47 = "","",IFERROR(IF($G$1 = "YTM",_xll.CbondsCalcYTM($B$1,D47,F47),_xll.CbondsCalcYTP($B$1,D47,F47)),"")*100)</f>
        <v>6.6942918579077997</v>
      </c>
      <c r="J47" s="81" t="s">
        <v>1312</v>
      </c>
      <c r="K47" s="97">
        <f>MIN(U6:U18)</f>
        <v>45658</v>
      </c>
      <c r="L47" s="97">
        <f>MAX(U6:U18)</f>
        <v>46023</v>
      </c>
      <c r="M47" s="11">
        <f>_xlfn.FLOOR.MATH(MIN(F:F)-1,1)</f>
        <v>81</v>
      </c>
      <c r="N47" s="81">
        <f>_xlfn.CEILING.MATH(MAX(F:F)+1)</f>
        <v>100</v>
      </c>
      <c r="P47" s="181"/>
      <c r="X47" s="74"/>
      <c r="Y47" s="74"/>
      <c r="Z47" s="74"/>
      <c r="AA47" s="74"/>
      <c r="AB47" s="74"/>
      <c r="AC47" s="74"/>
      <c r="AM47" s="18" t="e">
        <f>VLOOKUP(AN47,'Help Page'!E:F,2,0)</f>
        <v>#N/A</v>
      </c>
      <c r="AN47" s="73"/>
      <c r="AO47" s="73"/>
      <c r="AP47" s="73"/>
      <c r="AQ47" s="73"/>
      <c r="AR47" s="73"/>
      <c r="AS47" s="73"/>
      <c r="AU47" s="18" t="e">
        <f>VLOOKUP(AV47,'Help Page'!E:F,2,0)</f>
        <v>#N/A</v>
      </c>
      <c r="AV47" s="18">
        <f t="shared" si="26"/>
        <v>0</v>
      </c>
      <c r="AW47" s="18">
        <f t="shared" si="27"/>
        <v>0</v>
      </c>
      <c r="AX47" s="18">
        <f t="shared" si="28"/>
        <v>0</v>
      </c>
      <c r="AY47" s="18">
        <f t="shared" si="29"/>
        <v>0</v>
      </c>
      <c r="AZ47" s="27">
        <f t="shared" si="30"/>
        <v>0</v>
      </c>
      <c r="BA47" s="18">
        <f t="shared" si="31"/>
        <v>0</v>
      </c>
      <c r="BD47" s="74"/>
      <c r="BE47" s="74"/>
      <c r="BF47" s="74"/>
      <c r="BG47" s="74"/>
      <c r="BH47" s="74"/>
      <c r="BI47" s="74"/>
      <c r="CF47" s="18"/>
      <c r="CG47" s="18"/>
      <c r="CH47" s="18"/>
      <c r="CI47" s="18" t="str">
        <f>_xll.ReferenceParams(CH47,$CI$6 )</f>
        <v/>
      </c>
      <c r="CJ47" s="27" t="str">
        <f>_xll.ReferenceParams(CH47,$CJ$6 )</f>
        <v/>
      </c>
      <c r="CK47" s="27" t="str">
        <f>_xll.ReferenceParams(CH47,$CK$6)</f>
        <v/>
      </c>
      <c r="CL47" s="18" t="str">
        <f t="shared" si="36"/>
        <v/>
      </c>
      <c r="CM47" s="18"/>
      <c r="DM47" s="1"/>
    </row>
    <row r="48" spans="4:117" x14ac:dyDescent="0.3">
      <c r="D48" s="20">
        <f t="shared" si="1"/>
        <v>45977</v>
      </c>
      <c r="E48" s="73" t="str">
        <f>_xll.CbondsClosePrice($B$1,D48,VLOOKUP($B$27,'Help Page'!$M:$N,2,0))</f>
        <v>Нет данных</v>
      </c>
      <c r="F48" s="73">
        <f t="shared" si="0"/>
        <v>96.969099999999997</v>
      </c>
      <c r="G48" s="33">
        <f>IF(F48 = "","",IFERROR(IF($G$1 = "YTM",_xll.CbondsCalcYTM($B$1,D48,F48),_xll.CbondsCalcYTP($B$1,D48,F48)),"")*100)</f>
        <v>5.5741601420973996</v>
      </c>
      <c r="J48" s="81" t="s">
        <v>1313</v>
      </c>
      <c r="K48" s="97">
        <f>MIN(U6:U18)</f>
        <v>45658</v>
      </c>
      <c r="L48" s="97">
        <f>MAX(U6:U18)</f>
        <v>46023</v>
      </c>
      <c r="M48" s="184">
        <f>_xlfn.FLOOR.MATH(MIN(G:G)-0.5,1)</f>
        <v>3</v>
      </c>
      <c r="N48" s="184">
        <f>_xlfn.CEILING.MATH(MAX(G:G)+0.5)</f>
        <v>13</v>
      </c>
      <c r="O48" s="182"/>
      <c r="P48" s="181"/>
      <c r="X48" s="74"/>
      <c r="Y48" s="74"/>
      <c r="Z48" s="74"/>
      <c r="AA48" s="74"/>
      <c r="AB48" s="74"/>
      <c r="AC48" s="74"/>
      <c r="AM48" s="18" t="e">
        <f>VLOOKUP(AN48,'Help Page'!E:F,2,0)</f>
        <v>#N/A</v>
      </c>
      <c r="AN48" s="73"/>
      <c r="AO48" s="73"/>
      <c r="AP48" s="73"/>
      <c r="AQ48" s="73"/>
      <c r="AR48" s="73"/>
      <c r="AS48" s="73"/>
      <c r="AU48" s="18" t="e">
        <f>VLOOKUP(AV48,'Help Page'!E:F,2,0)</f>
        <v>#N/A</v>
      </c>
      <c r="AV48" s="18">
        <f t="shared" si="26"/>
        <v>0</v>
      </c>
      <c r="AW48" s="18">
        <f t="shared" si="27"/>
        <v>0</v>
      </c>
      <c r="AX48" s="18">
        <f t="shared" si="28"/>
        <v>0</v>
      </c>
      <c r="AY48" s="18">
        <f t="shared" si="29"/>
        <v>0</v>
      </c>
      <c r="AZ48" s="27">
        <f t="shared" si="30"/>
        <v>0</v>
      </c>
      <c r="BA48" s="18">
        <f t="shared" si="31"/>
        <v>0</v>
      </c>
      <c r="BD48" s="74"/>
      <c r="BE48" s="74"/>
      <c r="BF48" s="74"/>
      <c r="BG48" s="74"/>
      <c r="BH48" s="74"/>
      <c r="BI48" s="74"/>
      <c r="CF48" s="18"/>
      <c r="CG48" s="18"/>
      <c r="CH48" s="18"/>
      <c r="CI48" s="18" t="str">
        <f>_xll.ReferenceParams(CH48,$CI$6 )</f>
        <v/>
      </c>
      <c r="CJ48" s="27" t="str">
        <f>_xll.ReferenceParams(CH48,$CJ$6 )</f>
        <v/>
      </c>
      <c r="CK48" s="27" t="str">
        <f>_xll.ReferenceParams(CH48,$CK$6)</f>
        <v/>
      </c>
      <c r="CL48" s="18" t="str">
        <f t="shared" si="36"/>
        <v/>
      </c>
      <c r="CM48" s="18"/>
      <c r="DM48" s="1"/>
    </row>
    <row r="49" spans="4:117" x14ac:dyDescent="0.3">
      <c r="D49" s="20">
        <f t="shared" si="1"/>
        <v>45976</v>
      </c>
      <c r="E49" s="73" t="str">
        <f>_xll.CbondsClosePrice($B$1,D49,VLOOKUP($B$27,'Help Page'!$M:$N,2,0))</f>
        <v>Нет данных</v>
      </c>
      <c r="F49" s="73">
        <f t="shared" si="0"/>
        <v>96.969099999999997</v>
      </c>
      <c r="G49" s="33">
        <f>IF(F49 = "","",IFERROR(IF($G$1 = "YTM",_xll.CbondsCalcYTM($B$1,D49,F49),_xll.CbondsCalcYTP($B$1,D49,F49)),"")*100)</f>
        <v>5.5713827002874998</v>
      </c>
      <c r="J49" s="143" t="s">
        <v>1314</v>
      </c>
      <c r="K49" s="194">
        <f>_xlfn.FLOOR.MATH(MIN(Template!W1:AB1)-0.5%,0.01)</f>
        <v>0.01</v>
      </c>
      <c r="L49" s="194">
        <f>_xlfn.CEILING.MATH(MAX(Template!W1:AB1)+0.5%,0.01)</f>
        <v>0.08</v>
      </c>
      <c r="M49" s="109"/>
      <c r="N49" s="109"/>
      <c r="P49" s="181"/>
      <c r="X49" s="74"/>
      <c r="Y49" s="74"/>
      <c r="Z49" s="74"/>
      <c r="AA49" s="74"/>
      <c r="AB49" s="74"/>
      <c r="AC49" s="74"/>
      <c r="AM49" s="18"/>
      <c r="AN49" s="73"/>
      <c r="AO49" s="73"/>
      <c r="AP49" s="73"/>
      <c r="AQ49" s="73"/>
      <c r="AR49" s="73"/>
      <c r="AS49" s="73"/>
      <c r="AU49" s="18" t="e">
        <f>VLOOKUP(AV49,'Help Page'!E:F,2,0)</f>
        <v>#N/A</v>
      </c>
      <c r="AV49" s="18">
        <f t="shared" si="26"/>
        <v>0</v>
      </c>
      <c r="AW49" s="18">
        <f t="shared" si="27"/>
        <v>0</v>
      </c>
      <c r="AX49" s="18">
        <f t="shared" si="28"/>
        <v>0</v>
      </c>
      <c r="AY49" s="18">
        <f t="shared" si="29"/>
        <v>0</v>
      </c>
      <c r="AZ49" s="27">
        <f t="shared" si="30"/>
        <v>0</v>
      </c>
      <c r="BA49" s="18">
        <f t="shared" si="31"/>
        <v>0</v>
      </c>
      <c r="BD49" s="74"/>
      <c r="BE49" s="74"/>
      <c r="BF49" s="74"/>
      <c r="BG49" s="74"/>
      <c r="BH49" s="74"/>
      <c r="BI49" s="74"/>
      <c r="CF49" s="18"/>
      <c r="CG49" s="18"/>
      <c r="CH49" s="18"/>
      <c r="CI49" s="18" t="str">
        <f>_xll.ReferenceParams(CH49,$CI$6 )</f>
        <v/>
      </c>
      <c r="CJ49" s="27" t="str">
        <f>_xll.ReferenceParams(CH49,$CJ$6 )</f>
        <v/>
      </c>
      <c r="CK49" s="27" t="str">
        <f>_xll.ReferenceParams(CH49,$CK$6)</f>
        <v/>
      </c>
      <c r="CL49" s="18" t="str">
        <f t="shared" si="36"/>
        <v/>
      </c>
      <c r="CM49" s="18"/>
      <c r="DM49" s="1"/>
    </row>
    <row r="50" spans="4:117" x14ac:dyDescent="0.3">
      <c r="D50" s="20">
        <f t="shared" si="1"/>
        <v>45975</v>
      </c>
      <c r="E50" s="73">
        <f>_xll.CbondsClosePrice($B$1,D50,VLOOKUP($B$27,'Help Page'!$M:$N,2,0))</f>
        <v>96.969099999999997</v>
      </c>
      <c r="F50" s="73">
        <f t="shared" si="0"/>
        <v>96.969099999999997</v>
      </c>
      <c r="G50" s="33">
        <f>IF(F50 = "","",IFERROR(IF($G$1 = "YTM",_xll.CbondsCalcYTM($B$1,D50,F50),_xll.CbondsCalcYTP($B$1,D50,F50)),"")*100)</f>
        <v>5.5686146215410002</v>
      </c>
      <c r="J50" s="186" t="s">
        <v>2137</v>
      </c>
      <c r="K50" s="109">
        <f>MAX(_xlfn.FLOOR.MATH(MIN(U36:U42)-0.3,0.1),0)</f>
        <v>1.3</v>
      </c>
      <c r="L50" s="109">
        <f>_xlfn.CEILING.MATH(MAX(U36:U42)+0.3,0.1)</f>
        <v>2</v>
      </c>
      <c r="M50" s="109">
        <f>_xlfn.FLOOR.MATH(MIN(T36:T42)-0.5,1)</f>
        <v>5</v>
      </c>
      <c r="N50" s="109">
        <f>_xlfn.CEILING.MATH(MAX(T36:T42)+0.5,1)</f>
        <v>7</v>
      </c>
      <c r="P50" s="181"/>
      <c r="X50" s="74"/>
      <c r="Y50" s="74"/>
      <c r="Z50" s="74"/>
      <c r="AA50" s="74"/>
      <c r="AB50" s="74"/>
      <c r="AC50" s="74"/>
      <c r="AM50" s="18"/>
      <c r="AN50" s="73"/>
      <c r="AO50" s="73"/>
      <c r="AP50" s="73"/>
      <c r="AQ50" s="73"/>
      <c r="AR50" s="73"/>
      <c r="AS50" s="73"/>
      <c r="AU50" s="18" t="e">
        <f>VLOOKUP(AV50,'Help Page'!E:F,2,0)</f>
        <v>#N/A</v>
      </c>
      <c r="AV50" s="18">
        <f t="shared" si="26"/>
        <v>0</v>
      </c>
      <c r="AW50" s="18">
        <f t="shared" si="27"/>
        <v>0</v>
      </c>
      <c r="AX50" s="18">
        <f t="shared" si="28"/>
        <v>0</v>
      </c>
      <c r="AY50" s="18">
        <f t="shared" si="29"/>
        <v>0</v>
      </c>
      <c r="AZ50" s="27">
        <f t="shared" si="30"/>
        <v>0</v>
      </c>
      <c r="BA50" s="18">
        <f t="shared" si="31"/>
        <v>0</v>
      </c>
      <c r="BD50" s="74"/>
      <c r="BE50" s="74"/>
      <c r="BF50" s="74"/>
      <c r="BG50" s="74"/>
      <c r="BH50" s="74"/>
      <c r="BI50" s="74"/>
      <c r="CF50" s="18"/>
      <c r="CG50" s="18"/>
      <c r="CH50" s="18"/>
      <c r="CI50" s="18" t="str">
        <f>_xll.ReferenceParams(CH50,$CI$6 )</f>
        <v/>
      </c>
      <c r="CJ50" s="27" t="str">
        <f>_xll.ReferenceParams(CH50,$CJ$6 )</f>
        <v/>
      </c>
      <c r="CK50" s="27" t="str">
        <f>_xll.ReferenceParams(CH50,$CK$6)</f>
        <v/>
      </c>
      <c r="CL50" s="18" t="str">
        <f t="shared" si="36"/>
        <v/>
      </c>
      <c r="CM50" s="18"/>
      <c r="DM50" s="1"/>
    </row>
    <row r="51" spans="4:117" x14ac:dyDescent="0.3">
      <c r="D51" s="20">
        <f t="shared" si="1"/>
        <v>45974</v>
      </c>
      <c r="E51" s="73">
        <f>_xll.CbondsClosePrice($B$1,D51,VLOOKUP($B$27,'Help Page'!$M:$N,2,0))</f>
        <v>95.500100000000003</v>
      </c>
      <c r="F51" s="73">
        <f t="shared" si="0"/>
        <v>95.500100000000003</v>
      </c>
      <c r="G51" s="33">
        <f>IF(F51 = "","",IFERROR(IF($G$1 = "YTM",_xll.CbondsCalcYTM($B$1,D51,F51),_xll.CbondsCalcYTP($B$1,D51,F51)),"")*100)</f>
        <v>6.4798718111362996</v>
      </c>
      <c r="P51" s="181"/>
      <c r="X51" s="74"/>
      <c r="Y51" s="74"/>
      <c r="Z51" s="74"/>
      <c r="AA51" s="74"/>
      <c r="AB51" s="74"/>
      <c r="AC51" s="74"/>
      <c r="AM51" s="18"/>
      <c r="AN51" s="73"/>
      <c r="AO51" s="73"/>
      <c r="AP51" s="73"/>
      <c r="AQ51" s="73"/>
      <c r="AR51" s="73"/>
      <c r="AS51" s="73"/>
      <c r="AU51" s="18" t="e">
        <f>VLOOKUP(AV51,'Help Page'!E:F,2,0)</f>
        <v>#N/A</v>
      </c>
      <c r="AV51" s="18">
        <f t="shared" si="26"/>
        <v>0</v>
      </c>
      <c r="AW51" s="18">
        <f t="shared" si="27"/>
        <v>0</v>
      </c>
      <c r="AX51" s="18">
        <f t="shared" si="28"/>
        <v>0</v>
      </c>
      <c r="AY51" s="18">
        <f t="shared" si="29"/>
        <v>0</v>
      </c>
      <c r="AZ51" s="27">
        <f t="shared" si="30"/>
        <v>0</v>
      </c>
      <c r="BA51" s="18">
        <f t="shared" si="31"/>
        <v>0</v>
      </c>
      <c r="BD51" s="74"/>
      <c r="BE51" s="74"/>
      <c r="BF51" s="74"/>
      <c r="BG51" s="74"/>
      <c r="BH51" s="74"/>
      <c r="BI51" s="74"/>
      <c r="CF51" s="18"/>
      <c r="CG51" s="18"/>
      <c r="CH51" s="18"/>
      <c r="CI51" s="18" t="str">
        <f>_xll.ReferenceParams(CH51,$CI$6 )</f>
        <v/>
      </c>
      <c r="CJ51" s="27" t="str">
        <f>_xll.ReferenceParams(CH51,$CJ$6 )</f>
        <v/>
      </c>
      <c r="CK51" s="27" t="str">
        <f>_xll.ReferenceParams(CH51,$CK$6)</f>
        <v/>
      </c>
      <c r="CL51" s="18" t="str">
        <f t="shared" si="36"/>
        <v/>
      </c>
      <c r="CM51" s="18"/>
      <c r="DM51" s="1"/>
    </row>
    <row r="52" spans="4:117" x14ac:dyDescent="0.3">
      <c r="D52" s="20">
        <f t="shared" si="1"/>
        <v>45973</v>
      </c>
      <c r="E52" s="73">
        <f>_xll.CbondsClosePrice($B$1,D52,VLOOKUP($B$27,'Help Page'!$M:$N,2,0))</f>
        <v>95.380099999999999</v>
      </c>
      <c r="F52" s="73">
        <f t="shared" si="0"/>
        <v>95.380099999999999</v>
      </c>
      <c r="G52" s="33">
        <f>IF(F52 = "","",IFERROR(IF($G$1 = "YTM",_xll.CbondsCalcYTM($B$1,D52,F52),_xll.CbondsCalcYTP($B$1,D52,F52)),"")*100)</f>
        <v>6.5512493036172996</v>
      </c>
      <c r="P52" s="1"/>
      <c r="X52" s="74"/>
      <c r="Y52" s="74"/>
      <c r="Z52" s="74"/>
      <c r="AA52" s="74"/>
      <c r="AB52" s="74"/>
      <c r="AC52" s="74"/>
      <c r="AM52" s="18"/>
      <c r="AN52" s="73"/>
      <c r="AO52" s="73"/>
      <c r="AP52" s="73"/>
      <c r="AQ52" s="73"/>
      <c r="AR52" s="73"/>
      <c r="AS52" s="73"/>
      <c r="AU52" s="18" t="e">
        <f>VLOOKUP(AV52,'Help Page'!E:F,2,0)</f>
        <v>#N/A</v>
      </c>
      <c r="AV52" s="18">
        <f t="shared" si="26"/>
        <v>0</v>
      </c>
      <c r="AW52" s="18">
        <f t="shared" si="27"/>
        <v>0</v>
      </c>
      <c r="AX52" s="18">
        <f t="shared" si="28"/>
        <v>0</v>
      </c>
      <c r="AY52" s="18">
        <f t="shared" si="29"/>
        <v>0</v>
      </c>
      <c r="AZ52" s="27">
        <f t="shared" si="30"/>
        <v>0</v>
      </c>
      <c r="BA52" s="18">
        <f t="shared" si="31"/>
        <v>0</v>
      </c>
      <c r="BD52" s="74"/>
      <c r="BE52" s="74"/>
      <c r="BF52" s="74"/>
      <c r="BG52" s="74"/>
      <c r="BH52" s="74"/>
      <c r="BI52" s="74"/>
      <c r="CF52" s="18"/>
      <c r="CG52" s="18"/>
      <c r="CH52" s="18"/>
      <c r="CI52" s="18" t="str">
        <f>_xll.ReferenceParams(CH52,$CI$6 )</f>
        <v/>
      </c>
      <c r="CJ52" s="27" t="str">
        <f>_xll.ReferenceParams(CH52,$CJ$6 )</f>
        <v/>
      </c>
      <c r="CK52" s="27" t="str">
        <f>_xll.ReferenceParams(CH52,$CK$6)</f>
        <v/>
      </c>
      <c r="CL52" s="18" t="str">
        <f t="shared" si="36"/>
        <v/>
      </c>
      <c r="CM52" s="18"/>
      <c r="DM52" s="1"/>
    </row>
    <row r="53" spans="4:117" x14ac:dyDescent="0.3">
      <c r="D53" s="20">
        <f t="shared" si="1"/>
        <v>45972</v>
      </c>
      <c r="E53" s="73">
        <f>_xll.CbondsClosePrice($B$1,D53,VLOOKUP($B$27,'Help Page'!$M:$N,2,0))</f>
        <v>95.524000000000001</v>
      </c>
      <c r="F53" s="73">
        <f t="shared" si="0"/>
        <v>95.524000000000001</v>
      </c>
      <c r="G53" s="33">
        <f>IF(F53 = "","",IFERROR(IF($G$1 = "YTM",_xll.CbondsCalcYTM($B$1,D53,F53),_xll.CbondsCalcYTP($B$1,D53,F53)),"")*100)</f>
        <v>6.4566791404902997</v>
      </c>
      <c r="P53" s="1"/>
      <c r="X53" s="74"/>
      <c r="Y53" s="74"/>
      <c r="Z53" s="74"/>
      <c r="AA53" s="74"/>
      <c r="AB53" s="74"/>
      <c r="AC53" s="74"/>
      <c r="AM53" s="18"/>
      <c r="AN53" s="73"/>
      <c r="AO53" s="73"/>
      <c r="AP53" s="73"/>
      <c r="AQ53" s="73"/>
      <c r="AR53" s="73"/>
      <c r="AS53" s="73"/>
      <c r="AU53" s="18" t="e">
        <f>VLOOKUP(AV53,'Help Page'!E:F,2,0)</f>
        <v>#N/A</v>
      </c>
      <c r="AV53" s="18">
        <f t="shared" si="26"/>
        <v>0</v>
      </c>
      <c r="AW53" s="18">
        <f t="shared" si="27"/>
        <v>0</v>
      </c>
      <c r="AX53" s="18">
        <f t="shared" si="28"/>
        <v>0</v>
      </c>
      <c r="AY53" s="18">
        <f t="shared" si="29"/>
        <v>0</v>
      </c>
      <c r="AZ53" s="27">
        <f t="shared" si="30"/>
        <v>0</v>
      </c>
      <c r="BA53" s="18">
        <f t="shared" si="31"/>
        <v>0</v>
      </c>
      <c r="BD53" s="74"/>
      <c r="BE53" s="74"/>
      <c r="BF53" s="74"/>
      <c r="BG53" s="74"/>
      <c r="BH53" s="74"/>
      <c r="BI53" s="74"/>
      <c r="CF53" s="18"/>
      <c r="CG53" s="18"/>
      <c r="CH53" s="18"/>
      <c r="CI53" s="18" t="str">
        <f>_xll.ReferenceParams(CH53,$CI$6 )</f>
        <v/>
      </c>
      <c r="CJ53" s="27" t="str">
        <f>_xll.ReferenceParams(CH53,$CJ$6 )</f>
        <v/>
      </c>
      <c r="CK53" s="27" t="str">
        <f>_xll.ReferenceParams(CH53,$CK$6)</f>
        <v/>
      </c>
      <c r="CL53" s="18" t="str">
        <f t="shared" si="36"/>
        <v/>
      </c>
      <c r="CM53" s="18"/>
      <c r="DM53" s="1"/>
    </row>
    <row r="54" spans="4:117" x14ac:dyDescent="0.3">
      <c r="D54" s="20">
        <f t="shared" si="1"/>
        <v>45971</v>
      </c>
      <c r="E54" s="73">
        <f>_xll.CbondsClosePrice($B$1,D54,VLOOKUP($B$27,'Help Page'!$M:$N,2,0))</f>
        <v>95.25</v>
      </c>
      <c r="F54" s="73">
        <f t="shared" si="0"/>
        <v>95.25</v>
      </c>
      <c r="G54" s="33">
        <f>IF(F54 = "","",IFERROR(IF($G$1 = "YTM",_xll.CbondsCalcYTM($B$1,D54,F54),_xll.CbondsCalcYTP($B$1,D54,F54)),"")*100)</f>
        <v>6.6246159842203998</v>
      </c>
      <c r="P54" s="1"/>
      <c r="X54" s="74"/>
      <c r="Y54" s="74"/>
      <c r="Z54" s="74"/>
      <c r="AA54" s="74"/>
      <c r="AB54" s="74"/>
      <c r="AC54" s="74"/>
      <c r="AN54" s="74"/>
      <c r="AO54" s="74"/>
      <c r="AP54" s="74"/>
      <c r="AQ54" s="74"/>
      <c r="AR54" s="74"/>
      <c r="AS54" s="74"/>
      <c r="BD54" s="74"/>
      <c r="BE54" s="74"/>
      <c r="BF54" s="74"/>
      <c r="BG54" s="74"/>
      <c r="BH54" s="74"/>
      <c r="BI54" s="74"/>
      <c r="CF54" s="18"/>
      <c r="CG54" s="18"/>
      <c r="CH54" s="18"/>
      <c r="CI54" s="18" t="str">
        <f>_xll.ReferenceParams(CH54,$CI$6 )</f>
        <v/>
      </c>
      <c r="CJ54" s="27" t="str">
        <f>_xll.ReferenceParams(CH54,$CJ$6 )</f>
        <v/>
      </c>
      <c r="CK54" s="27" t="str">
        <f>_xll.ReferenceParams(CH54,$CK$6)</f>
        <v/>
      </c>
      <c r="CL54" s="18" t="str">
        <f t="shared" si="36"/>
        <v/>
      </c>
      <c r="CM54" s="18"/>
      <c r="DM54" s="1"/>
    </row>
    <row r="55" spans="4:117" x14ac:dyDescent="0.3">
      <c r="D55" s="20">
        <f t="shared" si="1"/>
        <v>45970</v>
      </c>
      <c r="E55" s="73" t="str">
        <f>_xll.CbondsClosePrice($B$1,D55,VLOOKUP($B$27,'Help Page'!$M:$N,2,0))</f>
        <v>Нет данных</v>
      </c>
      <c r="F55" s="73">
        <f t="shared" si="0"/>
        <v>95.35</v>
      </c>
      <c r="G55" s="33">
        <f>IF(F55 = "","",IFERROR(IF($G$1 = "YTM",_xll.CbondsCalcYTM($B$1,D55,F55),_xll.CbondsCalcYTP($B$1,D55,F55)),"")*100)</f>
        <v>6.5575485020021</v>
      </c>
      <c r="P55" s="1"/>
      <c r="X55" s="74"/>
      <c r="Y55" s="74"/>
      <c r="Z55" s="74"/>
      <c r="AA55" s="74"/>
      <c r="AB55" s="74"/>
      <c r="AC55" s="74"/>
      <c r="AN55" s="74"/>
      <c r="AO55" s="74"/>
      <c r="AP55" s="74"/>
      <c r="AQ55" s="74"/>
      <c r="AR55" s="74"/>
      <c r="AS55" s="74"/>
      <c r="BD55" s="74"/>
      <c r="BE55" s="74"/>
      <c r="BF55" s="74"/>
      <c r="BG55" s="74"/>
      <c r="BH55" s="74"/>
      <c r="BI55" s="74"/>
      <c r="CF55" s="18"/>
      <c r="CG55" s="18"/>
      <c r="CH55" s="18"/>
      <c r="CI55" s="18" t="str">
        <f>_xll.ReferenceParams(CH55,$CI$6 )</f>
        <v/>
      </c>
      <c r="CJ55" s="27" t="str">
        <f>_xll.ReferenceParams(CH55,$CJ$6 )</f>
        <v/>
      </c>
      <c r="CK55" s="27" t="str">
        <f>_xll.ReferenceParams(CH55,$CK$6)</f>
        <v/>
      </c>
      <c r="CL55" s="18" t="str">
        <f t="shared" si="36"/>
        <v/>
      </c>
      <c r="CM55" s="18"/>
      <c r="DM55" s="1"/>
    </row>
    <row r="56" spans="4:117" x14ac:dyDescent="0.3">
      <c r="D56" s="20">
        <f t="shared" si="1"/>
        <v>45969</v>
      </c>
      <c r="E56" s="73" t="str">
        <f>_xll.CbondsClosePrice($B$1,D56,VLOOKUP($B$27,'Help Page'!$M:$N,2,0))</f>
        <v>Нет данных</v>
      </c>
      <c r="F56" s="73">
        <f t="shared" si="0"/>
        <v>95.35</v>
      </c>
      <c r="G56" s="33">
        <f>IF(F56 = "","",IFERROR(IF($G$1 = "YTM",_xll.CbondsCalcYTM($B$1,D56,F56),_xll.CbondsCalcYTP($B$1,D56,F56)),"")*100)</f>
        <v>6.5533568136769995</v>
      </c>
      <c r="P56" s="1"/>
      <c r="X56" s="74"/>
      <c r="Y56" s="74"/>
      <c r="Z56" s="74"/>
      <c r="AA56" s="74"/>
      <c r="AB56" s="74"/>
      <c r="AC56" s="74"/>
      <c r="AN56" s="74"/>
      <c r="AO56" s="74"/>
      <c r="AP56" s="74"/>
      <c r="AQ56" s="74"/>
      <c r="AR56" s="74"/>
      <c r="AS56" s="74"/>
      <c r="BD56" s="74"/>
      <c r="BE56" s="74"/>
      <c r="BF56" s="74"/>
      <c r="BG56" s="74"/>
      <c r="BH56" s="74"/>
      <c r="BI56" s="74"/>
      <c r="CF56" s="18"/>
      <c r="CG56" s="18"/>
      <c r="CH56" s="18"/>
      <c r="CI56" s="18" t="str">
        <f>_xll.ReferenceParams(CH56,$CI$6 )</f>
        <v/>
      </c>
      <c r="CJ56" s="27" t="str">
        <f>_xll.ReferenceParams(CH56,$CJ$6 )</f>
        <v/>
      </c>
      <c r="CK56" s="27" t="str">
        <f>_xll.ReferenceParams(CH56,$CK$6)</f>
        <v/>
      </c>
      <c r="CL56" s="18" t="str">
        <f t="shared" si="36"/>
        <v/>
      </c>
      <c r="CM56" s="18"/>
      <c r="DM56" s="1"/>
    </row>
    <row r="57" spans="4:117" x14ac:dyDescent="0.3">
      <c r="D57" s="20">
        <f t="shared" si="1"/>
        <v>45968</v>
      </c>
      <c r="E57" s="73">
        <f>_xll.CbondsClosePrice($B$1,D57,VLOOKUP($B$27,'Help Page'!$M:$N,2,0))</f>
        <v>95.35</v>
      </c>
      <c r="F57" s="73">
        <f t="shared" si="0"/>
        <v>95.35</v>
      </c>
      <c r="G57" s="33">
        <f>IF(F57 = "","",IFERROR(IF($G$1 = "YTM",_xll.CbondsCalcYTM($B$1,D57,F57),_xll.CbondsCalcYTP($B$1,D57,F57)),"")*100)</f>
        <v>6.5491788776500997</v>
      </c>
      <c r="P57" s="1"/>
      <c r="X57" s="74"/>
      <c r="Y57" s="74"/>
      <c r="Z57" s="74"/>
      <c r="AA57" s="74"/>
      <c r="AB57" s="74"/>
      <c r="AC57" s="74"/>
      <c r="AN57" s="74"/>
      <c r="AO57" s="74"/>
      <c r="AP57" s="74"/>
      <c r="AQ57" s="74"/>
      <c r="AR57" s="74"/>
      <c r="AS57" s="74"/>
      <c r="BD57" s="74"/>
      <c r="BE57" s="74"/>
      <c r="BF57" s="74"/>
      <c r="BG57" s="74"/>
      <c r="BH57" s="74"/>
      <c r="BI57" s="74"/>
      <c r="CF57" s="18"/>
      <c r="CG57" s="18"/>
      <c r="CH57" s="18"/>
      <c r="CI57" s="18" t="str">
        <f>_xll.ReferenceParams(CH57,$CI$6 )</f>
        <v/>
      </c>
      <c r="CJ57" s="27" t="str">
        <f>_xll.ReferenceParams(CH57,$CJ$6 )</f>
        <v/>
      </c>
      <c r="CK57" s="27" t="str">
        <f>_xll.ReferenceParams(CH57,$CK$6)</f>
        <v/>
      </c>
      <c r="CL57" s="18" t="str">
        <f t="shared" si="36"/>
        <v/>
      </c>
      <c r="CM57" s="18"/>
      <c r="DM57" s="1"/>
    </row>
    <row r="58" spans="4:117" x14ac:dyDescent="0.3">
      <c r="D58" s="20">
        <f t="shared" si="1"/>
        <v>45967</v>
      </c>
      <c r="E58" s="73">
        <f>_xll.CbondsClosePrice($B$1,D58,VLOOKUP($B$27,'Help Page'!$M:$N,2,0))</f>
        <v>95.259799999999998</v>
      </c>
      <c r="F58" s="73">
        <f t="shared" si="0"/>
        <v>95.259799999999998</v>
      </c>
      <c r="G58" s="33">
        <f>IF(F58 = "","",IFERROR(IF($G$1 = "YTM",_xll.CbondsCalcYTM($B$1,D58,F58),_xll.CbondsCalcYTP($B$1,D58,F58)),"")*100)</f>
        <v>6.6013764770729999</v>
      </c>
      <c r="P58" s="1"/>
      <c r="X58" s="74"/>
      <c r="Y58" s="74"/>
      <c r="Z58" s="74"/>
      <c r="AA58" s="74"/>
      <c r="AB58" s="74"/>
      <c r="AC58" s="74"/>
      <c r="AN58" s="74"/>
      <c r="AO58" s="74"/>
      <c r="AP58" s="74"/>
      <c r="AQ58" s="74"/>
      <c r="AR58" s="74"/>
      <c r="AS58" s="74"/>
      <c r="BD58" s="74"/>
      <c r="BE58" s="74"/>
      <c r="BF58" s="74"/>
      <c r="BG58" s="74"/>
      <c r="BH58" s="74"/>
      <c r="BI58" s="74"/>
      <c r="CF58" s="18"/>
      <c r="CG58" s="18"/>
      <c r="CH58" s="18"/>
      <c r="CI58" s="18" t="str">
        <f>_xll.ReferenceParams(CH58,$CI$6 )</f>
        <v/>
      </c>
      <c r="CJ58" s="27" t="str">
        <f>_xll.ReferenceParams(CH58,$CJ$6 )</f>
        <v/>
      </c>
      <c r="CK58" s="27" t="str">
        <f>_xll.ReferenceParams(CH58,$CK$6)</f>
        <v/>
      </c>
      <c r="CL58" s="18" t="str">
        <f t="shared" si="36"/>
        <v/>
      </c>
      <c r="CM58" s="18"/>
      <c r="DM58" s="1"/>
    </row>
    <row r="59" spans="4:117" x14ac:dyDescent="0.3">
      <c r="D59" s="20">
        <f t="shared" si="1"/>
        <v>45966</v>
      </c>
      <c r="E59" s="73">
        <f>_xll.CbondsClosePrice($B$1,D59,VLOOKUP($B$27,'Help Page'!$M:$N,2,0))</f>
        <v>95.193299999999994</v>
      </c>
      <c r="F59" s="73">
        <f t="shared" si="0"/>
        <v>95.193299999999994</v>
      </c>
      <c r="G59" s="33">
        <f>IF(F59 = "","",IFERROR(IF($G$1 = "YTM",_xll.CbondsCalcYTM($B$1,D59,F59),_xll.CbondsCalcYTP($B$1,D59,F59)),"")*100)</f>
        <v>6.6393132160479</v>
      </c>
      <c r="P59" s="1"/>
      <c r="X59" s="74"/>
      <c r="Y59" s="74"/>
      <c r="Z59" s="74"/>
      <c r="AA59" s="74"/>
      <c r="AB59" s="74"/>
      <c r="AC59" s="74"/>
      <c r="AN59" s="74"/>
      <c r="AO59" s="74"/>
      <c r="AP59" s="74"/>
      <c r="AQ59" s="74"/>
      <c r="AR59" s="74"/>
      <c r="AS59" s="74"/>
      <c r="BD59" s="74"/>
      <c r="BE59" s="74"/>
      <c r="BF59" s="74"/>
      <c r="BG59" s="74"/>
      <c r="BH59" s="74"/>
      <c r="BI59" s="74"/>
      <c r="CF59" s="18"/>
      <c r="CG59" s="18"/>
      <c r="CH59" s="18"/>
      <c r="CI59" s="18" t="str">
        <f>_xll.ReferenceParams(CH59,$CI$6 )</f>
        <v/>
      </c>
      <c r="CJ59" s="27" t="str">
        <f>_xll.ReferenceParams(CH59,$CJ$6 )</f>
        <v/>
      </c>
      <c r="CK59" s="27" t="str">
        <f>_xll.ReferenceParams(CH59,$CK$6)</f>
        <v/>
      </c>
      <c r="CL59" s="18" t="str">
        <f t="shared" si="36"/>
        <v/>
      </c>
      <c r="CM59" s="18"/>
      <c r="DM59" s="1"/>
    </row>
    <row r="60" spans="4:117" x14ac:dyDescent="0.3">
      <c r="D60" s="20">
        <f t="shared" si="1"/>
        <v>45965</v>
      </c>
      <c r="E60" s="73" t="str">
        <f>_xll.CbondsClosePrice($B$1,D60,VLOOKUP($B$27,'Help Page'!$M:$N,2,0))</f>
        <v>Нет данных</v>
      </c>
      <c r="F60" s="73">
        <f t="shared" si="0"/>
        <v>95.259500000000003</v>
      </c>
      <c r="G60" s="33">
        <f>IF(F60 = "","",IFERROR(IF($G$1 = "YTM",_xll.CbondsCalcYTM($B$1,D60,F60),_xll.CbondsCalcYTP($B$1,D60,F60)),"")*100)</f>
        <v>6.5937333931448006</v>
      </c>
      <c r="P60" s="1"/>
      <c r="X60" s="74"/>
      <c r="Y60" s="74"/>
      <c r="Z60" s="74"/>
      <c r="AA60" s="74"/>
      <c r="AB60" s="74"/>
      <c r="AC60" s="74"/>
      <c r="AN60" s="74"/>
      <c r="AO60" s="74"/>
      <c r="AP60" s="74"/>
      <c r="AQ60" s="74"/>
      <c r="AR60" s="74"/>
      <c r="AS60" s="74"/>
      <c r="BD60" s="74"/>
      <c r="BE60" s="74"/>
      <c r="BF60" s="74"/>
      <c r="BG60" s="74"/>
      <c r="BH60" s="74"/>
      <c r="BI60" s="74"/>
      <c r="CF60" s="18"/>
      <c r="CG60" s="18"/>
      <c r="CH60" s="18"/>
      <c r="CI60" s="18" t="str">
        <f>_xll.ReferenceParams(CH60,$CI$6 )</f>
        <v/>
      </c>
      <c r="CJ60" s="27" t="str">
        <f>_xll.ReferenceParams(CH60,$CJ$6 )</f>
        <v/>
      </c>
      <c r="CK60" s="27" t="str">
        <f>_xll.ReferenceParams(CH60,$CK$6)</f>
        <v/>
      </c>
      <c r="CL60" s="18" t="str">
        <f t="shared" si="36"/>
        <v/>
      </c>
      <c r="CM60" s="18"/>
      <c r="DM60" s="1"/>
    </row>
    <row r="61" spans="4:117" x14ac:dyDescent="0.3">
      <c r="D61" s="20">
        <f t="shared" si="1"/>
        <v>45964</v>
      </c>
      <c r="E61" s="73">
        <f>_xll.CbondsClosePrice($B$1,D61,VLOOKUP($B$27,'Help Page'!$M:$N,2,0))</f>
        <v>95.259500000000003</v>
      </c>
      <c r="F61" s="73">
        <f t="shared" si="0"/>
        <v>95.259500000000003</v>
      </c>
      <c r="G61" s="33">
        <f>IF(F61 = "","",IFERROR(IF($G$1 = "YTM",_xll.CbondsCalcYTM($B$1,D61,F61),_xll.CbondsCalcYTP($B$1,D61,F61)),"")*100)</f>
        <v>6.5895260660965</v>
      </c>
      <c r="P61" s="1"/>
      <c r="X61" s="74"/>
      <c r="Y61" s="74"/>
      <c r="Z61" s="74"/>
      <c r="AA61" s="74"/>
      <c r="AB61" s="74"/>
      <c r="AC61" s="74"/>
      <c r="AN61" s="74"/>
      <c r="AO61" s="74"/>
      <c r="AP61" s="74"/>
      <c r="AQ61" s="74"/>
      <c r="AR61" s="74"/>
      <c r="AS61" s="74"/>
      <c r="BD61" s="74"/>
      <c r="BE61" s="74"/>
      <c r="BF61" s="74"/>
      <c r="BG61" s="74"/>
      <c r="BH61" s="74"/>
      <c r="BI61" s="74"/>
      <c r="CF61" s="18"/>
      <c r="CG61" s="18"/>
      <c r="CH61" s="18"/>
      <c r="CI61" s="18" t="str">
        <f>_xll.ReferenceParams(CH61,$CI$6 )</f>
        <v/>
      </c>
      <c r="CJ61" s="27" t="str">
        <f>_xll.ReferenceParams(CH61,$CJ$6 )</f>
        <v/>
      </c>
      <c r="CK61" s="27" t="str">
        <f>_xll.ReferenceParams(CH61,$CK$6)</f>
        <v/>
      </c>
      <c r="CL61" s="18" t="str">
        <f t="shared" si="36"/>
        <v/>
      </c>
      <c r="CM61" s="18"/>
      <c r="DM61" s="1"/>
    </row>
    <row r="62" spans="4:117" x14ac:dyDescent="0.3">
      <c r="D62" s="20">
        <f t="shared" si="1"/>
        <v>45963</v>
      </c>
      <c r="E62" s="73" t="str">
        <f>_xll.CbondsClosePrice($B$1,D62,VLOOKUP($B$27,'Help Page'!$M:$N,2,0))</f>
        <v>Нет данных</v>
      </c>
      <c r="F62" s="73">
        <f t="shared" si="0"/>
        <v>95.467699999999994</v>
      </c>
      <c r="G62" s="33">
        <f>IF(F62 = "","",IFERROR(IF($G$1 = "YTM",_xll.CbondsCalcYTM($B$1,D62,F62),_xll.CbondsCalcYTP($B$1,D62,F62)),"")*100)</f>
        <v>6.4561244419996999</v>
      </c>
      <c r="X62" s="74"/>
      <c r="Y62" s="74"/>
      <c r="Z62" s="74"/>
      <c r="AA62" s="74"/>
      <c r="AB62" s="74"/>
      <c r="AC62" s="74"/>
      <c r="AN62" s="74"/>
      <c r="AO62" s="74"/>
      <c r="AP62" s="74"/>
      <c r="AQ62" s="74"/>
      <c r="AR62" s="74"/>
      <c r="AS62" s="74"/>
      <c r="BD62" s="74"/>
      <c r="BE62" s="74"/>
      <c r="BF62" s="74"/>
      <c r="BG62" s="74"/>
      <c r="BH62" s="74"/>
      <c r="BI62" s="74"/>
      <c r="CF62" s="18"/>
      <c r="CG62" s="18"/>
      <c r="CH62" s="18"/>
      <c r="CI62" s="18" t="str">
        <f>_xll.ReferenceParams(CH62,$CI$6 )</f>
        <v/>
      </c>
      <c r="CJ62" s="27" t="str">
        <f>_xll.ReferenceParams(CH62,$CJ$6 )</f>
        <v/>
      </c>
      <c r="CK62" s="27" t="str">
        <f>_xll.ReferenceParams(CH62,$CK$6)</f>
        <v/>
      </c>
      <c r="CL62" s="18" t="str">
        <f t="shared" si="36"/>
        <v/>
      </c>
      <c r="CM62" s="18"/>
      <c r="DM62" s="1"/>
    </row>
    <row r="63" spans="4:117" x14ac:dyDescent="0.3">
      <c r="D63" s="20">
        <f t="shared" si="1"/>
        <v>45962</v>
      </c>
      <c r="E63" s="73">
        <f>_xll.CbondsClosePrice($B$1,D63,VLOOKUP($B$27,'Help Page'!$M:$N,2,0))</f>
        <v>95.467699999999994</v>
      </c>
      <c r="F63" s="73">
        <f t="shared" si="0"/>
        <v>95.467699999999994</v>
      </c>
      <c r="G63" s="33">
        <f>IF(F63 = "","",IFERROR(IF($G$1 = "YTM",_xll.CbondsCalcYTM($B$1,D63,F63),_xll.CbondsCalcYTP($B$1,D63,F63)),"")*100)</f>
        <v>6.4521335965463003</v>
      </c>
      <c r="X63" s="74"/>
      <c r="Y63" s="74"/>
      <c r="Z63" s="74"/>
      <c r="AA63" s="74"/>
      <c r="AB63" s="74"/>
      <c r="AC63" s="74"/>
      <c r="AN63" s="74"/>
      <c r="AO63" s="74"/>
      <c r="AP63" s="74"/>
      <c r="AQ63" s="74"/>
      <c r="AR63" s="74"/>
      <c r="AS63" s="74"/>
      <c r="BD63" s="74"/>
      <c r="BE63" s="74"/>
      <c r="BF63" s="74"/>
      <c r="BG63" s="74"/>
      <c r="BH63" s="74"/>
      <c r="BI63" s="74"/>
      <c r="CF63" s="18"/>
      <c r="CG63" s="18"/>
      <c r="CH63" s="18"/>
      <c r="CI63" s="18" t="str">
        <f>_xll.ReferenceParams(CH63,$CI$6 )</f>
        <v/>
      </c>
      <c r="CJ63" s="27" t="str">
        <f>_xll.ReferenceParams(CH63,$CJ$6 )</f>
        <v/>
      </c>
      <c r="CK63" s="27" t="str">
        <f>_xll.ReferenceParams(CH63,$CK$6)</f>
        <v/>
      </c>
      <c r="CL63" s="18" t="str">
        <f t="shared" si="36"/>
        <v/>
      </c>
      <c r="CM63" s="18"/>
      <c r="DM63" s="1"/>
    </row>
    <row r="64" spans="4:117" x14ac:dyDescent="0.3">
      <c r="D64" s="20">
        <f t="shared" si="1"/>
        <v>45961</v>
      </c>
      <c r="E64" s="73">
        <f>_xll.CbondsClosePrice($B$1,D64,VLOOKUP($B$27,'Help Page'!$M:$N,2,0))</f>
        <v>95.905500000000004</v>
      </c>
      <c r="F64" s="73">
        <f t="shared" si="0"/>
        <v>95.905500000000004</v>
      </c>
      <c r="G64" s="33">
        <f>IF(F64 = "","",IFERROR(IF($G$1 = "YTM",_xll.CbondsCalcYTM($B$1,D64,F64),_xll.CbondsCalcYTP($B$1,D64,F64)),"")*100)</f>
        <v>6.1786891364558993</v>
      </c>
      <c r="X64" s="74"/>
      <c r="Y64" s="74"/>
      <c r="Z64" s="74"/>
      <c r="AA64" s="74"/>
      <c r="AB64" s="74"/>
      <c r="AC64" s="74"/>
      <c r="AN64" s="74"/>
      <c r="AO64" s="74"/>
      <c r="AP64" s="74"/>
      <c r="AQ64" s="74"/>
      <c r="AR64" s="74"/>
      <c r="AS64" s="74"/>
      <c r="BD64" s="74"/>
      <c r="BE64" s="74"/>
      <c r="BF64" s="74"/>
      <c r="BG64" s="74"/>
      <c r="BH64" s="74"/>
      <c r="BI64" s="74"/>
      <c r="CF64" s="18"/>
      <c r="CG64" s="18"/>
      <c r="CH64" s="18"/>
      <c r="CI64" s="18" t="str">
        <f>_xll.ReferenceParams(CH64,$CI$6 )</f>
        <v/>
      </c>
      <c r="CJ64" s="27" t="str">
        <f>_xll.ReferenceParams(CH64,$CJ$6 )</f>
        <v/>
      </c>
      <c r="CK64" s="27" t="str">
        <f>_xll.ReferenceParams(CH64,$CK$6)</f>
        <v/>
      </c>
      <c r="CL64" s="18" t="str">
        <f t="shared" si="36"/>
        <v/>
      </c>
      <c r="CM64" s="18"/>
      <c r="DM64" s="1"/>
    </row>
    <row r="65" spans="4:117" x14ac:dyDescent="0.3">
      <c r="D65" s="20">
        <f t="shared" si="1"/>
        <v>45960</v>
      </c>
      <c r="E65" s="73">
        <f>_xll.CbondsClosePrice($B$1,D65,VLOOKUP($B$27,'Help Page'!$M:$N,2,0))</f>
        <v>95.030100000000004</v>
      </c>
      <c r="F65" s="73">
        <f t="shared" si="0"/>
        <v>95.030100000000004</v>
      </c>
      <c r="G65" s="33">
        <f>IF(F65 = "","",IFERROR(IF($G$1 = "YTM",_xll.CbondsCalcYTM($B$1,D65,F65),_xll.CbondsCalcYTP($B$1,D65,F65)),"")*100)</f>
        <v>6.7150872266152</v>
      </c>
      <c r="P65" s="1"/>
      <c r="X65" s="74"/>
      <c r="Y65" s="74"/>
      <c r="Z65" s="74"/>
      <c r="AA65" s="74"/>
      <c r="AB65" s="74"/>
      <c r="AC65" s="74"/>
      <c r="AN65" s="74"/>
      <c r="AO65" s="74"/>
      <c r="AP65" s="74"/>
      <c r="AQ65" s="74"/>
      <c r="AR65" s="74"/>
      <c r="AS65" s="74"/>
      <c r="BD65" s="74"/>
      <c r="BE65" s="74"/>
      <c r="BF65" s="74"/>
      <c r="BG65" s="74"/>
      <c r="BH65" s="74"/>
      <c r="BI65" s="74"/>
      <c r="CF65" s="18"/>
      <c r="CG65" s="18"/>
      <c r="CH65" s="18"/>
      <c r="CI65" s="18" t="str">
        <f>_xll.ReferenceParams(CH65,$CI$6 )</f>
        <v/>
      </c>
      <c r="CJ65" s="27" t="str">
        <f>_xll.ReferenceParams(CH65,$CJ$6 )</f>
        <v/>
      </c>
      <c r="CK65" s="27" t="str">
        <f>_xll.ReferenceParams(CH65,$CK$6)</f>
        <v/>
      </c>
      <c r="CL65" s="18" t="str">
        <f t="shared" si="36"/>
        <v/>
      </c>
      <c r="CM65" s="18"/>
      <c r="DM65" s="1"/>
    </row>
    <row r="66" spans="4:117" x14ac:dyDescent="0.3">
      <c r="D66" s="20">
        <f t="shared" si="1"/>
        <v>45959</v>
      </c>
      <c r="E66" s="73">
        <f>_xll.CbondsClosePrice($B$1,D66,VLOOKUP($B$27,'Help Page'!$M:$N,2,0))</f>
        <v>94.999899999999997</v>
      </c>
      <c r="F66" s="73">
        <f t="shared" si="0"/>
        <v>94.999899999999997</v>
      </c>
      <c r="G66" s="33">
        <f>IF(F66 = "","",IFERROR(IF($G$1 = "YTM",_xll.CbondsCalcYTM($B$1,D66,F66),_xll.CbondsCalcYTP($B$1,D66,F66)),"")*100)</f>
        <v>6.7301012930418995</v>
      </c>
      <c r="P66" s="1"/>
      <c r="X66" s="74"/>
      <c r="Y66" s="74"/>
      <c r="Z66" s="74"/>
      <c r="AA66" s="74"/>
      <c r="AB66" s="74"/>
      <c r="AC66" s="74"/>
      <c r="AN66" s="74"/>
      <c r="AO66" s="74"/>
      <c r="AP66" s="74"/>
      <c r="AQ66" s="74"/>
      <c r="AR66" s="74"/>
      <c r="AS66" s="74"/>
      <c r="BD66" s="74"/>
      <c r="BE66" s="74"/>
      <c r="BF66" s="74"/>
      <c r="BG66" s="74"/>
      <c r="BH66" s="74"/>
      <c r="BI66" s="74"/>
      <c r="CF66" s="18"/>
      <c r="CG66" s="18"/>
      <c r="CH66" s="18"/>
      <c r="CI66" s="18" t="str">
        <f>_xll.ReferenceParams(CH66,$CI$6 )</f>
        <v/>
      </c>
      <c r="CJ66" s="27" t="str">
        <f>_xll.ReferenceParams(CH66,$CJ$6 )</f>
        <v/>
      </c>
      <c r="CK66" s="27" t="str">
        <f>_xll.ReferenceParams(CH66,$CK$6)</f>
        <v/>
      </c>
      <c r="CL66" s="18" t="str">
        <f t="shared" si="36"/>
        <v/>
      </c>
      <c r="CM66" s="18"/>
      <c r="DM66" s="1"/>
    </row>
    <row r="67" spans="4:117" x14ac:dyDescent="0.3">
      <c r="D67" s="20">
        <f t="shared" si="1"/>
        <v>45958</v>
      </c>
      <c r="E67" s="73">
        <f>_xll.CbondsClosePrice($B$1,D67,VLOOKUP($B$27,'Help Page'!$M:$N,2,0))</f>
        <v>95</v>
      </c>
      <c r="F67" s="73">
        <f t="shared" ref="F67:F130" si="37">IF(IF(AND(E67="",D67=""),"",IF(AND(E67="Нет данных",D67&lt;&gt;""),F68,E67)) = 0,"",IF(AND(E67="",D67=""),"",IF(AND(E67="Нет данных",D67&lt;&gt;""),F68,E67)))</f>
        <v>95</v>
      </c>
      <c r="G67" s="33">
        <f>IF(F67 = "","",IFERROR(IF($G$1 = "YTM",_xll.CbondsCalcYTM($B$1,D67,F67),_xll.CbondsCalcYTP($B$1,D67,F67)),"")*100)</f>
        <v>6.7256782503513994</v>
      </c>
      <c r="P67" s="1"/>
      <c r="X67" s="74"/>
      <c r="Y67" s="74"/>
      <c r="Z67" s="74"/>
      <c r="AA67" s="74"/>
      <c r="AB67" s="74"/>
      <c r="AC67" s="74"/>
      <c r="AN67" s="74"/>
      <c r="AO67" s="74"/>
      <c r="AP67" s="74"/>
      <c r="AQ67" s="74"/>
      <c r="AR67" s="74"/>
      <c r="AS67" s="74"/>
      <c r="BD67" s="74"/>
      <c r="BE67" s="74"/>
      <c r="BF67" s="74"/>
      <c r="BG67" s="74"/>
      <c r="BH67" s="74"/>
      <c r="BI67" s="74"/>
      <c r="CF67" s="18"/>
      <c r="CG67" s="18"/>
      <c r="CH67" s="18"/>
      <c r="CI67" s="18" t="str">
        <f>_xll.ReferenceParams(CH67,$CI$6 )</f>
        <v/>
      </c>
      <c r="CJ67" s="27" t="str">
        <f>_xll.ReferenceParams(CH67,$CJ$6 )</f>
        <v/>
      </c>
      <c r="CK67" s="27" t="str">
        <f>_xll.ReferenceParams(CH67,$CK$6)</f>
        <v/>
      </c>
      <c r="CL67" s="18" t="str">
        <f t="shared" si="36"/>
        <v/>
      </c>
      <c r="CM67" s="18"/>
      <c r="DM67" s="1"/>
    </row>
    <row r="68" spans="4:117" x14ac:dyDescent="0.3">
      <c r="D68" s="20">
        <f t="shared" ref="D68:D131" si="38">D67-1</f>
        <v>45957</v>
      </c>
      <c r="E68" s="73">
        <f>_xll.CbondsClosePrice($B$1,D68,VLOOKUP($B$27,'Help Page'!$M:$N,2,0))</f>
        <v>94.426000000000002</v>
      </c>
      <c r="F68" s="73">
        <f t="shared" si="37"/>
        <v>94.426000000000002</v>
      </c>
      <c r="G68" s="33">
        <f>IF(F68 = "","",IFERROR(IF($G$1 = "YTM",_xll.CbondsCalcYTM($B$1,D68,F68),_xll.CbondsCalcYTP($B$1,D68,F68)),"")*100)</f>
        <v>7.0782716872214007</v>
      </c>
      <c r="P68" s="1"/>
      <c r="X68" s="74"/>
      <c r="Y68" s="74"/>
      <c r="Z68" s="74"/>
      <c r="AA68" s="74"/>
      <c r="AB68" s="74"/>
      <c r="AC68" s="74"/>
      <c r="AN68" s="74"/>
      <c r="AO68" s="74"/>
      <c r="AP68" s="74"/>
      <c r="AQ68" s="74"/>
      <c r="AR68" s="74"/>
      <c r="AS68" s="74"/>
      <c r="BD68" s="74"/>
      <c r="BE68" s="74"/>
      <c r="BF68" s="74"/>
      <c r="BG68" s="74"/>
      <c r="BH68" s="74"/>
      <c r="BI68" s="74"/>
      <c r="CF68" s="18"/>
      <c r="CG68" s="18"/>
      <c r="CH68" s="18"/>
      <c r="CI68" s="18" t="str">
        <f>_xll.ReferenceParams(CH68,$CI$6 )</f>
        <v/>
      </c>
      <c r="CJ68" s="27" t="str">
        <f>_xll.ReferenceParams(CH68,$CJ$6 )</f>
        <v/>
      </c>
      <c r="CK68" s="27" t="str">
        <f>_xll.ReferenceParams(CH68,$CK$6)</f>
        <v/>
      </c>
      <c r="CL68" s="18" t="str">
        <f t="shared" si="36"/>
        <v/>
      </c>
      <c r="CM68" s="18"/>
      <c r="DM68" s="1"/>
    </row>
    <row r="69" spans="4:117" x14ac:dyDescent="0.3">
      <c r="D69" s="20">
        <f t="shared" si="38"/>
        <v>45956</v>
      </c>
      <c r="E69" s="73" t="str">
        <f>_xll.CbondsClosePrice($B$1,D69,VLOOKUP($B$27,'Help Page'!$M:$N,2,0))</f>
        <v>Нет данных</v>
      </c>
      <c r="F69" s="73">
        <f t="shared" si="37"/>
        <v>95.399900000000002</v>
      </c>
      <c r="G69" s="33">
        <f>IF(F69 = "","",IFERROR(IF($G$1 = "YTM",_xll.CbondsCalcYTM($B$1,D69,F69),_xll.CbondsCalcYTP($B$1,D69,F69)),"")*100)</f>
        <v>6.4706740565217</v>
      </c>
      <c r="P69" s="1"/>
      <c r="X69" s="74"/>
      <c r="Y69" s="74"/>
      <c r="Z69" s="74"/>
      <c r="AA69" s="74"/>
      <c r="AB69" s="74"/>
      <c r="AC69" s="74"/>
      <c r="AN69" s="74"/>
      <c r="AO69" s="74"/>
      <c r="AP69" s="74"/>
      <c r="AQ69" s="74"/>
      <c r="AR69" s="74"/>
      <c r="AS69" s="74"/>
      <c r="BD69" s="74"/>
      <c r="BE69" s="74"/>
      <c r="BF69" s="74"/>
      <c r="BG69" s="74"/>
      <c r="BH69" s="74"/>
      <c r="BI69" s="74"/>
      <c r="CF69" s="18"/>
      <c r="CG69" s="18"/>
      <c r="CH69" s="18"/>
      <c r="CI69" s="18" t="str">
        <f>_xll.ReferenceParams(CH69,$CI$6 )</f>
        <v/>
      </c>
      <c r="CJ69" s="27" t="str">
        <f>_xll.ReferenceParams(CH69,$CJ$6 )</f>
        <v/>
      </c>
      <c r="CK69" s="27" t="str">
        <f>_xll.ReferenceParams(CH69,$CK$6)</f>
        <v/>
      </c>
      <c r="CL69" s="18" t="str">
        <f t="shared" si="36"/>
        <v/>
      </c>
      <c r="CM69" s="18"/>
      <c r="DM69" s="1"/>
    </row>
    <row r="70" spans="4:117" x14ac:dyDescent="0.3">
      <c r="D70" s="20">
        <f t="shared" si="38"/>
        <v>45955</v>
      </c>
      <c r="E70" s="73" t="str">
        <f>_xll.CbondsClosePrice($B$1,D70,VLOOKUP($B$27,'Help Page'!$M:$N,2,0))</f>
        <v>Нет данных</v>
      </c>
      <c r="F70" s="73">
        <f t="shared" si="37"/>
        <v>95.399900000000002</v>
      </c>
      <c r="G70" s="33">
        <f>IF(F70 = "","",IFERROR(IF($G$1 = "YTM",_xll.CbondsCalcYTM($B$1,D70,F70),_xll.CbondsCalcYTP($B$1,D70,F70)),"")*100)</f>
        <v>6.4667117503511005</v>
      </c>
      <c r="P70" s="1"/>
      <c r="X70" s="74"/>
      <c r="Y70" s="74"/>
      <c r="Z70" s="74"/>
      <c r="AA70" s="74"/>
      <c r="AB70" s="74"/>
      <c r="AC70" s="74"/>
      <c r="AN70" s="74"/>
      <c r="AO70" s="74"/>
      <c r="AP70" s="74"/>
      <c r="AQ70" s="74"/>
      <c r="AR70" s="74"/>
      <c r="AS70" s="74"/>
      <c r="BD70" s="74"/>
      <c r="BE70" s="74"/>
      <c r="BF70" s="74"/>
      <c r="BG70" s="74"/>
      <c r="BH70" s="74"/>
      <c r="BI70" s="74"/>
      <c r="CF70" s="18"/>
      <c r="CG70" s="18"/>
      <c r="CH70" s="18"/>
      <c r="CI70" s="18" t="str">
        <f>_xll.ReferenceParams(CH70,$CI$6 )</f>
        <v/>
      </c>
      <c r="CJ70" s="27" t="str">
        <f>_xll.ReferenceParams(CH70,$CJ$6 )</f>
        <v/>
      </c>
      <c r="CK70" s="27" t="str">
        <f>_xll.ReferenceParams(CH70,$CK$6)</f>
        <v/>
      </c>
      <c r="CL70" s="18" t="str">
        <f t="shared" si="36"/>
        <v/>
      </c>
      <c r="CM70" s="18"/>
      <c r="DM70" s="1"/>
    </row>
    <row r="71" spans="4:117" x14ac:dyDescent="0.3">
      <c r="D71" s="20">
        <f t="shared" si="38"/>
        <v>45954</v>
      </c>
      <c r="E71" s="73">
        <f>_xll.CbondsClosePrice($B$1,D71,VLOOKUP($B$27,'Help Page'!$M:$N,2,0))</f>
        <v>95.399900000000002</v>
      </c>
      <c r="F71" s="73">
        <f t="shared" si="37"/>
        <v>95.399900000000002</v>
      </c>
      <c r="G71" s="33">
        <f>IF(F71 = "","",IFERROR(IF($G$1 = "YTM",_xll.CbondsCalcYTM($B$1,D71,F71),_xll.CbondsCalcYTP($B$1,D71,F71)),"")*100)</f>
        <v>6.4627621989065007</v>
      </c>
      <c r="P71" s="1"/>
      <c r="X71" s="74"/>
      <c r="Y71" s="74"/>
      <c r="Z71" s="74"/>
      <c r="AA71" s="74"/>
      <c r="AB71" s="74"/>
      <c r="AC71" s="74"/>
      <c r="AN71" s="74"/>
      <c r="AO71" s="74"/>
      <c r="AP71" s="74"/>
      <c r="AQ71" s="74"/>
      <c r="AR71" s="74"/>
      <c r="AS71" s="74"/>
      <c r="BD71" s="74"/>
      <c r="BE71" s="74"/>
      <c r="BF71" s="74"/>
      <c r="BG71" s="74"/>
      <c r="BH71" s="74"/>
      <c r="BI71" s="74"/>
      <c r="CF71" s="18"/>
      <c r="CG71" s="18"/>
      <c r="CH71" s="18"/>
      <c r="CI71" s="18" t="str">
        <f>_xll.ReferenceParams(CH71,$CI$6 )</f>
        <v/>
      </c>
      <c r="CJ71" s="27" t="str">
        <f>_xll.ReferenceParams(CH71,$CJ$6 )</f>
        <v/>
      </c>
      <c r="CK71" s="27" t="str">
        <f>_xll.ReferenceParams(CH71,$CK$6)</f>
        <v/>
      </c>
      <c r="CL71" s="18" t="str">
        <f t="shared" ref="CL71:CL102" si="39">IF(CH71 = "","",IF(AND(CI71="В обращении",CJ71&lt;=$B$2,CK71 = "Облигация"),1,0))</f>
        <v/>
      </c>
      <c r="CM71" s="18"/>
      <c r="DM71" s="1"/>
    </row>
    <row r="72" spans="4:117" x14ac:dyDescent="0.3">
      <c r="D72" s="20">
        <f t="shared" si="38"/>
        <v>45953</v>
      </c>
      <c r="E72" s="73">
        <f>_xll.CbondsClosePrice($B$1,D72,VLOOKUP($B$27,'Help Page'!$M:$N,2,0))</f>
        <v>95.638599999999997</v>
      </c>
      <c r="F72" s="73">
        <f t="shared" si="37"/>
        <v>95.638599999999997</v>
      </c>
      <c r="G72" s="33">
        <f>IF(F72 = "","",IFERROR(IF($G$1 = "YTM",_xll.CbondsCalcYTM($B$1,D72,F72),_xll.CbondsCalcYTP($B$1,D72,F72)),"")*100)</f>
        <v>6.3131974584933994</v>
      </c>
      <c r="P72" s="1"/>
      <c r="X72" s="74"/>
      <c r="Y72" s="74"/>
      <c r="Z72" s="74"/>
      <c r="AA72" s="74"/>
      <c r="AB72" s="74"/>
      <c r="AC72" s="74"/>
      <c r="AN72" s="74"/>
      <c r="AO72" s="74"/>
      <c r="AP72" s="74"/>
      <c r="AQ72" s="74"/>
      <c r="AR72" s="74"/>
      <c r="AS72" s="74"/>
      <c r="BD72" s="74"/>
      <c r="BE72" s="74"/>
      <c r="BF72" s="74"/>
      <c r="BG72" s="74"/>
      <c r="BH72" s="74"/>
      <c r="BI72" s="74"/>
      <c r="CF72" s="18"/>
      <c r="CG72" s="18"/>
      <c r="CH72" s="18"/>
      <c r="CI72" s="18" t="str">
        <f>_xll.ReferenceParams(CH72,$CI$6 )</f>
        <v/>
      </c>
      <c r="CJ72" s="27" t="str">
        <f>_xll.ReferenceParams(CH72,$CJ$6 )</f>
        <v/>
      </c>
      <c r="CK72" s="27" t="str">
        <f>_xll.ReferenceParams(CH72,$CK$6)</f>
        <v/>
      </c>
      <c r="CL72" s="18" t="str">
        <f t="shared" si="39"/>
        <v/>
      </c>
      <c r="CM72" s="18"/>
      <c r="DM72" s="1"/>
    </row>
    <row r="73" spans="4:117" x14ac:dyDescent="0.3">
      <c r="D73" s="20">
        <f t="shared" si="38"/>
        <v>45952</v>
      </c>
      <c r="E73" s="73">
        <f>_xll.CbondsClosePrice($B$1,D73,VLOOKUP($B$27,'Help Page'!$M:$N,2,0))</f>
        <v>95.674400000000006</v>
      </c>
      <c r="F73" s="73">
        <f t="shared" si="37"/>
        <v>95.674400000000006</v>
      </c>
      <c r="G73" s="33">
        <f>IF(F73 = "","",IFERROR(IF($G$1 = "YTM",_xll.CbondsCalcYTM($B$1,D73,F73),_xll.CbondsCalcYTP($B$1,D73,F73)),"")*100)</f>
        <v>6.2883296496562009</v>
      </c>
      <c r="P73" s="1"/>
      <c r="X73" s="74"/>
      <c r="Y73" s="74"/>
      <c r="Z73" s="74"/>
      <c r="AA73" s="74"/>
      <c r="AB73" s="74"/>
      <c r="AC73" s="74"/>
      <c r="AN73" s="74"/>
      <c r="AO73" s="74"/>
      <c r="AP73" s="74"/>
      <c r="AQ73" s="74"/>
      <c r="AR73" s="74"/>
      <c r="AS73" s="74"/>
      <c r="BD73" s="74"/>
      <c r="BE73" s="74"/>
      <c r="BF73" s="74"/>
      <c r="BG73" s="74"/>
      <c r="BH73" s="74"/>
      <c r="BI73" s="74"/>
      <c r="CF73" s="18"/>
      <c r="CG73" s="18"/>
      <c r="CH73" s="18"/>
      <c r="CI73" s="18" t="str">
        <f>_xll.ReferenceParams(CH73,$CI$6 )</f>
        <v/>
      </c>
      <c r="CJ73" s="27" t="str">
        <f>_xll.ReferenceParams(CH73,$CJ$6 )</f>
        <v/>
      </c>
      <c r="CK73" s="27" t="str">
        <f>_xll.ReferenceParams(CH73,$CK$6)</f>
        <v/>
      </c>
      <c r="CL73" s="18" t="str">
        <f t="shared" si="39"/>
        <v/>
      </c>
      <c r="CM73" s="18"/>
      <c r="DM73" s="1"/>
    </row>
    <row r="74" spans="4:117" x14ac:dyDescent="0.3">
      <c r="D74" s="20">
        <f t="shared" si="38"/>
        <v>45951</v>
      </c>
      <c r="E74" s="73">
        <f>_xll.CbondsClosePrice($B$1,D74,VLOOKUP($B$27,'Help Page'!$M:$N,2,0))</f>
        <v>95.339799999999997</v>
      </c>
      <c r="F74" s="73">
        <f t="shared" si="37"/>
        <v>95.339799999999997</v>
      </c>
      <c r="G74" s="33">
        <f>IF(F74 = "","",IFERROR(IF($G$1 = "YTM",_xll.CbondsCalcYTM($B$1,D74,F74),_xll.CbondsCalcYTP($B$1,D74,F74)),"")*100)</f>
        <v>6.4882502216855</v>
      </c>
      <c r="P74" s="1"/>
      <c r="X74" s="74"/>
      <c r="Y74" s="74"/>
      <c r="Z74" s="74"/>
      <c r="AA74" s="74"/>
      <c r="AB74" s="74"/>
      <c r="AC74" s="74"/>
      <c r="AN74" s="74"/>
      <c r="AO74" s="74"/>
      <c r="AP74" s="74"/>
      <c r="AQ74" s="74"/>
      <c r="AR74" s="74"/>
      <c r="AS74" s="74"/>
      <c r="BD74" s="74"/>
      <c r="BE74" s="74"/>
      <c r="BF74" s="74"/>
      <c r="BG74" s="74"/>
      <c r="BH74" s="74"/>
      <c r="BI74" s="74"/>
      <c r="CF74" s="18"/>
      <c r="CG74" s="18"/>
      <c r="CH74" s="18"/>
      <c r="CI74" s="18" t="str">
        <f>_xll.ReferenceParams(CH74,$CI$6 )</f>
        <v/>
      </c>
      <c r="CJ74" s="27" t="str">
        <f>_xll.ReferenceParams(CH74,$CJ$6 )</f>
        <v/>
      </c>
      <c r="CK74" s="27" t="str">
        <f>_xll.ReferenceParams(CH74,$CK$6)</f>
        <v/>
      </c>
      <c r="CL74" s="18" t="str">
        <f t="shared" si="39"/>
        <v/>
      </c>
      <c r="CM74" s="18"/>
      <c r="DM74" s="1"/>
    </row>
    <row r="75" spans="4:117" x14ac:dyDescent="0.3">
      <c r="D75" s="20">
        <f t="shared" si="38"/>
        <v>45950</v>
      </c>
      <c r="E75" s="73">
        <f>_xll.CbondsClosePrice($B$1,D75,VLOOKUP($B$27,'Help Page'!$M:$N,2,0))</f>
        <v>95.974900000000005</v>
      </c>
      <c r="F75" s="73">
        <f t="shared" si="37"/>
        <v>95.974900000000005</v>
      </c>
      <c r="G75" s="33">
        <f>IF(F75 = "","",IFERROR(IF($G$1 = "YTM",_xll.CbondsCalcYTM($B$1,D75,F75),_xll.CbondsCalcYTP($B$1,D75,F75)),"")*100)</f>
        <v>6.0993600233912</v>
      </c>
      <c r="P75" s="1"/>
      <c r="X75" s="74"/>
      <c r="Y75" s="74"/>
      <c r="Z75" s="74"/>
      <c r="AA75" s="74"/>
      <c r="AB75" s="74"/>
      <c r="AC75" s="74"/>
      <c r="AN75" s="74"/>
      <c r="AO75" s="74"/>
      <c r="AP75" s="74"/>
      <c r="AQ75" s="74"/>
      <c r="AR75" s="74"/>
      <c r="AS75" s="74"/>
      <c r="BD75" s="74"/>
      <c r="BE75" s="74"/>
      <c r="BF75" s="74"/>
      <c r="BG75" s="74"/>
      <c r="BH75" s="74"/>
      <c r="BI75" s="74"/>
      <c r="CF75" s="18"/>
      <c r="CG75" s="18"/>
      <c r="CH75" s="18"/>
      <c r="CI75" s="18" t="str">
        <f>_xll.ReferenceParams(CH75,$CI$6 )</f>
        <v/>
      </c>
      <c r="CJ75" s="27" t="str">
        <f>_xll.ReferenceParams(CH75,$CJ$6 )</f>
        <v/>
      </c>
      <c r="CK75" s="27" t="str">
        <f>_xll.ReferenceParams(CH75,$CK$6)</f>
        <v/>
      </c>
      <c r="CL75" s="18" t="str">
        <f t="shared" si="39"/>
        <v/>
      </c>
      <c r="CM75" s="18"/>
      <c r="DM75" s="1"/>
    </row>
    <row r="76" spans="4:117" x14ac:dyDescent="0.3">
      <c r="D76" s="20">
        <f t="shared" si="38"/>
        <v>45949</v>
      </c>
      <c r="E76" s="73" t="str">
        <f>_xll.CbondsClosePrice($B$1,D76,VLOOKUP($B$27,'Help Page'!$M:$N,2,0))</f>
        <v>Нет данных</v>
      </c>
      <c r="F76" s="73">
        <f t="shared" si="37"/>
        <v>96.442899999999995</v>
      </c>
      <c r="G76" s="33">
        <f>IF(F76 = "","",IFERROR(IF($G$1 = "YTM",_xll.CbondsCalcYTM($B$1,D76,F76),_xll.CbondsCalcYTP($B$1,D76,F76)),"")*100)</f>
        <v>5.8152547959873999</v>
      </c>
      <c r="P76" s="1"/>
      <c r="X76" s="74"/>
      <c r="Y76" s="74"/>
      <c r="Z76" s="74"/>
      <c r="AA76" s="74"/>
      <c r="AB76" s="74"/>
      <c r="AC76" s="74"/>
      <c r="AN76" s="74"/>
      <c r="AO76" s="74"/>
      <c r="AP76" s="74"/>
      <c r="AQ76" s="74"/>
      <c r="AR76" s="74"/>
      <c r="AS76" s="74"/>
      <c r="BD76" s="74"/>
      <c r="BE76" s="74"/>
      <c r="BF76" s="74"/>
      <c r="BG76" s="74"/>
      <c r="BH76" s="74"/>
      <c r="BI76" s="74"/>
      <c r="CF76" s="18"/>
      <c r="CG76" s="18"/>
      <c r="CH76" s="18"/>
      <c r="CI76" s="18" t="str">
        <f>_xll.ReferenceParams(CH76,$CI$6 )</f>
        <v/>
      </c>
      <c r="CJ76" s="27" t="str">
        <f>_xll.ReferenceParams(CH76,$CJ$6 )</f>
        <v/>
      </c>
      <c r="CK76" s="27" t="str">
        <f>_xll.ReferenceParams(CH76,$CK$6)</f>
        <v/>
      </c>
      <c r="CL76" s="18" t="str">
        <f t="shared" si="39"/>
        <v/>
      </c>
      <c r="CM76" s="18"/>
      <c r="DM76" s="1"/>
    </row>
    <row r="77" spans="4:117" x14ac:dyDescent="0.3">
      <c r="D77" s="20">
        <f t="shared" si="38"/>
        <v>45948</v>
      </c>
      <c r="E77" s="73" t="str">
        <f>_xll.CbondsClosePrice($B$1,D77,VLOOKUP($B$27,'Help Page'!$M:$N,2,0))</f>
        <v>Нет данных</v>
      </c>
      <c r="F77" s="73">
        <f t="shared" si="37"/>
        <v>96.442899999999995</v>
      </c>
      <c r="G77" s="33">
        <f>IF(F77 = "","",IFERROR(IF($G$1 = "YTM",_xll.CbondsCalcYTM($B$1,D77,F77),_xll.CbondsCalcYTP($B$1,D77,F77)),"")*100)</f>
        <v>5.8122758468107998</v>
      </c>
      <c r="P77" s="1"/>
      <c r="X77" s="74"/>
      <c r="Y77" s="74"/>
      <c r="Z77" s="74"/>
      <c r="AA77" s="74"/>
      <c r="AB77" s="74"/>
      <c r="AC77" s="74"/>
      <c r="AN77" s="74"/>
      <c r="AO77" s="74"/>
      <c r="AP77" s="74"/>
      <c r="AQ77" s="74"/>
      <c r="AR77" s="74"/>
      <c r="AS77" s="74"/>
      <c r="BD77" s="74"/>
      <c r="BE77" s="74"/>
      <c r="BF77" s="74"/>
      <c r="BG77" s="74"/>
      <c r="BH77" s="74"/>
      <c r="BI77" s="74"/>
      <c r="CF77" s="18"/>
      <c r="CG77" s="18"/>
      <c r="CH77" s="18"/>
      <c r="CI77" s="18" t="str">
        <f>_xll.ReferenceParams(CH77,$CI$6 )</f>
        <v/>
      </c>
      <c r="CJ77" s="27" t="str">
        <f>_xll.ReferenceParams(CH77,$CJ$6 )</f>
        <v/>
      </c>
      <c r="CK77" s="27" t="str">
        <f>_xll.ReferenceParams(CH77,$CK$6)</f>
        <v/>
      </c>
      <c r="CL77" s="18" t="str">
        <f t="shared" si="39"/>
        <v/>
      </c>
      <c r="CM77" s="18"/>
      <c r="DM77" s="1"/>
    </row>
    <row r="78" spans="4:117" x14ac:dyDescent="0.3">
      <c r="D78" s="20">
        <f t="shared" si="38"/>
        <v>45947</v>
      </c>
      <c r="E78" s="73">
        <f>_xll.CbondsClosePrice($B$1,D78,VLOOKUP($B$27,'Help Page'!$M:$N,2,0))</f>
        <v>96.442899999999995</v>
      </c>
      <c r="F78" s="73">
        <f t="shared" si="37"/>
        <v>96.442899999999995</v>
      </c>
      <c r="G78" s="33">
        <f>IF(F78 = "","",IFERROR(IF($G$1 = "YTM",_xll.CbondsCalcYTM($B$1,D78,F78),_xll.CbondsCalcYTP($B$1,D78,F78)),"")*100)</f>
        <v>5.8093064977379001</v>
      </c>
      <c r="P78" s="1"/>
      <c r="X78" s="74"/>
      <c r="Y78" s="74"/>
      <c r="Z78" s="74"/>
      <c r="AA78" s="74"/>
      <c r="AB78" s="74"/>
      <c r="AC78" s="74"/>
      <c r="AN78" s="74"/>
      <c r="AO78" s="74"/>
      <c r="AP78" s="74"/>
      <c r="AQ78" s="74"/>
      <c r="AR78" s="74"/>
      <c r="AS78" s="74"/>
      <c r="BD78" s="74"/>
      <c r="BE78" s="74"/>
      <c r="BF78" s="74"/>
      <c r="BG78" s="74"/>
      <c r="BH78" s="74"/>
      <c r="BI78" s="74"/>
      <c r="CF78" s="18"/>
      <c r="CG78" s="18"/>
      <c r="CH78" s="18"/>
      <c r="CI78" s="18" t="str">
        <f>_xll.ReferenceParams(CH78,$CI$6 )</f>
        <v/>
      </c>
      <c r="CJ78" s="27" t="str">
        <f>_xll.ReferenceParams(CH78,$CJ$6 )</f>
        <v/>
      </c>
      <c r="CK78" s="27" t="str">
        <f>_xll.ReferenceParams(CH78,$CK$6)</f>
        <v/>
      </c>
      <c r="CL78" s="18" t="str">
        <f t="shared" si="39"/>
        <v/>
      </c>
      <c r="CM78" s="18"/>
      <c r="DM78" s="1"/>
    </row>
    <row r="79" spans="4:117" x14ac:dyDescent="0.3">
      <c r="D79" s="20">
        <f t="shared" si="38"/>
        <v>45946</v>
      </c>
      <c r="E79" s="73">
        <f>_xll.CbondsClosePrice($B$1,D79,VLOOKUP($B$27,'Help Page'!$M:$N,2,0))</f>
        <v>96.0428</v>
      </c>
      <c r="F79" s="73">
        <f t="shared" si="37"/>
        <v>96.0428</v>
      </c>
      <c r="G79" s="33">
        <f>IF(F79 = "","",IFERROR(IF($G$1 = "YTM",_xll.CbondsCalcYTM($B$1,D79,F79),_xll.CbondsCalcYTP($B$1,D79,F79)),"")*100)</f>
        <v>6.0451810725485</v>
      </c>
      <c r="P79" s="1"/>
      <c r="X79" s="74"/>
      <c r="Y79" s="74"/>
      <c r="Z79" s="74"/>
      <c r="AA79" s="74"/>
      <c r="AB79" s="74"/>
      <c r="AC79" s="74"/>
      <c r="AN79" s="74"/>
      <c r="AO79" s="74"/>
      <c r="AP79" s="74"/>
      <c r="AQ79" s="74"/>
      <c r="AR79" s="74"/>
      <c r="AS79" s="74"/>
      <c r="BD79" s="74"/>
      <c r="BE79" s="74"/>
      <c r="BF79" s="74"/>
      <c r="BG79" s="74"/>
      <c r="BH79" s="74"/>
      <c r="BI79" s="74"/>
      <c r="CF79" s="18"/>
      <c r="CG79" s="18"/>
      <c r="CH79" s="18"/>
      <c r="CI79" s="18" t="str">
        <f>_xll.ReferenceParams(CH79,$CI$6 )</f>
        <v/>
      </c>
      <c r="CJ79" s="27" t="str">
        <f>_xll.ReferenceParams(CH79,$CJ$6 )</f>
        <v/>
      </c>
      <c r="CK79" s="27" t="str">
        <f>_xll.ReferenceParams(CH79,$CK$6)</f>
        <v/>
      </c>
      <c r="CL79" s="18" t="str">
        <f t="shared" si="39"/>
        <v/>
      </c>
      <c r="CM79" s="18"/>
      <c r="DM79" s="1"/>
    </row>
    <row r="80" spans="4:117" x14ac:dyDescent="0.3">
      <c r="D80" s="20">
        <f t="shared" si="38"/>
        <v>45945</v>
      </c>
      <c r="E80" s="73">
        <f>_xll.CbondsClosePrice($B$1,D80,VLOOKUP($B$27,'Help Page'!$M:$N,2,0))</f>
        <v>94.513900000000007</v>
      </c>
      <c r="F80" s="73">
        <f t="shared" si="37"/>
        <v>94.513900000000007</v>
      </c>
      <c r="G80" s="33">
        <f>IF(F80 = "","",IFERROR(IF($G$1 = "YTM",_xll.CbondsCalcYTM($B$1,D80,F80),_xll.CbondsCalcYTP($B$1,D80,F80)),"")*100)</f>
        <v>6.9677340963161996</v>
      </c>
      <c r="P80" s="1"/>
      <c r="X80" s="74"/>
      <c r="Y80" s="74"/>
      <c r="Z80" s="74"/>
      <c r="AA80" s="74"/>
      <c r="AB80" s="74"/>
      <c r="AC80" s="74"/>
      <c r="AN80" s="74"/>
      <c r="AO80" s="74"/>
      <c r="AP80" s="74"/>
      <c r="AQ80" s="74"/>
      <c r="AR80" s="74"/>
      <c r="AS80" s="74"/>
      <c r="BD80" s="74"/>
      <c r="BE80" s="74"/>
      <c r="BF80" s="74"/>
      <c r="BG80" s="74"/>
      <c r="BH80" s="74"/>
      <c r="BI80" s="74"/>
      <c r="CF80" s="18"/>
      <c r="CG80" s="18"/>
      <c r="CH80" s="18"/>
      <c r="CI80" s="18" t="str">
        <f>_xll.ReferenceParams(CH80,$CI$6 )</f>
        <v/>
      </c>
      <c r="CJ80" s="27" t="str">
        <f>_xll.ReferenceParams(CH80,$CJ$6 )</f>
        <v/>
      </c>
      <c r="CK80" s="27" t="str">
        <f>_xll.ReferenceParams(CH80,$CK$6)</f>
        <v/>
      </c>
      <c r="CL80" s="18" t="str">
        <f t="shared" si="39"/>
        <v/>
      </c>
      <c r="CM80" s="18"/>
      <c r="DM80" s="1"/>
    </row>
    <row r="81" spans="4:117" x14ac:dyDescent="0.3">
      <c r="D81" s="20">
        <f t="shared" si="38"/>
        <v>45944</v>
      </c>
      <c r="E81" s="73">
        <f>_xll.CbondsClosePrice($B$1,D81,VLOOKUP($B$27,'Help Page'!$M:$N,2,0))</f>
        <v>95.982200000000006</v>
      </c>
      <c r="F81" s="73">
        <f t="shared" si="37"/>
        <v>95.982200000000006</v>
      </c>
      <c r="G81" s="33">
        <f>IF(F81 = "","",IFERROR(IF($G$1 = "YTM",_xll.CbondsCalcYTM($B$1,D81,F81),_xll.CbondsCalcYTP($B$1,D81,F81)),"")*100)</f>
        <v>6.0754193270306995</v>
      </c>
      <c r="P81" s="1"/>
      <c r="X81" s="74"/>
      <c r="Y81" s="74"/>
      <c r="Z81" s="74"/>
      <c r="AA81" s="74"/>
      <c r="AB81" s="74"/>
      <c r="AC81" s="74"/>
      <c r="AN81" s="74"/>
      <c r="AO81" s="74"/>
      <c r="AP81" s="74"/>
      <c r="AQ81" s="74"/>
      <c r="AR81" s="74"/>
      <c r="AS81" s="74"/>
      <c r="BD81" s="74"/>
      <c r="BE81" s="74"/>
      <c r="BF81" s="74"/>
      <c r="BG81" s="74"/>
      <c r="BH81" s="74"/>
      <c r="BI81" s="74"/>
      <c r="CF81" s="18"/>
      <c r="CG81" s="18"/>
      <c r="CH81" s="18"/>
      <c r="CI81" s="18" t="str">
        <f>_xll.ReferenceParams(CH81,$CI$6 )</f>
        <v/>
      </c>
      <c r="CJ81" s="27" t="str">
        <f>_xll.ReferenceParams(CH81,$CJ$6 )</f>
        <v/>
      </c>
      <c r="CK81" s="27" t="str">
        <f>_xll.ReferenceParams(CH81,$CK$6)</f>
        <v/>
      </c>
      <c r="CL81" s="18" t="str">
        <f t="shared" si="39"/>
        <v/>
      </c>
      <c r="CM81" s="18"/>
      <c r="DM81" s="1"/>
    </row>
    <row r="82" spans="4:117" x14ac:dyDescent="0.3">
      <c r="D82" s="20">
        <f t="shared" si="38"/>
        <v>45943</v>
      </c>
      <c r="E82" s="73">
        <f>_xll.CbondsClosePrice($B$1,D82,VLOOKUP($B$27,'Help Page'!$M:$N,2,0))</f>
        <v>95.969899999999996</v>
      </c>
      <c r="F82" s="73">
        <f t="shared" si="37"/>
        <v>95.969899999999996</v>
      </c>
      <c r="G82" s="33">
        <f>IF(F82 = "","",IFERROR(IF($G$1 = "YTM",_xll.CbondsCalcYTM($B$1,D82,F82),_xll.CbondsCalcYTP($B$1,D82,F82)),"")*100)</f>
        <v>6.0794427684964996</v>
      </c>
      <c r="P82" s="1"/>
      <c r="X82" s="74"/>
      <c r="Y82" s="74"/>
      <c r="Z82" s="74"/>
      <c r="AA82" s="74"/>
      <c r="AB82" s="74"/>
      <c r="AC82" s="74"/>
      <c r="AN82" s="74"/>
      <c r="AO82" s="74"/>
      <c r="AP82" s="74"/>
      <c r="AQ82" s="74"/>
      <c r="AR82" s="74"/>
      <c r="AS82" s="74"/>
      <c r="BD82" s="74"/>
      <c r="BE82" s="74"/>
      <c r="BF82" s="74"/>
      <c r="BG82" s="74"/>
      <c r="BH82" s="74"/>
      <c r="BI82" s="74"/>
      <c r="CF82" s="18"/>
      <c r="CG82" s="18"/>
      <c r="CH82" s="18"/>
      <c r="CI82" s="18" t="str">
        <f>_xll.ReferenceParams(CH82,$CI$6 )</f>
        <v/>
      </c>
      <c r="CJ82" s="27" t="str">
        <f>_xll.ReferenceParams(CH82,$CJ$6 )</f>
        <v/>
      </c>
      <c r="CK82" s="27" t="str">
        <f>_xll.ReferenceParams(CH82,$CK$6)</f>
        <v/>
      </c>
      <c r="CL82" s="18" t="str">
        <f t="shared" si="39"/>
        <v/>
      </c>
      <c r="CM82" s="18"/>
      <c r="DM82" s="1"/>
    </row>
    <row r="83" spans="4:117" x14ac:dyDescent="0.3">
      <c r="D83" s="20">
        <f t="shared" si="38"/>
        <v>45942</v>
      </c>
      <c r="E83" s="73" t="str">
        <f>_xll.CbondsClosePrice($B$1,D83,VLOOKUP($B$27,'Help Page'!$M:$N,2,0))</f>
        <v>Нет данных</v>
      </c>
      <c r="F83" s="73">
        <f t="shared" si="37"/>
        <v>96</v>
      </c>
      <c r="G83" s="33">
        <f>IF(F83 = "","",IFERROR(IF($G$1 = "YTM",_xll.CbondsCalcYTM($B$1,D83,F83),_xll.CbondsCalcYTP($B$1,D83,F83)),"")*100)</f>
        <v>6.0581817967494</v>
      </c>
      <c r="P83" s="1"/>
      <c r="X83" s="74"/>
      <c r="Y83" s="74"/>
      <c r="Z83" s="74"/>
      <c r="AA83" s="74"/>
      <c r="AB83" s="74"/>
      <c r="AC83" s="74"/>
      <c r="AN83" s="74"/>
      <c r="AO83" s="74"/>
      <c r="AP83" s="74"/>
      <c r="AQ83" s="74"/>
      <c r="AR83" s="74"/>
      <c r="AS83" s="74"/>
      <c r="BD83" s="74"/>
      <c r="BE83" s="74"/>
      <c r="BF83" s="74"/>
      <c r="BG83" s="74"/>
      <c r="BH83" s="74"/>
      <c r="BI83" s="74"/>
      <c r="CF83" s="18"/>
      <c r="CG83" s="18"/>
      <c r="CH83" s="18"/>
      <c r="CI83" s="18" t="str">
        <f>_xll.ReferenceParams(CH83,$CI$6 )</f>
        <v/>
      </c>
      <c r="CJ83" s="27" t="str">
        <f>_xll.ReferenceParams(CH83,$CJ$6 )</f>
        <v/>
      </c>
      <c r="CK83" s="27" t="str">
        <f>_xll.ReferenceParams(CH83,$CK$6)</f>
        <v/>
      </c>
      <c r="CL83" s="18" t="str">
        <f t="shared" si="39"/>
        <v/>
      </c>
      <c r="CM83" s="18"/>
      <c r="DM83" s="1"/>
    </row>
    <row r="84" spans="4:117" x14ac:dyDescent="0.3">
      <c r="D84" s="20">
        <f t="shared" si="38"/>
        <v>45941</v>
      </c>
      <c r="E84" s="73" t="str">
        <f>_xll.CbondsClosePrice($B$1,D84,VLOOKUP($B$27,'Help Page'!$M:$N,2,0))</f>
        <v>Нет данных</v>
      </c>
      <c r="F84" s="73">
        <f t="shared" si="37"/>
        <v>96</v>
      </c>
      <c r="G84" s="33">
        <f>IF(F84 = "","",IFERROR(IF($G$1 = "YTM",_xll.CbondsCalcYTM($B$1,D84,F84),_xll.CbondsCalcYTP($B$1,D84,F84)),"")*100)</f>
        <v>6.0548982421112996</v>
      </c>
      <c r="P84" s="1"/>
      <c r="X84" s="74"/>
      <c r="Y84" s="74"/>
      <c r="Z84" s="74"/>
      <c r="AA84" s="74"/>
      <c r="AB84" s="74"/>
      <c r="AC84" s="74"/>
      <c r="AN84" s="74"/>
      <c r="AO84" s="74"/>
      <c r="AP84" s="74"/>
      <c r="AQ84" s="74"/>
      <c r="AR84" s="74"/>
      <c r="AS84" s="74"/>
      <c r="BD84" s="74"/>
      <c r="BE84" s="74"/>
      <c r="BF84" s="74"/>
      <c r="BG84" s="74"/>
      <c r="BH84" s="74"/>
      <c r="BI84" s="74"/>
      <c r="CF84" s="18"/>
      <c r="CG84" s="18"/>
      <c r="CH84" s="18"/>
      <c r="CI84" s="18" t="str">
        <f>_xll.ReferenceParams(CH84,$CI$6 )</f>
        <v/>
      </c>
      <c r="CJ84" s="27" t="str">
        <f>_xll.ReferenceParams(CH84,$CJ$6 )</f>
        <v/>
      </c>
      <c r="CK84" s="27" t="str">
        <f>_xll.ReferenceParams(CH84,$CK$6)</f>
        <v/>
      </c>
      <c r="CL84" s="18" t="str">
        <f t="shared" si="39"/>
        <v/>
      </c>
      <c r="CM84" s="18"/>
      <c r="DM84" s="1"/>
    </row>
    <row r="85" spans="4:117" x14ac:dyDescent="0.3">
      <c r="D85" s="20">
        <f t="shared" si="38"/>
        <v>45940</v>
      </c>
      <c r="E85" s="73">
        <f>_xll.CbondsClosePrice($B$1,D85,VLOOKUP($B$27,'Help Page'!$M:$N,2,0))</f>
        <v>96</v>
      </c>
      <c r="F85" s="73">
        <f t="shared" si="37"/>
        <v>96</v>
      </c>
      <c r="G85" s="33">
        <f>IF(F85 = "","",IFERROR(IF($G$1 = "YTM",_xll.CbondsCalcYTM($B$1,D85,F85),_xll.CbondsCalcYTP($B$1,D85,F85)),"")*100)</f>
        <v>6.0516251168887001</v>
      </c>
      <c r="P85" s="1"/>
      <c r="X85" s="74"/>
      <c r="Y85" s="74"/>
      <c r="Z85" s="74"/>
      <c r="AA85" s="74"/>
      <c r="AB85" s="74"/>
      <c r="AC85" s="74"/>
      <c r="AN85" s="74"/>
      <c r="AO85" s="74"/>
      <c r="AP85" s="74"/>
      <c r="AQ85" s="74"/>
      <c r="AR85" s="74"/>
      <c r="AS85" s="74"/>
      <c r="BD85" s="74"/>
      <c r="BE85" s="74"/>
      <c r="BF85" s="74"/>
      <c r="BG85" s="74"/>
      <c r="BH85" s="74"/>
      <c r="BI85" s="74"/>
      <c r="CF85" s="18"/>
      <c r="CG85" s="18"/>
      <c r="CH85" s="18"/>
      <c r="CI85" s="18" t="str">
        <f>_xll.ReferenceParams(CH85,$CI$6 )</f>
        <v/>
      </c>
      <c r="CJ85" s="27" t="str">
        <f>_xll.ReferenceParams(CH85,$CJ$6 )</f>
        <v/>
      </c>
      <c r="CK85" s="27" t="str">
        <f>_xll.ReferenceParams(CH85,$CK$6)</f>
        <v/>
      </c>
      <c r="CL85" s="18" t="str">
        <f t="shared" si="39"/>
        <v/>
      </c>
      <c r="CM85" s="18"/>
      <c r="DM85" s="1"/>
    </row>
    <row r="86" spans="4:117" x14ac:dyDescent="0.3">
      <c r="D86" s="20">
        <f t="shared" si="38"/>
        <v>45939</v>
      </c>
      <c r="E86" s="73">
        <f>_xll.CbondsClosePrice($B$1,D86,VLOOKUP($B$27,'Help Page'!$M:$N,2,0))</f>
        <v>95.95</v>
      </c>
      <c r="F86" s="73">
        <f t="shared" si="37"/>
        <v>95.95</v>
      </c>
      <c r="G86" s="33">
        <f>IF(F86 = "","",IFERROR(IF($G$1 = "YTM",_xll.CbondsCalcYTM($B$1,D86,F86),_xll.CbondsCalcYTP($B$1,D86,F86)),"")*100)</f>
        <v>6.0780448734497998</v>
      </c>
      <c r="P86" s="1"/>
      <c r="X86" s="74"/>
      <c r="Y86" s="74"/>
      <c r="Z86" s="74"/>
      <c r="AA86" s="74"/>
      <c r="AB86" s="74"/>
      <c r="AC86" s="74"/>
      <c r="AN86" s="74"/>
      <c r="AO86" s="74"/>
      <c r="AP86" s="74"/>
      <c r="AQ86" s="74"/>
      <c r="AR86" s="74"/>
      <c r="AS86" s="74"/>
      <c r="BD86" s="74"/>
      <c r="BE86" s="74"/>
      <c r="BF86" s="74"/>
      <c r="BG86" s="74"/>
      <c r="BH86" s="74"/>
      <c r="BI86" s="74"/>
      <c r="CF86" s="18"/>
      <c r="CG86" s="18"/>
      <c r="CH86" s="18"/>
      <c r="CI86" s="18" t="str">
        <f>_xll.ReferenceParams(CH86,$CI$6 )</f>
        <v/>
      </c>
      <c r="CJ86" s="27" t="str">
        <f>_xll.ReferenceParams(CH86,$CJ$6 )</f>
        <v/>
      </c>
      <c r="CK86" s="27" t="str">
        <f>_xll.ReferenceParams(CH86,$CK$6)</f>
        <v/>
      </c>
      <c r="CL86" s="18" t="str">
        <f t="shared" si="39"/>
        <v/>
      </c>
      <c r="CM86" s="18"/>
      <c r="DM86" s="1"/>
    </row>
    <row r="87" spans="4:117" x14ac:dyDescent="0.3">
      <c r="D87" s="20">
        <f t="shared" si="38"/>
        <v>45938</v>
      </c>
      <c r="E87" s="73">
        <f>_xll.CbondsClosePrice($B$1,D87,VLOOKUP($B$27,'Help Page'!$M:$N,2,0))</f>
        <v>96.593400000000003</v>
      </c>
      <c r="F87" s="73">
        <f t="shared" si="37"/>
        <v>96.593400000000003</v>
      </c>
      <c r="G87" s="33">
        <f>IF(F87 = "","",IFERROR(IF($G$1 = "YTM",_xll.CbondsCalcYTM($B$1,D87,F87),_xll.CbondsCalcYTP($B$1,D87,F87)),"")*100)</f>
        <v>5.6951564570465001</v>
      </c>
      <c r="P87" s="1"/>
      <c r="X87" s="74"/>
      <c r="Y87" s="74"/>
      <c r="Z87" s="74"/>
      <c r="AA87" s="74"/>
      <c r="AB87" s="74"/>
      <c r="AC87" s="74"/>
      <c r="AN87" s="74"/>
      <c r="AO87" s="74"/>
      <c r="AP87" s="74"/>
      <c r="AQ87" s="74"/>
      <c r="AR87" s="74"/>
      <c r="AS87" s="74"/>
      <c r="BD87" s="74"/>
      <c r="BE87" s="74"/>
      <c r="BF87" s="74"/>
      <c r="BG87" s="74"/>
      <c r="BH87" s="74"/>
      <c r="BI87" s="74"/>
      <c r="CF87" s="18"/>
      <c r="CG87" s="18"/>
      <c r="CH87" s="18"/>
      <c r="CI87" s="18" t="str">
        <f>_xll.ReferenceParams(CH87,$CI$6 )</f>
        <v/>
      </c>
      <c r="CJ87" s="27" t="str">
        <f>_xll.ReferenceParams(CH87,$CJ$6 )</f>
        <v/>
      </c>
      <c r="CK87" s="27" t="str">
        <f>_xll.ReferenceParams(CH87,$CK$6)</f>
        <v/>
      </c>
      <c r="CL87" s="18" t="str">
        <f t="shared" si="39"/>
        <v/>
      </c>
      <c r="CM87" s="18"/>
      <c r="DM87" s="1"/>
    </row>
    <row r="88" spans="4:117" x14ac:dyDescent="0.3">
      <c r="D88" s="20">
        <f t="shared" si="38"/>
        <v>45937</v>
      </c>
      <c r="E88" s="73">
        <f>_xll.CbondsClosePrice($B$1,D88,VLOOKUP($B$27,'Help Page'!$M:$N,2,0))</f>
        <v>96.900099999999995</v>
      </c>
      <c r="F88" s="73">
        <f t="shared" si="37"/>
        <v>96.900099999999995</v>
      </c>
      <c r="G88" s="33">
        <f>IF(F88 = "","",IFERROR(IF($G$1 = "YTM",_xll.CbondsCalcYTM($B$1,D88,F88),_xll.CbondsCalcYTP($B$1,D88,F88)),"")*100)</f>
        <v>5.5136709140909996</v>
      </c>
      <c r="P88" s="1"/>
      <c r="X88" s="74"/>
      <c r="Y88" s="74"/>
      <c r="Z88" s="74"/>
      <c r="AA88" s="74"/>
      <c r="AB88" s="74"/>
      <c r="AC88" s="74"/>
      <c r="AN88" s="74"/>
      <c r="AO88" s="74"/>
      <c r="AP88" s="74"/>
      <c r="AQ88" s="74"/>
      <c r="AR88" s="74"/>
      <c r="AS88" s="74"/>
      <c r="BD88" s="74"/>
      <c r="BE88" s="74"/>
      <c r="BF88" s="74"/>
      <c r="BG88" s="74"/>
      <c r="BH88" s="74"/>
      <c r="BI88" s="74"/>
      <c r="CF88" s="18"/>
      <c r="CG88" s="18"/>
      <c r="CH88" s="18"/>
      <c r="CI88" s="18" t="str">
        <f>_xll.ReferenceParams(CH88,$CI$6 )</f>
        <v/>
      </c>
      <c r="CJ88" s="27" t="str">
        <f>_xll.ReferenceParams(CH88,$CJ$6 )</f>
        <v/>
      </c>
      <c r="CK88" s="27" t="str">
        <f>_xll.ReferenceParams(CH88,$CK$6)</f>
        <v/>
      </c>
      <c r="CL88" s="18" t="str">
        <f t="shared" si="39"/>
        <v/>
      </c>
      <c r="CM88" s="18"/>
      <c r="DM88" s="1"/>
    </row>
    <row r="89" spans="4:117" x14ac:dyDescent="0.3">
      <c r="D89" s="20">
        <f t="shared" si="38"/>
        <v>45936</v>
      </c>
      <c r="E89" s="73">
        <f>_xll.CbondsClosePrice($B$1,D89,VLOOKUP($B$27,'Help Page'!$M:$N,2,0))</f>
        <v>96.856499999999997</v>
      </c>
      <c r="F89" s="73">
        <f t="shared" si="37"/>
        <v>96.856499999999997</v>
      </c>
      <c r="G89" s="33">
        <f>IF(F89 = "","",IFERROR(IF($G$1 = "YTM",_xll.CbondsCalcYTM($B$1,D89,F89),_xll.CbondsCalcYTP($B$1,D89,F89)),"")*100)</f>
        <v>5.5365778484214001</v>
      </c>
      <c r="P89" s="1"/>
      <c r="X89" s="74"/>
      <c r="Y89" s="74"/>
      <c r="Z89" s="74"/>
      <c r="AA89" s="74"/>
      <c r="AB89" s="74"/>
      <c r="AC89" s="74"/>
      <c r="AN89" s="74"/>
      <c r="AO89" s="74"/>
      <c r="AP89" s="74"/>
      <c r="AQ89" s="74"/>
      <c r="AR89" s="74"/>
      <c r="AS89" s="74"/>
      <c r="BD89" s="74"/>
      <c r="BE89" s="74"/>
      <c r="BF89" s="74"/>
      <c r="BG89" s="74"/>
      <c r="BH89" s="74"/>
      <c r="BI89" s="74"/>
      <c r="CF89" s="18"/>
      <c r="CG89" s="18"/>
      <c r="CH89" s="18"/>
      <c r="CI89" s="18" t="str">
        <f>_xll.ReferenceParams(CH89,$CI$6 )</f>
        <v/>
      </c>
      <c r="CJ89" s="27" t="str">
        <f>_xll.ReferenceParams(CH89,$CJ$6 )</f>
        <v/>
      </c>
      <c r="CK89" s="27" t="str">
        <f>_xll.ReferenceParams(CH89,$CK$6)</f>
        <v/>
      </c>
      <c r="CL89" s="18" t="str">
        <f t="shared" si="39"/>
        <v/>
      </c>
      <c r="CM89" s="18"/>
      <c r="DM89" s="1"/>
    </row>
    <row r="90" spans="4:117" x14ac:dyDescent="0.3">
      <c r="D90" s="20">
        <f t="shared" si="38"/>
        <v>45935</v>
      </c>
      <c r="E90" s="73" t="str">
        <f>_xll.CbondsClosePrice($B$1,D90,VLOOKUP($B$27,'Help Page'!$M:$N,2,0))</f>
        <v>Нет данных</v>
      </c>
      <c r="F90" s="73">
        <f t="shared" si="37"/>
        <v>96.6</v>
      </c>
      <c r="G90" s="33">
        <f>IF(F90 = "","",IFERROR(IF($G$1 = "YTM",_xll.CbondsCalcYTM($B$1,D90,F90),_xll.CbondsCalcYTP($B$1,D90,F90)),"")*100)</f>
        <v>5.6836506504370004</v>
      </c>
      <c r="P90" s="1"/>
      <c r="X90" s="74"/>
      <c r="Y90" s="74"/>
      <c r="Z90" s="74"/>
      <c r="AA90" s="74"/>
      <c r="AB90" s="74"/>
      <c r="AC90" s="74"/>
      <c r="AN90" s="74"/>
      <c r="AO90" s="74"/>
      <c r="AP90" s="74"/>
      <c r="AQ90" s="74"/>
      <c r="AR90" s="74"/>
      <c r="AS90" s="74"/>
      <c r="BD90" s="74"/>
      <c r="BE90" s="74"/>
      <c r="BF90" s="74"/>
      <c r="BG90" s="74"/>
      <c r="BH90" s="74"/>
      <c r="BI90" s="74"/>
      <c r="CF90" s="18"/>
      <c r="CG90" s="18"/>
      <c r="CH90" s="18"/>
      <c r="CI90" s="18" t="str">
        <f>_xll.ReferenceParams(CH90,$CI$6 )</f>
        <v/>
      </c>
      <c r="CJ90" s="27" t="str">
        <f>_xll.ReferenceParams(CH90,$CJ$6 )</f>
        <v/>
      </c>
      <c r="CK90" s="27" t="str">
        <f>_xll.ReferenceParams(CH90,$CK$6)</f>
        <v/>
      </c>
      <c r="CL90" s="18" t="str">
        <f t="shared" si="39"/>
        <v/>
      </c>
      <c r="CM90" s="18"/>
      <c r="DM90" s="1"/>
    </row>
    <row r="91" spans="4:117" x14ac:dyDescent="0.3">
      <c r="D91" s="20">
        <f t="shared" si="38"/>
        <v>45934</v>
      </c>
      <c r="E91" s="73" t="str">
        <f>_xll.CbondsClosePrice($B$1,D91,VLOOKUP($B$27,'Help Page'!$M:$N,2,0))</f>
        <v>Нет данных</v>
      </c>
      <c r="F91" s="73">
        <f t="shared" si="37"/>
        <v>96.6</v>
      </c>
      <c r="G91" s="33">
        <f>IF(F91 = "","",IFERROR(IF($G$1 = "YTM",_xll.CbondsCalcYTM($B$1,D91,F91),_xll.CbondsCalcYTP($B$1,D91,F91)),"")*100)</f>
        <v>5.6809283285549999</v>
      </c>
      <c r="P91" s="1"/>
      <c r="X91" s="74"/>
      <c r="Y91" s="74"/>
      <c r="Z91" s="74"/>
      <c r="AA91" s="74"/>
      <c r="AB91" s="74"/>
      <c r="AC91" s="74"/>
      <c r="AN91" s="74"/>
      <c r="AO91" s="74"/>
      <c r="AP91" s="74"/>
      <c r="AQ91" s="74"/>
      <c r="AR91" s="74"/>
      <c r="AS91" s="74"/>
      <c r="BD91" s="74"/>
      <c r="BE91" s="74"/>
      <c r="BF91" s="74"/>
      <c r="BG91" s="74"/>
      <c r="BH91" s="74"/>
      <c r="BI91" s="74"/>
      <c r="CF91" s="18"/>
      <c r="CG91" s="18"/>
      <c r="CH91" s="18"/>
      <c r="CI91" s="18" t="str">
        <f>_xll.ReferenceParams(CH91,$CI$6 )</f>
        <v/>
      </c>
      <c r="CJ91" s="27" t="str">
        <f>_xll.ReferenceParams(CH91,$CJ$6 )</f>
        <v/>
      </c>
      <c r="CK91" s="27" t="str">
        <f>_xll.ReferenceParams(CH91,$CK$6)</f>
        <v/>
      </c>
      <c r="CL91" s="18" t="str">
        <f t="shared" si="39"/>
        <v/>
      </c>
      <c r="CM91" s="18"/>
      <c r="DM91" s="1"/>
    </row>
    <row r="92" spans="4:117" x14ac:dyDescent="0.3">
      <c r="D92" s="20">
        <f t="shared" si="38"/>
        <v>45933</v>
      </c>
      <c r="E92" s="73">
        <f>_xll.CbondsClosePrice($B$1,D92,VLOOKUP($B$27,'Help Page'!$M:$N,2,0))</f>
        <v>96.6</v>
      </c>
      <c r="F92" s="73">
        <f t="shared" si="37"/>
        <v>96.6</v>
      </c>
      <c r="G92" s="33">
        <f>IF(F92 = "","",IFERROR(IF($G$1 = "YTM",_xll.CbondsCalcYTM($B$1,D92,F92),_xll.CbondsCalcYTP($B$1,D92,F92)),"")*100)</f>
        <v>5.6782146454623001</v>
      </c>
      <c r="P92" s="1"/>
      <c r="X92" s="74"/>
      <c r="Y92" s="74"/>
      <c r="Z92" s="74"/>
      <c r="AA92" s="74"/>
      <c r="AB92" s="74"/>
      <c r="AC92" s="74"/>
      <c r="AN92" s="74"/>
      <c r="AO92" s="74"/>
      <c r="AP92" s="74"/>
      <c r="AQ92" s="74"/>
      <c r="AR92" s="74"/>
      <c r="AS92" s="74"/>
      <c r="BD92" s="74"/>
      <c r="BE92" s="74"/>
      <c r="BF92" s="74"/>
      <c r="BG92" s="74"/>
      <c r="BH92" s="74"/>
      <c r="BI92" s="74"/>
      <c r="CF92" s="18"/>
      <c r="CG92" s="18"/>
      <c r="CH92" s="18"/>
      <c r="CI92" s="18" t="str">
        <f>_xll.ReferenceParams(CH92,$CI$6 )</f>
        <v/>
      </c>
      <c r="CJ92" s="27" t="str">
        <f>_xll.ReferenceParams(CH92,$CJ$6 )</f>
        <v/>
      </c>
      <c r="CK92" s="27" t="str">
        <f>_xll.ReferenceParams(CH92,$CK$6)</f>
        <v/>
      </c>
      <c r="CL92" s="18" t="str">
        <f t="shared" si="39"/>
        <v/>
      </c>
      <c r="CM92" s="18"/>
      <c r="DM92" s="1"/>
    </row>
    <row r="93" spans="4:117" x14ac:dyDescent="0.3">
      <c r="D93" s="20">
        <f t="shared" si="38"/>
        <v>45932</v>
      </c>
      <c r="E93" s="73">
        <f>_xll.CbondsClosePrice($B$1,D93,VLOOKUP($B$27,'Help Page'!$M:$N,2,0))</f>
        <v>96.736099999999993</v>
      </c>
      <c r="F93" s="73">
        <f t="shared" si="37"/>
        <v>96.736099999999993</v>
      </c>
      <c r="G93" s="33">
        <f>IF(F93 = "","",IFERROR(IF($G$1 = "YTM",_xll.CbondsCalcYTM($B$1,D93,F93),_xll.CbondsCalcYTP($B$1,D93,F93)),"")*100)</f>
        <v>5.5963866269466003</v>
      </c>
      <c r="P93" s="1"/>
      <c r="X93" s="74"/>
      <c r="Y93" s="74"/>
      <c r="Z93" s="74"/>
      <c r="AA93" s="74"/>
      <c r="AB93" s="74"/>
      <c r="AC93" s="74"/>
      <c r="AN93" s="74"/>
      <c r="AO93" s="74"/>
      <c r="AP93" s="74"/>
      <c r="AQ93" s="74"/>
      <c r="AR93" s="74"/>
      <c r="AS93" s="74"/>
      <c r="BD93" s="74"/>
      <c r="BE93" s="74"/>
      <c r="BF93" s="74"/>
      <c r="BG93" s="74"/>
      <c r="BH93" s="74"/>
      <c r="BI93" s="74"/>
      <c r="CF93" s="18"/>
      <c r="CG93" s="18"/>
      <c r="CH93" s="18"/>
      <c r="CI93" s="18" t="str">
        <f>_xll.ReferenceParams(CH93,$CI$6 )</f>
        <v/>
      </c>
      <c r="CJ93" s="27" t="str">
        <f>_xll.ReferenceParams(CH93,$CJ$6 )</f>
        <v/>
      </c>
      <c r="CK93" s="27" t="str">
        <f>_xll.ReferenceParams(CH93,$CK$6)</f>
        <v/>
      </c>
      <c r="CL93" s="18" t="str">
        <f t="shared" si="39"/>
        <v/>
      </c>
      <c r="CM93" s="18"/>
      <c r="DM93" s="1"/>
    </row>
    <row r="94" spans="4:117" x14ac:dyDescent="0.3">
      <c r="D94" s="20">
        <f t="shared" si="38"/>
        <v>45931</v>
      </c>
      <c r="E94" s="73">
        <f>_xll.CbondsClosePrice($B$1,D94,VLOOKUP($B$27,'Help Page'!$M:$N,2,0))</f>
        <v>96.949100000000001</v>
      </c>
      <c r="F94" s="73">
        <f t="shared" si="37"/>
        <v>96.949100000000001</v>
      </c>
      <c r="G94" s="33">
        <f>IF(F94 = "","",IFERROR(IF($G$1 = "YTM",_xll.CbondsCalcYTM($B$1,D94,F94),_xll.CbondsCalcYTP($B$1,D94,F94)),"")*100)</f>
        <v>5.4704864598323999</v>
      </c>
      <c r="P94" s="1"/>
      <c r="X94" s="74"/>
      <c r="Y94" s="74"/>
      <c r="Z94" s="74"/>
      <c r="AA94" s="74"/>
      <c r="AB94" s="74"/>
      <c r="AC94" s="74"/>
      <c r="AN94" s="74"/>
      <c r="AO94" s="74"/>
      <c r="AP94" s="74"/>
      <c r="AQ94" s="74"/>
      <c r="AR94" s="74"/>
      <c r="AS94" s="74"/>
      <c r="BD94" s="74"/>
      <c r="BE94" s="74"/>
      <c r="BF94" s="74"/>
      <c r="BG94" s="74"/>
      <c r="BH94" s="74"/>
      <c r="BI94" s="74"/>
      <c r="CF94" s="18"/>
      <c r="CG94" s="18"/>
      <c r="CH94" s="18"/>
      <c r="CI94" s="18" t="str">
        <f>_xll.ReferenceParams(CH94,$CI$6 )</f>
        <v/>
      </c>
      <c r="CJ94" s="27" t="str">
        <f>_xll.ReferenceParams(CH94,$CJ$6 )</f>
        <v/>
      </c>
      <c r="CK94" s="27" t="str">
        <f>_xll.ReferenceParams(CH94,$CK$6)</f>
        <v/>
      </c>
      <c r="CL94" s="18" t="str">
        <f t="shared" si="39"/>
        <v/>
      </c>
      <c r="CM94" s="18"/>
      <c r="DM94" s="1"/>
    </row>
    <row r="95" spans="4:117" x14ac:dyDescent="0.3">
      <c r="D95" s="20">
        <f t="shared" si="38"/>
        <v>45930</v>
      </c>
      <c r="E95" s="73">
        <f>_xll.CbondsClosePrice($B$1,D95,VLOOKUP($B$27,'Help Page'!$M:$N,2,0))</f>
        <v>96.997399999999999</v>
      </c>
      <c r="F95" s="73">
        <f t="shared" si="37"/>
        <v>96.997399999999999</v>
      </c>
      <c r="G95" s="33">
        <f>IF(F95 = "","",IFERROR(IF($G$1 = "YTM",_xll.CbondsCalcYTM($B$1,D95,F95),_xll.CbondsCalcYTP($B$1,D95,F95)),"")*100)</f>
        <v>5.4407884011898</v>
      </c>
      <c r="P95" s="1"/>
      <c r="X95" s="74"/>
      <c r="Y95" s="74"/>
      <c r="Z95" s="74"/>
      <c r="AA95" s="74"/>
      <c r="AB95" s="74"/>
      <c r="AC95" s="74"/>
      <c r="AN95" s="74"/>
      <c r="AO95" s="74"/>
      <c r="AP95" s="74"/>
      <c r="AQ95" s="74"/>
      <c r="AR95" s="74"/>
      <c r="AS95" s="74"/>
      <c r="BD95" s="74"/>
      <c r="BE95" s="74"/>
      <c r="BF95" s="74"/>
      <c r="BG95" s="74"/>
      <c r="BH95" s="74"/>
      <c r="BI95" s="74"/>
      <c r="CF95" s="18"/>
      <c r="CG95" s="18"/>
      <c r="CH95" s="18"/>
      <c r="CI95" s="18" t="str">
        <f>_xll.ReferenceParams(CH95,$CI$6 )</f>
        <v/>
      </c>
      <c r="CJ95" s="27" t="str">
        <f>_xll.ReferenceParams(CH95,$CJ$6 )</f>
        <v/>
      </c>
      <c r="CK95" s="27" t="str">
        <f>_xll.ReferenceParams(CH95,$CK$6)</f>
        <v/>
      </c>
      <c r="CL95" s="18" t="str">
        <f t="shared" si="39"/>
        <v/>
      </c>
      <c r="CM95" s="18"/>
      <c r="DM95" s="1"/>
    </row>
    <row r="96" spans="4:117" x14ac:dyDescent="0.3">
      <c r="D96" s="20">
        <f t="shared" si="38"/>
        <v>45929</v>
      </c>
      <c r="E96" s="73">
        <f>_xll.CbondsClosePrice($B$1,D96,VLOOKUP($B$27,'Help Page'!$M:$N,2,0))</f>
        <v>95.813000000000002</v>
      </c>
      <c r="F96" s="73">
        <f t="shared" si="37"/>
        <v>95.813000000000002</v>
      </c>
      <c r="G96" s="33">
        <f>IF(F96 = "","",IFERROR(IF($G$1 = "YTM",_xll.CbondsCalcYTM($B$1,D96,F96),_xll.CbondsCalcYTP($B$1,D96,F96)),"")*100)</f>
        <v>6.1270681764933999</v>
      </c>
      <c r="P96" s="1"/>
      <c r="X96" s="74"/>
      <c r="Y96" s="74"/>
      <c r="Z96" s="74"/>
      <c r="AA96" s="74"/>
      <c r="AB96" s="74"/>
      <c r="AC96" s="74"/>
      <c r="AN96" s="74"/>
      <c r="AO96" s="74"/>
      <c r="AP96" s="74"/>
      <c r="AQ96" s="74"/>
      <c r="AR96" s="74"/>
      <c r="AS96" s="74"/>
      <c r="BD96" s="74"/>
      <c r="BE96" s="74"/>
      <c r="BF96" s="74"/>
      <c r="BG96" s="74"/>
      <c r="BH96" s="74"/>
      <c r="BI96" s="74"/>
      <c r="CF96" s="18"/>
      <c r="CG96" s="18"/>
      <c r="CH96" s="18"/>
      <c r="CI96" s="18" t="str">
        <f>_xll.ReferenceParams(CH96,$CI$6 )</f>
        <v/>
      </c>
      <c r="CJ96" s="27" t="str">
        <f>_xll.ReferenceParams(CH96,$CJ$6 )</f>
        <v/>
      </c>
      <c r="CK96" s="27" t="str">
        <f>_xll.ReferenceParams(CH96,$CK$6)</f>
        <v/>
      </c>
      <c r="CL96" s="18" t="str">
        <f t="shared" si="39"/>
        <v/>
      </c>
      <c r="CM96" s="18"/>
      <c r="DM96" s="1"/>
    </row>
    <row r="97" spans="4:117" x14ac:dyDescent="0.3">
      <c r="D97" s="20">
        <f t="shared" si="38"/>
        <v>45928</v>
      </c>
      <c r="E97" s="73" t="str">
        <f>_xll.CbondsClosePrice($B$1,D97,VLOOKUP($B$27,'Help Page'!$M:$N,2,0))</f>
        <v>Нет данных</v>
      </c>
      <c r="F97" s="73">
        <f t="shared" si="37"/>
        <v>96.602699999999999</v>
      </c>
      <c r="G97" s="33">
        <f>IF(F97 = "","",IFERROR(IF($G$1 = "YTM",_xll.CbondsCalcYTM($B$1,D97,F97),_xll.CbondsCalcYTP($B$1,D97,F97)),"")*100)</f>
        <v>5.6637905534417996</v>
      </c>
      <c r="P97" s="1"/>
      <c r="X97" s="74"/>
      <c r="Y97" s="74"/>
      <c r="Z97" s="74"/>
      <c r="AA97" s="74"/>
      <c r="AB97" s="74"/>
      <c r="AC97" s="74"/>
      <c r="AN97" s="74"/>
      <c r="AO97" s="74"/>
      <c r="AP97" s="74"/>
      <c r="AQ97" s="74"/>
      <c r="AR97" s="74"/>
      <c r="AS97" s="74"/>
      <c r="BD97" s="74"/>
      <c r="BE97" s="74"/>
      <c r="BF97" s="74"/>
      <c r="BG97" s="74"/>
      <c r="BH97" s="74"/>
      <c r="BI97" s="74"/>
      <c r="CF97" s="18"/>
      <c r="CG97" s="18"/>
      <c r="CH97" s="18"/>
      <c r="CI97" s="18" t="str">
        <f>_xll.ReferenceParams(CH97,$CI$6 )</f>
        <v/>
      </c>
      <c r="CJ97" s="27" t="str">
        <f>_xll.ReferenceParams(CH97,$CJ$6 )</f>
        <v/>
      </c>
      <c r="CK97" s="27" t="str">
        <f>_xll.ReferenceParams(CH97,$CK$6)</f>
        <v/>
      </c>
      <c r="CL97" s="18" t="str">
        <f t="shared" si="39"/>
        <v/>
      </c>
      <c r="CM97" s="18"/>
      <c r="DM97" s="1"/>
    </row>
    <row r="98" spans="4:117" x14ac:dyDescent="0.3">
      <c r="D98" s="20">
        <f t="shared" si="38"/>
        <v>45927</v>
      </c>
      <c r="E98" s="73" t="str">
        <f>_xll.CbondsClosePrice($B$1,D98,VLOOKUP($B$27,'Help Page'!$M:$N,2,0))</f>
        <v>Нет данных</v>
      </c>
      <c r="F98" s="73">
        <f t="shared" si="37"/>
        <v>96.602699999999999</v>
      </c>
      <c r="G98" s="33">
        <f>IF(F98 = "","",IFERROR(IF($G$1 = "YTM",_xll.CbondsCalcYTM($B$1,D98,F98),_xll.CbondsCalcYTP($B$1,D98,F98)),"")*100)</f>
        <v>5.6611292615113005</v>
      </c>
      <c r="P98" s="1"/>
      <c r="X98" s="74"/>
      <c r="Y98" s="74"/>
      <c r="Z98" s="74"/>
      <c r="AA98" s="74"/>
      <c r="AB98" s="74"/>
      <c r="AC98" s="74"/>
      <c r="AN98" s="74"/>
      <c r="AO98" s="74"/>
      <c r="AP98" s="74"/>
      <c r="AQ98" s="74"/>
      <c r="AR98" s="74"/>
      <c r="AS98" s="74"/>
      <c r="BD98" s="74"/>
      <c r="BE98" s="74"/>
      <c r="BF98" s="74"/>
      <c r="BG98" s="74"/>
      <c r="BH98" s="74"/>
      <c r="BI98" s="74"/>
      <c r="CF98" s="18"/>
      <c r="CG98" s="18"/>
      <c r="CH98" s="18"/>
      <c r="CI98" s="18" t="str">
        <f>_xll.ReferenceParams(CH98,$CI$6 )</f>
        <v/>
      </c>
      <c r="CJ98" s="27" t="str">
        <f>_xll.ReferenceParams(CH98,$CJ$6 )</f>
        <v/>
      </c>
      <c r="CK98" s="27" t="str">
        <f>_xll.ReferenceParams(CH98,$CK$6)</f>
        <v/>
      </c>
      <c r="CL98" s="18" t="str">
        <f t="shared" si="39"/>
        <v/>
      </c>
      <c r="CM98" s="18"/>
      <c r="DM98" s="1"/>
    </row>
    <row r="99" spans="4:117" x14ac:dyDescent="0.3">
      <c r="D99" s="20">
        <f t="shared" si="38"/>
        <v>45926</v>
      </c>
      <c r="E99" s="73">
        <f>_xll.CbondsClosePrice($B$1,D99,VLOOKUP($B$27,'Help Page'!$M:$N,2,0))</f>
        <v>96.602699999999999</v>
      </c>
      <c r="F99" s="73">
        <f t="shared" si="37"/>
        <v>96.602699999999999</v>
      </c>
      <c r="G99" s="33">
        <f>IF(F99 = "","",IFERROR(IF($G$1 = "YTM",_xll.CbondsCalcYTM($B$1,D99,F99),_xll.CbondsCalcYTP($B$1,D99,F99)),"")*100)</f>
        <v>5.6584763422449003</v>
      </c>
      <c r="P99" s="1"/>
      <c r="X99" s="74"/>
      <c r="Y99" s="74"/>
      <c r="Z99" s="74"/>
      <c r="AA99" s="74"/>
      <c r="AB99" s="74"/>
      <c r="AC99" s="74"/>
      <c r="AN99" s="74"/>
      <c r="AO99" s="74"/>
      <c r="AP99" s="74"/>
      <c r="AQ99" s="74"/>
      <c r="AR99" s="74"/>
      <c r="AS99" s="74"/>
      <c r="BD99" s="74"/>
      <c r="BE99" s="74"/>
      <c r="BF99" s="74"/>
      <c r="BG99" s="74"/>
      <c r="BH99" s="74"/>
      <c r="BI99" s="74"/>
      <c r="CF99" s="18"/>
      <c r="CG99" s="18"/>
      <c r="CH99" s="18"/>
      <c r="CI99" s="18" t="str">
        <f>_xll.ReferenceParams(CH99,$CI$6 )</f>
        <v/>
      </c>
      <c r="CJ99" s="27" t="str">
        <f>_xll.ReferenceParams(CH99,$CJ$6 )</f>
        <v/>
      </c>
      <c r="CK99" s="27" t="str">
        <f>_xll.ReferenceParams(CH99,$CK$6)</f>
        <v/>
      </c>
      <c r="CL99" s="18" t="str">
        <f t="shared" si="39"/>
        <v/>
      </c>
      <c r="CM99" s="18"/>
      <c r="DM99" s="1"/>
    </row>
    <row r="100" spans="4:117" x14ac:dyDescent="0.3">
      <c r="D100" s="20">
        <f t="shared" si="38"/>
        <v>45925</v>
      </c>
      <c r="E100" s="73">
        <f>_xll.CbondsClosePrice($B$1,D100,VLOOKUP($B$27,'Help Page'!$M:$N,2,0))</f>
        <v>96.695499999999996</v>
      </c>
      <c r="F100" s="73">
        <f>IF(IF(AND(E100="",D100=""),"",IF(AND(E100="Нет данных",D100&lt;&gt;""),F101,E100)) = 0,"",IF(AND(E100="",D100=""),"",IF(AND(E100="Нет данных",D100&lt;&gt;""),F101,E100)))</f>
        <v>96.695499999999996</v>
      </c>
      <c r="G100" s="33">
        <f>IF(F100 = "","",IFERROR(IF($G$1 = "YTM",_xll.CbondsCalcYTM($B$1,D100,F100),_xll.CbondsCalcYTP($B$1,D100,F100)),"")*100)</f>
        <v>5.6023816469690999</v>
      </c>
      <c r="P100" s="1"/>
      <c r="X100" s="74"/>
      <c r="Y100" s="74"/>
      <c r="Z100" s="74"/>
      <c r="AA100" s="74"/>
      <c r="AB100" s="74"/>
      <c r="AC100" s="74"/>
      <c r="AN100" s="74"/>
      <c r="AO100" s="74"/>
      <c r="AP100" s="74"/>
      <c r="AQ100" s="74"/>
      <c r="AR100" s="74"/>
      <c r="AS100" s="74"/>
      <c r="BD100" s="74"/>
      <c r="BE100" s="74"/>
      <c r="BF100" s="74"/>
      <c r="BG100" s="74"/>
      <c r="BH100" s="74"/>
      <c r="BI100" s="74"/>
      <c r="CF100" s="18"/>
      <c r="CG100" s="18"/>
      <c r="CH100" s="18"/>
      <c r="CI100" s="18" t="str">
        <f>_xll.ReferenceParams(CH100,$CI$6 )</f>
        <v/>
      </c>
      <c r="CJ100" s="27" t="str">
        <f>_xll.ReferenceParams(CH100,$CJ$6 )</f>
        <v/>
      </c>
      <c r="CK100" s="27" t="str">
        <f>_xll.ReferenceParams(CH100,$CK$6)</f>
        <v/>
      </c>
      <c r="CL100" s="18" t="str">
        <f t="shared" si="39"/>
        <v/>
      </c>
      <c r="CM100" s="18"/>
      <c r="DM100" s="1"/>
    </row>
    <row r="101" spans="4:117" x14ac:dyDescent="0.3">
      <c r="D101" s="20">
        <f t="shared" si="38"/>
        <v>45924</v>
      </c>
      <c r="E101" s="73">
        <f>_xll.CbondsClosePrice($B$1,D101,VLOOKUP($B$27,'Help Page'!$M:$N,2,0))</f>
        <v>96.76</v>
      </c>
      <c r="F101" s="73">
        <f t="shared" si="37"/>
        <v>96.76</v>
      </c>
      <c r="G101" s="33">
        <f>IF(F101 = "","",IFERROR(IF($G$1 = "YTM",_xll.CbondsCalcYTM($B$1,D101,F101),_xll.CbondsCalcYTP($B$1,D101,F101)),"")*100)</f>
        <v>5.5627656366283</v>
      </c>
      <c r="P101" s="1"/>
      <c r="X101" s="74"/>
      <c r="Y101" s="74"/>
      <c r="Z101" s="74"/>
      <c r="AA101" s="74"/>
      <c r="AB101" s="74"/>
      <c r="AC101" s="74"/>
      <c r="AN101" s="74"/>
      <c r="AO101" s="74"/>
      <c r="AP101" s="74"/>
      <c r="AQ101" s="74"/>
      <c r="AR101" s="74"/>
      <c r="AS101" s="74"/>
      <c r="BD101" s="74"/>
      <c r="BE101" s="74"/>
      <c r="BF101" s="74"/>
      <c r="BG101" s="74"/>
      <c r="BH101" s="74"/>
      <c r="BI101" s="74"/>
      <c r="CF101" s="18"/>
      <c r="CG101" s="18"/>
      <c r="CH101" s="18"/>
      <c r="CI101" s="18" t="str">
        <f>_xll.ReferenceParams(CH101,$CI$6 )</f>
        <v/>
      </c>
      <c r="CJ101" s="27" t="str">
        <f>_xll.ReferenceParams(CH101,$CJ$6 )</f>
        <v/>
      </c>
      <c r="CK101" s="27" t="str">
        <f>_xll.ReferenceParams(CH101,$CK$6)</f>
        <v/>
      </c>
      <c r="CL101" s="18" t="str">
        <f t="shared" si="39"/>
        <v/>
      </c>
      <c r="CM101" s="18"/>
      <c r="DM101" s="1"/>
    </row>
    <row r="102" spans="4:117" x14ac:dyDescent="0.3">
      <c r="D102" s="20">
        <f t="shared" si="38"/>
        <v>45923</v>
      </c>
      <c r="E102" s="73">
        <f>_xll.CbondsClosePrice($B$1,D102,VLOOKUP($B$27,'Help Page'!$M:$N,2,0))</f>
        <v>96.849400000000003</v>
      </c>
      <c r="F102" s="73">
        <f t="shared" si="37"/>
        <v>96.849400000000003</v>
      </c>
      <c r="G102" s="33">
        <f>IF(F102 = "","",IFERROR(IF($G$1 = "YTM",_xll.CbondsCalcYTM($B$1,D102,F102),_xll.CbondsCalcYTP($B$1,D102,F102)),"")*100)</f>
        <v>5.5090371186095997</v>
      </c>
      <c r="P102" s="1"/>
      <c r="X102" s="74"/>
      <c r="Y102" s="74"/>
      <c r="Z102" s="74"/>
      <c r="AA102" s="74"/>
      <c r="AB102" s="74"/>
      <c r="AC102" s="74"/>
      <c r="AN102" s="74"/>
      <c r="AO102" s="74"/>
      <c r="AP102" s="74"/>
      <c r="AQ102" s="74"/>
      <c r="AR102" s="74"/>
      <c r="AS102" s="74"/>
      <c r="BD102" s="74"/>
      <c r="BE102" s="74"/>
      <c r="BF102" s="74"/>
      <c r="BG102" s="74"/>
      <c r="BH102" s="74"/>
      <c r="BI102" s="74"/>
      <c r="CF102" s="18"/>
      <c r="CG102" s="18"/>
      <c r="CH102" s="18"/>
      <c r="CI102" s="18" t="str">
        <f>_xll.ReferenceParams(CH102,$CI$6 )</f>
        <v/>
      </c>
      <c r="CJ102" s="27" t="str">
        <f>_xll.ReferenceParams(CH102,$CJ$6 )</f>
        <v/>
      </c>
      <c r="CK102" s="27" t="str">
        <f>_xll.ReferenceParams(CH102,$CK$6)</f>
        <v/>
      </c>
      <c r="CL102" s="18" t="str">
        <f t="shared" si="39"/>
        <v/>
      </c>
      <c r="CM102" s="18"/>
      <c r="DM102" s="1"/>
    </row>
    <row r="103" spans="4:117" x14ac:dyDescent="0.3">
      <c r="D103" s="20">
        <f t="shared" si="38"/>
        <v>45922</v>
      </c>
      <c r="E103" s="73">
        <f>_xll.CbondsClosePrice($B$1,D103,VLOOKUP($B$27,'Help Page'!$M:$N,2,0))</f>
        <v>96.37</v>
      </c>
      <c r="F103" s="73">
        <f t="shared" si="37"/>
        <v>96.37</v>
      </c>
      <c r="G103" s="33">
        <f>IF(F103 = "","",IFERROR(IF($G$1 = "YTM",_xll.CbondsCalcYTM($B$1,D103,F103),_xll.CbondsCalcYTP($B$1,D103,F103)),"")*100)</f>
        <v>5.7823527448082999</v>
      </c>
      <c r="P103" s="1"/>
      <c r="X103" s="74"/>
      <c r="Y103" s="74"/>
      <c r="Z103" s="74"/>
      <c r="AA103" s="74"/>
      <c r="AB103" s="74"/>
      <c r="AC103" s="74"/>
      <c r="AN103" s="74"/>
      <c r="AO103" s="74"/>
      <c r="AP103" s="74"/>
      <c r="AQ103" s="74"/>
      <c r="AR103" s="74"/>
      <c r="AS103" s="74"/>
      <c r="BD103" s="74"/>
      <c r="BE103" s="74"/>
      <c r="BF103" s="74"/>
      <c r="BG103" s="74"/>
      <c r="BH103" s="74"/>
      <c r="BI103" s="74"/>
      <c r="CF103" s="18"/>
      <c r="CG103" s="18"/>
      <c r="CH103" s="18"/>
      <c r="CI103" s="18" t="str">
        <f>_xll.ReferenceParams(CH103,$CI$6 )</f>
        <v/>
      </c>
      <c r="CJ103" s="27" t="str">
        <f>_xll.ReferenceParams(CH103,$CJ$6 )</f>
        <v/>
      </c>
      <c r="CK103" s="27" t="str">
        <f>_xll.ReferenceParams(CH103,$CK$6)</f>
        <v/>
      </c>
      <c r="CL103" s="18" t="str">
        <f t="shared" ref="CL103:CL134" si="40">IF(CH103 = "","",IF(AND(CI103="В обращении",CJ103&lt;=$B$2,CK103 = "Облигация"),1,0))</f>
        <v/>
      </c>
      <c r="CM103" s="18"/>
      <c r="DM103" s="1"/>
    </row>
    <row r="104" spans="4:117" x14ac:dyDescent="0.3">
      <c r="D104" s="20">
        <f t="shared" si="38"/>
        <v>45921</v>
      </c>
      <c r="E104" s="73" t="str">
        <f>_xll.CbondsClosePrice($B$1,D104,VLOOKUP($B$27,'Help Page'!$M:$N,2,0))</f>
        <v>Нет данных</v>
      </c>
      <c r="F104" s="73">
        <f t="shared" si="37"/>
        <v>96.578100000000006</v>
      </c>
      <c r="G104" s="33">
        <f>IF(F104 = "","",IFERROR(IF($G$1 = "YTM",_xll.CbondsCalcYTM($B$1,D104,F104),_xll.CbondsCalcYTP($B$1,D104,F104)),"")*100)</f>
        <v>5.6600145857104005</v>
      </c>
      <c r="P104" s="1"/>
      <c r="X104" s="74"/>
      <c r="Y104" s="74"/>
      <c r="Z104" s="74"/>
      <c r="AA104" s="74"/>
      <c r="AB104" s="74"/>
      <c r="AC104" s="74"/>
      <c r="AN104" s="74"/>
      <c r="AO104" s="74"/>
      <c r="AP104" s="74"/>
      <c r="AQ104" s="74"/>
      <c r="AR104" s="74"/>
      <c r="AS104" s="74"/>
      <c r="BD104" s="74"/>
      <c r="BE104" s="74"/>
      <c r="BF104" s="74"/>
      <c r="BG104" s="74"/>
      <c r="BH104" s="74"/>
      <c r="BI104" s="74"/>
      <c r="CF104" s="18"/>
      <c r="CG104" s="18"/>
      <c r="CH104" s="18"/>
      <c r="CI104" s="18" t="str">
        <f>_xll.ReferenceParams(CH104,$CI$6 )</f>
        <v/>
      </c>
      <c r="CJ104" s="27" t="str">
        <f>_xll.ReferenceParams(CH104,$CJ$6 )</f>
        <v/>
      </c>
      <c r="CK104" s="27" t="str">
        <f>_xll.ReferenceParams(CH104,$CK$6)</f>
        <v/>
      </c>
      <c r="CL104" s="18" t="str">
        <f t="shared" si="40"/>
        <v/>
      </c>
      <c r="CM104" s="18"/>
      <c r="DM104" s="1"/>
    </row>
    <row r="105" spans="4:117" x14ac:dyDescent="0.3">
      <c r="D105" s="20">
        <f t="shared" si="38"/>
        <v>45920</v>
      </c>
      <c r="E105" s="73" t="str">
        <f>_xll.CbondsClosePrice($B$1,D105,VLOOKUP($B$27,'Help Page'!$M:$N,2,0))</f>
        <v>Нет данных</v>
      </c>
      <c r="F105" s="73">
        <f t="shared" si="37"/>
        <v>96.578100000000006</v>
      </c>
      <c r="G105" s="33">
        <f>IF(F105 = "","",IFERROR(IF($G$1 = "YTM",_xll.CbondsCalcYTM($B$1,D105,F105),_xll.CbondsCalcYTP($B$1,D105,F105)),"")*100)</f>
        <v>5.6573912109101006</v>
      </c>
      <c r="P105" s="1"/>
      <c r="X105" s="74"/>
      <c r="Y105" s="74"/>
      <c r="Z105" s="74"/>
      <c r="AA105" s="74"/>
      <c r="AB105" s="74"/>
      <c r="AC105" s="74"/>
      <c r="AN105" s="74"/>
      <c r="AO105" s="74"/>
      <c r="AP105" s="74"/>
      <c r="AQ105" s="74"/>
      <c r="AR105" s="74"/>
      <c r="AS105" s="74"/>
      <c r="BD105" s="74"/>
      <c r="BE105" s="74"/>
      <c r="BF105" s="74"/>
      <c r="BG105" s="74"/>
      <c r="BH105" s="74"/>
      <c r="BI105" s="74"/>
      <c r="CF105" s="18"/>
      <c r="CG105" s="18"/>
      <c r="CH105" s="18"/>
      <c r="CI105" s="18" t="str">
        <f>_xll.ReferenceParams(CH105,$CI$6 )</f>
        <v/>
      </c>
      <c r="CJ105" s="27" t="str">
        <f>_xll.ReferenceParams(CH105,$CJ$6 )</f>
        <v/>
      </c>
      <c r="CK105" s="27" t="str">
        <f>_xll.ReferenceParams(CH105,$CK$6)</f>
        <v/>
      </c>
      <c r="CL105" s="18" t="str">
        <f t="shared" si="40"/>
        <v/>
      </c>
      <c r="CM105" s="18"/>
      <c r="DM105" s="1"/>
    </row>
    <row r="106" spans="4:117" x14ac:dyDescent="0.3">
      <c r="D106" s="20">
        <f t="shared" si="38"/>
        <v>45919</v>
      </c>
      <c r="E106" s="73">
        <f>_xll.CbondsClosePrice($B$1,D106,VLOOKUP($B$27,'Help Page'!$M:$N,2,0))</f>
        <v>96.578100000000006</v>
      </c>
      <c r="F106" s="73">
        <f t="shared" si="37"/>
        <v>96.578100000000006</v>
      </c>
      <c r="G106" s="33">
        <f>IF(F106 = "","",IFERROR(IF($G$1 = "YTM",_xll.CbondsCalcYTM($B$1,D106,F106),_xll.CbondsCalcYTP($B$1,D106,F106)),"")*100)</f>
        <v>5.6547760159106</v>
      </c>
      <c r="P106" s="1"/>
      <c r="X106" s="74"/>
      <c r="Y106" s="74"/>
      <c r="Z106" s="74"/>
      <c r="AA106" s="74"/>
      <c r="AB106" s="74"/>
      <c r="AC106" s="74"/>
      <c r="AN106" s="74"/>
      <c r="AO106" s="74"/>
      <c r="AP106" s="74"/>
      <c r="AQ106" s="74"/>
      <c r="AR106" s="74"/>
      <c r="AS106" s="74"/>
      <c r="BD106" s="74"/>
      <c r="BE106" s="74"/>
      <c r="BF106" s="74"/>
      <c r="BG106" s="74"/>
      <c r="BH106" s="74"/>
      <c r="BI106" s="74"/>
      <c r="CF106" s="18"/>
      <c r="CG106" s="18"/>
      <c r="CH106" s="18"/>
      <c r="CI106" s="18" t="str">
        <f>_xll.ReferenceParams(CH106,$CI$6 )</f>
        <v/>
      </c>
      <c r="CJ106" s="27" t="str">
        <f>_xll.ReferenceParams(CH106,$CJ$6 )</f>
        <v/>
      </c>
      <c r="CK106" s="27" t="str">
        <f>_xll.ReferenceParams(CH106,$CK$6)</f>
        <v/>
      </c>
      <c r="CL106" s="18" t="str">
        <f t="shared" si="40"/>
        <v/>
      </c>
      <c r="CM106" s="18"/>
      <c r="DM106" s="1"/>
    </row>
    <row r="107" spans="4:117" x14ac:dyDescent="0.3">
      <c r="D107" s="20">
        <f t="shared" si="38"/>
        <v>45918</v>
      </c>
      <c r="E107" s="73">
        <f>_xll.CbondsClosePrice($B$1,D107,VLOOKUP($B$27,'Help Page'!$M:$N,2,0))</f>
        <v>97.241</v>
      </c>
      <c r="F107" s="73">
        <f t="shared" si="37"/>
        <v>97.241</v>
      </c>
      <c r="G107" s="33">
        <f>IF(F107 = "","",IFERROR(IF($G$1 = "YTM",_xll.CbondsCalcYTM($B$1,D107,F107),_xll.CbondsCalcYTP($B$1,D107,F107)),"")*100)</f>
        <v>5.2755343807440997</v>
      </c>
      <c r="P107" s="1"/>
      <c r="X107" s="74"/>
      <c r="Y107" s="74"/>
      <c r="Z107" s="74"/>
      <c r="AA107" s="74"/>
      <c r="AB107" s="74"/>
      <c r="AC107" s="74"/>
      <c r="AN107" s="74"/>
      <c r="AO107" s="74"/>
      <c r="AP107" s="74"/>
      <c r="AQ107" s="74"/>
      <c r="AR107" s="74"/>
      <c r="AS107" s="74"/>
      <c r="BD107" s="74"/>
      <c r="BE107" s="74"/>
      <c r="BF107" s="74"/>
      <c r="BG107" s="74"/>
      <c r="BH107" s="74"/>
      <c r="BI107" s="74"/>
      <c r="CF107" s="18"/>
      <c r="CG107" s="18"/>
      <c r="CH107" s="18"/>
      <c r="CI107" s="18" t="str">
        <f>_xll.ReferenceParams(CH107,$CI$6 )</f>
        <v/>
      </c>
      <c r="CJ107" s="27" t="str">
        <f>_xll.ReferenceParams(CH107,$CJ$6 )</f>
        <v/>
      </c>
      <c r="CK107" s="27" t="str">
        <f>_xll.ReferenceParams(CH107,$CK$6)</f>
        <v/>
      </c>
      <c r="CL107" s="18" t="str">
        <f t="shared" si="40"/>
        <v/>
      </c>
      <c r="CM107" s="18"/>
      <c r="DM107" s="1"/>
    </row>
    <row r="108" spans="4:117" x14ac:dyDescent="0.3">
      <c r="D108" s="20">
        <f t="shared" si="38"/>
        <v>45917</v>
      </c>
      <c r="E108" s="73">
        <f>_xll.CbondsClosePrice($B$1,D108,VLOOKUP($B$27,'Help Page'!$M:$N,2,0))</f>
        <v>97.299899999999994</v>
      </c>
      <c r="F108" s="73">
        <f t="shared" si="37"/>
        <v>97.299899999999994</v>
      </c>
      <c r="G108" s="33">
        <f>IF(F108 = "","",IFERROR(IF($G$1 = "YTM",_xll.CbondsCalcYTM($B$1,D108,F108),_xll.CbondsCalcYTP($B$1,D108,F108)),"")*100)</f>
        <v>5.2402152472184005</v>
      </c>
      <c r="P108" s="1"/>
      <c r="X108" s="74"/>
      <c r="Y108" s="74"/>
      <c r="Z108" s="74"/>
      <c r="AA108" s="74"/>
      <c r="AB108" s="74"/>
      <c r="AC108" s="74"/>
      <c r="AN108" s="74"/>
      <c r="AO108" s="74"/>
      <c r="AP108" s="74"/>
      <c r="AQ108" s="74"/>
      <c r="AR108" s="74"/>
      <c r="AS108" s="74"/>
      <c r="BD108" s="74"/>
      <c r="BE108" s="74"/>
      <c r="BF108" s="74"/>
      <c r="BG108" s="74"/>
      <c r="BH108" s="74"/>
      <c r="BI108" s="74"/>
      <c r="CF108" s="18"/>
      <c r="CG108" s="18"/>
      <c r="CH108" s="18"/>
      <c r="CI108" s="18" t="str">
        <f>_xll.ReferenceParams(CH108,$CI$6 )</f>
        <v/>
      </c>
      <c r="CJ108" s="27" t="str">
        <f>_xll.ReferenceParams(CH108,$CJ$6 )</f>
        <v/>
      </c>
      <c r="CK108" s="27" t="str">
        <f>_xll.ReferenceParams(CH108,$CK$6)</f>
        <v/>
      </c>
      <c r="CL108" s="18" t="str">
        <f t="shared" si="40"/>
        <v/>
      </c>
      <c r="CM108" s="18"/>
      <c r="DM108" s="1"/>
    </row>
    <row r="109" spans="4:117" x14ac:dyDescent="0.3">
      <c r="D109" s="20">
        <f t="shared" si="38"/>
        <v>45916</v>
      </c>
      <c r="E109" s="73">
        <f>_xll.CbondsClosePrice($B$1,D109,VLOOKUP($B$27,'Help Page'!$M:$N,2,0))</f>
        <v>96.9726</v>
      </c>
      <c r="F109" s="73">
        <f t="shared" si="37"/>
        <v>96.9726</v>
      </c>
      <c r="G109" s="33">
        <f>IF(F109 = "","",IFERROR(IF($G$1 = "YTM",_xll.CbondsCalcYTM($B$1,D109,F109),_xll.CbondsCalcYTP($B$1,D109,F109)),"")*100)</f>
        <v>5.4229664976925003</v>
      </c>
      <c r="P109" s="1"/>
      <c r="X109" s="74"/>
      <c r="Y109" s="74"/>
      <c r="Z109" s="74"/>
      <c r="AA109" s="74"/>
      <c r="AB109" s="74"/>
      <c r="AC109" s="74"/>
      <c r="AN109" s="74"/>
      <c r="AO109" s="74"/>
      <c r="AP109" s="74"/>
      <c r="AQ109" s="74"/>
      <c r="AR109" s="74"/>
      <c r="AS109" s="74"/>
      <c r="BD109" s="74"/>
      <c r="BE109" s="74"/>
      <c r="BF109" s="74"/>
      <c r="BG109" s="74"/>
      <c r="BH109" s="74"/>
      <c r="BI109" s="74"/>
      <c r="CF109" s="18"/>
      <c r="CG109" s="18"/>
      <c r="CH109" s="18"/>
      <c r="CI109" s="18" t="str">
        <f>_xll.ReferenceParams(CH109,$CI$6 )</f>
        <v/>
      </c>
      <c r="CJ109" s="27" t="str">
        <f>_xll.ReferenceParams(CH109,$CJ$6 )</f>
        <v/>
      </c>
      <c r="CK109" s="27" t="str">
        <f>_xll.ReferenceParams(CH109,$CK$6)</f>
        <v/>
      </c>
      <c r="CL109" s="18" t="str">
        <f t="shared" si="40"/>
        <v/>
      </c>
      <c r="CM109" s="18"/>
      <c r="DM109" s="1"/>
    </row>
    <row r="110" spans="4:117" x14ac:dyDescent="0.3">
      <c r="D110" s="20">
        <f t="shared" si="38"/>
        <v>45915</v>
      </c>
      <c r="E110" s="73">
        <f>_xll.CbondsClosePrice($B$1,D110,VLOOKUP($B$27,'Help Page'!$M:$N,2,0))</f>
        <v>96.783900000000003</v>
      </c>
      <c r="F110" s="73">
        <f t="shared" si="37"/>
        <v>96.783900000000003</v>
      </c>
      <c r="G110" s="33">
        <f>IF(F110 = "","",IFERROR(IF($G$1 = "YTM",_xll.CbondsCalcYTM($B$1,D110,F110),_xll.CbondsCalcYTP($B$1,D110,F110)),"")*100)</f>
        <v>5.5280840193694001</v>
      </c>
      <c r="P110" s="1"/>
      <c r="X110" s="74"/>
      <c r="Y110" s="74"/>
      <c r="Z110" s="74"/>
      <c r="AA110" s="74"/>
      <c r="AB110" s="74"/>
      <c r="AC110" s="74"/>
      <c r="AN110" s="74"/>
      <c r="AO110" s="74"/>
      <c r="AP110" s="74"/>
      <c r="AQ110" s="74"/>
      <c r="AR110" s="74"/>
      <c r="AS110" s="74"/>
      <c r="BD110" s="74"/>
      <c r="BE110" s="74"/>
      <c r="BF110" s="74"/>
      <c r="BG110" s="74"/>
      <c r="BH110" s="74"/>
      <c r="BI110" s="74"/>
      <c r="CF110" s="18"/>
      <c r="CG110" s="18"/>
      <c r="CH110" s="18"/>
      <c r="CI110" s="18" t="str">
        <f>_xll.ReferenceParams(CH110,$CI$6 )</f>
        <v/>
      </c>
      <c r="CJ110" s="27" t="str">
        <f>_xll.ReferenceParams(CH110,$CJ$6 )</f>
        <v/>
      </c>
      <c r="CK110" s="27" t="str">
        <f>_xll.ReferenceParams(CH110,$CK$6)</f>
        <v/>
      </c>
      <c r="CL110" s="18" t="str">
        <f t="shared" si="40"/>
        <v/>
      </c>
      <c r="CM110" s="18"/>
      <c r="DM110" s="1"/>
    </row>
    <row r="111" spans="4:117" x14ac:dyDescent="0.3">
      <c r="D111" s="20">
        <f t="shared" si="38"/>
        <v>45914</v>
      </c>
      <c r="E111" s="73" t="str">
        <f>_xll.CbondsClosePrice($B$1,D111,VLOOKUP($B$27,'Help Page'!$M:$N,2,0))</f>
        <v>Нет данных</v>
      </c>
      <c r="F111" s="73">
        <f t="shared" si="37"/>
        <v>97.352999999999994</v>
      </c>
      <c r="G111" s="33">
        <f>IF(F111 = "","",IFERROR(IF($G$1 = "YTM",_xll.CbondsCalcYTM($B$1,D111,F111),_xll.CbondsCalcYTP($B$1,D111,F111)),"")*100)</f>
        <v>5.2048678451193</v>
      </c>
      <c r="P111" s="1"/>
      <c r="X111" s="74"/>
      <c r="Y111" s="74"/>
      <c r="Z111" s="74"/>
      <c r="AA111" s="74"/>
      <c r="AB111" s="74"/>
      <c r="AC111" s="74"/>
      <c r="AN111" s="74"/>
      <c r="AO111" s="74"/>
      <c r="AP111" s="74"/>
      <c r="AQ111" s="74"/>
      <c r="AR111" s="74"/>
      <c r="AS111" s="74"/>
      <c r="BD111" s="74"/>
      <c r="BE111" s="74"/>
      <c r="BF111" s="74"/>
      <c r="BG111" s="74"/>
      <c r="BH111" s="74"/>
      <c r="BI111" s="74"/>
      <c r="CF111" s="18"/>
      <c r="CG111" s="18"/>
      <c r="CH111" s="18"/>
      <c r="CI111" s="18" t="str">
        <f>_xll.ReferenceParams(CH111,$CI$6 )</f>
        <v/>
      </c>
      <c r="CJ111" s="27" t="str">
        <f>_xll.ReferenceParams(CH111,$CJ$6 )</f>
        <v/>
      </c>
      <c r="CK111" s="27" t="str">
        <f>_xll.ReferenceParams(CH111,$CK$6)</f>
        <v/>
      </c>
      <c r="CL111" s="18" t="str">
        <f t="shared" si="40"/>
        <v/>
      </c>
      <c r="CM111" s="18"/>
      <c r="DM111" s="1"/>
    </row>
    <row r="112" spans="4:117" x14ac:dyDescent="0.3">
      <c r="D112" s="20">
        <f t="shared" si="38"/>
        <v>45913</v>
      </c>
      <c r="E112" s="73" t="str">
        <f>_xll.CbondsClosePrice($B$1,D112,VLOOKUP($B$27,'Help Page'!$M:$N,2,0))</f>
        <v>Нет данных</v>
      </c>
      <c r="F112" s="73">
        <f t="shared" si="37"/>
        <v>97.352999999999994</v>
      </c>
      <c r="G112" s="33">
        <f>IF(F112 = "","",IFERROR(IF($G$1 = "YTM",_xll.CbondsCalcYTM($B$1,D112,F112),_xll.CbondsCalcYTP($B$1,D112,F112)),"")*100)</f>
        <v>5.2028867171146</v>
      </c>
      <c r="P112" s="1"/>
      <c r="X112" s="74"/>
      <c r="Y112" s="74"/>
      <c r="Z112" s="74"/>
      <c r="AA112" s="74"/>
      <c r="AB112" s="74"/>
      <c r="AC112" s="74"/>
      <c r="AN112" s="74"/>
      <c r="AO112" s="74"/>
      <c r="AP112" s="74"/>
      <c r="AQ112" s="74"/>
      <c r="AR112" s="74"/>
      <c r="AS112" s="74"/>
      <c r="BD112" s="74"/>
      <c r="BE112" s="74"/>
      <c r="BF112" s="74"/>
      <c r="BG112" s="74"/>
      <c r="BH112" s="74"/>
      <c r="BI112" s="74"/>
      <c r="CF112" s="18"/>
      <c r="CG112" s="18"/>
      <c r="CH112" s="18"/>
      <c r="CI112" s="18" t="str">
        <f>_xll.ReferenceParams(CH112,$CI$6 )</f>
        <v/>
      </c>
      <c r="CJ112" s="27" t="str">
        <f>_xll.ReferenceParams(CH112,$CJ$6 )</f>
        <v/>
      </c>
      <c r="CK112" s="27" t="str">
        <f>_xll.ReferenceParams(CH112,$CK$6)</f>
        <v/>
      </c>
      <c r="CL112" s="18" t="str">
        <f t="shared" si="40"/>
        <v/>
      </c>
      <c r="CM112" s="18"/>
      <c r="DM112" s="1"/>
    </row>
    <row r="113" spans="4:117" x14ac:dyDescent="0.3">
      <c r="D113" s="20">
        <f t="shared" si="38"/>
        <v>45912</v>
      </c>
      <c r="E113" s="73">
        <f>_xll.CbondsClosePrice($B$1,D113,VLOOKUP($B$27,'Help Page'!$M:$N,2,0))</f>
        <v>97.352999999999994</v>
      </c>
      <c r="F113" s="73">
        <f t="shared" si="37"/>
        <v>97.352999999999994</v>
      </c>
      <c r="G113" s="33">
        <f>IF(F113 = "","",IFERROR(IF($G$1 = "YTM",_xll.CbondsCalcYTM($B$1,D113,F113),_xll.CbondsCalcYTP($B$1,D113,F113)),"")*100)</f>
        <v>5.2009118246058996</v>
      </c>
      <c r="P113" s="1"/>
      <c r="X113" s="74"/>
      <c r="Y113" s="74"/>
      <c r="Z113" s="74"/>
      <c r="AA113" s="74"/>
      <c r="AB113" s="74"/>
      <c r="AC113" s="74"/>
      <c r="AN113" s="74"/>
      <c r="AO113" s="74"/>
      <c r="AP113" s="74"/>
      <c r="AQ113" s="74"/>
      <c r="AR113" s="74"/>
      <c r="AS113" s="74"/>
      <c r="BD113" s="74"/>
      <c r="BE113" s="74"/>
      <c r="BF113" s="74"/>
      <c r="BG113" s="74"/>
      <c r="BH113" s="74"/>
      <c r="BI113" s="74"/>
      <c r="CF113" s="18"/>
      <c r="CG113" s="18"/>
      <c r="CH113" s="18"/>
      <c r="CI113" s="18" t="str">
        <f>_xll.ReferenceParams(CH113,$CI$6 )</f>
        <v/>
      </c>
      <c r="CJ113" s="27" t="str">
        <f>_xll.ReferenceParams(CH113,$CJ$6 )</f>
        <v/>
      </c>
      <c r="CK113" s="27" t="str">
        <f>_xll.ReferenceParams(CH113,$CK$6)</f>
        <v/>
      </c>
      <c r="CL113" s="18" t="str">
        <f t="shared" si="40"/>
        <v/>
      </c>
      <c r="CM113" s="18"/>
      <c r="DM113" s="1"/>
    </row>
    <row r="114" spans="4:117" x14ac:dyDescent="0.3">
      <c r="D114" s="20">
        <f t="shared" si="38"/>
        <v>45911</v>
      </c>
      <c r="E114" s="73">
        <f>_xll.CbondsClosePrice($B$1,D114,VLOOKUP($B$27,'Help Page'!$M:$N,2,0))</f>
        <v>97.514700000000005</v>
      </c>
      <c r="F114" s="73">
        <f t="shared" si="37"/>
        <v>97.514700000000005</v>
      </c>
      <c r="G114" s="33">
        <f>IF(F114 = "","",IFERROR(IF($G$1 = "YTM",_xll.CbondsCalcYTM($B$1,D114,F114),_xll.CbondsCalcYTP($B$1,D114,F114)),"")*100)</f>
        <v>5.1086125657776007</v>
      </c>
      <c r="P114" s="1"/>
      <c r="X114" s="74"/>
      <c r="Y114" s="74"/>
      <c r="Z114" s="74"/>
      <c r="AA114" s="74"/>
      <c r="AB114" s="74"/>
      <c r="AC114" s="74"/>
      <c r="AN114" s="74"/>
      <c r="AO114" s="74"/>
      <c r="AP114" s="74"/>
      <c r="AQ114" s="74"/>
      <c r="AR114" s="74"/>
      <c r="AS114" s="74"/>
      <c r="BD114" s="74"/>
      <c r="BE114" s="74"/>
      <c r="BF114" s="74"/>
      <c r="BG114" s="74"/>
      <c r="BH114" s="74"/>
      <c r="BI114" s="74"/>
      <c r="CF114" s="18"/>
      <c r="CG114" s="18"/>
      <c r="CH114" s="18"/>
      <c r="CI114" s="18" t="str">
        <f>_xll.ReferenceParams(CH114,$CI$6 )</f>
        <v/>
      </c>
      <c r="CJ114" s="27" t="str">
        <f>_xll.ReferenceParams(CH114,$CJ$6 )</f>
        <v/>
      </c>
      <c r="CK114" s="27" t="str">
        <f>_xll.ReferenceParams(CH114,$CK$6)</f>
        <v/>
      </c>
      <c r="CL114" s="18" t="str">
        <f t="shared" si="40"/>
        <v/>
      </c>
      <c r="CM114" s="18"/>
      <c r="DM114" s="1"/>
    </row>
    <row r="115" spans="4:117" x14ac:dyDescent="0.3">
      <c r="D115" s="20">
        <f t="shared" si="38"/>
        <v>45910</v>
      </c>
      <c r="E115" s="73">
        <f>_xll.CbondsClosePrice($B$1,D115,VLOOKUP($B$27,'Help Page'!$M:$N,2,0))</f>
        <v>96.65</v>
      </c>
      <c r="F115" s="73">
        <f t="shared" si="37"/>
        <v>96.65</v>
      </c>
      <c r="G115" s="33">
        <f>IF(F115 = "","",IFERROR(IF($G$1 = "YTM",_xll.CbondsCalcYTM($B$1,D115,F115),_xll.CbondsCalcYTP($B$1,D115,F115)),"")*100)</f>
        <v>5.5914066703012004</v>
      </c>
      <c r="P115" s="1"/>
      <c r="X115" s="74"/>
      <c r="Y115" s="74"/>
      <c r="Z115" s="74"/>
      <c r="AA115" s="74"/>
      <c r="AB115" s="74"/>
      <c r="AC115" s="74"/>
      <c r="AN115" s="74"/>
      <c r="AO115" s="74"/>
      <c r="AP115" s="74"/>
      <c r="AQ115" s="74"/>
      <c r="AR115" s="74"/>
      <c r="AS115" s="74"/>
      <c r="BD115" s="74"/>
      <c r="BE115" s="74"/>
      <c r="BF115" s="74"/>
      <c r="BG115" s="74"/>
      <c r="BH115" s="74"/>
      <c r="BI115" s="74"/>
      <c r="CF115" s="18"/>
      <c r="CG115" s="18"/>
      <c r="CH115" s="18"/>
      <c r="CI115" s="18" t="str">
        <f>_xll.ReferenceParams(CH115,$CI$6 )</f>
        <v/>
      </c>
      <c r="CJ115" s="27" t="str">
        <f>_xll.ReferenceParams(CH115,$CJ$6 )</f>
        <v/>
      </c>
      <c r="CK115" s="27" t="str">
        <f>_xll.ReferenceParams(CH115,$CK$6)</f>
        <v/>
      </c>
      <c r="CL115" s="18" t="str">
        <f t="shared" si="40"/>
        <v/>
      </c>
      <c r="CM115" s="18"/>
      <c r="DM115" s="1"/>
    </row>
    <row r="116" spans="4:117" x14ac:dyDescent="0.3">
      <c r="D116" s="20">
        <f t="shared" si="38"/>
        <v>45909</v>
      </c>
      <c r="E116" s="73">
        <f>_xll.CbondsClosePrice($B$1,D116,VLOOKUP($B$27,'Help Page'!$M:$N,2,0))</f>
        <v>97.437100000000001</v>
      </c>
      <c r="F116" s="73">
        <f t="shared" si="37"/>
        <v>97.437100000000001</v>
      </c>
      <c r="G116" s="33">
        <f>IF(F116 = "","",IFERROR(IF($G$1 = "YTM",_xll.CbondsCalcYTM($B$1,D116,F116),_xll.CbondsCalcYTP($B$1,D116,F116)),"")*100)</f>
        <v>5.1479643804366004</v>
      </c>
      <c r="P116" s="1"/>
      <c r="X116" s="74"/>
      <c r="Y116" s="74"/>
      <c r="Z116" s="74"/>
      <c r="AA116" s="74"/>
      <c r="AB116" s="74"/>
      <c r="AC116" s="74"/>
      <c r="AN116" s="74"/>
      <c r="AO116" s="74"/>
      <c r="AP116" s="74"/>
      <c r="AQ116" s="74"/>
      <c r="AR116" s="74"/>
      <c r="AS116" s="74"/>
      <c r="BD116" s="74"/>
      <c r="BE116" s="74"/>
      <c r="BF116" s="74"/>
      <c r="BG116" s="74"/>
      <c r="BH116" s="74"/>
      <c r="BI116" s="74"/>
      <c r="CF116" s="18"/>
      <c r="CG116" s="18"/>
      <c r="CH116" s="18"/>
      <c r="CI116" s="18" t="str">
        <f>_xll.ReferenceParams(CH116,$CI$6 )</f>
        <v/>
      </c>
      <c r="CJ116" s="27" t="str">
        <f>_xll.ReferenceParams(CH116,$CJ$6 )</f>
        <v/>
      </c>
      <c r="CK116" s="27" t="str">
        <f>_xll.ReferenceParams(CH116,$CK$6)</f>
        <v/>
      </c>
      <c r="CL116" s="18" t="str">
        <f t="shared" si="40"/>
        <v/>
      </c>
      <c r="CM116" s="18"/>
      <c r="DM116" s="1"/>
    </row>
    <row r="117" spans="4:117" x14ac:dyDescent="0.3">
      <c r="D117" s="20">
        <f t="shared" si="38"/>
        <v>45908</v>
      </c>
      <c r="E117" s="73">
        <f>_xll.CbondsClosePrice($B$1,D117,VLOOKUP($B$27,'Help Page'!$M:$N,2,0))</f>
        <v>96.999700000000004</v>
      </c>
      <c r="F117" s="73">
        <f t="shared" si="37"/>
        <v>96.999700000000004</v>
      </c>
      <c r="G117" s="33">
        <f>IF(F117 = "","",IFERROR(IF($G$1 = "YTM",_xll.CbondsCalcYTM($B$1,D117,F117),_xll.CbondsCalcYTP($B$1,D117,F117)),"")*100)</f>
        <v>5.3900031141604003</v>
      </c>
      <c r="P117" s="1"/>
      <c r="X117" s="74"/>
      <c r="Y117" s="74"/>
      <c r="Z117" s="74"/>
      <c r="AA117" s="74"/>
      <c r="AB117" s="74"/>
      <c r="AC117" s="74"/>
      <c r="AN117" s="74"/>
      <c r="AO117" s="74"/>
      <c r="AP117" s="74"/>
      <c r="AQ117" s="74"/>
      <c r="AR117" s="74"/>
      <c r="AS117" s="74"/>
      <c r="BD117" s="74"/>
      <c r="BE117" s="74"/>
      <c r="BF117" s="74"/>
      <c r="BG117" s="74"/>
      <c r="BH117" s="74"/>
      <c r="BI117" s="74"/>
      <c r="CF117" s="18"/>
      <c r="CG117" s="18"/>
      <c r="CH117" s="18"/>
      <c r="CI117" s="18" t="str">
        <f>_xll.ReferenceParams(CH117,$CI$6 )</f>
        <v/>
      </c>
      <c r="CJ117" s="27" t="str">
        <f>_xll.ReferenceParams(CH117,$CJ$6 )</f>
        <v/>
      </c>
      <c r="CK117" s="27" t="str">
        <f>_xll.ReferenceParams(CH117,$CK$6)</f>
        <v/>
      </c>
      <c r="CL117" s="18" t="str">
        <f t="shared" si="40"/>
        <v/>
      </c>
      <c r="CM117" s="18"/>
      <c r="DM117" s="1"/>
    </row>
    <row r="118" spans="4:117" x14ac:dyDescent="0.3">
      <c r="D118" s="20">
        <f t="shared" si="38"/>
        <v>45907</v>
      </c>
      <c r="E118" s="73" t="str">
        <f>_xll.CbondsClosePrice($B$1,D118,VLOOKUP($B$27,'Help Page'!$M:$N,2,0))</f>
        <v>Нет данных</v>
      </c>
      <c r="F118" s="73">
        <f t="shared" si="37"/>
        <v>97.870500000000007</v>
      </c>
      <c r="G118" s="33">
        <f>IF(F118 = "","",IFERROR(IF($G$1 = "YTM",_xll.CbondsCalcYTM($B$1,D118,F118),_xll.CbondsCalcYTP($B$1,D118,F118)),"")*100)</f>
        <v>4.9042635612463998</v>
      </c>
      <c r="P118" s="1"/>
      <c r="X118" s="74"/>
      <c r="Y118" s="74"/>
      <c r="Z118" s="74"/>
      <c r="AA118" s="74"/>
      <c r="AB118" s="74"/>
      <c r="AC118" s="74"/>
      <c r="AN118" s="74"/>
      <c r="AO118" s="74"/>
      <c r="AP118" s="74"/>
      <c r="AQ118" s="74"/>
      <c r="AR118" s="74"/>
      <c r="AS118" s="74"/>
      <c r="BD118" s="74"/>
      <c r="BE118" s="74"/>
      <c r="BF118" s="74"/>
      <c r="BG118" s="74"/>
      <c r="BH118" s="74"/>
      <c r="BI118" s="74"/>
      <c r="CF118" s="18"/>
      <c r="CG118" s="18"/>
      <c r="CH118" s="18"/>
      <c r="CI118" s="18" t="str">
        <f>_xll.ReferenceParams(CH118,$CI$6 )</f>
        <v/>
      </c>
      <c r="CJ118" s="27" t="str">
        <f>_xll.ReferenceParams(CH118,$CJ$6 )</f>
        <v/>
      </c>
      <c r="CK118" s="27" t="str">
        <f>_xll.ReferenceParams(CH118,$CK$6)</f>
        <v/>
      </c>
      <c r="CL118" s="18" t="str">
        <f t="shared" si="40"/>
        <v/>
      </c>
      <c r="CM118" s="18"/>
      <c r="DM118" s="1"/>
    </row>
    <row r="119" spans="4:117" x14ac:dyDescent="0.3">
      <c r="D119" s="20">
        <f t="shared" si="38"/>
        <v>45906</v>
      </c>
      <c r="E119" s="73" t="str">
        <f>_xll.CbondsClosePrice($B$1,D119,VLOOKUP($B$27,'Help Page'!$M:$N,2,0))</f>
        <v>Нет данных</v>
      </c>
      <c r="F119" s="73">
        <f t="shared" si="37"/>
        <v>97.870500000000007</v>
      </c>
      <c r="G119" s="33">
        <f>IF(F119 = "","",IFERROR(IF($G$1 = "YTM",_xll.CbondsCalcYTM($B$1,D119,F119),_xll.CbondsCalcYTP($B$1,D119,F119)),"")*100)</f>
        <v>4.9026382727732001</v>
      </c>
      <c r="P119" s="1"/>
      <c r="X119" s="74"/>
      <c r="Y119" s="74"/>
      <c r="Z119" s="74"/>
      <c r="AA119" s="74"/>
      <c r="AB119" s="74"/>
      <c r="AC119" s="74"/>
      <c r="AN119" s="74"/>
      <c r="AO119" s="74"/>
      <c r="AP119" s="74"/>
      <c r="AQ119" s="74"/>
      <c r="AR119" s="74"/>
      <c r="AS119" s="74"/>
      <c r="BD119" s="74"/>
      <c r="BE119" s="74"/>
      <c r="BF119" s="74"/>
      <c r="BG119" s="74"/>
      <c r="BH119" s="74"/>
      <c r="BI119" s="74"/>
      <c r="CF119" s="18"/>
      <c r="CG119" s="18"/>
      <c r="CH119" s="18"/>
      <c r="CI119" s="18" t="str">
        <f>_xll.ReferenceParams(CH119,$CI$6 )</f>
        <v/>
      </c>
      <c r="CJ119" s="27" t="str">
        <f>_xll.ReferenceParams(CH119,$CJ$6 )</f>
        <v/>
      </c>
      <c r="CK119" s="27" t="str">
        <f>_xll.ReferenceParams(CH119,$CK$6)</f>
        <v/>
      </c>
      <c r="CL119" s="18" t="str">
        <f t="shared" si="40"/>
        <v/>
      </c>
      <c r="CM119" s="18"/>
      <c r="DM119" s="1"/>
    </row>
    <row r="120" spans="4:117" x14ac:dyDescent="0.3">
      <c r="D120" s="20">
        <f t="shared" si="38"/>
        <v>45905</v>
      </c>
      <c r="E120" s="73">
        <f>_xll.CbondsClosePrice($B$1,D120,VLOOKUP($B$27,'Help Page'!$M:$N,2,0))</f>
        <v>97.870500000000007</v>
      </c>
      <c r="F120" s="73">
        <f t="shared" si="37"/>
        <v>97.870500000000007</v>
      </c>
      <c r="G120" s="33">
        <f>IF(F120 = "","",IFERROR(IF($G$1 = "YTM",_xll.CbondsCalcYTM($B$1,D120,F120),_xll.CbondsCalcYTP($B$1,D120,F120)),"")*100)</f>
        <v>4.9010181767552998</v>
      </c>
      <c r="P120" s="1"/>
      <c r="X120" s="74"/>
      <c r="Y120" s="74"/>
      <c r="Z120" s="74"/>
      <c r="AA120" s="74"/>
      <c r="AB120" s="74"/>
      <c r="AC120" s="74"/>
      <c r="AN120" s="74"/>
      <c r="AO120" s="74"/>
      <c r="AP120" s="74"/>
      <c r="AQ120" s="74"/>
      <c r="AR120" s="74"/>
      <c r="AS120" s="74"/>
      <c r="BD120" s="74"/>
      <c r="BE120" s="74"/>
      <c r="BF120" s="74"/>
      <c r="BG120" s="74"/>
      <c r="BH120" s="74"/>
      <c r="BI120" s="74"/>
      <c r="CF120" s="18"/>
      <c r="CG120" s="18"/>
      <c r="CH120" s="18"/>
      <c r="CI120" s="18" t="str">
        <f>_xll.ReferenceParams(CH120,$CI$6 )</f>
        <v/>
      </c>
      <c r="CJ120" s="27" t="str">
        <f>_xll.ReferenceParams(CH120,$CJ$6 )</f>
        <v/>
      </c>
      <c r="CK120" s="27" t="str">
        <f>_xll.ReferenceParams(CH120,$CK$6)</f>
        <v/>
      </c>
      <c r="CL120" s="18" t="str">
        <f t="shared" si="40"/>
        <v/>
      </c>
      <c r="CM120" s="18"/>
      <c r="DM120" s="1"/>
    </row>
    <row r="121" spans="4:117" x14ac:dyDescent="0.3">
      <c r="D121" s="20">
        <f t="shared" si="38"/>
        <v>45904</v>
      </c>
      <c r="E121" s="73">
        <f>_xll.CbondsClosePrice($B$1,D121,VLOOKUP($B$27,'Help Page'!$M:$N,2,0))</f>
        <v>97.130700000000004</v>
      </c>
      <c r="F121" s="73">
        <f t="shared" si="37"/>
        <v>97.130700000000004</v>
      </c>
      <c r="G121" s="33">
        <f>IF(F121 = "","",IFERROR(IF($G$1 = "YTM",_xll.CbondsCalcYTM($B$1,D121,F121),_xll.CbondsCalcYTP($B$1,D121,F121)),"")*100)</f>
        <v>5.3086224328070006</v>
      </c>
      <c r="P121" s="1"/>
      <c r="X121" s="74"/>
      <c r="Y121" s="74"/>
      <c r="Z121" s="74"/>
      <c r="AA121" s="74"/>
      <c r="AB121" s="74"/>
      <c r="AC121" s="74"/>
      <c r="AN121" s="74"/>
      <c r="AO121" s="74"/>
      <c r="AP121" s="74"/>
      <c r="AQ121" s="74"/>
      <c r="AR121" s="74"/>
      <c r="AS121" s="74"/>
      <c r="BD121" s="74"/>
      <c r="BE121" s="74"/>
      <c r="BF121" s="74"/>
      <c r="BG121" s="74"/>
      <c r="BH121" s="74"/>
      <c r="BI121" s="74"/>
      <c r="CF121" s="18"/>
      <c r="CG121" s="18"/>
      <c r="CH121" s="18"/>
      <c r="CI121" s="18" t="str">
        <f>_xll.ReferenceParams(CH121,$CI$6 )</f>
        <v/>
      </c>
      <c r="CJ121" s="27" t="str">
        <f>_xll.ReferenceParams(CH121,$CJ$6 )</f>
        <v/>
      </c>
      <c r="CK121" s="27" t="str">
        <f>_xll.ReferenceParams(CH121,$CK$6)</f>
        <v/>
      </c>
      <c r="CL121" s="18" t="str">
        <f t="shared" si="40"/>
        <v/>
      </c>
      <c r="CM121" s="18"/>
      <c r="DM121" s="1"/>
    </row>
    <row r="122" spans="4:117" x14ac:dyDescent="0.3">
      <c r="D122" s="20">
        <f t="shared" si="38"/>
        <v>45903</v>
      </c>
      <c r="E122" s="73">
        <f>_xll.CbondsClosePrice($B$1,D122,VLOOKUP($B$27,'Help Page'!$M:$N,2,0))</f>
        <v>97.559600000000003</v>
      </c>
      <c r="F122" s="73">
        <f t="shared" si="37"/>
        <v>97.559600000000003</v>
      </c>
      <c r="G122" s="33">
        <f>IF(F122 = "","",IFERROR(IF($G$1 = "YTM",_xll.CbondsCalcYTM($B$1,D122,F122),_xll.CbondsCalcYTP($B$1,D122,F122)),"")*100)</f>
        <v>5.0692785722786997</v>
      </c>
      <c r="P122" s="1"/>
      <c r="X122" s="74"/>
      <c r="Y122" s="74"/>
      <c r="Z122" s="74"/>
      <c r="AA122" s="74"/>
      <c r="AB122" s="74"/>
      <c r="AC122" s="74"/>
      <c r="AN122" s="74"/>
      <c r="AO122" s="74"/>
      <c r="AP122" s="74"/>
      <c r="AQ122" s="74"/>
      <c r="AR122" s="74"/>
      <c r="AS122" s="74"/>
      <c r="BD122" s="74"/>
      <c r="BE122" s="74"/>
      <c r="BF122" s="74"/>
      <c r="BG122" s="74"/>
      <c r="BH122" s="74"/>
      <c r="BI122" s="74"/>
      <c r="CF122" s="18"/>
      <c r="CG122" s="18"/>
      <c r="CH122" s="18"/>
      <c r="CI122" s="18" t="str">
        <f>_xll.ReferenceParams(CH122,$CI$6 )</f>
        <v/>
      </c>
      <c r="CJ122" s="27" t="str">
        <f>_xll.ReferenceParams(CH122,$CJ$6 )</f>
        <v/>
      </c>
      <c r="CK122" s="27" t="str">
        <f>_xll.ReferenceParams(CH122,$CK$6)</f>
        <v/>
      </c>
      <c r="CL122" s="18" t="str">
        <f t="shared" si="40"/>
        <v/>
      </c>
      <c r="CM122" s="18"/>
      <c r="DM122" s="1"/>
    </row>
    <row r="123" spans="4:117" x14ac:dyDescent="0.3">
      <c r="D123" s="20">
        <f t="shared" si="38"/>
        <v>45902</v>
      </c>
      <c r="E123" s="73">
        <f>_xll.CbondsClosePrice($B$1,D123,VLOOKUP($B$27,'Help Page'!$M:$N,2,0))</f>
        <v>97.599900000000005</v>
      </c>
      <c r="F123" s="73">
        <f t="shared" si="37"/>
        <v>97.599900000000005</v>
      </c>
      <c r="G123" s="33">
        <f>IF(F123 = "","",IFERROR(IF($G$1 = "YTM",_xll.CbondsCalcYTM($B$1,D123,F123),_xll.CbondsCalcYTP($B$1,D123,F123)),"")*100)</f>
        <v>5.0452712227453995</v>
      </c>
      <c r="P123" s="1"/>
      <c r="X123" s="74"/>
      <c r="Y123" s="74"/>
      <c r="Z123" s="74"/>
      <c r="AA123" s="74"/>
      <c r="AB123" s="74"/>
      <c r="AC123" s="74"/>
      <c r="AN123" s="74"/>
      <c r="AO123" s="74"/>
      <c r="AP123" s="74"/>
      <c r="AQ123" s="74"/>
      <c r="AR123" s="74"/>
      <c r="AS123" s="74"/>
      <c r="BD123" s="74"/>
      <c r="BE123" s="74"/>
      <c r="BF123" s="74"/>
      <c r="BG123" s="74"/>
      <c r="BH123" s="74"/>
      <c r="BI123" s="74"/>
      <c r="CF123" s="18"/>
      <c r="CG123" s="18"/>
      <c r="CH123" s="18"/>
      <c r="CI123" s="18" t="str">
        <f>_xll.ReferenceParams(CH123,$CI$6 )</f>
        <v/>
      </c>
      <c r="CJ123" s="27" t="str">
        <f>_xll.ReferenceParams(CH123,$CJ$6 )</f>
        <v/>
      </c>
      <c r="CK123" s="27" t="str">
        <f>_xll.ReferenceParams(CH123,$CK$6)</f>
        <v/>
      </c>
      <c r="CL123" s="18" t="str">
        <f t="shared" si="40"/>
        <v/>
      </c>
      <c r="CM123" s="18"/>
      <c r="DM123" s="1"/>
    </row>
    <row r="124" spans="4:117" x14ac:dyDescent="0.3">
      <c r="D124" s="20">
        <f t="shared" si="38"/>
        <v>45901</v>
      </c>
      <c r="E124" s="73">
        <f>_xll.CbondsClosePrice($B$1,D124,VLOOKUP($B$27,'Help Page'!$M:$N,2,0))</f>
        <v>97.614400000000003</v>
      </c>
      <c r="F124" s="73">
        <f t="shared" si="37"/>
        <v>97.614400000000003</v>
      </c>
      <c r="G124" s="33">
        <f>IF(F124 = "","",IFERROR(IF($G$1 = "YTM",_xll.CbondsCalcYTM($B$1,D124,F124),_xll.CbondsCalcYTP($B$1,D124,F124)),"")*100)</f>
        <v>5.0355094552691</v>
      </c>
      <c r="P124" s="1"/>
      <c r="X124" s="74"/>
      <c r="Y124" s="74"/>
      <c r="Z124" s="74"/>
      <c r="AA124" s="74"/>
      <c r="AB124" s="74"/>
      <c r="AC124" s="74"/>
      <c r="AN124" s="74"/>
      <c r="AO124" s="74"/>
      <c r="AP124" s="74"/>
      <c r="AQ124" s="74"/>
      <c r="AR124" s="74"/>
      <c r="AS124" s="74"/>
      <c r="BD124" s="74"/>
      <c r="BE124" s="74"/>
      <c r="BF124" s="74"/>
      <c r="BG124" s="74"/>
      <c r="BH124" s="74"/>
      <c r="BI124" s="74"/>
      <c r="CF124" s="18"/>
      <c r="CG124" s="18"/>
      <c r="CH124" s="18"/>
      <c r="CI124" s="18" t="str">
        <f>_xll.ReferenceParams(CH124,$CI$6 )</f>
        <v/>
      </c>
      <c r="CJ124" s="27" t="str">
        <f>_xll.ReferenceParams(CH124,$CJ$6 )</f>
        <v/>
      </c>
      <c r="CK124" s="27" t="str">
        <f>_xll.ReferenceParams(CH124,$CK$6)</f>
        <v/>
      </c>
      <c r="CL124" s="18" t="str">
        <f t="shared" si="40"/>
        <v/>
      </c>
      <c r="CM124" s="18"/>
      <c r="DM124" s="1"/>
    </row>
    <row r="125" spans="4:117" x14ac:dyDescent="0.3">
      <c r="D125" s="20">
        <f t="shared" si="38"/>
        <v>45900</v>
      </c>
      <c r="E125" s="73" t="str">
        <f>_xll.CbondsClosePrice($B$1,D125,VLOOKUP($B$27,'Help Page'!$M:$N,2,0))</f>
        <v>Нет данных</v>
      </c>
      <c r="F125" s="73">
        <f t="shared" si="37"/>
        <v>97.566599999999994</v>
      </c>
      <c r="G125" s="33">
        <f>IF(F125 = "","",IFERROR(IF($G$1 = "YTM",_xll.CbondsCalcYTM($B$1,D125,F125),_xll.CbondsCalcYTP($B$1,D125,F125)),"")*100)</f>
        <v>5.0599562007802001</v>
      </c>
      <c r="P125" s="1"/>
      <c r="X125" s="74"/>
      <c r="Y125" s="74"/>
      <c r="Z125" s="74"/>
      <c r="AA125" s="74"/>
      <c r="AB125" s="74"/>
      <c r="AC125" s="74"/>
      <c r="AN125" s="74"/>
      <c r="AO125" s="74"/>
      <c r="AP125" s="74"/>
      <c r="AQ125" s="74"/>
      <c r="AR125" s="74"/>
      <c r="AS125" s="74"/>
      <c r="BD125" s="74"/>
      <c r="BE125" s="74"/>
      <c r="BF125" s="74"/>
      <c r="BG125" s="74"/>
      <c r="BH125" s="74"/>
      <c r="BI125" s="74"/>
      <c r="CF125" s="18"/>
      <c r="CG125" s="18"/>
      <c r="CH125" s="18"/>
      <c r="CI125" s="18" t="str">
        <f>_xll.ReferenceParams(CH125,$CI$6 )</f>
        <v/>
      </c>
      <c r="CJ125" s="27" t="str">
        <f>_xll.ReferenceParams(CH125,$CJ$6 )</f>
        <v/>
      </c>
      <c r="CK125" s="27" t="str">
        <f>_xll.ReferenceParams(CH125,$CK$6)</f>
        <v/>
      </c>
      <c r="CL125" s="18" t="str">
        <f t="shared" si="40"/>
        <v/>
      </c>
      <c r="CM125" s="18"/>
      <c r="DM125" s="1"/>
    </row>
    <row r="126" spans="4:117" x14ac:dyDescent="0.3">
      <c r="D126" s="20">
        <f t="shared" si="38"/>
        <v>45899</v>
      </c>
      <c r="E126" s="73" t="str">
        <f>_xll.CbondsClosePrice($B$1,D126,VLOOKUP($B$27,'Help Page'!$M:$N,2,0))</f>
        <v>Нет данных</v>
      </c>
      <c r="F126" s="73">
        <f t="shared" si="37"/>
        <v>97.566599999999994</v>
      </c>
      <c r="G126" s="33">
        <f>IF(F126 = "","",IFERROR(IF($G$1 = "YTM",_xll.CbondsCalcYTM($B$1,D126,F126),_xll.CbondsCalcYTP($B$1,D126,F126)),"")*100)</f>
        <v>5.0581461247094994</v>
      </c>
      <c r="P126" s="1"/>
      <c r="X126" s="74"/>
      <c r="Y126" s="74"/>
      <c r="Z126" s="74"/>
      <c r="AA126" s="74"/>
      <c r="AB126" s="74"/>
      <c r="AC126" s="74"/>
      <c r="AN126" s="74"/>
      <c r="AO126" s="74"/>
      <c r="AP126" s="74"/>
      <c r="AQ126" s="74"/>
      <c r="AR126" s="74"/>
      <c r="AS126" s="74"/>
      <c r="BD126" s="74"/>
      <c r="BE126" s="74"/>
      <c r="BF126" s="74"/>
      <c r="BG126" s="74"/>
      <c r="BH126" s="74"/>
      <c r="BI126" s="74"/>
      <c r="CF126" s="18"/>
      <c r="CG126" s="18"/>
      <c r="CH126" s="18"/>
      <c r="CI126" s="18" t="str">
        <f>_xll.ReferenceParams(CH126,$CI$6 )</f>
        <v/>
      </c>
      <c r="CJ126" s="27" t="str">
        <f>_xll.ReferenceParams(CH126,$CJ$6 )</f>
        <v/>
      </c>
      <c r="CK126" s="27" t="str">
        <f>_xll.ReferenceParams(CH126,$CK$6)</f>
        <v/>
      </c>
      <c r="CL126" s="18" t="str">
        <f t="shared" si="40"/>
        <v/>
      </c>
      <c r="CM126" s="18"/>
      <c r="DM126" s="1"/>
    </row>
    <row r="127" spans="4:117" x14ac:dyDescent="0.3">
      <c r="D127" s="20">
        <f t="shared" si="38"/>
        <v>45898</v>
      </c>
      <c r="E127" s="73">
        <f>_xll.CbondsClosePrice($B$1,D127,VLOOKUP($B$27,'Help Page'!$M:$N,2,0))</f>
        <v>97.566599999999994</v>
      </c>
      <c r="F127" s="73">
        <f t="shared" si="37"/>
        <v>97.566599999999994</v>
      </c>
      <c r="G127" s="33">
        <f>IF(F127 = "","",IFERROR(IF($G$1 = "YTM",_xll.CbondsCalcYTM($B$1,D127,F127),_xll.CbondsCalcYTP($B$1,D127,F127)),"")*100)</f>
        <v>5.0563417210084998</v>
      </c>
      <c r="P127" s="1"/>
      <c r="X127" s="74"/>
      <c r="Y127" s="74"/>
      <c r="Z127" s="74"/>
      <c r="AA127" s="74"/>
      <c r="AB127" s="74"/>
      <c r="AC127" s="74"/>
      <c r="AN127" s="74"/>
      <c r="AO127" s="74"/>
      <c r="AP127" s="74"/>
      <c r="AQ127" s="74"/>
      <c r="AR127" s="74"/>
      <c r="AS127" s="74"/>
      <c r="BD127" s="74"/>
      <c r="BE127" s="74"/>
      <c r="BF127" s="74"/>
      <c r="BG127" s="74"/>
      <c r="BH127" s="74"/>
      <c r="BI127" s="74"/>
      <c r="CF127" s="18"/>
      <c r="CG127" s="18"/>
      <c r="CH127" s="18"/>
      <c r="CI127" s="18" t="str">
        <f>_xll.ReferenceParams(CH127,$CI$6 )</f>
        <v/>
      </c>
      <c r="CJ127" s="27" t="str">
        <f>_xll.ReferenceParams(CH127,$CJ$6 )</f>
        <v/>
      </c>
      <c r="CK127" s="27" t="str">
        <f>_xll.ReferenceParams(CH127,$CK$6)</f>
        <v/>
      </c>
      <c r="CL127" s="18" t="str">
        <f t="shared" si="40"/>
        <v/>
      </c>
      <c r="CM127" s="18"/>
      <c r="DM127" s="1"/>
    </row>
    <row r="128" spans="4:117" x14ac:dyDescent="0.3">
      <c r="D128" s="20">
        <f t="shared" si="38"/>
        <v>45897</v>
      </c>
      <c r="E128" s="73">
        <f>_xll.CbondsClosePrice($B$1,D128,VLOOKUP($B$27,'Help Page'!$M:$N,2,0))</f>
        <v>97.392799999999994</v>
      </c>
      <c r="F128" s="73">
        <f t="shared" si="37"/>
        <v>97.392799999999994</v>
      </c>
      <c r="G128" s="33">
        <f>IF(F128 = "","",IFERROR(IF($G$1 = "YTM",_xll.CbondsCalcYTM($B$1,D128,F128),_xll.CbondsCalcYTP($B$1,D128,F128)),"")*100)</f>
        <v>5.1502426047018997</v>
      </c>
      <c r="P128" s="1"/>
      <c r="X128" s="74"/>
      <c r="Y128" s="74"/>
      <c r="Z128" s="74"/>
      <c r="AA128" s="74"/>
      <c r="AB128" s="74"/>
      <c r="AC128" s="74"/>
      <c r="AN128" s="74"/>
      <c r="AO128" s="74"/>
      <c r="AP128" s="74"/>
      <c r="AQ128" s="74"/>
      <c r="AR128" s="74"/>
      <c r="AS128" s="74"/>
      <c r="BD128" s="74"/>
      <c r="BE128" s="74"/>
      <c r="BF128" s="74"/>
      <c r="BG128" s="74"/>
      <c r="BH128" s="74"/>
      <c r="BI128" s="74"/>
      <c r="CF128" s="18"/>
      <c r="CG128" s="18"/>
      <c r="CH128" s="18"/>
      <c r="CI128" s="18" t="str">
        <f>_xll.ReferenceParams(CH128,$CI$6 )</f>
        <v/>
      </c>
      <c r="CJ128" s="27" t="str">
        <f>_xll.ReferenceParams(CH128,$CJ$6 )</f>
        <v/>
      </c>
      <c r="CK128" s="27" t="str">
        <f>_xll.ReferenceParams(CH128,$CK$6)</f>
        <v/>
      </c>
      <c r="CL128" s="18" t="str">
        <f t="shared" si="40"/>
        <v/>
      </c>
      <c r="CM128" s="18"/>
      <c r="DM128" s="1"/>
    </row>
    <row r="129" spans="4:117" x14ac:dyDescent="0.3">
      <c r="D129" s="20">
        <f t="shared" si="38"/>
        <v>45896</v>
      </c>
      <c r="E129" s="73">
        <f>_xll.CbondsClosePrice($B$1,D129,VLOOKUP($B$27,'Help Page'!$M:$N,2,0))</f>
        <v>98.198300000000003</v>
      </c>
      <c r="F129" s="73">
        <f t="shared" si="37"/>
        <v>98.198300000000003</v>
      </c>
      <c r="G129" s="33">
        <f>IF(F129 = "","",IFERROR(IF($G$1 = "YTM",_xll.CbondsCalcYTM($B$1,D129,F129),_xll.CbondsCalcYTP($B$1,D129,F129)),"")*100)</f>
        <v>4.7100717640765</v>
      </c>
      <c r="P129" s="1"/>
      <c r="X129" s="74"/>
      <c r="Y129" s="74"/>
      <c r="Z129" s="74"/>
      <c r="AA129" s="74"/>
      <c r="AB129" s="74"/>
      <c r="AC129" s="74"/>
      <c r="AN129" s="74"/>
      <c r="AO129" s="74"/>
      <c r="AP129" s="74"/>
      <c r="AQ129" s="74"/>
      <c r="AR129" s="74"/>
      <c r="AS129" s="74"/>
      <c r="BD129" s="74"/>
      <c r="BE129" s="74"/>
      <c r="BF129" s="74"/>
      <c r="BG129" s="74"/>
      <c r="BH129" s="74"/>
      <c r="BI129" s="74"/>
      <c r="CF129" s="18"/>
      <c r="CG129" s="18"/>
      <c r="CH129" s="18"/>
      <c r="CI129" s="18" t="str">
        <f>_xll.ReferenceParams(CH129,$CI$6 )</f>
        <v/>
      </c>
      <c r="CJ129" s="27" t="str">
        <f>_xll.ReferenceParams(CH129,$CJ$6 )</f>
        <v/>
      </c>
      <c r="CK129" s="27" t="str">
        <f>_xll.ReferenceParams(CH129,$CK$6)</f>
        <v/>
      </c>
      <c r="CL129" s="18" t="str">
        <f t="shared" si="40"/>
        <v/>
      </c>
      <c r="CM129" s="18"/>
      <c r="DM129" s="1"/>
    </row>
    <row r="130" spans="4:117" x14ac:dyDescent="0.3">
      <c r="D130" s="20">
        <f t="shared" si="38"/>
        <v>45895</v>
      </c>
      <c r="E130" s="73">
        <f>_xll.CbondsClosePrice($B$1,D130,VLOOKUP($B$27,'Help Page'!$M:$N,2,0))</f>
        <v>97.999899999999997</v>
      </c>
      <c r="F130" s="73">
        <f t="shared" si="37"/>
        <v>97.999899999999997</v>
      </c>
      <c r="G130" s="33">
        <f>IF(F130 = "","",IFERROR(IF($G$1 = "YTM",_xll.CbondsCalcYTM($B$1,D130,F130),_xll.CbondsCalcYTP($B$1,D130,F130)),"")*100)</f>
        <v>4.8160264827338999</v>
      </c>
      <c r="P130" s="1"/>
      <c r="X130" s="74"/>
      <c r="Y130" s="74"/>
      <c r="Z130" s="74"/>
      <c r="AA130" s="74"/>
      <c r="AB130" s="74"/>
      <c r="AC130" s="74"/>
      <c r="AN130" s="74"/>
      <c r="AO130" s="74"/>
      <c r="AP130" s="74"/>
      <c r="AQ130" s="74"/>
      <c r="AR130" s="74"/>
      <c r="AS130" s="74"/>
      <c r="BD130" s="74"/>
      <c r="BE130" s="74"/>
      <c r="BF130" s="74"/>
      <c r="BG130" s="74"/>
      <c r="BH130" s="74"/>
      <c r="BI130" s="74"/>
      <c r="CF130" s="18"/>
      <c r="CG130" s="18"/>
      <c r="CH130" s="18"/>
      <c r="CI130" s="18" t="str">
        <f>_xll.ReferenceParams(CH130,$CI$6 )</f>
        <v/>
      </c>
      <c r="CJ130" s="27" t="str">
        <f>_xll.ReferenceParams(CH130,$CJ$6 )</f>
        <v/>
      </c>
      <c r="CK130" s="27" t="str">
        <f>_xll.ReferenceParams(CH130,$CK$6)</f>
        <v/>
      </c>
      <c r="CL130" s="18" t="str">
        <f t="shared" si="40"/>
        <v/>
      </c>
      <c r="CM130" s="18"/>
      <c r="DM130" s="1"/>
    </row>
    <row r="131" spans="4:117" x14ac:dyDescent="0.3">
      <c r="D131" s="20">
        <f t="shared" si="38"/>
        <v>45894</v>
      </c>
      <c r="E131" s="73">
        <f>_xll.CbondsClosePrice($B$1,D131,VLOOKUP($B$27,'Help Page'!$M:$N,2,0))</f>
        <v>97.742099999999994</v>
      </c>
      <c r="F131" s="73">
        <f t="shared" ref="F131:F194" si="41">IF(IF(AND(E131="",D131=""),"",IF(AND(E131="Нет данных",D131&lt;&gt;""),F132,E131)) = 0,"",IF(AND(E131="",D131=""),"",IF(AND(E131="Нет данных",D131&lt;&gt;""),F132,E131)))</f>
        <v>97.742099999999994</v>
      </c>
      <c r="G131" s="33">
        <f>IF(F131 = "","",IFERROR(IF($G$1 = "YTM",_xll.CbondsCalcYTM($B$1,D131,F131),_xll.CbondsCalcYTP($B$1,D131,F131)),"")*100)</f>
        <v>4.9542810628998</v>
      </c>
      <c r="P131" s="1"/>
      <c r="X131" s="74"/>
      <c r="Y131" s="74"/>
      <c r="Z131" s="74"/>
      <c r="AA131" s="74"/>
      <c r="AB131" s="74"/>
      <c r="AC131" s="74"/>
      <c r="AN131" s="74"/>
      <c r="AO131" s="74"/>
      <c r="AP131" s="74"/>
      <c r="AQ131" s="74"/>
      <c r="AR131" s="74"/>
      <c r="AS131" s="74"/>
      <c r="BD131" s="74"/>
      <c r="BE131" s="74"/>
      <c r="BF131" s="74"/>
      <c r="BG131" s="74"/>
      <c r="BH131" s="74"/>
      <c r="BI131" s="74"/>
      <c r="CF131" s="18"/>
      <c r="CG131" s="18"/>
      <c r="CH131" s="18"/>
      <c r="CI131" s="18" t="str">
        <f>_xll.ReferenceParams(CH131,$CI$6 )</f>
        <v/>
      </c>
      <c r="CJ131" s="27" t="str">
        <f>_xll.ReferenceParams(CH131,$CJ$6 )</f>
        <v/>
      </c>
      <c r="CK131" s="27" t="str">
        <f>_xll.ReferenceParams(CH131,$CK$6)</f>
        <v/>
      </c>
      <c r="CL131" s="18" t="str">
        <f t="shared" si="40"/>
        <v/>
      </c>
      <c r="CM131" s="18"/>
      <c r="DM131" s="1"/>
    </row>
    <row r="132" spans="4:117" x14ac:dyDescent="0.3">
      <c r="D132" s="20">
        <f t="shared" ref="D132:D195" si="42">D131-1</f>
        <v>45893</v>
      </c>
      <c r="E132" s="73" t="str">
        <f>_xll.CbondsClosePrice($B$1,D132,VLOOKUP($B$27,'Help Page'!$M:$N,2,0))</f>
        <v>Нет данных</v>
      </c>
      <c r="F132" s="73">
        <f t="shared" si="41"/>
        <v>98.2624</v>
      </c>
      <c r="G132" s="33">
        <f>IF(F132 = "","",IFERROR(IF($G$1 = "YTM",_xll.CbondsCalcYTM($B$1,D132,F132),_xll.CbondsCalcYTP($B$1,D132,F132)),"")*100)</f>
        <v>4.6715679380011998</v>
      </c>
      <c r="P132" s="1"/>
      <c r="X132" s="74"/>
      <c r="Y132" s="74"/>
      <c r="Z132" s="74"/>
      <c r="AA132" s="74"/>
      <c r="AB132" s="74"/>
      <c r="AC132" s="74"/>
      <c r="AN132" s="74"/>
      <c r="AO132" s="74"/>
      <c r="AP132" s="74"/>
      <c r="AQ132" s="74"/>
      <c r="AR132" s="74"/>
      <c r="AS132" s="74"/>
      <c r="BD132" s="74"/>
      <c r="BE132" s="74"/>
      <c r="BF132" s="74"/>
      <c r="BG132" s="74"/>
      <c r="BH132" s="74"/>
      <c r="BI132" s="74"/>
      <c r="CF132" s="18"/>
      <c r="CG132" s="18"/>
      <c r="CH132" s="18"/>
      <c r="CI132" s="18" t="str">
        <f>_xll.ReferenceParams(CH132,$CI$6 )</f>
        <v/>
      </c>
      <c r="CJ132" s="27" t="str">
        <f>_xll.ReferenceParams(CH132,$CJ$6 )</f>
        <v/>
      </c>
      <c r="CK132" s="27" t="str">
        <f>_xll.ReferenceParams(CH132,$CK$6)</f>
        <v/>
      </c>
      <c r="CL132" s="18" t="str">
        <f t="shared" si="40"/>
        <v/>
      </c>
      <c r="CM132" s="18"/>
      <c r="DM132" s="1"/>
    </row>
    <row r="133" spans="4:117" x14ac:dyDescent="0.3">
      <c r="D133" s="20">
        <f t="shared" si="42"/>
        <v>45892</v>
      </c>
      <c r="E133" s="73" t="str">
        <f>_xll.CbondsClosePrice($B$1,D133,VLOOKUP($B$27,'Help Page'!$M:$N,2,0))</f>
        <v>Нет данных</v>
      </c>
      <c r="F133" s="73">
        <f t="shared" si="41"/>
        <v>98.2624</v>
      </c>
      <c r="G133" s="33">
        <f>IF(F133 = "","",IFERROR(IF($G$1 = "YTM",_xll.CbondsCalcYTM($B$1,D133,F133),_xll.CbondsCalcYTP($B$1,D133,F133)),"")*100)</f>
        <v>4.6702880273525</v>
      </c>
      <c r="P133" s="1"/>
      <c r="X133" s="74"/>
      <c r="Y133" s="74"/>
      <c r="Z133" s="74"/>
      <c r="AA133" s="74"/>
      <c r="AB133" s="74"/>
      <c r="AC133" s="74"/>
      <c r="AN133" s="74"/>
      <c r="AO133" s="74"/>
      <c r="AP133" s="74"/>
      <c r="AQ133" s="74"/>
      <c r="AR133" s="74"/>
      <c r="AS133" s="74"/>
      <c r="BD133" s="74"/>
      <c r="BE133" s="74"/>
      <c r="BF133" s="74"/>
      <c r="BG133" s="74"/>
      <c r="BH133" s="74"/>
      <c r="BI133" s="74"/>
      <c r="CF133" s="18"/>
      <c r="CG133" s="18"/>
      <c r="CH133" s="18"/>
      <c r="CI133" s="18" t="str">
        <f>_xll.ReferenceParams(CH133,$CI$6 )</f>
        <v/>
      </c>
      <c r="CJ133" s="27" t="str">
        <f>_xll.ReferenceParams(CH133,$CJ$6 )</f>
        <v/>
      </c>
      <c r="CK133" s="27" t="str">
        <f>_xll.ReferenceParams(CH133,$CK$6)</f>
        <v/>
      </c>
      <c r="CL133" s="18" t="str">
        <f t="shared" si="40"/>
        <v/>
      </c>
      <c r="CM133" s="18"/>
      <c r="DM133" s="1"/>
    </row>
    <row r="134" spans="4:117" x14ac:dyDescent="0.3">
      <c r="D134" s="20">
        <f t="shared" si="42"/>
        <v>45891</v>
      </c>
      <c r="E134" s="73">
        <f>_xll.CbondsClosePrice($B$1,D134,VLOOKUP($B$27,'Help Page'!$M:$N,2,0))</f>
        <v>98.2624</v>
      </c>
      <c r="F134" s="73">
        <f t="shared" si="41"/>
        <v>98.2624</v>
      </c>
      <c r="G134" s="33">
        <f>IF(F134 = "","",IFERROR(IF($G$1 = "YTM",_xll.CbondsCalcYTM($B$1,D134,F134),_xll.CbondsCalcYTP($B$1,D134,F134)),"")*100)</f>
        <v>4.6690122337346995</v>
      </c>
      <c r="P134" s="1"/>
      <c r="X134" s="74"/>
      <c r="Y134" s="74"/>
      <c r="Z134" s="74"/>
      <c r="AA134" s="74"/>
      <c r="AB134" s="74"/>
      <c r="AC134" s="74"/>
      <c r="AN134" s="74"/>
      <c r="AO134" s="74"/>
      <c r="AP134" s="74"/>
      <c r="AQ134" s="74"/>
      <c r="AR134" s="74"/>
      <c r="AS134" s="74"/>
      <c r="BD134" s="74"/>
      <c r="BE134" s="74"/>
      <c r="BF134" s="74"/>
      <c r="BG134" s="74"/>
      <c r="BH134" s="74"/>
      <c r="BI134" s="74"/>
      <c r="CF134" s="18"/>
      <c r="CG134" s="18"/>
      <c r="CH134" s="18"/>
      <c r="CI134" s="18" t="str">
        <f>_xll.ReferenceParams(CH134,$CI$6 )</f>
        <v/>
      </c>
      <c r="CJ134" s="27" t="str">
        <f>_xll.ReferenceParams(CH134,$CJ$6 )</f>
        <v/>
      </c>
      <c r="CK134" s="27" t="str">
        <f>_xll.ReferenceParams(CH134,$CK$6)</f>
        <v/>
      </c>
      <c r="CL134" s="18" t="str">
        <f t="shared" si="40"/>
        <v/>
      </c>
      <c r="CM134" s="18"/>
      <c r="DM134" s="1"/>
    </row>
    <row r="135" spans="4:117" x14ac:dyDescent="0.3">
      <c r="D135" s="20">
        <f t="shared" si="42"/>
        <v>45890</v>
      </c>
      <c r="E135" s="73">
        <f>_xll.CbondsClosePrice($B$1,D135,VLOOKUP($B$27,'Help Page'!$M:$N,2,0))</f>
        <v>97.718800000000002</v>
      </c>
      <c r="F135" s="73">
        <f t="shared" si="41"/>
        <v>97.718800000000002</v>
      </c>
      <c r="G135" s="33">
        <f>IF(F135 = "","",IFERROR(IF($G$1 = "YTM",_xll.CbondsCalcYTM($B$1,D135,F135),_xll.CbondsCalcYTP($B$1,D135,F135)),"")*100)</f>
        <v>4.9608345646877998</v>
      </c>
      <c r="P135" s="1"/>
      <c r="X135" s="74"/>
      <c r="Y135" s="74"/>
      <c r="Z135" s="74"/>
      <c r="AA135" s="74"/>
      <c r="AB135" s="74"/>
      <c r="AC135" s="74"/>
      <c r="AN135" s="74"/>
      <c r="AO135" s="74"/>
      <c r="AP135" s="74"/>
      <c r="AQ135" s="74"/>
      <c r="AR135" s="74"/>
      <c r="AS135" s="74"/>
      <c r="BD135" s="74"/>
      <c r="BE135" s="74"/>
      <c r="BF135" s="74"/>
      <c r="BG135" s="74"/>
      <c r="BH135" s="74"/>
      <c r="BI135" s="74"/>
      <c r="CF135" s="18"/>
      <c r="CG135" s="18"/>
      <c r="CH135" s="18"/>
      <c r="CI135" s="18" t="str">
        <f>_xll.ReferenceParams(CH135,$CI$6 )</f>
        <v/>
      </c>
      <c r="CJ135" s="27" t="str">
        <f>_xll.ReferenceParams(CH135,$CJ$6 )</f>
        <v/>
      </c>
      <c r="CK135" s="27" t="str">
        <f>_xll.ReferenceParams(CH135,$CK$6)</f>
        <v/>
      </c>
      <c r="CL135" s="18" t="str">
        <f t="shared" ref="CL135:CL166" si="43">IF(CH135 = "","",IF(AND(CI135="В обращении",CJ135&lt;=$B$2,CK135 = "Облигация"),1,0))</f>
        <v/>
      </c>
      <c r="CM135" s="18"/>
      <c r="DM135" s="1"/>
    </row>
    <row r="136" spans="4:117" x14ac:dyDescent="0.3">
      <c r="D136" s="20">
        <f t="shared" si="42"/>
        <v>45889</v>
      </c>
      <c r="E136" s="73">
        <f>_xll.CbondsClosePrice($B$1,D136,VLOOKUP($B$27,'Help Page'!$M:$N,2,0))</f>
        <v>97.885900000000007</v>
      </c>
      <c r="F136" s="73">
        <f t="shared" si="41"/>
        <v>97.885900000000007</v>
      </c>
      <c r="G136" s="33">
        <f>IF(F136 = "","",IFERROR(IF($G$1 = "YTM",_xll.CbondsCalcYTM($B$1,D136,F136),_xll.CbondsCalcYTP($B$1,D136,F136)),"")*100)</f>
        <v>4.8691088570612004</v>
      </c>
      <c r="P136" s="1"/>
      <c r="X136" s="74"/>
      <c r="Y136" s="74"/>
      <c r="Z136" s="74"/>
      <c r="AA136" s="74"/>
      <c r="AB136" s="74"/>
      <c r="AC136" s="74"/>
      <c r="AN136" s="74"/>
      <c r="AO136" s="74"/>
      <c r="AP136" s="74"/>
      <c r="AQ136" s="74"/>
      <c r="AR136" s="74"/>
      <c r="AS136" s="74"/>
      <c r="BD136" s="74"/>
      <c r="BE136" s="74"/>
      <c r="BF136" s="74"/>
      <c r="BG136" s="74"/>
      <c r="BH136" s="74"/>
      <c r="BI136" s="74"/>
      <c r="CF136" s="18"/>
      <c r="CG136" s="18"/>
      <c r="CH136" s="18"/>
      <c r="CI136" s="18" t="str">
        <f>_xll.ReferenceParams(CH136,$CI$6 )</f>
        <v/>
      </c>
      <c r="CJ136" s="27" t="str">
        <f>_xll.ReferenceParams(CH136,$CJ$6 )</f>
        <v/>
      </c>
      <c r="CK136" s="27" t="str">
        <f>_xll.ReferenceParams(CH136,$CK$6)</f>
        <v/>
      </c>
      <c r="CL136" s="18" t="str">
        <f t="shared" si="43"/>
        <v/>
      </c>
      <c r="CM136" s="18"/>
      <c r="DM136" s="1"/>
    </row>
    <row r="137" spans="4:117" x14ac:dyDescent="0.3">
      <c r="D137" s="20">
        <f t="shared" si="42"/>
        <v>45888</v>
      </c>
      <c r="E137" s="73">
        <f>_xll.CbondsClosePrice($B$1,D137,VLOOKUP($B$27,'Help Page'!$M:$N,2,0))</f>
        <v>98.696299999999994</v>
      </c>
      <c r="F137" s="73">
        <f t="shared" si="41"/>
        <v>98.696299999999994</v>
      </c>
      <c r="G137" s="33">
        <f>IF(F137 = "","",IFERROR(IF($G$1 = "YTM",_xll.CbondsCalcYTM($B$1,D137,F137),_xll.CbondsCalcYTP($B$1,D137,F137)),"")*100)</f>
        <v>4.4345892635719002</v>
      </c>
      <c r="P137" s="1"/>
      <c r="X137" s="74"/>
      <c r="Y137" s="74"/>
      <c r="Z137" s="74"/>
      <c r="AA137" s="74"/>
      <c r="AB137" s="74"/>
      <c r="AC137" s="74"/>
      <c r="AN137" s="74"/>
      <c r="AO137" s="74"/>
      <c r="AP137" s="74"/>
      <c r="AQ137" s="74"/>
      <c r="AR137" s="74"/>
      <c r="AS137" s="74"/>
      <c r="BD137" s="74"/>
      <c r="BE137" s="74"/>
      <c r="BF137" s="74"/>
      <c r="BG137" s="74"/>
      <c r="BH137" s="74"/>
      <c r="BI137" s="74"/>
      <c r="CF137" s="18"/>
      <c r="CG137" s="18"/>
      <c r="CH137" s="18"/>
      <c r="CI137" s="18" t="str">
        <f>_xll.ReferenceParams(CH137,$CI$6 )</f>
        <v/>
      </c>
      <c r="CJ137" s="27" t="str">
        <f>_xll.ReferenceParams(CH137,$CJ$6 )</f>
        <v/>
      </c>
      <c r="CK137" s="27" t="str">
        <f>_xll.ReferenceParams(CH137,$CK$6)</f>
        <v/>
      </c>
      <c r="CL137" s="18" t="str">
        <f t="shared" si="43"/>
        <v/>
      </c>
      <c r="CM137" s="18"/>
      <c r="DM137" s="1"/>
    </row>
    <row r="138" spans="4:117" x14ac:dyDescent="0.3">
      <c r="D138" s="20">
        <f t="shared" si="42"/>
        <v>45887</v>
      </c>
      <c r="E138" s="73">
        <f>_xll.CbondsClosePrice($B$1,D138,VLOOKUP($B$27,'Help Page'!$M:$N,2,0))</f>
        <v>98</v>
      </c>
      <c r="F138" s="73">
        <f t="shared" si="41"/>
        <v>98</v>
      </c>
      <c r="G138" s="33">
        <f>IF(F138 = "","",IFERROR(IF($G$1 = "YTM",_xll.CbondsCalcYTM($B$1,D138,F138),_xll.CbondsCalcYTP($B$1,D138,F138)),"")*100)</f>
        <v>4.8048474886624</v>
      </c>
      <c r="P138" s="1"/>
      <c r="X138" s="74"/>
      <c r="Y138" s="74"/>
      <c r="Z138" s="74"/>
      <c r="AA138" s="74"/>
      <c r="AB138" s="74"/>
      <c r="AC138" s="74"/>
      <c r="AN138" s="74"/>
      <c r="AO138" s="74"/>
      <c r="AP138" s="74"/>
      <c r="AQ138" s="74"/>
      <c r="AR138" s="74"/>
      <c r="AS138" s="74"/>
      <c r="BD138" s="74"/>
      <c r="BE138" s="74"/>
      <c r="BF138" s="74"/>
      <c r="BG138" s="74"/>
      <c r="BH138" s="74"/>
      <c r="BI138" s="74"/>
      <c r="CF138" s="18"/>
      <c r="CG138" s="18"/>
      <c r="CH138" s="18"/>
      <c r="CI138" s="18" t="str">
        <f>_xll.ReferenceParams(CH138,$CI$6 )</f>
        <v/>
      </c>
      <c r="CJ138" s="27" t="str">
        <f>_xll.ReferenceParams(CH138,$CJ$6 )</f>
        <v/>
      </c>
      <c r="CK138" s="27" t="str">
        <f>_xll.ReferenceParams(CH138,$CK$6)</f>
        <v/>
      </c>
      <c r="CL138" s="18" t="str">
        <f t="shared" si="43"/>
        <v/>
      </c>
      <c r="CM138" s="18"/>
      <c r="DM138" s="1"/>
    </row>
    <row r="139" spans="4:117" x14ac:dyDescent="0.3">
      <c r="D139" s="20">
        <f t="shared" si="42"/>
        <v>45886</v>
      </c>
      <c r="E139" s="73" t="str">
        <f>_xll.CbondsClosePrice($B$1,D139,VLOOKUP($B$27,'Help Page'!$M:$N,2,0))</f>
        <v>Нет данных</v>
      </c>
      <c r="F139" s="73">
        <f t="shared" si="41"/>
        <v>97.023899999999998</v>
      </c>
      <c r="G139" s="33">
        <f>IF(F139 = "","",IFERROR(IF($G$1 = "YTM",_xll.CbondsCalcYTM($B$1,D139,F139),_xll.CbondsCalcYTP($B$1,D139,F139)),"")*100)</f>
        <v>5.3299276503591999</v>
      </c>
      <c r="P139" s="1"/>
      <c r="X139" s="74"/>
      <c r="Y139" s="74"/>
      <c r="Z139" s="74"/>
      <c r="AA139" s="74"/>
      <c r="AB139" s="74"/>
      <c r="AC139" s="74"/>
      <c r="AN139" s="74"/>
      <c r="AO139" s="74"/>
      <c r="AP139" s="74"/>
      <c r="AQ139" s="74"/>
      <c r="AR139" s="74"/>
      <c r="AS139" s="74"/>
      <c r="BD139" s="74"/>
      <c r="BE139" s="74"/>
      <c r="BF139" s="74"/>
      <c r="BG139" s="74"/>
      <c r="BH139" s="74"/>
      <c r="BI139" s="74"/>
      <c r="CF139" s="18"/>
      <c r="CG139" s="18"/>
      <c r="CH139" s="18"/>
      <c r="CI139" s="18" t="str">
        <f>_xll.ReferenceParams(CH139,$CI$6 )</f>
        <v/>
      </c>
      <c r="CJ139" s="27" t="str">
        <f>_xll.ReferenceParams(CH139,$CJ$6 )</f>
        <v/>
      </c>
      <c r="CK139" s="27" t="str">
        <f>_xll.ReferenceParams(CH139,$CK$6)</f>
        <v/>
      </c>
      <c r="CL139" s="18" t="str">
        <f t="shared" si="43"/>
        <v/>
      </c>
      <c r="CM139" s="18"/>
      <c r="DM139" s="1"/>
    </row>
    <row r="140" spans="4:117" x14ac:dyDescent="0.3">
      <c r="D140" s="20">
        <f t="shared" si="42"/>
        <v>45885</v>
      </c>
      <c r="E140" s="73" t="str">
        <f>_xll.CbondsClosePrice($B$1,D140,VLOOKUP($B$27,'Help Page'!$M:$N,2,0))</f>
        <v>Нет данных</v>
      </c>
      <c r="F140" s="73">
        <f t="shared" si="41"/>
        <v>97.023899999999998</v>
      </c>
      <c r="G140" s="33">
        <f>IF(F140 = "","",IFERROR(IF($G$1 = "YTM",_xll.CbondsCalcYTM($B$1,D140,F140),_xll.CbondsCalcYTP($B$1,D140,F140)),"")*100)</f>
        <v>5.3278126939209001</v>
      </c>
      <c r="P140" s="1"/>
      <c r="X140" s="74"/>
      <c r="Y140" s="74"/>
      <c r="Z140" s="74"/>
      <c r="AA140" s="74"/>
      <c r="AB140" s="74"/>
      <c r="AC140" s="74"/>
      <c r="AN140" s="74"/>
      <c r="AO140" s="74"/>
      <c r="AP140" s="74"/>
      <c r="AQ140" s="74"/>
      <c r="AR140" s="74"/>
      <c r="AS140" s="74"/>
      <c r="BD140" s="74"/>
      <c r="BE140" s="74"/>
      <c r="BF140" s="74"/>
      <c r="BG140" s="74"/>
      <c r="BH140" s="74"/>
      <c r="BI140" s="74"/>
      <c r="CF140" s="18"/>
      <c r="CG140" s="18"/>
      <c r="CH140" s="18"/>
      <c r="CI140" s="18" t="str">
        <f>_xll.ReferenceParams(CH140,$CI$6 )</f>
        <v/>
      </c>
      <c r="CJ140" s="27" t="str">
        <f>_xll.ReferenceParams(CH140,$CJ$6 )</f>
        <v/>
      </c>
      <c r="CK140" s="27" t="str">
        <f>_xll.ReferenceParams(CH140,$CK$6)</f>
        <v/>
      </c>
      <c r="CL140" s="18" t="str">
        <f t="shared" si="43"/>
        <v/>
      </c>
      <c r="CM140" s="18"/>
      <c r="DM140" s="1"/>
    </row>
    <row r="141" spans="4:117" x14ac:dyDescent="0.3">
      <c r="D141" s="20">
        <f t="shared" si="42"/>
        <v>45884</v>
      </c>
      <c r="E141" s="73">
        <f>_xll.CbondsClosePrice($B$1,D141,VLOOKUP($B$27,'Help Page'!$M:$N,2,0))</f>
        <v>97.023899999999998</v>
      </c>
      <c r="F141" s="73">
        <f t="shared" si="41"/>
        <v>97.023899999999998</v>
      </c>
      <c r="G141" s="33">
        <f>IF(F141 = "","",IFERROR(IF($G$1 = "YTM",_xll.CbondsCalcYTM($B$1,D141,F141),_xll.CbondsCalcYTP($B$1,D141,F141)),"")*100)</f>
        <v>5.3257041626200001</v>
      </c>
      <c r="P141" s="1"/>
      <c r="X141" s="74"/>
      <c r="Y141" s="74"/>
      <c r="Z141" s="74"/>
      <c r="AA141" s="74"/>
      <c r="AB141" s="74"/>
      <c r="AC141" s="74"/>
      <c r="AN141" s="74"/>
      <c r="AO141" s="74"/>
      <c r="AP141" s="74"/>
      <c r="AQ141" s="74"/>
      <c r="AR141" s="74"/>
      <c r="AS141" s="74"/>
      <c r="BD141" s="74"/>
      <c r="BE141" s="74"/>
      <c r="BF141" s="74"/>
      <c r="BG141" s="74"/>
      <c r="BH141" s="74"/>
      <c r="BI141" s="74"/>
      <c r="CF141" s="18"/>
      <c r="CG141" s="18"/>
      <c r="CH141" s="18"/>
      <c r="CI141" s="18" t="str">
        <f>_xll.ReferenceParams(CH141,$CI$6 )</f>
        <v/>
      </c>
      <c r="CJ141" s="27" t="str">
        <f>_xll.ReferenceParams(CH141,$CJ$6 )</f>
        <v/>
      </c>
      <c r="CK141" s="27" t="str">
        <f>_xll.ReferenceParams(CH141,$CK$6)</f>
        <v/>
      </c>
      <c r="CL141" s="18" t="str">
        <f t="shared" si="43"/>
        <v/>
      </c>
      <c r="CM141" s="18"/>
      <c r="DM141" s="1"/>
    </row>
    <row r="142" spans="4:117" x14ac:dyDescent="0.3">
      <c r="D142" s="20">
        <f t="shared" si="42"/>
        <v>45883</v>
      </c>
      <c r="E142" s="73">
        <f>_xll.CbondsClosePrice($B$1,D142,VLOOKUP($B$27,'Help Page'!$M:$N,2,0))</f>
        <v>96.385999999999996</v>
      </c>
      <c r="F142" s="73">
        <f t="shared" si="41"/>
        <v>96.385999999999996</v>
      </c>
      <c r="G142" s="33">
        <f>IF(F142 = "","",IFERROR(IF($G$1 = "YTM",_xll.CbondsCalcYTM($B$1,D142,F142),_xll.CbondsCalcYTP($B$1,D142,F142)),"")*100)</f>
        <v>5.6712588085497</v>
      </c>
      <c r="P142" s="1"/>
      <c r="X142" s="74"/>
      <c r="Y142" s="74"/>
      <c r="Z142" s="74"/>
      <c r="AA142" s="74"/>
      <c r="AB142" s="74"/>
      <c r="AC142" s="74"/>
      <c r="AN142" s="74"/>
      <c r="AO142" s="74"/>
      <c r="AP142" s="74"/>
      <c r="AQ142" s="74"/>
      <c r="AR142" s="74"/>
      <c r="AS142" s="74"/>
      <c r="BD142" s="74"/>
      <c r="BE142" s="74"/>
      <c r="BF142" s="74"/>
      <c r="BG142" s="74"/>
      <c r="BH142" s="74"/>
      <c r="BI142" s="74"/>
      <c r="CF142" s="18"/>
      <c r="CG142" s="18"/>
      <c r="CH142" s="18"/>
      <c r="CI142" s="18" t="str">
        <f>_xll.ReferenceParams(CH142,$CI$6 )</f>
        <v/>
      </c>
      <c r="CJ142" s="27" t="str">
        <f>_xll.ReferenceParams(CH142,$CJ$6 )</f>
        <v/>
      </c>
      <c r="CK142" s="27" t="str">
        <f>_xll.ReferenceParams(CH142,$CK$6)</f>
        <v/>
      </c>
      <c r="CL142" s="18" t="str">
        <f t="shared" si="43"/>
        <v/>
      </c>
      <c r="CM142" s="18"/>
      <c r="DM142" s="1"/>
    </row>
    <row r="143" spans="4:117" x14ac:dyDescent="0.3">
      <c r="D143" s="20">
        <f t="shared" si="42"/>
        <v>45882</v>
      </c>
      <c r="E143" s="73">
        <f>_xll.CbondsClosePrice($B$1,D143,VLOOKUP($B$27,'Help Page'!$M:$N,2,0))</f>
        <v>96.549400000000006</v>
      </c>
      <c r="F143" s="73">
        <f t="shared" si="41"/>
        <v>96.549400000000006</v>
      </c>
      <c r="G143" s="33">
        <f>IF(F143 = "","",IFERROR(IF($G$1 = "YTM",_xll.CbondsCalcYTM($B$1,D143,F143),_xll.CbondsCalcYTP($B$1,D143,F143)),"")*100)</f>
        <v>5.5795821109833996</v>
      </c>
      <c r="P143" s="1"/>
      <c r="X143" s="74"/>
      <c r="Y143" s="74"/>
      <c r="Z143" s="74"/>
      <c r="AA143" s="74"/>
      <c r="AB143" s="74"/>
      <c r="AC143" s="74"/>
      <c r="AN143" s="74"/>
      <c r="AO143" s="74"/>
      <c r="AP143" s="74"/>
      <c r="AQ143" s="74"/>
      <c r="AR143" s="74"/>
      <c r="AS143" s="74"/>
      <c r="BD143" s="74"/>
      <c r="BE143" s="74"/>
      <c r="BF143" s="74"/>
      <c r="BG143" s="74"/>
      <c r="BH143" s="74"/>
      <c r="BI143" s="74"/>
      <c r="CF143" s="18"/>
      <c r="CG143" s="18"/>
      <c r="CH143" s="18"/>
      <c r="CI143" s="18" t="str">
        <f>_xll.ReferenceParams(CH143,$CI$6 )</f>
        <v/>
      </c>
      <c r="CJ143" s="27" t="str">
        <f>_xll.ReferenceParams(CH143,$CJ$6 )</f>
        <v/>
      </c>
      <c r="CK143" s="27" t="str">
        <f>_xll.ReferenceParams(CH143,$CK$6)</f>
        <v/>
      </c>
      <c r="CL143" s="18" t="str">
        <f t="shared" si="43"/>
        <v/>
      </c>
      <c r="CM143" s="18"/>
      <c r="DM143" s="1"/>
    </row>
    <row r="144" spans="4:117" x14ac:dyDescent="0.3">
      <c r="D144" s="20">
        <f t="shared" si="42"/>
        <v>45881</v>
      </c>
      <c r="E144" s="73">
        <f>_xll.CbondsClosePrice($B$1,D144,VLOOKUP($B$27,'Help Page'!$M:$N,2,0))</f>
        <v>96.5</v>
      </c>
      <c r="F144" s="73">
        <f t="shared" si="41"/>
        <v>96.5</v>
      </c>
      <c r="G144" s="33">
        <f>IF(F144 = "","",IFERROR(IF($G$1 = "YTM",_xll.CbondsCalcYTM($B$1,D144,F144),_xll.CbondsCalcYTP($B$1,D144,F144)),"")*100)</f>
        <v>5.6040469365134005</v>
      </c>
      <c r="P144" s="1"/>
      <c r="X144" s="74"/>
      <c r="Y144" s="74"/>
      <c r="Z144" s="74"/>
      <c r="AA144" s="74"/>
      <c r="AB144" s="74"/>
      <c r="AC144" s="74"/>
      <c r="AN144" s="74"/>
      <c r="AO144" s="74"/>
      <c r="AP144" s="74"/>
      <c r="AQ144" s="74"/>
      <c r="AR144" s="74"/>
      <c r="AS144" s="74"/>
      <c r="BD144" s="74"/>
      <c r="BE144" s="74"/>
      <c r="BF144" s="74"/>
      <c r="BG144" s="74"/>
      <c r="BH144" s="74"/>
      <c r="BI144" s="74"/>
      <c r="CF144" s="18"/>
      <c r="CG144" s="18"/>
      <c r="CH144" s="18"/>
      <c r="CI144" s="18" t="str">
        <f>_xll.ReferenceParams(CH144,$CI$6 )</f>
        <v/>
      </c>
      <c r="CJ144" s="27" t="str">
        <f>_xll.ReferenceParams(CH144,$CJ$6 )</f>
        <v/>
      </c>
      <c r="CK144" s="27" t="str">
        <f>_xll.ReferenceParams(CH144,$CK$6)</f>
        <v/>
      </c>
      <c r="CL144" s="18" t="str">
        <f t="shared" si="43"/>
        <v/>
      </c>
      <c r="CM144" s="18"/>
      <c r="DM144" s="1"/>
    </row>
    <row r="145" spans="4:117" x14ac:dyDescent="0.3">
      <c r="D145" s="20">
        <f t="shared" si="42"/>
        <v>45880</v>
      </c>
      <c r="E145" s="73">
        <f>_xll.CbondsClosePrice($B$1,D145,VLOOKUP($B$27,'Help Page'!$M:$N,2,0))</f>
        <v>96.354100000000003</v>
      </c>
      <c r="F145" s="73">
        <f t="shared" si="41"/>
        <v>96.354100000000003</v>
      </c>
      <c r="G145" s="33">
        <f>IF(F145 = "","",IFERROR(IF($G$1 = "YTM",_xll.CbondsCalcYTM($B$1,D145,F145),_xll.CbondsCalcYTP($B$1,D145,F145)),"")*100)</f>
        <v>5.6810270619554997</v>
      </c>
      <c r="P145" s="1"/>
      <c r="X145" s="74"/>
      <c r="Y145" s="74"/>
      <c r="Z145" s="74"/>
      <c r="AA145" s="74"/>
      <c r="AB145" s="74"/>
      <c r="AC145" s="74"/>
      <c r="AN145" s="74"/>
      <c r="AO145" s="74"/>
      <c r="AP145" s="74"/>
      <c r="AQ145" s="74"/>
      <c r="AR145" s="74"/>
      <c r="AS145" s="74"/>
      <c r="BD145" s="74"/>
      <c r="BE145" s="74"/>
      <c r="BF145" s="74"/>
      <c r="BG145" s="74"/>
      <c r="BH145" s="74"/>
      <c r="BI145" s="74"/>
      <c r="CF145" s="18"/>
      <c r="CG145" s="18"/>
      <c r="CH145" s="18"/>
      <c r="CI145" s="18" t="str">
        <f>_xll.ReferenceParams(CH145,$CI$6 )</f>
        <v/>
      </c>
      <c r="CJ145" s="27" t="str">
        <f>_xll.ReferenceParams(CH145,$CJ$6 )</f>
        <v/>
      </c>
      <c r="CK145" s="27" t="str">
        <f>_xll.ReferenceParams(CH145,$CK$6)</f>
        <v/>
      </c>
      <c r="CL145" s="18" t="str">
        <f t="shared" si="43"/>
        <v/>
      </c>
      <c r="CM145" s="18"/>
      <c r="DM145" s="1"/>
    </row>
    <row r="146" spans="4:117" x14ac:dyDescent="0.3">
      <c r="D146" s="20">
        <f t="shared" si="42"/>
        <v>45879</v>
      </c>
      <c r="E146" s="73" t="str">
        <f>_xll.CbondsClosePrice($B$1,D146,VLOOKUP($B$27,'Help Page'!$M:$N,2,0))</f>
        <v>Нет данных</v>
      </c>
      <c r="F146" s="73">
        <f t="shared" si="41"/>
        <v>96.6477</v>
      </c>
      <c r="G146" s="33">
        <f>IF(F146 = "","",IFERROR(IF($G$1 = "YTM",_xll.CbondsCalcYTM($B$1,D146,F146),_xll.CbondsCalcYTP($B$1,D146,F146)),"")*100)</f>
        <v>5.5190324223116001</v>
      </c>
      <c r="P146" s="1"/>
      <c r="X146" s="74"/>
      <c r="Y146" s="74"/>
      <c r="Z146" s="74"/>
      <c r="AA146" s="74"/>
      <c r="AB146" s="74"/>
      <c r="AC146" s="74"/>
      <c r="AN146" s="74"/>
      <c r="AO146" s="74"/>
      <c r="AP146" s="74"/>
      <c r="AQ146" s="74"/>
      <c r="AR146" s="74"/>
      <c r="AS146" s="74"/>
      <c r="BD146" s="74"/>
      <c r="BE146" s="74"/>
      <c r="BF146" s="74"/>
      <c r="BG146" s="74"/>
      <c r="BH146" s="74"/>
      <c r="BI146" s="74"/>
      <c r="CF146" s="18"/>
      <c r="CG146" s="18"/>
      <c r="CH146" s="18"/>
      <c r="CI146" s="18" t="str">
        <f>_xll.ReferenceParams(CH146,$CI$6 )</f>
        <v/>
      </c>
      <c r="CJ146" s="27" t="str">
        <f>_xll.ReferenceParams(CH146,$CJ$6 )</f>
        <v/>
      </c>
      <c r="CK146" s="27" t="str">
        <f>_xll.ReferenceParams(CH146,$CK$6)</f>
        <v/>
      </c>
      <c r="CL146" s="18" t="str">
        <f t="shared" si="43"/>
        <v/>
      </c>
      <c r="CM146" s="18"/>
      <c r="DM146" s="1"/>
    </row>
    <row r="147" spans="4:117" x14ac:dyDescent="0.3">
      <c r="D147" s="20">
        <f t="shared" si="42"/>
        <v>45878</v>
      </c>
      <c r="E147" s="73" t="str">
        <f>_xll.CbondsClosePrice($B$1,D147,VLOOKUP($B$27,'Help Page'!$M:$N,2,0))</f>
        <v>Нет данных</v>
      </c>
      <c r="F147" s="73">
        <f t="shared" si="41"/>
        <v>96.6477</v>
      </c>
      <c r="G147" s="33">
        <f>IF(F147 = "","",IFERROR(IF($G$1 = "YTM",_xll.CbondsCalcYTM($B$1,D147,F147),_xll.CbondsCalcYTP($B$1,D147,F147)),"")*100)</f>
        <v>5.5166999377951997</v>
      </c>
      <c r="P147" s="1"/>
      <c r="X147" s="74"/>
      <c r="Y147" s="74"/>
      <c r="Z147" s="74"/>
      <c r="AA147" s="74"/>
      <c r="AB147" s="74"/>
      <c r="AC147" s="74"/>
      <c r="AN147" s="74"/>
      <c r="AO147" s="74"/>
      <c r="AP147" s="74"/>
      <c r="AQ147" s="74"/>
      <c r="AR147" s="74"/>
      <c r="AS147" s="74"/>
      <c r="BD147" s="74"/>
      <c r="BE147" s="74"/>
      <c r="BF147" s="74"/>
      <c r="BG147" s="74"/>
      <c r="BH147" s="74"/>
      <c r="BI147" s="74"/>
      <c r="CF147" s="18"/>
      <c r="CG147" s="18"/>
      <c r="CH147" s="18"/>
      <c r="CI147" s="18" t="str">
        <f>_xll.ReferenceParams(CH147,$CI$6 )</f>
        <v/>
      </c>
      <c r="CJ147" s="27" t="str">
        <f>_xll.ReferenceParams(CH147,$CJ$6 )</f>
        <v/>
      </c>
      <c r="CK147" s="27" t="str">
        <f>_xll.ReferenceParams(CH147,$CK$6)</f>
        <v/>
      </c>
      <c r="CL147" s="18" t="str">
        <f t="shared" si="43"/>
        <v/>
      </c>
      <c r="CM147" s="18"/>
      <c r="DM147" s="1"/>
    </row>
    <row r="148" spans="4:117" x14ac:dyDescent="0.3">
      <c r="D148" s="20">
        <f t="shared" si="42"/>
        <v>45877</v>
      </c>
      <c r="E148" s="73">
        <f>_xll.CbondsClosePrice($B$1,D148,VLOOKUP($B$27,'Help Page'!$M:$N,2,0))</f>
        <v>96.6477</v>
      </c>
      <c r="F148" s="73">
        <f t="shared" si="41"/>
        <v>96.6477</v>
      </c>
      <c r="G148" s="33">
        <f>IF(F148 = "","",IFERROR(IF($G$1 = "YTM",_xll.CbondsCalcYTM($B$1,D148,F148),_xll.CbondsCalcYTP($B$1,D148,F148)),"")*100)</f>
        <v>5.5143744272196002</v>
      </c>
      <c r="P148" s="1"/>
      <c r="X148" s="74"/>
      <c r="Y148" s="74"/>
      <c r="Z148" s="74"/>
      <c r="AA148" s="74"/>
      <c r="AB148" s="74"/>
      <c r="AC148" s="74"/>
      <c r="AN148" s="74"/>
      <c r="AO148" s="74"/>
      <c r="AP148" s="74"/>
      <c r="AQ148" s="74"/>
      <c r="AR148" s="74"/>
      <c r="AS148" s="74"/>
      <c r="BD148" s="74"/>
      <c r="BE148" s="74"/>
      <c r="BF148" s="74"/>
      <c r="BG148" s="74"/>
      <c r="BH148" s="74"/>
      <c r="BI148" s="74"/>
      <c r="CF148" s="18"/>
      <c r="CG148" s="18"/>
      <c r="CH148" s="18"/>
      <c r="CI148" s="18" t="str">
        <f>_xll.ReferenceParams(CH148,$CI$6 )</f>
        <v/>
      </c>
      <c r="CJ148" s="27" t="str">
        <f>_xll.ReferenceParams(CH148,$CJ$6 )</f>
        <v/>
      </c>
      <c r="CK148" s="27" t="str">
        <f>_xll.ReferenceParams(CH148,$CK$6)</f>
        <v/>
      </c>
      <c r="CL148" s="18" t="str">
        <f t="shared" si="43"/>
        <v/>
      </c>
      <c r="CM148" s="18"/>
      <c r="DM148" s="1"/>
    </row>
    <row r="149" spans="4:117" x14ac:dyDescent="0.3">
      <c r="D149" s="20">
        <f t="shared" si="42"/>
        <v>45876</v>
      </c>
      <c r="E149" s="73">
        <f>_xll.CbondsClosePrice($B$1,D149,VLOOKUP($B$27,'Help Page'!$M:$N,2,0))</f>
        <v>96.110699999999994</v>
      </c>
      <c r="F149" s="73">
        <f t="shared" si="41"/>
        <v>96.110699999999994</v>
      </c>
      <c r="G149" s="33">
        <f>IF(F149 = "","",IFERROR(IF($G$1 = "YTM",_xll.CbondsCalcYTM($B$1,D149,F149),_xll.CbondsCalcYTP($B$1,D149,F149)),"")*100)</f>
        <v>5.8031255441711993</v>
      </c>
      <c r="P149" s="1"/>
      <c r="X149" s="74"/>
      <c r="Y149" s="74"/>
      <c r="Z149" s="74"/>
      <c r="AA149" s="74"/>
      <c r="AB149" s="74"/>
      <c r="AC149" s="74"/>
      <c r="AN149" s="74"/>
      <c r="AO149" s="74"/>
      <c r="AP149" s="74"/>
      <c r="AQ149" s="74"/>
      <c r="AR149" s="74"/>
      <c r="AS149" s="74"/>
      <c r="BD149" s="74"/>
      <c r="BE149" s="74"/>
      <c r="BF149" s="74"/>
      <c r="BG149" s="74"/>
      <c r="BH149" s="74"/>
      <c r="BI149" s="74"/>
      <c r="CF149" s="18"/>
      <c r="CG149" s="18"/>
      <c r="CH149" s="18"/>
      <c r="CI149" s="18" t="str">
        <f>_xll.ReferenceParams(CH149,$CI$6 )</f>
        <v/>
      </c>
      <c r="CJ149" s="27" t="str">
        <f>_xll.ReferenceParams(CH149,$CJ$6 )</f>
        <v/>
      </c>
      <c r="CK149" s="27" t="str">
        <f>_xll.ReferenceParams(CH149,$CK$6)</f>
        <v/>
      </c>
      <c r="CL149" s="18" t="str">
        <f t="shared" si="43"/>
        <v/>
      </c>
      <c r="CM149" s="18"/>
      <c r="DM149" s="1"/>
    </row>
    <row r="150" spans="4:117" x14ac:dyDescent="0.3">
      <c r="D150" s="20">
        <f t="shared" si="42"/>
        <v>45875</v>
      </c>
      <c r="E150" s="73">
        <f>_xll.CbondsClosePrice($B$1,D150,VLOOKUP($B$27,'Help Page'!$M:$N,2,0))</f>
        <v>96.2</v>
      </c>
      <c r="F150" s="73">
        <f t="shared" si="41"/>
        <v>96.2</v>
      </c>
      <c r="G150" s="33">
        <f>IF(F150 = "","",IFERROR(IF($G$1 = "YTM",_xll.CbondsCalcYTM($B$1,D150,F150),_xll.CbondsCalcYTP($B$1,D150,F150)),"")*100)</f>
        <v>5.7524719433742</v>
      </c>
      <c r="P150" s="1"/>
      <c r="X150" s="74"/>
      <c r="Y150" s="74"/>
      <c r="Z150" s="74"/>
      <c r="AA150" s="74"/>
      <c r="AB150" s="74"/>
      <c r="AC150" s="74"/>
      <c r="AN150" s="74"/>
      <c r="AO150" s="74"/>
      <c r="AP150" s="74"/>
      <c r="AQ150" s="74"/>
      <c r="AR150" s="74"/>
      <c r="AS150" s="74"/>
      <c r="BD150" s="74"/>
      <c r="BE150" s="74"/>
      <c r="BF150" s="74"/>
      <c r="BG150" s="74"/>
      <c r="BH150" s="74"/>
      <c r="BI150" s="74"/>
      <c r="CF150" s="18"/>
      <c r="CG150" s="18"/>
      <c r="CH150" s="18"/>
      <c r="CI150" s="18" t="str">
        <f>_xll.ReferenceParams(CH150,$CI$6 )</f>
        <v/>
      </c>
      <c r="CJ150" s="27" t="str">
        <f>_xll.ReferenceParams(CH150,$CJ$6 )</f>
        <v/>
      </c>
      <c r="CK150" s="27" t="str">
        <f>_xll.ReferenceParams(CH150,$CK$6)</f>
        <v/>
      </c>
      <c r="CL150" s="18" t="str">
        <f t="shared" si="43"/>
        <v/>
      </c>
      <c r="CM150" s="18"/>
      <c r="DM150" s="1"/>
    </row>
    <row r="151" spans="4:117" x14ac:dyDescent="0.3">
      <c r="D151" s="20">
        <f t="shared" si="42"/>
        <v>45874</v>
      </c>
      <c r="E151" s="73">
        <f>_xll.CbondsClosePrice($B$1,D151,VLOOKUP($B$27,'Help Page'!$M:$N,2,0))</f>
        <v>96.189899999999994</v>
      </c>
      <c r="F151" s="73">
        <f t="shared" si="41"/>
        <v>96.189899999999994</v>
      </c>
      <c r="G151" s="33">
        <f>IF(F151 = "","",IFERROR(IF($G$1 = "YTM",_xll.CbondsCalcYTM($B$1,D151,F151),_xll.CbondsCalcYTP($B$1,D151,F151)),"")*100)</f>
        <v>5.7553328095882996</v>
      </c>
      <c r="P151" s="1"/>
      <c r="X151" s="74"/>
      <c r="Y151" s="74"/>
      <c r="Z151" s="74"/>
      <c r="AA151" s="74"/>
      <c r="AB151" s="74"/>
      <c r="AC151" s="74"/>
      <c r="AN151" s="74"/>
      <c r="AO151" s="74"/>
      <c r="AP151" s="74"/>
      <c r="AQ151" s="74"/>
      <c r="AR151" s="74"/>
      <c r="AS151" s="74"/>
      <c r="BD151" s="74"/>
      <c r="BE151" s="74"/>
      <c r="BF151" s="74"/>
      <c r="BG151" s="74"/>
      <c r="BH151" s="74"/>
      <c r="BI151" s="74"/>
      <c r="CF151" s="18"/>
      <c r="CG151" s="18"/>
      <c r="CH151" s="18"/>
      <c r="CI151" s="18" t="str">
        <f>_xll.ReferenceParams(CH151,$CI$6 )</f>
        <v/>
      </c>
      <c r="CJ151" s="27" t="str">
        <f>_xll.ReferenceParams(CH151,$CJ$6 )</f>
        <v/>
      </c>
      <c r="CK151" s="27" t="str">
        <f>_xll.ReferenceParams(CH151,$CK$6)</f>
        <v/>
      </c>
      <c r="CL151" s="18" t="str">
        <f t="shared" si="43"/>
        <v/>
      </c>
      <c r="CM151" s="18"/>
      <c r="DM151" s="1"/>
    </row>
    <row r="152" spans="4:117" x14ac:dyDescent="0.3">
      <c r="D152" s="20">
        <f t="shared" si="42"/>
        <v>45873</v>
      </c>
      <c r="E152" s="73">
        <f>_xll.CbondsClosePrice($B$1,D152,VLOOKUP($B$27,'Help Page'!$M:$N,2,0))</f>
        <v>96.148899999999998</v>
      </c>
      <c r="F152" s="73">
        <f t="shared" si="41"/>
        <v>96.148899999999998</v>
      </c>
      <c r="G152" s="33">
        <f>IF(F152 = "","",IFERROR(IF($G$1 = "YTM",_xll.CbondsCalcYTM($B$1,D152,F152),_xll.CbondsCalcYTP($B$1,D152,F152)),"")*100)</f>
        <v>5.7749293513476001</v>
      </c>
      <c r="P152" s="1"/>
      <c r="X152" s="74"/>
      <c r="Y152" s="74"/>
      <c r="Z152" s="74"/>
      <c r="AA152" s="74"/>
      <c r="AB152" s="74"/>
      <c r="AC152" s="74"/>
      <c r="AN152" s="74"/>
      <c r="AO152" s="74"/>
      <c r="AP152" s="74"/>
      <c r="AQ152" s="74"/>
      <c r="AR152" s="74"/>
      <c r="AS152" s="74"/>
      <c r="BD152" s="74"/>
      <c r="BE152" s="74"/>
      <c r="BF152" s="74"/>
      <c r="BG152" s="74"/>
      <c r="BH152" s="74"/>
      <c r="BI152" s="74"/>
      <c r="CF152" s="18"/>
      <c r="CG152" s="18"/>
      <c r="CH152" s="18"/>
      <c r="CI152" s="18" t="str">
        <f>_xll.ReferenceParams(CH152,$CI$6 )</f>
        <v/>
      </c>
      <c r="CJ152" s="27" t="str">
        <f>_xll.ReferenceParams(CH152,$CJ$6 )</f>
        <v/>
      </c>
      <c r="CK152" s="27" t="str">
        <f>_xll.ReferenceParams(CH152,$CK$6)</f>
        <v/>
      </c>
      <c r="CL152" s="18" t="str">
        <f t="shared" si="43"/>
        <v/>
      </c>
      <c r="CM152" s="18"/>
      <c r="DM152" s="1"/>
    </row>
    <row r="153" spans="4:117" x14ac:dyDescent="0.3">
      <c r="D153" s="20">
        <f t="shared" si="42"/>
        <v>45872</v>
      </c>
      <c r="E153" s="73" t="str">
        <f>_xll.CbondsClosePrice($B$1,D153,VLOOKUP($B$27,'Help Page'!$M:$N,2,0))</f>
        <v>Нет данных</v>
      </c>
      <c r="F153" s="73">
        <f t="shared" si="41"/>
        <v>96.653300000000002</v>
      </c>
      <c r="G153" s="33">
        <f>IF(F153 = "","",IFERROR(IF($G$1 = "YTM",_xll.CbondsCalcYTM($B$1,D153,F153),_xll.CbondsCalcYTP($B$1,D153,F153)),"")*100)</f>
        <v>5.5003804122405002</v>
      </c>
      <c r="P153" s="1"/>
      <c r="X153" s="74"/>
      <c r="Y153" s="74"/>
      <c r="Z153" s="74"/>
      <c r="AA153" s="74"/>
      <c r="AB153" s="74"/>
      <c r="AC153" s="74"/>
      <c r="AN153" s="74"/>
      <c r="AO153" s="74"/>
      <c r="AP153" s="74"/>
      <c r="AQ153" s="74"/>
      <c r="AR153" s="74"/>
      <c r="AS153" s="74"/>
      <c r="BD153" s="74"/>
      <c r="BE153" s="74"/>
      <c r="BF153" s="74"/>
      <c r="BG153" s="74"/>
      <c r="BH153" s="74"/>
      <c r="BI153" s="74"/>
      <c r="CF153" s="18"/>
      <c r="CG153" s="18"/>
      <c r="CH153" s="18"/>
      <c r="CI153" s="18" t="str">
        <f>_xll.ReferenceParams(CH153,$CI$6 )</f>
        <v/>
      </c>
      <c r="CJ153" s="27" t="str">
        <f>_xll.ReferenceParams(CH153,$CJ$6 )</f>
        <v/>
      </c>
      <c r="CK153" s="27" t="str">
        <f>_xll.ReferenceParams(CH153,$CK$6)</f>
        <v/>
      </c>
      <c r="CL153" s="18" t="str">
        <f t="shared" si="43"/>
        <v/>
      </c>
      <c r="CM153" s="18"/>
      <c r="DM153" s="1"/>
    </row>
    <row r="154" spans="4:117" x14ac:dyDescent="0.3">
      <c r="D154" s="20">
        <f t="shared" si="42"/>
        <v>45871</v>
      </c>
      <c r="E154" s="73" t="str">
        <f>_xll.CbondsClosePrice($B$1,D154,VLOOKUP($B$27,'Help Page'!$M:$N,2,0))</f>
        <v>Нет данных</v>
      </c>
      <c r="F154" s="73">
        <f t="shared" si="41"/>
        <v>96.653300000000002</v>
      </c>
      <c r="G154" s="33">
        <f>IF(F154 = "","",IFERROR(IF($G$1 = "YTM",_xll.CbondsCalcYTM($B$1,D154,F154),_xll.CbondsCalcYTP($B$1,D154,F154)),"")*100)</f>
        <v>5.4980992935964004</v>
      </c>
      <c r="P154" s="1"/>
      <c r="X154" s="74"/>
      <c r="Y154" s="74"/>
      <c r="Z154" s="74"/>
      <c r="AA154" s="74"/>
      <c r="AB154" s="74"/>
      <c r="AC154" s="74"/>
      <c r="AN154" s="74"/>
      <c r="AO154" s="74"/>
      <c r="AP154" s="74"/>
      <c r="AQ154" s="74"/>
      <c r="AR154" s="74"/>
      <c r="AS154" s="74"/>
      <c r="BD154" s="74"/>
      <c r="BE154" s="74"/>
      <c r="BF154" s="74"/>
      <c r="BG154" s="74"/>
      <c r="BH154" s="74"/>
      <c r="BI154" s="74"/>
      <c r="CF154" s="18"/>
      <c r="CG154" s="18"/>
      <c r="CH154" s="18"/>
      <c r="CI154" s="18" t="str">
        <f>_xll.ReferenceParams(CH154,$CI$6 )</f>
        <v/>
      </c>
      <c r="CJ154" s="27" t="str">
        <f>_xll.ReferenceParams(CH154,$CJ$6 )</f>
        <v/>
      </c>
      <c r="CK154" s="27" t="str">
        <f>_xll.ReferenceParams(CH154,$CK$6)</f>
        <v/>
      </c>
      <c r="CL154" s="18" t="str">
        <f t="shared" si="43"/>
        <v/>
      </c>
      <c r="CM154" s="18"/>
      <c r="DM154" s="1"/>
    </row>
    <row r="155" spans="4:117" x14ac:dyDescent="0.3">
      <c r="D155" s="20">
        <f t="shared" si="42"/>
        <v>45870</v>
      </c>
      <c r="E155" s="73">
        <f>_xll.CbondsClosePrice($B$1,D155,VLOOKUP($B$27,'Help Page'!$M:$N,2,0))</f>
        <v>96.653300000000002</v>
      </c>
      <c r="F155" s="73">
        <f t="shared" si="41"/>
        <v>96.653300000000002</v>
      </c>
      <c r="G155" s="33">
        <f>IF(F155 = "","",IFERROR(IF($G$1 = "YTM",_xll.CbondsCalcYTM($B$1,D155,F155),_xll.CbondsCalcYTP($B$1,D155,F155)),"")*100)</f>
        <v>5.4958249428221997</v>
      </c>
      <c r="P155" s="1"/>
      <c r="X155" s="74"/>
      <c r="Y155" s="74"/>
      <c r="Z155" s="74"/>
      <c r="AA155" s="74"/>
      <c r="AB155" s="74"/>
      <c r="AC155" s="74"/>
      <c r="AN155" s="74"/>
      <c r="AO155" s="74"/>
      <c r="AP155" s="74"/>
      <c r="AQ155" s="74"/>
      <c r="AR155" s="74"/>
      <c r="AS155" s="74"/>
      <c r="BD155" s="74"/>
      <c r="BE155" s="74"/>
      <c r="BF155" s="74"/>
      <c r="BG155" s="74"/>
      <c r="BH155" s="74"/>
      <c r="BI155" s="74"/>
      <c r="CF155" s="18"/>
      <c r="CG155" s="18"/>
      <c r="CH155" s="18"/>
      <c r="CI155" s="18" t="str">
        <f>_xll.ReferenceParams(CH155,$CI$6 )</f>
        <v/>
      </c>
      <c r="CJ155" s="27" t="str">
        <f>_xll.ReferenceParams(CH155,$CJ$6 )</f>
        <v/>
      </c>
      <c r="CK155" s="27" t="str">
        <f>_xll.ReferenceParams(CH155,$CK$6)</f>
        <v/>
      </c>
      <c r="CL155" s="18" t="str">
        <f t="shared" si="43"/>
        <v/>
      </c>
      <c r="CM155" s="18"/>
      <c r="DM155" s="1"/>
    </row>
    <row r="156" spans="4:117" x14ac:dyDescent="0.3">
      <c r="D156" s="20">
        <f t="shared" si="42"/>
        <v>45869</v>
      </c>
      <c r="E156" s="73">
        <f>_xll.CbondsClosePrice($B$1,D156,VLOOKUP($B$27,'Help Page'!$M:$N,2,0))</f>
        <v>96.5</v>
      </c>
      <c r="F156" s="73">
        <f t="shared" si="41"/>
        <v>96.5</v>
      </c>
      <c r="G156" s="33">
        <f>IF(F156 = "","",IFERROR(IF($G$1 = "YTM",_xll.CbondsCalcYTM($B$1,D156,F156),_xll.CbondsCalcYTP($B$1,D156,F156)),"")*100)</f>
        <v>5.5756571754259001</v>
      </c>
      <c r="P156" s="1"/>
      <c r="X156" s="74"/>
      <c r="Y156" s="74"/>
      <c r="Z156" s="74"/>
      <c r="AA156" s="74"/>
      <c r="AB156" s="74"/>
      <c r="AC156" s="74"/>
      <c r="AN156" s="74"/>
      <c r="AO156" s="74"/>
      <c r="AP156" s="74"/>
      <c r="AQ156" s="74"/>
      <c r="AR156" s="74"/>
      <c r="AS156" s="74"/>
      <c r="BD156" s="74"/>
      <c r="BE156" s="74"/>
      <c r="BF156" s="74"/>
      <c r="BG156" s="74"/>
      <c r="BH156" s="74"/>
      <c r="BI156" s="74"/>
      <c r="CF156" s="18"/>
      <c r="CG156" s="18"/>
      <c r="CH156" s="18"/>
      <c r="CI156" s="18" t="str">
        <f>_xll.ReferenceParams(CH156,$CI$6 )</f>
        <v/>
      </c>
      <c r="CJ156" s="27" t="str">
        <f>_xll.ReferenceParams(CH156,$CJ$6 )</f>
        <v/>
      </c>
      <c r="CK156" s="27" t="str">
        <f>_xll.ReferenceParams(CH156,$CK$6)</f>
        <v/>
      </c>
      <c r="CL156" s="18" t="str">
        <f t="shared" si="43"/>
        <v/>
      </c>
      <c r="CM156" s="18"/>
      <c r="DM156" s="1"/>
    </row>
    <row r="157" spans="4:117" x14ac:dyDescent="0.3">
      <c r="D157" s="20">
        <f t="shared" si="42"/>
        <v>45868</v>
      </c>
      <c r="E157" s="73">
        <f>_xll.CbondsClosePrice($B$1,D157,VLOOKUP($B$27,'Help Page'!$M:$N,2,0))</f>
        <v>95.34</v>
      </c>
      <c r="F157" s="73">
        <f t="shared" si="41"/>
        <v>95.34</v>
      </c>
      <c r="G157" s="33">
        <f>IF(F157 = "","",IFERROR(IF($G$1 = "YTM",_xll.CbondsCalcYTM($B$1,D157,F157),_xll.CbondsCalcYTP($B$1,D157,F157)),"")*100)</f>
        <v>6.2007326223993999</v>
      </c>
      <c r="P157" s="1"/>
      <c r="X157" s="74"/>
      <c r="Y157" s="74"/>
      <c r="Z157" s="74"/>
      <c r="AA157" s="74"/>
      <c r="AB157" s="74"/>
      <c r="AC157" s="74"/>
      <c r="AN157" s="74"/>
      <c r="AO157" s="74"/>
      <c r="AP157" s="74"/>
      <c r="AQ157" s="74"/>
      <c r="AR157" s="74"/>
      <c r="AS157" s="74"/>
      <c r="BD157" s="74"/>
      <c r="BE157" s="74"/>
      <c r="BF157" s="74"/>
      <c r="BG157" s="74"/>
      <c r="BH157" s="74"/>
      <c r="BI157" s="74"/>
      <c r="CF157" s="18"/>
      <c r="CG157" s="18"/>
      <c r="CH157" s="18"/>
      <c r="CI157" s="18" t="str">
        <f>_xll.ReferenceParams(CH157,$CI$6 )</f>
        <v/>
      </c>
      <c r="CJ157" s="27" t="str">
        <f>_xll.ReferenceParams(CH157,$CJ$6 )</f>
        <v/>
      </c>
      <c r="CK157" s="27" t="str">
        <f>_xll.ReferenceParams(CH157,$CK$6)</f>
        <v/>
      </c>
      <c r="CL157" s="18" t="str">
        <f t="shared" si="43"/>
        <v/>
      </c>
      <c r="CM157" s="18"/>
      <c r="DM157" s="1"/>
    </row>
    <row r="158" spans="4:117" x14ac:dyDescent="0.3">
      <c r="D158" s="20">
        <f t="shared" si="42"/>
        <v>45867</v>
      </c>
      <c r="E158" s="73">
        <f>_xll.CbondsClosePrice($B$1,D158,VLOOKUP($B$27,'Help Page'!$M:$N,2,0))</f>
        <v>96.25</v>
      </c>
      <c r="F158" s="73">
        <f t="shared" si="41"/>
        <v>96.25</v>
      </c>
      <c r="G158" s="33">
        <f>IF(F158 = "","",IFERROR(IF($G$1 = "YTM",_xll.CbondsCalcYTM($B$1,D158,F158),_xll.CbondsCalcYTP($B$1,D158,F158)),"")*100)</f>
        <v>5.7054420459813997</v>
      </c>
      <c r="P158" s="1"/>
      <c r="X158" s="74"/>
      <c r="Y158" s="74"/>
      <c r="Z158" s="74"/>
      <c r="AA158" s="74"/>
      <c r="AB158" s="74"/>
      <c r="AC158" s="74"/>
      <c r="AN158" s="74"/>
      <c r="AO158" s="74"/>
      <c r="AP158" s="74"/>
      <c r="AQ158" s="74"/>
      <c r="AR158" s="74"/>
      <c r="AS158" s="74"/>
      <c r="BD158" s="74"/>
      <c r="BE158" s="74"/>
      <c r="BF158" s="74"/>
      <c r="BG158" s="74"/>
      <c r="BH158" s="74"/>
      <c r="BI158" s="74"/>
      <c r="CF158" s="18"/>
      <c r="CG158" s="18"/>
      <c r="CH158" s="18"/>
      <c r="CI158" s="18" t="str">
        <f>_xll.ReferenceParams(CH158,$CI$6 )</f>
        <v/>
      </c>
      <c r="CJ158" s="27" t="str">
        <f>_xll.ReferenceParams(CH158,$CJ$6 )</f>
        <v/>
      </c>
      <c r="CK158" s="27" t="str">
        <f>_xll.ReferenceParams(CH158,$CK$6)</f>
        <v/>
      </c>
      <c r="CL158" s="18" t="str">
        <f t="shared" si="43"/>
        <v/>
      </c>
      <c r="CM158" s="18"/>
      <c r="DM158" s="1"/>
    </row>
    <row r="159" spans="4:117" x14ac:dyDescent="0.3">
      <c r="D159" s="20">
        <f t="shared" si="42"/>
        <v>45866</v>
      </c>
      <c r="E159" s="73">
        <f>_xll.CbondsClosePrice($B$1,D159,VLOOKUP($B$27,'Help Page'!$M:$N,2,0))</f>
        <v>96.1</v>
      </c>
      <c r="F159" s="73">
        <f t="shared" si="41"/>
        <v>96.1</v>
      </c>
      <c r="G159" s="33">
        <f>IF(F159 = "","",IFERROR(IF($G$1 = "YTM",_xll.CbondsCalcYTM($B$1,D159,F159),_xll.CbondsCalcYTP($B$1,D159,F159)),"")*100)</f>
        <v>5.783455087968</v>
      </c>
      <c r="P159" s="1"/>
      <c r="X159" s="74"/>
      <c r="Y159" s="74"/>
      <c r="Z159" s="74"/>
      <c r="AA159" s="74"/>
      <c r="AB159" s="74"/>
      <c r="AC159" s="74"/>
      <c r="AN159" s="74"/>
      <c r="AO159" s="74"/>
      <c r="AP159" s="74"/>
      <c r="AQ159" s="74"/>
      <c r="AR159" s="74"/>
      <c r="AS159" s="74"/>
      <c r="BD159" s="74"/>
      <c r="BE159" s="74"/>
      <c r="BF159" s="74"/>
      <c r="BG159" s="74"/>
      <c r="BH159" s="74"/>
      <c r="BI159" s="74"/>
      <c r="CF159" s="18"/>
      <c r="CG159" s="18"/>
      <c r="CH159" s="18"/>
      <c r="CI159" s="18" t="str">
        <f>_xll.ReferenceParams(CH159,$CI$6 )</f>
        <v/>
      </c>
      <c r="CJ159" s="27" t="str">
        <f>_xll.ReferenceParams(CH159,$CJ$6 )</f>
        <v/>
      </c>
      <c r="CK159" s="27" t="str">
        <f>_xll.ReferenceParams(CH159,$CK$6)</f>
        <v/>
      </c>
      <c r="CL159" s="18" t="str">
        <f t="shared" si="43"/>
        <v/>
      </c>
      <c r="CM159" s="18"/>
      <c r="DM159" s="1"/>
    </row>
    <row r="160" spans="4:117" x14ac:dyDescent="0.3">
      <c r="D160" s="20">
        <f t="shared" si="42"/>
        <v>45865</v>
      </c>
      <c r="E160" s="73" t="str">
        <f>_xll.CbondsClosePrice($B$1,D160,VLOOKUP($B$27,'Help Page'!$M:$N,2,0))</f>
        <v>Нет данных</v>
      </c>
      <c r="F160" s="73">
        <f t="shared" si="41"/>
        <v>96.369600000000005</v>
      </c>
      <c r="G160" s="33">
        <f>IF(F160 = "","",IFERROR(IF($G$1 = "YTM",_xll.CbondsCalcYTM($B$1,D160,F160),_xll.CbondsCalcYTP($B$1,D160,F160)),"")*100)</f>
        <v>5.6364108924179002</v>
      </c>
      <c r="P160" s="1"/>
      <c r="X160" s="74"/>
      <c r="Y160" s="74"/>
      <c r="Z160" s="74"/>
      <c r="AA160" s="74"/>
      <c r="AB160" s="74"/>
      <c r="AC160" s="74"/>
      <c r="AN160" s="74"/>
      <c r="AO160" s="74"/>
      <c r="AP160" s="74"/>
      <c r="AQ160" s="74"/>
      <c r="AR160" s="74"/>
      <c r="AS160" s="74"/>
      <c r="BD160" s="74"/>
      <c r="BE160" s="74"/>
      <c r="BF160" s="74"/>
      <c r="BG160" s="74"/>
      <c r="BH160" s="74"/>
      <c r="BI160" s="74"/>
      <c r="CF160" s="18"/>
      <c r="CG160" s="18"/>
      <c r="CH160" s="18"/>
      <c r="CI160" s="18" t="str">
        <f>_xll.ReferenceParams(CH160,$CI$6 )</f>
        <v/>
      </c>
      <c r="CJ160" s="27" t="str">
        <f>_xll.ReferenceParams(CH160,$CJ$6 )</f>
        <v/>
      </c>
      <c r="CK160" s="27" t="str">
        <f>_xll.ReferenceParams(CH160,$CK$6)</f>
        <v/>
      </c>
      <c r="CL160" s="18" t="str">
        <f t="shared" si="43"/>
        <v/>
      </c>
      <c r="CM160" s="18"/>
      <c r="DM160" s="1"/>
    </row>
    <row r="161" spans="4:117" x14ac:dyDescent="0.3">
      <c r="D161" s="20">
        <f t="shared" si="42"/>
        <v>45864</v>
      </c>
      <c r="E161" s="73" t="str">
        <f>_xll.CbondsClosePrice($B$1,D161,VLOOKUP($B$27,'Help Page'!$M:$N,2,0))</f>
        <v>Нет данных</v>
      </c>
      <c r="F161" s="73">
        <f t="shared" si="41"/>
        <v>96.369600000000005</v>
      </c>
      <c r="G161" s="33">
        <f>IF(F161 = "","",IFERROR(IF($G$1 = "YTM",_xll.CbondsCalcYTM($B$1,D161,F161),_xll.CbondsCalcYTP($B$1,D161,F161)),"")*100)</f>
        <v>5.6339851313327003</v>
      </c>
      <c r="P161" s="1"/>
      <c r="X161" s="74"/>
      <c r="Y161" s="74"/>
      <c r="Z161" s="74"/>
      <c r="AA161" s="74"/>
      <c r="AB161" s="74"/>
      <c r="AC161" s="74"/>
      <c r="AN161" s="74"/>
      <c r="AO161" s="74"/>
      <c r="AP161" s="74"/>
      <c r="AQ161" s="74"/>
      <c r="AR161" s="74"/>
      <c r="AS161" s="74"/>
      <c r="BD161" s="74"/>
      <c r="BE161" s="74"/>
      <c r="BF161" s="74"/>
      <c r="BG161" s="74"/>
      <c r="BH161" s="74"/>
      <c r="BI161" s="74"/>
      <c r="CF161" s="18"/>
      <c r="CG161" s="18"/>
      <c r="CH161" s="18"/>
      <c r="CI161" s="18" t="str">
        <f>_xll.ReferenceParams(CH161,$CI$6 )</f>
        <v/>
      </c>
      <c r="CJ161" s="27" t="str">
        <f>_xll.ReferenceParams(CH161,$CJ$6 )</f>
        <v/>
      </c>
      <c r="CK161" s="27" t="str">
        <f>_xll.ReferenceParams(CH161,$CK$6)</f>
        <v/>
      </c>
      <c r="CL161" s="18" t="str">
        <f t="shared" si="43"/>
        <v/>
      </c>
      <c r="CM161" s="18"/>
      <c r="DM161" s="1"/>
    </row>
    <row r="162" spans="4:117" x14ac:dyDescent="0.3">
      <c r="D162" s="20">
        <f t="shared" si="42"/>
        <v>45863</v>
      </c>
      <c r="E162" s="73">
        <f>_xll.CbondsClosePrice($B$1,D162,VLOOKUP($B$27,'Help Page'!$M:$N,2,0))</f>
        <v>96.369600000000005</v>
      </c>
      <c r="F162" s="73">
        <f t="shared" si="41"/>
        <v>96.369600000000005</v>
      </c>
      <c r="G162" s="33">
        <f>IF(F162 = "","",IFERROR(IF($G$1 = "YTM",_xll.CbondsCalcYTM($B$1,D162,F162),_xll.CbondsCalcYTP($B$1,D162,F162)),"")*100)</f>
        <v>5.6315664743158003</v>
      </c>
      <c r="P162" s="1"/>
      <c r="X162" s="74"/>
      <c r="Y162" s="74"/>
      <c r="Z162" s="74"/>
      <c r="AA162" s="74"/>
      <c r="AB162" s="74"/>
      <c r="AC162" s="74"/>
      <c r="AN162" s="74"/>
      <c r="AO162" s="74"/>
      <c r="AP162" s="74"/>
      <c r="AQ162" s="74"/>
      <c r="AR162" s="74"/>
      <c r="AS162" s="74"/>
      <c r="BD162" s="74"/>
      <c r="BE162" s="74"/>
      <c r="BF162" s="74"/>
      <c r="BG162" s="74"/>
      <c r="BH162" s="74"/>
      <c r="BI162" s="74"/>
      <c r="CF162" s="18"/>
      <c r="CG162" s="18"/>
      <c r="CH162" s="18"/>
      <c r="CI162" s="18" t="str">
        <f>_xll.ReferenceParams(CH162,$CI$6 )</f>
        <v/>
      </c>
      <c r="CJ162" s="27" t="str">
        <f>_xll.ReferenceParams(CH162,$CJ$6 )</f>
        <v/>
      </c>
      <c r="CK162" s="27" t="str">
        <f>_xll.ReferenceParams(CH162,$CK$6)</f>
        <v/>
      </c>
      <c r="CL162" s="18" t="str">
        <f t="shared" si="43"/>
        <v/>
      </c>
      <c r="CM162" s="18"/>
      <c r="DM162" s="1"/>
    </row>
    <row r="163" spans="4:117" x14ac:dyDescent="0.3">
      <c r="D163" s="20">
        <f t="shared" si="42"/>
        <v>45862</v>
      </c>
      <c r="E163" s="73">
        <f>_xll.CbondsClosePrice($B$1,D163,VLOOKUP($B$27,'Help Page'!$M:$N,2,0))</f>
        <v>96.56</v>
      </c>
      <c r="F163" s="73">
        <f t="shared" si="41"/>
        <v>96.56</v>
      </c>
      <c r="G163" s="33">
        <f>IF(F163 = "","",IFERROR(IF($G$1 = "YTM",_xll.CbondsCalcYTM($B$1,D163,F163),_xll.CbondsCalcYTP($B$1,D163,F163)),"")*100)</f>
        <v>5.5279053121155997</v>
      </c>
      <c r="P163" s="1"/>
      <c r="X163" s="74"/>
      <c r="Y163" s="74"/>
      <c r="Z163" s="74"/>
      <c r="AA163" s="74"/>
      <c r="AB163" s="74"/>
      <c r="AC163" s="74"/>
      <c r="AN163" s="74"/>
      <c r="AO163" s="74"/>
      <c r="AP163" s="74"/>
      <c r="AQ163" s="74"/>
      <c r="AR163" s="74"/>
      <c r="AS163" s="74"/>
      <c r="BD163" s="74"/>
      <c r="BE163" s="74"/>
      <c r="BF163" s="74"/>
      <c r="BG163" s="74"/>
      <c r="BH163" s="74"/>
      <c r="BI163" s="74"/>
      <c r="CF163" s="18"/>
      <c r="CG163" s="18"/>
      <c r="CH163" s="18"/>
      <c r="CI163" s="18" t="str">
        <f>_xll.ReferenceParams(CH163,$CI$6 )</f>
        <v/>
      </c>
      <c r="CJ163" s="27" t="str">
        <f>_xll.ReferenceParams(CH163,$CJ$6 )</f>
        <v/>
      </c>
      <c r="CK163" s="27" t="str">
        <f>_xll.ReferenceParams(CH163,$CK$6)</f>
        <v/>
      </c>
      <c r="CL163" s="18" t="str">
        <f t="shared" si="43"/>
        <v/>
      </c>
      <c r="CM163" s="18"/>
      <c r="DM163" s="1"/>
    </row>
    <row r="164" spans="4:117" x14ac:dyDescent="0.3">
      <c r="D164" s="20">
        <f t="shared" si="42"/>
        <v>45861</v>
      </c>
      <c r="E164" s="73">
        <f>_xll.CbondsClosePrice($B$1,D164,VLOOKUP($B$27,'Help Page'!$M:$N,2,0))</f>
        <v>96.25</v>
      </c>
      <c r="F164" s="73">
        <f t="shared" si="41"/>
        <v>96.25</v>
      </c>
      <c r="G164" s="33">
        <f>IF(F164 = "","",IFERROR(IF($G$1 = "YTM",_xll.CbondsCalcYTM($B$1,D164,F164),_xll.CbondsCalcYTP($B$1,D164,F164)),"")*100)</f>
        <v>5.6909575854921997</v>
      </c>
      <c r="P164" s="1"/>
      <c r="X164" s="74"/>
      <c r="Y164" s="74"/>
      <c r="Z164" s="74"/>
      <c r="AA164" s="74"/>
      <c r="AB164" s="74"/>
      <c r="AC164" s="74"/>
      <c r="AN164" s="74"/>
      <c r="AO164" s="74"/>
      <c r="AP164" s="74"/>
      <c r="AQ164" s="74"/>
      <c r="AR164" s="74"/>
      <c r="AS164" s="74"/>
      <c r="BD164" s="74"/>
      <c r="BE164" s="74"/>
      <c r="BF164" s="74"/>
      <c r="BG164" s="74"/>
      <c r="BH164" s="74"/>
      <c r="BI164" s="74"/>
      <c r="CF164" s="18"/>
      <c r="CG164" s="18"/>
      <c r="CH164" s="18"/>
      <c r="CI164" s="18" t="str">
        <f>_xll.ReferenceParams(CH164,$CI$6 )</f>
        <v/>
      </c>
      <c r="CJ164" s="27" t="str">
        <f>_xll.ReferenceParams(CH164,$CJ$6 )</f>
        <v/>
      </c>
      <c r="CK164" s="27" t="str">
        <f>_xll.ReferenceParams(CH164,$CK$6)</f>
        <v/>
      </c>
      <c r="CL164" s="18" t="str">
        <f t="shared" si="43"/>
        <v/>
      </c>
      <c r="CM164" s="18"/>
      <c r="DM164" s="1"/>
    </row>
    <row r="165" spans="4:117" x14ac:dyDescent="0.3">
      <c r="D165" s="20">
        <f t="shared" si="42"/>
        <v>45860</v>
      </c>
      <c r="E165" s="73">
        <f>_xll.CbondsClosePrice($B$1,D165,VLOOKUP($B$27,'Help Page'!$M:$N,2,0))</f>
        <v>96.25</v>
      </c>
      <c r="F165" s="73">
        <f t="shared" si="41"/>
        <v>96.25</v>
      </c>
      <c r="G165" s="33">
        <f>IF(F165 = "","",IFERROR(IF($G$1 = "YTM",_xll.CbondsCalcYTM($B$1,D165,F165),_xll.CbondsCalcYTP($B$1,D165,F165)),"")*100)</f>
        <v>5.688479528197</v>
      </c>
      <c r="P165" s="1"/>
      <c r="X165" s="74"/>
      <c r="Y165" s="74"/>
      <c r="Z165" s="74"/>
      <c r="AA165" s="74"/>
      <c r="AB165" s="74"/>
      <c r="AC165" s="74"/>
      <c r="AN165" s="74"/>
      <c r="AO165" s="74"/>
      <c r="AP165" s="74"/>
      <c r="AQ165" s="74"/>
      <c r="AR165" s="74"/>
      <c r="AS165" s="74"/>
      <c r="BD165" s="74"/>
      <c r="BE165" s="74"/>
      <c r="BF165" s="74"/>
      <c r="BG165" s="74"/>
      <c r="BH165" s="74"/>
      <c r="BI165" s="74"/>
      <c r="CF165" s="18"/>
      <c r="CG165" s="18"/>
      <c r="CH165" s="18"/>
      <c r="CI165" s="18" t="str">
        <f>_xll.ReferenceParams(CH165,$CI$6 )</f>
        <v/>
      </c>
      <c r="CJ165" s="27" t="str">
        <f>_xll.ReferenceParams(CH165,$CJ$6 )</f>
        <v/>
      </c>
      <c r="CK165" s="27" t="str">
        <f>_xll.ReferenceParams(CH165,$CK$6)</f>
        <v/>
      </c>
      <c r="CL165" s="18" t="str">
        <f t="shared" si="43"/>
        <v/>
      </c>
      <c r="CM165" s="18"/>
      <c r="DM165" s="1"/>
    </row>
    <row r="166" spans="4:117" x14ac:dyDescent="0.3">
      <c r="D166" s="20">
        <f t="shared" si="42"/>
        <v>45859</v>
      </c>
      <c r="E166" s="73">
        <f>_xll.CbondsClosePrice($B$1,D166,VLOOKUP($B$27,'Help Page'!$M:$N,2,0))</f>
        <v>96.248999999999995</v>
      </c>
      <c r="F166" s="73">
        <f t="shared" si="41"/>
        <v>96.248999999999995</v>
      </c>
      <c r="G166" s="33">
        <f>IF(F166 = "","",IFERROR(IF($G$1 = "YTM",_xll.CbondsCalcYTM($B$1,D166,F166),_xll.CbondsCalcYTP($B$1,D166,F166)),"")*100)</f>
        <v>5.6865402511252006</v>
      </c>
      <c r="P166" s="1"/>
      <c r="X166" s="74"/>
      <c r="Y166" s="74"/>
      <c r="Z166" s="74"/>
      <c r="AA166" s="74"/>
      <c r="AB166" s="74"/>
      <c r="AC166" s="74"/>
      <c r="AN166" s="74"/>
      <c r="AO166" s="74"/>
      <c r="AP166" s="74"/>
      <c r="AQ166" s="74"/>
      <c r="AR166" s="74"/>
      <c r="AS166" s="74"/>
      <c r="BD166" s="74"/>
      <c r="BE166" s="74"/>
      <c r="BF166" s="74"/>
      <c r="BG166" s="74"/>
      <c r="BH166" s="74"/>
      <c r="BI166" s="74"/>
      <c r="CF166" s="18"/>
      <c r="CG166" s="18"/>
      <c r="CH166" s="18"/>
      <c r="CI166" s="18" t="str">
        <f>_xll.ReferenceParams(CH166,$CI$6 )</f>
        <v/>
      </c>
      <c r="CJ166" s="27" t="str">
        <f>_xll.ReferenceParams(CH166,$CJ$6 )</f>
        <v/>
      </c>
      <c r="CK166" s="27" t="str">
        <f>_xll.ReferenceParams(CH166,$CK$6)</f>
        <v/>
      </c>
      <c r="CL166" s="18" t="str">
        <f t="shared" si="43"/>
        <v/>
      </c>
      <c r="CM166" s="18"/>
      <c r="DM166" s="1"/>
    </row>
    <row r="167" spans="4:117" x14ac:dyDescent="0.3">
      <c r="D167" s="20">
        <f t="shared" si="42"/>
        <v>45858</v>
      </c>
      <c r="E167" s="73" t="str">
        <f>_xll.CbondsClosePrice($B$1,D167,VLOOKUP($B$27,'Help Page'!$M:$N,2,0))</f>
        <v>Нет данных</v>
      </c>
      <c r="F167" s="73">
        <f t="shared" si="41"/>
        <v>96.245900000000006</v>
      </c>
      <c r="G167" s="33">
        <f>IF(F167 = "","",IFERROR(IF($G$1 = "YTM",_xll.CbondsCalcYTM($B$1,D167,F167),_xll.CbondsCalcYTP($B$1,D167,F167)),"")*100)</f>
        <v>5.6857217781240994</v>
      </c>
      <c r="P167" s="1"/>
      <c r="X167" s="74"/>
      <c r="Y167" s="74"/>
      <c r="Z167" s="74"/>
      <c r="AA167" s="74"/>
      <c r="AB167" s="74"/>
      <c r="AC167" s="74"/>
      <c r="AD167" s="74"/>
      <c r="AE167" s="74"/>
      <c r="AF167" s="74"/>
      <c r="AG167" s="74"/>
      <c r="AN167" s="74"/>
      <c r="AO167" s="74"/>
      <c r="AP167" s="74"/>
      <c r="AQ167" s="74"/>
      <c r="AR167" s="74"/>
      <c r="AS167" s="74"/>
      <c r="AT167" s="74"/>
      <c r="AU167" s="74"/>
      <c r="AV167" s="74"/>
      <c r="AW167" s="74"/>
      <c r="BD167" s="74"/>
      <c r="BE167" s="74"/>
      <c r="BF167" s="74"/>
      <c r="BG167" s="74"/>
      <c r="BH167" s="74"/>
      <c r="BI167" s="74"/>
      <c r="CF167" s="18"/>
      <c r="CG167" s="18"/>
      <c r="CH167" s="18"/>
      <c r="CI167" s="18" t="str">
        <f>_xll.ReferenceParams(CH167,$CI$6 )</f>
        <v/>
      </c>
      <c r="CJ167" s="27" t="str">
        <f>_xll.ReferenceParams(CH167,$CJ$6 )</f>
        <v/>
      </c>
      <c r="CK167" s="27" t="str">
        <f>_xll.ReferenceParams(CH167,$CK$6)</f>
        <v/>
      </c>
      <c r="CL167" s="18" t="str">
        <f t="shared" ref="CL167:CL198" si="44">IF(CH167 = "","",IF(AND(CI167="В обращении",CJ167&lt;=$B$2,CK167 = "Облигация"),1,0))</f>
        <v/>
      </c>
      <c r="CM167" s="18"/>
      <c r="DM167" s="1"/>
    </row>
    <row r="168" spans="4:117" x14ac:dyDescent="0.3">
      <c r="D168" s="20">
        <f t="shared" si="42"/>
        <v>45857</v>
      </c>
      <c r="E168" s="73" t="str">
        <f>_xll.CbondsClosePrice($B$1,D168,VLOOKUP($B$27,'Help Page'!$M:$N,2,0))</f>
        <v>Нет данных</v>
      </c>
      <c r="F168" s="73">
        <f t="shared" si="41"/>
        <v>96.245900000000006</v>
      </c>
      <c r="G168" s="33">
        <f>IF(F168 = "","",IFERROR(IF($G$1 = "YTM",_xll.CbondsCalcYTM($B$1,D168,F168),_xll.CbondsCalcYTP($B$1,D168,F168)),"")*100)</f>
        <v>5.6832625468141007</v>
      </c>
      <c r="P168" s="1"/>
      <c r="X168" s="74"/>
      <c r="Y168" s="74"/>
      <c r="Z168" s="74"/>
      <c r="AA168" s="74"/>
      <c r="AB168" s="74"/>
      <c r="AC168" s="74"/>
      <c r="AD168" s="74"/>
      <c r="AE168" s="74"/>
      <c r="AF168" s="74"/>
      <c r="AG168" s="74"/>
      <c r="AN168" s="74"/>
      <c r="AO168" s="74"/>
      <c r="AP168" s="74"/>
      <c r="AQ168" s="74"/>
      <c r="AR168" s="74"/>
      <c r="AS168" s="74"/>
      <c r="AT168" s="74"/>
      <c r="AU168" s="74"/>
      <c r="AV168" s="74"/>
      <c r="AW168" s="74"/>
      <c r="BD168" s="74"/>
      <c r="BE168" s="74"/>
      <c r="BF168" s="74"/>
      <c r="BG168" s="74"/>
      <c r="BH168" s="74"/>
      <c r="BI168" s="74"/>
      <c r="CF168" s="18"/>
      <c r="CG168" s="18"/>
      <c r="CH168" s="18"/>
      <c r="CI168" s="18" t="str">
        <f>_xll.ReferenceParams(CH168,$CI$6 )</f>
        <v/>
      </c>
      <c r="CJ168" s="27" t="str">
        <f>_xll.ReferenceParams(CH168,$CJ$6 )</f>
        <v/>
      </c>
      <c r="CK168" s="27" t="str">
        <f>_xll.ReferenceParams(CH168,$CK$6)</f>
        <v/>
      </c>
      <c r="CL168" s="18" t="str">
        <f t="shared" si="44"/>
        <v/>
      </c>
      <c r="CM168" s="18"/>
      <c r="DM168" s="1"/>
    </row>
    <row r="169" spans="4:117" x14ac:dyDescent="0.3">
      <c r="D169" s="20">
        <f t="shared" si="42"/>
        <v>45856</v>
      </c>
      <c r="E169" s="73">
        <f>_xll.CbondsClosePrice($B$1,D169,VLOOKUP($B$27,'Help Page'!$M:$N,2,0))</f>
        <v>96.245900000000006</v>
      </c>
      <c r="F169" s="73">
        <f t="shared" si="41"/>
        <v>96.245900000000006</v>
      </c>
      <c r="G169" s="33">
        <f>IF(F169 = "","",IFERROR(IF($G$1 = "YTM",_xll.CbondsCalcYTM($B$1,D169,F169),_xll.CbondsCalcYTP($B$1,D169,F169)),"")*100)</f>
        <v>5.6808104471494003</v>
      </c>
      <c r="P169" s="1"/>
      <c r="X169" s="74"/>
      <c r="Y169" s="74"/>
      <c r="Z169" s="74"/>
      <c r="AA169" s="74"/>
      <c r="AB169" s="74"/>
      <c r="AC169" s="74"/>
      <c r="AD169" s="74"/>
      <c r="AE169" s="74"/>
      <c r="AF169" s="74"/>
      <c r="AG169" s="74"/>
      <c r="AN169" s="74"/>
      <c r="AO169" s="74"/>
      <c r="AP169" s="74"/>
      <c r="AQ169" s="74"/>
      <c r="AR169" s="74"/>
      <c r="AS169" s="74"/>
      <c r="AT169" s="74"/>
      <c r="AU169" s="74"/>
      <c r="AV169" s="74"/>
      <c r="AW169" s="74"/>
      <c r="BD169" s="74"/>
      <c r="BE169" s="74"/>
      <c r="BF169" s="74"/>
      <c r="BG169" s="74"/>
      <c r="BH169" s="74"/>
      <c r="BI169" s="74"/>
      <c r="CF169" s="18"/>
      <c r="CG169" s="18"/>
      <c r="CH169" s="18"/>
      <c r="CI169" s="18" t="str">
        <f>_xll.ReferenceParams(CH169,$CI$6 )</f>
        <v/>
      </c>
      <c r="CJ169" s="27" t="str">
        <f>_xll.ReferenceParams(CH169,$CJ$6 )</f>
        <v/>
      </c>
      <c r="CK169" s="27" t="str">
        <f>_xll.ReferenceParams(CH169,$CK$6)</f>
        <v/>
      </c>
      <c r="CL169" s="18" t="str">
        <f t="shared" si="44"/>
        <v/>
      </c>
      <c r="CM169" s="18"/>
      <c r="DM169" s="1"/>
    </row>
    <row r="170" spans="4:117" x14ac:dyDescent="0.3">
      <c r="D170" s="20">
        <f t="shared" si="42"/>
        <v>45855</v>
      </c>
      <c r="E170" s="73">
        <f>_xll.CbondsClosePrice($B$1,D170,VLOOKUP($B$27,'Help Page'!$M:$N,2,0))</f>
        <v>96.495000000000005</v>
      </c>
      <c r="F170" s="73">
        <f t="shared" si="41"/>
        <v>96.495000000000005</v>
      </c>
      <c r="G170" s="33">
        <f>IF(F170 = "","",IFERROR(IF($G$1 = "YTM",_xll.CbondsCalcYTM($B$1,D170,F170),_xll.CbondsCalcYTP($B$1,D170,F170)),"")*100)</f>
        <v>5.5468598389674</v>
      </c>
      <c r="P170" s="1"/>
      <c r="X170" s="74"/>
      <c r="Y170" s="74"/>
      <c r="Z170" s="74"/>
      <c r="AA170" s="74"/>
      <c r="AB170" s="74"/>
      <c r="AC170" s="74"/>
      <c r="AD170" s="74"/>
      <c r="AE170" s="74"/>
      <c r="AF170" s="74"/>
      <c r="AG170" s="74"/>
      <c r="AN170" s="74"/>
      <c r="AO170" s="74"/>
      <c r="AP170" s="74"/>
      <c r="AQ170" s="74"/>
      <c r="AR170" s="74"/>
      <c r="AS170" s="74"/>
      <c r="AT170" s="74"/>
      <c r="AU170" s="74"/>
      <c r="AV170" s="74"/>
      <c r="AW170" s="74"/>
      <c r="BD170" s="74"/>
      <c r="BE170" s="74"/>
      <c r="BF170" s="74"/>
      <c r="BG170" s="74"/>
      <c r="BH170" s="74"/>
      <c r="BI170" s="74"/>
      <c r="CF170" s="18"/>
      <c r="CG170" s="18"/>
      <c r="CH170" s="18"/>
      <c r="CI170" s="18" t="str">
        <f>_xll.ReferenceParams(CH170,$CI$6 )</f>
        <v/>
      </c>
      <c r="CJ170" s="27" t="str">
        <f>_xll.ReferenceParams(CH170,$CJ$6 )</f>
        <v/>
      </c>
      <c r="CK170" s="27" t="str">
        <f>_xll.ReferenceParams(CH170,$CK$6)</f>
        <v/>
      </c>
      <c r="CL170" s="18" t="str">
        <f t="shared" si="44"/>
        <v/>
      </c>
      <c r="CM170" s="18"/>
      <c r="DM170" s="1"/>
    </row>
    <row r="171" spans="4:117" x14ac:dyDescent="0.3">
      <c r="D171" s="20">
        <f t="shared" si="42"/>
        <v>45854</v>
      </c>
      <c r="E171" s="73">
        <f>_xll.CbondsClosePrice($B$1,D171,VLOOKUP($B$27,'Help Page'!$M:$N,2,0))</f>
        <v>96.461699999999993</v>
      </c>
      <c r="F171" s="73">
        <f t="shared" si="41"/>
        <v>96.461699999999993</v>
      </c>
      <c r="G171" s="33">
        <f>IF(F171 = "","",IFERROR(IF($G$1 = "YTM",_xll.CbondsCalcYTM($B$1,D171,F171),_xll.CbondsCalcYTP($B$1,D171,F171)),"")*100)</f>
        <v>5.5621138279968001</v>
      </c>
      <c r="P171" s="1"/>
      <c r="U171" s="74"/>
      <c r="V171" s="74"/>
      <c r="W171" s="74"/>
      <c r="X171" s="74"/>
      <c r="Y171" s="74"/>
      <c r="Z171" s="74"/>
      <c r="AA171" s="74"/>
      <c r="AB171" s="74"/>
      <c r="AC171" s="74"/>
      <c r="AJ171" s="74"/>
      <c r="AK171" s="74"/>
      <c r="AL171" s="74"/>
      <c r="AM171" s="74"/>
      <c r="AN171" s="74"/>
      <c r="AO171" s="74"/>
      <c r="AP171" s="74"/>
      <c r="AQ171" s="74"/>
      <c r="AR171" s="74"/>
      <c r="AS171" s="74"/>
      <c r="BD171" s="74"/>
      <c r="BE171" s="74"/>
      <c r="BF171" s="74"/>
      <c r="BG171" s="74"/>
      <c r="BH171" s="74"/>
      <c r="BI171" s="74"/>
      <c r="CF171" s="18"/>
      <c r="CG171" s="18"/>
      <c r="CH171" s="18"/>
      <c r="CI171" s="18" t="str">
        <f>_xll.ReferenceParams(CH171,$CI$6 )</f>
        <v/>
      </c>
      <c r="CJ171" s="27" t="str">
        <f>_xll.ReferenceParams(CH171,$CJ$6 )</f>
        <v/>
      </c>
      <c r="CK171" s="27" t="str">
        <f>_xll.ReferenceParams(CH171,$CK$6)</f>
        <v/>
      </c>
      <c r="CL171" s="18" t="str">
        <f t="shared" si="44"/>
        <v/>
      </c>
      <c r="CM171" s="18"/>
      <c r="DM171" s="1"/>
    </row>
    <row r="172" spans="4:117" x14ac:dyDescent="0.3">
      <c r="D172" s="20">
        <f t="shared" si="42"/>
        <v>45853</v>
      </c>
      <c r="E172" s="73">
        <f>_xll.CbondsClosePrice($B$1,D172,VLOOKUP($B$27,'Help Page'!$M:$N,2,0))</f>
        <v>96.063800000000001</v>
      </c>
      <c r="F172" s="73">
        <f t="shared" si="41"/>
        <v>96.063800000000001</v>
      </c>
      <c r="G172" s="33">
        <f>IF(F172 = "","",IFERROR(IF($G$1 = "YTM",_xll.CbondsCalcYTM($B$1,D172,F172),_xll.CbondsCalcYTP($B$1,D172,F172)),"")*100)</f>
        <v>5.7702451798831005</v>
      </c>
      <c r="P172" s="1"/>
      <c r="U172" s="74"/>
      <c r="V172" s="74"/>
      <c r="W172" s="74"/>
      <c r="X172" s="74"/>
      <c r="Y172" s="74"/>
      <c r="Z172" s="74"/>
      <c r="AA172" s="74"/>
      <c r="AB172" s="74"/>
      <c r="AC172" s="74"/>
      <c r="AJ172" s="74"/>
      <c r="AK172" s="74"/>
      <c r="AL172" s="74"/>
      <c r="AM172" s="74"/>
      <c r="AN172" s="74"/>
      <c r="AO172" s="74"/>
      <c r="AP172" s="74"/>
      <c r="AQ172" s="74"/>
      <c r="AR172" s="74"/>
      <c r="AS172" s="74"/>
      <c r="BD172" s="74"/>
      <c r="BE172" s="74"/>
      <c r="BF172" s="74"/>
      <c r="BG172" s="74"/>
      <c r="BH172" s="74"/>
      <c r="BI172" s="74"/>
      <c r="CF172" s="18"/>
      <c r="CG172" s="18"/>
      <c r="CH172" s="18"/>
      <c r="CI172" s="18" t="str">
        <f>_xll.ReferenceParams(CH172,$CI$6 )</f>
        <v/>
      </c>
      <c r="CJ172" s="27" t="str">
        <f>_xll.ReferenceParams(CH172,$CJ$6 )</f>
        <v/>
      </c>
      <c r="CK172" s="27" t="str">
        <f>_xll.ReferenceParams(CH172,$CK$6)</f>
        <v/>
      </c>
      <c r="CL172" s="18" t="str">
        <f t="shared" si="44"/>
        <v/>
      </c>
      <c r="CM172" s="18"/>
      <c r="DM172" s="1"/>
    </row>
    <row r="173" spans="4:117" x14ac:dyDescent="0.3">
      <c r="D173" s="20">
        <f t="shared" si="42"/>
        <v>45852</v>
      </c>
      <c r="E173" s="73">
        <f>_xll.CbondsClosePrice($B$1,D173,VLOOKUP($B$27,'Help Page'!$M:$N,2,0))</f>
        <v>96.147300000000001</v>
      </c>
      <c r="F173" s="73">
        <f t="shared" si="41"/>
        <v>96.147300000000001</v>
      </c>
      <c r="G173" s="33">
        <f>IF(F173 = "","",IFERROR(IF($G$1 = "YTM",_xll.CbondsCalcYTM($B$1,D173,F173),_xll.CbondsCalcYTP($B$1,D173,F173)),"")*100)</f>
        <v>5.7236010379594999</v>
      </c>
      <c r="P173" s="1"/>
      <c r="U173" s="74"/>
      <c r="V173" s="74"/>
      <c r="W173" s="74"/>
      <c r="X173" s="74"/>
      <c r="Y173" s="74"/>
      <c r="Z173" s="74"/>
      <c r="AA173" s="74"/>
      <c r="AB173" s="74"/>
      <c r="AC173" s="74"/>
      <c r="AJ173" s="74"/>
      <c r="AK173" s="74"/>
      <c r="AL173" s="74"/>
      <c r="AM173" s="74"/>
      <c r="AN173" s="74"/>
      <c r="AO173" s="74"/>
      <c r="AP173" s="74"/>
      <c r="AQ173" s="74"/>
      <c r="AR173" s="74"/>
      <c r="AS173" s="74"/>
      <c r="BD173" s="74"/>
      <c r="BE173" s="74"/>
      <c r="BF173" s="74"/>
      <c r="BG173" s="74"/>
      <c r="BH173" s="74"/>
      <c r="BI173" s="74"/>
      <c r="CF173" s="18"/>
      <c r="CG173" s="18"/>
      <c r="CH173" s="18"/>
      <c r="CI173" s="18" t="str">
        <f>_xll.ReferenceParams(CH173,$CI$6 )</f>
        <v/>
      </c>
      <c r="CJ173" s="27" t="str">
        <f>_xll.ReferenceParams(CH173,$CJ$6 )</f>
        <v/>
      </c>
      <c r="CK173" s="27" t="str">
        <f>_xll.ReferenceParams(CH173,$CK$6)</f>
        <v/>
      </c>
      <c r="CL173" s="18" t="str">
        <f t="shared" si="44"/>
        <v/>
      </c>
      <c r="CM173" s="18"/>
      <c r="DM173" s="1"/>
    </row>
    <row r="174" spans="4:117" x14ac:dyDescent="0.3">
      <c r="D174" s="20">
        <f t="shared" si="42"/>
        <v>45851</v>
      </c>
      <c r="E174" s="73" t="str">
        <f>_xll.CbondsClosePrice($B$1,D174,VLOOKUP($B$27,'Help Page'!$M:$N,2,0))</f>
        <v>Нет данных</v>
      </c>
      <c r="F174" s="73">
        <f t="shared" si="41"/>
        <v>96.340900000000005</v>
      </c>
      <c r="G174" s="33">
        <f>IF(F174 = "","",IFERROR(IF($G$1 = "YTM",_xll.CbondsCalcYTM($B$1,D174,F174),_xll.CbondsCalcYTP($B$1,D174,F174)),"")*100)</f>
        <v>5.6192172113551999</v>
      </c>
      <c r="P174" s="1"/>
      <c r="U174" s="74"/>
      <c r="V174" s="74"/>
      <c r="W174" s="74"/>
      <c r="X174" s="74"/>
      <c r="Y174" s="74"/>
      <c r="Z174" s="74"/>
      <c r="AA174" s="74"/>
      <c r="AB174" s="74"/>
      <c r="AC174" s="74"/>
      <c r="AJ174" s="74"/>
      <c r="AK174" s="74"/>
      <c r="AL174" s="74"/>
      <c r="AM174" s="74"/>
      <c r="AN174" s="74"/>
      <c r="AO174" s="74"/>
      <c r="AP174" s="74"/>
      <c r="AQ174" s="74"/>
      <c r="AR174" s="74"/>
      <c r="AS174" s="74"/>
      <c r="BD174" s="74"/>
      <c r="BE174" s="74"/>
      <c r="BF174" s="74"/>
      <c r="BG174" s="74"/>
      <c r="BH174" s="74"/>
      <c r="BI174" s="74"/>
      <c r="CF174" s="18"/>
      <c r="CG174" s="18"/>
      <c r="CH174" s="18"/>
      <c r="CI174" s="18" t="str">
        <f>_xll.ReferenceParams(CH174,$CI$6 )</f>
        <v/>
      </c>
      <c r="CJ174" s="27" t="str">
        <f>_xll.ReferenceParams(CH174,$CJ$6 )</f>
        <v/>
      </c>
      <c r="CK174" s="27" t="str">
        <f>_xll.ReferenceParams(CH174,$CK$6)</f>
        <v/>
      </c>
      <c r="CL174" s="18" t="str">
        <f t="shared" si="44"/>
        <v/>
      </c>
      <c r="CM174" s="18"/>
      <c r="DM174" s="1"/>
    </row>
    <row r="175" spans="4:117" x14ac:dyDescent="0.3">
      <c r="D175" s="20">
        <f t="shared" si="42"/>
        <v>45850</v>
      </c>
      <c r="E175" s="73" t="str">
        <f>_xll.CbondsClosePrice($B$1,D175,VLOOKUP($B$27,'Help Page'!$M:$N,2,0))</f>
        <v>Нет данных</v>
      </c>
      <c r="F175" s="73">
        <f t="shared" si="41"/>
        <v>96.340900000000005</v>
      </c>
      <c r="G175" s="33">
        <f>IF(F175 = "","",IFERROR(IF($G$1 = "YTM",_xll.CbondsCalcYTM($B$1,D175,F175),_xll.CbondsCalcYTP($B$1,D175,F175)),"")*100)</f>
        <v>5.6168684200026995</v>
      </c>
      <c r="P175" s="1"/>
      <c r="U175" s="74"/>
      <c r="V175" s="74"/>
      <c r="W175" s="74"/>
      <c r="X175" s="74"/>
      <c r="Y175" s="74"/>
      <c r="Z175" s="74"/>
      <c r="AA175" s="74"/>
      <c r="AB175" s="74"/>
      <c r="AC175" s="74"/>
      <c r="AJ175" s="74"/>
      <c r="AK175" s="74"/>
      <c r="AL175" s="74"/>
      <c r="AM175" s="74"/>
      <c r="AN175" s="74"/>
      <c r="AO175" s="74"/>
      <c r="AP175" s="74"/>
      <c r="AQ175" s="74"/>
      <c r="AR175" s="74"/>
      <c r="AS175" s="74"/>
      <c r="BD175" s="74"/>
      <c r="BE175" s="74"/>
      <c r="BF175" s="74"/>
      <c r="BG175" s="74"/>
      <c r="BH175" s="74"/>
      <c r="BI175" s="74"/>
      <c r="CF175" s="18"/>
      <c r="CG175" s="18"/>
      <c r="CH175" s="18"/>
      <c r="CI175" s="18" t="str">
        <f>_xll.ReferenceParams(CH175,$CI$6 )</f>
        <v/>
      </c>
      <c r="CJ175" s="27" t="str">
        <f>_xll.ReferenceParams(CH175,$CJ$6 )</f>
        <v/>
      </c>
      <c r="CK175" s="27" t="str">
        <f>_xll.ReferenceParams(CH175,$CK$6)</f>
        <v/>
      </c>
      <c r="CL175" s="18" t="str">
        <f t="shared" si="44"/>
        <v/>
      </c>
      <c r="CM175" s="18"/>
      <c r="DM175" s="1"/>
    </row>
    <row r="176" spans="4:117" x14ac:dyDescent="0.3">
      <c r="D176" s="20">
        <f t="shared" si="42"/>
        <v>45849</v>
      </c>
      <c r="E176" s="73">
        <f>_xll.CbondsClosePrice($B$1,D176,VLOOKUP($B$27,'Help Page'!$M:$N,2,0))</f>
        <v>96.340900000000005</v>
      </c>
      <c r="F176" s="73">
        <f t="shared" si="41"/>
        <v>96.340900000000005</v>
      </c>
      <c r="G176" s="33">
        <f>IF(F176 = "","",IFERROR(IF($G$1 = "YTM",_xll.CbondsCalcYTM($B$1,D176,F176),_xll.CbondsCalcYTP($B$1,D176,F176)),"")*100)</f>
        <v>5.6145263988841005</v>
      </c>
      <c r="P176" s="1"/>
      <c r="U176" s="74"/>
      <c r="V176" s="74"/>
      <c r="W176" s="74"/>
      <c r="X176" s="74"/>
      <c r="Y176" s="74"/>
      <c r="Z176" s="74"/>
      <c r="AA176" s="74"/>
      <c r="AB176" s="74"/>
      <c r="AC176" s="74"/>
      <c r="AJ176" s="74"/>
      <c r="AK176" s="74"/>
      <c r="AL176" s="74"/>
      <c r="AM176" s="74"/>
      <c r="AN176" s="74"/>
      <c r="AO176" s="74"/>
      <c r="AP176" s="74"/>
      <c r="AQ176" s="74"/>
      <c r="AR176" s="74"/>
      <c r="AS176" s="74"/>
      <c r="BD176" s="74"/>
      <c r="BE176" s="74"/>
      <c r="BF176" s="74"/>
      <c r="BG176" s="74"/>
      <c r="BH176" s="74"/>
      <c r="BI176" s="74"/>
      <c r="CF176" s="18"/>
      <c r="CG176" s="18"/>
      <c r="CH176" s="18"/>
      <c r="CI176" s="18" t="str">
        <f>_xll.ReferenceParams(CH176,$CI$6 )</f>
        <v/>
      </c>
      <c r="CJ176" s="27" t="str">
        <f>_xll.ReferenceParams(CH176,$CJ$6 )</f>
        <v/>
      </c>
      <c r="CK176" s="27" t="str">
        <f>_xll.ReferenceParams(CH176,$CK$6)</f>
        <v/>
      </c>
      <c r="CL176" s="18" t="str">
        <f t="shared" si="44"/>
        <v/>
      </c>
      <c r="CM176" s="18"/>
      <c r="DM176" s="1"/>
    </row>
    <row r="177" spans="4:117" x14ac:dyDescent="0.3">
      <c r="D177" s="20">
        <f t="shared" si="42"/>
        <v>45848</v>
      </c>
      <c r="E177" s="73">
        <f>_xll.CbondsClosePrice($B$1,D177,VLOOKUP($B$27,'Help Page'!$M:$N,2,0))</f>
        <v>96.294200000000004</v>
      </c>
      <c r="F177" s="73">
        <f t="shared" si="41"/>
        <v>96.294200000000004</v>
      </c>
      <c r="G177" s="33">
        <f>IF(F177 = "","",IFERROR(IF($G$1 = "YTM",_xll.CbondsCalcYTM($B$1,D177,F177),_xll.CbondsCalcYTP($B$1,D177,F177)),"")*100)</f>
        <v>5.6366528446630006</v>
      </c>
      <c r="P177" s="1"/>
      <c r="U177" s="74"/>
      <c r="V177" s="74"/>
      <c r="W177" s="74"/>
      <c r="X177" s="74"/>
      <c r="Y177" s="74"/>
      <c r="Z177" s="74"/>
      <c r="AA177" s="74"/>
      <c r="AB177" s="74"/>
      <c r="AC177" s="74"/>
      <c r="AJ177" s="74"/>
      <c r="AK177" s="74"/>
      <c r="AL177" s="74"/>
      <c r="AM177" s="74"/>
      <c r="AN177" s="74"/>
      <c r="AO177" s="74"/>
      <c r="AP177" s="74"/>
      <c r="AQ177" s="74"/>
      <c r="AR177" s="74"/>
      <c r="AS177" s="74"/>
      <c r="BD177" s="74"/>
      <c r="BE177" s="74"/>
      <c r="BF177" s="74"/>
      <c r="BG177" s="74"/>
      <c r="BH177" s="74"/>
      <c r="BI177" s="74"/>
      <c r="CF177" s="18"/>
      <c r="CG177" s="18"/>
      <c r="CH177" s="18"/>
      <c r="CI177" s="18" t="str">
        <f>_xll.ReferenceParams(CH177,$CI$6 )</f>
        <v/>
      </c>
      <c r="CJ177" s="27" t="str">
        <f>_xll.ReferenceParams(CH177,$CJ$6 )</f>
        <v/>
      </c>
      <c r="CK177" s="27" t="str">
        <f>_xll.ReferenceParams(CH177,$CK$6)</f>
        <v/>
      </c>
      <c r="CL177" s="18" t="str">
        <f t="shared" si="44"/>
        <v/>
      </c>
      <c r="CM177" s="18"/>
      <c r="DM177" s="1"/>
    </row>
    <row r="178" spans="4:117" x14ac:dyDescent="0.3">
      <c r="D178" s="20">
        <f t="shared" si="42"/>
        <v>45847</v>
      </c>
      <c r="E178" s="73">
        <f>_xll.CbondsClosePrice($B$1,D178,VLOOKUP($B$27,'Help Page'!$M:$N,2,0))</f>
        <v>96.399900000000002</v>
      </c>
      <c r="F178" s="73">
        <f t="shared" si="41"/>
        <v>96.399900000000002</v>
      </c>
      <c r="G178" s="33">
        <f>IF(F178 = "","",IFERROR(IF($G$1 = "YTM",_xll.CbondsCalcYTM($B$1,D178,F178),_xll.CbondsCalcYTP($B$1,D178,F178)),"")*100)</f>
        <v>5.5790214366757001</v>
      </c>
      <c r="P178" s="1"/>
      <c r="U178" s="74"/>
      <c r="V178" s="74"/>
      <c r="W178" s="74"/>
      <c r="X178" s="74"/>
      <c r="Y178" s="74"/>
      <c r="Z178" s="74"/>
      <c r="AA178" s="74"/>
      <c r="AB178" s="74"/>
      <c r="AC178" s="74"/>
      <c r="AJ178" s="74"/>
      <c r="AK178" s="74"/>
      <c r="AL178" s="74"/>
      <c r="AM178" s="74"/>
      <c r="AN178" s="74"/>
      <c r="AO178" s="74"/>
      <c r="AP178" s="74"/>
      <c r="AQ178" s="74"/>
      <c r="AR178" s="74"/>
      <c r="AS178" s="74"/>
      <c r="BD178" s="74"/>
      <c r="BE178" s="74"/>
      <c r="BF178" s="74"/>
      <c r="BG178" s="74"/>
      <c r="BH178" s="74"/>
      <c r="BI178" s="74"/>
      <c r="CF178" s="18"/>
      <c r="CG178" s="18"/>
      <c r="CH178" s="18"/>
      <c r="CI178" s="18" t="str">
        <f>_xll.ReferenceParams(CH178,$CI$6 )</f>
        <v/>
      </c>
      <c r="CJ178" s="27" t="str">
        <f>_xll.ReferenceParams(CH178,$CJ$6 )</f>
        <v/>
      </c>
      <c r="CK178" s="27" t="str">
        <f>_xll.ReferenceParams(CH178,$CK$6)</f>
        <v/>
      </c>
      <c r="CL178" s="18" t="str">
        <f t="shared" si="44"/>
        <v/>
      </c>
      <c r="CM178" s="18"/>
      <c r="DM178" s="1"/>
    </row>
    <row r="179" spans="4:117" x14ac:dyDescent="0.3">
      <c r="D179" s="20">
        <f t="shared" si="42"/>
        <v>45846</v>
      </c>
      <c r="E179" s="73">
        <f>_xll.CbondsClosePrice($B$1,D179,VLOOKUP($B$27,'Help Page'!$M:$N,2,0))</f>
        <v>96.000200000000007</v>
      </c>
      <c r="F179" s="73">
        <f t="shared" si="41"/>
        <v>96.000200000000007</v>
      </c>
      <c r="G179" s="33">
        <f>IF(F179 = "","",IFERROR(IF($G$1 = "YTM",_xll.CbondsCalcYTM($B$1,D179,F179),_xll.CbondsCalcYTP($B$1,D179,F179)),"")*100)</f>
        <v>5.7864961693034997</v>
      </c>
      <c r="P179" s="1"/>
      <c r="U179" s="74"/>
      <c r="V179" s="74"/>
      <c r="W179" s="74"/>
      <c r="X179" s="74"/>
      <c r="Y179" s="74"/>
      <c r="Z179" s="74"/>
      <c r="AA179" s="74"/>
      <c r="AB179" s="74"/>
      <c r="AC179" s="74"/>
      <c r="AJ179" s="74"/>
      <c r="AK179" s="74"/>
      <c r="AL179" s="74"/>
      <c r="AM179" s="74"/>
      <c r="AN179" s="74"/>
      <c r="AO179" s="74"/>
      <c r="AP179" s="74"/>
      <c r="AQ179" s="74"/>
      <c r="AR179" s="74"/>
      <c r="AS179" s="74"/>
      <c r="BD179" s="74"/>
      <c r="BE179" s="74"/>
      <c r="BF179" s="74"/>
      <c r="BG179" s="74"/>
      <c r="BH179" s="74"/>
      <c r="BI179" s="74"/>
      <c r="CF179" s="18"/>
      <c r="CG179" s="18"/>
      <c r="CH179" s="18"/>
      <c r="CI179" s="18" t="str">
        <f>_xll.ReferenceParams(CH179,$CI$6 )</f>
        <v/>
      </c>
      <c r="CJ179" s="27" t="str">
        <f>_xll.ReferenceParams(CH179,$CJ$6 )</f>
        <v/>
      </c>
      <c r="CK179" s="27" t="str">
        <f>_xll.ReferenceParams(CH179,$CK$6)</f>
        <v/>
      </c>
      <c r="CL179" s="18" t="str">
        <f t="shared" si="44"/>
        <v/>
      </c>
      <c r="CM179" s="18"/>
      <c r="DM179" s="1"/>
    </row>
    <row r="180" spans="4:117" x14ac:dyDescent="0.3">
      <c r="D180" s="20">
        <f t="shared" si="42"/>
        <v>45845</v>
      </c>
      <c r="E180" s="73">
        <f>_xll.CbondsClosePrice($B$1,D180,VLOOKUP($B$27,'Help Page'!$M:$N,2,0))</f>
        <v>94.9786</v>
      </c>
      <c r="F180" s="73">
        <f t="shared" si="41"/>
        <v>94.9786</v>
      </c>
      <c r="G180" s="33">
        <f>IF(F180 = "","",IFERROR(IF($G$1 = "YTM",_xll.CbondsCalcYTM($B$1,D180,F180),_xll.CbondsCalcYTP($B$1,D180,F180)),"")*100)</f>
        <v>6.3240733050770004</v>
      </c>
      <c r="P180" s="1"/>
      <c r="U180" s="74"/>
      <c r="V180" s="74"/>
      <c r="W180" s="74"/>
      <c r="X180" s="74"/>
      <c r="Y180" s="74"/>
      <c r="Z180" s="74"/>
      <c r="AA180" s="74"/>
      <c r="AB180" s="74"/>
      <c r="AC180" s="74"/>
      <c r="AJ180" s="74"/>
      <c r="AK180" s="74"/>
      <c r="AL180" s="74"/>
      <c r="AM180" s="74"/>
      <c r="AN180" s="74"/>
      <c r="AO180" s="74"/>
      <c r="AP180" s="74"/>
      <c r="AQ180" s="74"/>
      <c r="AR180" s="74"/>
      <c r="AS180" s="74"/>
      <c r="BD180" s="74"/>
      <c r="BE180" s="74"/>
      <c r="BF180" s="74"/>
      <c r="BG180" s="74"/>
      <c r="BH180" s="74"/>
      <c r="BI180" s="74"/>
      <c r="CF180" s="18"/>
      <c r="CG180" s="18"/>
      <c r="CH180" s="18"/>
      <c r="CI180" s="18" t="str">
        <f>_xll.ReferenceParams(CH180,$CI$6 )</f>
        <v/>
      </c>
      <c r="CJ180" s="27" t="str">
        <f>_xll.ReferenceParams(CH180,$CJ$6 )</f>
        <v/>
      </c>
      <c r="CK180" s="27" t="str">
        <f>_xll.ReferenceParams(CH180,$CK$6)</f>
        <v/>
      </c>
      <c r="CL180" s="18" t="str">
        <f t="shared" si="44"/>
        <v/>
      </c>
      <c r="CM180" s="18"/>
      <c r="DM180" s="1"/>
    </row>
    <row r="181" spans="4:117" x14ac:dyDescent="0.3">
      <c r="D181" s="20">
        <f t="shared" si="42"/>
        <v>45844</v>
      </c>
      <c r="E181" s="73" t="str">
        <f>_xll.CbondsClosePrice($B$1,D181,VLOOKUP($B$27,'Help Page'!$M:$N,2,0))</f>
        <v>Нет данных</v>
      </c>
      <c r="F181" s="73">
        <f t="shared" si="41"/>
        <v>96.162400000000005</v>
      </c>
      <c r="G181" s="33">
        <f>IF(F181 = "","",IFERROR(IF($G$1 = "YTM",_xll.CbondsCalcYTM($B$1,D181,F181),_xll.CbondsCalcYTP($B$1,D181,F181)),"")*100)</f>
        <v>5.6965758308372001</v>
      </c>
      <c r="P181" s="1"/>
      <c r="U181" s="74"/>
      <c r="V181" s="74"/>
      <c r="W181" s="74"/>
      <c r="X181" s="74"/>
      <c r="Y181" s="74"/>
      <c r="Z181" s="74"/>
      <c r="AA181" s="74"/>
      <c r="AB181" s="74"/>
      <c r="AC181" s="74"/>
      <c r="AJ181" s="74"/>
      <c r="AK181" s="74"/>
      <c r="AL181" s="74"/>
      <c r="AM181" s="74"/>
      <c r="AN181" s="74"/>
      <c r="AO181" s="74"/>
      <c r="AP181" s="74"/>
      <c r="AQ181" s="74"/>
      <c r="AR181" s="74"/>
      <c r="AS181" s="74"/>
      <c r="BD181" s="74"/>
      <c r="BE181" s="74"/>
      <c r="BF181" s="74"/>
      <c r="BG181" s="74"/>
      <c r="BH181" s="74"/>
      <c r="BI181" s="74"/>
      <c r="CF181" s="18"/>
      <c r="CG181" s="18"/>
      <c r="CH181" s="18"/>
      <c r="CI181" s="18" t="str">
        <f>_xll.ReferenceParams(CH181,$CI$6 )</f>
        <v/>
      </c>
      <c r="CJ181" s="27" t="str">
        <f>_xll.ReferenceParams(CH181,$CJ$6 )</f>
        <v/>
      </c>
      <c r="CK181" s="27" t="str">
        <f>_xll.ReferenceParams(CH181,$CK$6)</f>
        <v/>
      </c>
      <c r="CL181" s="18" t="str">
        <f t="shared" si="44"/>
        <v/>
      </c>
      <c r="CM181" s="18"/>
      <c r="DM181" s="1"/>
    </row>
    <row r="182" spans="4:117" x14ac:dyDescent="0.3">
      <c r="D182" s="20">
        <f t="shared" si="42"/>
        <v>45843</v>
      </c>
      <c r="E182" s="73" t="str">
        <f>_xll.CbondsClosePrice($B$1,D182,VLOOKUP($B$27,'Help Page'!$M:$N,2,0))</f>
        <v>Нет данных</v>
      </c>
      <c r="F182" s="73">
        <f t="shared" si="41"/>
        <v>96.162400000000005</v>
      </c>
      <c r="G182" s="33">
        <f>IF(F182 = "","",IFERROR(IF($G$1 = "YTM",_xll.CbondsCalcYTM($B$1,D182,F182),_xll.CbondsCalcYTP($B$1,D182,F182)),"")*100)</f>
        <v>5.6941592554525</v>
      </c>
      <c r="P182" s="1"/>
      <c r="U182" s="74"/>
      <c r="V182" s="74"/>
      <c r="W182" s="74"/>
      <c r="X182" s="74"/>
      <c r="Y182" s="74"/>
      <c r="Z182" s="74"/>
      <c r="AA182" s="74"/>
      <c r="AB182" s="74"/>
      <c r="AC182" s="74"/>
      <c r="AJ182" s="74"/>
      <c r="AK182" s="74"/>
      <c r="AL182" s="74"/>
      <c r="AM182" s="74"/>
      <c r="AN182" s="74"/>
      <c r="AO182" s="74"/>
      <c r="AP182" s="74"/>
      <c r="AQ182" s="74"/>
      <c r="AR182" s="74"/>
      <c r="AS182" s="74"/>
      <c r="BD182" s="74"/>
      <c r="BE182" s="74"/>
      <c r="BF182" s="74"/>
      <c r="BG182" s="74"/>
      <c r="BH182" s="74"/>
      <c r="BI182" s="74"/>
      <c r="CF182" s="18"/>
      <c r="CG182" s="18"/>
      <c r="CH182" s="18"/>
      <c r="CI182" s="18" t="str">
        <f>_xll.ReferenceParams(CH182,$CI$6 )</f>
        <v/>
      </c>
      <c r="CJ182" s="27" t="str">
        <f>_xll.ReferenceParams(CH182,$CJ$6 )</f>
        <v/>
      </c>
      <c r="CK182" s="27" t="str">
        <f>_xll.ReferenceParams(CH182,$CK$6)</f>
        <v/>
      </c>
      <c r="CL182" s="18" t="str">
        <f t="shared" si="44"/>
        <v/>
      </c>
      <c r="CM182" s="18"/>
      <c r="DM182" s="1"/>
    </row>
    <row r="183" spans="4:117" x14ac:dyDescent="0.3">
      <c r="D183" s="20">
        <f t="shared" si="42"/>
        <v>45842</v>
      </c>
      <c r="E183" s="73">
        <f>_xll.CbondsClosePrice($B$1,D183,VLOOKUP($B$27,'Help Page'!$M:$N,2,0))</f>
        <v>96.162400000000005</v>
      </c>
      <c r="F183" s="73">
        <f t="shared" si="41"/>
        <v>96.162400000000005</v>
      </c>
      <c r="G183" s="33">
        <f>IF(F183 = "","",IFERROR(IF($G$1 = "YTM",_xll.CbondsCalcYTM($B$1,D183,F183),_xll.CbondsCalcYTP($B$1,D183,F183)),"")*100)</f>
        <v>5.6917495722035003</v>
      </c>
      <c r="P183" s="1"/>
      <c r="U183" s="74"/>
      <c r="V183" s="74"/>
      <c r="W183" s="74"/>
      <c r="X183" s="74"/>
      <c r="Y183" s="74"/>
      <c r="Z183" s="74"/>
      <c r="AA183" s="74"/>
      <c r="AB183" s="74"/>
      <c r="AC183" s="74"/>
      <c r="AJ183" s="74"/>
      <c r="AK183" s="74"/>
      <c r="AL183" s="74"/>
      <c r="AM183" s="74"/>
      <c r="AN183" s="74"/>
      <c r="AO183" s="74"/>
      <c r="AP183" s="74"/>
      <c r="AQ183" s="74"/>
      <c r="AR183" s="74"/>
      <c r="AS183" s="74"/>
      <c r="BD183" s="74"/>
      <c r="BE183" s="74"/>
      <c r="BF183" s="74"/>
      <c r="BG183" s="74"/>
      <c r="BH183" s="74"/>
      <c r="BI183" s="74"/>
      <c r="CF183" s="18"/>
      <c r="CG183" s="18"/>
      <c r="CH183" s="18"/>
      <c r="CI183" s="18" t="str">
        <f>_xll.ReferenceParams(CH183,$CI$6 )</f>
        <v/>
      </c>
      <c r="CJ183" s="27" t="str">
        <f>_xll.ReferenceParams(CH183,$CJ$6 )</f>
        <v/>
      </c>
      <c r="CK183" s="27" t="str">
        <f>_xll.ReferenceParams(CH183,$CK$6)</f>
        <v/>
      </c>
      <c r="CL183" s="18" t="str">
        <f t="shared" si="44"/>
        <v/>
      </c>
      <c r="CM183" s="18"/>
      <c r="DM183" s="1"/>
    </row>
    <row r="184" spans="4:117" x14ac:dyDescent="0.3">
      <c r="D184" s="20">
        <f t="shared" si="42"/>
        <v>45841</v>
      </c>
      <c r="E184" s="73">
        <f>_xll.CbondsClosePrice($B$1,D184,VLOOKUP($B$27,'Help Page'!$M:$N,2,0))</f>
        <v>96.069599999999994</v>
      </c>
      <c r="F184" s="73">
        <f t="shared" si="41"/>
        <v>96.069599999999994</v>
      </c>
      <c r="G184" s="33">
        <f>IF(F184 = "","",IFERROR(IF($G$1 = "YTM",_xll.CbondsCalcYTM($B$1,D184,F184),_xll.CbondsCalcYTP($B$1,D184,F184)),"")*100)</f>
        <v>5.7376926160043</v>
      </c>
      <c r="P184" s="1"/>
      <c r="U184" s="74"/>
      <c r="V184" s="74"/>
      <c r="W184" s="74"/>
      <c r="X184" s="74"/>
      <c r="Y184" s="74"/>
      <c r="Z184" s="74"/>
      <c r="AA184" s="74"/>
      <c r="AB184" s="74"/>
      <c r="AC184" s="74"/>
      <c r="AJ184" s="74"/>
      <c r="AK184" s="74"/>
      <c r="AL184" s="74"/>
      <c r="AM184" s="74"/>
      <c r="AN184" s="74"/>
      <c r="AO184" s="74"/>
      <c r="AP184" s="74"/>
      <c r="AQ184" s="74"/>
      <c r="AR184" s="74"/>
      <c r="AS184" s="74"/>
      <c r="BD184" s="74"/>
      <c r="BE184" s="74"/>
      <c r="BF184" s="74"/>
      <c r="BG184" s="74"/>
      <c r="BH184" s="74"/>
      <c r="BI184" s="74"/>
      <c r="CF184" s="18"/>
      <c r="CG184" s="18"/>
      <c r="CH184" s="18"/>
      <c r="CI184" s="18" t="str">
        <f>_xll.ReferenceParams(CH184,$CI$6 )</f>
        <v/>
      </c>
      <c r="CJ184" s="27" t="str">
        <f>_xll.ReferenceParams(CH184,$CJ$6 )</f>
        <v/>
      </c>
      <c r="CK184" s="27" t="str">
        <f>_xll.ReferenceParams(CH184,$CK$6)</f>
        <v/>
      </c>
      <c r="CL184" s="18" t="str">
        <f t="shared" si="44"/>
        <v/>
      </c>
      <c r="CM184" s="18"/>
      <c r="DM184" s="1"/>
    </row>
    <row r="185" spans="4:117" x14ac:dyDescent="0.3">
      <c r="D185" s="20">
        <f t="shared" si="42"/>
        <v>45840</v>
      </c>
      <c r="E185" s="73">
        <f>_xll.CbondsClosePrice($B$1,D185,VLOOKUP($B$27,'Help Page'!$M:$N,2,0))</f>
        <v>95.984499999999997</v>
      </c>
      <c r="F185" s="73">
        <f t="shared" si="41"/>
        <v>95.984499999999997</v>
      </c>
      <c r="G185" s="33">
        <f>IF(F185 = "","",IFERROR(IF($G$1 = "YTM",_xll.CbondsCalcYTM($B$1,D185,F185),_xll.CbondsCalcYTP($B$1,D185,F185)),"")*100)</f>
        <v>5.7795794171894999</v>
      </c>
      <c r="P185" s="1"/>
      <c r="U185" s="74"/>
      <c r="V185" s="74"/>
      <c r="W185" s="74"/>
      <c r="X185" s="74"/>
      <c r="Y185" s="74"/>
      <c r="Z185" s="74"/>
      <c r="AA185" s="74"/>
      <c r="AB185" s="74"/>
      <c r="AC185" s="74"/>
      <c r="AJ185" s="74"/>
      <c r="AK185" s="74"/>
      <c r="AL185" s="74"/>
      <c r="AM185" s="74"/>
      <c r="AN185" s="74"/>
      <c r="AO185" s="74"/>
      <c r="AP185" s="74"/>
      <c r="AQ185" s="74"/>
      <c r="AR185" s="74"/>
      <c r="AS185" s="74"/>
      <c r="BD185" s="74"/>
      <c r="BE185" s="74"/>
      <c r="BF185" s="74"/>
      <c r="BG185" s="74"/>
      <c r="BH185" s="74"/>
      <c r="BI185" s="74"/>
      <c r="CF185" s="18"/>
      <c r="CG185" s="18"/>
      <c r="CH185" s="18"/>
      <c r="CI185" s="18" t="str">
        <f>_xll.ReferenceParams(CH185,$CI$6 )</f>
        <v/>
      </c>
      <c r="CJ185" s="27" t="str">
        <f>_xll.ReferenceParams(CH185,$CJ$6 )</f>
        <v/>
      </c>
      <c r="CK185" s="27" t="str">
        <f>_xll.ReferenceParams(CH185,$CK$6)</f>
        <v/>
      </c>
      <c r="CL185" s="18" t="str">
        <f t="shared" si="44"/>
        <v/>
      </c>
      <c r="CM185" s="18"/>
      <c r="DM185" s="1"/>
    </row>
    <row r="186" spans="4:117" x14ac:dyDescent="0.3">
      <c r="D186" s="20">
        <f t="shared" si="42"/>
        <v>45839</v>
      </c>
      <c r="E186" s="73">
        <f>_xll.CbondsClosePrice($B$1,D186,VLOOKUP($B$27,'Help Page'!$M:$N,2,0))</f>
        <v>96</v>
      </c>
      <c r="F186" s="73">
        <f t="shared" si="41"/>
        <v>96</v>
      </c>
      <c r="G186" s="33">
        <f>IF(F186 = "","",IFERROR(IF($G$1 = "YTM",_xll.CbondsCalcYTM($B$1,D186,F186),_xll.CbondsCalcYTP($B$1,D186,F186)),"")*100)</f>
        <v>5.7695272224417993</v>
      </c>
      <c r="P186" s="1"/>
      <c r="U186" s="74"/>
      <c r="V186" s="74"/>
      <c r="W186" s="74"/>
      <c r="X186" s="74"/>
      <c r="Y186" s="74"/>
      <c r="Z186" s="74"/>
      <c r="AA186" s="74"/>
      <c r="AB186" s="74"/>
      <c r="AC186" s="74"/>
      <c r="AJ186" s="74"/>
      <c r="AK186" s="74"/>
      <c r="AL186" s="74"/>
      <c r="AM186" s="74"/>
      <c r="AN186" s="74"/>
      <c r="AO186" s="74"/>
      <c r="AP186" s="74"/>
      <c r="AQ186" s="74"/>
      <c r="AR186" s="74"/>
      <c r="AS186" s="74"/>
      <c r="BD186" s="74"/>
      <c r="BE186" s="74"/>
      <c r="BF186" s="74"/>
      <c r="BG186" s="74"/>
      <c r="BH186" s="74"/>
      <c r="BI186" s="74"/>
      <c r="CF186" s="18"/>
      <c r="CG186" s="18"/>
      <c r="CH186" s="18"/>
      <c r="CI186" s="18" t="str">
        <f>_xll.ReferenceParams(CH186,$CI$6 )</f>
        <v/>
      </c>
      <c r="CJ186" s="27" t="str">
        <f>_xll.ReferenceParams(CH186,$CJ$6 )</f>
        <v/>
      </c>
      <c r="CK186" s="27" t="str">
        <f>_xll.ReferenceParams(CH186,$CK$6)</f>
        <v/>
      </c>
      <c r="CL186" s="18" t="str">
        <f t="shared" si="44"/>
        <v/>
      </c>
      <c r="CM186" s="18"/>
      <c r="DM186" s="1"/>
    </row>
    <row r="187" spans="4:117" x14ac:dyDescent="0.3">
      <c r="D187" s="20">
        <f t="shared" si="42"/>
        <v>45838</v>
      </c>
      <c r="E187" s="73">
        <f>_xll.CbondsClosePrice($B$1,D187,VLOOKUP($B$27,'Help Page'!$M:$N,2,0))</f>
        <v>96.091499999999996</v>
      </c>
      <c r="F187" s="73">
        <f t="shared" si="41"/>
        <v>96.091499999999996</v>
      </c>
      <c r="G187" s="33">
        <f>IF(F187 = "","",IFERROR(IF($G$1 = "YTM",_xll.CbondsCalcYTM($B$1,D187,F187),_xll.CbondsCalcYTP($B$1,D187,F187)),"")*100)</f>
        <v>5.7194941381586997</v>
      </c>
      <c r="P187" s="1"/>
      <c r="U187" s="74"/>
      <c r="V187" s="74"/>
      <c r="W187" s="74"/>
      <c r="X187" s="74"/>
      <c r="Y187" s="74"/>
      <c r="Z187" s="74"/>
      <c r="AA187" s="74"/>
      <c r="AB187" s="74"/>
      <c r="AC187" s="74"/>
      <c r="AJ187" s="74"/>
      <c r="AK187" s="74"/>
      <c r="AL187" s="74"/>
      <c r="AM187" s="74"/>
      <c r="AN187" s="74"/>
      <c r="AO187" s="74"/>
      <c r="AP187" s="74"/>
      <c r="AQ187" s="74"/>
      <c r="AR187" s="74"/>
      <c r="AS187" s="74"/>
      <c r="BD187" s="74"/>
      <c r="BE187" s="74"/>
      <c r="BF187" s="74"/>
      <c r="BG187" s="74"/>
      <c r="BH187" s="74"/>
      <c r="BI187" s="74"/>
      <c r="CF187" s="18"/>
      <c r="CG187" s="18"/>
      <c r="CH187" s="18"/>
      <c r="CI187" s="18" t="str">
        <f>_xll.ReferenceParams(CH187,$CI$6 )</f>
        <v/>
      </c>
      <c r="CJ187" s="27" t="str">
        <f>_xll.ReferenceParams(CH187,$CJ$6 )</f>
        <v/>
      </c>
      <c r="CK187" s="27" t="str">
        <f>_xll.ReferenceParams(CH187,$CK$6)</f>
        <v/>
      </c>
      <c r="CL187" s="18" t="str">
        <f t="shared" si="44"/>
        <v/>
      </c>
      <c r="CM187" s="18"/>
      <c r="DM187" s="1"/>
    </row>
    <row r="188" spans="4:117" x14ac:dyDescent="0.3">
      <c r="D188" s="20">
        <f t="shared" si="42"/>
        <v>45837</v>
      </c>
      <c r="E188" s="73" t="str">
        <f>_xll.CbondsClosePrice($B$1,D188,VLOOKUP($B$27,'Help Page'!$M:$N,2,0))</f>
        <v>Нет данных</v>
      </c>
      <c r="F188" s="73">
        <f t="shared" si="41"/>
        <v>95.757499999999993</v>
      </c>
      <c r="G188" s="33">
        <f>IF(F188 = "","",IFERROR(IF($G$1 = "YTM",_xll.CbondsCalcYTM($B$1,D188,F188),_xll.CbondsCalcYTP($B$1,D188,F188)),"")*100)</f>
        <v>5.8907512960626995</v>
      </c>
      <c r="P188" s="1"/>
      <c r="U188" s="74"/>
      <c r="V188" s="74"/>
      <c r="W188" s="74"/>
      <c r="X188" s="74"/>
      <c r="Y188" s="74"/>
      <c r="Z188" s="74"/>
      <c r="AA188" s="74"/>
      <c r="AB188" s="74"/>
      <c r="AC188" s="74"/>
      <c r="AJ188" s="74"/>
      <c r="AK188" s="74"/>
      <c r="AL188" s="74"/>
      <c r="AM188" s="74"/>
      <c r="AN188" s="74"/>
      <c r="AO188" s="74"/>
      <c r="AP188" s="74"/>
      <c r="AQ188" s="74"/>
      <c r="AR188" s="74"/>
      <c r="AS188" s="74"/>
      <c r="BD188" s="74"/>
      <c r="BE188" s="74"/>
      <c r="BF188" s="74"/>
      <c r="BG188" s="74"/>
      <c r="BH188" s="74"/>
      <c r="BI188" s="74"/>
      <c r="CF188" s="18"/>
      <c r="CG188" s="18"/>
      <c r="CH188" s="18"/>
      <c r="CI188" s="18" t="str">
        <f>_xll.ReferenceParams(CH188,$CI$6 )</f>
        <v/>
      </c>
      <c r="CJ188" s="27" t="str">
        <f>_xll.ReferenceParams(CH188,$CJ$6 )</f>
        <v/>
      </c>
      <c r="CK188" s="27" t="str">
        <f>_xll.ReferenceParams(CH188,$CK$6)</f>
        <v/>
      </c>
      <c r="CL188" s="18" t="str">
        <f t="shared" si="44"/>
        <v/>
      </c>
      <c r="CM188" s="18"/>
      <c r="DM188" s="1"/>
    </row>
    <row r="189" spans="4:117" x14ac:dyDescent="0.3">
      <c r="D189" s="20">
        <f t="shared" si="42"/>
        <v>45836</v>
      </c>
      <c r="E189" s="73" t="str">
        <f>_xll.CbondsClosePrice($B$1,D189,VLOOKUP($B$27,'Help Page'!$M:$N,2,0))</f>
        <v>Нет данных</v>
      </c>
      <c r="F189" s="73">
        <f t="shared" si="41"/>
        <v>95.757499999999993</v>
      </c>
      <c r="G189" s="33">
        <f>IF(F189 = "","",IFERROR(IF($G$1 = "YTM",_xll.CbondsCalcYTM($B$1,D189,F189),_xll.CbondsCalcYTP($B$1,D189,F189)),"")*100)</f>
        <v>5.8881265213383003</v>
      </c>
      <c r="P189" s="1"/>
      <c r="U189" s="74"/>
      <c r="V189" s="74"/>
      <c r="W189" s="74"/>
      <c r="X189" s="74"/>
      <c r="Y189" s="74"/>
      <c r="Z189" s="74"/>
      <c r="AA189" s="74"/>
      <c r="AB189" s="74"/>
      <c r="AC189" s="74"/>
      <c r="AJ189" s="74"/>
      <c r="AK189" s="74"/>
      <c r="AL189" s="74"/>
      <c r="AM189" s="74"/>
      <c r="AN189" s="74"/>
      <c r="AO189" s="74"/>
      <c r="AP189" s="74"/>
      <c r="AQ189" s="74"/>
      <c r="AR189" s="74"/>
      <c r="AS189" s="74"/>
      <c r="BD189" s="74"/>
      <c r="BE189" s="74"/>
      <c r="BF189" s="74"/>
      <c r="BG189" s="74"/>
      <c r="BH189" s="74"/>
      <c r="BI189" s="74"/>
      <c r="CF189" s="18"/>
      <c r="CG189" s="18"/>
      <c r="CH189" s="18"/>
      <c r="CI189" s="18" t="str">
        <f>_xll.ReferenceParams(CH189,$CI$6 )</f>
        <v/>
      </c>
      <c r="CJ189" s="27" t="str">
        <f>_xll.ReferenceParams(CH189,$CJ$6 )</f>
        <v/>
      </c>
      <c r="CK189" s="27" t="str">
        <f>_xll.ReferenceParams(CH189,$CK$6)</f>
        <v/>
      </c>
      <c r="CL189" s="18" t="str">
        <f t="shared" si="44"/>
        <v/>
      </c>
      <c r="CM189" s="18"/>
      <c r="DM189" s="1"/>
    </row>
    <row r="190" spans="4:117" x14ac:dyDescent="0.3">
      <c r="D190" s="20">
        <f t="shared" si="42"/>
        <v>45835</v>
      </c>
      <c r="E190" s="73">
        <f>_xll.CbondsClosePrice($B$1,D190,VLOOKUP($B$27,'Help Page'!$M:$N,2,0))</f>
        <v>95.757499999999993</v>
      </c>
      <c r="F190" s="73">
        <f t="shared" si="41"/>
        <v>95.757499999999993</v>
      </c>
      <c r="G190" s="33">
        <f>IF(F190 = "","",IFERROR(IF($G$1 = "YTM",_xll.CbondsCalcYTM($B$1,D190,F190),_xll.CbondsCalcYTP($B$1,D190,F190)),"")*100)</f>
        <v>5.8855091316242003</v>
      </c>
      <c r="P190" s="1"/>
      <c r="U190" s="74"/>
      <c r="V190" s="74"/>
      <c r="W190" s="74"/>
      <c r="X190" s="74"/>
      <c r="Y190" s="74"/>
      <c r="Z190" s="74"/>
      <c r="AA190" s="74"/>
      <c r="AB190" s="74"/>
      <c r="AC190" s="74"/>
      <c r="AJ190" s="74"/>
      <c r="AK190" s="74"/>
      <c r="AL190" s="74"/>
      <c r="AM190" s="74"/>
      <c r="AN190" s="74"/>
      <c r="AO190" s="74"/>
      <c r="AP190" s="74"/>
      <c r="AQ190" s="74"/>
      <c r="AR190" s="74"/>
      <c r="AS190" s="74"/>
      <c r="BD190" s="74"/>
      <c r="BE190" s="74"/>
      <c r="BF190" s="74"/>
      <c r="BG190" s="74"/>
      <c r="BH190" s="74"/>
      <c r="BI190" s="74"/>
      <c r="CF190" s="18"/>
      <c r="CG190" s="18"/>
      <c r="CH190" s="18"/>
      <c r="CI190" s="18" t="str">
        <f>_xll.ReferenceParams(CH190,$CI$6 )</f>
        <v/>
      </c>
      <c r="CJ190" s="27" t="str">
        <f>_xll.ReferenceParams(CH190,$CJ$6 )</f>
        <v/>
      </c>
      <c r="CK190" s="27" t="str">
        <f>_xll.ReferenceParams(CH190,$CK$6)</f>
        <v/>
      </c>
      <c r="CL190" s="18" t="str">
        <f t="shared" si="44"/>
        <v/>
      </c>
      <c r="CM190" s="18"/>
      <c r="DM190" s="1"/>
    </row>
    <row r="191" spans="4:117" x14ac:dyDescent="0.3">
      <c r="D191" s="20">
        <f t="shared" si="42"/>
        <v>45834</v>
      </c>
      <c r="E191" s="73">
        <f>_xll.CbondsClosePrice($B$1,D191,VLOOKUP($B$27,'Help Page'!$M:$N,2,0))</f>
        <v>96.249399999999994</v>
      </c>
      <c r="F191" s="73">
        <f t="shared" si="41"/>
        <v>96.249399999999994</v>
      </c>
      <c r="G191" s="33">
        <f>IF(F191 = "","",IFERROR(IF($G$1 = "YTM",_xll.CbondsCalcYTM($B$1,D191,F191),_xll.CbondsCalcYTP($B$1,D191,F191)),"")*100)</f>
        <v>5.6283546702612002</v>
      </c>
      <c r="P191" s="1"/>
      <c r="U191" s="74"/>
      <c r="V191" s="74"/>
      <c r="W191" s="74"/>
      <c r="X191" s="74"/>
      <c r="Y191" s="74"/>
      <c r="Z191" s="74"/>
      <c r="AA191" s="74"/>
      <c r="AB191" s="74"/>
      <c r="AC191" s="74"/>
      <c r="AJ191" s="74"/>
      <c r="AK191" s="74"/>
      <c r="AL191" s="74"/>
      <c r="AM191" s="74"/>
      <c r="AN191" s="74"/>
      <c r="AO191" s="74"/>
      <c r="AP191" s="74"/>
      <c r="AQ191" s="74"/>
      <c r="AR191" s="74"/>
      <c r="AS191" s="74"/>
      <c r="BD191" s="74"/>
      <c r="BE191" s="74"/>
      <c r="BF191" s="74"/>
      <c r="BG191" s="74"/>
      <c r="BH191" s="74"/>
      <c r="BI191" s="74"/>
      <c r="CF191" s="18"/>
      <c r="CG191" s="18"/>
      <c r="CH191" s="18"/>
      <c r="CI191" s="18" t="str">
        <f>_xll.ReferenceParams(CH191,$CI$6 )</f>
        <v/>
      </c>
      <c r="CJ191" s="27" t="str">
        <f>_xll.ReferenceParams(CH191,$CJ$6 )</f>
        <v/>
      </c>
      <c r="CK191" s="27" t="str">
        <f>_xll.ReferenceParams(CH191,$CK$6)</f>
        <v/>
      </c>
      <c r="CL191" s="18" t="str">
        <f t="shared" si="44"/>
        <v/>
      </c>
      <c r="CM191" s="18"/>
      <c r="DM191" s="1"/>
    </row>
    <row r="192" spans="4:117" x14ac:dyDescent="0.3">
      <c r="D192" s="20">
        <f t="shared" si="42"/>
        <v>45833</v>
      </c>
      <c r="E192" s="73">
        <f>_xll.CbondsClosePrice($B$1,D192,VLOOKUP($B$27,'Help Page'!$M:$N,2,0))</f>
        <v>96.183400000000006</v>
      </c>
      <c r="F192" s="73">
        <f t="shared" si="41"/>
        <v>96.183400000000006</v>
      </c>
      <c r="G192" s="33">
        <f>IF(F192 = "","",IFERROR(IF($G$1 = "YTM",_xll.CbondsCalcYTM($B$1,D192,F192),_xll.CbondsCalcYTP($B$1,D192,F192)),"")*100)</f>
        <v>5.6600585005595994</v>
      </c>
      <c r="P192" s="1"/>
      <c r="U192" s="74"/>
      <c r="V192" s="74"/>
      <c r="W192" s="74"/>
      <c r="X192" s="74"/>
      <c r="Y192" s="74"/>
      <c r="Z192" s="74"/>
      <c r="AA192" s="74"/>
      <c r="AB192" s="74"/>
      <c r="AC192" s="74"/>
      <c r="AJ192" s="74"/>
      <c r="AK192" s="74"/>
      <c r="AL192" s="74"/>
      <c r="AM192" s="74"/>
      <c r="AN192" s="74"/>
      <c r="AO192" s="74"/>
      <c r="AP192" s="74"/>
      <c r="AQ192" s="74"/>
      <c r="AR192" s="74"/>
      <c r="AS192" s="74"/>
      <c r="BD192" s="74"/>
      <c r="BE192" s="74"/>
      <c r="BF192" s="74"/>
      <c r="BG192" s="74"/>
      <c r="BH192" s="74"/>
      <c r="BI192" s="74"/>
      <c r="CF192" s="18"/>
      <c r="CG192" s="18"/>
      <c r="CH192" s="18"/>
      <c r="CI192" s="18" t="str">
        <f>_xll.ReferenceParams(CH192,$CI$6 )</f>
        <v/>
      </c>
      <c r="CJ192" s="27" t="str">
        <f>_xll.ReferenceParams(CH192,$CJ$6 )</f>
        <v/>
      </c>
      <c r="CK192" s="27" t="str">
        <f>_xll.ReferenceParams(CH192,$CK$6)</f>
        <v/>
      </c>
      <c r="CL192" s="18" t="str">
        <f t="shared" si="44"/>
        <v/>
      </c>
      <c r="CM192" s="18"/>
      <c r="DM192" s="1"/>
    </row>
    <row r="193" spans="4:117" x14ac:dyDescent="0.3">
      <c r="D193" s="20">
        <f t="shared" si="42"/>
        <v>45832</v>
      </c>
      <c r="E193" s="73">
        <f>_xll.CbondsClosePrice($B$1,D193,VLOOKUP($B$27,'Help Page'!$M:$N,2,0))</f>
        <v>95.612700000000004</v>
      </c>
      <c r="F193" s="73">
        <f t="shared" si="41"/>
        <v>95.612700000000004</v>
      </c>
      <c r="G193" s="33">
        <f>IF(F193 = "","",IFERROR(IF($G$1 = "YTM",_xll.CbondsCalcYTM($B$1,D193,F193),_xll.CbondsCalcYTP($B$1,D193,F193)),"")*100)</f>
        <v>5.9528212344276001</v>
      </c>
      <c r="P193" s="1"/>
      <c r="U193" s="74"/>
      <c r="V193" s="74"/>
      <c r="W193" s="74"/>
      <c r="X193" s="74"/>
      <c r="Y193" s="74"/>
      <c r="Z193" s="74"/>
      <c r="AA193" s="74"/>
      <c r="AB193" s="74"/>
      <c r="AC193" s="74"/>
      <c r="AJ193" s="74"/>
      <c r="AK193" s="74"/>
      <c r="AL193" s="74"/>
      <c r="AM193" s="74"/>
      <c r="AN193" s="74"/>
      <c r="AO193" s="74"/>
      <c r="AP193" s="74"/>
      <c r="AQ193" s="74"/>
      <c r="AR193" s="74"/>
      <c r="AS193" s="74"/>
      <c r="BD193" s="74"/>
      <c r="BE193" s="74"/>
      <c r="BF193" s="74"/>
      <c r="BG193" s="74"/>
      <c r="BH193" s="74"/>
      <c r="BI193" s="74"/>
      <c r="CF193" s="18"/>
      <c r="CG193" s="18"/>
      <c r="CH193" s="18"/>
      <c r="CI193" s="18" t="str">
        <f>_xll.ReferenceParams(CH193,$CI$6 )</f>
        <v/>
      </c>
      <c r="CJ193" s="27" t="str">
        <f>_xll.ReferenceParams(CH193,$CJ$6 )</f>
        <v/>
      </c>
      <c r="CK193" s="27" t="str">
        <f>_xll.ReferenceParams(CH193,$CK$6)</f>
        <v/>
      </c>
      <c r="CL193" s="18" t="str">
        <f t="shared" si="44"/>
        <v/>
      </c>
      <c r="CM193" s="18"/>
      <c r="DM193" s="1"/>
    </row>
    <row r="194" spans="4:117" x14ac:dyDescent="0.3">
      <c r="D194" s="20">
        <f t="shared" si="42"/>
        <v>45831</v>
      </c>
      <c r="E194" s="73">
        <f>_xll.CbondsClosePrice($B$1,D194,VLOOKUP($B$27,'Help Page'!$M:$N,2,0))</f>
        <v>96</v>
      </c>
      <c r="F194" s="73">
        <f t="shared" si="41"/>
        <v>96</v>
      </c>
      <c r="G194" s="33">
        <f>IF(F194 = "","",IFERROR(IF($G$1 = "YTM",_xll.CbondsCalcYTM($B$1,D194,F194),_xll.CbondsCalcYTP($B$1,D194,F194)),"")*100)</f>
        <v>5.7503527305444004</v>
      </c>
      <c r="P194" s="1"/>
      <c r="U194" s="74"/>
      <c r="V194" s="74"/>
      <c r="W194" s="74"/>
      <c r="X194" s="74"/>
      <c r="Y194" s="74"/>
      <c r="Z194" s="74"/>
      <c r="AA194" s="74"/>
      <c r="AB194" s="74"/>
      <c r="AC194" s="74"/>
      <c r="AJ194" s="74"/>
      <c r="AK194" s="74"/>
      <c r="AL194" s="74"/>
      <c r="AM194" s="74"/>
      <c r="AN194" s="74"/>
      <c r="AO194" s="74"/>
      <c r="AP194" s="74"/>
      <c r="AQ194" s="74"/>
      <c r="AR194" s="74"/>
      <c r="AS194" s="74"/>
      <c r="BD194" s="74"/>
      <c r="BE194" s="74"/>
      <c r="BF194" s="74"/>
      <c r="BG194" s="74"/>
      <c r="BH194" s="74"/>
      <c r="BI194" s="74"/>
      <c r="CF194" s="18"/>
      <c r="CG194" s="18"/>
      <c r="CH194" s="18"/>
      <c r="CI194" s="18" t="str">
        <f>_xll.ReferenceParams(CH194,$CI$6 )</f>
        <v/>
      </c>
      <c r="CJ194" s="27" t="str">
        <f>_xll.ReferenceParams(CH194,$CJ$6 )</f>
        <v/>
      </c>
      <c r="CK194" s="27" t="str">
        <f>_xll.ReferenceParams(CH194,$CK$6)</f>
        <v/>
      </c>
      <c r="CL194" s="18" t="str">
        <f t="shared" si="44"/>
        <v/>
      </c>
      <c r="CM194" s="18"/>
      <c r="DM194" s="1"/>
    </row>
    <row r="195" spans="4:117" x14ac:dyDescent="0.3">
      <c r="D195" s="20">
        <f t="shared" si="42"/>
        <v>45830</v>
      </c>
      <c r="E195" s="73" t="str">
        <f>_xll.CbondsClosePrice($B$1,D195,VLOOKUP($B$27,'Help Page'!$M:$N,2,0))</f>
        <v>Нет данных</v>
      </c>
      <c r="F195" s="73">
        <f t="shared" ref="F195:F258" si="45">IF(IF(AND(E195="",D195=""),"",IF(AND(E195="Нет данных",D195&lt;&gt;""),F196,E195)) = 0,"",IF(AND(E195="",D195=""),"",IF(AND(E195="Нет данных",D195&lt;&gt;""),F196,E195)))</f>
        <v>95.85</v>
      </c>
      <c r="G195" s="33">
        <f>IF(F195 = "","",IFERROR(IF($G$1 = "YTM",_xll.CbondsCalcYTM($B$1,D195,F195),_xll.CbondsCalcYTP($B$1,D195,F195)),"")*100)</f>
        <v>5.8252643872901002</v>
      </c>
      <c r="P195" s="1"/>
      <c r="U195" s="74"/>
      <c r="V195" s="74"/>
      <c r="W195" s="74"/>
      <c r="X195" s="74"/>
      <c r="Y195" s="74"/>
      <c r="Z195" s="74"/>
      <c r="AA195" s="74"/>
      <c r="AB195" s="74"/>
      <c r="AC195" s="74"/>
      <c r="AJ195" s="74"/>
      <c r="AK195" s="74"/>
      <c r="AL195" s="74"/>
      <c r="AM195" s="74"/>
      <c r="AN195" s="74"/>
      <c r="AO195" s="74"/>
      <c r="AP195" s="74"/>
      <c r="AQ195" s="74"/>
      <c r="AR195" s="74"/>
      <c r="AS195" s="74"/>
      <c r="BD195" s="74"/>
      <c r="BE195" s="74"/>
      <c r="BF195" s="74"/>
      <c r="BG195" s="74"/>
      <c r="BH195" s="74"/>
      <c r="BI195" s="74"/>
      <c r="CF195" s="18"/>
      <c r="CG195" s="18"/>
      <c r="CH195" s="18"/>
      <c r="CI195" s="18" t="str">
        <f>_xll.ReferenceParams(CH195,$CI$6 )</f>
        <v/>
      </c>
      <c r="CJ195" s="27" t="str">
        <f>_xll.ReferenceParams(CH195,$CJ$6 )</f>
        <v/>
      </c>
      <c r="CK195" s="27" t="str">
        <f>_xll.ReferenceParams(CH195,$CK$6)</f>
        <v/>
      </c>
      <c r="CL195" s="18" t="str">
        <f t="shared" si="44"/>
        <v/>
      </c>
      <c r="CM195" s="18"/>
      <c r="DM195" s="1"/>
    </row>
    <row r="196" spans="4:117" x14ac:dyDescent="0.3">
      <c r="D196" s="20">
        <f t="shared" ref="D196:D259" si="46">D195-1</f>
        <v>45829</v>
      </c>
      <c r="E196" s="73" t="str">
        <f>_xll.CbondsClosePrice($B$1,D196,VLOOKUP($B$27,'Help Page'!$M:$N,2,0))</f>
        <v>Нет данных</v>
      </c>
      <c r="F196" s="73">
        <f t="shared" si="45"/>
        <v>95.85</v>
      </c>
      <c r="G196" s="33">
        <f>IF(F196 = "","",IFERROR(IF($G$1 = "YTM",_xll.CbondsCalcYTM($B$1,D196,F196),_xll.CbondsCalcYTP($B$1,D196,F196)),"")*100)</f>
        <v>5.8227475090993002</v>
      </c>
      <c r="P196" s="1"/>
      <c r="U196" s="74"/>
      <c r="V196" s="74"/>
      <c r="W196" s="74"/>
      <c r="X196" s="74"/>
      <c r="Y196" s="74"/>
      <c r="Z196" s="74"/>
      <c r="AA196" s="74"/>
      <c r="AB196" s="74"/>
      <c r="AC196" s="74"/>
      <c r="AJ196" s="74"/>
      <c r="AK196" s="74"/>
      <c r="AL196" s="74"/>
      <c r="AM196" s="74"/>
      <c r="AN196" s="74"/>
      <c r="AO196" s="74"/>
      <c r="AP196" s="74"/>
      <c r="AQ196" s="74"/>
      <c r="AR196" s="74"/>
      <c r="AS196" s="74"/>
      <c r="BD196" s="74"/>
      <c r="BE196" s="74"/>
      <c r="BF196" s="74"/>
      <c r="BG196" s="74"/>
      <c r="BH196" s="74"/>
      <c r="BI196" s="74"/>
      <c r="CF196" s="18"/>
      <c r="CG196" s="18"/>
      <c r="CH196" s="18"/>
      <c r="CI196" s="18" t="str">
        <f>_xll.ReferenceParams(CH196,$CI$6 )</f>
        <v/>
      </c>
      <c r="CJ196" s="27" t="str">
        <f>_xll.ReferenceParams(CH196,$CJ$6 )</f>
        <v/>
      </c>
      <c r="CK196" s="27" t="str">
        <f>_xll.ReferenceParams(CH196,$CK$6)</f>
        <v/>
      </c>
      <c r="CL196" s="18" t="str">
        <f t="shared" si="44"/>
        <v/>
      </c>
      <c r="CM196" s="18"/>
      <c r="DM196" s="1"/>
    </row>
    <row r="197" spans="4:117" x14ac:dyDescent="0.3">
      <c r="D197" s="20">
        <f t="shared" si="46"/>
        <v>45828</v>
      </c>
      <c r="E197" s="73">
        <f>_xll.CbondsClosePrice($B$1,D197,VLOOKUP($B$27,'Help Page'!$M:$N,2,0))</f>
        <v>95.85</v>
      </c>
      <c r="F197" s="73">
        <f t="shared" si="45"/>
        <v>95.85</v>
      </c>
      <c r="G197" s="33">
        <f>IF(F197 = "","",IFERROR(IF($G$1 = "YTM",_xll.CbondsCalcYTM($B$1,D197,F197),_xll.CbondsCalcYTP($B$1,D197,F197)),"")*100)</f>
        <v>5.8202376681471995</v>
      </c>
      <c r="P197" s="1"/>
      <c r="U197" s="74"/>
      <c r="V197" s="74"/>
      <c r="W197" s="74"/>
      <c r="X197" s="74"/>
      <c r="Y197" s="74"/>
      <c r="Z197" s="74"/>
      <c r="AA197" s="74"/>
      <c r="AB197" s="74"/>
      <c r="AC197" s="74"/>
      <c r="AJ197" s="74"/>
      <c r="AK197" s="74"/>
      <c r="AL197" s="74"/>
      <c r="AM197" s="74"/>
      <c r="AN197" s="74"/>
      <c r="AO197" s="74"/>
      <c r="AP197" s="74"/>
      <c r="AQ197" s="74"/>
      <c r="AR197" s="74"/>
      <c r="AS197" s="74"/>
      <c r="BD197" s="74"/>
      <c r="BE197" s="74"/>
      <c r="BF197" s="74"/>
      <c r="BG197" s="74"/>
      <c r="BH197" s="74"/>
      <c r="BI197" s="74"/>
      <c r="CF197" s="18"/>
      <c r="CG197" s="18"/>
      <c r="CH197" s="18"/>
      <c r="CI197" s="18" t="str">
        <f>_xll.ReferenceParams(CH197,$CI$6 )</f>
        <v/>
      </c>
      <c r="CJ197" s="27" t="str">
        <f>_xll.ReferenceParams(CH197,$CJ$6 )</f>
        <v/>
      </c>
      <c r="CK197" s="27" t="str">
        <f>_xll.ReferenceParams(CH197,$CK$6)</f>
        <v/>
      </c>
      <c r="CL197" s="18" t="str">
        <f t="shared" si="44"/>
        <v/>
      </c>
      <c r="CM197" s="18"/>
      <c r="DM197" s="1"/>
    </row>
    <row r="198" spans="4:117" x14ac:dyDescent="0.3">
      <c r="D198" s="20">
        <f t="shared" si="46"/>
        <v>45827</v>
      </c>
      <c r="E198" s="73">
        <f>_xll.CbondsClosePrice($B$1,D198,VLOOKUP($B$27,'Help Page'!$M:$N,2,0))</f>
        <v>95.495699999999999</v>
      </c>
      <c r="F198" s="73">
        <f t="shared" si="45"/>
        <v>95.495699999999999</v>
      </c>
      <c r="G198" s="33">
        <f>IF(F198 = "","",IFERROR(IF($G$1 = "YTM",_xll.CbondsCalcYTM($B$1,D198,F198),_xll.CbondsCalcYTP($B$1,D198,F198)),"")*100)</f>
        <v>6.0004765176771997</v>
      </c>
      <c r="P198" s="1"/>
      <c r="U198" s="74"/>
      <c r="V198" s="74"/>
      <c r="W198" s="74"/>
      <c r="X198" s="74"/>
      <c r="Y198" s="74"/>
      <c r="Z198" s="74"/>
      <c r="AA198" s="74"/>
      <c r="AB198" s="74"/>
      <c r="AC198" s="74"/>
      <c r="AJ198" s="74"/>
      <c r="AK198" s="74"/>
      <c r="AL198" s="74"/>
      <c r="AM198" s="74"/>
      <c r="AN198" s="74"/>
      <c r="AO198" s="74"/>
      <c r="AP198" s="74"/>
      <c r="AQ198" s="74"/>
      <c r="AR198" s="74"/>
      <c r="AS198" s="74"/>
      <c r="BD198" s="74"/>
      <c r="BE198" s="74"/>
      <c r="BF198" s="74"/>
      <c r="BG198" s="74"/>
      <c r="BH198" s="74"/>
      <c r="BI198" s="74"/>
      <c r="CF198" s="18"/>
      <c r="CG198" s="18"/>
      <c r="CH198" s="18"/>
      <c r="CI198" s="18" t="str">
        <f>_xll.ReferenceParams(CH198,$CI$6 )</f>
        <v/>
      </c>
      <c r="CJ198" s="27" t="str">
        <f>_xll.ReferenceParams(CH198,$CJ$6 )</f>
        <v/>
      </c>
      <c r="CK198" s="27" t="str">
        <f>_xll.ReferenceParams(CH198,$CK$6)</f>
        <v/>
      </c>
      <c r="CL198" s="18" t="str">
        <f t="shared" si="44"/>
        <v/>
      </c>
      <c r="CM198" s="18"/>
      <c r="DM198" s="1"/>
    </row>
    <row r="199" spans="4:117" x14ac:dyDescent="0.3">
      <c r="D199" s="20">
        <f t="shared" si="46"/>
        <v>45826</v>
      </c>
      <c r="E199" s="73">
        <f>_xll.CbondsClosePrice($B$1,D199,VLOOKUP($B$27,'Help Page'!$M:$N,2,0))</f>
        <v>96.2</v>
      </c>
      <c r="F199" s="73">
        <f t="shared" si="45"/>
        <v>96.2</v>
      </c>
      <c r="G199" s="33">
        <f>IF(F199 = "","",IFERROR(IF($G$1 = "YTM",_xll.CbondsCalcYTM($B$1,D199,F199),_xll.CbondsCalcYTP($B$1,D199,F199)),"")*100)</f>
        <v>5.6359149011934999</v>
      </c>
      <c r="P199" s="1"/>
      <c r="U199" s="74"/>
      <c r="V199" s="74"/>
      <c r="W199" s="74"/>
      <c r="X199" s="74"/>
      <c r="Y199" s="74"/>
      <c r="Z199" s="74"/>
      <c r="AA199" s="74"/>
      <c r="AB199" s="74"/>
      <c r="AC199" s="74"/>
      <c r="AJ199" s="74"/>
      <c r="AK199" s="74"/>
      <c r="AL199" s="74"/>
      <c r="AM199" s="74"/>
      <c r="AN199" s="74"/>
      <c r="AO199" s="74"/>
      <c r="AP199" s="74"/>
      <c r="AQ199" s="74"/>
      <c r="AR199" s="74"/>
      <c r="AS199" s="74"/>
      <c r="BD199" s="74"/>
      <c r="BE199" s="74"/>
      <c r="BF199" s="74"/>
      <c r="BG199" s="74"/>
      <c r="BH199" s="74"/>
      <c r="BI199" s="74"/>
      <c r="CF199" s="18"/>
      <c r="CG199" s="18"/>
      <c r="CH199" s="18"/>
      <c r="CI199" s="18" t="str">
        <f>_xll.ReferenceParams(CH199,$CI$6 )</f>
        <v/>
      </c>
      <c r="CJ199" s="27" t="str">
        <f>_xll.ReferenceParams(CH199,$CJ$6 )</f>
        <v/>
      </c>
      <c r="CK199" s="27" t="str">
        <f>_xll.ReferenceParams(CH199,$CK$6)</f>
        <v/>
      </c>
      <c r="CL199" s="18" t="str">
        <f t="shared" ref="CL199:CL203" si="47">IF(CH199 = "","",IF(AND(CI199="В обращении",CJ199&lt;=$B$2,CK199 = "Облигация"),1,0))</f>
        <v/>
      </c>
      <c r="CM199" s="18"/>
      <c r="DM199" s="1"/>
    </row>
    <row r="200" spans="4:117" x14ac:dyDescent="0.3">
      <c r="D200" s="20">
        <f t="shared" si="46"/>
        <v>45825</v>
      </c>
      <c r="E200" s="73">
        <f>_xll.CbondsClosePrice($B$1,D200,VLOOKUP($B$27,'Help Page'!$M:$N,2,0))</f>
        <v>96.160799999999995</v>
      </c>
      <c r="F200" s="73">
        <f t="shared" si="45"/>
        <v>96.160799999999995</v>
      </c>
      <c r="G200" s="33">
        <f>IF(F200 = "","",IFERROR(IF($G$1 = "YTM",_xll.CbondsCalcYTM($B$1,D200,F200),_xll.CbondsCalcYTP($B$1,D200,F200)),"")*100)</f>
        <v>5.6536521275330998</v>
      </c>
      <c r="P200" s="1"/>
      <c r="U200" s="74"/>
      <c r="V200" s="74"/>
      <c r="W200" s="74"/>
      <c r="X200" s="74"/>
      <c r="Y200" s="74"/>
      <c r="Z200" s="74"/>
      <c r="AA200" s="74"/>
      <c r="AB200" s="74"/>
      <c r="AC200" s="74"/>
      <c r="AJ200" s="74"/>
      <c r="AK200" s="74"/>
      <c r="AL200" s="74"/>
      <c r="AM200" s="74"/>
      <c r="AN200" s="74"/>
      <c r="AO200" s="74"/>
      <c r="AP200" s="74"/>
      <c r="AQ200" s="74"/>
      <c r="AR200" s="74"/>
      <c r="AS200" s="74"/>
      <c r="BD200" s="74"/>
      <c r="BE200" s="74"/>
      <c r="BF200" s="74"/>
      <c r="BG200" s="74"/>
      <c r="BH200" s="74"/>
      <c r="BI200" s="74"/>
      <c r="CF200" s="18"/>
      <c r="CG200" s="18"/>
      <c r="CH200" s="18"/>
      <c r="CI200" s="18" t="str">
        <f>_xll.ReferenceParams(CH200,$CI$6 )</f>
        <v/>
      </c>
      <c r="CJ200" s="27" t="str">
        <f>_xll.ReferenceParams(CH200,$CJ$6 )</f>
        <v/>
      </c>
      <c r="CK200" s="27" t="str">
        <f>_xll.ReferenceParams(CH200,$CK$6)</f>
        <v/>
      </c>
      <c r="CL200" s="18" t="str">
        <f t="shared" si="47"/>
        <v/>
      </c>
      <c r="CM200" s="18"/>
      <c r="DM200" s="1"/>
    </row>
    <row r="201" spans="4:117" x14ac:dyDescent="0.3">
      <c r="D201" s="20">
        <f t="shared" si="46"/>
        <v>45824</v>
      </c>
      <c r="E201" s="73">
        <f>_xll.CbondsClosePrice($B$1,D201,VLOOKUP($B$27,'Help Page'!$M:$N,2,0))</f>
        <v>96.5</v>
      </c>
      <c r="F201" s="73">
        <f t="shared" si="45"/>
        <v>96.5</v>
      </c>
      <c r="G201" s="33">
        <f>IF(F201 = "","",IFERROR(IF($G$1 = "YTM",_xll.CbondsCalcYTM($B$1,D201,F201),_xll.CbondsCalcYTP($B$1,D201,F201)),"")*100)</f>
        <v>5.4793080571181996</v>
      </c>
      <c r="P201" s="1"/>
      <c r="U201" s="74"/>
      <c r="V201" s="74"/>
      <c r="W201" s="74"/>
      <c r="X201" s="74"/>
      <c r="Y201" s="74"/>
      <c r="Z201" s="74"/>
      <c r="AA201" s="74"/>
      <c r="AB201" s="74"/>
      <c r="AC201" s="74"/>
      <c r="AJ201" s="74"/>
      <c r="AK201" s="74"/>
      <c r="AL201" s="74"/>
      <c r="AM201" s="74"/>
      <c r="AN201" s="74"/>
      <c r="AO201" s="74"/>
      <c r="AP201" s="74"/>
      <c r="AQ201" s="74"/>
      <c r="AR201" s="74"/>
      <c r="AS201" s="74"/>
      <c r="BD201" s="74"/>
      <c r="BE201" s="74"/>
      <c r="BF201" s="74"/>
      <c r="BG201" s="74"/>
      <c r="BH201" s="74"/>
      <c r="BI201" s="74"/>
      <c r="CF201" s="18"/>
      <c r="CG201" s="18"/>
      <c r="CH201" s="18"/>
      <c r="CI201" s="18" t="str">
        <f>_xll.ReferenceParams(CH201,$CI$6 )</f>
        <v/>
      </c>
      <c r="CJ201" s="27" t="str">
        <f>_xll.ReferenceParams(CH201,$CJ$6 )</f>
        <v/>
      </c>
      <c r="CK201" s="27" t="str">
        <f>_xll.ReferenceParams(CH201,$CK$6)</f>
        <v/>
      </c>
      <c r="CL201" s="18" t="str">
        <f t="shared" si="47"/>
        <v/>
      </c>
      <c r="CM201" s="18"/>
      <c r="DM201" s="1"/>
    </row>
    <row r="202" spans="4:117" x14ac:dyDescent="0.3">
      <c r="D202" s="20">
        <f t="shared" si="46"/>
        <v>45823</v>
      </c>
      <c r="E202" s="73" t="str">
        <f>_xll.CbondsClosePrice($B$1,D202,VLOOKUP($B$27,'Help Page'!$M:$N,2,0))</f>
        <v>Нет данных</v>
      </c>
      <c r="F202" s="73">
        <f t="shared" si="45"/>
        <v>97</v>
      </c>
      <c r="G202" s="33">
        <f>IF(F202 = "","",IFERROR(IF($G$1 = "YTM",_xll.CbondsCalcYTM($B$1,D202,F202),_xll.CbondsCalcYTP($B$1,D202,F202)),"")*100)</f>
        <v>5.2247994856710998</v>
      </c>
      <c r="P202" s="1"/>
      <c r="U202" s="74"/>
      <c r="V202" s="74"/>
      <c r="W202" s="74"/>
      <c r="X202" s="74"/>
      <c r="Y202" s="74"/>
      <c r="Z202" s="74"/>
      <c r="AA202" s="74"/>
      <c r="AB202" s="74"/>
      <c r="AC202" s="74"/>
      <c r="AJ202" s="74"/>
      <c r="AK202" s="74"/>
      <c r="AL202" s="74"/>
      <c r="AM202" s="74"/>
      <c r="AN202" s="74"/>
      <c r="AO202" s="74"/>
      <c r="AP202" s="74"/>
      <c r="AQ202" s="74"/>
      <c r="AR202" s="74"/>
      <c r="AS202" s="74"/>
      <c r="BD202" s="74"/>
      <c r="BE202" s="74"/>
      <c r="BF202" s="74"/>
      <c r="BG202" s="74"/>
      <c r="BH202" s="74"/>
      <c r="BI202" s="74"/>
      <c r="CF202" s="18"/>
      <c r="CG202" s="18"/>
      <c r="CH202" s="18"/>
      <c r="CI202" s="18" t="str">
        <f>_xll.ReferenceParams(CH202,$CI$6 )</f>
        <v/>
      </c>
      <c r="CJ202" s="27" t="str">
        <f>_xll.ReferenceParams(CH202,$CJ$6 )</f>
        <v/>
      </c>
      <c r="CK202" s="27" t="str">
        <f>_xll.ReferenceParams(CH202,$CK$6)</f>
        <v/>
      </c>
      <c r="CL202" s="18" t="str">
        <f t="shared" si="47"/>
        <v/>
      </c>
      <c r="CM202" s="18"/>
      <c r="DM202" s="1"/>
    </row>
    <row r="203" spans="4:117" x14ac:dyDescent="0.3">
      <c r="D203" s="20">
        <f t="shared" si="46"/>
        <v>45822</v>
      </c>
      <c r="E203" s="73" t="str">
        <f>_xll.CbondsClosePrice($B$1,D203,VLOOKUP($B$27,'Help Page'!$M:$N,2,0))</f>
        <v>Нет данных</v>
      </c>
      <c r="F203" s="73">
        <f t="shared" si="45"/>
        <v>97</v>
      </c>
      <c r="G203" s="33">
        <f>IF(F203 = "","",IFERROR(IF($G$1 = "YTM",_xll.CbondsCalcYTM($B$1,D203,F203),_xll.CbondsCalcYTP($B$1,D203,F203)),"")*100)</f>
        <v>5.2230230436783005</v>
      </c>
      <c r="P203" s="1"/>
      <c r="U203" s="74"/>
      <c r="V203" s="74"/>
      <c r="W203" s="74"/>
      <c r="X203" s="74"/>
      <c r="Y203" s="74"/>
      <c r="Z203" s="74"/>
      <c r="AA203" s="74"/>
      <c r="AB203" s="74"/>
      <c r="AC203" s="74"/>
      <c r="AJ203" s="74"/>
      <c r="AK203" s="74"/>
      <c r="AL203" s="74"/>
      <c r="AM203" s="74"/>
      <c r="AN203" s="74"/>
      <c r="AO203" s="74"/>
      <c r="AP203" s="74"/>
      <c r="AQ203" s="74"/>
      <c r="AR203" s="74"/>
      <c r="AS203" s="74"/>
      <c r="BD203" s="74"/>
      <c r="BE203" s="74"/>
      <c r="BF203" s="74"/>
      <c r="BG203" s="74"/>
      <c r="BH203" s="74"/>
      <c r="BI203" s="74"/>
      <c r="CF203" s="18"/>
      <c r="CG203" s="18"/>
      <c r="CH203" s="18"/>
      <c r="CI203" s="18" t="str">
        <f>_xll.ReferenceParams(CH203,$CI$6 )</f>
        <v/>
      </c>
      <c r="CJ203" s="27" t="str">
        <f>_xll.ReferenceParams(CH203,$CJ$6 )</f>
        <v/>
      </c>
      <c r="CK203" s="27" t="str">
        <f>_xll.ReferenceParams(CH203,$CK$6)</f>
        <v/>
      </c>
      <c r="CL203" s="18" t="str">
        <f t="shared" si="47"/>
        <v/>
      </c>
      <c r="CM203" s="18"/>
      <c r="DM203" s="1"/>
    </row>
    <row r="204" spans="4:117" x14ac:dyDescent="0.3">
      <c r="D204" s="20">
        <f t="shared" si="46"/>
        <v>45821</v>
      </c>
      <c r="E204" s="73">
        <f>_xll.CbondsClosePrice($B$1,D204,VLOOKUP($B$27,'Help Page'!$M:$N,2,0))</f>
        <v>97</v>
      </c>
      <c r="F204" s="73">
        <f t="shared" si="45"/>
        <v>97</v>
      </c>
      <c r="G204" s="33">
        <f>IF(F204 = "","",IFERROR(IF($G$1 = "YTM",_xll.CbondsCalcYTM($B$1,D204,F204),_xll.CbondsCalcYTP($B$1,D204,F204)),"")*100)</f>
        <v>5.2212516524412997</v>
      </c>
      <c r="P204" s="1"/>
      <c r="U204" s="74"/>
      <c r="V204" s="74"/>
      <c r="W204" s="74"/>
      <c r="X204" s="74"/>
      <c r="Y204" s="74"/>
      <c r="Z204" s="74"/>
      <c r="AA204" s="74"/>
      <c r="AB204" s="74"/>
      <c r="AC204" s="74"/>
      <c r="AJ204" s="74"/>
      <c r="AK204" s="74"/>
      <c r="AL204" s="74"/>
      <c r="AM204" s="74"/>
      <c r="AN204" s="74"/>
      <c r="AO204" s="74"/>
      <c r="AP204" s="74"/>
      <c r="AQ204" s="74"/>
      <c r="AR204" s="74"/>
      <c r="AS204" s="74"/>
      <c r="BD204" s="74"/>
      <c r="BE204" s="74"/>
      <c r="BF204" s="74"/>
      <c r="BG204" s="74"/>
      <c r="BH204" s="74"/>
      <c r="BI204" s="74"/>
      <c r="DM204" s="1"/>
    </row>
    <row r="205" spans="4:117" x14ac:dyDescent="0.3">
      <c r="D205" s="20">
        <f t="shared" si="46"/>
        <v>45820</v>
      </c>
      <c r="E205" s="73" t="str">
        <f>_xll.CbondsClosePrice($B$1,D205,VLOOKUP($B$27,'Help Page'!$M:$N,2,0))</f>
        <v>Нет данных</v>
      </c>
      <c r="F205" s="73">
        <f t="shared" si="45"/>
        <v>96.251900000000006</v>
      </c>
      <c r="G205" s="33">
        <f>IF(F205 = "","",IFERROR(IF($G$1 = "YTM",_xll.CbondsCalcYTM($B$1,D205,F205),_xll.CbondsCalcYTP($B$1,D205,F205)),"")*100)</f>
        <v>5.5964780659483004</v>
      </c>
      <c r="P205" s="1"/>
      <c r="U205" s="74"/>
      <c r="V205" s="74"/>
      <c r="W205" s="74"/>
      <c r="X205" s="74"/>
      <c r="Y205" s="74"/>
      <c r="Z205" s="74"/>
      <c r="AA205" s="74"/>
      <c r="AB205" s="74"/>
      <c r="AC205" s="74"/>
      <c r="AJ205" s="74"/>
      <c r="AK205" s="74"/>
      <c r="AL205" s="74"/>
      <c r="AM205" s="74"/>
      <c r="AN205" s="74"/>
      <c r="AO205" s="74"/>
      <c r="AP205" s="74"/>
      <c r="AQ205" s="74"/>
      <c r="AR205" s="74"/>
      <c r="AS205" s="74"/>
      <c r="BD205" s="74"/>
      <c r="BE205" s="74"/>
      <c r="BF205" s="74"/>
      <c r="BG205" s="74"/>
      <c r="BH205" s="74"/>
      <c r="BI205" s="74"/>
      <c r="DM205" s="1"/>
    </row>
    <row r="206" spans="4:117" x14ac:dyDescent="0.3">
      <c r="D206" s="20">
        <f t="shared" si="46"/>
        <v>45819</v>
      </c>
      <c r="E206" s="73">
        <f>_xll.CbondsClosePrice($B$1,D206,VLOOKUP($B$27,'Help Page'!$M:$N,2,0))</f>
        <v>96.251900000000006</v>
      </c>
      <c r="F206" s="73">
        <f t="shared" si="45"/>
        <v>96.251900000000006</v>
      </c>
      <c r="G206" s="33">
        <f>IF(F206 = "","",IFERROR(IF($G$1 = "YTM",_xll.CbondsCalcYTM($B$1,D206,F206),_xll.CbondsCalcYTP($B$1,D206,F206)),"")*100)</f>
        <v>5.5942021089420004</v>
      </c>
      <c r="P206" s="1"/>
      <c r="U206" s="74"/>
      <c r="V206" s="74"/>
      <c r="W206" s="74"/>
      <c r="X206" s="74"/>
      <c r="Y206" s="74"/>
      <c r="Z206" s="74"/>
      <c r="AA206" s="74"/>
      <c r="AB206" s="74"/>
      <c r="AC206" s="74"/>
      <c r="AJ206" s="74"/>
      <c r="AK206" s="74"/>
      <c r="AL206" s="74"/>
      <c r="AM206" s="74"/>
      <c r="AN206" s="74"/>
      <c r="AO206" s="74"/>
      <c r="AP206" s="74"/>
      <c r="AQ206" s="74"/>
      <c r="AR206" s="74"/>
      <c r="AS206" s="74"/>
      <c r="BD206" s="74"/>
      <c r="BE206" s="74"/>
      <c r="BF206" s="74"/>
      <c r="BG206" s="74"/>
      <c r="BH206" s="74"/>
      <c r="BI206" s="74"/>
      <c r="DM206" s="1"/>
    </row>
    <row r="207" spans="4:117" x14ac:dyDescent="0.3">
      <c r="D207" s="20">
        <f t="shared" si="46"/>
        <v>45818</v>
      </c>
      <c r="E207" s="73">
        <f>_xll.CbondsClosePrice($B$1,D207,VLOOKUP($B$27,'Help Page'!$M:$N,2,0))</f>
        <v>95.700199999999995</v>
      </c>
      <c r="F207" s="73">
        <f t="shared" si="45"/>
        <v>95.700199999999995</v>
      </c>
      <c r="G207" s="33">
        <f>IF(F207 = "","",IFERROR(IF($G$1 = "YTM",_xll.CbondsCalcYTM($B$1,D207,F207),_xll.CbondsCalcYTP($B$1,D207,F207)),"")*100)</f>
        <v>5.8721290160009998</v>
      </c>
      <c r="P207" s="1"/>
      <c r="U207" s="74"/>
      <c r="V207" s="74"/>
      <c r="W207" s="74"/>
      <c r="X207" s="74"/>
      <c r="Y207" s="74"/>
      <c r="Z207" s="74"/>
      <c r="AA207" s="74"/>
      <c r="AB207" s="74"/>
      <c r="AC207" s="74"/>
      <c r="AJ207" s="74"/>
      <c r="AK207" s="74"/>
      <c r="AL207" s="74"/>
      <c r="AM207" s="74"/>
      <c r="AN207" s="74"/>
      <c r="AO207" s="74"/>
      <c r="AP207" s="74"/>
      <c r="AQ207" s="74"/>
      <c r="AR207" s="74"/>
      <c r="AS207" s="74"/>
      <c r="BD207" s="74"/>
      <c r="BE207" s="74"/>
      <c r="BF207" s="74"/>
      <c r="BG207" s="74"/>
      <c r="BH207" s="74"/>
      <c r="BI207" s="74"/>
      <c r="DM207" s="1"/>
    </row>
    <row r="208" spans="4:117" x14ac:dyDescent="0.3">
      <c r="D208" s="20">
        <f t="shared" si="46"/>
        <v>45817</v>
      </c>
      <c r="E208" s="73">
        <f>_xll.CbondsClosePrice($B$1,D208,VLOOKUP($B$27,'Help Page'!$M:$N,2,0))</f>
        <v>96.353300000000004</v>
      </c>
      <c r="F208" s="73">
        <f t="shared" si="45"/>
        <v>96.353300000000004</v>
      </c>
      <c r="G208" s="33">
        <f>IF(F208 = "","",IFERROR(IF($G$1 = "YTM",_xll.CbondsCalcYTM($B$1,D208,F208),_xll.CbondsCalcYTP($B$1,D208,F208)),"")*100)</f>
        <v>5.5384908633642</v>
      </c>
      <c r="P208" s="1"/>
      <c r="U208" s="74"/>
      <c r="V208" s="74"/>
      <c r="W208" s="74"/>
      <c r="X208" s="74"/>
      <c r="Y208" s="74"/>
      <c r="Z208" s="74"/>
      <c r="AA208" s="74"/>
      <c r="AB208" s="74"/>
      <c r="AC208" s="74"/>
      <c r="AJ208" s="74"/>
      <c r="AK208" s="74"/>
      <c r="AL208" s="74"/>
      <c r="AM208" s="74"/>
      <c r="AN208" s="74"/>
      <c r="AO208" s="74"/>
      <c r="AP208" s="74"/>
      <c r="AQ208" s="74"/>
      <c r="AR208" s="74"/>
      <c r="AS208" s="74"/>
      <c r="BD208" s="74"/>
      <c r="BE208" s="74"/>
      <c r="BF208" s="74"/>
      <c r="BG208" s="74"/>
      <c r="BH208" s="74"/>
      <c r="BI208" s="74"/>
      <c r="DM208" s="1"/>
    </row>
    <row r="209" spans="4:117" x14ac:dyDescent="0.3">
      <c r="D209" s="20">
        <f t="shared" si="46"/>
        <v>45816</v>
      </c>
      <c r="E209" s="73" t="str">
        <f>_xll.CbondsClosePrice($B$1,D209,VLOOKUP($B$27,'Help Page'!$M:$N,2,0))</f>
        <v>Нет данных</v>
      </c>
      <c r="F209" s="73">
        <f t="shared" si="45"/>
        <v>96.317999999999998</v>
      </c>
      <c r="G209" s="33">
        <f>IF(F209 = "","",IFERROR(IF($G$1 = "YTM",_xll.CbondsCalcYTM($B$1,D209,F209),_xll.CbondsCalcYTP($B$1,D209,F209)),"")*100)</f>
        <v>5.5540811939093002</v>
      </c>
      <c r="P209" s="1"/>
      <c r="U209" s="74"/>
      <c r="V209" s="74"/>
      <c r="W209" s="74"/>
      <c r="X209" s="74"/>
      <c r="Y209" s="74"/>
      <c r="Z209" s="74"/>
      <c r="AA209" s="74"/>
      <c r="AB209" s="74"/>
      <c r="AC209" s="74"/>
      <c r="AJ209" s="74"/>
      <c r="AK209" s="74"/>
      <c r="AL209" s="74"/>
      <c r="AM209" s="74"/>
      <c r="AN209" s="74"/>
      <c r="AO209" s="74"/>
      <c r="AP209" s="74"/>
      <c r="AQ209" s="74"/>
      <c r="AR209" s="74"/>
      <c r="AS209" s="74"/>
      <c r="BD209" s="74"/>
      <c r="BE209" s="74"/>
      <c r="BF209" s="74"/>
      <c r="BG209" s="74"/>
      <c r="BH209" s="74"/>
      <c r="BI209" s="74"/>
      <c r="DM209" s="1"/>
    </row>
    <row r="210" spans="4:117" x14ac:dyDescent="0.3">
      <c r="D210" s="20">
        <f t="shared" si="46"/>
        <v>45815</v>
      </c>
      <c r="E210" s="73" t="str">
        <f>_xll.CbondsClosePrice($B$1,D210,VLOOKUP($B$27,'Help Page'!$M:$N,2,0))</f>
        <v>Нет данных</v>
      </c>
      <c r="F210" s="73">
        <f t="shared" si="45"/>
        <v>96.317999999999998</v>
      </c>
      <c r="G210" s="33">
        <f>IF(F210 = "","",IFERROR(IF($G$1 = "YTM",_xll.CbondsCalcYTM($B$1,D210,F210),_xll.CbondsCalcYTP($B$1,D210,F210)),"")*100)</f>
        <v>5.5518702413692997</v>
      </c>
      <c r="P210" s="1"/>
      <c r="U210" s="74"/>
      <c r="V210" s="74"/>
      <c r="W210" s="74"/>
      <c r="X210" s="74"/>
      <c r="Y210" s="74"/>
      <c r="Z210" s="74"/>
      <c r="AA210" s="74"/>
      <c r="AB210" s="74"/>
      <c r="AC210" s="74"/>
      <c r="AJ210" s="74"/>
      <c r="AK210" s="74"/>
      <c r="AL210" s="74"/>
      <c r="AM210" s="74"/>
      <c r="AN210" s="74"/>
      <c r="AO210" s="74"/>
      <c r="AP210" s="74"/>
      <c r="AQ210" s="74"/>
      <c r="AR210" s="74"/>
      <c r="AS210" s="74"/>
      <c r="BD210" s="74"/>
      <c r="BE210" s="74"/>
      <c r="BF210" s="74"/>
      <c r="BG210" s="74"/>
      <c r="BH210" s="74"/>
      <c r="BI210" s="74"/>
      <c r="DM210" s="1"/>
    </row>
    <row r="211" spans="4:117" x14ac:dyDescent="0.3">
      <c r="D211" s="20">
        <f t="shared" si="46"/>
        <v>45814</v>
      </c>
      <c r="E211" s="73">
        <f>_xll.CbondsClosePrice($B$1,D211,VLOOKUP($B$27,'Help Page'!$M:$N,2,0))</f>
        <v>96.317999999999998</v>
      </c>
      <c r="F211" s="73">
        <f t="shared" si="45"/>
        <v>96.317999999999998</v>
      </c>
      <c r="G211" s="33">
        <f>IF(F211 = "","",IFERROR(IF($G$1 = "YTM",_xll.CbondsCalcYTM($B$1,D211,F211),_xll.CbondsCalcYTP($B$1,D211,F211)),"")*100)</f>
        <v>5.5496654633166003</v>
      </c>
      <c r="P211" s="1"/>
      <c r="U211" s="74"/>
      <c r="V211" s="74"/>
      <c r="W211" s="74"/>
      <c r="X211" s="74"/>
      <c r="Y211" s="74"/>
      <c r="Z211" s="74"/>
      <c r="AA211" s="74"/>
      <c r="AB211" s="74"/>
      <c r="AC211" s="74"/>
      <c r="AJ211" s="74"/>
      <c r="AK211" s="74"/>
      <c r="AL211" s="74"/>
      <c r="AM211" s="74"/>
      <c r="AN211" s="74"/>
      <c r="AO211" s="74"/>
      <c r="AP211" s="74"/>
      <c r="AQ211" s="74"/>
      <c r="AR211" s="74"/>
      <c r="AS211" s="74"/>
      <c r="BD211" s="74"/>
      <c r="BE211" s="74"/>
      <c r="BF211" s="74"/>
      <c r="BG211" s="74"/>
      <c r="BH211" s="74"/>
      <c r="BI211" s="74"/>
      <c r="DM211" s="1"/>
    </row>
    <row r="212" spans="4:117" x14ac:dyDescent="0.3">
      <c r="D212" s="20">
        <f t="shared" si="46"/>
        <v>45813</v>
      </c>
      <c r="E212" s="73">
        <f>_xll.CbondsClosePrice($B$1,D212,VLOOKUP($B$27,'Help Page'!$M:$N,2,0))</f>
        <v>96.560400000000001</v>
      </c>
      <c r="F212" s="73">
        <f t="shared" si="45"/>
        <v>96.560400000000001</v>
      </c>
      <c r="G212" s="33">
        <f>IF(F212 = "","",IFERROR(IF($G$1 = "YTM",_xll.CbondsCalcYTM($B$1,D212,F212),_xll.CbondsCalcYTP($B$1,D212,F212)),"")*100)</f>
        <v>5.4264595596285998</v>
      </c>
      <c r="P212" s="1"/>
      <c r="U212" s="74"/>
      <c r="V212" s="74"/>
      <c r="W212" s="74"/>
      <c r="X212" s="74"/>
      <c r="Y212" s="74"/>
      <c r="Z212" s="74"/>
      <c r="AA212" s="74"/>
      <c r="AB212" s="74"/>
      <c r="AC212" s="74"/>
      <c r="AJ212" s="74"/>
      <c r="AK212" s="74"/>
      <c r="AL212" s="74"/>
      <c r="AM212" s="74"/>
      <c r="AN212" s="74"/>
      <c r="AO212" s="74"/>
      <c r="AP212" s="74"/>
      <c r="AQ212" s="74"/>
      <c r="AR212" s="74"/>
      <c r="AS212" s="74"/>
      <c r="BD212" s="74"/>
      <c r="BE212" s="74"/>
      <c r="BF212" s="74"/>
      <c r="BG212" s="74"/>
      <c r="BH212" s="74"/>
      <c r="BI212" s="74"/>
      <c r="DM212" s="1"/>
    </row>
    <row r="213" spans="4:117" x14ac:dyDescent="0.3">
      <c r="D213" s="20">
        <f t="shared" si="46"/>
        <v>45812</v>
      </c>
      <c r="E213" s="73">
        <f>_xll.CbondsClosePrice($B$1,D213,VLOOKUP($B$27,'Help Page'!$M:$N,2,0))</f>
        <v>95.93</v>
      </c>
      <c r="F213" s="73">
        <f t="shared" si="45"/>
        <v>95.93</v>
      </c>
      <c r="G213" s="33">
        <f>IF(F213 = "","",IFERROR(IF($G$1 = "YTM",_xll.CbondsCalcYTM($B$1,D213,F213),_xll.CbondsCalcYTP($B$1,D213,F213)),"")*100)</f>
        <v>5.7409859391504003</v>
      </c>
      <c r="P213" s="1"/>
      <c r="U213" s="74"/>
      <c r="V213" s="74"/>
      <c r="W213" s="74"/>
      <c r="X213" s="74"/>
      <c r="Y213" s="74"/>
      <c r="Z213" s="74"/>
      <c r="AA213" s="74"/>
      <c r="AB213" s="74"/>
      <c r="AC213" s="74"/>
      <c r="AJ213" s="74"/>
      <c r="AK213" s="74"/>
      <c r="AL213" s="74"/>
      <c r="AM213" s="74"/>
      <c r="AN213" s="74"/>
      <c r="AO213" s="74"/>
      <c r="AP213" s="74"/>
      <c r="AQ213" s="74"/>
      <c r="AR213" s="74"/>
      <c r="AS213" s="74"/>
      <c r="BD213" s="74"/>
      <c r="BE213" s="74"/>
      <c r="BF213" s="74"/>
      <c r="BG213" s="74"/>
      <c r="BH213" s="74"/>
      <c r="BI213" s="74"/>
      <c r="DM213" s="1"/>
    </row>
    <row r="214" spans="4:117" x14ac:dyDescent="0.3">
      <c r="D214" s="20">
        <f t="shared" si="46"/>
        <v>45811</v>
      </c>
      <c r="E214" s="73">
        <f>_xll.CbondsClosePrice($B$1,D214,VLOOKUP($B$27,'Help Page'!$M:$N,2,0))</f>
        <v>96.487099999999998</v>
      </c>
      <c r="F214" s="73">
        <f t="shared" si="45"/>
        <v>96.487099999999998</v>
      </c>
      <c r="G214" s="33">
        <f>IF(F214 = "","",IFERROR(IF($G$1 = "YTM",_xll.CbondsCalcYTM($B$1,D214,F214),_xll.CbondsCalcYTP($B$1,D214,F214)),"")*100)</f>
        <v>5.4589759052759996</v>
      </c>
      <c r="P214" s="1"/>
      <c r="U214" s="74"/>
      <c r="V214" s="74"/>
      <c r="W214" s="74"/>
      <c r="X214" s="74"/>
      <c r="Y214" s="74"/>
      <c r="Z214" s="74"/>
      <c r="AA214" s="74"/>
      <c r="AB214" s="74"/>
      <c r="AC214" s="74"/>
      <c r="AJ214" s="74"/>
      <c r="AK214" s="74"/>
      <c r="AL214" s="74"/>
      <c r="AM214" s="74"/>
      <c r="AN214" s="74"/>
      <c r="AO214" s="74"/>
      <c r="AP214" s="74"/>
      <c r="AQ214" s="74"/>
      <c r="AR214" s="74"/>
      <c r="AS214" s="74"/>
      <c r="BD214" s="74"/>
      <c r="BE214" s="74"/>
      <c r="BF214" s="74"/>
      <c r="BG214" s="74"/>
      <c r="BH214" s="74"/>
      <c r="BI214" s="74"/>
      <c r="DM214" s="1"/>
    </row>
    <row r="215" spans="4:117" x14ac:dyDescent="0.3">
      <c r="D215" s="20">
        <f t="shared" si="46"/>
        <v>45810</v>
      </c>
      <c r="E215" s="73">
        <f>_xll.CbondsClosePrice($B$1,D215,VLOOKUP($B$27,'Help Page'!$M:$N,2,0))</f>
        <v>95.999899999999997</v>
      </c>
      <c r="F215" s="73">
        <f t="shared" si="45"/>
        <v>95.999899999999997</v>
      </c>
      <c r="G215" s="33">
        <f>IF(F215 = "","",IFERROR(IF($G$1 = "YTM",_xll.CbondsCalcYTM($B$1,D215,F215),_xll.CbondsCalcYTP($B$1,D215,F215)),"")*100)</f>
        <v>5.7009856099334</v>
      </c>
      <c r="P215" s="1"/>
      <c r="U215" s="74"/>
      <c r="V215" s="74"/>
      <c r="W215" s="74"/>
      <c r="X215" s="74"/>
      <c r="Y215" s="74"/>
      <c r="Z215" s="74"/>
      <c r="AA215" s="74"/>
      <c r="AB215" s="74"/>
      <c r="AC215" s="74"/>
      <c r="AJ215" s="74"/>
      <c r="AK215" s="74"/>
      <c r="AL215" s="74"/>
      <c r="AM215" s="74"/>
      <c r="AN215" s="74"/>
      <c r="AO215" s="74"/>
      <c r="AP215" s="74"/>
      <c r="AQ215" s="74"/>
      <c r="AR215" s="74"/>
      <c r="AS215" s="74"/>
      <c r="BD215" s="74"/>
      <c r="BE215" s="74"/>
      <c r="BF215" s="74"/>
      <c r="BG215" s="74"/>
      <c r="BH215" s="74"/>
      <c r="BI215" s="74"/>
      <c r="DM215" s="1"/>
    </row>
    <row r="216" spans="4:117" x14ac:dyDescent="0.3">
      <c r="D216" s="20">
        <f t="shared" si="46"/>
        <v>45809</v>
      </c>
      <c r="E216" s="73" t="str">
        <f>_xll.CbondsClosePrice($B$1,D216,VLOOKUP($B$27,'Help Page'!$M:$N,2,0))</f>
        <v>Нет данных</v>
      </c>
      <c r="F216" s="73">
        <f t="shared" si="45"/>
        <v>96.2898</v>
      </c>
      <c r="G216" s="33">
        <f>IF(F216 = "","",IFERROR(IF($G$1 = "YTM",_xll.CbondsCalcYTM($B$1,D216,F216),_xll.CbondsCalcYTP($B$1,D216,F216)),"")*100)</f>
        <v>5.5533317888345</v>
      </c>
      <c r="P216" s="1"/>
      <c r="U216" s="74"/>
      <c r="V216" s="74"/>
      <c r="W216" s="74"/>
      <c r="X216" s="74"/>
      <c r="Y216" s="74"/>
      <c r="Z216" s="74"/>
      <c r="AA216" s="74"/>
      <c r="AB216" s="74"/>
      <c r="AC216" s="74"/>
      <c r="AJ216" s="74"/>
      <c r="AK216" s="74"/>
      <c r="AL216" s="74"/>
      <c r="AM216" s="74"/>
      <c r="AN216" s="74"/>
      <c r="AO216" s="74"/>
      <c r="AP216" s="74"/>
      <c r="AQ216" s="74"/>
      <c r="AR216" s="74"/>
      <c r="AS216" s="74"/>
      <c r="BD216" s="74"/>
      <c r="BE216" s="74"/>
      <c r="BF216" s="74"/>
      <c r="BG216" s="74"/>
      <c r="BH216" s="74"/>
      <c r="BI216" s="74"/>
      <c r="DM216" s="1"/>
    </row>
    <row r="217" spans="4:117" x14ac:dyDescent="0.3">
      <c r="D217" s="20">
        <f t="shared" si="46"/>
        <v>45808</v>
      </c>
      <c r="E217" s="73" t="str">
        <f>_xll.CbondsClosePrice($B$1,D217,VLOOKUP($B$27,'Help Page'!$M:$N,2,0))</f>
        <v>Нет данных</v>
      </c>
      <c r="F217" s="73">
        <f t="shared" si="45"/>
        <v>96.2898</v>
      </c>
      <c r="G217" s="33">
        <f>IF(F217 = "","",IFERROR(IF($G$1 = "YTM",_xll.CbondsCalcYTM($B$1,D217,F217),_xll.CbondsCalcYTP($B$1,D217,F217)),"")*100)</f>
        <v>5.5511463727793</v>
      </c>
      <c r="P217" s="1"/>
      <c r="U217" s="74"/>
      <c r="V217" s="74"/>
      <c r="W217" s="74"/>
      <c r="X217" s="74"/>
      <c r="Y217" s="74"/>
      <c r="Z217" s="74"/>
      <c r="AA217" s="74"/>
      <c r="AB217" s="74"/>
      <c r="AC217" s="74"/>
      <c r="AJ217" s="74"/>
      <c r="AK217" s="74"/>
      <c r="AL217" s="74"/>
      <c r="AM217" s="74"/>
      <c r="AN217" s="74"/>
      <c r="AO217" s="74"/>
      <c r="AP217" s="74"/>
      <c r="AQ217" s="74"/>
      <c r="AR217" s="74"/>
      <c r="AS217" s="74"/>
      <c r="BD217" s="74"/>
      <c r="BE217" s="74"/>
      <c r="BF217" s="74"/>
      <c r="BG217" s="74"/>
      <c r="BH217" s="74"/>
      <c r="BI217" s="74"/>
      <c r="DM217" s="1"/>
    </row>
    <row r="218" spans="4:117" x14ac:dyDescent="0.3">
      <c r="D218" s="20">
        <f t="shared" si="46"/>
        <v>45807</v>
      </c>
      <c r="E218" s="73">
        <f>_xll.CbondsClosePrice($B$1,D218,VLOOKUP($B$27,'Help Page'!$M:$N,2,0))</f>
        <v>96.2898</v>
      </c>
      <c r="F218" s="73">
        <f t="shared" si="45"/>
        <v>96.2898</v>
      </c>
      <c r="G218" s="33">
        <f>IF(F218 = "","",IFERROR(IF($G$1 = "YTM",_xll.CbondsCalcYTM($B$1,D218,F218),_xll.CbondsCalcYTP($B$1,D218,F218)),"")*100)</f>
        <v>5.5489670129977995</v>
      </c>
      <c r="P218" s="1"/>
      <c r="U218" s="74"/>
      <c r="V218" s="74"/>
      <c r="W218" s="74"/>
      <c r="X218" s="74"/>
      <c r="Y218" s="74"/>
      <c r="Z218" s="74"/>
      <c r="AA218" s="74"/>
      <c r="AB218" s="74"/>
      <c r="AC218" s="74"/>
      <c r="AJ218" s="74"/>
      <c r="AK218" s="74"/>
      <c r="AL218" s="74"/>
      <c r="AM218" s="74"/>
      <c r="AN218" s="74"/>
      <c r="AO218" s="74"/>
      <c r="AP218" s="74"/>
      <c r="AQ218" s="74"/>
      <c r="AR218" s="74"/>
      <c r="AS218" s="74"/>
      <c r="BD218" s="74"/>
      <c r="BE218" s="74"/>
      <c r="BF218" s="74"/>
      <c r="BG218" s="74"/>
      <c r="BH218" s="74"/>
      <c r="BI218" s="74"/>
      <c r="DM218" s="1"/>
    </row>
    <row r="219" spans="4:117" x14ac:dyDescent="0.3">
      <c r="D219" s="20">
        <f t="shared" si="46"/>
        <v>45806</v>
      </c>
      <c r="E219" s="73">
        <f>_xll.CbondsClosePrice($B$1,D219,VLOOKUP($B$27,'Help Page'!$M:$N,2,0))</f>
        <v>95.604299999999995</v>
      </c>
      <c r="F219" s="73">
        <f t="shared" si="45"/>
        <v>95.604299999999995</v>
      </c>
      <c r="G219" s="33">
        <f>IF(F219 = "","",IFERROR(IF($G$1 = "YTM",_xll.CbondsCalcYTM($B$1,D219,F219),_xll.CbondsCalcYTP($B$1,D219,F219)),"")*100)</f>
        <v>5.8906874249359999</v>
      </c>
      <c r="P219" s="1"/>
      <c r="U219" s="74"/>
      <c r="V219" s="74"/>
      <c r="W219" s="74"/>
      <c r="X219" s="74"/>
      <c r="Y219" s="74"/>
      <c r="Z219" s="74"/>
      <c r="AA219" s="74"/>
      <c r="AB219" s="74"/>
      <c r="AC219" s="74"/>
      <c r="AJ219" s="74"/>
      <c r="AK219" s="74"/>
      <c r="AL219" s="74"/>
      <c r="AM219" s="74"/>
      <c r="AN219" s="74"/>
      <c r="AO219" s="74"/>
      <c r="AP219" s="74"/>
      <c r="AQ219" s="74"/>
      <c r="AR219" s="74"/>
      <c r="AS219" s="74"/>
      <c r="BD219" s="74"/>
      <c r="BE219" s="74"/>
      <c r="BF219" s="74"/>
      <c r="BG219" s="74"/>
      <c r="BH219" s="74"/>
      <c r="BI219" s="74"/>
      <c r="DM219" s="1"/>
    </row>
    <row r="220" spans="4:117" x14ac:dyDescent="0.3">
      <c r="D220" s="20">
        <f t="shared" si="46"/>
        <v>45805</v>
      </c>
      <c r="E220" s="73">
        <f>_xll.CbondsClosePrice($B$1,D220,VLOOKUP($B$27,'Help Page'!$M:$N,2,0))</f>
        <v>95.919200000000004</v>
      </c>
      <c r="F220" s="73">
        <f t="shared" si="45"/>
        <v>95.919200000000004</v>
      </c>
      <c r="G220" s="33">
        <f>IF(F220 = "","",IFERROR(IF($G$1 = "YTM",_xll.CbondsCalcYTM($B$1,D220,F220),_xll.CbondsCalcYTP($B$1,D220,F220)),"")*100)</f>
        <v>5.7301050393501001</v>
      </c>
      <c r="P220" s="1"/>
      <c r="U220" s="74"/>
      <c r="V220" s="74"/>
      <c r="W220" s="74"/>
      <c r="X220" s="74"/>
      <c r="Y220" s="74"/>
      <c r="Z220" s="74"/>
      <c r="AA220" s="74"/>
      <c r="AB220" s="74"/>
      <c r="AC220" s="74"/>
      <c r="AJ220" s="74"/>
      <c r="AK220" s="74"/>
      <c r="AL220" s="74"/>
      <c r="AM220" s="74"/>
      <c r="AN220" s="74"/>
      <c r="AO220" s="74"/>
      <c r="AP220" s="74"/>
      <c r="AQ220" s="74"/>
      <c r="AR220" s="74"/>
      <c r="AS220" s="74"/>
      <c r="BD220" s="74"/>
      <c r="BE220" s="74"/>
      <c r="BF220" s="74"/>
      <c r="BG220" s="74"/>
      <c r="BH220" s="74"/>
      <c r="BI220" s="74"/>
      <c r="DM220" s="1"/>
    </row>
    <row r="221" spans="4:117" x14ac:dyDescent="0.3">
      <c r="D221" s="20">
        <f t="shared" si="46"/>
        <v>45804</v>
      </c>
      <c r="E221" s="73">
        <f>_xll.CbondsClosePrice($B$1,D221,VLOOKUP($B$27,'Help Page'!$M:$N,2,0))</f>
        <v>95.787400000000005</v>
      </c>
      <c r="F221" s="73">
        <f t="shared" si="45"/>
        <v>95.787400000000005</v>
      </c>
      <c r="G221" s="33">
        <f>IF(F221 = "","",IFERROR(IF($G$1 = "YTM",_xll.CbondsCalcYTM($B$1,D221,F221),_xll.CbondsCalcYTP($B$1,D221,F221)),"")*100)</f>
        <v>5.7936901956115996</v>
      </c>
      <c r="P221" s="1"/>
      <c r="U221" s="74"/>
      <c r="V221" s="74"/>
      <c r="W221" s="74"/>
      <c r="X221" s="74"/>
      <c r="Y221" s="74"/>
      <c r="Z221" s="74"/>
      <c r="AA221" s="74"/>
      <c r="AB221" s="74"/>
      <c r="AC221" s="74"/>
      <c r="AJ221" s="74"/>
      <c r="AK221" s="74"/>
      <c r="AL221" s="74"/>
      <c r="AM221" s="74"/>
      <c r="AN221" s="74"/>
      <c r="AO221" s="74"/>
      <c r="AP221" s="74"/>
      <c r="AQ221" s="74"/>
      <c r="AR221" s="74"/>
      <c r="AS221" s="74"/>
      <c r="BD221" s="74"/>
      <c r="BE221" s="74"/>
      <c r="BF221" s="74"/>
      <c r="BG221" s="74"/>
      <c r="BH221" s="74"/>
      <c r="BI221" s="74"/>
      <c r="DM221" s="1"/>
    </row>
    <row r="222" spans="4:117" x14ac:dyDescent="0.3">
      <c r="D222" s="20">
        <f t="shared" si="46"/>
        <v>45803</v>
      </c>
      <c r="E222" s="73">
        <f>_xll.CbondsClosePrice($B$1,D222,VLOOKUP($B$27,'Help Page'!$M:$N,2,0))</f>
        <v>95.749700000000004</v>
      </c>
      <c r="F222" s="73">
        <f t="shared" si="45"/>
        <v>95.749700000000004</v>
      </c>
      <c r="G222" s="33">
        <f>IF(F222 = "","",IFERROR(IF($G$1 = "YTM",_xll.CbondsCalcYTM($B$1,D222,F222),_xll.CbondsCalcYTP($B$1,D222,F222)),"")*100)</f>
        <v>5.8101114758426</v>
      </c>
      <c r="P222" s="1"/>
      <c r="U222" s="74"/>
      <c r="V222" s="74"/>
      <c r="W222" s="74"/>
      <c r="X222" s="74"/>
      <c r="Y222" s="74"/>
      <c r="Z222" s="74"/>
      <c r="AA222" s="74"/>
      <c r="AB222" s="74"/>
      <c r="AC222" s="74"/>
      <c r="AJ222" s="74"/>
      <c r="AK222" s="74"/>
      <c r="AL222" s="74"/>
      <c r="AM222" s="74"/>
      <c r="AN222" s="74"/>
      <c r="AO222" s="74"/>
      <c r="AP222" s="74"/>
      <c r="AQ222" s="74"/>
      <c r="AR222" s="74"/>
      <c r="AS222" s="74"/>
      <c r="BD222" s="74"/>
      <c r="BE222" s="74"/>
      <c r="BF222" s="74"/>
      <c r="BG222" s="74"/>
      <c r="BH222" s="74"/>
      <c r="BI222" s="74"/>
      <c r="DM222" s="1"/>
    </row>
    <row r="223" spans="4:117" x14ac:dyDescent="0.3">
      <c r="D223" s="20">
        <f t="shared" si="46"/>
        <v>45802</v>
      </c>
      <c r="E223" s="73" t="str">
        <f>_xll.CbondsClosePrice($B$1,D223,VLOOKUP($B$27,'Help Page'!$M:$N,2,0))</f>
        <v>Нет данных</v>
      </c>
      <c r="F223" s="73">
        <f t="shared" si="45"/>
        <v>95.801699999999997</v>
      </c>
      <c r="G223" s="33">
        <f>IF(F223 = "","",IFERROR(IF($G$1 = "YTM",_xll.CbondsCalcYTM($B$1,D223,F223),_xll.CbondsCalcYTP($B$1,D223,F223)),"")*100)</f>
        <v>5.7816511978624998</v>
      </c>
      <c r="P223" s="1"/>
      <c r="U223" s="74"/>
      <c r="V223" s="74"/>
      <c r="W223" s="74"/>
      <c r="X223" s="74"/>
      <c r="Y223" s="74"/>
      <c r="Z223" s="74"/>
      <c r="AA223" s="74"/>
      <c r="AB223" s="74"/>
      <c r="AC223" s="74"/>
      <c r="AJ223" s="74"/>
      <c r="AK223" s="74"/>
      <c r="AL223" s="74"/>
      <c r="AM223" s="74"/>
      <c r="AN223" s="74"/>
      <c r="AO223" s="74"/>
      <c r="AP223" s="74"/>
      <c r="AQ223" s="74"/>
      <c r="AR223" s="74"/>
      <c r="AS223" s="74"/>
      <c r="BD223" s="74"/>
      <c r="BE223" s="74"/>
      <c r="BF223" s="74"/>
      <c r="BG223" s="74"/>
      <c r="BH223" s="74"/>
      <c r="BI223" s="74"/>
      <c r="DM223" s="1"/>
    </row>
    <row r="224" spans="4:117" x14ac:dyDescent="0.3">
      <c r="D224" s="20">
        <f t="shared" si="46"/>
        <v>45801</v>
      </c>
      <c r="E224" s="73" t="str">
        <f>_xll.CbondsClosePrice($B$1,D224,VLOOKUP($B$27,'Help Page'!$M:$N,2,0))</f>
        <v>Нет данных</v>
      </c>
      <c r="F224" s="73">
        <f t="shared" si="45"/>
        <v>95.801699999999997</v>
      </c>
      <c r="G224" s="33">
        <f>IF(F224 = "","",IFERROR(IF($G$1 = "YTM",_xll.CbondsCalcYTM($B$1,D224,F224),_xll.CbondsCalcYTP($B$1,D224,F224)),"")*100)</f>
        <v>5.7792233990245006</v>
      </c>
      <c r="P224" s="1"/>
      <c r="U224" s="74"/>
      <c r="V224" s="74"/>
      <c r="W224" s="74"/>
      <c r="X224" s="74"/>
      <c r="Y224" s="74"/>
      <c r="Z224" s="74"/>
      <c r="AA224" s="74"/>
      <c r="AB224" s="74"/>
      <c r="AC224" s="74"/>
      <c r="AJ224" s="74"/>
      <c r="AK224" s="74"/>
      <c r="AL224" s="74"/>
      <c r="AM224" s="74"/>
      <c r="AN224" s="74"/>
      <c r="AO224" s="74"/>
      <c r="AP224" s="74"/>
      <c r="AQ224" s="74"/>
      <c r="AR224" s="74"/>
      <c r="AS224" s="74"/>
      <c r="BD224" s="74"/>
      <c r="BE224" s="74"/>
      <c r="BF224" s="74"/>
      <c r="BG224" s="74"/>
      <c r="BH224" s="74"/>
      <c r="BI224" s="74"/>
      <c r="DM224" s="1"/>
    </row>
    <row r="225" spans="4:117" x14ac:dyDescent="0.3">
      <c r="D225" s="20">
        <f t="shared" si="46"/>
        <v>45800</v>
      </c>
      <c r="E225" s="73">
        <f>_xll.CbondsClosePrice($B$1,D225,VLOOKUP($B$27,'Help Page'!$M:$N,2,0))</f>
        <v>95.801699999999997</v>
      </c>
      <c r="F225" s="73">
        <f t="shared" si="45"/>
        <v>95.801699999999997</v>
      </c>
      <c r="G225" s="33">
        <f>IF(F225 = "","",IFERROR(IF($G$1 = "YTM",_xll.CbondsCalcYTM($B$1,D225,F225),_xll.CbondsCalcYTP($B$1,D225,F225)),"")*100)</f>
        <v>5.7768022272667006</v>
      </c>
      <c r="P225" s="1"/>
      <c r="U225" s="74"/>
      <c r="V225" s="74"/>
      <c r="W225" s="74"/>
      <c r="X225" s="74"/>
      <c r="Y225" s="74"/>
      <c r="Z225" s="74"/>
      <c r="AA225" s="74"/>
      <c r="AB225" s="74"/>
      <c r="AC225" s="74"/>
      <c r="AJ225" s="74"/>
      <c r="AK225" s="74"/>
      <c r="AL225" s="74"/>
      <c r="AM225" s="74"/>
      <c r="AN225" s="74"/>
      <c r="AO225" s="74"/>
      <c r="AP225" s="74"/>
      <c r="AQ225" s="74"/>
      <c r="AR225" s="74"/>
      <c r="AS225" s="74"/>
      <c r="BD225" s="74"/>
      <c r="BE225" s="74"/>
      <c r="BF225" s="74"/>
      <c r="BG225" s="74"/>
      <c r="BH225" s="74"/>
      <c r="BI225" s="74"/>
      <c r="DM225" s="1"/>
    </row>
    <row r="226" spans="4:117" x14ac:dyDescent="0.3">
      <c r="D226" s="20">
        <f t="shared" si="46"/>
        <v>45799</v>
      </c>
      <c r="E226" s="73">
        <f>_xll.CbondsClosePrice($B$1,D226,VLOOKUP($B$27,'Help Page'!$M:$N,2,0))</f>
        <v>95.397000000000006</v>
      </c>
      <c r="F226" s="73">
        <f t="shared" si="45"/>
        <v>95.397000000000006</v>
      </c>
      <c r="G226" s="33">
        <f>IF(F226 = "","",IFERROR(IF($G$1 = "YTM",_xll.CbondsCalcYTM($B$1,D226,F226),_xll.CbondsCalcYTP($B$1,D226,F226)),"")*100)</f>
        <v>5.9770443962842998</v>
      </c>
      <c r="P226" s="1"/>
      <c r="U226" s="74"/>
      <c r="V226" s="74"/>
      <c r="W226" s="74"/>
      <c r="X226" s="74"/>
      <c r="Y226" s="74"/>
      <c r="Z226" s="74"/>
      <c r="AA226" s="74"/>
      <c r="AB226" s="74"/>
      <c r="AC226" s="74"/>
      <c r="AJ226" s="74"/>
      <c r="AK226" s="74"/>
      <c r="AL226" s="74"/>
      <c r="AM226" s="74"/>
      <c r="AN226" s="74"/>
      <c r="AO226" s="74"/>
      <c r="AP226" s="74"/>
      <c r="AQ226" s="74"/>
      <c r="AR226" s="74"/>
      <c r="AS226" s="74"/>
      <c r="BD226" s="74"/>
      <c r="BE226" s="74"/>
      <c r="BF226" s="74"/>
      <c r="BG226" s="74"/>
      <c r="BH226" s="74"/>
      <c r="BI226" s="74"/>
      <c r="DM226" s="1"/>
    </row>
    <row r="227" spans="4:117" x14ac:dyDescent="0.3">
      <c r="D227" s="20">
        <f t="shared" si="46"/>
        <v>45798</v>
      </c>
      <c r="E227" s="73">
        <f>_xll.CbondsClosePrice($B$1,D227,VLOOKUP($B$27,'Help Page'!$M:$N,2,0))</f>
        <v>95.03</v>
      </c>
      <c r="F227" s="73">
        <f t="shared" si="45"/>
        <v>95.03</v>
      </c>
      <c r="G227" s="33">
        <f>IF(F227 = "","",IFERROR(IF($G$1 = "YTM",_xll.CbondsCalcYTM($B$1,D227,F227),_xll.CbondsCalcYTP($B$1,D227,F227)),"")*100)</f>
        <v>6.1586087549817998</v>
      </c>
      <c r="P227" s="1"/>
      <c r="U227" s="74"/>
      <c r="V227" s="74"/>
      <c r="W227" s="74"/>
      <c r="X227" s="74"/>
      <c r="Y227" s="74"/>
      <c r="Z227" s="74"/>
      <c r="AA227" s="74"/>
      <c r="AB227" s="74"/>
      <c r="AC227" s="74"/>
      <c r="AJ227" s="74"/>
      <c r="AK227" s="74"/>
      <c r="AL227" s="74"/>
      <c r="AM227" s="74"/>
      <c r="AN227" s="74"/>
      <c r="AO227" s="74"/>
      <c r="AP227" s="74"/>
      <c r="AQ227" s="74"/>
      <c r="AR227" s="74"/>
      <c r="AS227" s="74"/>
      <c r="BD227" s="74"/>
      <c r="BE227" s="74"/>
      <c r="BF227" s="74"/>
      <c r="BG227" s="74"/>
      <c r="BH227" s="74"/>
      <c r="BI227" s="74"/>
      <c r="DM227" s="1"/>
    </row>
    <row r="228" spans="4:117" x14ac:dyDescent="0.3">
      <c r="D228" s="20">
        <f t="shared" si="46"/>
        <v>45797</v>
      </c>
      <c r="E228" s="73">
        <f>_xll.CbondsClosePrice($B$1,D228,VLOOKUP($B$27,'Help Page'!$M:$N,2,0))</f>
        <v>95.669399999999996</v>
      </c>
      <c r="F228" s="73">
        <f t="shared" si="45"/>
        <v>95.669399999999996</v>
      </c>
      <c r="G228" s="33">
        <f>IF(F228 = "","",IFERROR(IF($G$1 = "YTM",_xll.CbondsCalcYTM($B$1,D228,F228),_xll.CbondsCalcYTP($B$1,D228,F228)),"")*100)</f>
        <v>5.8358703249771002</v>
      </c>
      <c r="P228" s="1"/>
      <c r="U228" s="74"/>
      <c r="V228" s="74"/>
      <c r="W228" s="74"/>
      <c r="X228" s="74"/>
      <c r="Y228" s="74"/>
      <c r="Z228" s="74"/>
      <c r="AA228" s="74"/>
      <c r="AB228" s="74"/>
      <c r="AC228" s="74"/>
      <c r="AJ228" s="74"/>
      <c r="AK228" s="74"/>
      <c r="AL228" s="74"/>
      <c r="AM228" s="74"/>
      <c r="AN228" s="74"/>
      <c r="AO228" s="74"/>
      <c r="AP228" s="74"/>
      <c r="AQ228" s="74"/>
      <c r="AR228" s="74"/>
      <c r="AS228" s="74"/>
      <c r="BD228" s="74"/>
      <c r="BE228" s="74"/>
      <c r="BF228" s="74"/>
      <c r="BG228" s="74"/>
      <c r="BH228" s="74"/>
      <c r="BI228" s="74"/>
      <c r="DM228" s="1"/>
    </row>
    <row r="229" spans="4:117" x14ac:dyDescent="0.3">
      <c r="D229" s="20">
        <f t="shared" si="46"/>
        <v>45796</v>
      </c>
      <c r="E229" s="73">
        <f>_xll.CbondsClosePrice($B$1,D229,VLOOKUP($B$27,'Help Page'!$M:$N,2,0))</f>
        <v>96.013999999999996</v>
      </c>
      <c r="F229" s="73">
        <f t="shared" si="45"/>
        <v>96.013999999999996</v>
      </c>
      <c r="G229" s="33">
        <f>IF(F229 = "","",IFERROR(IF($G$1 = "YTM",_xll.CbondsCalcYTM($B$1,D229,F229),_xll.CbondsCalcYTP($B$1,D229,F229)),"")*100)</f>
        <v>5.6625003856365996</v>
      </c>
      <c r="P229" s="1"/>
      <c r="U229" s="74"/>
      <c r="V229" s="74"/>
      <c r="W229" s="74"/>
      <c r="X229" s="74"/>
      <c r="Y229" s="74"/>
      <c r="Z229" s="74"/>
      <c r="AA229" s="74"/>
      <c r="AB229" s="74"/>
      <c r="AC229" s="74"/>
      <c r="AJ229" s="74"/>
      <c r="AK229" s="74"/>
      <c r="AL229" s="74"/>
      <c r="AM229" s="74"/>
      <c r="AN229" s="74"/>
      <c r="AO229" s="74"/>
      <c r="AP229" s="74"/>
      <c r="AQ229" s="74"/>
      <c r="AR229" s="74"/>
      <c r="AS229" s="74"/>
      <c r="BD229" s="74"/>
      <c r="BE229" s="74"/>
      <c r="BF229" s="74"/>
      <c r="BG229" s="74"/>
      <c r="BH229" s="74"/>
      <c r="BI229" s="74"/>
      <c r="DM229" s="1"/>
    </row>
    <row r="230" spans="4:117" x14ac:dyDescent="0.3">
      <c r="D230" s="20">
        <f t="shared" si="46"/>
        <v>45795</v>
      </c>
      <c r="E230" s="73" t="str">
        <f>_xll.CbondsClosePrice($B$1,D230,VLOOKUP($B$27,'Help Page'!$M:$N,2,0))</f>
        <v>Нет данных</v>
      </c>
      <c r="F230" s="73">
        <f t="shared" si="45"/>
        <v>96.025800000000004</v>
      </c>
      <c r="G230" s="33">
        <f>IF(F230 = "","",IFERROR(IF($G$1 = "YTM",_xll.CbondsCalcYTM($B$1,D230,F230),_xll.CbondsCalcYTP($B$1,D230,F230)),"")*100)</f>
        <v>5.6544040342840001</v>
      </c>
      <c r="P230" s="1"/>
      <c r="U230" s="74"/>
      <c r="V230" s="74"/>
      <c r="W230" s="74"/>
      <c r="X230" s="74"/>
      <c r="Y230" s="74"/>
      <c r="Z230" s="74"/>
      <c r="AA230" s="74"/>
      <c r="AB230" s="74"/>
      <c r="AC230" s="74"/>
      <c r="AJ230" s="74"/>
      <c r="AK230" s="74"/>
      <c r="AL230" s="74"/>
      <c r="AM230" s="74"/>
      <c r="AN230" s="74"/>
      <c r="AO230" s="74"/>
      <c r="AP230" s="74"/>
      <c r="AQ230" s="74"/>
      <c r="AR230" s="74"/>
      <c r="AS230" s="74"/>
      <c r="BD230" s="74"/>
      <c r="BE230" s="74"/>
      <c r="BF230" s="74"/>
      <c r="BG230" s="74"/>
      <c r="BH230" s="74"/>
      <c r="BI230" s="74"/>
      <c r="DM230" s="1"/>
    </row>
    <row r="231" spans="4:117" x14ac:dyDescent="0.3">
      <c r="D231" s="20">
        <f t="shared" si="46"/>
        <v>45794</v>
      </c>
      <c r="E231" s="73" t="str">
        <f>_xll.CbondsClosePrice($B$1,D231,VLOOKUP($B$27,'Help Page'!$M:$N,2,0))</f>
        <v>Нет данных</v>
      </c>
      <c r="F231" s="73">
        <f t="shared" si="45"/>
        <v>96.025800000000004</v>
      </c>
      <c r="G231" s="33">
        <f>IF(F231 = "","",IFERROR(IF($G$1 = "YTM",_xll.CbondsCalcYTM($B$1,D231,F231),_xll.CbondsCalcYTP($B$1,D231,F231)),"")*100)</f>
        <v>5.6521498198120002</v>
      </c>
      <c r="P231" s="1"/>
      <c r="U231" s="74"/>
      <c r="V231" s="74"/>
      <c r="W231" s="74"/>
      <c r="X231" s="74"/>
      <c r="Y231" s="74"/>
      <c r="Z231" s="74"/>
      <c r="AA231" s="74"/>
      <c r="AB231" s="74"/>
      <c r="AC231" s="74"/>
      <c r="AJ231" s="74"/>
      <c r="AK231" s="74"/>
      <c r="AL231" s="74"/>
      <c r="AM231" s="74"/>
      <c r="AN231" s="74"/>
      <c r="AO231" s="74"/>
      <c r="AP231" s="74"/>
      <c r="AQ231" s="74"/>
      <c r="AR231" s="74"/>
      <c r="AS231" s="74"/>
      <c r="BD231" s="74"/>
      <c r="BE231" s="74"/>
      <c r="BF231" s="74"/>
      <c r="BG231" s="74"/>
      <c r="BH231" s="74"/>
      <c r="BI231" s="74"/>
      <c r="DM231" s="1"/>
    </row>
    <row r="232" spans="4:117" x14ac:dyDescent="0.3">
      <c r="D232" s="20">
        <f t="shared" si="46"/>
        <v>45793</v>
      </c>
      <c r="E232" s="73">
        <f>_xll.CbondsClosePrice($B$1,D232,VLOOKUP($B$27,'Help Page'!$M:$N,2,0))</f>
        <v>96.025800000000004</v>
      </c>
      <c r="F232" s="73">
        <f t="shared" si="45"/>
        <v>96.025800000000004</v>
      </c>
      <c r="G232" s="33">
        <f>IF(F232 = "","",IFERROR(IF($G$1 = "YTM",_xll.CbondsCalcYTM($B$1,D232,F232),_xll.CbondsCalcYTP($B$1,D232,F232)),"")*100)</f>
        <v>5.6499017358075001</v>
      </c>
      <c r="P232" s="1"/>
      <c r="U232" s="74"/>
      <c r="V232" s="74"/>
      <c r="W232" s="74"/>
      <c r="X232" s="74"/>
      <c r="Y232" s="74"/>
      <c r="Z232" s="74"/>
      <c r="AA232" s="74"/>
      <c r="AB232" s="74"/>
      <c r="AC232" s="74"/>
      <c r="AJ232" s="74"/>
      <c r="AK232" s="74"/>
      <c r="AL232" s="74"/>
      <c r="AM232" s="74"/>
      <c r="AN232" s="74"/>
      <c r="AO232" s="74"/>
      <c r="AP232" s="74"/>
      <c r="AQ232" s="74"/>
      <c r="AR232" s="74"/>
      <c r="AS232" s="74"/>
      <c r="BD232" s="74"/>
      <c r="BE232" s="74"/>
      <c r="BF232" s="74"/>
      <c r="BG232" s="74"/>
      <c r="BH232" s="74"/>
      <c r="BI232" s="74"/>
      <c r="DM232" s="1"/>
    </row>
    <row r="233" spans="4:117" x14ac:dyDescent="0.3">
      <c r="D233" s="20">
        <f t="shared" si="46"/>
        <v>45792</v>
      </c>
      <c r="E233" s="73">
        <f>_xll.CbondsClosePrice($B$1,D233,VLOOKUP($B$27,'Help Page'!$M:$N,2,0))</f>
        <v>96.255399999999995</v>
      </c>
      <c r="F233" s="73">
        <f t="shared" si="45"/>
        <v>96.255399999999995</v>
      </c>
      <c r="G233" s="33">
        <f>IF(F233 = "","",IFERROR(IF($G$1 = "YTM",_xll.CbondsCalcYTM($B$1,D233,F233),_xll.CbondsCalcYTP($B$1,D233,F233)),"")*100)</f>
        <v>5.5353285709378</v>
      </c>
      <c r="P233" s="1"/>
      <c r="U233" s="74"/>
      <c r="V233" s="74"/>
      <c r="W233" s="74"/>
      <c r="X233" s="74"/>
      <c r="Y233" s="74"/>
      <c r="Z233" s="74"/>
      <c r="AA233" s="74"/>
      <c r="AB233" s="74"/>
      <c r="AC233" s="74"/>
      <c r="AJ233" s="74"/>
      <c r="AK233" s="74"/>
      <c r="AL233" s="74"/>
      <c r="AM233" s="74"/>
      <c r="AN233" s="74"/>
      <c r="AO233" s="74"/>
      <c r="AP233" s="74"/>
      <c r="AQ233" s="74"/>
      <c r="AR233" s="74"/>
      <c r="AS233" s="74"/>
      <c r="BD233" s="74"/>
      <c r="BE233" s="74"/>
      <c r="BF233" s="74"/>
      <c r="BG233" s="74"/>
      <c r="BH233" s="74"/>
      <c r="BI233" s="74"/>
      <c r="DM233" s="1"/>
    </row>
    <row r="234" spans="4:117" x14ac:dyDescent="0.3">
      <c r="D234" s="20">
        <f t="shared" si="46"/>
        <v>45791</v>
      </c>
      <c r="E234" s="73">
        <f>_xll.CbondsClosePrice($B$1,D234,VLOOKUP($B$27,'Help Page'!$M:$N,2,0))</f>
        <v>95.6</v>
      </c>
      <c r="F234" s="73">
        <f t="shared" si="45"/>
        <v>95.6</v>
      </c>
      <c r="G234" s="33">
        <f>IF(F234 = "","",IFERROR(IF($G$1 = "YTM",_xll.CbondsCalcYTM($B$1,D234,F234),_xll.CbondsCalcYTP($B$1,D234,F234)),"")*100)</f>
        <v>5.8559621761802001</v>
      </c>
      <c r="P234" s="1"/>
      <c r="U234" s="74"/>
      <c r="V234" s="74"/>
      <c r="W234" s="74"/>
      <c r="X234" s="74"/>
      <c r="Y234" s="74"/>
      <c r="Z234" s="74"/>
      <c r="AA234" s="74"/>
      <c r="AB234" s="74"/>
      <c r="AC234" s="74"/>
      <c r="AJ234" s="74"/>
      <c r="AK234" s="74"/>
      <c r="AL234" s="74"/>
      <c r="AM234" s="74"/>
      <c r="AN234" s="74"/>
      <c r="AO234" s="74"/>
      <c r="AP234" s="74"/>
      <c r="AQ234" s="74"/>
      <c r="AR234" s="74"/>
      <c r="AS234" s="74"/>
      <c r="BD234" s="74"/>
      <c r="BE234" s="74"/>
      <c r="BF234" s="74"/>
      <c r="BG234" s="74"/>
      <c r="BH234" s="74"/>
      <c r="BI234" s="74"/>
      <c r="DM234" s="1"/>
    </row>
    <row r="235" spans="4:117" x14ac:dyDescent="0.3">
      <c r="D235" s="20">
        <f t="shared" si="46"/>
        <v>45790</v>
      </c>
      <c r="E235" s="73">
        <f>_xll.CbondsClosePrice($B$1,D235,VLOOKUP($B$27,'Help Page'!$M:$N,2,0))</f>
        <v>96.249899999999997</v>
      </c>
      <c r="F235" s="73">
        <f t="shared" si="45"/>
        <v>96.249899999999997</v>
      </c>
      <c r="G235" s="33">
        <f>IF(F235 = "","",IFERROR(IF($G$1 = "YTM",_xll.CbondsCalcYTM($B$1,D235,F235),_xll.CbondsCalcYTP($B$1,D235,F235)),"")*100)</f>
        <v>5.5338129291694997</v>
      </c>
      <c r="U235" s="74"/>
      <c r="V235" s="74"/>
      <c r="W235" s="74"/>
      <c r="X235" s="74"/>
      <c r="Y235" s="74"/>
      <c r="Z235" s="74"/>
      <c r="AA235" s="74"/>
      <c r="AB235" s="74"/>
      <c r="AC235" s="74"/>
      <c r="AJ235" s="74"/>
      <c r="AK235" s="74"/>
      <c r="AL235" s="74"/>
      <c r="AM235" s="74"/>
      <c r="AN235" s="74"/>
      <c r="AO235" s="74"/>
      <c r="AP235" s="74"/>
      <c r="AQ235" s="74"/>
      <c r="AR235" s="74"/>
      <c r="AS235" s="74"/>
      <c r="BD235" s="74"/>
      <c r="BE235" s="74"/>
      <c r="BF235" s="74"/>
      <c r="BG235" s="74"/>
      <c r="BH235" s="74"/>
      <c r="BI235" s="74"/>
      <c r="DM235" s="1"/>
    </row>
    <row r="236" spans="4:117" x14ac:dyDescent="0.3">
      <c r="D236" s="20">
        <f t="shared" si="46"/>
        <v>45789</v>
      </c>
      <c r="E236" s="73">
        <f>_xll.CbondsClosePrice($B$1,D236,VLOOKUP($B$27,'Help Page'!$M:$N,2,0))</f>
        <v>95.841300000000004</v>
      </c>
      <c r="F236" s="73">
        <f t="shared" si="45"/>
        <v>95.841300000000004</v>
      </c>
      <c r="G236" s="33">
        <f>IF(F236 = "","",IFERROR(IF($G$1 = "YTM",_xll.CbondsCalcYTM($B$1,D236,F236),_xll.CbondsCalcYTP($B$1,D236,F236)),"")*100)</f>
        <v>5.7320970801163007</v>
      </c>
      <c r="U236" s="74"/>
      <c r="V236" s="74"/>
      <c r="W236" s="74"/>
      <c r="X236" s="74"/>
      <c r="Y236" s="74"/>
      <c r="Z236" s="74"/>
      <c r="AA236" s="74"/>
      <c r="AB236" s="74"/>
      <c r="AC236" s="74"/>
      <c r="AJ236" s="74"/>
      <c r="AK236" s="74"/>
      <c r="AL236" s="74"/>
      <c r="AM236" s="74"/>
      <c r="AN236" s="74"/>
      <c r="AO236" s="74"/>
      <c r="AP236" s="74"/>
      <c r="AQ236" s="74"/>
      <c r="AR236" s="74"/>
      <c r="AS236" s="74"/>
      <c r="BD236" s="74"/>
      <c r="BE236" s="74"/>
      <c r="BF236" s="74"/>
      <c r="BG236" s="74"/>
      <c r="BH236" s="74"/>
      <c r="BI236" s="74"/>
      <c r="DM236" s="1"/>
    </row>
    <row r="237" spans="4:117" x14ac:dyDescent="0.3">
      <c r="D237" s="20">
        <f t="shared" si="46"/>
        <v>45788</v>
      </c>
      <c r="E237" s="73" t="str">
        <f>_xll.CbondsClosePrice($B$1,D237,VLOOKUP($B$27,'Help Page'!$M:$N,2,0))</f>
        <v>Нет данных</v>
      </c>
      <c r="F237" s="73">
        <f t="shared" si="45"/>
        <v>97.5</v>
      </c>
      <c r="G237" s="33">
        <f>IF(F237 = "","",IFERROR(IF($G$1 = "YTM",_xll.CbondsCalcYTM($B$1,D237,F237),_xll.CbondsCalcYTP($B$1,D237,F237)),"")*100)</f>
        <v>4.9249371965307001</v>
      </c>
      <c r="U237" s="74"/>
      <c r="V237" s="74"/>
      <c r="W237" s="74"/>
      <c r="X237" s="74"/>
      <c r="Y237" s="74"/>
      <c r="Z237" s="74"/>
      <c r="AA237" s="74"/>
      <c r="AB237" s="74"/>
      <c r="AC237" s="74"/>
      <c r="AJ237" s="74"/>
      <c r="AK237" s="74"/>
      <c r="AL237" s="74"/>
      <c r="AM237" s="74"/>
      <c r="AN237" s="74"/>
      <c r="AO237" s="74"/>
      <c r="AP237" s="74"/>
      <c r="AQ237" s="74"/>
      <c r="AR237" s="74"/>
      <c r="AS237" s="74"/>
      <c r="BD237" s="74"/>
      <c r="BE237" s="74"/>
      <c r="BF237" s="74"/>
      <c r="BG237" s="74"/>
      <c r="BH237" s="74"/>
      <c r="BI237" s="74"/>
      <c r="DM237" s="1"/>
    </row>
    <row r="238" spans="4:117" x14ac:dyDescent="0.3">
      <c r="D238" s="20">
        <f t="shared" si="46"/>
        <v>45787</v>
      </c>
      <c r="E238" s="73" t="str">
        <f>_xll.CbondsClosePrice($B$1,D238,VLOOKUP($B$27,'Help Page'!$M:$N,2,0))</f>
        <v>Нет данных</v>
      </c>
      <c r="F238" s="73">
        <f t="shared" si="45"/>
        <v>97.5</v>
      </c>
      <c r="G238" s="33">
        <f>IF(F238 = "","",IFERROR(IF($G$1 = "YTM",_xll.CbondsCalcYTM($B$1,D238,F238),_xll.CbondsCalcYTP($B$1,D238,F238)),"")*100)</f>
        <v>4.9235403410786001</v>
      </c>
      <c r="U238" s="74"/>
      <c r="V238" s="74"/>
      <c r="W238" s="74"/>
      <c r="X238" s="74"/>
      <c r="Y238" s="74"/>
      <c r="Z238" s="74"/>
      <c r="AA238" s="74"/>
      <c r="AB238" s="74"/>
      <c r="AC238" s="74"/>
      <c r="AJ238" s="74"/>
      <c r="AK238" s="74"/>
      <c r="AL238" s="74"/>
      <c r="AM238" s="74"/>
      <c r="AN238" s="74"/>
      <c r="AO238" s="74"/>
      <c r="AP238" s="74"/>
      <c r="AQ238" s="74"/>
      <c r="AR238" s="74"/>
      <c r="AS238" s="74"/>
      <c r="BD238" s="74"/>
      <c r="BE238" s="74"/>
      <c r="BF238" s="74"/>
      <c r="BG238" s="74"/>
      <c r="BH238" s="74"/>
      <c r="BI238" s="74"/>
      <c r="DM238" s="1"/>
    </row>
    <row r="239" spans="4:117" x14ac:dyDescent="0.3">
      <c r="D239" s="20">
        <f t="shared" si="46"/>
        <v>45786</v>
      </c>
      <c r="E239" s="73" t="str">
        <f>_xll.CbondsClosePrice($B$1,D239,VLOOKUP($B$27,'Help Page'!$M:$N,2,0))</f>
        <v>Нет данных</v>
      </c>
      <c r="F239" s="73">
        <f t="shared" si="45"/>
        <v>97.5</v>
      </c>
      <c r="G239" s="33">
        <f>IF(F239 = "","",IFERROR(IF($G$1 = "YTM",_xll.CbondsCalcYTM($B$1,D239,F239),_xll.CbondsCalcYTP($B$1,D239,F239)),"")*100)</f>
        <v>4.9221474128141001</v>
      </c>
      <c r="U239" s="74"/>
      <c r="V239" s="74"/>
      <c r="W239" s="74"/>
      <c r="X239" s="74"/>
      <c r="Y239" s="74"/>
      <c r="Z239" s="74"/>
      <c r="AA239" s="74"/>
      <c r="AB239" s="74"/>
      <c r="AC239" s="74"/>
      <c r="AJ239" s="74"/>
      <c r="AK239" s="74"/>
      <c r="AL239" s="74"/>
      <c r="AM239" s="74"/>
      <c r="AN239" s="74"/>
      <c r="AO239" s="74"/>
      <c r="AP239" s="74"/>
      <c r="AQ239" s="74"/>
      <c r="AR239" s="74"/>
      <c r="AS239" s="74"/>
      <c r="BD239" s="74"/>
      <c r="BE239" s="74"/>
      <c r="BF239" s="74"/>
      <c r="BG239" s="74"/>
      <c r="BH239" s="74"/>
      <c r="BI239" s="74"/>
      <c r="DM239" s="1"/>
    </row>
    <row r="240" spans="4:117" x14ac:dyDescent="0.3">
      <c r="D240" s="20">
        <f t="shared" si="46"/>
        <v>45785</v>
      </c>
      <c r="E240" s="73">
        <f>_xll.CbondsClosePrice($B$1,D240,VLOOKUP($B$27,'Help Page'!$M:$N,2,0))</f>
        <v>97.5</v>
      </c>
      <c r="F240" s="73">
        <f t="shared" si="45"/>
        <v>97.5</v>
      </c>
      <c r="G240" s="33">
        <f>IF(F240 = "","",IFERROR(IF($G$1 = "YTM",_xll.CbondsCalcYTM($B$1,D240,F240),_xll.CbondsCalcYTP($B$1,D240,F240)),"")*100)</f>
        <v>4.9207583973331994</v>
      </c>
      <c r="U240" s="74"/>
      <c r="V240" s="74"/>
      <c r="W240" s="74"/>
      <c r="X240" s="74"/>
      <c r="Y240" s="74"/>
      <c r="Z240" s="74"/>
      <c r="AA240" s="74"/>
      <c r="AB240" s="74"/>
      <c r="AC240" s="74"/>
      <c r="AJ240" s="74"/>
      <c r="AK240" s="74"/>
      <c r="AL240" s="74"/>
      <c r="AM240" s="74"/>
      <c r="AN240" s="74"/>
      <c r="AO240" s="74"/>
      <c r="AP240" s="74"/>
      <c r="AQ240" s="74"/>
      <c r="AR240" s="74"/>
      <c r="AS240" s="74"/>
      <c r="BD240" s="74"/>
      <c r="BE240" s="74"/>
      <c r="BF240" s="74"/>
      <c r="BG240" s="74"/>
      <c r="BH240" s="74"/>
      <c r="BI240" s="74"/>
      <c r="DM240" s="1"/>
    </row>
    <row r="241" spans="4:117" x14ac:dyDescent="0.3">
      <c r="D241" s="20">
        <f t="shared" si="46"/>
        <v>45784</v>
      </c>
      <c r="E241" s="73">
        <f>_xll.CbondsClosePrice($B$1,D241,VLOOKUP($B$27,'Help Page'!$M:$N,2,0))</f>
        <v>96.38</v>
      </c>
      <c r="F241" s="73">
        <f t="shared" si="45"/>
        <v>96.38</v>
      </c>
      <c r="G241" s="33">
        <f>IF(F241 = "","",IFERROR(IF($G$1 = "YTM",_xll.CbondsCalcYTM($B$1,D241,F241),_xll.CbondsCalcYTP($B$1,D241,F241)),"")*100)</f>
        <v>5.4586155111085999</v>
      </c>
      <c r="U241" s="74"/>
      <c r="V241" s="74"/>
      <c r="W241" s="74"/>
      <c r="X241" s="74"/>
      <c r="Y241" s="74"/>
      <c r="Z241" s="74"/>
      <c r="AA241" s="74"/>
      <c r="AB241" s="74"/>
      <c r="AC241" s="74"/>
      <c r="AJ241" s="74"/>
      <c r="AK241" s="74"/>
      <c r="AL241" s="74"/>
      <c r="AM241" s="74"/>
      <c r="AN241" s="74"/>
      <c r="AO241" s="74"/>
      <c r="AP241" s="74"/>
      <c r="AQ241" s="74"/>
      <c r="AR241" s="74"/>
      <c r="AS241" s="74"/>
      <c r="BD241" s="74"/>
      <c r="BE241" s="74"/>
      <c r="BF241" s="74"/>
      <c r="BG241" s="74"/>
      <c r="BH241" s="74"/>
      <c r="BI241" s="74"/>
      <c r="DM241" s="1"/>
    </row>
    <row r="242" spans="4:117" x14ac:dyDescent="0.3">
      <c r="D242" s="20">
        <f t="shared" si="46"/>
        <v>45783</v>
      </c>
      <c r="E242" s="73">
        <f>_xll.CbondsClosePrice($B$1,D242,VLOOKUP($B$27,'Help Page'!$M:$N,2,0))</f>
        <v>95.499899999999997</v>
      </c>
      <c r="F242" s="73">
        <f t="shared" si="45"/>
        <v>95.499899999999997</v>
      </c>
      <c r="G242" s="33">
        <f>IF(F242 = "","",IFERROR(IF($G$1 = "YTM",_xll.CbondsCalcYTM($B$1,D242,F242),_xll.CbondsCalcYTP($B$1,D242,F242)),"")*100)</f>
        <v>5.8859870581502998</v>
      </c>
      <c r="U242" s="74"/>
      <c r="V242" s="74"/>
      <c r="W242" s="74"/>
      <c r="X242" s="74"/>
      <c r="Y242" s="74"/>
      <c r="Z242" s="74"/>
      <c r="AA242" s="74"/>
      <c r="AB242" s="74"/>
      <c r="AC242" s="74"/>
      <c r="AJ242" s="74"/>
      <c r="AK242" s="74"/>
      <c r="AL242" s="74"/>
      <c r="AM242" s="74"/>
      <c r="AN242" s="74"/>
      <c r="AO242" s="74"/>
      <c r="AP242" s="74"/>
      <c r="AQ242" s="74"/>
      <c r="AR242" s="74"/>
      <c r="AS242" s="74"/>
      <c r="BD242" s="74"/>
      <c r="BE242" s="74"/>
      <c r="BF242" s="74"/>
      <c r="BG242" s="74"/>
      <c r="BH242" s="74"/>
      <c r="BI242" s="74"/>
      <c r="DM242" s="1"/>
    </row>
    <row r="243" spans="4:117" x14ac:dyDescent="0.3">
      <c r="D243" s="20">
        <f t="shared" si="46"/>
        <v>45782</v>
      </c>
      <c r="E243" s="73">
        <f>_xll.CbondsClosePrice($B$1,D243,VLOOKUP($B$27,'Help Page'!$M:$N,2,0))</f>
        <v>95.239900000000006</v>
      </c>
      <c r="F243" s="73">
        <f t="shared" si="45"/>
        <v>95.239900000000006</v>
      </c>
      <c r="G243" s="33">
        <f>IF(F243 = "","",IFERROR(IF($G$1 = "YTM",_xll.CbondsCalcYTM($B$1,D243,F243),_xll.CbondsCalcYTP($B$1,D243,F243)),"")*100)</f>
        <v>6.0113211037324996</v>
      </c>
      <c r="U243" s="74"/>
      <c r="V243" s="74"/>
      <c r="W243" s="74"/>
      <c r="X243" s="74"/>
      <c r="Y243" s="74"/>
      <c r="Z243" s="74"/>
      <c r="AA243" s="74"/>
      <c r="AB243" s="74"/>
      <c r="AC243" s="74"/>
      <c r="AJ243" s="74"/>
      <c r="AK243" s="74"/>
      <c r="AL243" s="74"/>
      <c r="AM243" s="74"/>
      <c r="AN243" s="74"/>
      <c r="AO243" s="74"/>
      <c r="AP243" s="74"/>
      <c r="AQ243" s="74"/>
      <c r="AR243" s="74"/>
      <c r="AS243" s="74"/>
      <c r="BD243" s="74"/>
      <c r="BE243" s="74"/>
      <c r="BF243" s="74"/>
      <c r="BG243" s="74"/>
      <c r="BH243" s="74"/>
      <c r="BI243" s="74"/>
      <c r="DM243" s="1"/>
    </row>
    <row r="244" spans="4:117" x14ac:dyDescent="0.3">
      <c r="D244" s="20">
        <f t="shared" si="46"/>
        <v>45781</v>
      </c>
      <c r="E244" s="73" t="str">
        <f>_xll.CbondsClosePrice($B$1,D244,VLOOKUP($B$27,'Help Page'!$M:$N,2,0))</f>
        <v>Нет данных</v>
      </c>
      <c r="F244" s="73">
        <f t="shared" si="45"/>
        <v>95.399799999999999</v>
      </c>
      <c r="G244" s="33">
        <f>IF(F244 = "","",IFERROR(IF($G$1 = "YTM",_xll.CbondsCalcYTM($B$1,D244,F244),_xll.CbondsCalcYTP($B$1,D244,F244)),"")*100)</f>
        <v>5.9301317814550005</v>
      </c>
      <c r="U244" s="74"/>
      <c r="V244" s="74"/>
      <c r="W244" s="74"/>
      <c r="X244" s="74"/>
      <c r="Y244" s="74"/>
      <c r="Z244" s="74"/>
      <c r="AA244" s="74"/>
      <c r="AB244" s="74"/>
      <c r="AC244" s="74"/>
      <c r="AJ244" s="74"/>
      <c r="AK244" s="74"/>
      <c r="AL244" s="74"/>
      <c r="AM244" s="74"/>
      <c r="AN244" s="74"/>
      <c r="AO244" s="74"/>
      <c r="AP244" s="74"/>
      <c r="AQ244" s="74"/>
      <c r="AR244" s="74"/>
      <c r="AS244" s="74"/>
      <c r="BD244" s="74"/>
      <c r="BE244" s="74"/>
      <c r="BF244" s="74"/>
      <c r="BG244" s="74"/>
      <c r="BH244" s="74"/>
      <c r="BI244" s="74"/>
      <c r="DM244" s="1"/>
    </row>
    <row r="245" spans="4:117" x14ac:dyDescent="0.3">
      <c r="D245" s="20">
        <f t="shared" si="46"/>
        <v>45780</v>
      </c>
      <c r="E245" s="73" t="str">
        <f>_xll.CbondsClosePrice($B$1,D245,VLOOKUP($B$27,'Help Page'!$M:$N,2,0))</f>
        <v>Нет данных</v>
      </c>
      <c r="F245" s="73">
        <f t="shared" si="45"/>
        <v>95.399799999999999</v>
      </c>
      <c r="G245" s="33">
        <f>IF(F245 = "","",IFERROR(IF($G$1 = "YTM",_xll.CbondsCalcYTM($B$1,D245,F245),_xll.CbondsCalcYTP($B$1,D245,F245)),"")*100)</f>
        <v>5.9276129725733</v>
      </c>
      <c r="U245" s="74"/>
      <c r="V245" s="74"/>
      <c r="W245" s="74"/>
      <c r="X245" s="74"/>
      <c r="Y245" s="74"/>
      <c r="Z245" s="74"/>
      <c r="AA245" s="74"/>
      <c r="AB245" s="74"/>
      <c r="AC245" s="74"/>
      <c r="AJ245" s="74"/>
      <c r="AK245" s="74"/>
      <c r="AL245" s="74"/>
      <c r="AM245" s="74"/>
      <c r="AN245" s="74"/>
      <c r="AO245" s="74"/>
      <c r="AP245" s="74"/>
      <c r="AQ245" s="74"/>
      <c r="AR245" s="74"/>
      <c r="AS245" s="74"/>
      <c r="BD245" s="74"/>
      <c r="BE245" s="74"/>
      <c r="BF245" s="74"/>
      <c r="BG245" s="74"/>
      <c r="BH245" s="74"/>
      <c r="BI245" s="74"/>
      <c r="DM245" s="1"/>
    </row>
    <row r="246" spans="4:117" x14ac:dyDescent="0.3">
      <c r="D246" s="20">
        <f t="shared" si="46"/>
        <v>45779</v>
      </c>
      <c r="E246" s="73">
        <f>_xll.CbondsClosePrice($B$1,D246,VLOOKUP($B$27,'Help Page'!$M:$N,2,0))</f>
        <v>95.399799999999999</v>
      </c>
      <c r="F246" s="73">
        <f t="shared" si="45"/>
        <v>95.399799999999999</v>
      </c>
      <c r="G246" s="33">
        <f>IF(F246 = "","",IFERROR(IF($G$1 = "YTM",_xll.CbondsCalcYTM($B$1,D246,F246),_xll.CbondsCalcYTP($B$1,D246,F246)),"")*100)</f>
        <v>5.9251008565068997</v>
      </c>
      <c r="U246" s="74"/>
      <c r="V246" s="74"/>
      <c r="W246" s="74"/>
      <c r="X246" s="74"/>
      <c r="Y246" s="74"/>
      <c r="Z246" s="74"/>
      <c r="AA246" s="74"/>
      <c r="AB246" s="74"/>
      <c r="AC246" s="74"/>
      <c r="AJ246" s="74"/>
      <c r="AK246" s="74"/>
      <c r="AL246" s="74"/>
      <c r="AM246" s="74"/>
      <c r="AN246" s="74"/>
      <c r="AO246" s="74"/>
      <c r="AP246" s="74"/>
      <c r="AQ246" s="74"/>
      <c r="AR246" s="74"/>
      <c r="AS246" s="74"/>
      <c r="BD246" s="74"/>
      <c r="BE246" s="74"/>
      <c r="BF246" s="74"/>
      <c r="BG246" s="74"/>
      <c r="BH246" s="74"/>
      <c r="BI246" s="74"/>
      <c r="DM246" s="1"/>
    </row>
    <row r="247" spans="4:117" x14ac:dyDescent="0.3">
      <c r="D247" s="20">
        <f t="shared" si="46"/>
        <v>45778</v>
      </c>
      <c r="E247" s="73" t="str">
        <f>_xll.CbondsClosePrice($B$1,D247,VLOOKUP($B$27,'Help Page'!$M:$N,2,0))</f>
        <v>Нет данных</v>
      </c>
      <c r="F247" s="73">
        <f t="shared" si="45"/>
        <v>95.76</v>
      </c>
      <c r="G247" s="33">
        <f>IF(F247 = "","",IFERROR(IF($G$1 = "YTM",_xll.CbondsCalcYTM($B$1,D247,F247),_xll.CbondsCalcYTP($B$1,D247,F247)),"")*100)</f>
        <v>5.7468998457930995</v>
      </c>
      <c r="U247" s="74"/>
      <c r="V247" s="74"/>
      <c r="W247" s="74"/>
      <c r="X247" s="74"/>
      <c r="Y247" s="74"/>
      <c r="Z247" s="74"/>
      <c r="AA247" s="74"/>
      <c r="AB247" s="74"/>
      <c r="AC247" s="74"/>
      <c r="AJ247" s="74"/>
      <c r="AK247" s="74"/>
      <c r="AL247" s="74"/>
      <c r="AM247" s="74"/>
      <c r="AN247" s="74"/>
      <c r="AO247" s="74"/>
      <c r="AP247" s="74"/>
      <c r="AQ247" s="74"/>
      <c r="AR247" s="74"/>
      <c r="AS247" s="74"/>
      <c r="BD247" s="74"/>
      <c r="BE247" s="74"/>
      <c r="BF247" s="74"/>
      <c r="BG247" s="74"/>
      <c r="BH247" s="74"/>
      <c r="BI247" s="74"/>
      <c r="DM247" s="1"/>
    </row>
    <row r="248" spans="4:117" x14ac:dyDescent="0.3">
      <c r="D248" s="20">
        <f t="shared" si="46"/>
        <v>45777</v>
      </c>
      <c r="E248" s="73">
        <f>_xll.CbondsClosePrice($B$1,D248,VLOOKUP($B$27,'Help Page'!$M:$N,2,0))</f>
        <v>95.76</v>
      </c>
      <c r="F248" s="73">
        <f t="shared" si="45"/>
        <v>95.76</v>
      </c>
      <c r="G248" s="33">
        <f>IF(F248 = "","",IFERROR(IF($G$1 = "YTM",_xll.CbondsCalcYTM($B$1,D248,F248),_xll.CbondsCalcYTP($B$1,D248,F248)),"")*100)</f>
        <v>5.7450857683405001</v>
      </c>
      <c r="U248" s="74"/>
      <c r="V248" s="74"/>
      <c r="W248" s="74"/>
      <c r="X248" s="74"/>
      <c r="Y248" s="74"/>
      <c r="Z248" s="74"/>
      <c r="AA248" s="74"/>
      <c r="AB248" s="74"/>
      <c r="AC248" s="74"/>
      <c r="AJ248" s="74"/>
      <c r="AK248" s="74"/>
      <c r="AL248" s="74"/>
      <c r="AM248" s="74"/>
      <c r="AN248" s="74"/>
      <c r="AO248" s="74"/>
      <c r="AP248" s="74"/>
      <c r="AQ248" s="74"/>
      <c r="AR248" s="74"/>
      <c r="AS248" s="74"/>
      <c r="BD248" s="74"/>
      <c r="BE248" s="74"/>
      <c r="BF248" s="74"/>
      <c r="BG248" s="74"/>
      <c r="BH248" s="74"/>
      <c r="BI248" s="74"/>
      <c r="DM248" s="1"/>
    </row>
    <row r="249" spans="4:117" x14ac:dyDescent="0.3">
      <c r="D249" s="20">
        <f t="shared" si="46"/>
        <v>45776</v>
      </c>
      <c r="E249" s="73">
        <f>_xll.CbondsClosePrice($B$1,D249,VLOOKUP($B$27,'Help Page'!$M:$N,2,0))</f>
        <v>94.846599999999995</v>
      </c>
      <c r="F249" s="73">
        <f t="shared" si="45"/>
        <v>94.846599999999995</v>
      </c>
      <c r="G249" s="33">
        <f>IF(F249 = "","",IFERROR(IF($G$1 = "YTM",_xll.CbondsCalcYTM($B$1,D249,F249),_xll.CbondsCalcYTP($B$1,D249,F249)),"")*100)</f>
        <v>6.1892182553127002</v>
      </c>
      <c r="U249" s="74"/>
      <c r="V249" s="74"/>
      <c r="W249" s="74"/>
      <c r="X249" s="74"/>
      <c r="Y249" s="74"/>
      <c r="Z249" s="74"/>
      <c r="AA249" s="74"/>
      <c r="AB249" s="74"/>
      <c r="AC249" s="74"/>
      <c r="AJ249" s="74"/>
      <c r="AK249" s="74"/>
      <c r="AL249" s="74"/>
      <c r="AM249" s="74"/>
      <c r="AN249" s="74"/>
      <c r="AO249" s="74"/>
      <c r="AP249" s="74"/>
      <c r="AQ249" s="74"/>
      <c r="AR249" s="74"/>
      <c r="AS249" s="74"/>
      <c r="BD249" s="74"/>
      <c r="BE249" s="74"/>
      <c r="BF249" s="74"/>
      <c r="BG249" s="74"/>
      <c r="BH249" s="74"/>
      <c r="BI249" s="74"/>
      <c r="DM249" s="1"/>
    </row>
    <row r="250" spans="4:117" x14ac:dyDescent="0.3">
      <c r="D250" s="20">
        <f t="shared" si="46"/>
        <v>45775</v>
      </c>
      <c r="E250" s="73">
        <f>_xll.CbondsClosePrice($B$1,D250,VLOOKUP($B$27,'Help Page'!$M:$N,2,0))</f>
        <v>95.7</v>
      </c>
      <c r="F250" s="73">
        <f t="shared" si="45"/>
        <v>95.7</v>
      </c>
      <c r="G250" s="33">
        <f>IF(F250 = "","",IFERROR(IF($G$1 = "YTM",_xll.CbondsCalcYTM($B$1,D250,F250),_xll.CbondsCalcYTP($B$1,D250,F250)),"")*100)</f>
        <v>5.7696037709874997</v>
      </c>
      <c r="U250" s="74"/>
      <c r="V250" s="74"/>
      <c r="W250" s="74"/>
      <c r="X250" s="74"/>
      <c r="Y250" s="74"/>
      <c r="Z250" s="74"/>
      <c r="AA250" s="74"/>
      <c r="AB250" s="74"/>
      <c r="AC250" s="74"/>
      <c r="AJ250" s="74"/>
      <c r="AK250" s="74"/>
      <c r="AL250" s="74"/>
      <c r="AM250" s="74"/>
      <c r="AN250" s="74"/>
      <c r="AO250" s="74"/>
      <c r="AP250" s="74"/>
      <c r="AQ250" s="74"/>
      <c r="AR250" s="74"/>
      <c r="AS250" s="74"/>
      <c r="BD250" s="74"/>
      <c r="BE250" s="74"/>
      <c r="BF250" s="74"/>
      <c r="BG250" s="74"/>
      <c r="BH250" s="74"/>
      <c r="BI250" s="74"/>
      <c r="DM250" s="1"/>
    </row>
    <row r="251" spans="4:117" x14ac:dyDescent="0.3">
      <c r="D251" s="20">
        <f t="shared" si="46"/>
        <v>45774</v>
      </c>
      <c r="E251" s="73" t="str">
        <f>_xll.CbondsClosePrice($B$1,D251,VLOOKUP($B$27,'Help Page'!$M:$N,2,0))</f>
        <v>Нет данных</v>
      </c>
      <c r="F251" s="73">
        <f t="shared" si="45"/>
        <v>94.85</v>
      </c>
      <c r="G251" s="33">
        <f>IF(F251 = "","",IFERROR(IF($G$1 = "YTM",_xll.CbondsCalcYTM($B$1,D251,F251),_xll.CbondsCalcYTP($B$1,D251,F251)),"")*100)</f>
        <v>6.1819704670188003</v>
      </c>
      <c r="U251" s="74"/>
      <c r="V251" s="74"/>
      <c r="W251" s="74"/>
      <c r="X251" s="74"/>
      <c r="Y251" s="74"/>
      <c r="Z251" s="74"/>
      <c r="AA251" s="74"/>
      <c r="AB251" s="74"/>
      <c r="AC251" s="74"/>
      <c r="AJ251" s="74"/>
      <c r="AK251" s="74"/>
      <c r="AL251" s="74"/>
      <c r="AM251" s="74"/>
      <c r="AN251" s="74"/>
      <c r="AO251" s="74"/>
      <c r="AP251" s="74"/>
      <c r="AQ251" s="74"/>
      <c r="AR251" s="74"/>
      <c r="AS251" s="74"/>
      <c r="BD251" s="74"/>
      <c r="BE251" s="74"/>
      <c r="BF251" s="74"/>
      <c r="BG251" s="74"/>
      <c r="BH251" s="74"/>
      <c r="BI251" s="74"/>
      <c r="DM251" s="1"/>
    </row>
    <row r="252" spans="4:117" x14ac:dyDescent="0.3">
      <c r="D252" s="20">
        <f t="shared" si="46"/>
        <v>45773</v>
      </c>
      <c r="E252" s="73" t="str">
        <f>_xll.CbondsClosePrice($B$1,D252,VLOOKUP($B$27,'Help Page'!$M:$N,2,0))</f>
        <v>Нет данных</v>
      </c>
      <c r="F252" s="73">
        <f t="shared" si="45"/>
        <v>94.85</v>
      </c>
      <c r="G252" s="33">
        <f>IF(F252 = "","",IFERROR(IF($G$1 = "YTM",_xll.CbondsCalcYTM($B$1,D252,F252),_xll.CbondsCalcYTP($B$1,D252,F252)),"")*100)</f>
        <v>6.179194258131</v>
      </c>
      <c r="U252" s="74"/>
      <c r="V252" s="74"/>
      <c r="W252" s="74"/>
      <c r="X252" s="74"/>
      <c r="Y252" s="74"/>
      <c r="Z252" s="74"/>
      <c r="AA252" s="74"/>
      <c r="AB252" s="74"/>
      <c r="AC252" s="74"/>
      <c r="AJ252" s="74"/>
      <c r="AK252" s="74"/>
      <c r="AL252" s="74"/>
      <c r="AM252" s="74"/>
      <c r="AN252" s="74"/>
      <c r="AO252" s="74"/>
      <c r="AP252" s="74"/>
      <c r="AQ252" s="74"/>
      <c r="AR252" s="74"/>
      <c r="AS252" s="74"/>
      <c r="BD252" s="74"/>
      <c r="BE252" s="74"/>
      <c r="BF252" s="74"/>
      <c r="BG252" s="74"/>
      <c r="BH252" s="74"/>
      <c r="BI252" s="74"/>
      <c r="DM252" s="1"/>
    </row>
    <row r="253" spans="4:117" x14ac:dyDescent="0.3">
      <c r="D253" s="20">
        <f t="shared" si="46"/>
        <v>45772</v>
      </c>
      <c r="E253" s="73">
        <f>_xll.CbondsClosePrice($B$1,D253,VLOOKUP($B$27,'Help Page'!$M:$N,2,0))</f>
        <v>94.85</v>
      </c>
      <c r="F253" s="73">
        <f t="shared" si="45"/>
        <v>94.85</v>
      </c>
      <c r="G253" s="33">
        <f>IF(F253 = "","",IFERROR(IF($G$1 = "YTM",_xll.CbondsCalcYTM($B$1,D253,F253),_xll.CbondsCalcYTP($B$1,D253,F253)),"")*100)</f>
        <v>6.1764253286487003</v>
      </c>
      <c r="U253" s="74"/>
      <c r="V253" s="74"/>
      <c r="W253" s="74"/>
      <c r="X253" s="74"/>
      <c r="Y253" s="74"/>
      <c r="Z253" s="74"/>
      <c r="AA253" s="74"/>
      <c r="AB253" s="74"/>
      <c r="AC253" s="74"/>
      <c r="AJ253" s="74"/>
      <c r="AK253" s="74"/>
      <c r="AL253" s="74"/>
      <c r="AM253" s="74"/>
      <c r="AN253" s="74"/>
      <c r="AO253" s="74"/>
      <c r="AP253" s="74"/>
      <c r="AQ253" s="74"/>
      <c r="AR253" s="74"/>
      <c r="AS253" s="74"/>
      <c r="BD253" s="74"/>
      <c r="BE253" s="74"/>
      <c r="BF253" s="74"/>
      <c r="BG253" s="74"/>
      <c r="BH253" s="74"/>
      <c r="BI253" s="74"/>
      <c r="DM253" s="1"/>
    </row>
    <row r="254" spans="4:117" x14ac:dyDescent="0.3">
      <c r="D254" s="20">
        <f t="shared" si="46"/>
        <v>45771</v>
      </c>
      <c r="E254" s="73">
        <f>_xll.CbondsClosePrice($B$1,D254,VLOOKUP($B$27,'Help Page'!$M:$N,2,0))</f>
        <v>93.398600000000002</v>
      </c>
      <c r="F254" s="73">
        <f t="shared" si="45"/>
        <v>93.398600000000002</v>
      </c>
      <c r="G254" s="33">
        <f>IF(F254 = "","",IFERROR(IF($G$1 = "YTM",_xll.CbondsCalcYTM($B$1,D254,F254),_xll.CbondsCalcYTP($B$1,D254,F254)),"")*100)</f>
        <v>6.8920275135239999</v>
      </c>
      <c r="U254" s="74"/>
      <c r="V254" s="74"/>
      <c r="W254" s="74"/>
      <c r="X254" s="74"/>
      <c r="Y254" s="74"/>
      <c r="Z254" s="74"/>
      <c r="AA254" s="74"/>
      <c r="AB254" s="74"/>
      <c r="AC254" s="74"/>
      <c r="AJ254" s="74"/>
      <c r="AK254" s="74"/>
      <c r="AL254" s="74"/>
      <c r="AM254" s="74"/>
      <c r="AN254" s="74"/>
      <c r="AO254" s="74"/>
      <c r="AP254" s="74"/>
      <c r="AQ254" s="74"/>
      <c r="AR254" s="74"/>
      <c r="AS254" s="74"/>
      <c r="BD254" s="74"/>
      <c r="BE254" s="74"/>
      <c r="BF254" s="74"/>
      <c r="BG254" s="74"/>
      <c r="BH254" s="74"/>
      <c r="BI254" s="74"/>
      <c r="DM254" s="1"/>
    </row>
    <row r="255" spans="4:117" x14ac:dyDescent="0.3">
      <c r="D255" s="20">
        <f t="shared" si="46"/>
        <v>45770</v>
      </c>
      <c r="E255" s="73">
        <f>_xll.CbondsClosePrice($B$1,D255,VLOOKUP($B$27,'Help Page'!$M:$N,2,0))</f>
        <v>95.612799999999993</v>
      </c>
      <c r="F255" s="73">
        <f t="shared" si="45"/>
        <v>95.612799999999993</v>
      </c>
      <c r="G255" s="33">
        <f>IF(F255 = "","",IFERROR(IF($G$1 = "YTM",_xll.CbondsCalcYTM($B$1,D255,F255),_xll.CbondsCalcYTP($B$1,D255,F255)),"")*100)</f>
        <v>5.8006764615893998</v>
      </c>
      <c r="U255" s="74"/>
      <c r="V255" s="74"/>
      <c r="W255" s="74"/>
      <c r="X255" s="74"/>
      <c r="Y255" s="74"/>
      <c r="Z255" s="74"/>
      <c r="AA255" s="74"/>
      <c r="AB255" s="74"/>
      <c r="AC255" s="74"/>
      <c r="AJ255" s="74"/>
      <c r="AK255" s="74"/>
      <c r="AL255" s="74"/>
      <c r="AM255" s="74"/>
      <c r="AN255" s="74"/>
      <c r="AO255" s="74"/>
      <c r="AP255" s="74"/>
      <c r="AQ255" s="74"/>
      <c r="AR255" s="74"/>
      <c r="AS255" s="74"/>
      <c r="BD255" s="74"/>
      <c r="BE255" s="74"/>
      <c r="BF255" s="74"/>
      <c r="BG255" s="74"/>
      <c r="BH255" s="74"/>
      <c r="BI255" s="74"/>
      <c r="DM255" s="1"/>
    </row>
    <row r="256" spans="4:117" x14ac:dyDescent="0.3">
      <c r="D256" s="20">
        <f t="shared" si="46"/>
        <v>45769</v>
      </c>
      <c r="E256" s="73">
        <f>_xll.CbondsClosePrice($B$1,D256,VLOOKUP($B$27,'Help Page'!$M:$N,2,0))</f>
        <v>93.150099999999995</v>
      </c>
      <c r="F256" s="73">
        <f t="shared" si="45"/>
        <v>93.150099999999995</v>
      </c>
      <c r="G256" s="33">
        <f>IF(F256 = "","",IFERROR(IF($G$1 = "YTM",_xll.CbondsCalcYTM($B$1,D256,F256),_xll.CbondsCalcYTP($B$1,D256,F256)),"")*100)</f>
        <v>7.0097595801445003</v>
      </c>
      <c r="U256" s="74"/>
      <c r="V256" s="74"/>
      <c r="W256" s="74"/>
      <c r="X256" s="74"/>
      <c r="Y256" s="74"/>
      <c r="Z256" s="74"/>
      <c r="AA256" s="74"/>
      <c r="AB256" s="74"/>
      <c r="AC256" s="74"/>
      <c r="AJ256" s="74"/>
      <c r="AK256" s="74"/>
      <c r="AL256" s="74"/>
      <c r="AM256" s="74"/>
      <c r="AN256" s="74"/>
      <c r="AO256" s="74"/>
      <c r="AP256" s="74"/>
      <c r="AQ256" s="74"/>
      <c r="AR256" s="74"/>
      <c r="AS256" s="74"/>
      <c r="BD256" s="74"/>
      <c r="BE256" s="74"/>
      <c r="BF256" s="74"/>
      <c r="BG256" s="74"/>
      <c r="BH256" s="74"/>
      <c r="BI256" s="74"/>
      <c r="DM256" s="1"/>
    </row>
    <row r="257" spans="4:117" x14ac:dyDescent="0.3">
      <c r="D257" s="20">
        <f t="shared" si="46"/>
        <v>45768</v>
      </c>
      <c r="E257" s="73">
        <f>_xll.CbondsClosePrice($B$1,D257,VLOOKUP($B$27,'Help Page'!$M:$N,2,0))</f>
        <v>93.275999999999996</v>
      </c>
      <c r="F257" s="73">
        <f t="shared" si="45"/>
        <v>93.275999999999996</v>
      </c>
      <c r="G257" s="33">
        <f>IF(F257 = "","",IFERROR(IF($G$1 = "YTM",_xll.CbondsCalcYTM($B$1,D257,F257),_xll.CbondsCalcYTP($B$1,D257,F257)),"")*100)</f>
        <v>6.9430809791538</v>
      </c>
      <c r="U257" s="74"/>
      <c r="V257" s="74"/>
      <c r="W257" s="74"/>
      <c r="X257" s="74"/>
      <c r="Y257" s="74"/>
      <c r="Z257" s="74"/>
      <c r="AA257" s="74"/>
      <c r="AB257" s="74"/>
      <c r="AC257" s="74"/>
      <c r="AJ257" s="74"/>
      <c r="AK257" s="74"/>
      <c r="AL257" s="74"/>
      <c r="AM257" s="74"/>
      <c r="AN257" s="74"/>
      <c r="AO257" s="74"/>
      <c r="AP257" s="74"/>
      <c r="AQ257" s="74"/>
      <c r="AR257" s="74"/>
      <c r="AS257" s="74"/>
      <c r="BD257" s="74"/>
      <c r="BE257" s="74"/>
      <c r="BF257" s="74"/>
      <c r="BG257" s="74"/>
      <c r="BH257" s="74"/>
      <c r="BI257" s="74"/>
      <c r="DM257" s="1"/>
    </row>
    <row r="258" spans="4:117" x14ac:dyDescent="0.3">
      <c r="D258" s="20">
        <f t="shared" si="46"/>
        <v>45767</v>
      </c>
      <c r="E258" s="73" t="str">
        <f>_xll.CbondsClosePrice($B$1,D258,VLOOKUP($B$27,'Help Page'!$M:$N,2,0))</f>
        <v>Нет данных</v>
      </c>
      <c r="F258" s="73">
        <f t="shared" si="45"/>
        <v>93.124399999999994</v>
      </c>
      <c r="G258" s="33">
        <f>IF(F258 = "","",IFERROR(IF($G$1 = "YTM",_xll.CbondsCalcYTM($B$1,D258,F258),_xll.CbondsCalcYTP($B$1,D258,F258)),"")*100)</f>
        <v>7.0152539078201004</v>
      </c>
      <c r="U258" s="74"/>
      <c r="V258" s="74"/>
      <c r="W258" s="74"/>
      <c r="X258" s="74"/>
      <c r="Y258" s="74"/>
      <c r="Z258" s="74"/>
      <c r="AA258" s="74"/>
      <c r="AB258" s="74"/>
      <c r="AC258" s="74"/>
      <c r="AJ258" s="74"/>
      <c r="AK258" s="74"/>
      <c r="AL258" s="74"/>
      <c r="AM258" s="74"/>
      <c r="AN258" s="74"/>
      <c r="AO258" s="74"/>
      <c r="AP258" s="74"/>
      <c r="AQ258" s="74"/>
      <c r="AR258" s="74"/>
      <c r="AS258" s="74"/>
      <c r="BD258" s="74"/>
      <c r="BE258" s="74"/>
      <c r="BF258" s="74"/>
      <c r="BG258" s="74"/>
      <c r="BH258" s="74"/>
      <c r="BI258" s="74"/>
      <c r="DM258" s="1"/>
    </row>
    <row r="259" spans="4:117" x14ac:dyDescent="0.3">
      <c r="D259" s="20">
        <f t="shared" si="46"/>
        <v>45766</v>
      </c>
      <c r="E259" s="73" t="str">
        <f>_xll.CbondsClosePrice($B$1,D259,VLOOKUP($B$27,'Help Page'!$M:$N,2,0))</f>
        <v>Нет данных</v>
      </c>
      <c r="F259" s="73">
        <f t="shared" ref="F259:F322" si="48">IF(IF(AND(E259="",D259=""),"",IF(AND(E259="Нет данных",D259&lt;&gt;""),F260,E259)) = 0,"",IF(AND(E259="",D259=""),"",IF(AND(E259="Нет данных",D259&lt;&gt;""),F260,E259)))</f>
        <v>93.124399999999994</v>
      </c>
      <c r="G259" s="33">
        <f>IF(F259 = "","",IFERROR(IF($G$1 = "YTM",_xll.CbondsCalcYTM($B$1,D259,F259),_xll.CbondsCalcYTP($B$1,D259,F259)),"")*100)</f>
        <v>7.0115711958900997</v>
      </c>
      <c r="U259" s="74"/>
      <c r="V259" s="74"/>
      <c r="W259" s="74"/>
      <c r="X259" s="74"/>
      <c r="Y259" s="74"/>
      <c r="Z259" s="74"/>
      <c r="AA259" s="74"/>
      <c r="AB259" s="74"/>
      <c r="AC259" s="74"/>
      <c r="AJ259" s="74"/>
      <c r="AK259" s="74"/>
      <c r="AL259" s="74"/>
      <c r="AM259" s="74"/>
      <c r="AN259" s="74"/>
      <c r="AO259" s="74"/>
      <c r="AP259" s="74"/>
      <c r="AQ259" s="74"/>
      <c r="AR259" s="74"/>
      <c r="AS259" s="74"/>
      <c r="BD259" s="74"/>
      <c r="BE259" s="74"/>
      <c r="BF259" s="74"/>
      <c r="BG259" s="74"/>
      <c r="BH259" s="74"/>
      <c r="BI259" s="74"/>
      <c r="DM259" s="1"/>
    </row>
    <row r="260" spans="4:117" x14ac:dyDescent="0.3">
      <c r="D260" s="20">
        <f t="shared" ref="D260:D323" si="49">D259-1</f>
        <v>45765</v>
      </c>
      <c r="E260" s="73">
        <f>_xll.CbondsClosePrice($B$1,D260,VLOOKUP($B$27,'Help Page'!$M:$N,2,0))</f>
        <v>93.124399999999994</v>
      </c>
      <c r="F260" s="73">
        <f t="shared" si="48"/>
        <v>93.124399999999994</v>
      </c>
      <c r="G260" s="33">
        <f>IF(F260 = "","",IFERROR(IF($G$1 = "YTM",_xll.CbondsCalcYTM($B$1,D260,F260),_xll.CbondsCalcYTP($B$1,D260,F260)),"")*100)</f>
        <v>7.0078979552418996</v>
      </c>
      <c r="U260" s="74"/>
      <c r="V260" s="74"/>
      <c r="W260" s="74"/>
      <c r="X260" s="74"/>
      <c r="Y260" s="74"/>
      <c r="Z260" s="74"/>
      <c r="AA260" s="74"/>
      <c r="AB260" s="74"/>
      <c r="AC260" s="74"/>
      <c r="AJ260" s="74"/>
      <c r="AK260" s="74"/>
      <c r="AL260" s="74"/>
      <c r="AM260" s="74"/>
      <c r="AN260" s="74"/>
      <c r="AO260" s="74"/>
      <c r="AP260" s="74"/>
      <c r="AQ260" s="74"/>
      <c r="AR260" s="74"/>
      <c r="AS260" s="74"/>
      <c r="BD260" s="74"/>
      <c r="BE260" s="74"/>
      <c r="BF260" s="74"/>
      <c r="BG260" s="74"/>
      <c r="BH260" s="74"/>
      <c r="BI260" s="74"/>
      <c r="DM260" s="1"/>
    </row>
    <row r="261" spans="4:117" x14ac:dyDescent="0.3">
      <c r="D261" s="20">
        <f t="shared" si="49"/>
        <v>45764</v>
      </c>
      <c r="E261" s="73">
        <f>_xll.CbondsClosePrice($B$1,D261,VLOOKUP($B$27,'Help Page'!$M:$N,2,0))</f>
        <v>93.195899999999995</v>
      </c>
      <c r="F261" s="73">
        <f t="shared" si="48"/>
        <v>93.195899999999995</v>
      </c>
      <c r="G261" s="33">
        <f>IF(F261 = "","",IFERROR(IF($G$1 = "YTM",_xll.CbondsCalcYTM($B$1,D261,F261),_xll.CbondsCalcYTP($B$1,D261,F261)),"")*100)</f>
        <v>6.9685918604657999</v>
      </c>
      <c r="U261" s="74"/>
      <c r="V261" s="74"/>
      <c r="W261" s="74"/>
      <c r="X261" s="74"/>
      <c r="Y261" s="74"/>
      <c r="Z261" s="74"/>
      <c r="AA261" s="74"/>
      <c r="AB261" s="74"/>
      <c r="AC261" s="74"/>
      <c r="AJ261" s="74"/>
      <c r="AK261" s="74"/>
      <c r="AL261" s="74"/>
      <c r="AM261" s="74"/>
      <c r="AN261" s="74"/>
      <c r="AO261" s="74"/>
      <c r="AP261" s="74"/>
      <c r="AQ261" s="74"/>
      <c r="AR261" s="74"/>
      <c r="AS261" s="74"/>
      <c r="BD261" s="74"/>
      <c r="BE261" s="74"/>
      <c r="BF261" s="74"/>
      <c r="BG261" s="74"/>
      <c r="BH261" s="74"/>
      <c r="BI261" s="74"/>
      <c r="DM261" s="1"/>
    </row>
    <row r="262" spans="4:117" x14ac:dyDescent="0.3">
      <c r="D262" s="20">
        <f t="shared" si="49"/>
        <v>45763</v>
      </c>
      <c r="E262" s="73">
        <f>_xll.CbondsClosePrice($B$1,D262,VLOOKUP($B$27,'Help Page'!$M:$N,2,0))</f>
        <v>93.969800000000006</v>
      </c>
      <c r="F262" s="73">
        <f t="shared" si="48"/>
        <v>93.969800000000006</v>
      </c>
      <c r="G262" s="33">
        <f>IF(F262 = "","",IFERROR(IF($G$1 = "YTM",_xll.CbondsCalcYTM($B$1,D262,F262),_xll.CbondsCalcYTP($B$1,D262,F262)),"")*100)</f>
        <v>6.5821597486263999</v>
      </c>
      <c r="U262" s="74"/>
      <c r="V262" s="74"/>
      <c r="W262" s="74"/>
      <c r="X262" s="74"/>
      <c r="Y262" s="74"/>
      <c r="Z262" s="74"/>
      <c r="AA262" s="74"/>
      <c r="AB262" s="74"/>
      <c r="AC262" s="74"/>
      <c r="AJ262" s="74"/>
      <c r="AK262" s="74"/>
      <c r="AL262" s="74"/>
      <c r="AM262" s="74"/>
      <c r="AN262" s="74"/>
      <c r="AO262" s="74"/>
      <c r="AP262" s="74"/>
      <c r="AQ262" s="74"/>
      <c r="AR262" s="74"/>
      <c r="AS262" s="74"/>
      <c r="BD262" s="74"/>
      <c r="BE262" s="74"/>
      <c r="BF262" s="74"/>
      <c r="BG262" s="74"/>
      <c r="BH262" s="74"/>
      <c r="BI262" s="74"/>
      <c r="DM262" s="1"/>
    </row>
    <row r="263" spans="4:117" x14ac:dyDescent="0.3">
      <c r="D263" s="20">
        <f t="shared" si="49"/>
        <v>45762</v>
      </c>
      <c r="E263" s="73">
        <f>_xll.CbondsClosePrice($B$1,D263,VLOOKUP($B$27,'Help Page'!$M:$N,2,0))</f>
        <v>92.8125</v>
      </c>
      <c r="F263" s="73">
        <f t="shared" si="48"/>
        <v>92.8125</v>
      </c>
      <c r="G263" s="33">
        <f>IF(F263 = "","",IFERROR(IF($G$1 = "YTM",_xll.CbondsCalcYTM($B$1,D263,F263),_xll.CbondsCalcYTP($B$1,D263,F263)),"")*100)</f>
        <v>7.1530338400618998</v>
      </c>
      <c r="U263" s="74"/>
      <c r="V263" s="74"/>
      <c r="W263" s="74"/>
      <c r="X263" s="74"/>
      <c r="Y263" s="74"/>
      <c r="Z263" s="74"/>
      <c r="AA263" s="74"/>
      <c r="AB263" s="74"/>
      <c r="AC263" s="74"/>
      <c r="AJ263" s="74"/>
      <c r="AK263" s="74"/>
      <c r="AL263" s="74"/>
      <c r="AM263" s="74"/>
      <c r="AN263" s="74"/>
      <c r="AO263" s="74"/>
      <c r="AP263" s="74"/>
      <c r="AQ263" s="74"/>
      <c r="AR263" s="74"/>
      <c r="AS263" s="74"/>
      <c r="BD263" s="74"/>
      <c r="BE263" s="74"/>
      <c r="BF263" s="74"/>
      <c r="BG263" s="74"/>
      <c r="BH263" s="74"/>
      <c r="BI263" s="74"/>
      <c r="DM263" s="1"/>
    </row>
    <row r="264" spans="4:117" x14ac:dyDescent="0.3">
      <c r="D264" s="20">
        <f t="shared" si="49"/>
        <v>45761</v>
      </c>
      <c r="E264" s="73">
        <f>_xll.CbondsClosePrice($B$1,D264,VLOOKUP($B$27,'Help Page'!$M:$N,2,0))</f>
        <v>92.892799999999994</v>
      </c>
      <c r="F264" s="73">
        <f t="shared" si="48"/>
        <v>92.892799999999994</v>
      </c>
      <c r="G264" s="33">
        <f>IF(F264 = "","",IFERROR(IF($G$1 = "YTM",_xll.CbondsCalcYTM($B$1,D264,F264),_xll.CbondsCalcYTP($B$1,D264,F264)),"")*100)</f>
        <v>7.1091352154197995</v>
      </c>
      <c r="U264" s="74"/>
      <c r="V264" s="74"/>
      <c r="W264" s="74"/>
      <c r="X264" s="74"/>
      <c r="Y264" s="74"/>
      <c r="Z264" s="74"/>
      <c r="AA264" s="74"/>
      <c r="AB264" s="74"/>
      <c r="AC264" s="74"/>
      <c r="AJ264" s="74"/>
      <c r="AK264" s="74"/>
      <c r="AL264" s="74"/>
      <c r="AM264" s="74"/>
      <c r="AN264" s="74"/>
      <c r="AO264" s="74"/>
      <c r="AP264" s="74"/>
      <c r="AQ264" s="74"/>
      <c r="AR264" s="74"/>
      <c r="AS264" s="74"/>
      <c r="BD264" s="74"/>
      <c r="BE264" s="74"/>
      <c r="BF264" s="74"/>
      <c r="BG264" s="74"/>
      <c r="BH264" s="74"/>
      <c r="BI264" s="74"/>
      <c r="DM264" s="1"/>
    </row>
    <row r="265" spans="4:117" x14ac:dyDescent="0.3">
      <c r="D265" s="20">
        <f t="shared" si="49"/>
        <v>45760</v>
      </c>
      <c r="E265" s="73" t="str">
        <f>_xll.CbondsClosePrice($B$1,D265,VLOOKUP($B$27,'Help Page'!$M:$N,2,0))</f>
        <v>Нет данных</v>
      </c>
      <c r="F265" s="73">
        <f t="shared" si="48"/>
        <v>93.338999999999999</v>
      </c>
      <c r="G265" s="33">
        <f>IF(F265 = "","",IFERROR(IF($G$1 = "YTM",_xll.CbondsCalcYTM($B$1,D265,F265),_xll.CbondsCalcYTP($B$1,D265,F265)),"")*100)</f>
        <v>6.8837880437169998</v>
      </c>
      <c r="U265" s="74"/>
      <c r="V265" s="74"/>
      <c r="W265" s="74"/>
      <c r="X265" s="74"/>
      <c r="Y265" s="74"/>
      <c r="Z265" s="74"/>
      <c r="AA265" s="74"/>
      <c r="AB265" s="74"/>
      <c r="AC265" s="74"/>
      <c r="AJ265" s="74"/>
      <c r="AK265" s="74"/>
      <c r="AL265" s="74"/>
      <c r="AM265" s="74"/>
      <c r="AN265" s="74"/>
      <c r="AO265" s="74"/>
      <c r="AP265" s="74"/>
      <c r="AQ265" s="74"/>
      <c r="AR265" s="74"/>
      <c r="AS265" s="74"/>
      <c r="BD265" s="74"/>
      <c r="BE265" s="74"/>
      <c r="BF265" s="74"/>
      <c r="BG265" s="74"/>
      <c r="BH265" s="74"/>
      <c r="BI265" s="74"/>
      <c r="DM265" s="1"/>
    </row>
    <row r="266" spans="4:117" x14ac:dyDescent="0.3">
      <c r="D266" s="20">
        <f t="shared" si="49"/>
        <v>45759</v>
      </c>
      <c r="E266" s="73" t="str">
        <f>_xll.CbondsClosePrice($B$1,D266,VLOOKUP($B$27,'Help Page'!$M:$N,2,0))</f>
        <v>Нет данных</v>
      </c>
      <c r="F266" s="73">
        <f t="shared" si="48"/>
        <v>93.338999999999999</v>
      </c>
      <c r="G266" s="33">
        <f>IF(F266 = "","",IFERROR(IF($G$1 = "YTM",_xll.CbondsCalcYTM($B$1,D266,F266),_xll.CbondsCalcYTP($B$1,D266,F266)),"")*100)</f>
        <v>6.8802889986141995</v>
      </c>
      <c r="U266" s="74"/>
      <c r="V266" s="74"/>
      <c r="W266" s="74"/>
      <c r="X266" s="74"/>
      <c r="Y266" s="74"/>
      <c r="Z266" s="74"/>
      <c r="AA266" s="74"/>
      <c r="AB266" s="74"/>
      <c r="AC266" s="74"/>
      <c r="AJ266" s="74"/>
      <c r="AK266" s="74"/>
      <c r="AL266" s="74"/>
      <c r="AM266" s="74"/>
      <c r="AN266" s="74"/>
      <c r="AO266" s="74"/>
      <c r="AP266" s="74"/>
      <c r="AQ266" s="74"/>
      <c r="AR266" s="74"/>
      <c r="AS266" s="74"/>
      <c r="BD266" s="74"/>
      <c r="BE266" s="74"/>
      <c r="BF266" s="74"/>
      <c r="BG266" s="74"/>
      <c r="BH266" s="74"/>
      <c r="BI266" s="74"/>
      <c r="DM266" s="1"/>
    </row>
    <row r="267" spans="4:117" x14ac:dyDescent="0.3">
      <c r="D267" s="20">
        <f t="shared" si="49"/>
        <v>45758</v>
      </c>
      <c r="E267" s="73">
        <f>_xll.CbondsClosePrice($B$1,D267,VLOOKUP($B$27,'Help Page'!$M:$N,2,0))</f>
        <v>93.338999999999999</v>
      </c>
      <c r="F267" s="73">
        <f t="shared" si="48"/>
        <v>93.338999999999999</v>
      </c>
      <c r="G267" s="33">
        <f>IF(F267 = "","",IFERROR(IF($G$1 = "YTM",_xll.CbondsCalcYTM($B$1,D267,F267),_xll.CbondsCalcYTP($B$1,D267,F267)),"")*100)</f>
        <v>6.8767988959319997</v>
      </c>
      <c r="U267" s="74"/>
      <c r="V267" s="74"/>
      <c r="W267" s="74"/>
      <c r="X267" s="74"/>
      <c r="Y267" s="74"/>
      <c r="Z267" s="74"/>
      <c r="AA267" s="74"/>
      <c r="AB267" s="74"/>
      <c r="AC267" s="74"/>
      <c r="AJ267" s="74"/>
      <c r="AK267" s="74"/>
      <c r="AL267" s="74"/>
      <c r="AM267" s="74"/>
      <c r="AN267" s="74"/>
      <c r="AO267" s="74"/>
      <c r="AP267" s="74"/>
      <c r="AQ267" s="74"/>
      <c r="AR267" s="74"/>
      <c r="AS267" s="74"/>
      <c r="BD267" s="74"/>
      <c r="BE267" s="74"/>
      <c r="BF267" s="74"/>
      <c r="BG267" s="74"/>
      <c r="BH267" s="74"/>
      <c r="BI267" s="74"/>
      <c r="DM267" s="1"/>
    </row>
    <row r="268" spans="4:117" x14ac:dyDescent="0.3">
      <c r="D268" s="20">
        <f t="shared" si="49"/>
        <v>45757</v>
      </c>
      <c r="E268" s="73">
        <f>_xll.CbondsClosePrice($B$1,D268,VLOOKUP($B$27,'Help Page'!$M:$N,2,0))</f>
        <v>92.877700000000004</v>
      </c>
      <c r="F268" s="73">
        <f t="shared" si="48"/>
        <v>92.877700000000004</v>
      </c>
      <c r="G268" s="33">
        <f>IF(F268 = "","",IFERROR(IF($G$1 = "YTM",_xll.CbondsCalcYTM($B$1,D268,F268),_xll.CbondsCalcYTP($B$1,D268,F268)),"")*100)</f>
        <v>7.1016700455598007</v>
      </c>
      <c r="U268" s="74"/>
      <c r="V268" s="74"/>
      <c r="W268" s="74"/>
      <c r="X268" s="74"/>
      <c r="Y268" s="74"/>
      <c r="Z268" s="74"/>
      <c r="AA268" s="74"/>
      <c r="AB268" s="74"/>
      <c r="AC268" s="74"/>
      <c r="AJ268" s="74"/>
      <c r="AK268" s="74"/>
      <c r="AL268" s="74"/>
      <c r="AM268" s="74"/>
      <c r="AN268" s="74"/>
      <c r="AO268" s="74"/>
      <c r="AP268" s="74"/>
      <c r="AQ268" s="74"/>
      <c r="AR268" s="74"/>
      <c r="AS268" s="74"/>
      <c r="BD268" s="74"/>
      <c r="BE268" s="74"/>
      <c r="BF268" s="74"/>
      <c r="BG268" s="74"/>
      <c r="BH268" s="74"/>
      <c r="BI268" s="74"/>
      <c r="DM268" s="1"/>
    </row>
    <row r="269" spans="4:117" x14ac:dyDescent="0.3">
      <c r="D269" s="20">
        <f t="shared" si="49"/>
        <v>45756</v>
      </c>
      <c r="E269" s="73">
        <f>_xll.CbondsClosePrice($B$1,D269,VLOOKUP($B$27,'Help Page'!$M:$N,2,0))</f>
        <v>93.3</v>
      </c>
      <c r="F269" s="73">
        <f t="shared" si="48"/>
        <v>93.3</v>
      </c>
      <c r="G269" s="33">
        <f>IF(F269 = "","",IFERROR(IF($G$1 = "YTM",_xll.CbondsCalcYTM($B$1,D269,F269),_xll.CbondsCalcYTP($B$1,D269,F269)),"")*100)</f>
        <v>6.8890660912577006</v>
      </c>
      <c r="U269" s="74"/>
      <c r="V269" s="74"/>
      <c r="W269" s="74"/>
      <c r="X269" s="74"/>
      <c r="Y269" s="74"/>
      <c r="Z269" s="74"/>
      <c r="AA269" s="74"/>
      <c r="AB269" s="74"/>
      <c r="AC269" s="74"/>
      <c r="AJ269" s="74"/>
      <c r="AK269" s="74"/>
      <c r="AL269" s="74"/>
      <c r="AM269" s="74"/>
      <c r="AN269" s="74"/>
      <c r="AO269" s="74"/>
      <c r="AP269" s="74"/>
      <c r="AQ269" s="74"/>
      <c r="AR269" s="74"/>
      <c r="AS269" s="74"/>
      <c r="BD269" s="74"/>
      <c r="BE269" s="74"/>
      <c r="BF269" s="74"/>
      <c r="BG269" s="74"/>
      <c r="BH269" s="74"/>
      <c r="BI269" s="74"/>
      <c r="DM269" s="1"/>
    </row>
    <row r="270" spans="4:117" x14ac:dyDescent="0.3">
      <c r="D270" s="20">
        <f t="shared" si="49"/>
        <v>45755</v>
      </c>
      <c r="E270" s="73">
        <f>_xll.CbondsClosePrice($B$1,D270,VLOOKUP($B$27,'Help Page'!$M:$N,2,0))</f>
        <v>92.6999</v>
      </c>
      <c r="F270" s="73">
        <f t="shared" si="48"/>
        <v>92.6999</v>
      </c>
      <c r="G270" s="33">
        <f>IF(F270 = "","",IFERROR(IF($G$1 = "YTM",_xll.CbondsCalcYTM($B$1,D270,F270),_xll.CbondsCalcYTP($B$1,D270,F270)),"")*100)</f>
        <v>7.182983981378201</v>
      </c>
      <c r="U270" s="74"/>
      <c r="V270" s="74"/>
      <c r="W270" s="74"/>
      <c r="X270" s="74"/>
      <c r="Y270" s="74"/>
      <c r="Z270" s="74"/>
      <c r="AA270" s="74"/>
      <c r="AB270" s="74"/>
      <c r="AC270" s="74"/>
      <c r="AJ270" s="74"/>
      <c r="AK270" s="74"/>
      <c r="AL270" s="74"/>
      <c r="AM270" s="74"/>
      <c r="AN270" s="74"/>
      <c r="AO270" s="74"/>
      <c r="AP270" s="74"/>
      <c r="AQ270" s="74"/>
      <c r="AR270" s="74"/>
      <c r="AS270" s="74"/>
      <c r="BD270" s="74"/>
      <c r="BE270" s="74"/>
      <c r="BF270" s="74"/>
      <c r="BG270" s="74"/>
      <c r="BH270" s="74"/>
      <c r="BI270" s="74"/>
      <c r="DM270" s="1"/>
    </row>
    <row r="271" spans="4:117" x14ac:dyDescent="0.3">
      <c r="D271" s="20">
        <f t="shared" si="49"/>
        <v>45754</v>
      </c>
      <c r="E271" s="73">
        <f>_xll.CbondsClosePrice($B$1,D271,VLOOKUP($B$27,'Help Page'!$M:$N,2,0))</f>
        <v>92.199799999999996</v>
      </c>
      <c r="F271" s="73">
        <f t="shared" si="48"/>
        <v>92.199799999999996</v>
      </c>
      <c r="G271" s="33">
        <f>IF(F271 = "","",IFERROR(IF($G$1 = "YTM",_xll.CbondsCalcYTM($B$1,D271,F271),_xll.CbondsCalcYTP($B$1,D271,F271)),"")*100)</f>
        <v>7.4284809467382997</v>
      </c>
      <c r="U271" s="74"/>
      <c r="V271" s="74"/>
      <c r="W271" s="74"/>
      <c r="X271" s="74"/>
      <c r="Y271" s="74"/>
      <c r="Z271" s="74"/>
      <c r="AA271" s="74"/>
      <c r="AB271" s="74"/>
      <c r="AC271" s="74"/>
      <c r="AJ271" s="74"/>
      <c r="AK271" s="74"/>
      <c r="AL271" s="74"/>
      <c r="AM271" s="74"/>
      <c r="AN271" s="74"/>
      <c r="AO271" s="74"/>
      <c r="AP271" s="74"/>
      <c r="AQ271" s="74"/>
      <c r="AR271" s="74"/>
      <c r="AS271" s="74"/>
      <c r="BD271" s="74"/>
      <c r="BE271" s="74"/>
      <c r="BF271" s="74"/>
      <c r="BG271" s="74"/>
      <c r="BH271" s="74"/>
      <c r="BI271" s="74"/>
      <c r="DM271" s="1"/>
    </row>
    <row r="272" spans="4:117" x14ac:dyDescent="0.3">
      <c r="D272" s="20">
        <f t="shared" si="49"/>
        <v>45753</v>
      </c>
      <c r="E272" s="73" t="str">
        <f>_xll.CbondsClosePrice($B$1,D272,VLOOKUP($B$27,'Help Page'!$M:$N,2,0))</f>
        <v>Нет данных</v>
      </c>
      <c r="F272" s="73">
        <f t="shared" si="48"/>
        <v>93.4983</v>
      </c>
      <c r="G272" s="33">
        <f>IF(F272 = "","",IFERROR(IF($G$1 = "YTM",_xll.CbondsCalcYTM($B$1,D272,F272),_xll.CbondsCalcYTP($B$1,D272,F272)),"")*100)</f>
        <v>6.7818433684423001</v>
      </c>
      <c r="U272" s="74"/>
      <c r="V272" s="74"/>
      <c r="W272" s="74"/>
      <c r="X272" s="74"/>
      <c r="Y272" s="74"/>
      <c r="Z272" s="74"/>
      <c r="AA272" s="74"/>
      <c r="AB272" s="74"/>
      <c r="AC272" s="74"/>
      <c r="AJ272" s="74"/>
      <c r="AK272" s="74"/>
      <c r="AL272" s="74"/>
      <c r="AM272" s="74"/>
      <c r="AN272" s="74"/>
      <c r="AO272" s="74"/>
      <c r="AP272" s="74"/>
      <c r="AQ272" s="74"/>
      <c r="AR272" s="74"/>
      <c r="AS272" s="74"/>
      <c r="BD272" s="74"/>
      <c r="BE272" s="74"/>
      <c r="BF272" s="74"/>
      <c r="BG272" s="74"/>
      <c r="BH272" s="74"/>
      <c r="BI272" s="74"/>
      <c r="DM272" s="1"/>
    </row>
    <row r="273" spans="4:117" x14ac:dyDescent="0.3">
      <c r="D273" s="20">
        <f t="shared" si="49"/>
        <v>45752</v>
      </c>
      <c r="E273" s="73" t="str">
        <f>_xll.CbondsClosePrice($B$1,D273,VLOOKUP($B$27,'Help Page'!$M:$N,2,0))</f>
        <v>Нет данных</v>
      </c>
      <c r="F273" s="73">
        <f t="shared" si="48"/>
        <v>93.4983</v>
      </c>
      <c r="G273" s="33">
        <f>IF(F273 = "","",IFERROR(IF($G$1 = "YTM",_xll.CbondsCalcYTM($B$1,D273,F273),_xll.CbondsCalcYTP($B$1,D273,F273)),"")*100)</f>
        <v>6.7784919524198006</v>
      </c>
      <c r="U273" s="74"/>
      <c r="V273" s="74"/>
      <c r="W273" s="74"/>
      <c r="X273" s="74"/>
      <c r="Y273" s="74"/>
      <c r="Z273" s="74"/>
      <c r="AA273" s="74"/>
      <c r="AB273" s="74"/>
      <c r="AC273" s="74"/>
      <c r="AJ273" s="74"/>
      <c r="AK273" s="74"/>
      <c r="AL273" s="74"/>
      <c r="AM273" s="74"/>
      <c r="AN273" s="74"/>
      <c r="AO273" s="74"/>
      <c r="AP273" s="74"/>
      <c r="AQ273" s="74"/>
      <c r="AR273" s="74"/>
      <c r="AS273" s="74"/>
      <c r="BD273" s="74"/>
      <c r="BE273" s="74"/>
      <c r="BF273" s="74"/>
      <c r="BG273" s="74"/>
      <c r="BH273" s="74"/>
      <c r="BI273" s="74"/>
      <c r="DM273" s="1"/>
    </row>
    <row r="274" spans="4:117" x14ac:dyDescent="0.3">
      <c r="D274" s="20">
        <f t="shared" si="49"/>
        <v>45751</v>
      </c>
      <c r="E274" s="73">
        <f>_xll.CbondsClosePrice($B$1,D274,VLOOKUP($B$27,'Help Page'!$M:$N,2,0))</f>
        <v>93.4983</v>
      </c>
      <c r="F274" s="73">
        <f t="shared" si="48"/>
        <v>93.4983</v>
      </c>
      <c r="G274" s="33">
        <f>IF(F274 = "","",IFERROR(IF($G$1 = "YTM",_xll.CbondsCalcYTM($B$1,D274,F274),_xll.CbondsCalcYTP($B$1,D274,F274)),"")*100)</f>
        <v>6.7751490471819</v>
      </c>
      <c r="U274" s="74"/>
      <c r="V274" s="74"/>
      <c r="W274" s="74"/>
      <c r="X274" s="74"/>
      <c r="Y274" s="74"/>
      <c r="Z274" s="74"/>
      <c r="AA274" s="74"/>
      <c r="AB274" s="74"/>
      <c r="AC274" s="74"/>
      <c r="AJ274" s="74"/>
      <c r="AK274" s="74"/>
      <c r="AL274" s="74"/>
      <c r="AM274" s="74"/>
      <c r="AN274" s="74"/>
      <c r="AO274" s="74"/>
      <c r="AP274" s="74"/>
      <c r="AQ274" s="74"/>
      <c r="AR274" s="74"/>
      <c r="AS274" s="74"/>
      <c r="BD274" s="74"/>
      <c r="BE274" s="74"/>
      <c r="BF274" s="74"/>
      <c r="BG274" s="74"/>
      <c r="BH274" s="74"/>
      <c r="BI274" s="74"/>
      <c r="DM274" s="1"/>
    </row>
    <row r="275" spans="4:117" x14ac:dyDescent="0.3">
      <c r="D275" s="20">
        <f t="shared" si="49"/>
        <v>45750</v>
      </c>
      <c r="E275" s="73">
        <f>_xll.CbondsClosePrice($B$1,D275,VLOOKUP($B$27,'Help Page'!$M:$N,2,0))</f>
        <v>93.4495</v>
      </c>
      <c r="F275" s="73">
        <f t="shared" si="48"/>
        <v>93.4495</v>
      </c>
      <c r="G275" s="33">
        <f>IF(F275 = "","",IFERROR(IF($G$1 = "YTM",_xll.CbondsCalcYTM($B$1,D275,F275),_xll.CbondsCalcYTP($B$1,D275,F275)),"")*100)</f>
        <v>6.7956491314593999</v>
      </c>
      <c r="U275" s="74"/>
      <c r="V275" s="74"/>
      <c r="W275" s="74"/>
      <c r="X275" s="74"/>
      <c r="Y275" s="74"/>
      <c r="Z275" s="74"/>
      <c r="AA275" s="74"/>
      <c r="AB275" s="74"/>
      <c r="AC275" s="74"/>
      <c r="AJ275" s="74"/>
      <c r="AK275" s="74"/>
      <c r="AL275" s="74"/>
      <c r="AM275" s="74"/>
      <c r="AN275" s="74"/>
      <c r="AO275" s="74"/>
      <c r="AP275" s="74"/>
      <c r="AQ275" s="74"/>
      <c r="AR275" s="74"/>
      <c r="AS275" s="74"/>
      <c r="BD275" s="74"/>
      <c r="BE275" s="74"/>
      <c r="BF275" s="74"/>
      <c r="BG275" s="74"/>
      <c r="BH275" s="74"/>
      <c r="BI275" s="74"/>
      <c r="DM275" s="1"/>
    </row>
    <row r="276" spans="4:117" x14ac:dyDescent="0.3">
      <c r="D276" s="20">
        <f t="shared" si="49"/>
        <v>45749</v>
      </c>
      <c r="E276" s="73">
        <f>_xll.CbondsClosePrice($B$1,D276,VLOOKUP($B$27,'Help Page'!$M:$N,2,0))</f>
        <v>92.991200000000006</v>
      </c>
      <c r="F276" s="73">
        <f t="shared" si="48"/>
        <v>92.991200000000006</v>
      </c>
      <c r="G276" s="33">
        <f>IF(F276 = "","",IFERROR(IF($G$1 = "YTM",_xll.CbondsCalcYTM($B$1,D276,F276),_xll.CbondsCalcYTP($B$1,D276,F276)),"")*100)</f>
        <v>7.0167755159767999</v>
      </c>
      <c r="U276" s="74"/>
      <c r="V276" s="74"/>
      <c r="W276" s="74"/>
      <c r="X276" s="74"/>
      <c r="Y276" s="74"/>
      <c r="Z276" s="74"/>
      <c r="AA276" s="74"/>
      <c r="AB276" s="74"/>
      <c r="AC276" s="74"/>
      <c r="AJ276" s="74"/>
      <c r="AK276" s="74"/>
      <c r="AL276" s="74"/>
      <c r="AM276" s="74"/>
      <c r="AN276" s="74"/>
      <c r="AO276" s="74"/>
      <c r="AP276" s="74"/>
      <c r="AQ276" s="74"/>
      <c r="AR276" s="74"/>
      <c r="AS276" s="74"/>
      <c r="BD276" s="74"/>
      <c r="BE276" s="74"/>
      <c r="BF276" s="74"/>
      <c r="BG276" s="74"/>
      <c r="BH276" s="74"/>
      <c r="BI276" s="74"/>
      <c r="DM276" s="1"/>
    </row>
    <row r="277" spans="4:117" x14ac:dyDescent="0.3">
      <c r="D277" s="20">
        <f t="shared" si="49"/>
        <v>45748</v>
      </c>
      <c r="E277" s="73">
        <f>_xll.CbondsClosePrice($B$1,D277,VLOOKUP($B$27,'Help Page'!$M:$N,2,0))</f>
        <v>92.104699999999994</v>
      </c>
      <c r="F277" s="73">
        <f t="shared" si="48"/>
        <v>92.104699999999994</v>
      </c>
      <c r="G277" s="33">
        <f>IF(F277 = "","",IFERROR(IF($G$1 = "YTM",_xll.CbondsCalcYTM($B$1,D277,F277),_xll.CbondsCalcYTP($B$1,D277,F277)),"")*100)</f>
        <v>7.4520116469523998</v>
      </c>
      <c r="U277" s="74"/>
      <c r="V277" s="74"/>
      <c r="W277" s="74"/>
      <c r="X277" s="74"/>
      <c r="Y277" s="74"/>
      <c r="Z277" s="74"/>
      <c r="AA277" s="74"/>
      <c r="AB277" s="74"/>
      <c r="AC277" s="74"/>
      <c r="AJ277" s="74"/>
      <c r="AK277" s="74"/>
      <c r="AL277" s="74"/>
      <c r="AM277" s="74"/>
      <c r="AN277" s="74"/>
      <c r="AO277" s="74"/>
      <c r="AP277" s="74"/>
      <c r="AQ277" s="74"/>
      <c r="AR277" s="74"/>
      <c r="AS277" s="74"/>
      <c r="BD277" s="74"/>
      <c r="BE277" s="74"/>
      <c r="BF277" s="74"/>
      <c r="BG277" s="74"/>
      <c r="BH277" s="74"/>
      <c r="BI277" s="74"/>
      <c r="DM277" s="1"/>
    </row>
    <row r="278" spans="4:117" x14ac:dyDescent="0.3">
      <c r="D278" s="20">
        <f t="shared" si="49"/>
        <v>45747</v>
      </c>
      <c r="E278" s="73">
        <f>_xll.CbondsClosePrice($B$1,D278,VLOOKUP($B$27,'Help Page'!$M:$N,2,0))</f>
        <v>92.4</v>
      </c>
      <c r="F278" s="73">
        <f t="shared" si="48"/>
        <v>92.4</v>
      </c>
      <c r="G278" s="33">
        <f>IF(F278 = "","",IFERROR(IF($G$1 = "YTM",_xll.CbondsCalcYTM($B$1,D278,F278),_xll.CbondsCalcYTP($B$1,D278,F278)),"")*100)</f>
        <v>7.3014174247717003</v>
      </c>
      <c r="U278" s="74"/>
      <c r="V278" s="74"/>
      <c r="W278" s="74"/>
      <c r="X278" s="74"/>
      <c r="Y278" s="74"/>
      <c r="Z278" s="74"/>
      <c r="AA278" s="74"/>
      <c r="AB278" s="74"/>
      <c r="AC278" s="74"/>
      <c r="AJ278" s="74"/>
      <c r="AK278" s="74"/>
      <c r="AL278" s="74"/>
      <c r="AM278" s="74"/>
      <c r="AN278" s="74"/>
      <c r="AO278" s="74"/>
      <c r="AP278" s="74"/>
      <c r="AQ278" s="74"/>
      <c r="AR278" s="74"/>
      <c r="AS278" s="74"/>
      <c r="BD278" s="74"/>
      <c r="BE278" s="74"/>
      <c r="BF278" s="74"/>
      <c r="BG278" s="74"/>
      <c r="BH278" s="74"/>
      <c r="BI278" s="74"/>
      <c r="DM278" s="1"/>
    </row>
    <row r="279" spans="4:117" x14ac:dyDescent="0.3">
      <c r="D279" s="20">
        <f t="shared" si="49"/>
        <v>45746</v>
      </c>
      <c r="E279" s="73" t="str">
        <f>_xll.CbondsClosePrice($B$1,D279,VLOOKUP($B$27,'Help Page'!$M:$N,2,0))</f>
        <v>Нет данных</v>
      </c>
      <c r="F279" s="73">
        <f t="shared" si="48"/>
        <v>91.951300000000003</v>
      </c>
      <c r="G279" s="33">
        <f>IF(F279 = "","",IFERROR(IF($G$1 = "YTM",_xll.CbondsCalcYTM($B$1,D279,F279),_xll.CbondsCalcYTP($B$1,D279,F279)),"")*100)</f>
        <v>7.5201973510798004</v>
      </c>
      <c r="U279" s="74"/>
      <c r="V279" s="74"/>
      <c r="W279" s="74"/>
      <c r="X279" s="74"/>
      <c r="Y279" s="74"/>
      <c r="Z279" s="74"/>
      <c r="AA279" s="74"/>
      <c r="AB279" s="74"/>
      <c r="AC279" s="74"/>
      <c r="AJ279" s="74"/>
      <c r="AK279" s="74"/>
      <c r="AL279" s="74"/>
      <c r="AM279" s="74"/>
      <c r="AN279" s="74"/>
      <c r="AO279" s="74"/>
      <c r="AP279" s="74"/>
      <c r="AQ279" s="74"/>
      <c r="AR279" s="74"/>
      <c r="AS279" s="74"/>
      <c r="BD279" s="74"/>
      <c r="BE279" s="74"/>
      <c r="BF279" s="74"/>
      <c r="BG279" s="74"/>
      <c r="BH279" s="74"/>
      <c r="BI279" s="74"/>
      <c r="DM279" s="1"/>
    </row>
    <row r="280" spans="4:117" x14ac:dyDescent="0.3">
      <c r="D280" s="20">
        <f t="shared" si="49"/>
        <v>45745</v>
      </c>
      <c r="E280" s="73" t="str">
        <f>_xll.CbondsClosePrice($B$1,D280,VLOOKUP($B$27,'Help Page'!$M:$N,2,0))</f>
        <v>Нет данных</v>
      </c>
      <c r="F280" s="73">
        <f t="shared" si="48"/>
        <v>91.951300000000003</v>
      </c>
      <c r="G280" s="33">
        <f>IF(F280 = "","",IFERROR(IF($G$1 = "YTM",_xll.CbondsCalcYTM($B$1,D280,F280),_xll.CbondsCalcYTP($B$1,D280,F280)),"")*100)</f>
        <v>7.5160696471933006</v>
      </c>
      <c r="U280" s="74"/>
      <c r="V280" s="74"/>
      <c r="W280" s="74"/>
      <c r="X280" s="74"/>
      <c r="Y280" s="74"/>
      <c r="Z280" s="74"/>
      <c r="AA280" s="74"/>
      <c r="AB280" s="74"/>
      <c r="AC280" s="74"/>
      <c r="AJ280" s="74"/>
      <c r="AK280" s="74"/>
      <c r="AL280" s="74"/>
      <c r="AM280" s="74"/>
      <c r="AN280" s="74"/>
      <c r="AO280" s="74"/>
      <c r="AP280" s="74"/>
      <c r="AQ280" s="74"/>
      <c r="AR280" s="74"/>
      <c r="AS280" s="74"/>
      <c r="BD280" s="74"/>
      <c r="BE280" s="74"/>
      <c r="BF280" s="74"/>
      <c r="BG280" s="74"/>
      <c r="BH280" s="74"/>
      <c r="BI280" s="74"/>
    </row>
    <row r="281" spans="4:117" x14ac:dyDescent="0.3">
      <c r="D281" s="20">
        <f t="shared" si="49"/>
        <v>45744</v>
      </c>
      <c r="E281" s="73">
        <f>_xll.CbondsClosePrice($B$1,D281,VLOOKUP($B$27,'Help Page'!$M:$N,2,0))</f>
        <v>91.951300000000003</v>
      </c>
      <c r="F281" s="73">
        <f t="shared" si="48"/>
        <v>91.951300000000003</v>
      </c>
      <c r="G281" s="33">
        <f>IF(F281 = "","",IFERROR(IF($G$1 = "YTM",_xll.CbondsCalcYTM($B$1,D281,F281),_xll.CbondsCalcYTP($B$1,D281,F281)),"")*100)</f>
        <v>7.5119522787154001</v>
      </c>
      <c r="U281" s="74"/>
      <c r="V281" s="74"/>
      <c r="W281" s="74"/>
      <c r="X281" s="74"/>
      <c r="Y281" s="74"/>
      <c r="Z281" s="74"/>
      <c r="AA281" s="74"/>
      <c r="AB281" s="74"/>
      <c r="AC281" s="74"/>
      <c r="AJ281" s="74"/>
      <c r="AK281" s="74"/>
      <c r="AL281" s="74"/>
      <c r="AM281" s="74"/>
      <c r="AN281" s="74"/>
      <c r="AO281" s="74"/>
      <c r="AP281" s="74"/>
      <c r="AQ281" s="74"/>
      <c r="AR281" s="74"/>
      <c r="AS281" s="74"/>
      <c r="BD281" s="74"/>
      <c r="BE281" s="74"/>
      <c r="BF281" s="74"/>
      <c r="BG281" s="74"/>
      <c r="BH281" s="74"/>
      <c r="BI281" s="74"/>
    </row>
    <row r="282" spans="4:117" x14ac:dyDescent="0.3">
      <c r="D282" s="20">
        <f t="shared" si="49"/>
        <v>45743</v>
      </c>
      <c r="E282" s="73">
        <f>_xll.CbondsClosePrice($B$1,D282,VLOOKUP($B$27,'Help Page'!$M:$N,2,0))</f>
        <v>92.049899999999994</v>
      </c>
      <c r="F282" s="73">
        <f t="shared" si="48"/>
        <v>92.049899999999994</v>
      </c>
      <c r="G282" s="33">
        <f>IF(F282 = "","",IFERROR(IF($G$1 = "YTM",_xll.CbondsCalcYTM($B$1,D282,F282),_xll.CbondsCalcYTP($B$1,D282,F282)),"")*100)</f>
        <v>7.4589401436567009</v>
      </c>
      <c r="U282" s="74"/>
      <c r="V282" s="74"/>
      <c r="W282" s="74"/>
      <c r="X282" s="74"/>
      <c r="Y282" s="74"/>
      <c r="Z282" s="74"/>
      <c r="AA282" s="74"/>
      <c r="AB282" s="74"/>
      <c r="AC282" s="74"/>
      <c r="AJ282" s="74"/>
      <c r="AK282" s="74"/>
      <c r="AL282" s="74"/>
      <c r="AM282" s="74"/>
      <c r="AN282" s="74"/>
      <c r="AO282" s="74"/>
      <c r="AP282" s="74"/>
      <c r="AQ282" s="74"/>
      <c r="AR282" s="74"/>
      <c r="AS282" s="74"/>
      <c r="BD282" s="74"/>
      <c r="BE282" s="74"/>
      <c r="BF282" s="74"/>
      <c r="BG282" s="74"/>
      <c r="BH282" s="74"/>
      <c r="BI282" s="74"/>
    </row>
    <row r="283" spans="4:117" x14ac:dyDescent="0.3">
      <c r="D283" s="20">
        <f t="shared" si="49"/>
        <v>45742</v>
      </c>
      <c r="E283" s="73">
        <f>_xll.CbondsClosePrice($B$1,D283,VLOOKUP($B$27,'Help Page'!$M:$N,2,0))</f>
        <v>91.94</v>
      </c>
      <c r="F283" s="73">
        <f t="shared" si="48"/>
        <v>91.94</v>
      </c>
      <c r="G283" s="33">
        <f>IF(F283 = "","",IFERROR(IF($G$1 = "YTM",_xll.CbondsCalcYTM($B$1,D283,F283),_xll.CbondsCalcYTP($B$1,D283,F283)),"")*100)</f>
        <v>7.5093518559393004</v>
      </c>
      <c r="U283" s="74"/>
      <c r="V283" s="74"/>
      <c r="W283" s="74"/>
      <c r="X283" s="74"/>
      <c r="Y283" s="74"/>
      <c r="Z283" s="74"/>
      <c r="AA283" s="74"/>
      <c r="AB283" s="74"/>
      <c r="AC283" s="74"/>
      <c r="AJ283" s="74"/>
      <c r="AK283" s="74"/>
      <c r="AL283" s="74"/>
      <c r="AM283" s="74"/>
      <c r="AN283" s="74"/>
      <c r="AO283" s="74"/>
      <c r="AP283" s="74"/>
      <c r="AQ283" s="74"/>
      <c r="AR283" s="74"/>
      <c r="AS283" s="74"/>
      <c r="BD283" s="74"/>
      <c r="BE283" s="74"/>
      <c r="BF283" s="74"/>
      <c r="BG283" s="74"/>
      <c r="BH283" s="74"/>
      <c r="BI283" s="74"/>
    </row>
    <row r="284" spans="4:117" x14ac:dyDescent="0.3">
      <c r="D284" s="20">
        <f t="shared" si="49"/>
        <v>45741</v>
      </c>
      <c r="E284" s="73">
        <f>_xll.CbondsClosePrice($B$1,D284,VLOOKUP($B$27,'Help Page'!$M:$N,2,0))</f>
        <v>91.999899999999997</v>
      </c>
      <c r="F284" s="73">
        <f t="shared" si="48"/>
        <v>91.999899999999997</v>
      </c>
      <c r="G284" s="33">
        <f>IF(F284 = "","",IFERROR(IF($G$1 = "YTM",_xll.CbondsCalcYTM($B$1,D284,F284),_xll.CbondsCalcYTP($B$1,D284,F284)),"")*100)</f>
        <v>7.4755997461961998</v>
      </c>
      <c r="U284" s="74"/>
      <c r="V284" s="74"/>
      <c r="W284" s="74"/>
      <c r="X284" s="74"/>
      <c r="Y284" s="74"/>
      <c r="Z284" s="74"/>
      <c r="AA284" s="74"/>
      <c r="AB284" s="74"/>
      <c r="AC284" s="74"/>
      <c r="AJ284" s="74"/>
      <c r="AK284" s="74"/>
      <c r="AL284" s="74"/>
      <c r="AM284" s="74"/>
      <c r="AN284" s="74"/>
      <c r="AO284" s="74"/>
      <c r="AP284" s="74"/>
      <c r="AQ284" s="74"/>
      <c r="AR284" s="74"/>
      <c r="AS284" s="74"/>
      <c r="BD284" s="74"/>
      <c r="BE284" s="74"/>
      <c r="BF284" s="74"/>
      <c r="BG284" s="74"/>
      <c r="BH284" s="74"/>
      <c r="BI284" s="74"/>
    </row>
    <row r="285" spans="4:117" x14ac:dyDescent="0.3">
      <c r="D285" s="20">
        <f t="shared" si="49"/>
        <v>45740</v>
      </c>
      <c r="E285" s="73">
        <f>_xll.CbondsClosePrice($B$1,D285,VLOOKUP($B$27,'Help Page'!$M:$N,2,0))</f>
        <v>91.603300000000004</v>
      </c>
      <c r="F285" s="73">
        <f t="shared" si="48"/>
        <v>91.603300000000004</v>
      </c>
      <c r="G285" s="33">
        <f>IF(F285 = "","",IFERROR(IF($G$1 = "YTM",_xll.CbondsCalcYTM($B$1,D285,F285),_xll.CbondsCalcYTP($B$1,D285,F285)),"")*100)</f>
        <v>7.6687309812399</v>
      </c>
      <c r="U285" s="74"/>
      <c r="V285" s="74"/>
      <c r="W285" s="74"/>
      <c r="X285" s="74"/>
      <c r="Y285" s="74"/>
      <c r="Z285" s="74"/>
      <c r="AA285" s="74"/>
      <c r="AB285" s="74"/>
      <c r="AC285" s="74"/>
      <c r="AJ285" s="74"/>
      <c r="AK285" s="74"/>
      <c r="AL285" s="74"/>
      <c r="AM285" s="74"/>
      <c r="AN285" s="74"/>
      <c r="AO285" s="74"/>
      <c r="AP285" s="74"/>
      <c r="AQ285" s="74"/>
      <c r="AR285" s="74"/>
      <c r="AS285" s="74"/>
      <c r="BD285" s="74"/>
      <c r="BE285" s="74"/>
      <c r="BF285" s="74"/>
      <c r="BG285" s="74"/>
      <c r="BH285" s="74"/>
      <c r="BI285" s="74"/>
    </row>
    <row r="286" spans="4:117" x14ac:dyDescent="0.3">
      <c r="D286" s="20">
        <f t="shared" si="49"/>
        <v>45739</v>
      </c>
      <c r="E286" s="73" t="str">
        <f>_xll.CbondsClosePrice($B$1,D286,VLOOKUP($B$27,'Help Page'!$M:$N,2,0))</f>
        <v>Нет данных</v>
      </c>
      <c r="F286" s="73">
        <f t="shared" si="48"/>
        <v>91.433300000000003</v>
      </c>
      <c r="G286" s="33">
        <f>IF(F286 = "","",IFERROR(IF($G$1 = "YTM",_xll.CbondsCalcYTM($B$1,D286,F286),_xll.CbondsCalcYTP($B$1,D286,F286)),"")*100)</f>
        <v>7.7490703055229</v>
      </c>
      <c r="U286" s="74"/>
      <c r="V286" s="74"/>
      <c r="W286" s="74"/>
      <c r="X286" s="74"/>
      <c r="Y286" s="74"/>
      <c r="Z286" s="74"/>
      <c r="AA286" s="74"/>
      <c r="AB286" s="74"/>
      <c r="AC286" s="74"/>
      <c r="AJ286" s="74"/>
      <c r="AK286" s="74"/>
      <c r="AL286" s="74"/>
      <c r="AM286" s="74"/>
      <c r="AN286" s="74"/>
      <c r="AO286" s="74"/>
      <c r="AP286" s="74"/>
      <c r="AQ286" s="74"/>
      <c r="AR286" s="74"/>
      <c r="AS286" s="74"/>
      <c r="BD286" s="74"/>
      <c r="BE286" s="74"/>
      <c r="BF286" s="74"/>
      <c r="BG286" s="74"/>
      <c r="BH286" s="74"/>
      <c r="BI286" s="74"/>
    </row>
    <row r="287" spans="4:117" x14ac:dyDescent="0.3">
      <c r="D287" s="20">
        <f t="shared" si="49"/>
        <v>45738</v>
      </c>
      <c r="E287" s="73" t="str">
        <f>_xll.CbondsClosePrice($B$1,D287,VLOOKUP($B$27,'Help Page'!$M:$N,2,0))</f>
        <v>Нет данных</v>
      </c>
      <c r="F287" s="73">
        <f t="shared" si="48"/>
        <v>91.433300000000003</v>
      </c>
      <c r="G287" s="33">
        <f>IF(F287 = "","",IFERROR(IF($G$1 = "YTM",_xll.CbondsCalcYTM($B$1,D287,F287),_xll.CbondsCalcYTP($B$1,D287,F287)),"")*100)</f>
        <v>7.7447332269040006</v>
      </c>
      <c r="U287" s="74"/>
      <c r="V287" s="74"/>
      <c r="W287" s="74"/>
      <c r="X287" s="74"/>
      <c r="Y287" s="74"/>
      <c r="Z287" s="74"/>
      <c r="AA287" s="74"/>
      <c r="AB287" s="74"/>
      <c r="AC287" s="74"/>
      <c r="AJ287" s="74"/>
      <c r="AK287" s="74"/>
      <c r="AL287" s="74"/>
      <c r="AM287" s="74"/>
      <c r="AN287" s="74"/>
      <c r="AO287" s="74"/>
      <c r="AP287" s="74"/>
      <c r="AQ287" s="74"/>
      <c r="AR287" s="74"/>
      <c r="AS287" s="74"/>
      <c r="BD287" s="74"/>
      <c r="BE287" s="74"/>
      <c r="BF287" s="74"/>
      <c r="BG287" s="74"/>
      <c r="BH287" s="74"/>
      <c r="BI287" s="74"/>
    </row>
    <row r="288" spans="4:117" x14ac:dyDescent="0.3">
      <c r="D288" s="20">
        <f t="shared" si="49"/>
        <v>45737</v>
      </c>
      <c r="E288" s="73">
        <f>_xll.CbondsClosePrice($B$1,D288,VLOOKUP($B$27,'Help Page'!$M:$N,2,0))</f>
        <v>91.433300000000003</v>
      </c>
      <c r="F288" s="73">
        <f t="shared" si="48"/>
        <v>91.433300000000003</v>
      </c>
      <c r="G288" s="33">
        <f>IF(F288 = "","",IFERROR(IF($G$1 = "YTM",_xll.CbondsCalcYTM($B$1,D288,F288),_xll.CbondsCalcYTP($B$1,D288,F288)),"")*100)</f>
        <v>7.7404069124062005</v>
      </c>
      <c r="U288" s="74"/>
      <c r="V288" s="74"/>
      <c r="W288" s="74"/>
      <c r="X288" s="74"/>
      <c r="Y288" s="74"/>
      <c r="Z288" s="74"/>
      <c r="AA288" s="74"/>
      <c r="AB288" s="74"/>
      <c r="AC288" s="74"/>
      <c r="AJ288" s="74"/>
      <c r="AK288" s="74"/>
      <c r="AL288" s="74"/>
      <c r="AM288" s="74"/>
      <c r="AN288" s="74"/>
      <c r="AO288" s="74"/>
      <c r="AP288" s="74"/>
      <c r="AQ288" s="74"/>
      <c r="AR288" s="74"/>
      <c r="AS288" s="74"/>
      <c r="BD288" s="74"/>
      <c r="BE288" s="74"/>
      <c r="BF288" s="74"/>
      <c r="BG288" s="74"/>
      <c r="BH288" s="74"/>
      <c r="BI288" s="74"/>
    </row>
    <row r="289" spans="4:61" x14ac:dyDescent="0.3">
      <c r="D289" s="20">
        <f t="shared" si="49"/>
        <v>45736</v>
      </c>
      <c r="E289" s="73">
        <f>_xll.CbondsClosePrice($B$1,D289,VLOOKUP($B$27,'Help Page'!$M:$N,2,0))</f>
        <v>91.699799999999996</v>
      </c>
      <c r="F289" s="73">
        <f t="shared" si="48"/>
        <v>91.699799999999996</v>
      </c>
      <c r="G289" s="33">
        <f>IF(F289 = "","",IFERROR(IF($G$1 = "YTM",_xll.CbondsCalcYTM($B$1,D289,F289),_xll.CbondsCalcYTP($B$1,D289,F289)),"")*100)</f>
        <v>7.6040108552328993</v>
      </c>
      <c r="U289" s="74"/>
      <c r="V289" s="74"/>
      <c r="W289" s="74"/>
      <c r="X289" s="74"/>
      <c r="Y289" s="74"/>
      <c r="Z289" s="74"/>
      <c r="AA289" s="74"/>
      <c r="AB289" s="74"/>
      <c r="AC289" s="74"/>
      <c r="AJ289" s="74"/>
      <c r="AK289" s="74"/>
      <c r="AL289" s="74"/>
      <c r="AM289" s="74"/>
      <c r="AN289" s="74"/>
      <c r="AO289" s="74"/>
      <c r="AP289" s="74"/>
      <c r="AQ289" s="74"/>
      <c r="AR289" s="74"/>
      <c r="AS289" s="74"/>
      <c r="BD289" s="74"/>
      <c r="BE289" s="74"/>
      <c r="BF289" s="74"/>
      <c r="BG289" s="74"/>
      <c r="BH289" s="74"/>
      <c r="BI289" s="74"/>
    </row>
    <row r="290" spans="4:61" x14ac:dyDescent="0.3">
      <c r="D290" s="20">
        <f t="shared" si="49"/>
        <v>45735</v>
      </c>
      <c r="E290" s="73">
        <f>_xll.CbondsClosePrice($B$1,D290,VLOOKUP($B$27,'Help Page'!$M:$N,2,0))</f>
        <v>91.5</v>
      </c>
      <c r="F290" s="73">
        <f t="shared" si="48"/>
        <v>91.5</v>
      </c>
      <c r="G290" s="33">
        <f>IF(F290 = "","",IFERROR(IF($G$1 = "YTM",_xll.CbondsCalcYTM($B$1,D290,F290),_xll.CbondsCalcYTP($B$1,D290,F290)),"")*100)</f>
        <v>7.6987128542484999</v>
      </c>
      <c r="U290" s="74"/>
      <c r="V290" s="74"/>
      <c r="W290" s="74"/>
      <c r="X290" s="74"/>
      <c r="Y290" s="74"/>
      <c r="Z290" s="74"/>
      <c r="AA290" s="74"/>
      <c r="AB290" s="74"/>
      <c r="AC290" s="74"/>
      <c r="AJ290" s="74"/>
      <c r="AK290" s="74"/>
      <c r="AL290" s="74"/>
      <c r="AM290" s="74"/>
      <c r="AN290" s="74"/>
      <c r="AO290" s="74"/>
      <c r="AP290" s="74"/>
      <c r="AQ290" s="74"/>
      <c r="AR290" s="74"/>
      <c r="AS290" s="74"/>
      <c r="BD290" s="74"/>
      <c r="BE290" s="74"/>
      <c r="BF290" s="74"/>
      <c r="BG290" s="74"/>
      <c r="BH290" s="74"/>
      <c r="BI290" s="74"/>
    </row>
    <row r="291" spans="4:61" x14ac:dyDescent="0.3">
      <c r="D291" s="20">
        <f t="shared" si="49"/>
        <v>45734</v>
      </c>
      <c r="E291" s="73">
        <f>_xll.CbondsClosePrice($B$1,D291,VLOOKUP($B$27,'Help Page'!$M:$N,2,0))</f>
        <v>90.659199999999998</v>
      </c>
      <c r="F291" s="73">
        <f t="shared" si="48"/>
        <v>90.659199999999998</v>
      </c>
      <c r="G291" s="33">
        <f>IF(F291 = "","",IFERROR(IF($G$1 = "YTM",_xll.CbondsCalcYTM($B$1,D291,F291),_xll.CbondsCalcYTP($B$1,D291,F291)),"")*100)</f>
        <v>8.1134879521909991</v>
      </c>
      <c r="U291" s="74"/>
      <c r="V291" s="74"/>
      <c r="W291" s="74"/>
      <c r="X291" s="74"/>
      <c r="Y291" s="74"/>
      <c r="Z291" s="74"/>
      <c r="AA291" s="74"/>
      <c r="AB291" s="74"/>
      <c r="AC291" s="74"/>
      <c r="AJ291" s="74"/>
      <c r="AK291" s="74"/>
      <c r="AL291" s="74"/>
      <c r="AM291" s="74"/>
      <c r="AN291" s="74"/>
      <c r="AO291" s="74"/>
      <c r="AP291" s="74"/>
      <c r="AQ291" s="74"/>
      <c r="AR291" s="74"/>
      <c r="AS291" s="74"/>
      <c r="BD291" s="74"/>
      <c r="BE291" s="74"/>
      <c r="BF291" s="74"/>
      <c r="BG291" s="74"/>
      <c r="BH291" s="74"/>
      <c r="BI291" s="74"/>
    </row>
    <row r="292" spans="4:61" x14ac:dyDescent="0.3">
      <c r="D292" s="20">
        <f t="shared" si="49"/>
        <v>45733</v>
      </c>
      <c r="E292" s="73">
        <f>_xll.CbondsClosePrice($B$1,D292,VLOOKUP($B$27,'Help Page'!$M:$N,2,0))</f>
        <v>90.265000000000001</v>
      </c>
      <c r="F292" s="73">
        <f t="shared" si="48"/>
        <v>90.265000000000001</v>
      </c>
      <c r="G292" s="33">
        <f>IF(F292 = "","",IFERROR(IF($G$1 = "YTM",_xll.CbondsCalcYTM($B$1,D292,F292),_xll.CbondsCalcYTP($B$1,D292,F292)),"")*100)</f>
        <v>8.3074759644549996</v>
      </c>
      <c r="U292" s="74"/>
      <c r="V292" s="74"/>
      <c r="W292" s="74"/>
      <c r="X292" s="74"/>
      <c r="Y292" s="74"/>
      <c r="Z292" s="74"/>
      <c r="AA292" s="74"/>
      <c r="AB292" s="74"/>
      <c r="AC292" s="74"/>
      <c r="AJ292" s="74"/>
      <c r="AK292" s="74"/>
      <c r="AL292" s="74"/>
      <c r="AM292" s="74"/>
      <c r="AN292" s="74"/>
      <c r="AO292" s="74"/>
      <c r="AP292" s="74"/>
      <c r="AQ292" s="74"/>
      <c r="AR292" s="74"/>
      <c r="AS292" s="74"/>
      <c r="BD292" s="74"/>
      <c r="BE292" s="74"/>
      <c r="BF292" s="74"/>
      <c r="BG292" s="74"/>
      <c r="BH292" s="74"/>
      <c r="BI292" s="74"/>
    </row>
    <row r="293" spans="4:61" x14ac:dyDescent="0.3">
      <c r="D293" s="20">
        <f t="shared" si="49"/>
        <v>45732</v>
      </c>
      <c r="E293" s="73" t="str">
        <f>_xll.CbondsClosePrice($B$1,D293,VLOOKUP($B$27,'Help Page'!$M:$N,2,0))</f>
        <v>Нет данных</v>
      </c>
      <c r="F293" s="73">
        <f t="shared" si="48"/>
        <v>90.1053</v>
      </c>
      <c r="G293" s="33">
        <f>IF(F293 = "","",IFERROR(IF($G$1 = "YTM",_xll.CbondsCalcYTM($B$1,D293,F293),_xll.CbondsCalcYTP($B$1,D293,F293)),"")*100)</f>
        <v>8.3831293457802012</v>
      </c>
      <c r="U293" s="74"/>
      <c r="V293" s="74"/>
      <c r="W293" s="74"/>
      <c r="X293" s="74"/>
      <c r="Y293" s="74"/>
      <c r="Z293" s="74"/>
      <c r="AA293" s="74"/>
      <c r="AB293" s="74"/>
      <c r="AC293" s="74"/>
      <c r="AJ293" s="74"/>
      <c r="AK293" s="74"/>
      <c r="AL293" s="74"/>
      <c r="AM293" s="74"/>
      <c r="AN293" s="74"/>
      <c r="AO293" s="74"/>
      <c r="AP293" s="74"/>
      <c r="AQ293" s="74"/>
      <c r="AR293" s="74"/>
      <c r="AS293" s="74"/>
      <c r="BD293" s="74"/>
      <c r="BE293" s="74"/>
      <c r="BF293" s="74"/>
      <c r="BG293" s="74"/>
      <c r="BH293" s="74"/>
      <c r="BI293" s="74"/>
    </row>
    <row r="294" spans="4:61" x14ac:dyDescent="0.3">
      <c r="D294" s="20">
        <f t="shared" si="49"/>
        <v>45731</v>
      </c>
      <c r="E294" s="73" t="str">
        <f>_xll.CbondsClosePrice($B$1,D294,VLOOKUP($B$27,'Help Page'!$M:$N,2,0))</f>
        <v>Нет данных</v>
      </c>
      <c r="F294" s="73">
        <f t="shared" si="48"/>
        <v>90.1053</v>
      </c>
      <c r="G294" s="33">
        <f>IF(F294 = "","",IFERROR(IF($G$1 = "YTM",_xll.CbondsCalcYTM($B$1,D294,F294),_xll.CbondsCalcYTP($B$1,D294,F294)),"")*100)</f>
        <v>8.3781463706138002</v>
      </c>
      <c r="U294" s="74"/>
      <c r="V294" s="74"/>
      <c r="W294" s="74"/>
      <c r="X294" s="74"/>
      <c r="Y294" s="74"/>
      <c r="Z294" s="74"/>
      <c r="AA294" s="74"/>
      <c r="AB294" s="74"/>
      <c r="AC294" s="74"/>
      <c r="AJ294" s="74"/>
      <c r="AK294" s="74"/>
      <c r="AL294" s="74"/>
      <c r="AM294" s="74"/>
      <c r="AN294" s="74"/>
      <c r="AO294" s="74"/>
      <c r="AP294" s="74"/>
      <c r="AQ294" s="74"/>
      <c r="AR294" s="74"/>
      <c r="AS294" s="74"/>
      <c r="BD294" s="74"/>
      <c r="BE294" s="74"/>
      <c r="BF294" s="74"/>
      <c r="BG294" s="74"/>
      <c r="BH294" s="74"/>
      <c r="BI294" s="74"/>
    </row>
    <row r="295" spans="4:61" x14ac:dyDescent="0.3">
      <c r="D295" s="20">
        <f t="shared" si="49"/>
        <v>45730</v>
      </c>
      <c r="E295" s="73">
        <f>_xll.CbondsClosePrice($B$1,D295,VLOOKUP($B$27,'Help Page'!$M:$N,2,0))</f>
        <v>90.1053</v>
      </c>
      <c r="F295" s="73">
        <f t="shared" si="48"/>
        <v>90.1053</v>
      </c>
      <c r="G295" s="33">
        <f>IF(F295 = "","",IFERROR(IF($G$1 = "YTM",_xll.CbondsCalcYTM($B$1,D295,F295),_xll.CbondsCalcYTP($B$1,D295,F295)),"")*100)</f>
        <v>8.3731756398863002</v>
      </c>
      <c r="U295" s="74"/>
      <c r="V295" s="74"/>
      <c r="W295" s="74"/>
      <c r="X295" s="74"/>
      <c r="Y295" s="74"/>
      <c r="Z295" s="74"/>
      <c r="AA295" s="74"/>
      <c r="AB295" s="74"/>
      <c r="AC295" s="74"/>
      <c r="AJ295" s="74"/>
      <c r="AK295" s="74"/>
      <c r="AL295" s="74"/>
      <c r="AM295" s="74"/>
      <c r="AN295" s="74"/>
      <c r="AO295" s="74"/>
      <c r="AP295" s="74"/>
      <c r="AQ295" s="74"/>
      <c r="AR295" s="74"/>
      <c r="AS295" s="74"/>
      <c r="BD295" s="74"/>
      <c r="BE295" s="74"/>
      <c r="BF295" s="74"/>
      <c r="BG295" s="74"/>
      <c r="BH295" s="74"/>
      <c r="BI295" s="74"/>
    </row>
    <row r="296" spans="4:61" x14ac:dyDescent="0.3">
      <c r="D296" s="20">
        <f t="shared" si="49"/>
        <v>45729</v>
      </c>
      <c r="E296" s="73">
        <f>_xll.CbondsClosePrice($B$1,D296,VLOOKUP($B$27,'Help Page'!$M:$N,2,0))</f>
        <v>90.1999</v>
      </c>
      <c r="F296" s="73">
        <f t="shared" si="48"/>
        <v>90.1999</v>
      </c>
      <c r="G296" s="33">
        <f>IF(F296 = "","",IFERROR(IF($G$1 = "YTM",_xll.CbondsCalcYTM($B$1,D296,F296),_xll.CbondsCalcYTP($B$1,D296,F296)),"")*100)</f>
        <v>8.3205249972260997</v>
      </c>
      <c r="U296" s="74"/>
      <c r="V296" s="74"/>
      <c r="W296" s="74"/>
      <c r="X296" s="74"/>
      <c r="Y296" s="74"/>
      <c r="Z296" s="74"/>
      <c r="AA296" s="74"/>
      <c r="AB296" s="74"/>
      <c r="AC296" s="74"/>
      <c r="AJ296" s="74"/>
      <c r="AK296" s="74"/>
      <c r="AL296" s="74"/>
      <c r="AM296" s="74"/>
      <c r="AN296" s="74"/>
      <c r="AO296" s="74"/>
      <c r="AP296" s="74"/>
      <c r="AQ296" s="74"/>
      <c r="AR296" s="74"/>
      <c r="AS296" s="74"/>
      <c r="BD296" s="74"/>
      <c r="BE296" s="74"/>
      <c r="BF296" s="74"/>
      <c r="BG296" s="74"/>
      <c r="BH296" s="74"/>
      <c r="BI296" s="74"/>
    </row>
    <row r="297" spans="4:61" x14ac:dyDescent="0.3">
      <c r="D297" s="20">
        <f t="shared" si="49"/>
        <v>45728</v>
      </c>
      <c r="E297" s="73">
        <f>_xll.CbondsClosePrice($B$1,D297,VLOOKUP($B$27,'Help Page'!$M:$N,2,0))</f>
        <v>89.831500000000005</v>
      </c>
      <c r="F297" s="73">
        <f t="shared" si="48"/>
        <v>89.831500000000005</v>
      </c>
      <c r="G297" s="33">
        <f>IF(F297 = "","",IFERROR(IF($G$1 = "YTM",_xll.CbondsCalcYTM($B$1,D297,F297),_xll.CbondsCalcYTP($B$1,D297,F297)),"")*100)</f>
        <v>8.5010623861771997</v>
      </c>
      <c r="U297" s="74"/>
      <c r="V297" s="74"/>
      <c r="W297" s="74"/>
      <c r="X297" s="74"/>
      <c r="Y297" s="74"/>
      <c r="Z297" s="74"/>
      <c r="AA297" s="74"/>
      <c r="AB297" s="74"/>
      <c r="AC297" s="74"/>
      <c r="AJ297" s="74"/>
      <c r="AK297" s="74"/>
      <c r="AL297" s="74"/>
      <c r="AM297" s="74"/>
      <c r="AN297" s="74"/>
      <c r="AO297" s="74"/>
      <c r="AP297" s="74"/>
      <c r="AQ297" s="74"/>
      <c r="AR297" s="74"/>
      <c r="AS297" s="74"/>
      <c r="BD297" s="74"/>
      <c r="BE297" s="74"/>
      <c r="BF297" s="74"/>
      <c r="BG297" s="74"/>
      <c r="BH297" s="74"/>
      <c r="BI297" s="74"/>
    </row>
    <row r="298" spans="4:61" x14ac:dyDescent="0.3">
      <c r="D298" s="20">
        <f t="shared" si="49"/>
        <v>45727</v>
      </c>
      <c r="E298" s="73">
        <f>_xll.CbondsClosePrice($B$1,D298,VLOOKUP($B$27,'Help Page'!$M:$N,2,0))</f>
        <v>90.049899999999994</v>
      </c>
      <c r="F298" s="73">
        <f t="shared" si="48"/>
        <v>90.049899999999994</v>
      </c>
      <c r="G298" s="33">
        <f>IF(F298 = "","",IFERROR(IF($G$1 = "YTM",_xll.CbondsCalcYTM($B$1,D298,F298),_xll.CbondsCalcYTP($B$1,D298,F298)),"")*100)</f>
        <v>8.3858731460101001</v>
      </c>
      <c r="U298" s="74"/>
      <c r="V298" s="74"/>
      <c r="W298" s="74"/>
      <c r="X298" s="74"/>
      <c r="Y298" s="74"/>
      <c r="Z298" s="74"/>
      <c r="AA298" s="74"/>
      <c r="AB298" s="74"/>
      <c r="AC298" s="74"/>
      <c r="AJ298" s="74"/>
      <c r="AK298" s="74"/>
      <c r="AL298" s="74"/>
      <c r="AM298" s="74"/>
      <c r="AN298" s="74"/>
      <c r="AO298" s="74"/>
      <c r="AP298" s="74"/>
      <c r="AQ298" s="74"/>
      <c r="AR298" s="74"/>
      <c r="AS298" s="74"/>
      <c r="BD298" s="74"/>
      <c r="BE298" s="74"/>
      <c r="BF298" s="74"/>
      <c r="BG298" s="74"/>
      <c r="BH298" s="74"/>
      <c r="BI298" s="74"/>
    </row>
    <row r="299" spans="4:61" x14ac:dyDescent="0.3">
      <c r="D299" s="20">
        <f t="shared" si="49"/>
        <v>45726</v>
      </c>
      <c r="E299" s="73">
        <f>_xll.CbondsClosePrice($B$1,D299,VLOOKUP($B$27,'Help Page'!$M:$N,2,0))</f>
        <v>89.804000000000002</v>
      </c>
      <c r="F299" s="73">
        <f t="shared" si="48"/>
        <v>89.804000000000002</v>
      </c>
      <c r="G299" s="33">
        <f>IF(F299 = "","",IFERROR(IF($G$1 = "YTM",_xll.CbondsCalcYTM($B$1,D299,F299),_xll.CbondsCalcYTP($B$1,D299,F299)),"")*100)</f>
        <v>8.5045640949855006</v>
      </c>
      <c r="U299" s="74"/>
      <c r="V299" s="74"/>
      <c r="W299" s="74"/>
      <c r="X299" s="74"/>
      <c r="Y299" s="74"/>
      <c r="Z299" s="74"/>
      <c r="AA299" s="74"/>
      <c r="AB299" s="74"/>
      <c r="AC299" s="74"/>
      <c r="AJ299" s="74"/>
      <c r="AK299" s="74"/>
      <c r="AL299" s="74"/>
      <c r="AM299" s="74"/>
      <c r="AN299" s="74"/>
      <c r="AO299" s="74"/>
      <c r="AP299" s="74"/>
      <c r="AQ299" s="74"/>
      <c r="AR299" s="74"/>
      <c r="AS299" s="74"/>
      <c r="BD299" s="74"/>
      <c r="BE299" s="74"/>
      <c r="BF299" s="74"/>
      <c r="BG299" s="74"/>
      <c r="BH299" s="74"/>
      <c r="BI299" s="74"/>
    </row>
    <row r="300" spans="4:61" x14ac:dyDescent="0.3">
      <c r="D300" s="20">
        <f t="shared" si="49"/>
        <v>45725</v>
      </c>
      <c r="E300" s="73" t="str">
        <f>_xll.CbondsClosePrice($B$1,D300,VLOOKUP($B$27,'Help Page'!$M:$N,2,0))</f>
        <v>Нет данных</v>
      </c>
      <c r="F300" s="73">
        <f t="shared" si="48"/>
        <v>90</v>
      </c>
      <c r="G300" s="33">
        <f>IF(F300 = "","",IFERROR(IF($G$1 = "YTM",_xll.CbondsCalcYTM($B$1,D300,F300),_xll.CbondsCalcYTP($B$1,D300,F300)),"")*100)</f>
        <v>8.4008223535665998</v>
      </c>
      <c r="U300" s="74"/>
      <c r="V300" s="74"/>
      <c r="W300" s="74"/>
      <c r="X300" s="74"/>
      <c r="Y300" s="74"/>
      <c r="Z300" s="74"/>
      <c r="AA300" s="74"/>
      <c r="AB300" s="74"/>
      <c r="AC300" s="74"/>
      <c r="AJ300" s="74"/>
      <c r="AK300" s="74"/>
      <c r="AL300" s="74"/>
      <c r="AM300" s="74"/>
      <c r="AN300" s="74"/>
      <c r="AO300" s="74"/>
      <c r="AP300" s="74"/>
      <c r="AQ300" s="74"/>
      <c r="AR300" s="74"/>
      <c r="AS300" s="74"/>
      <c r="BD300" s="74"/>
      <c r="BE300" s="74"/>
      <c r="BF300" s="74"/>
      <c r="BG300" s="74"/>
      <c r="BH300" s="74"/>
      <c r="BI300" s="74"/>
    </row>
    <row r="301" spans="4:61" x14ac:dyDescent="0.3">
      <c r="D301" s="20">
        <f t="shared" si="49"/>
        <v>45724</v>
      </c>
      <c r="E301" s="73" t="str">
        <f>_xll.CbondsClosePrice($B$1,D301,VLOOKUP($B$27,'Help Page'!$M:$N,2,0))</f>
        <v>Нет данных</v>
      </c>
      <c r="F301" s="73">
        <f t="shared" si="48"/>
        <v>90</v>
      </c>
      <c r="G301" s="33">
        <f>IF(F301 = "","",IFERROR(IF($G$1 = "YTM",_xll.CbondsCalcYTM($B$1,D301,F301),_xll.CbondsCalcYTP($B$1,D301,F301)),"")*100)</f>
        <v>8.3957660882247005</v>
      </c>
      <c r="U301" s="74"/>
      <c r="V301" s="74"/>
      <c r="W301" s="74"/>
      <c r="X301" s="74"/>
      <c r="Y301" s="74"/>
      <c r="Z301" s="74"/>
      <c r="AA301" s="74"/>
      <c r="AB301" s="74"/>
      <c r="AC301" s="74"/>
      <c r="AJ301" s="74"/>
      <c r="AK301" s="74"/>
      <c r="AL301" s="74"/>
      <c r="AM301" s="74"/>
      <c r="AN301" s="74"/>
      <c r="AO301" s="74"/>
      <c r="AP301" s="74"/>
      <c r="AQ301" s="74"/>
      <c r="AR301" s="74"/>
      <c r="AS301" s="74"/>
      <c r="BD301" s="74"/>
      <c r="BE301" s="74"/>
      <c r="BF301" s="74"/>
      <c r="BG301" s="74"/>
      <c r="BH301" s="74"/>
      <c r="BI301" s="74"/>
    </row>
    <row r="302" spans="4:61" x14ac:dyDescent="0.3">
      <c r="D302" s="20">
        <f t="shared" si="49"/>
        <v>45723</v>
      </c>
      <c r="E302" s="73">
        <f>_xll.CbondsClosePrice($B$1,D302,VLOOKUP($B$27,'Help Page'!$M:$N,2,0))</f>
        <v>90</v>
      </c>
      <c r="F302" s="73">
        <f t="shared" si="48"/>
        <v>90</v>
      </c>
      <c r="G302" s="33">
        <f>IF(F302 = "","",IFERROR(IF($G$1 = "YTM",_xll.CbondsCalcYTM($B$1,D302,F302),_xll.CbondsCalcYTP($B$1,D302,F302)),"")*100)</f>
        <v>8.3907222649283</v>
      </c>
      <c r="U302" s="74"/>
      <c r="V302" s="74"/>
      <c r="W302" s="74"/>
      <c r="X302" s="74"/>
      <c r="Y302" s="74"/>
      <c r="Z302" s="74"/>
      <c r="AA302" s="74"/>
      <c r="AB302" s="74"/>
      <c r="AC302" s="74"/>
      <c r="AJ302" s="74"/>
      <c r="AK302" s="74"/>
      <c r="AL302" s="74"/>
      <c r="AM302" s="74"/>
      <c r="AN302" s="74"/>
      <c r="AO302" s="74"/>
      <c r="AP302" s="74"/>
      <c r="AQ302" s="74"/>
      <c r="AR302" s="74"/>
      <c r="AS302" s="74"/>
      <c r="BD302" s="74"/>
      <c r="BE302" s="74"/>
      <c r="BF302" s="74"/>
      <c r="BG302" s="74"/>
      <c r="BH302" s="74"/>
      <c r="BI302" s="74"/>
    </row>
    <row r="303" spans="4:61" x14ac:dyDescent="0.3">
      <c r="D303" s="20">
        <f t="shared" si="49"/>
        <v>45722</v>
      </c>
      <c r="E303" s="73">
        <f>_xll.CbondsClosePrice($B$1,D303,VLOOKUP($B$27,'Help Page'!$M:$N,2,0))</f>
        <v>90.6982</v>
      </c>
      <c r="F303" s="73">
        <f t="shared" si="48"/>
        <v>90.6982</v>
      </c>
      <c r="G303" s="33">
        <f>IF(F303 = "","",IFERROR(IF($G$1 = "YTM",_xll.CbondsCalcYTM($B$1,D303,F303),_xll.CbondsCalcYTP($B$1,D303,F303)),"")*100)</f>
        <v>8.0387165821811006</v>
      </c>
      <c r="U303" s="74"/>
      <c r="V303" s="74"/>
      <c r="W303" s="74"/>
      <c r="X303" s="74"/>
      <c r="Y303" s="74"/>
      <c r="Z303" s="74"/>
      <c r="AA303" s="74"/>
      <c r="AB303" s="74"/>
      <c r="AC303" s="74"/>
      <c r="AJ303" s="74"/>
      <c r="AK303" s="74"/>
      <c r="AL303" s="74"/>
      <c r="AM303" s="74"/>
      <c r="AN303" s="74"/>
      <c r="AO303" s="74"/>
      <c r="AP303" s="74"/>
      <c r="AQ303" s="74"/>
      <c r="AR303" s="74"/>
      <c r="AS303" s="74"/>
      <c r="BD303" s="74"/>
      <c r="BE303" s="74"/>
      <c r="BF303" s="74"/>
      <c r="BG303" s="74"/>
      <c r="BH303" s="74"/>
      <c r="BI303" s="74"/>
    </row>
    <row r="304" spans="4:61" x14ac:dyDescent="0.3">
      <c r="D304" s="20">
        <f t="shared" si="49"/>
        <v>45721</v>
      </c>
      <c r="E304" s="73">
        <f>_xll.CbondsClosePrice($B$1,D304,VLOOKUP($B$27,'Help Page'!$M:$N,2,0))</f>
        <v>90.799899999999994</v>
      </c>
      <c r="F304" s="73">
        <f t="shared" si="48"/>
        <v>90.799899999999994</v>
      </c>
      <c r="G304" s="33">
        <f>IF(F304 = "","",IFERROR(IF($G$1 = "YTM",_xll.CbondsCalcYTM($B$1,D304,F304),_xll.CbondsCalcYTP($B$1,D304,F304)),"")*100)</f>
        <v>7.9838380249313001</v>
      </c>
      <c r="U304" s="74"/>
      <c r="V304" s="74"/>
      <c r="W304" s="74"/>
      <c r="X304" s="74"/>
      <c r="Y304" s="74"/>
      <c r="Z304" s="74"/>
      <c r="AA304" s="74"/>
      <c r="AB304" s="74"/>
      <c r="AC304" s="74"/>
      <c r="AJ304" s="74"/>
      <c r="AK304" s="74"/>
      <c r="AL304" s="74"/>
      <c r="AM304" s="74"/>
      <c r="AN304" s="74"/>
      <c r="AO304" s="74"/>
      <c r="AP304" s="74"/>
      <c r="AQ304" s="74"/>
      <c r="AR304" s="74"/>
      <c r="AS304" s="74"/>
      <c r="BD304" s="74"/>
      <c r="BE304" s="74"/>
      <c r="BF304" s="74"/>
      <c r="BG304" s="74"/>
      <c r="BH304" s="74"/>
      <c r="BI304" s="74"/>
    </row>
    <row r="305" spans="4:61" x14ac:dyDescent="0.3">
      <c r="D305" s="20">
        <f t="shared" si="49"/>
        <v>45720</v>
      </c>
      <c r="E305" s="73">
        <f>_xll.CbondsClosePrice($B$1,D305,VLOOKUP($B$27,'Help Page'!$M:$N,2,0))</f>
        <v>90.716300000000004</v>
      </c>
      <c r="F305" s="73">
        <f t="shared" si="48"/>
        <v>90.716300000000004</v>
      </c>
      <c r="G305" s="33">
        <f>IF(F305 = "","",IFERROR(IF($G$1 = "YTM",_xll.CbondsCalcYTM($B$1,D305,F305),_xll.CbondsCalcYTP($B$1,D305,F305)),"")*100)</f>
        <v>8.0205069028249998</v>
      </c>
      <c r="U305" s="74"/>
      <c r="V305" s="74"/>
      <c r="W305" s="74"/>
      <c r="X305" s="74"/>
      <c r="Y305" s="74"/>
      <c r="Z305" s="74"/>
      <c r="AA305" s="74"/>
      <c r="AB305" s="74"/>
      <c r="AC305" s="74"/>
      <c r="AJ305" s="74"/>
      <c r="AK305" s="74"/>
      <c r="AL305" s="74"/>
      <c r="AM305" s="74"/>
      <c r="AN305" s="74"/>
      <c r="AO305" s="74"/>
      <c r="AP305" s="74"/>
      <c r="AQ305" s="74"/>
      <c r="AR305" s="74"/>
      <c r="AS305" s="74"/>
      <c r="BD305" s="74"/>
      <c r="BE305" s="74"/>
      <c r="BF305" s="74"/>
      <c r="BG305" s="74"/>
      <c r="BH305" s="74"/>
      <c r="BI305" s="74"/>
    </row>
    <row r="306" spans="4:61" x14ac:dyDescent="0.3">
      <c r="D306" s="20">
        <f t="shared" si="49"/>
        <v>45719</v>
      </c>
      <c r="E306" s="73">
        <f>_xll.CbondsClosePrice($B$1,D306,VLOOKUP($B$27,'Help Page'!$M:$N,2,0))</f>
        <v>91.146799999999999</v>
      </c>
      <c r="F306" s="73">
        <f t="shared" si="48"/>
        <v>91.146799999999999</v>
      </c>
      <c r="G306" s="33">
        <f>IF(F306 = "","",IFERROR(IF($G$1 = "YTM",_xll.CbondsCalcYTM($B$1,D306,F306),_xll.CbondsCalcYTP($B$1,D306,F306)),"")*100)</f>
        <v>7.8043176198520001</v>
      </c>
      <c r="U306" s="74"/>
      <c r="V306" s="74"/>
      <c r="W306" s="74"/>
      <c r="X306" s="74"/>
      <c r="Y306" s="74"/>
      <c r="Z306" s="74"/>
      <c r="AA306" s="74"/>
      <c r="AB306" s="74"/>
      <c r="AC306" s="74"/>
      <c r="AJ306" s="74"/>
      <c r="AK306" s="74"/>
      <c r="AL306" s="74"/>
      <c r="AM306" s="74"/>
      <c r="AN306" s="74"/>
      <c r="AO306" s="74"/>
      <c r="AP306" s="74"/>
      <c r="AQ306" s="74"/>
      <c r="AR306" s="74"/>
      <c r="AS306" s="74"/>
      <c r="BD306" s="74"/>
      <c r="BE306" s="74"/>
      <c r="BF306" s="74"/>
      <c r="BG306" s="74"/>
      <c r="BH306" s="74"/>
      <c r="BI306" s="74"/>
    </row>
    <row r="307" spans="4:61" x14ac:dyDescent="0.3">
      <c r="D307" s="20">
        <f t="shared" si="49"/>
        <v>45718</v>
      </c>
      <c r="E307" s="73" t="str">
        <f>_xll.CbondsClosePrice($B$1,D307,VLOOKUP($B$27,'Help Page'!$M:$N,2,0))</f>
        <v>Нет данных</v>
      </c>
      <c r="F307" s="73">
        <f t="shared" si="48"/>
        <v>94.2</v>
      </c>
      <c r="G307" s="33">
        <f>IF(F307 = "","",IFERROR(IF($G$1 = "YTM",_xll.CbondsCalcYTM($B$1,D307,F307),_xll.CbondsCalcYTP($B$1,D307,F307)),"")*100)</f>
        <v>6.3412143329105</v>
      </c>
      <c r="U307" s="74"/>
      <c r="V307" s="74"/>
      <c r="W307" s="74"/>
      <c r="X307" s="74"/>
      <c r="Y307" s="74"/>
      <c r="Z307" s="74"/>
      <c r="AA307" s="74"/>
      <c r="AB307" s="74"/>
      <c r="AC307" s="74"/>
      <c r="AJ307" s="74"/>
      <c r="AK307" s="74"/>
      <c r="AL307" s="74"/>
      <c r="AM307" s="74"/>
      <c r="AN307" s="74"/>
      <c r="AO307" s="74"/>
      <c r="AP307" s="74"/>
      <c r="AQ307" s="74"/>
      <c r="AR307" s="74"/>
      <c r="AS307" s="74"/>
      <c r="BD307" s="74"/>
      <c r="BE307" s="74"/>
      <c r="BF307" s="74"/>
      <c r="BG307" s="74"/>
      <c r="BH307" s="74"/>
      <c r="BI307" s="74"/>
    </row>
    <row r="308" spans="4:61" x14ac:dyDescent="0.3">
      <c r="D308" s="20">
        <f t="shared" si="49"/>
        <v>45717</v>
      </c>
      <c r="E308" s="73" t="str">
        <f>_xll.CbondsClosePrice($B$1,D308,VLOOKUP($B$27,'Help Page'!$M:$N,2,0))</f>
        <v>Нет данных</v>
      </c>
      <c r="F308" s="73">
        <f t="shared" si="48"/>
        <v>94.2</v>
      </c>
      <c r="G308" s="33">
        <f>IF(F308 = "","",IFERROR(IF($G$1 = "YTM",_xll.CbondsCalcYTM($B$1,D308,F308),_xll.CbondsCalcYTP($B$1,D308,F308)),"")*100)</f>
        <v>6.3384171564739997</v>
      </c>
      <c r="U308" s="74"/>
      <c r="V308" s="74"/>
      <c r="W308" s="74"/>
      <c r="X308" s="74"/>
      <c r="Y308" s="74"/>
      <c r="Z308" s="74"/>
      <c r="AA308" s="74"/>
      <c r="AB308" s="74"/>
      <c r="AC308" s="74"/>
      <c r="AJ308" s="74"/>
      <c r="AK308" s="74"/>
      <c r="AL308" s="74"/>
      <c r="AM308" s="74"/>
      <c r="AN308" s="74"/>
      <c r="AO308" s="74"/>
      <c r="AP308" s="74"/>
      <c r="AQ308" s="74"/>
      <c r="AR308" s="74"/>
      <c r="AS308" s="74"/>
      <c r="BD308" s="74"/>
      <c r="BE308" s="74"/>
      <c r="BF308" s="74"/>
      <c r="BG308" s="74"/>
      <c r="BH308" s="74"/>
      <c r="BI308" s="74"/>
    </row>
    <row r="309" spans="4:61" x14ac:dyDescent="0.3">
      <c r="D309" s="20">
        <f t="shared" si="49"/>
        <v>45716</v>
      </c>
      <c r="E309" s="73">
        <f>_xll.CbondsClosePrice($B$1,D309,VLOOKUP($B$27,'Help Page'!$M:$N,2,0))</f>
        <v>94.2</v>
      </c>
      <c r="F309" s="73">
        <f t="shared" si="48"/>
        <v>94.2</v>
      </c>
      <c r="G309" s="33">
        <f>IF(F309 = "","",IFERROR(IF($G$1 = "YTM",_xll.CbondsCalcYTM($B$1,D309,F309),_xll.CbondsCalcYTP($B$1,D309,F309)),"")*100)</f>
        <v>6.3356269238890999</v>
      </c>
      <c r="U309" s="74"/>
      <c r="V309" s="74"/>
      <c r="W309" s="74"/>
      <c r="X309" s="74"/>
      <c r="Y309" s="74"/>
      <c r="Z309" s="74"/>
      <c r="AA309" s="74"/>
      <c r="AB309" s="74"/>
      <c r="AC309" s="74"/>
      <c r="AJ309" s="74"/>
      <c r="AK309" s="74"/>
      <c r="AL309" s="74"/>
      <c r="AM309" s="74"/>
      <c r="AN309" s="74"/>
      <c r="AO309" s="74"/>
      <c r="AP309" s="74"/>
      <c r="AQ309" s="74"/>
      <c r="AR309" s="74"/>
      <c r="AS309" s="74"/>
      <c r="BD309" s="74"/>
      <c r="BE309" s="74"/>
      <c r="BF309" s="74"/>
      <c r="BG309" s="74"/>
      <c r="BH309" s="74"/>
      <c r="BI309" s="74"/>
    </row>
    <row r="310" spans="4:61" x14ac:dyDescent="0.3">
      <c r="D310" s="20">
        <f t="shared" si="49"/>
        <v>45715</v>
      </c>
      <c r="E310" s="73">
        <f>_xll.CbondsClosePrice($B$1,D310,VLOOKUP($B$27,'Help Page'!$M:$N,2,0))</f>
        <v>91.698999999999998</v>
      </c>
      <c r="F310" s="73">
        <f t="shared" si="48"/>
        <v>91.698999999999998</v>
      </c>
      <c r="G310" s="33">
        <f>IF(F310 = "","",IFERROR(IF($G$1 = "YTM",_xll.CbondsCalcYTM($B$1,D310,F310),_xll.CbondsCalcYTP($B$1,D310,F310)),"")*100)</f>
        <v>7.5192508288590005</v>
      </c>
      <c r="U310" s="74"/>
      <c r="V310" s="74"/>
      <c r="W310" s="74"/>
      <c r="X310" s="74"/>
      <c r="Y310" s="74"/>
      <c r="Z310" s="74"/>
      <c r="AA310" s="74"/>
      <c r="AB310" s="74"/>
      <c r="AC310" s="74"/>
      <c r="AJ310" s="74"/>
      <c r="AK310" s="74"/>
      <c r="AL310" s="74"/>
      <c r="AM310" s="74"/>
      <c r="AN310" s="74"/>
      <c r="AO310" s="74"/>
      <c r="AP310" s="74"/>
      <c r="AQ310" s="74"/>
      <c r="AR310" s="74"/>
      <c r="AS310" s="74"/>
      <c r="BD310" s="74"/>
      <c r="BE310" s="74"/>
      <c r="BF310" s="74"/>
      <c r="BG310" s="74"/>
      <c r="BH310" s="74"/>
      <c r="BI310" s="74"/>
    </row>
    <row r="311" spans="4:61" x14ac:dyDescent="0.3">
      <c r="D311" s="20">
        <f t="shared" si="49"/>
        <v>45714</v>
      </c>
      <c r="E311" s="73">
        <f>_xll.CbondsClosePrice($B$1,D311,VLOOKUP($B$27,'Help Page'!$M:$N,2,0))</f>
        <v>92.489900000000006</v>
      </c>
      <c r="F311" s="73">
        <f t="shared" si="48"/>
        <v>92.489900000000006</v>
      </c>
      <c r="G311" s="33">
        <f>IF(F311 = "","",IFERROR(IF($G$1 = "YTM",_xll.CbondsCalcYTM($B$1,D311,F311),_xll.CbondsCalcYTP($B$1,D311,F311)),"")*100)</f>
        <v>7.1355938375915002</v>
      </c>
      <c r="U311" s="74"/>
      <c r="V311" s="74"/>
      <c r="W311" s="74"/>
      <c r="X311" s="74"/>
      <c r="Y311" s="74"/>
      <c r="Z311" s="74"/>
      <c r="AA311" s="74"/>
      <c r="AB311" s="74"/>
      <c r="AC311" s="74"/>
      <c r="AJ311" s="74"/>
      <c r="AK311" s="74"/>
      <c r="AL311" s="74"/>
      <c r="AM311" s="74"/>
      <c r="AN311" s="74"/>
      <c r="AO311" s="74"/>
      <c r="AP311" s="74"/>
      <c r="AQ311" s="74"/>
      <c r="AR311" s="74"/>
      <c r="AS311" s="74"/>
      <c r="BD311" s="74"/>
      <c r="BE311" s="74"/>
      <c r="BF311" s="74"/>
      <c r="BG311" s="74"/>
      <c r="BH311" s="74"/>
      <c r="BI311" s="74"/>
    </row>
    <row r="312" spans="4:61" x14ac:dyDescent="0.3">
      <c r="D312" s="20">
        <f t="shared" si="49"/>
        <v>45713</v>
      </c>
      <c r="E312" s="73">
        <f>_xll.CbondsClosePrice($B$1,D312,VLOOKUP($B$27,'Help Page'!$M:$N,2,0))</f>
        <v>91.399900000000002</v>
      </c>
      <c r="F312" s="73">
        <f t="shared" si="48"/>
        <v>91.399900000000002</v>
      </c>
      <c r="G312" s="33">
        <f>IF(F312 = "","",IFERROR(IF($G$1 = "YTM",_xll.CbondsCalcYTM($B$1,D312,F312),_xll.CbondsCalcYTP($B$1,D312,F312)),"")*100)</f>
        <v>7.6558182307570997</v>
      </c>
      <c r="U312" s="74"/>
      <c r="V312" s="74"/>
      <c r="W312" s="74"/>
      <c r="X312" s="74"/>
      <c r="Y312" s="74"/>
      <c r="Z312" s="74"/>
      <c r="AA312" s="74"/>
      <c r="AB312" s="74"/>
      <c r="AC312" s="74"/>
      <c r="AJ312" s="74"/>
      <c r="AK312" s="74"/>
      <c r="AL312" s="74"/>
      <c r="AM312" s="74"/>
      <c r="AN312" s="74"/>
      <c r="AO312" s="74"/>
      <c r="AP312" s="74"/>
      <c r="AQ312" s="74"/>
      <c r="AR312" s="74"/>
      <c r="AS312" s="74"/>
      <c r="BD312" s="74"/>
      <c r="BE312" s="74"/>
      <c r="BF312" s="74"/>
      <c r="BG312" s="74"/>
      <c r="BH312" s="74"/>
      <c r="BI312" s="74"/>
    </row>
    <row r="313" spans="4:61" x14ac:dyDescent="0.3">
      <c r="D313" s="20">
        <f t="shared" si="49"/>
        <v>45712</v>
      </c>
      <c r="E313" s="73">
        <f>_xll.CbondsClosePrice($B$1,D313,VLOOKUP($B$27,'Help Page'!$M:$N,2,0))</f>
        <v>92.740799999999993</v>
      </c>
      <c r="F313" s="73">
        <f t="shared" si="48"/>
        <v>92.740799999999993</v>
      </c>
      <c r="G313" s="33">
        <f>IF(F313 = "","",IFERROR(IF($G$1 = "YTM",_xll.CbondsCalcYTM($B$1,D313,F313),_xll.CbondsCalcYTP($B$1,D313,F313)),"")*100)</f>
        <v>7.0091545559126995</v>
      </c>
      <c r="U313" s="74"/>
      <c r="V313" s="74"/>
      <c r="W313" s="74"/>
      <c r="X313" s="74"/>
      <c r="Y313" s="74"/>
      <c r="Z313" s="74"/>
      <c r="AA313" s="74"/>
      <c r="AB313" s="74"/>
      <c r="AC313" s="74"/>
      <c r="AJ313" s="74"/>
      <c r="AK313" s="74"/>
      <c r="AL313" s="74"/>
      <c r="AM313" s="74"/>
      <c r="AN313" s="74"/>
      <c r="AO313" s="74"/>
      <c r="AP313" s="74"/>
      <c r="AQ313" s="74"/>
      <c r="AR313" s="74"/>
      <c r="AS313" s="74"/>
      <c r="BD313" s="74"/>
      <c r="BE313" s="74"/>
      <c r="BF313" s="74"/>
      <c r="BG313" s="74"/>
      <c r="BH313" s="74"/>
      <c r="BI313" s="74"/>
    </row>
    <row r="314" spans="4:61" x14ac:dyDescent="0.3">
      <c r="D314" s="20">
        <f t="shared" si="49"/>
        <v>45711</v>
      </c>
      <c r="E314" s="73" t="str">
        <f>_xll.CbondsClosePrice($B$1,D314,VLOOKUP($B$27,'Help Page'!$M:$N,2,0))</f>
        <v>Нет данных</v>
      </c>
      <c r="F314" s="73">
        <f t="shared" si="48"/>
        <v>91.949799999999996</v>
      </c>
      <c r="G314" s="33">
        <f>IF(F314 = "","",IFERROR(IF($G$1 = "YTM",_xll.CbondsCalcYTM($B$1,D314,F314),_xll.CbondsCalcYTP($B$1,D314,F314)),"")*100)</f>
        <v>7.3826472190173007</v>
      </c>
      <c r="U314" s="74"/>
      <c r="V314" s="74"/>
      <c r="W314" s="74"/>
      <c r="X314" s="74"/>
      <c r="Y314" s="74"/>
      <c r="Z314" s="74"/>
      <c r="AA314" s="74"/>
      <c r="AB314" s="74"/>
      <c r="AC314" s="74"/>
      <c r="AJ314" s="74"/>
      <c r="AK314" s="74"/>
      <c r="AL314" s="74"/>
      <c r="AM314" s="74"/>
      <c r="AN314" s="74"/>
      <c r="AO314" s="74"/>
      <c r="AP314" s="74"/>
      <c r="AQ314" s="74"/>
      <c r="AR314" s="74"/>
      <c r="AS314" s="74"/>
      <c r="BD314" s="74"/>
      <c r="BE314" s="74"/>
      <c r="BF314" s="74"/>
      <c r="BG314" s="74"/>
      <c r="BH314" s="74"/>
      <c r="BI314" s="74"/>
    </row>
    <row r="315" spans="4:61" x14ac:dyDescent="0.3">
      <c r="D315" s="20">
        <f t="shared" si="49"/>
        <v>45710</v>
      </c>
      <c r="E315" s="73" t="str">
        <f>_xll.CbondsClosePrice($B$1,D315,VLOOKUP($B$27,'Help Page'!$M:$N,2,0))</f>
        <v>Нет данных</v>
      </c>
      <c r="F315" s="73">
        <f t="shared" si="48"/>
        <v>91.949799999999996</v>
      </c>
      <c r="G315" s="33">
        <f>IF(F315 = "","",IFERROR(IF($G$1 = "YTM",_xll.CbondsCalcYTM($B$1,D315,F315),_xll.CbondsCalcYTP($B$1,D315,F315)),"")*100)</f>
        <v>7.3787744466251999</v>
      </c>
      <c r="U315" s="74"/>
      <c r="V315" s="74"/>
      <c r="W315" s="74"/>
      <c r="X315" s="74"/>
      <c r="Y315" s="74"/>
      <c r="Z315" s="74"/>
      <c r="AA315" s="74"/>
      <c r="AB315" s="74"/>
      <c r="AC315" s="74"/>
      <c r="AJ315" s="74"/>
      <c r="AK315" s="74"/>
      <c r="AL315" s="74"/>
      <c r="AM315" s="74"/>
      <c r="AN315" s="74"/>
      <c r="AO315" s="74"/>
      <c r="AP315" s="74"/>
      <c r="AQ315" s="74"/>
      <c r="AR315" s="74"/>
      <c r="AS315" s="74"/>
      <c r="BD315" s="74"/>
      <c r="BE315" s="74"/>
      <c r="BF315" s="74"/>
      <c r="BG315" s="74"/>
      <c r="BH315" s="74"/>
      <c r="BI315" s="74"/>
    </row>
    <row r="316" spans="4:61" x14ac:dyDescent="0.3">
      <c r="D316" s="20">
        <f t="shared" si="49"/>
        <v>45709</v>
      </c>
      <c r="E316" s="73">
        <f>_xll.CbondsClosePrice($B$1,D316,VLOOKUP($B$27,'Help Page'!$M:$N,2,0))</f>
        <v>91.949799999999996</v>
      </c>
      <c r="F316" s="73">
        <f t="shared" si="48"/>
        <v>91.949799999999996</v>
      </c>
      <c r="G316" s="33">
        <f>IF(F316 = "","",IFERROR(IF($G$1 = "YTM",_xll.CbondsCalcYTM($B$1,D316,F316),_xll.CbondsCalcYTP($B$1,D316,F316)),"")*100)</f>
        <v>7.3749111045860003</v>
      </c>
      <c r="U316" s="74"/>
      <c r="V316" s="74"/>
      <c r="W316" s="74"/>
      <c r="X316" s="74"/>
      <c r="Y316" s="74"/>
      <c r="Z316" s="74"/>
      <c r="AA316" s="74"/>
      <c r="AB316" s="74"/>
      <c r="AC316" s="74"/>
      <c r="AJ316" s="74"/>
      <c r="AK316" s="74"/>
      <c r="AL316" s="74"/>
      <c r="AM316" s="74"/>
      <c r="AN316" s="74"/>
      <c r="AO316" s="74"/>
      <c r="AP316" s="74"/>
      <c r="AQ316" s="74"/>
      <c r="AR316" s="74"/>
      <c r="AS316" s="74"/>
      <c r="BD316" s="74"/>
      <c r="BE316" s="74"/>
      <c r="BF316" s="74"/>
      <c r="BG316" s="74"/>
      <c r="BH316" s="74"/>
      <c r="BI316" s="74"/>
    </row>
    <row r="317" spans="4:61" x14ac:dyDescent="0.3">
      <c r="D317" s="20">
        <f t="shared" si="49"/>
        <v>45708</v>
      </c>
      <c r="E317" s="73">
        <f>_xll.CbondsClosePrice($B$1,D317,VLOOKUP($B$27,'Help Page'!$M:$N,2,0))</f>
        <v>89.096900000000005</v>
      </c>
      <c r="F317" s="73">
        <f t="shared" si="48"/>
        <v>89.096900000000005</v>
      </c>
      <c r="G317" s="33">
        <f>IF(F317 = "","",IFERROR(IF($G$1 = "YTM",_xll.CbondsCalcYTM($B$1,D317,F317),_xll.CbondsCalcYTP($B$1,D317,F317)),"")*100)</f>
        <v>8.7664447180618001</v>
      </c>
      <c r="U317" s="74"/>
      <c r="V317" s="74"/>
      <c r="W317" s="74"/>
      <c r="X317" s="74"/>
      <c r="Y317" s="74"/>
      <c r="Z317" s="74"/>
      <c r="AA317" s="74"/>
      <c r="AB317" s="74"/>
      <c r="AC317" s="74"/>
      <c r="AJ317" s="74"/>
      <c r="AK317" s="74"/>
      <c r="AL317" s="74"/>
      <c r="AM317" s="74"/>
      <c r="AN317" s="74"/>
      <c r="AO317" s="74"/>
      <c r="AP317" s="74"/>
      <c r="AQ317" s="74"/>
      <c r="AR317" s="74"/>
      <c r="AS317" s="74"/>
      <c r="BD317" s="74"/>
      <c r="BE317" s="74"/>
      <c r="BF317" s="74"/>
      <c r="BG317" s="74"/>
      <c r="BH317" s="74"/>
      <c r="BI317" s="74"/>
    </row>
    <row r="318" spans="4:61" x14ac:dyDescent="0.3">
      <c r="D318" s="20">
        <f t="shared" si="49"/>
        <v>45707</v>
      </c>
      <c r="E318" s="73">
        <f>_xll.CbondsClosePrice($B$1,D318,VLOOKUP($B$27,'Help Page'!$M:$N,2,0))</f>
        <v>90.630799999999994</v>
      </c>
      <c r="F318" s="73">
        <f t="shared" si="48"/>
        <v>90.630799999999994</v>
      </c>
      <c r="G318" s="33">
        <f>IF(F318 = "","",IFERROR(IF($G$1 = "YTM",_xll.CbondsCalcYTM($B$1,D318,F318),_xll.CbondsCalcYTP($B$1,D318,F318)),"")*100)</f>
        <v>8.0040806029908005</v>
      </c>
      <c r="U318" s="74"/>
      <c r="V318" s="74"/>
      <c r="W318" s="74"/>
      <c r="X318" s="74"/>
      <c r="Y318" s="74"/>
      <c r="Z318" s="74"/>
      <c r="AA318" s="74"/>
      <c r="AB318" s="74"/>
      <c r="AC318" s="74"/>
      <c r="AJ318" s="74"/>
      <c r="AK318" s="74"/>
      <c r="AL318" s="74"/>
      <c r="AM318" s="74"/>
      <c r="AN318" s="74"/>
      <c r="AO318" s="74"/>
      <c r="AP318" s="74"/>
      <c r="AQ318" s="74"/>
      <c r="AR318" s="74"/>
      <c r="AS318" s="74"/>
      <c r="BD318" s="74"/>
      <c r="BE318" s="74"/>
      <c r="BF318" s="74"/>
      <c r="BG318" s="74"/>
      <c r="BH318" s="74"/>
      <c r="BI318" s="74"/>
    </row>
    <row r="319" spans="4:61" x14ac:dyDescent="0.3">
      <c r="D319" s="20">
        <f t="shared" si="49"/>
        <v>45706</v>
      </c>
      <c r="E319" s="73">
        <f>_xll.CbondsClosePrice($B$1,D319,VLOOKUP($B$27,'Help Page'!$M:$N,2,0))</f>
        <v>89.727800000000002</v>
      </c>
      <c r="F319" s="73">
        <f t="shared" si="48"/>
        <v>89.727800000000002</v>
      </c>
      <c r="G319" s="33">
        <f>IF(F319 = "","",IFERROR(IF($G$1 = "YTM",_xll.CbondsCalcYTM($B$1,D319,F319),_xll.CbondsCalcYTP($B$1,D319,F319)),"")*100)</f>
        <v>8.4425058456420992</v>
      </c>
      <c r="U319" s="74"/>
      <c r="V319" s="74"/>
      <c r="W319" s="74"/>
      <c r="X319" s="74"/>
      <c r="Y319" s="74"/>
      <c r="Z319" s="74"/>
      <c r="AA319" s="74"/>
      <c r="AB319" s="74"/>
      <c r="AC319" s="74"/>
      <c r="AJ319" s="74"/>
      <c r="AK319" s="74"/>
      <c r="AL319" s="74"/>
      <c r="AM319" s="74"/>
      <c r="AN319" s="74"/>
      <c r="AO319" s="74"/>
      <c r="AP319" s="74"/>
      <c r="AQ319" s="74"/>
      <c r="AR319" s="74"/>
      <c r="AS319" s="74"/>
      <c r="BD319" s="74"/>
      <c r="BE319" s="74"/>
      <c r="BF319" s="74"/>
      <c r="BG319" s="74"/>
      <c r="BH319" s="74"/>
      <c r="BI319" s="74"/>
    </row>
    <row r="320" spans="4:61" x14ac:dyDescent="0.3">
      <c r="D320" s="20">
        <f t="shared" si="49"/>
        <v>45705</v>
      </c>
      <c r="E320" s="73">
        <f>_xll.CbondsClosePrice($B$1,D320,VLOOKUP($B$27,'Help Page'!$M:$N,2,0))</f>
        <v>90.863900000000001</v>
      </c>
      <c r="F320" s="73">
        <f t="shared" si="48"/>
        <v>90.863900000000001</v>
      </c>
      <c r="G320" s="33">
        <f>IF(F320 = "","",IFERROR(IF($G$1 = "YTM",_xll.CbondsCalcYTM($B$1,D320,F320),_xll.CbondsCalcYTP($B$1,D320,F320)),"")*100)</f>
        <v>7.8818790945999</v>
      </c>
      <c r="U320" s="74"/>
      <c r="V320" s="74"/>
      <c r="W320" s="74"/>
      <c r="X320" s="74"/>
      <c r="Y320" s="74"/>
      <c r="Z320" s="74"/>
      <c r="AA320" s="74"/>
      <c r="AB320" s="74"/>
      <c r="AC320" s="74"/>
      <c r="AJ320" s="74"/>
      <c r="AK320" s="74"/>
      <c r="AL320" s="74"/>
      <c r="AM320" s="74"/>
      <c r="AN320" s="74"/>
      <c r="AO320" s="74"/>
      <c r="AP320" s="74"/>
      <c r="AQ320" s="74"/>
      <c r="AR320" s="74"/>
      <c r="AS320" s="74"/>
      <c r="BD320" s="74"/>
      <c r="BE320" s="74"/>
      <c r="BF320" s="74"/>
      <c r="BG320" s="74"/>
      <c r="BH320" s="74"/>
      <c r="BI320" s="74"/>
    </row>
    <row r="321" spans="4:61" x14ac:dyDescent="0.3">
      <c r="D321" s="20">
        <f t="shared" si="49"/>
        <v>45704</v>
      </c>
      <c r="E321" s="73" t="str">
        <f>_xll.CbondsClosePrice($B$1,D321,VLOOKUP($B$27,'Help Page'!$M:$N,2,0))</f>
        <v>Нет данных</v>
      </c>
      <c r="F321" s="73">
        <f t="shared" si="48"/>
        <v>90.8</v>
      </c>
      <c r="G321" s="33">
        <f>IF(F321 = "","",IFERROR(IF($G$1 = "YTM",_xll.CbondsCalcYTM($B$1,D321,F321),_xll.CbondsCalcYTP($B$1,D321,F321)),"")*100)</f>
        <v>7.9084643656885003</v>
      </c>
      <c r="U321" s="74"/>
      <c r="V321" s="74"/>
      <c r="W321" s="74"/>
      <c r="X321" s="74"/>
      <c r="Y321" s="74"/>
      <c r="Z321" s="74"/>
      <c r="AA321" s="74"/>
      <c r="AB321" s="74"/>
      <c r="AC321" s="74"/>
      <c r="AJ321" s="74"/>
      <c r="AK321" s="74"/>
      <c r="AL321" s="74"/>
      <c r="AM321" s="74"/>
      <c r="AN321" s="74"/>
      <c r="AO321" s="74"/>
      <c r="AP321" s="74"/>
      <c r="AQ321" s="74"/>
      <c r="AR321" s="74"/>
      <c r="AS321" s="74"/>
      <c r="BD321" s="74"/>
      <c r="BE321" s="74"/>
      <c r="BF321" s="74"/>
      <c r="BG321" s="74"/>
      <c r="BH321" s="74"/>
      <c r="BI321" s="74"/>
    </row>
    <row r="322" spans="4:61" x14ac:dyDescent="0.3">
      <c r="D322" s="20">
        <f t="shared" si="49"/>
        <v>45703</v>
      </c>
      <c r="E322" s="73" t="str">
        <f>_xll.CbondsClosePrice($B$1,D322,VLOOKUP($B$27,'Help Page'!$M:$N,2,0))</f>
        <v>Нет данных</v>
      </c>
      <c r="F322" s="73">
        <f t="shared" si="48"/>
        <v>90.8</v>
      </c>
      <c r="G322" s="33">
        <f>IF(F322 = "","",IFERROR(IF($G$1 = "YTM",_xll.CbondsCalcYTM($B$1,D322,F322),_xll.CbondsCalcYTP($B$1,D322,F322)),"")*100)</f>
        <v>7.9040728392639998</v>
      </c>
      <c r="U322" s="74"/>
      <c r="V322" s="74"/>
      <c r="W322" s="74"/>
      <c r="X322" s="74"/>
      <c r="Y322" s="74"/>
      <c r="Z322" s="74"/>
      <c r="AA322" s="74"/>
      <c r="AB322" s="74"/>
      <c r="AC322" s="74"/>
      <c r="AJ322" s="74"/>
      <c r="AK322" s="74"/>
      <c r="AL322" s="74"/>
      <c r="AM322" s="74"/>
      <c r="AN322" s="74"/>
      <c r="AO322" s="74"/>
      <c r="AP322" s="74"/>
      <c r="AQ322" s="74"/>
      <c r="AR322" s="74"/>
      <c r="AS322" s="74"/>
      <c r="BD322" s="74"/>
      <c r="BE322" s="74"/>
      <c r="BF322" s="74"/>
      <c r="BG322" s="74"/>
      <c r="BH322" s="74"/>
      <c r="BI322" s="74"/>
    </row>
    <row r="323" spans="4:61" x14ac:dyDescent="0.3">
      <c r="D323" s="20">
        <f t="shared" si="49"/>
        <v>45702</v>
      </c>
      <c r="E323" s="73">
        <f>_xll.CbondsClosePrice($B$1,D323,VLOOKUP($B$27,'Help Page'!$M:$N,2,0))</f>
        <v>90.8</v>
      </c>
      <c r="F323" s="73">
        <f t="shared" ref="F323:F373" si="50">IF(IF(AND(E323="",D323=""),"",IF(AND(E323="Нет данных",D323&lt;&gt;""),F324,E323)) = 0,"",IF(AND(E323="",D323=""),"",IF(AND(E323="Нет данных",D323&lt;&gt;""),F324,E323)))</f>
        <v>90.8</v>
      </c>
      <c r="G323" s="33">
        <f>IF(F323 = "","",IFERROR(IF($G$1 = "YTM",_xll.CbondsCalcYTM($B$1,D323,F323),_xll.CbondsCalcYTP($B$1,D323,F323)),"")*100)</f>
        <v>7.8996918979180002</v>
      </c>
      <c r="U323" s="74"/>
      <c r="V323" s="74"/>
      <c r="W323" s="74"/>
      <c r="X323" s="74"/>
      <c r="Y323" s="74"/>
      <c r="Z323" s="74"/>
      <c r="AA323" s="74"/>
      <c r="AB323" s="74"/>
      <c r="AC323" s="74"/>
      <c r="AJ323" s="74"/>
      <c r="AK323" s="74"/>
      <c r="AL323" s="74"/>
      <c r="AM323" s="74"/>
      <c r="AN323" s="74"/>
      <c r="AO323" s="74"/>
      <c r="AP323" s="74"/>
      <c r="AQ323" s="74"/>
      <c r="AR323" s="74"/>
      <c r="AS323" s="74"/>
      <c r="BD323" s="74"/>
      <c r="BE323" s="74"/>
      <c r="BF323" s="74"/>
      <c r="BG323" s="74"/>
      <c r="BH323" s="74"/>
      <c r="BI323" s="74"/>
    </row>
    <row r="324" spans="4:61" x14ac:dyDescent="0.3">
      <c r="D324" s="20">
        <f t="shared" ref="D324:D367" si="51">D323-1</f>
        <v>45701</v>
      </c>
      <c r="E324" s="73">
        <f>_xll.CbondsClosePrice($B$1,D324,VLOOKUP($B$27,'Help Page'!$M:$N,2,0))</f>
        <v>89.760099999999994</v>
      </c>
      <c r="F324" s="73">
        <f t="shared" si="50"/>
        <v>89.760099999999994</v>
      </c>
      <c r="G324" s="33">
        <f>IF(F324 = "","",IFERROR(IF($G$1 = "YTM",_xll.CbondsCalcYTM($B$1,D324,F324),_xll.CbondsCalcYTP($B$1,D324,F324)),"")*100)</f>
        <v>8.4023882223752988</v>
      </c>
      <c r="U324" s="74"/>
      <c r="V324" s="74"/>
      <c r="W324" s="74"/>
      <c r="X324" s="74"/>
      <c r="Y324" s="74"/>
      <c r="Z324" s="74"/>
      <c r="AA324" s="74"/>
      <c r="AB324" s="74"/>
      <c r="AC324" s="74"/>
      <c r="AJ324" s="74"/>
      <c r="AK324" s="74"/>
      <c r="AL324" s="74"/>
      <c r="AM324" s="74"/>
      <c r="AN324" s="74"/>
      <c r="AO324" s="74"/>
      <c r="AP324" s="74"/>
      <c r="AQ324" s="74"/>
      <c r="AR324" s="74"/>
      <c r="AS324" s="74"/>
      <c r="BD324" s="74"/>
      <c r="BE324" s="74"/>
      <c r="BF324" s="74"/>
      <c r="BG324" s="74"/>
      <c r="BH324" s="74"/>
      <c r="BI324" s="74"/>
    </row>
    <row r="325" spans="4:61" x14ac:dyDescent="0.3">
      <c r="D325" s="20">
        <f t="shared" si="51"/>
        <v>45700</v>
      </c>
      <c r="E325" s="73">
        <f>_xll.CbondsClosePrice($B$1,D325,VLOOKUP($B$27,'Help Page'!$M:$N,2,0))</f>
        <v>89.272000000000006</v>
      </c>
      <c r="F325" s="73">
        <f t="shared" si="50"/>
        <v>89.272000000000006</v>
      </c>
      <c r="G325" s="33">
        <f>IF(F325 = "","",IFERROR(IF($G$1 = "YTM",_xll.CbondsCalcYTM($B$1,D325,F325),_xll.CbondsCalcYTP($B$1,D325,F325)),"")*100)</f>
        <v>8.6379283141701002</v>
      </c>
      <c r="U325" s="74"/>
      <c r="V325" s="74"/>
      <c r="W325" s="74"/>
      <c r="X325" s="74"/>
      <c r="Y325" s="74"/>
      <c r="Z325" s="74"/>
      <c r="AA325" s="74"/>
      <c r="AB325" s="74"/>
      <c r="AC325" s="74"/>
      <c r="AJ325" s="74"/>
      <c r="AK325" s="74"/>
      <c r="AL325" s="74"/>
      <c r="AM325" s="74"/>
      <c r="AN325" s="74"/>
      <c r="AO325" s="74"/>
      <c r="AP325" s="74"/>
      <c r="AQ325" s="74"/>
      <c r="AR325" s="74"/>
      <c r="AS325" s="74"/>
      <c r="BD325" s="74"/>
      <c r="BE325" s="74"/>
      <c r="BF325" s="74"/>
      <c r="BG325" s="74"/>
      <c r="BH325" s="74"/>
      <c r="BI325" s="74"/>
    </row>
    <row r="326" spans="4:61" x14ac:dyDescent="0.3">
      <c r="D326" s="20">
        <f t="shared" si="51"/>
        <v>45699</v>
      </c>
      <c r="E326" s="73">
        <f>_xll.CbondsClosePrice($B$1,D326,VLOOKUP($B$27,'Help Page'!$M:$N,2,0))</f>
        <v>89.338499999999996</v>
      </c>
      <c r="F326" s="73">
        <f t="shared" si="50"/>
        <v>89.338499999999996</v>
      </c>
      <c r="G326" s="33">
        <f>IF(F326 = "","",IFERROR(IF($G$1 = "YTM",_xll.CbondsCalcYTM($B$1,D326,F326),_xll.CbondsCalcYTP($B$1,D326,F326)),"")*100)</f>
        <v>8.5999557738091994</v>
      </c>
      <c r="U326" s="74"/>
      <c r="V326" s="74"/>
      <c r="W326" s="74"/>
      <c r="X326" s="74"/>
      <c r="Y326" s="74"/>
      <c r="Z326" s="74"/>
      <c r="AA326" s="74"/>
      <c r="AB326" s="74"/>
      <c r="AC326" s="74"/>
      <c r="AJ326" s="74"/>
      <c r="AK326" s="74"/>
      <c r="AL326" s="74"/>
      <c r="AM326" s="74"/>
      <c r="AN326" s="74"/>
      <c r="AO326" s="74"/>
      <c r="AP326" s="74"/>
      <c r="AQ326" s="74"/>
      <c r="AR326" s="74"/>
      <c r="AS326" s="74"/>
      <c r="BD326" s="74"/>
      <c r="BE326" s="74"/>
      <c r="BF326" s="74"/>
      <c r="BG326" s="74"/>
      <c r="BH326" s="74"/>
      <c r="BI326" s="74"/>
    </row>
    <row r="327" spans="4:61" x14ac:dyDescent="0.3">
      <c r="D327" s="20">
        <f t="shared" si="51"/>
        <v>45698</v>
      </c>
      <c r="E327" s="73">
        <f>_xll.CbondsClosePrice($B$1,D327,VLOOKUP($B$27,'Help Page'!$M:$N,2,0))</f>
        <v>89.299899999999994</v>
      </c>
      <c r="F327" s="73">
        <f t="shared" si="50"/>
        <v>89.299899999999994</v>
      </c>
      <c r="G327" s="33">
        <f>IF(F327 = "","",IFERROR(IF($G$1 = "YTM",_xll.CbondsCalcYTM($B$1,D327,F327),_xll.CbondsCalcYTP($B$1,D327,F327)),"")*100)</f>
        <v>8.6138979013511001</v>
      </c>
      <c r="U327" s="74"/>
      <c r="V327" s="74"/>
      <c r="W327" s="74"/>
      <c r="X327" s="74"/>
      <c r="Y327" s="74"/>
      <c r="Z327" s="74"/>
      <c r="AA327" s="74"/>
      <c r="AB327" s="74"/>
      <c r="AC327" s="74"/>
      <c r="AJ327" s="74"/>
      <c r="AK327" s="74"/>
      <c r="AL327" s="74"/>
      <c r="AM327" s="74"/>
      <c r="AN327" s="74"/>
      <c r="AO327" s="74"/>
      <c r="AP327" s="74"/>
      <c r="AQ327" s="74"/>
      <c r="AR327" s="74"/>
      <c r="AS327" s="74"/>
      <c r="BD327" s="74"/>
      <c r="BE327" s="74"/>
      <c r="BF327" s="74"/>
      <c r="BG327" s="74"/>
      <c r="BH327" s="74"/>
      <c r="BI327" s="74"/>
    </row>
    <row r="328" spans="4:61" x14ac:dyDescent="0.3">
      <c r="D328" s="20">
        <f t="shared" si="51"/>
        <v>45697</v>
      </c>
      <c r="E328" s="73" t="str">
        <f>_xll.CbondsClosePrice($B$1,D328,VLOOKUP($B$27,'Help Page'!$M:$N,2,0))</f>
        <v>Нет данных</v>
      </c>
      <c r="F328" s="73">
        <f t="shared" si="50"/>
        <v>88.999499999999998</v>
      </c>
      <c r="G328" s="33">
        <f>IF(F328 = "","",IFERROR(IF($G$1 = "YTM",_xll.CbondsCalcYTM($B$1,D328,F328),_xll.CbondsCalcYTP($B$1,D328,F328)),"")*100)</f>
        <v>8.7571747309385994</v>
      </c>
      <c r="U328" s="74"/>
      <c r="V328" s="74"/>
      <c r="W328" s="74"/>
      <c r="X328" s="74"/>
      <c r="Y328" s="74"/>
      <c r="Z328" s="74"/>
      <c r="AA328" s="74"/>
      <c r="AB328" s="74"/>
      <c r="AC328" s="74"/>
      <c r="AJ328" s="74"/>
      <c r="AK328" s="74"/>
      <c r="AL328" s="74"/>
      <c r="AM328" s="74"/>
      <c r="AN328" s="74"/>
      <c r="AO328" s="74"/>
      <c r="AP328" s="74"/>
      <c r="AQ328" s="74"/>
      <c r="AR328" s="74"/>
      <c r="AS328" s="74"/>
      <c r="BD328" s="74"/>
      <c r="BE328" s="74"/>
      <c r="BF328" s="74"/>
      <c r="BG328" s="74"/>
      <c r="BH328" s="74"/>
      <c r="BI328" s="74"/>
    </row>
    <row r="329" spans="4:61" x14ac:dyDescent="0.3">
      <c r="D329" s="20">
        <f t="shared" si="51"/>
        <v>45696</v>
      </c>
      <c r="E329" s="73" t="str">
        <f>_xll.CbondsClosePrice($B$1,D329,VLOOKUP($B$27,'Help Page'!$M:$N,2,0))</f>
        <v>Нет данных</v>
      </c>
      <c r="F329" s="73">
        <f t="shared" si="50"/>
        <v>88.999499999999998</v>
      </c>
      <c r="G329" s="33">
        <f>IF(F329 = "","",IFERROR(IF($G$1 = "YTM",_xll.CbondsCalcYTM($B$1,D329,F329),_xll.CbondsCalcYTP($B$1,D329,F329)),"")*100)</f>
        <v>8.7519304493958003</v>
      </c>
      <c r="U329" s="74"/>
      <c r="V329" s="74"/>
      <c r="W329" s="74"/>
      <c r="X329" s="74"/>
      <c r="Y329" s="74"/>
      <c r="Z329" s="74"/>
      <c r="AA329" s="74"/>
      <c r="AB329" s="74"/>
      <c r="AC329" s="74"/>
      <c r="AJ329" s="74"/>
      <c r="AK329" s="74"/>
      <c r="AL329" s="74"/>
      <c r="AM329" s="74"/>
      <c r="AN329" s="74"/>
      <c r="AO329" s="74"/>
      <c r="AP329" s="74"/>
      <c r="AQ329" s="74"/>
      <c r="AR329" s="74"/>
      <c r="AS329" s="74"/>
      <c r="BD329" s="74"/>
      <c r="BE329" s="74"/>
      <c r="BF329" s="74"/>
      <c r="BG329" s="74"/>
      <c r="BH329" s="74"/>
      <c r="BI329" s="74"/>
    </row>
    <row r="330" spans="4:61" x14ac:dyDescent="0.3">
      <c r="D330" s="20">
        <f t="shared" si="51"/>
        <v>45695</v>
      </c>
      <c r="E330" s="73">
        <f>_xll.CbondsClosePrice($B$1,D330,VLOOKUP($B$27,'Help Page'!$M:$N,2,0))</f>
        <v>88.999499999999998</v>
      </c>
      <c r="F330" s="73">
        <f t="shared" si="50"/>
        <v>88.999499999999998</v>
      </c>
      <c r="G330" s="33">
        <f>IF(F330 = "","",IFERROR(IF($G$1 = "YTM",_xll.CbondsCalcYTM($B$1,D330,F330),_xll.CbondsCalcYTP($B$1,D330,F330)),"")*100)</f>
        <v>8.746698687443299</v>
      </c>
      <c r="U330" s="74"/>
      <c r="V330" s="74"/>
      <c r="W330" s="74"/>
      <c r="X330" s="74"/>
      <c r="Y330" s="74"/>
      <c r="Z330" s="74"/>
      <c r="AA330" s="74"/>
      <c r="AB330" s="74"/>
      <c r="AC330" s="74"/>
      <c r="AJ330" s="74"/>
      <c r="AK330" s="74"/>
      <c r="AL330" s="74"/>
      <c r="AM330" s="74"/>
      <c r="AN330" s="74"/>
      <c r="AO330" s="74"/>
      <c r="AP330" s="74"/>
      <c r="AQ330" s="74"/>
      <c r="AR330" s="74"/>
      <c r="AS330" s="74"/>
      <c r="BD330" s="74"/>
      <c r="BE330" s="74"/>
      <c r="BF330" s="74"/>
      <c r="BG330" s="74"/>
      <c r="BH330" s="74"/>
      <c r="BI330" s="74"/>
    </row>
    <row r="331" spans="4:61" x14ac:dyDescent="0.3">
      <c r="D331" s="20">
        <f t="shared" si="51"/>
        <v>45694</v>
      </c>
      <c r="E331" s="73">
        <f>_xll.CbondsClosePrice($B$1,D331,VLOOKUP($B$27,'Help Page'!$M:$N,2,0))</f>
        <v>89</v>
      </c>
      <c r="F331" s="73">
        <f t="shared" si="50"/>
        <v>89</v>
      </c>
      <c r="G331" s="33">
        <f>IF(F331 = "","",IFERROR(IF($G$1 = "YTM",_xll.CbondsCalcYTM($B$1,D331,F331),_xll.CbondsCalcYTP($B$1,D331,F331)),"")*100)</f>
        <v>8.7412326238879992</v>
      </c>
      <c r="U331" s="74"/>
      <c r="V331" s="74"/>
      <c r="W331" s="74"/>
      <c r="X331" s="74"/>
      <c r="Y331" s="74"/>
      <c r="Z331" s="74"/>
      <c r="AA331" s="74"/>
      <c r="AB331" s="74"/>
      <c r="AC331" s="74"/>
      <c r="AJ331" s="74"/>
      <c r="AK331" s="74"/>
      <c r="AL331" s="74"/>
      <c r="AM331" s="74"/>
      <c r="AN331" s="74"/>
      <c r="AO331" s="74"/>
      <c r="AP331" s="74"/>
      <c r="AQ331" s="74"/>
      <c r="AR331" s="74"/>
      <c r="AS331" s="74"/>
      <c r="BD331" s="74"/>
      <c r="BE331" s="74"/>
      <c r="BF331" s="74"/>
      <c r="BG331" s="74"/>
      <c r="BH331" s="74"/>
      <c r="BI331" s="74"/>
    </row>
    <row r="332" spans="4:61" x14ac:dyDescent="0.3">
      <c r="D332" s="20">
        <f t="shared" si="51"/>
        <v>45693</v>
      </c>
      <c r="E332" s="73">
        <f>_xll.CbondsClosePrice($B$1,D332,VLOOKUP($B$27,'Help Page'!$M:$N,2,0))</f>
        <v>88.626400000000004</v>
      </c>
      <c r="F332" s="73">
        <f t="shared" si="50"/>
        <v>88.626400000000004</v>
      </c>
      <c r="G332" s="33">
        <f>IF(F332 = "","",IFERROR(IF($G$1 = "YTM",_xll.CbondsCalcYTM($B$1,D332,F332),_xll.CbondsCalcYTP($B$1,D332,F332)),"")*100)</f>
        <v>8.9212758609333012</v>
      </c>
      <c r="U332" s="74"/>
      <c r="V332" s="74"/>
      <c r="W332" s="74"/>
      <c r="X332" s="74"/>
      <c r="Y332" s="74"/>
      <c r="Z332" s="74"/>
      <c r="AA332" s="74"/>
      <c r="AB332" s="74"/>
      <c r="AC332" s="74"/>
      <c r="AJ332" s="74"/>
      <c r="AK332" s="74"/>
      <c r="AL332" s="74"/>
      <c r="AM332" s="74"/>
      <c r="AN332" s="74"/>
      <c r="AO332" s="74"/>
      <c r="AP332" s="74"/>
      <c r="AQ332" s="74"/>
      <c r="AR332" s="74"/>
      <c r="AS332" s="74"/>
      <c r="BD332" s="74"/>
      <c r="BE332" s="74"/>
      <c r="BF332" s="74"/>
      <c r="BG332" s="74"/>
      <c r="BH332" s="74"/>
      <c r="BI332" s="74"/>
    </row>
    <row r="333" spans="4:61" x14ac:dyDescent="0.3">
      <c r="D333" s="20">
        <f t="shared" si="51"/>
        <v>45692</v>
      </c>
      <c r="E333" s="73">
        <f>_xll.CbondsClosePrice($B$1,D333,VLOOKUP($B$27,'Help Page'!$M:$N,2,0))</f>
        <v>88.600099999999998</v>
      </c>
      <c r="F333" s="73">
        <f t="shared" si="50"/>
        <v>88.600099999999998</v>
      </c>
      <c r="G333" s="33">
        <f>IF(F333 = "","",IFERROR(IF($G$1 = "YTM",_xll.CbondsCalcYTM($B$1,D333,F333),_xll.CbondsCalcYTP($B$1,D333,F333)),"")*100)</f>
        <v>8.9289211863495002</v>
      </c>
      <c r="U333" s="74"/>
      <c r="V333" s="74"/>
      <c r="W333" s="74"/>
      <c r="X333" s="74"/>
      <c r="Y333" s="74"/>
      <c r="Z333" s="74"/>
      <c r="AA333" s="74"/>
      <c r="AB333" s="74"/>
      <c r="AC333" s="74"/>
      <c r="AJ333" s="74"/>
      <c r="AK333" s="74"/>
      <c r="AL333" s="74"/>
      <c r="AM333" s="74"/>
      <c r="AN333" s="74"/>
      <c r="AO333" s="74"/>
      <c r="AP333" s="74"/>
      <c r="AQ333" s="74"/>
      <c r="AR333" s="74"/>
      <c r="AS333" s="74"/>
      <c r="BD333" s="74"/>
      <c r="BE333" s="74"/>
      <c r="BF333" s="74"/>
      <c r="BG333" s="74"/>
      <c r="BH333" s="74"/>
      <c r="BI333" s="74"/>
    </row>
    <row r="334" spans="4:61" x14ac:dyDescent="0.3">
      <c r="D334" s="20">
        <f t="shared" si="51"/>
        <v>45691</v>
      </c>
      <c r="E334" s="73">
        <f>_xll.CbondsClosePrice($B$1,D334,VLOOKUP($B$27,'Help Page'!$M:$N,2,0))</f>
        <v>89.300299999999993</v>
      </c>
      <c r="F334" s="73">
        <f t="shared" si="50"/>
        <v>89.300299999999993</v>
      </c>
      <c r="G334" s="33">
        <f>IF(F334 = "","",IFERROR(IF($G$1 = "YTM",_xll.CbondsCalcYTM($B$1,D334,F334),_xll.CbondsCalcYTP($B$1,D334,F334)),"")*100)</f>
        <v>8.5787481746788998</v>
      </c>
      <c r="U334" s="74"/>
      <c r="V334" s="74"/>
      <c r="W334" s="74"/>
      <c r="X334" s="74"/>
      <c r="Y334" s="74"/>
      <c r="Z334" s="74"/>
      <c r="AA334" s="74"/>
      <c r="AB334" s="74"/>
      <c r="AC334" s="74"/>
      <c r="AJ334" s="74"/>
      <c r="AK334" s="74"/>
      <c r="AL334" s="74"/>
      <c r="AM334" s="74"/>
      <c r="AN334" s="74"/>
      <c r="AO334" s="74"/>
      <c r="AP334" s="74"/>
      <c r="AQ334" s="74"/>
      <c r="AR334" s="74"/>
      <c r="AS334" s="74"/>
      <c r="BD334" s="74"/>
      <c r="BE334" s="74"/>
      <c r="BF334" s="74"/>
      <c r="BG334" s="74"/>
      <c r="BH334" s="74"/>
      <c r="BI334" s="74"/>
    </row>
    <row r="335" spans="4:61" x14ac:dyDescent="0.3">
      <c r="D335" s="20">
        <f t="shared" si="51"/>
        <v>45690</v>
      </c>
      <c r="E335" s="73" t="str">
        <f>_xll.CbondsClosePrice($B$1,D335,VLOOKUP($B$27,'Help Page'!$M:$N,2,0))</f>
        <v>Нет данных</v>
      </c>
      <c r="F335" s="73">
        <f t="shared" si="50"/>
        <v>89.241</v>
      </c>
      <c r="G335" s="33">
        <f>IF(F335 = "","",IFERROR(IF($G$1 = "YTM",_xll.CbondsCalcYTM($B$1,D335,F335),_xll.CbondsCalcYTP($B$1,D335,F335)),"")*100)</f>
        <v>8.6027516170519007</v>
      </c>
      <c r="U335" s="74"/>
      <c r="V335" s="74"/>
      <c r="W335" s="74"/>
      <c r="X335" s="74"/>
      <c r="Y335" s="74"/>
      <c r="Z335" s="74"/>
      <c r="AA335" s="74"/>
      <c r="AB335" s="74"/>
      <c r="AC335" s="74"/>
      <c r="AJ335" s="74"/>
      <c r="AK335" s="74"/>
      <c r="AL335" s="74"/>
      <c r="AM335" s="74"/>
      <c r="AN335" s="74"/>
      <c r="AO335" s="74"/>
      <c r="AP335" s="74"/>
      <c r="AQ335" s="74"/>
      <c r="AR335" s="74"/>
      <c r="AS335" s="74"/>
      <c r="BD335" s="74"/>
      <c r="BE335" s="74"/>
      <c r="BF335" s="74"/>
      <c r="BG335" s="74"/>
      <c r="BH335" s="74"/>
      <c r="BI335" s="74"/>
    </row>
    <row r="336" spans="4:61" x14ac:dyDescent="0.3">
      <c r="D336" s="20">
        <f t="shared" si="51"/>
        <v>45689</v>
      </c>
      <c r="E336" s="73" t="str">
        <f>_xll.CbondsClosePrice($B$1,D336,VLOOKUP($B$27,'Help Page'!$M:$N,2,0))</f>
        <v>Нет данных</v>
      </c>
      <c r="F336" s="73">
        <f t="shared" si="50"/>
        <v>89.241</v>
      </c>
      <c r="G336" s="33">
        <f>IF(F336 = "","",IFERROR(IF($G$1 = "YTM",_xll.CbondsCalcYTM($B$1,D336,F336),_xll.CbondsCalcYTP($B$1,D336,F336)),"")*100)</f>
        <v>8.5977175902411993</v>
      </c>
      <c r="U336" s="74"/>
      <c r="V336" s="74"/>
      <c r="W336" s="74"/>
      <c r="X336" s="74"/>
      <c r="Y336" s="74"/>
      <c r="Z336" s="74"/>
      <c r="AA336" s="74"/>
      <c r="AB336" s="74"/>
      <c r="AC336" s="74"/>
      <c r="AJ336" s="74"/>
      <c r="AK336" s="74"/>
      <c r="AL336" s="74"/>
      <c r="AM336" s="74"/>
      <c r="AN336" s="74"/>
      <c r="AO336" s="74"/>
      <c r="AP336" s="74"/>
      <c r="AQ336" s="74"/>
      <c r="AR336" s="74"/>
      <c r="AS336" s="74"/>
      <c r="BD336" s="74"/>
      <c r="BE336" s="74"/>
      <c r="BF336" s="74"/>
      <c r="BG336" s="74"/>
      <c r="BH336" s="74"/>
      <c r="BI336" s="74"/>
    </row>
    <row r="337" spans="4:61" x14ac:dyDescent="0.3">
      <c r="D337" s="20">
        <f t="shared" si="51"/>
        <v>45688</v>
      </c>
      <c r="E337" s="73">
        <f>_xll.CbondsClosePrice($B$1,D337,VLOOKUP($B$27,'Help Page'!$M:$N,2,0))</f>
        <v>89.241</v>
      </c>
      <c r="F337" s="73">
        <f t="shared" si="50"/>
        <v>89.241</v>
      </c>
      <c r="G337" s="33">
        <f>IF(F337 = "","",IFERROR(IF($G$1 = "YTM",_xll.CbondsCalcYTM($B$1,D337,F337),_xll.CbondsCalcYTP($B$1,D337,F337)),"")*100)</f>
        <v>8.5926954973001006</v>
      </c>
      <c r="U337" s="74"/>
      <c r="V337" s="74"/>
      <c r="W337" s="74"/>
      <c r="X337" s="74"/>
      <c r="Y337" s="74"/>
      <c r="Z337" s="74"/>
      <c r="AA337" s="74"/>
      <c r="AB337" s="74"/>
      <c r="AC337" s="74"/>
      <c r="AJ337" s="74"/>
      <c r="AK337" s="74"/>
      <c r="AL337" s="74"/>
      <c r="AM337" s="74"/>
      <c r="AN337" s="74"/>
      <c r="AO337" s="74"/>
      <c r="AP337" s="74"/>
      <c r="AQ337" s="74"/>
      <c r="AR337" s="74"/>
      <c r="AS337" s="74"/>
      <c r="BD337" s="74"/>
      <c r="BE337" s="74"/>
      <c r="BF337" s="74"/>
      <c r="BG337" s="74"/>
      <c r="BH337" s="74"/>
      <c r="BI337" s="74"/>
    </row>
    <row r="338" spans="4:61" x14ac:dyDescent="0.3">
      <c r="D338" s="20">
        <f t="shared" si="51"/>
        <v>45687</v>
      </c>
      <c r="E338" s="73">
        <f>_xll.CbondsClosePrice($B$1,D338,VLOOKUP($B$27,'Help Page'!$M:$N,2,0))</f>
        <v>88.722399999999993</v>
      </c>
      <c r="F338" s="73">
        <f t="shared" si="50"/>
        <v>88.722399999999993</v>
      </c>
      <c r="G338" s="33">
        <f>IF(F338 = "","",IFERROR(IF($G$1 = "YTM",_xll.CbondsCalcYTM($B$1,D338,F338),_xll.CbondsCalcYTP($B$1,D338,F338)),"")*100)</f>
        <v>8.8418497179393007</v>
      </c>
      <c r="U338" s="74"/>
      <c r="V338" s="74"/>
      <c r="W338" s="74"/>
      <c r="X338" s="74"/>
      <c r="Y338" s="74"/>
      <c r="Z338" s="74"/>
      <c r="AA338" s="74"/>
      <c r="AB338" s="74"/>
      <c r="AC338" s="74"/>
      <c r="AJ338" s="74"/>
      <c r="AK338" s="74"/>
      <c r="AL338" s="74"/>
      <c r="AM338" s="74"/>
      <c r="AN338" s="74"/>
      <c r="AO338" s="74"/>
      <c r="AP338" s="74"/>
      <c r="AQ338" s="74"/>
      <c r="AR338" s="74"/>
      <c r="AS338" s="74"/>
      <c r="BD338" s="74"/>
      <c r="BE338" s="74"/>
      <c r="BF338" s="74"/>
      <c r="BG338" s="74"/>
      <c r="BH338" s="74"/>
      <c r="BI338" s="74"/>
    </row>
    <row r="339" spans="4:61" x14ac:dyDescent="0.3">
      <c r="D339" s="20">
        <f t="shared" si="51"/>
        <v>45686</v>
      </c>
      <c r="E339" s="73">
        <f>_xll.CbondsClosePrice($B$1,D339,VLOOKUP($B$27,'Help Page'!$M:$N,2,0))</f>
        <v>86.9482</v>
      </c>
      <c r="F339" s="73">
        <f t="shared" si="50"/>
        <v>86.9482</v>
      </c>
      <c r="G339" s="33">
        <f>IF(F339 = "","",IFERROR(IF($G$1 = "YTM",_xll.CbondsCalcYTM($B$1,D339,F339),_xll.CbondsCalcYTP($B$1,D339,F339)),"")*100)</f>
        <v>9.7220275981524988</v>
      </c>
      <c r="U339" s="74"/>
      <c r="V339" s="74"/>
      <c r="W339" s="74"/>
      <c r="X339" s="74"/>
      <c r="Y339" s="74"/>
      <c r="Z339" s="74"/>
      <c r="AA339" s="74"/>
      <c r="AB339" s="74"/>
      <c r="AC339" s="74"/>
      <c r="AJ339" s="74"/>
      <c r="AK339" s="74"/>
      <c r="AL339" s="74"/>
      <c r="AM339" s="74"/>
      <c r="AN339" s="74"/>
      <c r="AO339" s="74"/>
      <c r="AP339" s="74"/>
      <c r="AQ339" s="74"/>
      <c r="AR339" s="74"/>
      <c r="AS339" s="74"/>
      <c r="BD339" s="74"/>
      <c r="BE339" s="74"/>
      <c r="BF339" s="74"/>
      <c r="BG339" s="74"/>
      <c r="BH339" s="74"/>
      <c r="BI339" s="74"/>
    </row>
    <row r="340" spans="4:61" x14ac:dyDescent="0.3">
      <c r="D340" s="20">
        <f t="shared" si="51"/>
        <v>45685</v>
      </c>
      <c r="E340" s="73">
        <f>_xll.CbondsClosePrice($B$1,D340,VLOOKUP($B$27,'Help Page'!$M:$N,2,0))</f>
        <v>87.24</v>
      </c>
      <c r="F340" s="73">
        <f t="shared" si="50"/>
        <v>87.24</v>
      </c>
      <c r="G340" s="33">
        <f>IF(F340 = "","",IFERROR(IF($G$1 = "YTM",_xll.CbondsCalcYTM($B$1,D340,F340),_xll.CbondsCalcYTP($B$1,D340,F340)),"")*100)</f>
        <v>9.5686908129874002</v>
      </c>
      <c r="U340" s="74"/>
      <c r="V340" s="74"/>
      <c r="W340" s="74"/>
      <c r="X340" s="74"/>
      <c r="Y340" s="74"/>
      <c r="Z340" s="74"/>
      <c r="AA340" s="74"/>
      <c r="AB340" s="74"/>
      <c r="AC340" s="74"/>
      <c r="AJ340" s="74"/>
      <c r="AK340" s="74"/>
      <c r="AL340" s="74"/>
      <c r="AM340" s="74"/>
      <c r="AN340" s="74"/>
      <c r="AO340" s="74"/>
      <c r="AP340" s="74"/>
      <c r="AQ340" s="74"/>
      <c r="AR340" s="74"/>
      <c r="AS340" s="74"/>
      <c r="BD340" s="74"/>
      <c r="BE340" s="74"/>
      <c r="BF340" s="74"/>
      <c r="BG340" s="74"/>
      <c r="BH340" s="74"/>
      <c r="BI340" s="74"/>
    </row>
    <row r="341" spans="4:61" x14ac:dyDescent="0.3">
      <c r="D341" s="20">
        <f t="shared" si="51"/>
        <v>45684</v>
      </c>
      <c r="E341" s="73">
        <f>_xll.CbondsClosePrice($B$1,D341,VLOOKUP($B$27,'Help Page'!$M:$N,2,0))</f>
        <v>87.111500000000007</v>
      </c>
      <c r="F341" s="73">
        <f t="shared" si="50"/>
        <v>87.111500000000007</v>
      </c>
      <c r="G341" s="33">
        <f>IF(F341 = "","",IFERROR(IF($G$1 = "YTM",_xll.CbondsCalcYTM($B$1,D341,F341),_xll.CbondsCalcYTP($B$1,D341,F341)),"")*100)</f>
        <v>9.6273313177504996</v>
      </c>
      <c r="U341" s="74"/>
      <c r="V341" s="74"/>
      <c r="W341" s="74"/>
      <c r="X341" s="74"/>
      <c r="Y341" s="74"/>
      <c r="Z341" s="74"/>
      <c r="AA341" s="74"/>
      <c r="AB341" s="74"/>
      <c r="AC341" s="74"/>
      <c r="AJ341" s="74"/>
      <c r="AK341" s="74"/>
      <c r="AL341" s="74"/>
      <c r="AM341" s="74"/>
      <c r="AN341" s="74"/>
      <c r="AO341" s="74"/>
      <c r="AP341" s="74"/>
      <c r="AQ341" s="74"/>
      <c r="AR341" s="74"/>
      <c r="AS341" s="74"/>
      <c r="BD341" s="74"/>
      <c r="BE341" s="74"/>
      <c r="BF341" s="74"/>
      <c r="BG341" s="74"/>
      <c r="BH341" s="74"/>
      <c r="BI341" s="74"/>
    </row>
    <row r="342" spans="4:61" x14ac:dyDescent="0.3">
      <c r="D342" s="20">
        <f t="shared" si="51"/>
        <v>45683</v>
      </c>
      <c r="E342" s="73" t="str">
        <f>_xll.CbondsClosePrice($B$1,D342,VLOOKUP($B$27,'Help Page'!$M:$N,2,0))</f>
        <v>Нет данных</v>
      </c>
      <c r="F342" s="73">
        <f t="shared" si="50"/>
        <v>87.11</v>
      </c>
      <c r="G342" s="33">
        <f>IF(F342 = "","",IFERROR(IF($G$1 = "YTM",_xll.CbondsCalcYTM($B$1,D342,F342),_xll.CbondsCalcYTP($B$1,D342,F342)),"")*100)</f>
        <v>9.6220233830288002</v>
      </c>
      <c r="U342" s="74"/>
      <c r="V342" s="74"/>
      <c r="W342" s="74"/>
      <c r="X342" s="74"/>
      <c r="Y342" s="74"/>
      <c r="Z342" s="74"/>
      <c r="AA342" s="74"/>
      <c r="AB342" s="74"/>
      <c r="AC342" s="74"/>
      <c r="AJ342" s="74"/>
      <c r="AK342" s="74"/>
      <c r="AL342" s="74"/>
      <c r="AM342" s="74"/>
      <c r="AN342" s="74"/>
      <c r="AO342" s="74"/>
      <c r="AP342" s="74"/>
      <c r="AQ342" s="74"/>
      <c r="AR342" s="74"/>
      <c r="AS342" s="74"/>
      <c r="BD342" s="74"/>
      <c r="BE342" s="74"/>
      <c r="BF342" s="74"/>
      <c r="BG342" s="74"/>
      <c r="BH342" s="74"/>
      <c r="BI342" s="74"/>
    </row>
    <row r="343" spans="4:61" x14ac:dyDescent="0.3">
      <c r="D343" s="20">
        <f t="shared" si="51"/>
        <v>45682</v>
      </c>
      <c r="E343" s="73" t="str">
        <f>_xll.CbondsClosePrice($B$1,D343,VLOOKUP($B$27,'Help Page'!$M:$N,2,0))</f>
        <v>Нет данных</v>
      </c>
      <c r="F343" s="73">
        <f t="shared" si="50"/>
        <v>87.11</v>
      </c>
      <c r="G343" s="33">
        <f>IF(F343 = "","",IFERROR(IF($G$1 = "YTM",_xll.CbondsCalcYTM($B$1,D343,F343),_xll.CbondsCalcYTP($B$1,D343,F343)),"")*100)</f>
        <v>9.6159742524489005</v>
      </c>
      <c r="U343" s="74"/>
      <c r="V343" s="74"/>
      <c r="W343" s="74"/>
      <c r="X343" s="74"/>
      <c r="Y343" s="74"/>
      <c r="Z343" s="74"/>
      <c r="AA343" s="74"/>
      <c r="AB343" s="74"/>
      <c r="AC343" s="74"/>
      <c r="AJ343" s="74"/>
      <c r="AK343" s="74"/>
      <c r="AL343" s="74"/>
      <c r="AM343" s="74"/>
      <c r="AN343" s="74"/>
      <c r="AO343" s="74"/>
      <c r="AP343" s="74"/>
      <c r="AQ343" s="74"/>
      <c r="AR343" s="74"/>
      <c r="AS343" s="74"/>
      <c r="BD343" s="74"/>
      <c r="BE343" s="74"/>
      <c r="BF343" s="74"/>
      <c r="BG343" s="74"/>
      <c r="BH343" s="74"/>
      <c r="BI343" s="74"/>
    </row>
    <row r="344" spans="4:61" x14ac:dyDescent="0.3">
      <c r="D344" s="20">
        <f t="shared" si="51"/>
        <v>45681</v>
      </c>
      <c r="E344" s="73">
        <f>_xll.CbondsClosePrice($B$1,D344,VLOOKUP($B$27,'Help Page'!$M:$N,2,0))</f>
        <v>87.11</v>
      </c>
      <c r="F344" s="73">
        <f t="shared" si="50"/>
        <v>87.11</v>
      </c>
      <c r="G344" s="33">
        <f>IF(F344 = "","",IFERROR(IF($G$1 = "YTM",_xll.CbondsCalcYTM($B$1,D344,F344),_xll.CbondsCalcYTP($B$1,D344,F344)),"")*100)</f>
        <v>9.6099393476903998</v>
      </c>
      <c r="U344" s="74"/>
      <c r="V344" s="74"/>
      <c r="W344" s="74"/>
      <c r="X344" s="74"/>
      <c r="Y344" s="74"/>
      <c r="Z344" s="74"/>
      <c r="AA344" s="74"/>
      <c r="AB344" s="74"/>
      <c r="AC344" s="74"/>
      <c r="AJ344" s="74"/>
      <c r="AK344" s="74"/>
      <c r="AL344" s="74"/>
      <c r="AM344" s="74"/>
      <c r="AN344" s="74"/>
      <c r="AO344" s="74"/>
      <c r="AP344" s="74"/>
      <c r="AQ344" s="74"/>
      <c r="AR344" s="74"/>
      <c r="AS344" s="74"/>
      <c r="BD344" s="74"/>
      <c r="BE344" s="74"/>
      <c r="BF344" s="74"/>
      <c r="BG344" s="74"/>
      <c r="BH344" s="74"/>
      <c r="BI344" s="74"/>
    </row>
    <row r="345" spans="4:61" x14ac:dyDescent="0.3">
      <c r="D345" s="20">
        <f t="shared" si="51"/>
        <v>45680</v>
      </c>
      <c r="E345" s="73">
        <f>_xll.CbondsClosePrice($B$1,D345,VLOOKUP($B$27,'Help Page'!$M:$N,2,0))</f>
        <v>87.27</v>
      </c>
      <c r="F345" s="73">
        <f t="shared" si="50"/>
        <v>87.27</v>
      </c>
      <c r="G345" s="33">
        <f>IF(F345 = "","",IFERROR(IF($G$1 = "YTM",_xll.CbondsCalcYTM($B$1,D345,F345),_xll.CbondsCalcYTP($B$1,D345,F345)),"")*100)</f>
        <v>9.5237756099727999</v>
      </c>
      <c r="U345" s="74"/>
      <c r="V345" s="74"/>
      <c r="W345" s="74"/>
      <c r="X345" s="74"/>
      <c r="Y345" s="74"/>
      <c r="Z345" s="74"/>
      <c r="AA345" s="74"/>
      <c r="AB345" s="74"/>
      <c r="AC345" s="74"/>
      <c r="AJ345" s="74"/>
      <c r="AK345" s="74"/>
      <c r="AL345" s="74"/>
      <c r="AM345" s="74"/>
      <c r="AN345" s="74"/>
      <c r="AO345" s="74"/>
      <c r="AP345" s="74"/>
      <c r="AQ345" s="74"/>
      <c r="AR345" s="74"/>
      <c r="AS345" s="74"/>
      <c r="BD345" s="74"/>
      <c r="BE345" s="74"/>
      <c r="BF345" s="74"/>
      <c r="BG345" s="74"/>
      <c r="BH345" s="74"/>
      <c r="BI345" s="74"/>
    </row>
    <row r="346" spans="4:61" x14ac:dyDescent="0.3">
      <c r="D346" s="20">
        <f t="shared" si="51"/>
        <v>45679</v>
      </c>
      <c r="E346" s="73">
        <f>_xll.CbondsClosePrice($B$1,D346,VLOOKUP($B$27,'Help Page'!$M:$N,2,0))</f>
        <v>87.249899999999997</v>
      </c>
      <c r="F346" s="73">
        <f t="shared" si="50"/>
        <v>87.249899999999997</v>
      </c>
      <c r="G346" s="33">
        <f>IF(F346 = "","",IFERROR(IF($G$1 = "YTM",_xll.CbondsCalcYTM($B$1,D346,F346),_xll.CbondsCalcYTP($B$1,D346,F346)),"")*100)</f>
        <v>9.5283983065920985</v>
      </c>
      <c r="U346" s="74"/>
      <c r="V346" s="74"/>
      <c r="W346" s="74"/>
      <c r="X346" s="74"/>
      <c r="Y346" s="74"/>
      <c r="Z346" s="74"/>
      <c r="AA346" s="74"/>
      <c r="AB346" s="74"/>
      <c r="AC346" s="74"/>
      <c r="AJ346" s="74"/>
      <c r="AK346" s="74"/>
      <c r="AL346" s="74"/>
      <c r="AM346" s="74"/>
      <c r="AN346" s="74"/>
      <c r="AO346" s="74"/>
      <c r="AP346" s="74"/>
      <c r="AQ346" s="74"/>
      <c r="AR346" s="74"/>
      <c r="AS346" s="74"/>
      <c r="BD346" s="74"/>
      <c r="BE346" s="74"/>
      <c r="BF346" s="74"/>
      <c r="BG346" s="74"/>
      <c r="BH346" s="74"/>
      <c r="BI346" s="74"/>
    </row>
    <row r="347" spans="4:61" x14ac:dyDescent="0.3">
      <c r="D347" s="20">
        <f t="shared" si="51"/>
        <v>45678</v>
      </c>
      <c r="E347" s="73">
        <f>_xll.CbondsClosePrice($B$1,D347,VLOOKUP($B$27,'Help Page'!$M:$N,2,0))</f>
        <v>87.008899999999997</v>
      </c>
      <c r="F347" s="73">
        <f t="shared" si="50"/>
        <v>87.008899999999997</v>
      </c>
      <c r="G347" s="33">
        <f>IF(F347 = "","",IFERROR(IF($G$1 = "YTM",_xll.CbondsCalcYTM($B$1,D347,F347),_xll.CbondsCalcYTP($B$1,D347,F347)),"")*100)</f>
        <v>9.6430641327517996</v>
      </c>
      <c r="U347" s="74"/>
      <c r="V347" s="74"/>
      <c r="W347" s="74"/>
      <c r="X347" s="74"/>
      <c r="Y347" s="74"/>
      <c r="Z347" s="74"/>
      <c r="AA347" s="74"/>
      <c r="AB347" s="74"/>
      <c r="AC347" s="74"/>
      <c r="AJ347" s="74"/>
      <c r="AK347" s="74"/>
      <c r="AL347" s="74"/>
      <c r="AM347" s="74"/>
      <c r="AN347" s="74"/>
      <c r="AO347" s="74"/>
      <c r="AP347" s="74"/>
      <c r="AQ347" s="74"/>
      <c r="AR347" s="74"/>
      <c r="AS347" s="74"/>
      <c r="BD347" s="74"/>
      <c r="BE347" s="74"/>
      <c r="BF347" s="74"/>
      <c r="BG347" s="74"/>
      <c r="BH347" s="74"/>
      <c r="BI347" s="74"/>
    </row>
    <row r="348" spans="4:61" x14ac:dyDescent="0.3">
      <c r="D348" s="20">
        <f t="shared" si="51"/>
        <v>45677</v>
      </c>
      <c r="E348" s="73">
        <f>_xll.CbondsClosePrice($B$1,D348,VLOOKUP($B$27,'Help Page'!$M:$N,2,0))</f>
        <v>86</v>
      </c>
      <c r="F348" s="73">
        <f t="shared" si="50"/>
        <v>86</v>
      </c>
      <c r="G348" s="33">
        <f>IF(F348 = "","",IFERROR(IF($G$1 = "YTM",_xll.CbondsCalcYTM($B$1,D348,F348),_xll.CbondsCalcYTP($B$1,D348,F348)),"")*100)</f>
        <v>10.146538372779</v>
      </c>
      <c r="U348" s="74"/>
      <c r="V348" s="74"/>
      <c r="W348" s="74"/>
      <c r="X348" s="74"/>
      <c r="Y348" s="74"/>
      <c r="Z348" s="74"/>
      <c r="AA348" s="74"/>
      <c r="AB348" s="74"/>
      <c r="AC348" s="74"/>
      <c r="AJ348" s="74"/>
      <c r="AK348" s="74"/>
      <c r="AL348" s="74"/>
      <c r="AM348" s="74"/>
      <c r="AN348" s="74"/>
      <c r="AO348" s="74"/>
      <c r="AP348" s="74"/>
      <c r="AQ348" s="74"/>
      <c r="AR348" s="74"/>
      <c r="AS348" s="74"/>
      <c r="BD348" s="74"/>
      <c r="BE348" s="74"/>
      <c r="BF348" s="74"/>
      <c r="BG348" s="74"/>
      <c r="BH348" s="74"/>
      <c r="BI348" s="74"/>
    </row>
    <row r="349" spans="4:61" x14ac:dyDescent="0.3">
      <c r="D349" s="20">
        <f t="shared" si="51"/>
        <v>45676</v>
      </c>
      <c r="E349" s="73" t="str">
        <f>_xll.CbondsClosePrice($B$1,D349,VLOOKUP($B$27,'Help Page'!$M:$N,2,0))</f>
        <v>Нет данных</v>
      </c>
      <c r="F349" s="73">
        <f t="shared" si="50"/>
        <v>86.860100000000003</v>
      </c>
      <c r="G349" s="33">
        <f>IF(F349 = "","",IFERROR(IF($G$1 = "YTM",_xll.CbondsCalcYTM($B$1,D349,F349),_xll.CbondsCalcYTP($B$1,D349,F349)),"")*100)</f>
        <v>9.7055514906361999</v>
      </c>
      <c r="U349" s="74"/>
      <c r="V349" s="74"/>
      <c r="W349" s="74"/>
      <c r="X349" s="74"/>
      <c r="Y349" s="74"/>
      <c r="Z349" s="74"/>
      <c r="AA349" s="74"/>
      <c r="AB349" s="74"/>
      <c r="AC349" s="74"/>
      <c r="AJ349" s="74"/>
      <c r="AK349" s="74"/>
      <c r="AL349" s="74"/>
      <c r="AM349" s="74"/>
      <c r="AN349" s="74"/>
      <c r="AO349" s="74"/>
      <c r="AP349" s="74"/>
      <c r="AQ349" s="74"/>
      <c r="AR349" s="74"/>
      <c r="AS349" s="74"/>
      <c r="BD349" s="74"/>
      <c r="BE349" s="74"/>
      <c r="BF349" s="74"/>
      <c r="BG349" s="74"/>
      <c r="BH349" s="74"/>
      <c r="BI349" s="74"/>
    </row>
    <row r="350" spans="4:61" x14ac:dyDescent="0.3">
      <c r="D350" s="20">
        <f t="shared" si="51"/>
        <v>45675</v>
      </c>
      <c r="E350" s="73" t="str">
        <f>_xll.CbondsClosePrice($B$1,D350,VLOOKUP($B$27,'Help Page'!$M:$N,2,0))</f>
        <v>Нет данных</v>
      </c>
      <c r="F350" s="73">
        <f t="shared" si="50"/>
        <v>86.860100000000003</v>
      </c>
      <c r="G350" s="33">
        <f>IF(F350 = "","",IFERROR(IF($G$1 = "YTM",_xll.CbondsCalcYTM($B$1,D350,F350),_xll.CbondsCalcYTP($B$1,D350,F350)),"")*100)</f>
        <v>9.6994707648174998</v>
      </c>
      <c r="U350" s="74"/>
      <c r="V350" s="74"/>
      <c r="W350" s="74"/>
      <c r="X350" s="74"/>
      <c r="Y350" s="74"/>
      <c r="Z350" s="74"/>
      <c r="AA350" s="74"/>
      <c r="AB350" s="74"/>
      <c r="AC350" s="74"/>
      <c r="AJ350" s="74"/>
      <c r="AK350" s="74"/>
      <c r="AL350" s="74"/>
      <c r="AM350" s="74"/>
      <c r="AN350" s="74"/>
      <c r="AO350" s="74"/>
      <c r="AP350" s="74"/>
      <c r="AQ350" s="74"/>
      <c r="AR350" s="74"/>
      <c r="AS350" s="74"/>
      <c r="BD350" s="74"/>
      <c r="BE350" s="74"/>
      <c r="BF350" s="74"/>
      <c r="BG350" s="74"/>
      <c r="BH350" s="74"/>
      <c r="BI350" s="74"/>
    </row>
    <row r="351" spans="4:61" x14ac:dyDescent="0.3">
      <c r="D351" s="20">
        <f t="shared" si="51"/>
        <v>45674</v>
      </c>
      <c r="E351" s="73">
        <f>_xll.CbondsClosePrice($B$1,D351,VLOOKUP($B$27,'Help Page'!$M:$N,2,0))</f>
        <v>86.860100000000003</v>
      </c>
      <c r="F351" s="73">
        <f t="shared" si="50"/>
        <v>86.860100000000003</v>
      </c>
      <c r="G351" s="33">
        <f>IF(F351 = "","",IFERROR(IF($G$1 = "YTM",_xll.CbondsCalcYTM($B$1,D351,F351),_xll.CbondsCalcYTP($B$1,D351,F351)),"")*100)</f>
        <v>9.6934042367991999</v>
      </c>
      <c r="U351" s="74"/>
      <c r="V351" s="74"/>
      <c r="W351" s="74"/>
      <c r="X351" s="74"/>
      <c r="Y351" s="74"/>
      <c r="Z351" s="74"/>
      <c r="AA351" s="74"/>
      <c r="AB351" s="74"/>
      <c r="AC351" s="74"/>
      <c r="AJ351" s="74"/>
      <c r="AK351" s="74"/>
      <c r="AL351" s="74"/>
      <c r="AM351" s="74"/>
      <c r="AN351" s="74"/>
      <c r="AO351" s="74"/>
      <c r="AP351" s="74"/>
      <c r="AQ351" s="74"/>
      <c r="AR351" s="74"/>
      <c r="AS351" s="74"/>
      <c r="BD351" s="74"/>
      <c r="BE351" s="74"/>
      <c r="BF351" s="74"/>
      <c r="BG351" s="74"/>
      <c r="BH351" s="74"/>
      <c r="BI351" s="74"/>
    </row>
    <row r="352" spans="4:61" x14ac:dyDescent="0.3">
      <c r="D352" s="20">
        <f t="shared" si="51"/>
        <v>45673</v>
      </c>
      <c r="E352" s="73">
        <f>_xll.CbondsClosePrice($B$1,D352,VLOOKUP($B$27,'Help Page'!$M:$N,2,0))</f>
        <v>86.656700000000001</v>
      </c>
      <c r="F352" s="73">
        <f t="shared" si="50"/>
        <v>86.656700000000001</v>
      </c>
      <c r="G352" s="33">
        <f>IF(F352 = "","",IFERROR(IF($G$1 = "YTM",_xll.CbondsCalcYTM($B$1,D352,F352),_xll.CbondsCalcYTP($B$1,D352,F352)),"")*100)</f>
        <v>9.7892165261279995</v>
      </c>
      <c r="U352" s="74"/>
      <c r="V352" s="74"/>
      <c r="W352" s="74"/>
      <c r="X352" s="74"/>
      <c r="Y352" s="74"/>
      <c r="Z352" s="74"/>
      <c r="AA352" s="74"/>
      <c r="AB352" s="74"/>
      <c r="AC352" s="74"/>
      <c r="AJ352" s="74"/>
      <c r="AK352" s="74"/>
      <c r="AL352" s="74"/>
      <c r="AM352" s="74"/>
      <c r="AN352" s="74"/>
      <c r="AO352" s="74"/>
      <c r="AP352" s="74"/>
      <c r="AQ352" s="74"/>
      <c r="AR352" s="74"/>
      <c r="AS352" s="74"/>
      <c r="BD352" s="74"/>
      <c r="BE352" s="74"/>
      <c r="BF352" s="74"/>
      <c r="BG352" s="74"/>
      <c r="BH352" s="74"/>
      <c r="BI352" s="74"/>
    </row>
    <row r="353" spans="4:61" x14ac:dyDescent="0.3">
      <c r="D353" s="20">
        <f t="shared" si="51"/>
        <v>45672</v>
      </c>
      <c r="E353" s="73">
        <f>_xll.CbondsClosePrice($B$1,D353,VLOOKUP($B$27,'Help Page'!$M:$N,2,0))</f>
        <v>86.750600000000006</v>
      </c>
      <c r="F353" s="73">
        <f t="shared" si="50"/>
        <v>86.750600000000006</v>
      </c>
      <c r="G353" s="33">
        <f>IF(F353 = "","",IFERROR(IF($G$1 = "YTM",_xll.CbondsCalcYTM($B$1,D353,F353),_xll.CbondsCalcYTP($B$1,D353,F353)),"")*100)</f>
        <v>9.7360532718412998</v>
      </c>
      <c r="U353" s="74"/>
      <c r="V353" s="74"/>
      <c r="W353" s="74"/>
      <c r="X353" s="74"/>
      <c r="Y353" s="74"/>
      <c r="Z353" s="74"/>
      <c r="AA353" s="74"/>
      <c r="AB353" s="74"/>
      <c r="AC353" s="74"/>
      <c r="AJ353" s="74"/>
      <c r="AK353" s="74"/>
      <c r="AL353" s="74"/>
      <c r="AM353" s="74"/>
      <c r="AN353" s="74"/>
      <c r="AO353" s="74"/>
      <c r="AP353" s="74"/>
      <c r="AQ353" s="74"/>
      <c r="AR353" s="74"/>
      <c r="AS353" s="74"/>
      <c r="BD353" s="74"/>
      <c r="BE353" s="74"/>
      <c r="BF353" s="74"/>
      <c r="BG353" s="74"/>
      <c r="BH353" s="74"/>
      <c r="BI353" s="74"/>
    </row>
    <row r="354" spans="4:61" x14ac:dyDescent="0.3">
      <c r="D354" s="20">
        <f t="shared" si="51"/>
        <v>45671</v>
      </c>
      <c r="E354" s="73">
        <f>_xll.CbondsClosePrice($B$1,D354,VLOOKUP($B$27,'Help Page'!$M:$N,2,0))</f>
        <v>86.721900000000005</v>
      </c>
      <c r="F354" s="73">
        <f t="shared" si="50"/>
        <v>86.721900000000005</v>
      </c>
      <c r="G354" s="33">
        <f>IF(F354 = "","",IFERROR(IF($G$1 = "YTM",_xll.CbondsCalcYTM($B$1,D354,F354),_xll.CbondsCalcYTP($B$1,D354,F354)),"")*100)</f>
        <v>9.7448214148402013</v>
      </c>
      <c r="U354" s="74"/>
      <c r="V354" s="74"/>
      <c r="W354" s="74"/>
      <c r="X354" s="74"/>
      <c r="Y354" s="74"/>
      <c r="Z354" s="74"/>
      <c r="AA354" s="74"/>
      <c r="AB354" s="74"/>
      <c r="AC354" s="74"/>
      <c r="AJ354" s="74"/>
      <c r="AK354" s="74"/>
      <c r="AL354" s="74"/>
      <c r="AM354" s="74"/>
      <c r="AN354" s="74"/>
      <c r="AO354" s="74"/>
      <c r="AP354" s="74"/>
      <c r="AQ354" s="74"/>
      <c r="AR354" s="74"/>
      <c r="AS354" s="74"/>
      <c r="BD354" s="74"/>
      <c r="BE354" s="74"/>
      <c r="BF354" s="74"/>
      <c r="BG354" s="74"/>
      <c r="BH354" s="74"/>
      <c r="BI354" s="74"/>
    </row>
    <row r="355" spans="4:61" x14ac:dyDescent="0.3">
      <c r="D355" s="20">
        <f t="shared" si="51"/>
        <v>45670</v>
      </c>
      <c r="E355" s="73">
        <f>_xll.CbondsClosePrice($B$1,D355,VLOOKUP($B$27,'Help Page'!$M:$N,2,0))</f>
        <v>86.979900000000001</v>
      </c>
      <c r="F355" s="73">
        <f t="shared" si="50"/>
        <v>86.979900000000001</v>
      </c>
      <c r="G355" s="33">
        <f>IF(F355 = "","",IFERROR(IF($G$1 = "YTM",_xll.CbondsCalcYTM($B$1,D355,F355),_xll.CbondsCalcYTP($B$1,D355,F355)),"")*100)</f>
        <v>9.6101236899121005</v>
      </c>
      <c r="U355" s="74"/>
      <c r="V355" s="74"/>
      <c r="W355" s="74"/>
      <c r="X355" s="74"/>
      <c r="Y355" s="74"/>
      <c r="Z355" s="74"/>
      <c r="AA355" s="74"/>
      <c r="AB355" s="74"/>
      <c r="AC355" s="74"/>
      <c r="AJ355" s="74"/>
      <c r="AK355" s="74"/>
      <c r="AL355" s="74"/>
      <c r="AM355" s="74"/>
      <c r="AN355" s="74"/>
      <c r="AO355" s="74"/>
      <c r="AP355" s="74"/>
      <c r="AQ355" s="74"/>
      <c r="AR355" s="74"/>
      <c r="AS355" s="74"/>
      <c r="BD355" s="74"/>
      <c r="BE355" s="74"/>
      <c r="BF355" s="74"/>
      <c r="BG355" s="74"/>
      <c r="BH355" s="74"/>
      <c r="BI355" s="74"/>
    </row>
    <row r="356" spans="4:61" x14ac:dyDescent="0.3">
      <c r="D356" s="20">
        <f t="shared" si="51"/>
        <v>45669</v>
      </c>
      <c r="E356" s="73" t="str">
        <f>_xll.CbondsClosePrice($B$1,D356,VLOOKUP($B$27,'Help Page'!$M:$N,2,0))</f>
        <v>Нет данных</v>
      </c>
      <c r="F356" s="73">
        <f t="shared" si="50"/>
        <v>85.96</v>
      </c>
      <c r="G356" s="33">
        <f>IF(F356 = "","",IFERROR(IF($G$1 = "YTM",_xll.CbondsCalcYTM($B$1,D356,F356),_xll.CbondsCalcYTP($B$1,D356,F356)),"")*100)</f>
        <v>10.115298369995001</v>
      </c>
      <c r="U356" s="74"/>
      <c r="V356" s="74"/>
      <c r="W356" s="74"/>
      <c r="X356" s="74"/>
      <c r="Y356" s="74"/>
      <c r="Z356" s="74"/>
      <c r="AA356" s="74"/>
      <c r="AB356" s="74"/>
      <c r="AC356" s="74"/>
      <c r="AJ356" s="74"/>
      <c r="AK356" s="74"/>
      <c r="AL356" s="74"/>
      <c r="AM356" s="74"/>
      <c r="AN356" s="74"/>
      <c r="AO356" s="74"/>
      <c r="AP356" s="74"/>
      <c r="AQ356" s="74"/>
      <c r="AR356" s="74"/>
      <c r="AS356" s="74"/>
      <c r="BD356" s="74"/>
      <c r="BE356" s="74"/>
      <c r="BF356" s="74"/>
      <c r="BG356" s="74"/>
      <c r="BH356" s="74"/>
      <c r="BI356" s="74"/>
    </row>
    <row r="357" spans="4:61" x14ac:dyDescent="0.3">
      <c r="D357" s="20">
        <f t="shared" si="51"/>
        <v>45668</v>
      </c>
      <c r="E357" s="73" t="str">
        <f>_xll.CbondsClosePrice($B$1,D357,VLOOKUP($B$27,'Help Page'!$M:$N,2,0))</f>
        <v>Нет данных</v>
      </c>
      <c r="F357" s="73">
        <f t="shared" si="50"/>
        <v>85.96</v>
      </c>
      <c r="G357" s="33">
        <f>IF(F357 = "","",IFERROR(IF($G$1 = "YTM",_xll.CbondsCalcYTM($B$1,D357,F357),_xll.CbondsCalcYTP($B$1,D357,F357)),"")*100)</f>
        <v>10.108850677325</v>
      </c>
      <c r="U357" s="74"/>
      <c r="V357" s="74"/>
      <c r="W357" s="74"/>
      <c r="X357" s="74"/>
      <c r="Y357" s="74"/>
      <c r="Z357" s="74"/>
      <c r="AA357" s="74"/>
      <c r="AB357" s="74"/>
      <c r="AC357" s="74"/>
      <c r="AJ357" s="74"/>
      <c r="AK357" s="74"/>
      <c r="AL357" s="74"/>
      <c r="AM357" s="74"/>
      <c r="AN357" s="74"/>
      <c r="AO357" s="74"/>
      <c r="AP357" s="74"/>
      <c r="AQ357" s="74"/>
      <c r="AR357" s="74"/>
      <c r="AS357" s="74"/>
      <c r="BD357" s="74"/>
      <c r="BE357" s="74"/>
      <c r="BF357" s="74"/>
      <c r="BG357" s="74"/>
      <c r="BH357" s="74"/>
      <c r="BI357" s="74"/>
    </row>
    <row r="358" spans="4:61" x14ac:dyDescent="0.3">
      <c r="D358" s="20">
        <f t="shared" si="51"/>
        <v>45667</v>
      </c>
      <c r="E358" s="73">
        <f>_xll.CbondsClosePrice($B$1,D358,VLOOKUP($B$27,'Help Page'!$M:$N,2,0))</f>
        <v>85.96</v>
      </c>
      <c r="F358" s="73">
        <f t="shared" si="50"/>
        <v>85.96</v>
      </c>
      <c r="G358" s="33">
        <f>IF(F358 = "","",IFERROR(IF($G$1 = "YTM",_xll.CbondsCalcYTM($B$1,D358,F358),_xll.CbondsCalcYTP($B$1,D358,F358)),"")*100)</f>
        <v>10.102417935443</v>
      </c>
      <c r="U358" s="74"/>
      <c r="V358" s="74"/>
      <c r="W358" s="74"/>
      <c r="X358" s="74"/>
      <c r="Y358" s="74"/>
      <c r="Z358" s="74"/>
      <c r="AA358" s="74"/>
      <c r="AB358" s="74"/>
      <c r="AC358" s="74"/>
      <c r="AJ358" s="74"/>
      <c r="AK358" s="74"/>
      <c r="AL358" s="74"/>
      <c r="AM358" s="74"/>
      <c r="AN358" s="74"/>
      <c r="AO358" s="74"/>
      <c r="AP358" s="74"/>
      <c r="AQ358" s="74"/>
      <c r="AR358" s="74"/>
      <c r="AS358" s="74"/>
      <c r="BD358" s="74"/>
      <c r="BE358" s="74"/>
      <c r="BF358" s="74"/>
      <c r="BG358" s="74"/>
      <c r="BH358" s="74"/>
      <c r="BI358" s="74"/>
    </row>
    <row r="359" spans="4:61" x14ac:dyDescent="0.3">
      <c r="D359" s="20">
        <f t="shared" si="51"/>
        <v>45666</v>
      </c>
      <c r="E359" s="73">
        <f>_xll.CbondsClosePrice($B$1,D359,VLOOKUP($B$27,'Help Page'!$M:$N,2,0))</f>
        <v>86.400099999999995</v>
      </c>
      <c r="F359" s="73">
        <f t="shared" si="50"/>
        <v>86.400099999999995</v>
      </c>
      <c r="G359" s="33">
        <f>IF(F359 = "","",IFERROR(IF($G$1 = "YTM",_xll.CbondsCalcYTM($B$1,D359,F359),_xll.CbondsCalcYTP($B$1,D359,F359)),"")*100)</f>
        <v>9.8750783360488992</v>
      </c>
      <c r="U359" s="74"/>
      <c r="V359" s="74"/>
      <c r="W359" s="74"/>
      <c r="X359" s="74"/>
      <c r="Y359" s="74"/>
      <c r="Z359" s="74"/>
      <c r="AA359" s="74"/>
      <c r="AB359" s="74"/>
      <c r="AC359" s="74"/>
      <c r="AJ359" s="74"/>
      <c r="AK359" s="74"/>
      <c r="AL359" s="74"/>
      <c r="AM359" s="74"/>
      <c r="AN359" s="74"/>
      <c r="AO359" s="74"/>
      <c r="AP359" s="74"/>
      <c r="AQ359" s="74"/>
      <c r="AR359" s="74"/>
      <c r="AS359" s="74"/>
      <c r="BD359" s="74"/>
      <c r="BE359" s="74"/>
      <c r="BF359" s="74"/>
      <c r="BG359" s="74"/>
      <c r="BH359" s="74"/>
      <c r="BI359" s="74"/>
    </row>
    <row r="360" spans="4:61" x14ac:dyDescent="0.3">
      <c r="D360" s="20">
        <f t="shared" si="51"/>
        <v>45665</v>
      </c>
      <c r="E360" s="73">
        <f>_xll.CbondsClosePrice($B$1,D360,VLOOKUP($B$27,'Help Page'!$M:$N,2,0))</f>
        <v>86.001400000000004</v>
      </c>
      <c r="F360" s="73">
        <f t="shared" si="50"/>
        <v>86.001400000000004</v>
      </c>
      <c r="G360" s="33">
        <f>IF(F360 = "","",IFERROR(IF($G$1 = "YTM",_xll.CbondsCalcYTM($B$1,D360,F360),_xll.CbondsCalcYTP($B$1,D360,F360)),"")*100)</f>
        <v>10.068767924427</v>
      </c>
      <c r="U360" s="74"/>
      <c r="V360" s="74"/>
      <c r="W360" s="74"/>
      <c r="X360" s="74"/>
      <c r="Y360" s="74"/>
      <c r="Z360" s="74"/>
      <c r="AA360" s="74"/>
      <c r="AB360" s="74"/>
      <c r="AC360" s="74"/>
      <c r="AJ360" s="74"/>
      <c r="AK360" s="74"/>
      <c r="AL360" s="74"/>
      <c r="AM360" s="74"/>
      <c r="AN360" s="74"/>
      <c r="AO360" s="74"/>
      <c r="AP360" s="74"/>
      <c r="AQ360" s="74"/>
      <c r="AR360" s="74"/>
      <c r="AS360" s="74"/>
      <c r="BD360" s="74"/>
      <c r="BE360" s="74"/>
      <c r="BF360" s="74"/>
      <c r="BG360" s="74"/>
      <c r="BH360" s="74"/>
      <c r="BI360" s="74"/>
    </row>
    <row r="361" spans="4:61" x14ac:dyDescent="0.3">
      <c r="D361" s="20">
        <f t="shared" si="51"/>
        <v>45664</v>
      </c>
      <c r="E361" s="73" t="str">
        <f>_xll.CbondsClosePrice($B$1,D361,VLOOKUP($B$27,'Help Page'!$M:$N,2,0))</f>
        <v>Нет данных</v>
      </c>
      <c r="F361" s="73">
        <f t="shared" si="50"/>
        <v>85.75</v>
      </c>
      <c r="G361" s="33">
        <f>IF(F361 = "","",IFERROR(IF($G$1 = "YTM",_xll.CbondsCalcYTM($B$1,D361,F361),_xll.CbondsCalcYTP($B$1,D361,F361)),"")*100)</f>
        <v>10.189480509999999</v>
      </c>
      <c r="U361" s="74"/>
      <c r="V361" s="74"/>
      <c r="W361" s="74"/>
      <c r="X361" s="74"/>
      <c r="Y361" s="74"/>
      <c r="Z361" s="74"/>
      <c r="AA361" s="74"/>
      <c r="AB361" s="74"/>
      <c r="AC361" s="74"/>
      <c r="AJ361" s="74"/>
      <c r="AK361" s="74"/>
      <c r="AL361" s="74"/>
      <c r="AM361" s="74"/>
      <c r="AN361" s="74"/>
      <c r="AO361" s="74"/>
      <c r="AP361" s="74"/>
      <c r="AQ361" s="74"/>
      <c r="AR361" s="74"/>
      <c r="AS361" s="74"/>
      <c r="BD361" s="74"/>
      <c r="BE361" s="74"/>
      <c r="BF361" s="74"/>
      <c r="BG361" s="74"/>
      <c r="BH361" s="74"/>
      <c r="BI361" s="74"/>
    </row>
    <row r="362" spans="4:61" x14ac:dyDescent="0.3">
      <c r="D362" s="20">
        <f t="shared" si="51"/>
        <v>45663</v>
      </c>
      <c r="E362" s="73">
        <f>_xll.CbondsClosePrice($B$1,D362,VLOOKUP($B$27,'Help Page'!$M:$N,2,0))</f>
        <v>85.75</v>
      </c>
      <c r="F362" s="73">
        <f t="shared" si="50"/>
        <v>85.75</v>
      </c>
      <c r="G362" s="33">
        <f>IF(F362 = "","",IFERROR(IF($G$1 = "YTM",_xll.CbondsCalcYTM($B$1,D362,F362),_xll.CbondsCalcYTP($B$1,D362,F362)),"")*100)</f>
        <v>10.182998141520001</v>
      </c>
      <c r="U362" s="74"/>
      <c r="V362" s="74"/>
      <c r="W362" s="74"/>
      <c r="X362" s="74"/>
      <c r="Y362" s="74"/>
      <c r="Z362" s="74"/>
      <c r="AA362" s="74"/>
      <c r="AB362" s="74"/>
      <c r="AC362" s="74"/>
      <c r="AJ362" s="74"/>
      <c r="AK362" s="74"/>
      <c r="AL362" s="74"/>
      <c r="AM362" s="74"/>
      <c r="AN362" s="74"/>
      <c r="AO362" s="74"/>
      <c r="AP362" s="74"/>
      <c r="AQ362" s="74"/>
      <c r="AR362" s="74"/>
      <c r="AS362" s="74"/>
      <c r="BD362" s="74"/>
      <c r="BE362" s="74"/>
      <c r="BF362" s="74"/>
      <c r="BG362" s="74"/>
      <c r="BH362" s="74"/>
      <c r="BI362" s="74"/>
    </row>
    <row r="363" spans="4:61" x14ac:dyDescent="0.3">
      <c r="D363" s="20">
        <f t="shared" si="51"/>
        <v>45662</v>
      </c>
      <c r="E363" s="73" t="str">
        <f>_xll.CbondsClosePrice($B$1,D363,VLOOKUP($B$27,'Help Page'!$M:$N,2,0))</f>
        <v>Нет данных</v>
      </c>
      <c r="F363" s="73">
        <f t="shared" si="50"/>
        <v>86.179000000000002</v>
      </c>
      <c r="G363" s="33">
        <f>IF(F363 = "","",IFERROR(IF($G$1 = "YTM",_xll.CbondsCalcYTM($B$1,D363,F363),_xll.CbondsCalcYTP($B$1,D363,F363)),"")*100)</f>
        <v>9.9612928083087002</v>
      </c>
      <c r="U363" s="74"/>
      <c r="V363" s="74"/>
      <c r="W363" s="74"/>
      <c r="X363" s="74"/>
      <c r="Y363" s="74"/>
      <c r="Z363" s="74"/>
      <c r="AA363" s="74"/>
      <c r="AB363" s="74"/>
      <c r="AC363" s="74"/>
      <c r="AJ363" s="74"/>
      <c r="AK363" s="74"/>
      <c r="AL363" s="74"/>
      <c r="AM363" s="74"/>
      <c r="AN363" s="74"/>
      <c r="AO363" s="74"/>
      <c r="AP363" s="74"/>
      <c r="AQ363" s="74"/>
      <c r="AR363" s="74"/>
      <c r="AS363" s="74"/>
      <c r="BD363" s="74"/>
      <c r="BE363" s="74"/>
      <c r="BF363" s="74"/>
      <c r="BG363" s="74"/>
      <c r="BH363" s="74"/>
      <c r="BI363" s="74"/>
    </row>
    <row r="364" spans="4:61" x14ac:dyDescent="0.3">
      <c r="D364" s="20">
        <f t="shared" si="51"/>
        <v>45661</v>
      </c>
      <c r="E364" s="73" t="str">
        <f>_xll.CbondsClosePrice($B$1,D364,VLOOKUP($B$27,'Help Page'!$M:$N,2,0))</f>
        <v>Нет данных</v>
      </c>
      <c r="F364" s="73">
        <f t="shared" si="50"/>
        <v>86.179000000000002</v>
      </c>
      <c r="G364" s="33">
        <f>IF(F364 = "","",IFERROR(IF($G$1 = "YTM",_xll.CbondsCalcYTM($B$1,D364,F364),_xll.CbondsCalcYTP($B$1,D364,F364)),"")*100)</f>
        <v>9.9550602674936997</v>
      </c>
      <c r="U364" s="74"/>
      <c r="V364" s="74"/>
      <c r="W364" s="74"/>
      <c r="X364" s="74"/>
      <c r="Y364" s="74"/>
      <c r="Z364" s="74"/>
      <c r="AA364" s="74"/>
      <c r="AB364" s="74"/>
      <c r="AC364" s="74"/>
      <c r="AJ364" s="74"/>
      <c r="AK364" s="74"/>
      <c r="AL364" s="74"/>
      <c r="AM364" s="74"/>
      <c r="AN364" s="74"/>
      <c r="AO364" s="74"/>
      <c r="AP364" s="74"/>
      <c r="AQ364" s="74"/>
      <c r="AR364" s="74"/>
      <c r="AS364" s="74"/>
      <c r="BD364" s="74"/>
      <c r="BE364" s="74"/>
      <c r="BF364" s="74"/>
      <c r="BG364" s="74"/>
      <c r="BH364" s="74"/>
      <c r="BI364" s="74"/>
    </row>
    <row r="365" spans="4:61" x14ac:dyDescent="0.3">
      <c r="D365" s="20">
        <f t="shared" si="51"/>
        <v>45660</v>
      </c>
      <c r="E365" s="73">
        <f>_xll.CbondsClosePrice($B$1,D365,VLOOKUP($B$27,'Help Page'!$M:$N,2,0))</f>
        <v>86.179000000000002</v>
      </c>
      <c r="F365" s="73">
        <f t="shared" si="50"/>
        <v>86.179000000000002</v>
      </c>
      <c r="G365" s="33">
        <f>IF(F365 = "","",IFERROR(IF($G$1 = "YTM",_xll.CbondsCalcYTM($B$1,D365,F365),_xll.CbondsCalcYTP($B$1,D365,F365)),"")*100)</f>
        <v>9.9488420747978008</v>
      </c>
      <c r="U365" s="74"/>
      <c r="V365" s="74"/>
      <c r="W365" s="74"/>
      <c r="X365" s="74"/>
      <c r="Y365" s="74"/>
      <c r="Z365" s="74"/>
      <c r="AA365" s="74"/>
      <c r="AB365" s="74"/>
      <c r="AC365" s="74"/>
      <c r="AJ365" s="74"/>
      <c r="AK365" s="74"/>
      <c r="AL365" s="74"/>
      <c r="AM365" s="74"/>
      <c r="AN365" s="74"/>
      <c r="AO365" s="74"/>
      <c r="AP365" s="74"/>
      <c r="AQ365" s="74"/>
      <c r="AR365" s="74"/>
      <c r="AS365" s="74"/>
      <c r="BD365" s="74"/>
      <c r="BE365" s="74"/>
      <c r="BF365" s="74"/>
      <c r="BG365" s="74"/>
      <c r="BH365" s="74"/>
      <c r="BI365" s="74"/>
    </row>
    <row r="366" spans="4:61" x14ac:dyDescent="0.3">
      <c r="D366" s="20">
        <f t="shared" si="51"/>
        <v>45659</v>
      </c>
      <c r="E366" s="73" t="str">
        <f>_xll.CbondsClosePrice($B$1,D366,VLOOKUP($B$27,'Help Page'!$M:$N,2,0))</f>
        <v>Нет данных</v>
      </c>
      <c r="F366" s="73">
        <f t="shared" si="50"/>
        <v>85.44</v>
      </c>
      <c r="G366" s="33">
        <f>IF(F366 = "","",IFERROR(IF($G$1 = "YTM",_xll.CbondsCalcYTM($B$1,D366,F366),_xll.CbondsCalcYTP($B$1,D366,F366)),"")*100)</f>
        <v>10.313227866212999</v>
      </c>
      <c r="U366" s="74"/>
      <c r="V366" s="74"/>
      <c r="W366" s="74"/>
      <c r="X366" s="74"/>
      <c r="Y366" s="74"/>
      <c r="Z366" s="74"/>
      <c r="AA366" s="74"/>
      <c r="AB366" s="74"/>
      <c r="AC366" s="74"/>
      <c r="AJ366" s="74"/>
      <c r="AK366" s="74"/>
      <c r="AL366" s="74"/>
      <c r="AM366" s="74"/>
      <c r="AN366" s="74"/>
      <c r="AO366" s="74"/>
      <c r="AP366" s="74"/>
      <c r="AQ366" s="74"/>
      <c r="AR366" s="74"/>
      <c r="AS366" s="74"/>
      <c r="BD366" s="74"/>
      <c r="BE366" s="74"/>
      <c r="BF366" s="74"/>
      <c r="BG366" s="74"/>
      <c r="BH366" s="74"/>
      <c r="BI366" s="74"/>
    </row>
    <row r="367" spans="4:61" x14ac:dyDescent="0.3">
      <c r="D367" s="20">
        <f t="shared" si="51"/>
        <v>45658</v>
      </c>
      <c r="E367" s="73" t="str">
        <f>_xll.CbondsClosePrice($B$1,D367,VLOOKUP($B$27,'Help Page'!$M:$N,2,0))</f>
        <v>Нет данных</v>
      </c>
      <c r="F367" s="73">
        <f t="shared" si="50"/>
        <v>85.44</v>
      </c>
      <c r="G367" s="33">
        <f>IF(F367 = "","",IFERROR(IF($G$1 = "YTM",_xll.CbondsCalcYTM($B$1,D367,F367),_xll.CbondsCalcYTP($B$1,D367,F367)),"")*100)</f>
        <v>10.306660740877</v>
      </c>
      <c r="U367" s="74"/>
      <c r="V367" s="74"/>
      <c r="W367" s="74"/>
      <c r="X367" s="74"/>
      <c r="Y367" s="74"/>
      <c r="Z367" s="74"/>
      <c r="AA367" s="74"/>
      <c r="AB367" s="74"/>
      <c r="AC367" s="74"/>
      <c r="AJ367" s="74"/>
      <c r="AK367" s="74"/>
      <c r="AL367" s="74"/>
      <c r="AM367" s="74"/>
      <c r="AN367" s="74"/>
      <c r="AO367" s="74"/>
      <c r="AP367" s="74"/>
      <c r="AQ367" s="74"/>
      <c r="AR367" s="74"/>
      <c r="AS367" s="74"/>
      <c r="BD367" s="74"/>
      <c r="BE367" s="74"/>
      <c r="BF367" s="74"/>
      <c r="BG367" s="74"/>
      <c r="BH367" s="74"/>
      <c r="BI367" s="74"/>
    </row>
    <row r="368" spans="4:61" x14ac:dyDescent="0.3">
      <c r="D368" s="20">
        <f t="shared" ref="D368" si="52">D367-1</f>
        <v>45657</v>
      </c>
      <c r="E368" s="73" t="str">
        <f>_xll.CbondsClosePrice($B$1,D368,VLOOKUP($B$27,'Help Page'!$M:$N,2,0))</f>
        <v>Нет данных</v>
      </c>
      <c r="F368" s="73">
        <f t="shared" si="50"/>
        <v>85.44</v>
      </c>
      <c r="G368" s="33">
        <f>IF(F368 = "","",IFERROR(IF($G$1 = "YTM",_xll.CbondsCalcYTM($B$1,D368,F368),_xll.CbondsCalcYTP($B$1,D368,F368)),"")*100)</f>
        <v>10.300612224982</v>
      </c>
      <c r="U368" s="74"/>
      <c r="V368" s="74"/>
      <c r="W368" s="74"/>
      <c r="X368" s="74"/>
      <c r="Y368" s="74"/>
      <c r="Z368" s="74"/>
      <c r="AA368" s="74"/>
      <c r="AB368" s="74"/>
      <c r="AC368" s="74"/>
      <c r="AJ368" s="74"/>
      <c r="AK368" s="74"/>
      <c r="AL368" s="74"/>
      <c r="AM368" s="74"/>
      <c r="AN368" s="74"/>
      <c r="AO368" s="74"/>
      <c r="AP368" s="74"/>
      <c r="AQ368" s="74"/>
      <c r="AR368" s="74"/>
      <c r="AS368" s="74"/>
      <c r="BD368" s="74"/>
      <c r="BE368" s="74"/>
      <c r="BF368" s="74"/>
      <c r="BG368" s="74"/>
      <c r="BH368" s="74"/>
      <c r="BI368" s="74"/>
    </row>
    <row r="369" spans="4:61" x14ac:dyDescent="0.3">
      <c r="D369" s="20">
        <f t="shared" ref="D369:D373" si="53">D368-1</f>
        <v>45656</v>
      </c>
      <c r="E369" s="73">
        <f>_xll.CbondsClosePrice($B$1,D369,VLOOKUP($B$27,'Help Page'!$M:$N,2,0))</f>
        <v>85.44</v>
      </c>
      <c r="F369" s="73">
        <f t="shared" si="50"/>
        <v>85.44</v>
      </c>
      <c r="G369" s="33">
        <f>IF(F369 = "","",IFERROR(IF($G$1 = "YTM",_xll.CbondsCalcYTM($B$1,D369,F369),_xll.CbondsCalcYTP($B$1,D369,F369)),"")*100)</f>
        <v>10.294074691302999</v>
      </c>
      <c r="U369" s="74"/>
      <c r="V369" s="74"/>
      <c r="W369" s="74"/>
      <c r="X369" s="74"/>
      <c r="Y369" s="74"/>
      <c r="Z369" s="74"/>
      <c r="AA369" s="74"/>
      <c r="AB369" s="74"/>
      <c r="AC369" s="74"/>
      <c r="AJ369" s="74"/>
      <c r="AK369" s="74"/>
      <c r="AL369" s="74"/>
      <c r="AM369" s="74"/>
      <c r="AN369" s="74"/>
      <c r="AO369" s="74"/>
      <c r="AP369" s="74"/>
      <c r="AQ369" s="74"/>
      <c r="AR369" s="74"/>
      <c r="AS369" s="74"/>
      <c r="BD369" s="74"/>
      <c r="BE369" s="74"/>
      <c r="BF369" s="74"/>
      <c r="BG369" s="74"/>
      <c r="BH369" s="74"/>
      <c r="BI369" s="74"/>
    </row>
    <row r="370" spans="4:61" x14ac:dyDescent="0.3">
      <c r="D370" s="20">
        <f t="shared" si="53"/>
        <v>45655</v>
      </c>
      <c r="E370" s="73" t="str">
        <f>_xll.CbondsClosePrice($B$1,D370,VLOOKUP($B$27,'Help Page'!$M:$N,2,0))</f>
        <v>Нет данных</v>
      </c>
      <c r="F370" s="73">
        <f t="shared" si="50"/>
        <v>84.154899999999998</v>
      </c>
      <c r="G370" s="33">
        <f>IF(F370 = "","",IFERROR(IF($G$1 = "YTM",_xll.CbondsCalcYTM($B$1,D370,F370),_xll.CbondsCalcYTP($B$1,D370,F370)),"")*100)</f>
        <v>10.940319381825001</v>
      </c>
      <c r="U370" s="74"/>
      <c r="V370" s="74"/>
      <c r="W370" s="74"/>
      <c r="X370" s="74"/>
      <c r="Y370" s="74"/>
      <c r="Z370" s="74"/>
      <c r="AA370" s="74"/>
      <c r="AB370" s="74"/>
      <c r="AC370" s="74"/>
      <c r="AJ370" s="74"/>
      <c r="AK370" s="74"/>
      <c r="AL370" s="74"/>
      <c r="AM370" s="74"/>
      <c r="AN370" s="74"/>
      <c r="AO370" s="74"/>
      <c r="AP370" s="74"/>
      <c r="AQ370" s="74"/>
      <c r="AR370" s="74"/>
      <c r="AS370" s="74"/>
      <c r="BD370" s="74"/>
      <c r="BE370" s="74"/>
      <c r="BF370" s="74"/>
      <c r="BG370" s="74"/>
      <c r="BH370" s="74"/>
      <c r="BI370" s="74"/>
    </row>
    <row r="371" spans="4:61" x14ac:dyDescent="0.3">
      <c r="D371" s="20">
        <f t="shared" si="53"/>
        <v>45654</v>
      </c>
      <c r="E371" s="73">
        <f>_xll.CbondsClosePrice($B$1,D371,VLOOKUP($B$27,'Help Page'!$M:$N,2,0))</f>
        <v>84.154899999999998</v>
      </c>
      <c r="F371" s="73">
        <f t="shared" si="50"/>
        <v>84.154899999999998</v>
      </c>
      <c r="G371" s="33">
        <f>IF(F371 = "","",IFERROR(IF($G$1 = "YTM",_xll.CbondsCalcYTM($B$1,D371,F371),_xll.CbondsCalcYTP($B$1,D371,F371)),"")*100)</f>
        <v>10.93314771771</v>
      </c>
      <c r="U371" s="74"/>
      <c r="V371" s="74"/>
      <c r="W371" s="74"/>
      <c r="X371" s="74"/>
      <c r="Y371" s="74"/>
      <c r="Z371" s="74"/>
      <c r="AA371" s="74"/>
      <c r="AB371" s="74"/>
      <c r="AC371" s="74"/>
      <c r="AJ371" s="74"/>
      <c r="AK371" s="74"/>
      <c r="AL371" s="74"/>
      <c r="AM371" s="74"/>
      <c r="AN371" s="74"/>
      <c r="AO371" s="74"/>
      <c r="AP371" s="74"/>
      <c r="AQ371" s="74"/>
      <c r="AR371" s="74"/>
      <c r="AS371" s="74"/>
      <c r="BD371" s="74"/>
      <c r="BE371" s="74"/>
      <c r="BF371" s="74"/>
      <c r="BG371" s="74"/>
      <c r="BH371" s="74"/>
      <c r="BI371" s="74"/>
    </row>
    <row r="372" spans="4:61" x14ac:dyDescent="0.3">
      <c r="D372" s="20">
        <f t="shared" si="53"/>
        <v>45653</v>
      </c>
      <c r="E372" s="73">
        <f>_xll.CbondsClosePrice($B$1,D372,VLOOKUP($B$27,'Help Page'!$M:$N,2,0))</f>
        <v>82</v>
      </c>
      <c r="F372" s="73">
        <f t="shared" si="50"/>
        <v>82</v>
      </c>
      <c r="G372" s="33">
        <f>IF(F372 = "","",IFERROR(IF($G$1 = "YTM",_xll.CbondsCalcYTM($B$1,D372,F372),_xll.CbondsCalcYTP($B$1,D372,F372)),"")*100)</f>
        <v>12.050701183272</v>
      </c>
      <c r="U372" s="74"/>
      <c r="V372" s="74"/>
      <c r="W372" s="74"/>
      <c r="X372" s="74"/>
      <c r="Y372" s="74"/>
      <c r="Z372" s="74"/>
      <c r="AA372" s="74"/>
      <c r="AB372" s="74"/>
      <c r="AC372" s="74"/>
      <c r="AJ372" s="74"/>
      <c r="AK372" s="74"/>
      <c r="AL372" s="74"/>
      <c r="AM372" s="74"/>
      <c r="AN372" s="74"/>
      <c r="AO372" s="74"/>
      <c r="AP372" s="74"/>
      <c r="AQ372" s="74"/>
      <c r="AR372" s="74"/>
      <c r="AS372" s="74"/>
      <c r="BD372" s="74"/>
      <c r="BE372" s="74"/>
      <c r="BF372" s="74"/>
      <c r="BG372" s="74"/>
      <c r="BH372" s="74"/>
      <c r="BI372" s="74"/>
    </row>
    <row r="373" spans="4:61" x14ac:dyDescent="0.3">
      <c r="D373" s="20">
        <f t="shared" si="53"/>
        <v>45652</v>
      </c>
      <c r="E373" s="73">
        <f>_xll.CbondsClosePrice($B$1,D373,VLOOKUP($B$27,'Help Page'!$M:$N,2,0))</f>
        <v>82</v>
      </c>
      <c r="F373" s="73">
        <f t="shared" si="50"/>
        <v>82</v>
      </c>
      <c r="G373" s="33">
        <f>IF(F373 = "","",IFERROR(IF($G$1 = "YTM",_xll.CbondsCalcYTM($B$1,D373,F373),_xll.CbondsCalcYTP($B$1,D373,F373)),"")*100)</f>
        <v>12.042413624591001</v>
      </c>
      <c r="U373" s="74"/>
      <c r="V373" s="74"/>
      <c r="W373" s="74"/>
      <c r="X373" s="74"/>
      <c r="Y373" s="74"/>
      <c r="Z373" s="74"/>
      <c r="AA373" s="74"/>
      <c r="AB373" s="74"/>
      <c r="AC373" s="74"/>
      <c r="AJ373" s="74"/>
      <c r="AK373" s="74"/>
      <c r="AL373" s="74"/>
      <c r="AM373" s="74"/>
      <c r="AN373" s="74"/>
      <c r="AO373" s="74"/>
      <c r="AP373" s="74"/>
      <c r="AQ373" s="74"/>
      <c r="AR373" s="74"/>
      <c r="AS373" s="74"/>
      <c r="BD373" s="74"/>
      <c r="BE373" s="74"/>
      <c r="BF373" s="74"/>
      <c r="BG373" s="74"/>
      <c r="BH373" s="74"/>
      <c r="BI373" s="74"/>
    </row>
    <row r="374" spans="4:61" x14ac:dyDescent="0.3">
      <c r="D374" s="76"/>
      <c r="E374" s="76"/>
      <c r="F374" s="76"/>
      <c r="G374" s="183" t="str">
        <f>IF(F374 = "","",IFERROR(IF($G$1 = "YTM",_xll.CbondsCalcYTM($B$1,D374,F374),_xll.CbondsCalcYTP($B$1,D374,F374)),"")*100)</f>
        <v/>
      </c>
      <c r="U374" s="74"/>
      <c r="V374" s="74"/>
      <c r="W374" s="74"/>
      <c r="X374" s="74"/>
      <c r="Y374" s="74"/>
      <c r="Z374" s="74"/>
      <c r="AA374" s="74"/>
      <c r="AB374" s="74"/>
      <c r="AC374" s="74"/>
      <c r="AJ374" s="74"/>
      <c r="AK374" s="74"/>
      <c r="AL374" s="74"/>
      <c r="AM374" s="74"/>
      <c r="AN374" s="74"/>
      <c r="AO374" s="74"/>
      <c r="AP374" s="74"/>
      <c r="AQ374" s="74"/>
      <c r="AR374" s="74"/>
      <c r="AS374" s="74"/>
      <c r="BD374" s="74"/>
      <c r="BE374" s="74"/>
      <c r="BF374" s="74"/>
      <c r="BG374" s="74"/>
      <c r="BH374" s="74"/>
      <c r="BI374" s="74"/>
    </row>
    <row r="375" spans="4:61" x14ac:dyDescent="0.3">
      <c r="D375" s="76"/>
      <c r="E375" s="76"/>
      <c r="F375" s="76" t="str">
        <f t="shared" ref="F375:F387" si="54">IF(AND(E375="",D375=""),"",IF(AND(E375="",D375&lt;&gt;""),F374,E375))</f>
        <v/>
      </c>
      <c r="G375" s="183" t="str">
        <f>IF(F375 = "","",IFERROR(IF($G$1 = "YTM",_xll.CbondsCalcYTM($B$1,D375,F375),_xll.CbondsCalcYTP($B$1,D375,F375)),"")*100)</f>
        <v/>
      </c>
      <c r="U375" s="74"/>
      <c r="V375" s="74"/>
      <c r="W375" s="74"/>
      <c r="X375" s="74"/>
      <c r="Y375" s="74"/>
      <c r="Z375" s="74"/>
      <c r="AA375" s="74"/>
      <c r="AB375" s="74"/>
      <c r="AC375" s="74"/>
      <c r="AJ375" s="74"/>
      <c r="AK375" s="74"/>
      <c r="AL375" s="74"/>
      <c r="AM375" s="74"/>
      <c r="AN375" s="74"/>
      <c r="AO375" s="74"/>
      <c r="AP375" s="74"/>
      <c r="AQ375" s="74"/>
      <c r="AR375" s="74"/>
      <c r="AS375" s="74"/>
      <c r="BD375" s="74"/>
      <c r="BE375" s="74"/>
      <c r="BF375" s="74"/>
      <c r="BG375" s="74"/>
      <c r="BH375" s="74"/>
      <c r="BI375" s="74"/>
    </row>
    <row r="376" spans="4:61" x14ac:dyDescent="0.3">
      <c r="D376" s="76"/>
      <c r="E376" s="76"/>
      <c r="F376" s="76" t="str">
        <f t="shared" si="54"/>
        <v/>
      </c>
      <c r="G376" s="183" t="str">
        <f>IF(F376 = "","",IFERROR(IF($G$1 = "YTM",_xll.CbondsCalcYTM($B$1,D376,F376),_xll.CbondsCalcYTP($B$1,D376,F376)),"")*100)</f>
        <v/>
      </c>
      <c r="U376" s="74"/>
      <c r="V376" s="74"/>
      <c r="W376" s="74"/>
      <c r="X376" s="74"/>
      <c r="Y376" s="74"/>
      <c r="Z376" s="74"/>
      <c r="AA376" s="74"/>
      <c r="AB376" s="74"/>
      <c r="AC376" s="74"/>
      <c r="AJ376" s="74"/>
      <c r="AK376" s="74"/>
      <c r="AL376" s="74"/>
      <c r="AM376" s="74"/>
      <c r="AN376" s="74"/>
      <c r="AO376" s="74"/>
      <c r="AP376" s="74"/>
      <c r="AQ376" s="74"/>
      <c r="AR376" s="74"/>
      <c r="AS376" s="74"/>
      <c r="BD376" s="74"/>
      <c r="BE376" s="74"/>
      <c r="BF376" s="74"/>
      <c r="BG376" s="74"/>
      <c r="BH376" s="74"/>
      <c r="BI376" s="74"/>
    </row>
    <row r="377" spans="4:61" x14ac:dyDescent="0.3">
      <c r="D377" s="76"/>
      <c r="E377" s="76"/>
      <c r="F377" s="76" t="str">
        <f t="shared" si="54"/>
        <v/>
      </c>
      <c r="G377" s="183" t="str">
        <f>IF(F377 = "","",IFERROR(IF($G$1 = "YTM",_xll.CbondsCalcYTM($B$1,D377,F377),_xll.CbondsCalcYTP($B$1,D377,F377)),"")*100)</f>
        <v/>
      </c>
      <c r="U377" s="74"/>
      <c r="V377" s="74"/>
      <c r="W377" s="74"/>
      <c r="X377" s="74"/>
      <c r="Y377" s="74"/>
      <c r="Z377" s="74"/>
      <c r="AA377" s="74"/>
      <c r="AB377" s="74"/>
      <c r="AC377" s="74"/>
      <c r="AJ377" s="74"/>
      <c r="AK377" s="74"/>
      <c r="AL377" s="74"/>
      <c r="AM377" s="74"/>
      <c r="AN377" s="74"/>
      <c r="AO377" s="74"/>
      <c r="AP377" s="74"/>
      <c r="AQ377" s="74"/>
      <c r="AR377" s="74"/>
      <c r="AS377" s="74"/>
      <c r="BD377" s="74"/>
      <c r="BE377" s="74"/>
      <c r="BF377" s="74"/>
      <c r="BG377" s="74"/>
      <c r="BH377" s="74"/>
      <c r="BI377" s="74"/>
    </row>
    <row r="378" spans="4:61" x14ac:dyDescent="0.3">
      <c r="D378" s="76"/>
      <c r="E378" s="76"/>
      <c r="F378" s="76" t="str">
        <f t="shared" si="54"/>
        <v/>
      </c>
      <c r="G378" s="183" t="str">
        <f>IF(F378 = "","",IFERROR(IF($G$1 = "YTM",_xll.CbondsCalcYTM($B$1,D378,F378),_xll.CbondsCalcYTP($B$1,D378,F378)),"")*100)</f>
        <v/>
      </c>
      <c r="U378" s="74"/>
      <c r="V378" s="74"/>
      <c r="W378" s="74"/>
      <c r="X378" s="74"/>
      <c r="Y378" s="74"/>
      <c r="Z378" s="74"/>
      <c r="AA378" s="74"/>
      <c r="AB378" s="74"/>
      <c r="AC378" s="74"/>
      <c r="AJ378" s="74"/>
      <c r="AK378" s="74"/>
      <c r="AL378" s="74"/>
      <c r="AM378" s="74"/>
      <c r="AN378" s="74"/>
      <c r="AO378" s="74"/>
      <c r="AP378" s="74"/>
      <c r="AQ378" s="74"/>
      <c r="AR378" s="74"/>
      <c r="AS378" s="74"/>
      <c r="BD378" s="74"/>
      <c r="BE378" s="74"/>
      <c r="BF378" s="74"/>
      <c r="BG378" s="74"/>
      <c r="BH378" s="74"/>
      <c r="BI378" s="74"/>
    </row>
    <row r="379" spans="4:61" x14ac:dyDescent="0.3">
      <c r="D379" s="76"/>
      <c r="E379" s="76"/>
      <c r="F379" s="76" t="str">
        <f t="shared" si="54"/>
        <v/>
      </c>
      <c r="G379" s="183" t="str">
        <f>IF(F379 = "","",IFERROR(IF($G$1 = "YTM",_xll.CbondsCalcYTM($B$1,D379,F379),_xll.CbondsCalcYTP($B$1,D379,F379)),"")*100)</f>
        <v/>
      </c>
      <c r="U379" s="74"/>
      <c r="V379" s="74"/>
      <c r="W379" s="74"/>
      <c r="X379" s="74"/>
      <c r="Y379" s="74"/>
      <c r="Z379" s="74"/>
      <c r="AA379" s="74"/>
      <c r="AB379" s="74"/>
      <c r="AC379" s="74"/>
      <c r="AJ379" s="74"/>
      <c r="AK379" s="74"/>
      <c r="AL379" s="74"/>
      <c r="AM379" s="74"/>
      <c r="AN379" s="74"/>
      <c r="AO379" s="74"/>
      <c r="AP379" s="74"/>
      <c r="AQ379" s="74"/>
      <c r="AR379" s="74"/>
      <c r="AS379" s="74"/>
      <c r="BD379" s="74"/>
      <c r="BE379" s="74"/>
      <c r="BF379" s="74"/>
      <c r="BG379" s="74"/>
      <c r="BH379" s="74"/>
      <c r="BI379" s="74"/>
    </row>
    <row r="380" spans="4:61" x14ac:dyDescent="0.3">
      <c r="D380" s="76"/>
      <c r="E380" s="76"/>
      <c r="F380" s="76" t="str">
        <f t="shared" si="54"/>
        <v/>
      </c>
      <c r="G380" s="183" t="str">
        <f>IF(F380 = "","",IFERROR(IF($G$1 = "YTM",_xll.CbondsCalcYTM($B$1,D380,F380),_xll.CbondsCalcYTP($B$1,D380,F380)),"")*100)</f>
        <v/>
      </c>
      <c r="U380" s="74"/>
      <c r="V380" s="74"/>
      <c r="W380" s="74"/>
      <c r="X380" s="74"/>
      <c r="Y380" s="74"/>
      <c r="Z380" s="74"/>
      <c r="AA380" s="74"/>
      <c r="AB380" s="74"/>
      <c r="AC380" s="74"/>
      <c r="AJ380" s="74"/>
      <c r="AK380" s="74"/>
      <c r="AL380" s="74"/>
      <c r="AM380" s="74"/>
      <c r="AN380" s="74"/>
      <c r="AO380" s="74"/>
      <c r="AP380" s="74"/>
      <c r="AQ380" s="74"/>
      <c r="AR380" s="74"/>
      <c r="AS380" s="74"/>
      <c r="BD380" s="74"/>
      <c r="BE380" s="74"/>
      <c r="BF380" s="74"/>
      <c r="BG380" s="74"/>
      <c r="BH380" s="74"/>
      <c r="BI380" s="74"/>
    </row>
    <row r="381" spans="4:61" x14ac:dyDescent="0.3">
      <c r="D381" s="76"/>
      <c r="E381" s="76"/>
      <c r="F381" s="76" t="str">
        <f t="shared" si="54"/>
        <v/>
      </c>
      <c r="G381" s="183" t="str">
        <f>IF(F381 = "","",IFERROR(IF($G$1 = "YTM",_xll.CbondsCalcYTM($B$1,D381,F381),_xll.CbondsCalcYTP($B$1,D381,F381)),"")*100)</f>
        <v/>
      </c>
      <c r="U381" s="74"/>
      <c r="V381" s="74"/>
      <c r="W381" s="74"/>
      <c r="X381" s="74"/>
      <c r="Y381" s="74"/>
      <c r="Z381" s="74"/>
      <c r="AA381" s="74"/>
      <c r="AB381" s="74"/>
      <c r="AC381" s="74"/>
      <c r="AJ381" s="74"/>
      <c r="AK381" s="74"/>
      <c r="AL381" s="74"/>
      <c r="AM381" s="74"/>
      <c r="AN381" s="74"/>
      <c r="AO381" s="74"/>
      <c r="AP381" s="74"/>
      <c r="AQ381" s="74"/>
      <c r="AR381" s="74"/>
      <c r="AS381" s="74"/>
      <c r="BD381" s="74"/>
      <c r="BE381" s="74"/>
      <c r="BF381" s="74"/>
      <c r="BG381" s="74"/>
      <c r="BH381" s="74"/>
      <c r="BI381" s="74"/>
    </row>
    <row r="382" spans="4:61" x14ac:dyDescent="0.3">
      <c r="D382" s="76"/>
      <c r="E382" s="76"/>
      <c r="F382" s="76" t="str">
        <f t="shared" si="54"/>
        <v/>
      </c>
      <c r="G382" s="183" t="str">
        <f>IF(F382 = "","",IFERROR(IF($G$1 = "YTM",_xll.CbondsCalcYTM($B$1,D382,F382),_xll.CbondsCalcYTP($B$1,D382,F382)),"")*100)</f>
        <v/>
      </c>
      <c r="U382" s="74"/>
      <c r="V382" s="74"/>
      <c r="W382" s="74"/>
      <c r="X382" s="74"/>
      <c r="Y382" s="74"/>
      <c r="Z382" s="74"/>
      <c r="AA382" s="74"/>
      <c r="AB382" s="74"/>
      <c r="AC382" s="74"/>
      <c r="AJ382" s="74"/>
      <c r="AK382" s="74"/>
      <c r="AL382" s="74"/>
      <c r="AM382" s="74"/>
      <c r="AN382" s="74"/>
      <c r="AO382" s="74"/>
      <c r="AP382" s="74"/>
      <c r="AQ382" s="74"/>
      <c r="AR382" s="74"/>
      <c r="AS382" s="74"/>
      <c r="BD382" s="74"/>
      <c r="BE382" s="74"/>
      <c r="BF382" s="74"/>
      <c r="BG382" s="74"/>
      <c r="BH382" s="74"/>
      <c r="BI382" s="74"/>
    </row>
    <row r="383" spans="4:61" x14ac:dyDescent="0.3">
      <c r="D383" s="76"/>
      <c r="E383" s="76"/>
      <c r="F383" s="76" t="str">
        <f t="shared" si="54"/>
        <v/>
      </c>
      <c r="G383" s="183" t="str">
        <f>IF(F383 = "","",IFERROR(IF($G$1 = "YTM",_xll.CbondsCalcYTM($B$1,D383,F383),_xll.CbondsCalcYTP($B$1,D383,F383)),"")*100)</f>
        <v/>
      </c>
      <c r="U383" s="74"/>
      <c r="V383" s="74"/>
      <c r="W383" s="74"/>
      <c r="X383" s="74"/>
      <c r="Y383" s="74"/>
      <c r="Z383" s="74"/>
      <c r="AA383" s="74"/>
      <c r="AB383" s="74"/>
      <c r="AC383" s="74"/>
      <c r="AJ383" s="74"/>
      <c r="AK383" s="74"/>
      <c r="AL383" s="74"/>
      <c r="AM383" s="74"/>
      <c r="AN383" s="74"/>
      <c r="AO383" s="74"/>
      <c r="AP383" s="74"/>
      <c r="AQ383" s="74"/>
      <c r="AR383" s="74"/>
      <c r="AS383" s="74"/>
      <c r="BD383" s="74"/>
      <c r="BE383" s="74"/>
      <c r="BF383" s="74"/>
      <c r="BG383" s="74"/>
      <c r="BH383" s="74"/>
      <c r="BI383" s="74"/>
    </row>
    <row r="384" spans="4:61" x14ac:dyDescent="0.3">
      <c r="D384" s="76"/>
      <c r="E384" s="76"/>
      <c r="F384" s="76" t="str">
        <f t="shared" si="54"/>
        <v/>
      </c>
      <c r="G384" s="183" t="str">
        <f>IF(F384 = "","",IFERROR(IF($G$1 = "YTM",_xll.CbondsCalcYTM($B$1,D384,F384),_xll.CbondsCalcYTP($B$1,D384,F384)),"")*100)</f>
        <v/>
      </c>
      <c r="U384" s="74"/>
      <c r="V384" s="74"/>
      <c r="W384" s="74"/>
      <c r="X384" s="74"/>
      <c r="Y384" s="74"/>
      <c r="Z384" s="74"/>
      <c r="AA384" s="74"/>
      <c r="AB384" s="74"/>
      <c r="AC384" s="74"/>
      <c r="AJ384" s="74"/>
      <c r="AK384" s="74"/>
      <c r="AL384" s="74"/>
      <c r="AM384" s="74"/>
      <c r="AN384" s="74"/>
      <c r="AO384" s="74"/>
      <c r="AP384" s="74"/>
      <c r="AQ384" s="74"/>
      <c r="AR384" s="74"/>
      <c r="AS384" s="74"/>
      <c r="BD384" s="74"/>
      <c r="BE384" s="74"/>
      <c r="BF384" s="74"/>
      <c r="BG384" s="74"/>
      <c r="BH384" s="74"/>
      <c r="BI384" s="74"/>
    </row>
    <row r="385" spans="4:61" x14ac:dyDescent="0.3">
      <c r="D385" s="76"/>
      <c r="E385" s="76"/>
      <c r="F385" s="76" t="str">
        <f t="shared" si="54"/>
        <v/>
      </c>
      <c r="G385" s="183" t="str">
        <f>IF(F385 = "","",IFERROR(IF($G$1 = "YTM",_xll.CbondsCalcYTM($B$1,D385,F385),_xll.CbondsCalcYTP($B$1,D385,F385)),"")*100)</f>
        <v/>
      </c>
      <c r="U385" s="74"/>
      <c r="V385" s="74"/>
      <c r="W385" s="74"/>
      <c r="X385" s="74"/>
      <c r="Y385" s="74"/>
      <c r="Z385" s="74"/>
      <c r="AA385" s="74"/>
      <c r="AB385" s="74"/>
      <c r="AC385" s="74"/>
      <c r="AJ385" s="74"/>
      <c r="AK385" s="74"/>
      <c r="AL385" s="74"/>
      <c r="AM385" s="74"/>
      <c r="AN385" s="74"/>
      <c r="AO385" s="74"/>
      <c r="AP385" s="74"/>
      <c r="AQ385" s="74"/>
      <c r="AR385" s="74"/>
      <c r="AS385" s="74"/>
      <c r="BD385" s="74"/>
      <c r="BE385" s="74"/>
      <c r="BF385" s="74"/>
      <c r="BG385" s="74"/>
      <c r="BH385" s="74"/>
      <c r="BI385" s="74"/>
    </row>
    <row r="386" spans="4:61" x14ac:dyDescent="0.3">
      <c r="D386" s="76"/>
      <c r="E386" s="76"/>
      <c r="F386" s="76" t="str">
        <f t="shared" si="54"/>
        <v/>
      </c>
      <c r="G386" s="183" t="str">
        <f>IF(F386 = "","",IFERROR(IF($G$1 = "YTM",_xll.CbondsCalcYTM($B$1,D386,F386),_xll.CbondsCalcYTP($B$1,D386,F386)),"")*100)</f>
        <v/>
      </c>
      <c r="U386" s="74"/>
      <c r="V386" s="74"/>
      <c r="W386" s="74"/>
      <c r="X386" s="74"/>
      <c r="Y386" s="74"/>
      <c r="Z386" s="74"/>
      <c r="AA386" s="74"/>
      <c r="AB386" s="74"/>
      <c r="AC386" s="74"/>
      <c r="AJ386" s="74"/>
      <c r="AK386" s="74"/>
      <c r="AL386" s="74"/>
      <c r="AM386" s="74"/>
      <c r="AN386" s="74"/>
      <c r="AO386" s="74"/>
      <c r="AP386" s="74"/>
      <c r="AQ386" s="74"/>
      <c r="AR386" s="74"/>
      <c r="AS386" s="74"/>
      <c r="BD386" s="74"/>
      <c r="BE386" s="74"/>
      <c r="BF386" s="74"/>
      <c r="BG386" s="74"/>
      <c r="BH386" s="74"/>
      <c r="BI386" s="74"/>
    </row>
    <row r="387" spans="4:61" x14ac:dyDescent="0.3">
      <c r="D387" s="76"/>
      <c r="E387" s="76"/>
      <c r="F387" s="76" t="str">
        <f t="shared" si="54"/>
        <v/>
      </c>
      <c r="G387" s="183" t="str">
        <f>IF(F387 = "","",IFERROR(IF($G$1 = "YTM",_xll.CbondsCalcYTM($B$1,D387,F387),_xll.CbondsCalcYTP($B$1,D387,F387)),"")*100)</f>
        <v/>
      </c>
      <c r="U387" s="74"/>
      <c r="V387" s="74"/>
      <c r="W387" s="74"/>
      <c r="X387" s="74"/>
      <c r="Y387" s="74"/>
      <c r="Z387" s="74"/>
      <c r="AA387" s="74"/>
      <c r="AB387" s="74"/>
      <c r="AC387" s="74"/>
      <c r="AJ387" s="74"/>
      <c r="AK387" s="74"/>
      <c r="AL387" s="74"/>
      <c r="AM387" s="74"/>
      <c r="AN387" s="74"/>
      <c r="AO387" s="74"/>
      <c r="AP387" s="74"/>
      <c r="AQ387" s="74"/>
      <c r="AR387" s="74"/>
      <c r="AS387" s="74"/>
      <c r="BD387" s="74"/>
      <c r="BE387" s="74"/>
      <c r="BF387" s="74"/>
      <c r="BG387" s="74"/>
      <c r="BH387" s="74"/>
      <c r="BI387" s="74"/>
    </row>
    <row r="388" spans="4:61" x14ac:dyDescent="0.3">
      <c r="D388" s="76"/>
      <c r="E388" s="76"/>
      <c r="F388" s="76" t="str">
        <f t="shared" ref="F388:F451" si="55">IF(AND(E388="",D388=""),"",IF(AND(E388="",D388&lt;&gt;""),F387,E388))</f>
        <v/>
      </c>
      <c r="G388" s="183" t="str">
        <f>IF(F388 = "","",IFERROR(IF($G$1 = "YTM",_xll.CbondsCalcYTM($B$1,D388,F388),_xll.CbondsCalcYTP($B$1,D388,F388)),"")*100)</f>
        <v/>
      </c>
      <c r="U388" s="74"/>
      <c r="V388" s="74"/>
      <c r="W388" s="74"/>
      <c r="X388" s="74"/>
      <c r="Y388" s="74"/>
      <c r="Z388" s="74"/>
      <c r="AA388" s="74"/>
      <c r="AB388" s="74"/>
      <c r="AC388" s="74"/>
      <c r="AJ388" s="74"/>
      <c r="AK388" s="74"/>
      <c r="AL388" s="74"/>
      <c r="AM388" s="74"/>
      <c r="AN388" s="74"/>
      <c r="AO388" s="74"/>
      <c r="AP388" s="74"/>
      <c r="AQ388" s="74"/>
      <c r="AR388" s="74"/>
      <c r="AS388" s="74"/>
      <c r="BD388" s="74"/>
      <c r="BE388" s="74"/>
      <c r="BF388" s="74"/>
      <c r="BG388" s="74"/>
      <c r="BH388" s="74"/>
      <c r="BI388" s="74"/>
    </row>
    <row r="389" spans="4:61" x14ac:dyDescent="0.3">
      <c r="D389" s="76"/>
      <c r="E389" s="76"/>
      <c r="F389" s="76" t="str">
        <f t="shared" si="55"/>
        <v/>
      </c>
      <c r="G389" s="183" t="str">
        <f>IF(F389 = "","",IFERROR(IF($G$1 = "YTM",_xll.CbondsCalcYTM($B$1,D389,F389),_xll.CbondsCalcYTP($B$1,D389,F389)),"")*100)</f>
        <v/>
      </c>
      <c r="U389" s="74"/>
      <c r="V389" s="74"/>
      <c r="W389" s="74"/>
      <c r="X389" s="74"/>
      <c r="Y389" s="74"/>
      <c r="Z389" s="74"/>
      <c r="AA389" s="74"/>
      <c r="AB389" s="74"/>
      <c r="AC389" s="74"/>
      <c r="AJ389" s="74"/>
      <c r="AK389" s="74"/>
      <c r="AL389" s="74"/>
      <c r="AM389" s="74"/>
      <c r="AN389" s="74"/>
      <c r="AO389" s="74"/>
      <c r="AP389" s="74"/>
      <c r="AQ389" s="74"/>
      <c r="AR389" s="74"/>
      <c r="AS389" s="74"/>
      <c r="BD389" s="74"/>
      <c r="BE389" s="74"/>
      <c r="BF389" s="74"/>
      <c r="BG389" s="74"/>
      <c r="BH389" s="74"/>
      <c r="BI389" s="74"/>
    </row>
    <row r="390" spans="4:61" x14ac:dyDescent="0.3">
      <c r="D390" s="76"/>
      <c r="E390" s="76"/>
      <c r="F390" s="76" t="str">
        <f t="shared" si="55"/>
        <v/>
      </c>
      <c r="G390" s="183" t="str">
        <f>IF(F390 = "","",IFERROR(IF($G$1 = "YTM",_xll.CbondsCalcYTM($B$1,D390,F390),_xll.CbondsCalcYTP($B$1,D390,F390)),"")*100)</f>
        <v/>
      </c>
      <c r="U390" s="74"/>
      <c r="V390" s="74"/>
      <c r="W390" s="74"/>
      <c r="X390" s="74"/>
      <c r="Y390" s="74"/>
      <c r="Z390" s="74"/>
      <c r="AA390" s="74"/>
      <c r="AB390" s="74"/>
      <c r="AC390" s="74"/>
      <c r="AJ390" s="74"/>
      <c r="AK390" s="74"/>
      <c r="AL390" s="74"/>
      <c r="AM390" s="74"/>
      <c r="AN390" s="74"/>
      <c r="AO390" s="74"/>
      <c r="AP390" s="74"/>
      <c r="AQ390" s="74"/>
      <c r="AR390" s="74"/>
      <c r="AS390" s="74"/>
      <c r="BD390" s="74"/>
      <c r="BE390" s="74"/>
      <c r="BF390" s="74"/>
      <c r="BG390" s="74"/>
      <c r="BH390" s="74"/>
      <c r="BI390" s="74"/>
    </row>
    <row r="391" spans="4:61" x14ac:dyDescent="0.3">
      <c r="D391" s="76"/>
      <c r="E391" s="76"/>
      <c r="F391" s="76" t="str">
        <f t="shared" si="55"/>
        <v/>
      </c>
      <c r="G391" s="183" t="str">
        <f>IF(F391 = "","",IFERROR(IF($G$1 = "YTM",_xll.CbondsCalcYTM($B$1,D391,F391),_xll.CbondsCalcYTP($B$1,D391,F391)),"")*100)</f>
        <v/>
      </c>
      <c r="U391" s="74"/>
      <c r="V391" s="74"/>
      <c r="W391" s="74"/>
      <c r="X391" s="74"/>
      <c r="Y391" s="74"/>
      <c r="Z391" s="74"/>
      <c r="AA391" s="74"/>
      <c r="AB391" s="74"/>
      <c r="AC391" s="74"/>
      <c r="AJ391" s="74"/>
      <c r="AK391" s="74"/>
      <c r="AL391" s="74"/>
      <c r="AM391" s="74"/>
      <c r="AN391" s="74"/>
      <c r="AO391" s="74"/>
      <c r="AP391" s="74"/>
      <c r="AQ391" s="74"/>
      <c r="AR391" s="74"/>
      <c r="AS391" s="74"/>
      <c r="BD391" s="74"/>
      <c r="BE391" s="74"/>
      <c r="BF391" s="74"/>
      <c r="BG391" s="74"/>
      <c r="BH391" s="74"/>
      <c r="BI391" s="74"/>
    </row>
    <row r="392" spans="4:61" x14ac:dyDescent="0.3">
      <c r="D392" s="76"/>
      <c r="E392" s="76"/>
      <c r="F392" s="76" t="str">
        <f t="shared" si="55"/>
        <v/>
      </c>
      <c r="G392" s="183" t="str">
        <f>IF(F392 = "","",IFERROR(IF($G$1 = "YTM",_xll.CbondsCalcYTM($B$1,D392,F392),_xll.CbondsCalcYTP($B$1,D392,F392)),"")*100)</f>
        <v/>
      </c>
      <c r="U392" s="74"/>
      <c r="V392" s="74"/>
      <c r="W392" s="74"/>
      <c r="X392" s="74"/>
      <c r="Y392" s="74"/>
      <c r="Z392" s="74"/>
      <c r="AA392" s="74"/>
      <c r="AB392" s="74"/>
      <c r="AC392" s="74"/>
      <c r="AJ392" s="74"/>
      <c r="AK392" s="74"/>
      <c r="AL392" s="74"/>
      <c r="AM392" s="74"/>
      <c r="AN392" s="74"/>
      <c r="AO392" s="74"/>
      <c r="AP392" s="74"/>
      <c r="AQ392" s="74"/>
      <c r="AR392" s="74"/>
      <c r="AS392" s="74"/>
      <c r="BD392" s="74"/>
      <c r="BE392" s="74"/>
      <c r="BF392" s="74"/>
      <c r="BG392" s="74"/>
      <c r="BH392" s="74"/>
      <c r="BI392" s="74"/>
    </row>
    <row r="393" spans="4:61" x14ac:dyDescent="0.3">
      <c r="D393" s="76"/>
      <c r="E393" s="76"/>
      <c r="F393" s="76" t="str">
        <f t="shared" si="55"/>
        <v/>
      </c>
      <c r="G393" s="183" t="str">
        <f>IF(F393 = "","",IFERROR(IF($G$1 = "YTM",_xll.CbondsCalcYTM($B$1,D393,F393),_xll.CbondsCalcYTP($B$1,D393,F393)),"")*100)</f>
        <v/>
      </c>
      <c r="U393" s="74"/>
      <c r="V393" s="74"/>
      <c r="W393" s="74"/>
      <c r="X393" s="74"/>
      <c r="Y393" s="74"/>
      <c r="Z393" s="74"/>
      <c r="AA393" s="74"/>
      <c r="AB393" s="74"/>
      <c r="AC393" s="74"/>
      <c r="AJ393" s="74"/>
      <c r="AK393" s="74"/>
      <c r="AL393" s="74"/>
      <c r="AM393" s="74"/>
      <c r="AN393" s="74"/>
      <c r="AO393" s="74"/>
      <c r="AP393" s="74"/>
      <c r="AQ393" s="74"/>
      <c r="AR393" s="74"/>
      <c r="AS393" s="74"/>
      <c r="BD393" s="74"/>
      <c r="BE393" s="74"/>
      <c r="BF393" s="74"/>
      <c r="BG393" s="74"/>
      <c r="BH393" s="74"/>
      <c r="BI393" s="74"/>
    </row>
    <row r="394" spans="4:61" x14ac:dyDescent="0.3">
      <c r="D394" s="76"/>
      <c r="E394" s="76"/>
      <c r="F394" s="76" t="str">
        <f t="shared" si="55"/>
        <v/>
      </c>
      <c r="G394" s="183" t="str">
        <f>IF(F394 = "","",IFERROR(IF($G$1 = "YTM",_xll.CbondsCalcYTM($B$1,D394,F394),_xll.CbondsCalcYTP($B$1,D394,F394)),"")*100)</f>
        <v/>
      </c>
      <c r="U394" s="74"/>
      <c r="V394" s="74"/>
      <c r="W394" s="74"/>
      <c r="X394" s="74"/>
      <c r="Y394" s="74"/>
      <c r="Z394" s="74"/>
      <c r="AA394" s="74"/>
      <c r="AB394" s="74"/>
      <c r="AC394" s="74"/>
      <c r="AJ394" s="74"/>
      <c r="AK394" s="74"/>
      <c r="AL394" s="74"/>
      <c r="AM394" s="74"/>
      <c r="AN394" s="74"/>
      <c r="AO394" s="74"/>
      <c r="AP394" s="74"/>
      <c r="AQ394" s="74"/>
      <c r="AR394" s="74"/>
      <c r="AS394" s="74"/>
      <c r="BD394" s="74"/>
      <c r="BE394" s="74"/>
      <c r="BF394" s="74"/>
      <c r="BG394" s="74"/>
      <c r="BH394" s="74"/>
      <c r="BI394" s="74"/>
    </row>
    <row r="395" spans="4:61" x14ac:dyDescent="0.3">
      <c r="D395" s="76"/>
      <c r="E395" s="76"/>
      <c r="F395" s="76" t="str">
        <f t="shared" si="55"/>
        <v/>
      </c>
      <c r="G395" s="183" t="str">
        <f>IF(F395 = "","",IFERROR(IF($G$1 = "YTM",_xll.CbondsCalcYTM($B$1,D395,F395),_xll.CbondsCalcYTP($B$1,D395,F395)),"")*100)</f>
        <v/>
      </c>
      <c r="U395" s="74"/>
      <c r="V395" s="74"/>
      <c r="W395" s="74"/>
      <c r="X395" s="74"/>
      <c r="Y395" s="74"/>
      <c r="Z395" s="74"/>
      <c r="AA395" s="74"/>
      <c r="AB395" s="74"/>
      <c r="AC395" s="74"/>
      <c r="AJ395" s="74"/>
      <c r="AK395" s="74"/>
      <c r="AL395" s="74"/>
      <c r="AM395" s="74"/>
      <c r="AN395" s="74"/>
      <c r="AO395" s="74"/>
      <c r="AP395" s="74"/>
      <c r="AQ395" s="74"/>
      <c r="AR395" s="74"/>
      <c r="AS395" s="74"/>
      <c r="BD395" s="74"/>
      <c r="BE395" s="74"/>
      <c r="BF395" s="74"/>
      <c r="BG395" s="74"/>
      <c r="BH395" s="74"/>
      <c r="BI395" s="74"/>
    </row>
    <row r="396" spans="4:61" x14ac:dyDescent="0.3">
      <c r="D396" s="76"/>
      <c r="E396" s="76"/>
      <c r="F396" s="76" t="str">
        <f t="shared" si="55"/>
        <v/>
      </c>
      <c r="G396" s="183" t="str">
        <f>IF(F396 = "","",IFERROR(IF($G$1 = "YTM",_xll.CbondsCalcYTM($B$1,D396,F396),_xll.CbondsCalcYTP($B$1,D396,F396)),"")*100)</f>
        <v/>
      </c>
      <c r="U396" s="74"/>
      <c r="V396" s="74"/>
      <c r="W396" s="74"/>
      <c r="X396" s="74"/>
      <c r="Y396" s="74"/>
      <c r="Z396" s="74"/>
      <c r="AA396" s="74"/>
      <c r="AB396" s="74"/>
      <c r="AC396" s="74"/>
      <c r="AJ396" s="74"/>
      <c r="AK396" s="74"/>
      <c r="AL396" s="74"/>
      <c r="AM396" s="74"/>
      <c r="AN396" s="74"/>
      <c r="AO396" s="74"/>
      <c r="AP396" s="74"/>
      <c r="AQ396" s="74"/>
      <c r="AR396" s="74"/>
      <c r="AS396" s="74"/>
      <c r="BD396" s="74"/>
      <c r="BE396" s="74"/>
      <c r="BF396" s="74"/>
      <c r="BG396" s="74"/>
      <c r="BH396" s="74"/>
      <c r="BI396" s="74"/>
    </row>
    <row r="397" spans="4:61" x14ac:dyDescent="0.3">
      <c r="D397" s="76"/>
      <c r="E397" s="76"/>
      <c r="F397" s="76" t="str">
        <f t="shared" si="55"/>
        <v/>
      </c>
      <c r="G397" s="183" t="str">
        <f>IF(F397 = "","",IFERROR(IF($G$1 = "YTM",_xll.CbondsCalcYTM($B$1,D397,F397),_xll.CbondsCalcYTP($B$1,D397,F397)),"")*100)</f>
        <v/>
      </c>
      <c r="U397" s="74"/>
      <c r="V397" s="74"/>
      <c r="W397" s="74"/>
      <c r="X397" s="74"/>
      <c r="Y397" s="74"/>
      <c r="Z397" s="74"/>
      <c r="AA397" s="74"/>
      <c r="AB397" s="74"/>
      <c r="AC397" s="74"/>
      <c r="AJ397" s="74"/>
      <c r="AK397" s="74"/>
      <c r="AL397" s="74"/>
      <c r="AM397" s="74"/>
      <c r="AN397" s="74"/>
      <c r="AO397" s="74"/>
      <c r="AP397" s="74"/>
      <c r="AQ397" s="74"/>
      <c r="AR397" s="74"/>
      <c r="AS397" s="74"/>
      <c r="BD397" s="74"/>
      <c r="BE397" s="74"/>
      <c r="BF397" s="74"/>
      <c r="BG397" s="74"/>
      <c r="BH397" s="74"/>
      <c r="BI397" s="74"/>
    </row>
    <row r="398" spans="4:61" x14ac:dyDescent="0.3">
      <c r="D398" s="76"/>
      <c r="E398" s="76"/>
      <c r="F398" s="76" t="str">
        <f t="shared" si="55"/>
        <v/>
      </c>
      <c r="G398" s="183" t="str">
        <f>IF(F398 = "","",IFERROR(IF($G$1 = "YTM",_xll.CbondsCalcYTM($B$1,D398,F398),_xll.CbondsCalcYTP($B$1,D398,F398)),"")*100)</f>
        <v/>
      </c>
      <c r="U398" s="74"/>
      <c r="V398" s="74"/>
      <c r="W398" s="74"/>
      <c r="X398" s="74"/>
      <c r="Y398" s="74"/>
      <c r="Z398" s="74"/>
      <c r="AA398" s="74"/>
      <c r="AB398" s="74"/>
      <c r="AC398" s="74"/>
      <c r="AJ398" s="74"/>
      <c r="AK398" s="74"/>
      <c r="AL398" s="74"/>
      <c r="AM398" s="74"/>
      <c r="AN398" s="74"/>
      <c r="AO398" s="74"/>
      <c r="AP398" s="74"/>
      <c r="AQ398" s="74"/>
      <c r="AR398" s="74"/>
      <c r="AS398" s="74"/>
      <c r="BD398" s="74"/>
      <c r="BE398" s="74"/>
      <c r="BF398" s="74"/>
      <c r="BG398" s="74"/>
      <c r="BH398" s="74"/>
      <c r="BI398" s="74"/>
    </row>
    <row r="399" spans="4:61" x14ac:dyDescent="0.3">
      <c r="D399" s="76"/>
      <c r="E399" s="76"/>
      <c r="F399" s="76" t="str">
        <f t="shared" si="55"/>
        <v/>
      </c>
      <c r="G399" s="183" t="str">
        <f>IF(F399 = "","",IFERROR(IF($G$1 = "YTM",_xll.CbondsCalcYTM($B$1,D399,F399),_xll.CbondsCalcYTP($B$1,D399,F399)),"")*100)</f>
        <v/>
      </c>
      <c r="U399" s="74"/>
      <c r="V399" s="74"/>
      <c r="W399" s="74"/>
      <c r="X399" s="74"/>
      <c r="Y399" s="74"/>
      <c r="Z399" s="74"/>
      <c r="AA399" s="74"/>
      <c r="AB399" s="74"/>
      <c r="AC399" s="74"/>
      <c r="AJ399" s="74"/>
      <c r="AK399" s="74"/>
      <c r="AL399" s="74"/>
      <c r="AM399" s="74"/>
      <c r="AN399" s="74"/>
      <c r="AO399" s="74"/>
      <c r="AP399" s="74"/>
      <c r="AQ399" s="74"/>
      <c r="AR399" s="74"/>
      <c r="AS399" s="74"/>
      <c r="BD399" s="74"/>
      <c r="BE399" s="74"/>
      <c r="BF399" s="74"/>
      <c r="BG399" s="74"/>
      <c r="BH399" s="74"/>
      <c r="BI399" s="74"/>
    </row>
    <row r="400" spans="4:61" x14ac:dyDescent="0.3">
      <c r="D400" s="76"/>
      <c r="E400" s="76"/>
      <c r="F400" s="76" t="str">
        <f t="shared" si="55"/>
        <v/>
      </c>
      <c r="G400" s="183" t="str">
        <f>IF(F400 = "","",IFERROR(IF($G$1 = "YTM",_xll.CbondsCalcYTM($B$1,D400,F400),_xll.CbondsCalcYTP($B$1,D400,F400)),"")*100)</f>
        <v/>
      </c>
      <c r="U400" s="74"/>
      <c r="V400" s="74"/>
      <c r="W400" s="74"/>
      <c r="X400" s="74"/>
      <c r="Y400" s="74"/>
      <c r="Z400" s="74"/>
      <c r="AA400" s="74"/>
      <c r="AB400" s="74"/>
      <c r="AC400" s="74"/>
      <c r="AJ400" s="74"/>
      <c r="AK400" s="74"/>
      <c r="AL400" s="74"/>
      <c r="AM400" s="74"/>
      <c r="AN400" s="74"/>
      <c r="AO400" s="74"/>
      <c r="AP400" s="74"/>
      <c r="AQ400" s="74"/>
      <c r="AR400" s="74"/>
      <c r="AS400" s="74"/>
      <c r="BD400" s="74"/>
      <c r="BE400" s="74"/>
      <c r="BF400" s="74"/>
      <c r="BG400" s="74"/>
      <c r="BH400" s="74"/>
      <c r="BI400" s="74"/>
    </row>
    <row r="401" spans="4:61" x14ac:dyDescent="0.3">
      <c r="D401" s="76"/>
      <c r="E401" s="76"/>
      <c r="F401" s="76" t="str">
        <f t="shared" si="55"/>
        <v/>
      </c>
      <c r="G401" s="183" t="str">
        <f>IF(F401 = "","",IFERROR(IF($G$1 = "YTM",_xll.CbondsCalcYTM($B$1,D401,F401),_xll.CbondsCalcYTP($B$1,D401,F401)),"")*100)</f>
        <v/>
      </c>
      <c r="U401" s="74"/>
      <c r="V401" s="74"/>
      <c r="W401" s="74"/>
      <c r="X401" s="74"/>
      <c r="Y401" s="74"/>
      <c r="Z401" s="74"/>
      <c r="AA401" s="74"/>
      <c r="AB401" s="74"/>
      <c r="AC401" s="74"/>
      <c r="AJ401" s="74"/>
      <c r="AK401" s="74"/>
      <c r="AL401" s="74"/>
      <c r="AM401" s="74"/>
      <c r="AN401" s="74"/>
      <c r="AO401" s="74"/>
      <c r="AP401" s="74"/>
      <c r="AQ401" s="74"/>
      <c r="AR401" s="74"/>
      <c r="AS401" s="74"/>
      <c r="BD401" s="74"/>
      <c r="BE401" s="74"/>
      <c r="BF401" s="74"/>
      <c r="BG401" s="74"/>
      <c r="BH401" s="74"/>
      <c r="BI401" s="74"/>
    </row>
    <row r="402" spans="4:61" x14ac:dyDescent="0.3">
      <c r="D402" s="76"/>
      <c r="E402" s="76"/>
      <c r="F402" s="76" t="str">
        <f t="shared" si="55"/>
        <v/>
      </c>
      <c r="G402" s="183" t="str">
        <f>IF(F402 = "","",IFERROR(IF($G$1 = "YTM",_xll.CbondsCalcYTM($B$1,D402,F402),_xll.CbondsCalcYTP($B$1,D402,F402)),"")*100)</f>
        <v/>
      </c>
      <c r="U402" s="74"/>
      <c r="V402" s="74"/>
      <c r="W402" s="74"/>
      <c r="X402" s="74"/>
      <c r="Y402" s="74"/>
      <c r="Z402" s="74"/>
      <c r="AA402" s="74"/>
      <c r="AB402" s="74"/>
      <c r="AC402" s="74"/>
      <c r="AJ402" s="74"/>
      <c r="AK402" s="74"/>
      <c r="AL402" s="74"/>
      <c r="AM402" s="74"/>
      <c r="AN402" s="74"/>
      <c r="AO402" s="74"/>
      <c r="AP402" s="74"/>
      <c r="AQ402" s="74"/>
      <c r="AR402" s="74"/>
      <c r="AS402" s="74"/>
      <c r="BD402" s="74"/>
      <c r="BE402" s="74"/>
      <c r="BF402" s="74"/>
      <c r="BG402" s="74"/>
      <c r="BH402" s="74"/>
      <c r="BI402" s="74"/>
    </row>
    <row r="403" spans="4:61" x14ac:dyDescent="0.3">
      <c r="D403" s="76"/>
      <c r="E403" s="76"/>
      <c r="F403" s="76" t="str">
        <f t="shared" si="55"/>
        <v/>
      </c>
      <c r="G403" s="183" t="str">
        <f>IF(F403 = "","",IFERROR(IF($G$1 = "YTM",_xll.CbondsCalcYTM($B$1,D403,F403),_xll.CbondsCalcYTP($B$1,D403,F403)),"")*100)</f>
        <v/>
      </c>
      <c r="U403" s="74"/>
      <c r="V403" s="74"/>
      <c r="W403" s="74"/>
      <c r="X403" s="74"/>
      <c r="Y403" s="74"/>
      <c r="Z403" s="74"/>
      <c r="AA403" s="74"/>
      <c r="AB403" s="74"/>
      <c r="AC403" s="74"/>
      <c r="AJ403" s="74"/>
      <c r="AK403" s="74"/>
      <c r="AL403" s="74"/>
      <c r="AM403" s="74"/>
      <c r="AN403" s="74"/>
      <c r="AO403" s="74"/>
      <c r="AP403" s="74"/>
      <c r="AQ403" s="74"/>
      <c r="AR403" s="74"/>
      <c r="AS403" s="74"/>
      <c r="BD403" s="74"/>
      <c r="BE403" s="74"/>
      <c r="BF403" s="74"/>
      <c r="BG403" s="74"/>
      <c r="BH403" s="74"/>
      <c r="BI403" s="74"/>
    </row>
    <row r="404" spans="4:61" x14ac:dyDescent="0.3">
      <c r="D404" s="76"/>
      <c r="E404" s="76"/>
      <c r="F404" s="76" t="str">
        <f t="shared" si="55"/>
        <v/>
      </c>
      <c r="G404" s="183" t="str">
        <f>IF(F404 = "","",IFERROR(IF($G$1 = "YTM",_xll.CbondsCalcYTM($B$1,D404,F404),_xll.CbondsCalcYTP($B$1,D404,F404)),"")*100)</f>
        <v/>
      </c>
      <c r="U404" s="74"/>
      <c r="V404" s="74"/>
      <c r="W404" s="74"/>
      <c r="X404" s="74"/>
      <c r="Y404" s="74"/>
      <c r="Z404" s="74"/>
      <c r="AA404" s="74"/>
      <c r="AB404" s="74"/>
      <c r="AC404" s="74"/>
      <c r="AJ404" s="74"/>
      <c r="AK404" s="74"/>
      <c r="AL404" s="74"/>
      <c r="AM404" s="74"/>
      <c r="AN404" s="74"/>
      <c r="AO404" s="74"/>
      <c r="AP404" s="74"/>
      <c r="AQ404" s="74"/>
      <c r="AR404" s="74"/>
      <c r="AS404" s="74"/>
      <c r="BD404" s="74"/>
      <c r="BE404" s="74"/>
      <c r="BF404" s="74"/>
      <c r="BG404" s="74"/>
      <c r="BH404" s="74"/>
      <c r="BI404" s="74"/>
    </row>
    <row r="405" spans="4:61" x14ac:dyDescent="0.3">
      <c r="D405" s="76"/>
      <c r="E405" s="76"/>
      <c r="F405" s="76" t="str">
        <f t="shared" si="55"/>
        <v/>
      </c>
      <c r="G405" s="183" t="str">
        <f>IF(F405 = "","",IFERROR(IF($G$1 = "YTM",_xll.CbondsCalcYTM($B$1,D405,F405),_xll.CbondsCalcYTP($B$1,D405,F405)),"")*100)</f>
        <v/>
      </c>
      <c r="U405" s="74"/>
      <c r="V405" s="74"/>
      <c r="W405" s="74"/>
      <c r="X405" s="74"/>
      <c r="Y405" s="74"/>
      <c r="Z405" s="74"/>
      <c r="AA405" s="74"/>
      <c r="AB405" s="74"/>
      <c r="AC405" s="74"/>
      <c r="AJ405" s="74"/>
      <c r="AK405" s="74"/>
      <c r="AL405" s="74"/>
      <c r="AM405" s="74"/>
      <c r="AN405" s="74"/>
      <c r="AO405" s="74"/>
      <c r="AP405" s="74"/>
      <c r="AQ405" s="74"/>
      <c r="AR405" s="74"/>
      <c r="AS405" s="74"/>
      <c r="BD405" s="74"/>
      <c r="BE405" s="74"/>
      <c r="BF405" s="74"/>
      <c r="BG405" s="74"/>
      <c r="BH405" s="74"/>
      <c r="BI405" s="74"/>
    </row>
    <row r="406" spans="4:61" x14ac:dyDescent="0.3">
      <c r="D406" s="76"/>
      <c r="E406" s="76"/>
      <c r="F406" s="76" t="str">
        <f t="shared" si="55"/>
        <v/>
      </c>
      <c r="G406" s="183" t="str">
        <f>IF(F406 = "","",IFERROR(IF($G$1 = "YTM",_xll.CbondsCalcYTM($B$1,D406,F406),_xll.CbondsCalcYTP($B$1,D406,F406)),"")*100)</f>
        <v/>
      </c>
      <c r="U406" s="74"/>
      <c r="V406" s="74"/>
      <c r="W406" s="74"/>
      <c r="X406" s="74"/>
      <c r="Y406" s="74"/>
      <c r="Z406" s="74"/>
      <c r="AA406" s="74"/>
      <c r="AB406" s="74"/>
      <c r="AC406" s="74"/>
      <c r="AJ406" s="74"/>
      <c r="AK406" s="74"/>
      <c r="AL406" s="74"/>
      <c r="AM406" s="74"/>
      <c r="AN406" s="74"/>
      <c r="AO406" s="74"/>
      <c r="AP406" s="74"/>
      <c r="AQ406" s="74"/>
      <c r="AR406" s="74"/>
      <c r="AS406" s="74"/>
      <c r="BD406" s="74"/>
      <c r="BE406" s="74"/>
      <c r="BF406" s="74"/>
      <c r="BG406" s="74"/>
      <c r="BH406" s="74"/>
      <c r="BI406" s="74"/>
    </row>
    <row r="407" spans="4:61" x14ac:dyDescent="0.3">
      <c r="D407" s="76"/>
      <c r="E407" s="76"/>
      <c r="F407" s="76" t="str">
        <f t="shared" si="55"/>
        <v/>
      </c>
      <c r="G407" s="183" t="str">
        <f>IF(F407 = "","",IFERROR(IF($G$1 = "YTM",_xll.CbondsCalcYTM($B$1,D407,F407),_xll.CbondsCalcYTP($B$1,D407,F407)),"")*100)</f>
        <v/>
      </c>
      <c r="U407" s="74"/>
      <c r="V407" s="74"/>
      <c r="W407" s="74"/>
      <c r="X407" s="74"/>
      <c r="Y407" s="74"/>
      <c r="Z407" s="74"/>
      <c r="AA407" s="74"/>
      <c r="AB407" s="74"/>
      <c r="AC407" s="74"/>
      <c r="AJ407" s="74"/>
      <c r="AK407" s="74"/>
      <c r="AL407" s="74"/>
      <c r="AM407" s="74"/>
      <c r="AN407" s="74"/>
      <c r="AO407" s="74"/>
      <c r="AP407" s="74"/>
      <c r="AQ407" s="74"/>
      <c r="AR407" s="74"/>
      <c r="AS407" s="74"/>
      <c r="BD407" s="74"/>
      <c r="BE407" s="74"/>
      <c r="BF407" s="74"/>
      <c r="BG407" s="74"/>
      <c r="BH407" s="74"/>
      <c r="BI407" s="74"/>
    </row>
    <row r="408" spans="4:61" x14ac:dyDescent="0.3">
      <c r="D408" s="76"/>
      <c r="E408" s="76"/>
      <c r="F408" s="76" t="str">
        <f t="shared" si="55"/>
        <v/>
      </c>
      <c r="G408" s="183" t="str">
        <f>IF(F408 = "","",IFERROR(IF($G$1 = "YTM",_xll.CbondsCalcYTM($B$1,D408,F408),_xll.CbondsCalcYTP($B$1,D408,F408)),"")*100)</f>
        <v/>
      </c>
      <c r="U408" s="74"/>
      <c r="V408" s="74"/>
      <c r="W408" s="74"/>
      <c r="X408" s="74"/>
      <c r="Y408" s="74"/>
      <c r="Z408" s="74"/>
      <c r="AA408" s="74"/>
      <c r="AB408" s="74"/>
      <c r="AC408" s="74"/>
      <c r="AJ408" s="74"/>
      <c r="AK408" s="74"/>
      <c r="AL408" s="74"/>
      <c r="AM408" s="74"/>
      <c r="AN408" s="74"/>
      <c r="AO408" s="74"/>
      <c r="AP408" s="74"/>
      <c r="AQ408" s="74"/>
      <c r="AR408" s="74"/>
      <c r="AS408" s="74"/>
      <c r="BD408" s="74"/>
      <c r="BE408" s="74"/>
      <c r="BF408" s="74"/>
      <c r="BG408" s="74"/>
      <c r="BH408" s="74"/>
      <c r="BI408" s="74"/>
    </row>
    <row r="409" spans="4:61" x14ac:dyDescent="0.3">
      <c r="D409" s="76"/>
      <c r="E409" s="76"/>
      <c r="F409" s="76" t="str">
        <f t="shared" si="55"/>
        <v/>
      </c>
      <c r="G409" s="183" t="str">
        <f>IF(F409 = "","",IFERROR(IF($G$1 = "YTM",_xll.CbondsCalcYTM($B$1,D409,F409),_xll.CbondsCalcYTP($B$1,D409,F409)),"")*100)</f>
        <v/>
      </c>
      <c r="U409" s="74"/>
      <c r="V409" s="74"/>
      <c r="W409" s="74"/>
      <c r="X409" s="74"/>
      <c r="Y409" s="74"/>
      <c r="Z409" s="74"/>
      <c r="AA409" s="74"/>
      <c r="AB409" s="74"/>
      <c r="AC409" s="74"/>
      <c r="AJ409" s="74"/>
      <c r="AK409" s="74"/>
      <c r="AL409" s="74"/>
      <c r="AM409" s="74"/>
      <c r="AN409" s="74"/>
      <c r="AO409" s="74"/>
      <c r="AP409" s="74"/>
      <c r="AQ409" s="74"/>
      <c r="AR409" s="74"/>
      <c r="AS409" s="74"/>
      <c r="BD409" s="74"/>
      <c r="BE409" s="74"/>
      <c r="BF409" s="74"/>
      <c r="BG409" s="74"/>
      <c r="BH409" s="74"/>
      <c r="BI409" s="74"/>
    </row>
    <row r="410" spans="4:61" x14ac:dyDescent="0.3">
      <c r="D410" s="76"/>
      <c r="E410" s="76"/>
      <c r="F410" s="76" t="str">
        <f t="shared" si="55"/>
        <v/>
      </c>
      <c r="G410" s="183" t="str">
        <f>IF(F410 = "","",IFERROR(IF($G$1 = "YTM",_xll.CbondsCalcYTM($B$1,D410,F410),_xll.CbondsCalcYTP($B$1,D410,F410)),"")*100)</f>
        <v/>
      </c>
      <c r="U410" s="74"/>
      <c r="V410" s="74"/>
      <c r="W410" s="74"/>
      <c r="X410" s="74"/>
      <c r="Y410" s="74"/>
      <c r="Z410" s="74"/>
      <c r="AA410" s="74"/>
      <c r="AB410" s="74"/>
      <c r="AC410" s="74"/>
      <c r="AJ410" s="74"/>
      <c r="AK410" s="74"/>
      <c r="AL410" s="74"/>
      <c r="AM410" s="74"/>
      <c r="AN410" s="74"/>
      <c r="AO410" s="74"/>
      <c r="AP410" s="74"/>
      <c r="AQ410" s="74"/>
      <c r="AR410" s="74"/>
      <c r="AS410" s="74"/>
      <c r="BD410" s="74"/>
      <c r="BE410" s="74"/>
      <c r="BF410" s="74"/>
      <c r="BG410" s="74"/>
      <c r="BH410" s="74"/>
      <c r="BI410" s="74"/>
    </row>
    <row r="411" spans="4:61" x14ac:dyDescent="0.3">
      <c r="D411" s="76"/>
      <c r="E411" s="76"/>
      <c r="F411" s="76" t="str">
        <f t="shared" si="55"/>
        <v/>
      </c>
      <c r="G411" s="183" t="str">
        <f>IF(F411 = "","",IFERROR(IF($G$1 = "YTM",_xll.CbondsCalcYTM($B$1,D411,F411),_xll.CbondsCalcYTP($B$1,D411,F411)),"")*100)</f>
        <v/>
      </c>
      <c r="U411" s="74"/>
      <c r="V411" s="74"/>
      <c r="W411" s="74"/>
      <c r="X411" s="74"/>
      <c r="Y411" s="74"/>
      <c r="Z411" s="74"/>
      <c r="AA411" s="74"/>
      <c r="AB411" s="74"/>
      <c r="AC411" s="74"/>
      <c r="AJ411" s="74"/>
      <c r="AK411" s="74"/>
      <c r="AL411" s="74"/>
      <c r="AM411" s="74"/>
      <c r="AN411" s="74"/>
      <c r="AO411" s="74"/>
      <c r="AP411" s="74"/>
      <c r="AQ411" s="74"/>
      <c r="AR411" s="74"/>
      <c r="AS411" s="74"/>
      <c r="BD411" s="74"/>
      <c r="BE411" s="74"/>
      <c r="BF411" s="74"/>
      <c r="BG411" s="74"/>
      <c r="BH411" s="74"/>
      <c r="BI411" s="74"/>
    </row>
    <row r="412" spans="4:61" x14ac:dyDescent="0.3">
      <c r="D412" s="76"/>
      <c r="E412" s="76"/>
      <c r="F412" s="76" t="str">
        <f t="shared" si="55"/>
        <v/>
      </c>
      <c r="G412" s="183" t="str">
        <f>IF(F412 = "","",IFERROR(IF($G$1 = "YTM",_xll.CbondsCalcYTM($B$1,D412,F412),_xll.CbondsCalcYTP($B$1,D412,F412)),"")*100)</f>
        <v/>
      </c>
      <c r="U412" s="74"/>
      <c r="V412" s="74"/>
      <c r="W412" s="74"/>
      <c r="X412" s="74"/>
      <c r="Y412" s="74"/>
      <c r="Z412" s="74"/>
      <c r="AA412" s="74"/>
      <c r="AB412" s="74"/>
      <c r="AC412" s="74"/>
      <c r="AJ412" s="74"/>
      <c r="AK412" s="74"/>
      <c r="AL412" s="74"/>
      <c r="AM412" s="74"/>
      <c r="AN412" s="74"/>
      <c r="AO412" s="74"/>
      <c r="AP412" s="74"/>
      <c r="AQ412" s="74"/>
      <c r="AR412" s="74"/>
      <c r="AS412" s="74"/>
      <c r="BD412" s="74"/>
      <c r="BE412" s="74"/>
      <c r="BF412" s="74"/>
      <c r="BG412" s="74"/>
      <c r="BH412" s="74"/>
      <c r="BI412" s="74"/>
    </row>
    <row r="413" spans="4:61" x14ac:dyDescent="0.3">
      <c r="D413" s="76"/>
      <c r="E413" s="76"/>
      <c r="F413" s="76" t="str">
        <f t="shared" si="55"/>
        <v/>
      </c>
      <c r="G413" s="183" t="str">
        <f>IF(F413 = "","",IFERROR(IF($G$1 = "YTM",_xll.CbondsCalcYTM($B$1,D413,F413),_xll.CbondsCalcYTP($B$1,D413,F413)),"")*100)</f>
        <v/>
      </c>
      <c r="U413" s="74"/>
      <c r="V413" s="74"/>
      <c r="W413" s="74"/>
      <c r="X413" s="74"/>
      <c r="Y413" s="74"/>
      <c r="Z413" s="74"/>
      <c r="AA413" s="74"/>
      <c r="AB413" s="74"/>
      <c r="AC413" s="74"/>
      <c r="AJ413" s="74"/>
      <c r="AK413" s="74"/>
      <c r="AL413" s="74"/>
      <c r="AM413" s="74"/>
      <c r="AN413" s="74"/>
      <c r="AO413" s="74"/>
      <c r="AP413" s="74"/>
      <c r="AQ413" s="74"/>
      <c r="AR413" s="74"/>
      <c r="AS413" s="74"/>
      <c r="BD413" s="74"/>
      <c r="BE413" s="74"/>
      <c r="BF413" s="74"/>
      <c r="BG413" s="74"/>
      <c r="BH413" s="74"/>
      <c r="BI413" s="74"/>
    </row>
    <row r="414" spans="4:61" x14ac:dyDescent="0.3">
      <c r="D414" s="76"/>
      <c r="E414" s="76"/>
      <c r="F414" s="76" t="str">
        <f t="shared" si="55"/>
        <v/>
      </c>
      <c r="G414" s="183" t="str">
        <f>IF(F414 = "","",IFERROR(IF($G$1 = "YTM",_xll.CbondsCalcYTM($B$1,D414,F414),_xll.CbondsCalcYTP($B$1,D414,F414)),"")*100)</f>
        <v/>
      </c>
      <c r="U414" s="74"/>
      <c r="V414" s="74"/>
      <c r="W414" s="74"/>
      <c r="X414" s="74"/>
      <c r="Y414" s="74"/>
      <c r="Z414" s="74"/>
      <c r="AA414" s="74"/>
      <c r="AB414" s="74"/>
      <c r="AC414" s="74"/>
      <c r="AJ414" s="74"/>
      <c r="AK414" s="74"/>
      <c r="AL414" s="74"/>
      <c r="AM414" s="74"/>
      <c r="AN414" s="74"/>
      <c r="AO414" s="74"/>
      <c r="AP414" s="74"/>
      <c r="AQ414" s="74"/>
      <c r="AR414" s="74"/>
      <c r="AS414" s="74"/>
      <c r="BD414" s="74"/>
      <c r="BE414" s="74"/>
      <c r="BF414" s="74"/>
      <c r="BG414" s="74"/>
      <c r="BH414" s="74"/>
      <c r="BI414" s="74"/>
    </row>
    <row r="415" spans="4:61" x14ac:dyDescent="0.3">
      <c r="D415" s="76"/>
      <c r="E415" s="76"/>
      <c r="F415" s="76" t="str">
        <f t="shared" si="55"/>
        <v/>
      </c>
      <c r="G415" s="183" t="str">
        <f>IF(F415 = "","",IFERROR(IF($G$1 = "YTM",_xll.CbondsCalcYTM($B$1,D415,F415),_xll.CbondsCalcYTP($B$1,D415,F415)),"")*100)</f>
        <v/>
      </c>
      <c r="U415" s="74"/>
      <c r="V415" s="74"/>
      <c r="W415" s="74"/>
      <c r="X415" s="74"/>
      <c r="Y415" s="74"/>
      <c r="Z415" s="74"/>
      <c r="AA415" s="74"/>
      <c r="AB415" s="74"/>
      <c r="AC415" s="74"/>
      <c r="AJ415" s="74"/>
      <c r="AK415" s="74"/>
      <c r="AL415" s="74"/>
      <c r="AM415" s="74"/>
      <c r="AN415" s="74"/>
      <c r="AO415" s="74"/>
      <c r="AP415" s="74"/>
      <c r="AQ415" s="74"/>
      <c r="AR415" s="74"/>
      <c r="AS415" s="74"/>
      <c r="BD415" s="74"/>
      <c r="BE415" s="74"/>
      <c r="BF415" s="74"/>
      <c r="BG415" s="74"/>
      <c r="BH415" s="74"/>
      <c r="BI415" s="74"/>
    </row>
    <row r="416" spans="4:61" x14ac:dyDescent="0.3">
      <c r="D416" s="76"/>
      <c r="E416" s="76"/>
      <c r="F416" s="76" t="str">
        <f t="shared" si="55"/>
        <v/>
      </c>
      <c r="G416" s="183" t="str">
        <f>IF(F416 = "","",IFERROR(IF($G$1 = "YTM",_xll.CbondsCalcYTM($B$1,D416,F416),_xll.CbondsCalcYTP($B$1,D416,F416)),"")*100)</f>
        <v/>
      </c>
      <c r="U416" s="74"/>
      <c r="V416" s="74"/>
      <c r="W416" s="74"/>
      <c r="X416" s="74"/>
      <c r="Y416" s="74"/>
      <c r="Z416" s="74"/>
      <c r="AA416" s="74"/>
      <c r="AB416" s="74"/>
      <c r="AC416" s="74"/>
      <c r="AJ416" s="74"/>
      <c r="AK416" s="74"/>
      <c r="AL416" s="74"/>
      <c r="AM416" s="74"/>
      <c r="AN416" s="74"/>
      <c r="AO416" s="74"/>
      <c r="AP416" s="74"/>
      <c r="AQ416" s="74"/>
      <c r="AR416" s="74"/>
      <c r="AS416" s="74"/>
      <c r="BD416" s="74"/>
      <c r="BE416" s="74"/>
      <c r="BF416" s="74"/>
      <c r="BG416" s="74"/>
      <c r="BH416" s="74"/>
      <c r="BI416" s="74"/>
    </row>
    <row r="417" spans="4:61" x14ac:dyDescent="0.3">
      <c r="D417" s="76"/>
      <c r="E417" s="76"/>
      <c r="F417" s="76" t="str">
        <f t="shared" si="55"/>
        <v/>
      </c>
      <c r="G417" s="183" t="str">
        <f>IF(F417 = "","",IFERROR(IF($G$1 = "YTM",_xll.CbondsCalcYTM($B$1,D417,F417),_xll.CbondsCalcYTP($B$1,D417,F417)),"")*100)</f>
        <v/>
      </c>
      <c r="U417" s="74"/>
      <c r="V417" s="74"/>
      <c r="W417" s="74"/>
      <c r="X417" s="74"/>
      <c r="Y417" s="74"/>
      <c r="Z417" s="74"/>
      <c r="AA417" s="74"/>
      <c r="AB417" s="74"/>
      <c r="AC417" s="74"/>
      <c r="AJ417" s="74"/>
      <c r="AK417" s="74"/>
      <c r="AL417" s="74"/>
      <c r="AM417" s="74"/>
      <c r="AN417" s="74"/>
      <c r="AO417" s="74"/>
      <c r="AP417" s="74"/>
      <c r="AQ417" s="74"/>
      <c r="AR417" s="74"/>
      <c r="AS417" s="74"/>
      <c r="BD417" s="74"/>
      <c r="BE417" s="74"/>
      <c r="BF417" s="74"/>
      <c r="BG417" s="74"/>
      <c r="BH417" s="74"/>
      <c r="BI417" s="74"/>
    </row>
    <row r="418" spans="4:61" x14ac:dyDescent="0.3">
      <c r="D418" s="76"/>
      <c r="E418" s="76"/>
      <c r="F418" s="76" t="str">
        <f t="shared" si="55"/>
        <v/>
      </c>
      <c r="G418" s="183" t="str">
        <f>IF(F418 = "","",IFERROR(IF($G$1 = "YTM",_xll.CbondsCalcYTM($B$1,D418,F418),_xll.CbondsCalcYTP($B$1,D418,F418)),"")*100)</f>
        <v/>
      </c>
      <c r="U418" s="74"/>
      <c r="V418" s="74"/>
      <c r="W418" s="74"/>
      <c r="X418" s="74"/>
      <c r="Y418" s="74"/>
      <c r="Z418" s="74"/>
      <c r="AA418" s="74"/>
      <c r="AB418" s="74"/>
      <c r="AC418" s="74"/>
      <c r="AJ418" s="74"/>
      <c r="AK418" s="74"/>
      <c r="AL418" s="74"/>
      <c r="AM418" s="74"/>
      <c r="AN418" s="74"/>
      <c r="AO418" s="74"/>
      <c r="AP418" s="74"/>
      <c r="AQ418" s="74"/>
      <c r="AR418" s="74"/>
      <c r="AS418" s="74"/>
      <c r="BD418" s="74"/>
      <c r="BE418" s="74"/>
      <c r="BF418" s="74"/>
      <c r="BG418" s="74"/>
      <c r="BH418" s="74"/>
      <c r="BI418" s="74"/>
    </row>
    <row r="419" spans="4:61" x14ac:dyDescent="0.3">
      <c r="D419" s="76"/>
      <c r="E419" s="76"/>
      <c r="F419" s="76" t="str">
        <f t="shared" si="55"/>
        <v/>
      </c>
      <c r="G419" s="183" t="str">
        <f>IF(F419 = "","",IFERROR(IF($G$1 = "YTM",_xll.CbondsCalcYTM($B$1,D419,F419),_xll.CbondsCalcYTP($B$1,D419,F419)),"")*100)</f>
        <v/>
      </c>
      <c r="U419" s="74"/>
      <c r="V419" s="74"/>
      <c r="W419" s="74"/>
      <c r="X419" s="74"/>
      <c r="Y419" s="74"/>
      <c r="Z419" s="74"/>
      <c r="AA419" s="74"/>
      <c r="AB419" s="74"/>
      <c r="AC419" s="74"/>
      <c r="AJ419" s="74"/>
      <c r="AK419" s="74"/>
      <c r="AL419" s="74"/>
      <c r="AM419" s="74"/>
      <c r="AN419" s="74"/>
      <c r="AO419" s="74"/>
      <c r="AP419" s="74"/>
      <c r="AQ419" s="74"/>
      <c r="AR419" s="74"/>
      <c r="AS419" s="74"/>
      <c r="BD419" s="74"/>
      <c r="BE419" s="74"/>
      <c r="BF419" s="74"/>
      <c r="BG419" s="74"/>
      <c r="BH419" s="74"/>
      <c r="BI419" s="74"/>
    </row>
    <row r="420" spans="4:61" x14ac:dyDescent="0.3">
      <c r="D420" s="76"/>
      <c r="E420" s="76"/>
      <c r="F420" s="76" t="str">
        <f t="shared" si="55"/>
        <v/>
      </c>
      <c r="G420" s="183" t="str">
        <f>IF(F420 = "","",IFERROR(IF($G$1 = "YTM",_xll.CbondsCalcYTM($B$1,D420,F420),_xll.CbondsCalcYTP($B$1,D420,F420)),"")*100)</f>
        <v/>
      </c>
      <c r="U420" s="74"/>
      <c r="V420" s="74"/>
      <c r="W420" s="74"/>
      <c r="X420" s="74"/>
      <c r="Y420" s="74"/>
      <c r="Z420" s="74"/>
      <c r="AA420" s="74"/>
      <c r="AB420" s="74"/>
      <c r="AC420" s="74"/>
      <c r="AJ420" s="74"/>
      <c r="AK420" s="74"/>
      <c r="AL420" s="74"/>
      <c r="AM420" s="74"/>
      <c r="AN420" s="74"/>
      <c r="AO420" s="74"/>
      <c r="AP420" s="74"/>
      <c r="AQ420" s="74"/>
      <c r="AR420" s="74"/>
      <c r="AS420" s="74"/>
      <c r="BD420" s="74"/>
      <c r="BE420" s="74"/>
      <c r="BF420" s="74"/>
      <c r="BG420" s="74"/>
      <c r="BH420" s="74"/>
      <c r="BI420" s="74"/>
    </row>
    <row r="421" spans="4:61" x14ac:dyDescent="0.3">
      <c r="D421" s="76"/>
      <c r="E421" s="76"/>
      <c r="F421" s="76" t="str">
        <f t="shared" si="55"/>
        <v/>
      </c>
      <c r="G421" s="183" t="str">
        <f>IF(F421 = "","",IFERROR(IF($G$1 = "YTM",_xll.CbondsCalcYTM($B$1,D421,F421),_xll.CbondsCalcYTP($B$1,D421,F421)),"")*100)</f>
        <v/>
      </c>
      <c r="U421" s="74"/>
      <c r="V421" s="74"/>
      <c r="W421" s="74"/>
      <c r="X421" s="74"/>
      <c r="Y421" s="74"/>
      <c r="Z421" s="74"/>
      <c r="AA421" s="74"/>
      <c r="AB421" s="74"/>
      <c r="AC421" s="74"/>
      <c r="AJ421" s="74"/>
      <c r="AK421" s="74"/>
      <c r="AL421" s="74"/>
      <c r="AM421" s="74"/>
      <c r="AN421" s="74"/>
      <c r="AO421" s="74"/>
      <c r="AP421" s="74"/>
      <c r="AQ421" s="74"/>
      <c r="AR421" s="74"/>
      <c r="AS421" s="74"/>
      <c r="BD421" s="74"/>
      <c r="BE421" s="74"/>
      <c r="BF421" s="74"/>
      <c r="BG421" s="74"/>
      <c r="BH421" s="74"/>
      <c r="BI421" s="74"/>
    </row>
    <row r="422" spans="4:61" x14ac:dyDescent="0.3">
      <c r="D422" s="76"/>
      <c r="E422" s="76"/>
      <c r="F422" s="76" t="str">
        <f t="shared" si="55"/>
        <v/>
      </c>
      <c r="G422" s="183" t="str">
        <f>IF(F422 = "","",IFERROR(IF($G$1 = "YTM",_xll.CbondsCalcYTM($B$1,D422,F422),_xll.CbondsCalcYTP($B$1,D422,F422)),"")*100)</f>
        <v/>
      </c>
      <c r="U422" s="74"/>
      <c r="V422" s="74"/>
      <c r="W422" s="74"/>
      <c r="X422" s="74"/>
      <c r="Y422" s="74"/>
      <c r="Z422" s="74"/>
      <c r="AA422" s="74"/>
      <c r="AB422" s="74"/>
      <c r="AC422" s="74"/>
      <c r="AJ422" s="74"/>
      <c r="AK422" s="74"/>
      <c r="AL422" s="74"/>
      <c r="AM422" s="74"/>
      <c r="AN422" s="74"/>
      <c r="AO422" s="74"/>
      <c r="AP422" s="74"/>
      <c r="AQ422" s="74"/>
      <c r="AR422" s="74"/>
      <c r="AS422" s="74"/>
      <c r="BD422" s="74"/>
      <c r="BE422" s="74"/>
      <c r="BF422" s="74"/>
      <c r="BG422" s="74"/>
      <c r="BH422" s="74"/>
      <c r="BI422" s="74"/>
    </row>
    <row r="423" spans="4:61" x14ac:dyDescent="0.3">
      <c r="D423" s="76"/>
      <c r="E423" s="76"/>
      <c r="F423" s="76" t="str">
        <f t="shared" si="55"/>
        <v/>
      </c>
      <c r="G423" s="183" t="str">
        <f>IF(F423 = "","",IFERROR(IF($G$1 = "YTM",_xll.CbondsCalcYTM($B$1,D423,F423),_xll.CbondsCalcYTP($B$1,D423,F423)),"")*100)</f>
        <v/>
      </c>
      <c r="U423" s="74"/>
      <c r="V423" s="74"/>
      <c r="W423" s="74"/>
      <c r="X423" s="74"/>
      <c r="Y423" s="74"/>
      <c r="Z423" s="74"/>
      <c r="AA423" s="74"/>
      <c r="AB423" s="74"/>
      <c r="AC423" s="74"/>
      <c r="AJ423" s="74"/>
      <c r="AK423" s="74"/>
      <c r="AL423" s="74"/>
      <c r="AM423" s="74"/>
      <c r="AN423" s="74"/>
      <c r="AO423" s="74"/>
      <c r="AP423" s="74"/>
      <c r="AQ423" s="74"/>
      <c r="AR423" s="74"/>
      <c r="AS423" s="74"/>
      <c r="BD423" s="74"/>
      <c r="BE423" s="74"/>
      <c r="BF423" s="74"/>
      <c r="BG423" s="74"/>
      <c r="BH423" s="74"/>
      <c r="BI423" s="74"/>
    </row>
    <row r="424" spans="4:61" x14ac:dyDescent="0.3">
      <c r="D424" s="76"/>
      <c r="E424" s="76"/>
      <c r="F424" s="76" t="str">
        <f t="shared" si="55"/>
        <v/>
      </c>
      <c r="G424" s="183" t="str">
        <f>IF(F424 = "","",IFERROR(IF($G$1 = "YTM",_xll.CbondsCalcYTM($B$1,D424,F424),_xll.CbondsCalcYTP($B$1,D424,F424)),"")*100)</f>
        <v/>
      </c>
      <c r="U424" s="74"/>
      <c r="V424" s="74"/>
      <c r="W424" s="74"/>
      <c r="X424" s="74"/>
      <c r="Y424" s="74"/>
      <c r="Z424" s="74"/>
      <c r="AA424" s="74"/>
      <c r="AB424" s="74"/>
      <c r="AC424" s="74"/>
      <c r="AJ424" s="74"/>
      <c r="AK424" s="74"/>
      <c r="AL424" s="74"/>
      <c r="AM424" s="74"/>
      <c r="AN424" s="74"/>
      <c r="AO424" s="74"/>
      <c r="AP424" s="74"/>
      <c r="AQ424" s="74"/>
      <c r="AR424" s="74"/>
      <c r="AS424" s="74"/>
      <c r="BD424" s="74"/>
      <c r="BE424" s="74"/>
      <c r="BF424" s="74"/>
      <c r="BG424" s="74"/>
      <c r="BH424" s="74"/>
      <c r="BI424" s="74"/>
    </row>
    <row r="425" spans="4:61" x14ac:dyDescent="0.3">
      <c r="D425" s="76"/>
      <c r="E425" s="76"/>
      <c r="F425" s="76" t="str">
        <f t="shared" si="55"/>
        <v/>
      </c>
      <c r="G425" s="183" t="str">
        <f>IF(F425 = "","",IFERROR(IF($G$1 = "YTM",_xll.CbondsCalcYTM($B$1,D425,F425),_xll.CbondsCalcYTP($B$1,D425,F425)),"")*100)</f>
        <v/>
      </c>
      <c r="U425" s="74"/>
      <c r="V425" s="74"/>
      <c r="W425" s="74"/>
      <c r="X425" s="74"/>
      <c r="Y425" s="74"/>
      <c r="Z425" s="74"/>
      <c r="AA425" s="74"/>
      <c r="AB425" s="74"/>
      <c r="AC425" s="74"/>
      <c r="AJ425" s="74"/>
      <c r="AK425" s="74"/>
      <c r="AL425" s="74"/>
      <c r="AM425" s="74"/>
      <c r="AN425" s="74"/>
      <c r="AO425" s="74"/>
      <c r="AP425" s="74"/>
      <c r="AQ425" s="74"/>
      <c r="AR425" s="74"/>
      <c r="AS425" s="74"/>
      <c r="BD425" s="74"/>
      <c r="BE425" s="74"/>
      <c r="BF425" s="74"/>
      <c r="BG425" s="74"/>
      <c r="BH425" s="74"/>
      <c r="BI425" s="74"/>
    </row>
    <row r="426" spans="4:61" x14ac:dyDescent="0.3">
      <c r="D426" s="76"/>
      <c r="E426" s="76"/>
      <c r="F426" s="76" t="str">
        <f t="shared" si="55"/>
        <v/>
      </c>
      <c r="G426" s="183" t="str">
        <f>IF(F426 = "","",IFERROR(IF($G$1 = "YTM",_xll.CbondsCalcYTM($B$1,D426,F426),_xll.CbondsCalcYTP($B$1,D426,F426)),"")*100)</f>
        <v/>
      </c>
      <c r="U426" s="74"/>
      <c r="V426" s="74"/>
      <c r="W426" s="74"/>
      <c r="X426" s="74"/>
      <c r="Y426" s="74"/>
      <c r="Z426" s="74"/>
      <c r="AA426" s="74"/>
      <c r="AB426" s="74"/>
      <c r="AC426" s="74"/>
      <c r="AJ426" s="74"/>
      <c r="AK426" s="74"/>
      <c r="AL426" s="74"/>
      <c r="AM426" s="74"/>
      <c r="AN426" s="74"/>
      <c r="AO426" s="74"/>
      <c r="AP426" s="74"/>
      <c r="AQ426" s="74"/>
      <c r="AR426" s="74"/>
      <c r="AS426" s="74"/>
      <c r="BD426" s="74"/>
      <c r="BE426" s="74"/>
      <c r="BF426" s="74"/>
      <c r="BG426" s="74"/>
      <c r="BH426" s="74"/>
      <c r="BI426" s="74"/>
    </row>
    <row r="427" spans="4:61" x14ac:dyDescent="0.3">
      <c r="D427" s="76"/>
      <c r="E427" s="76"/>
      <c r="F427" s="76" t="str">
        <f t="shared" si="55"/>
        <v/>
      </c>
      <c r="G427" s="183" t="str">
        <f>IF(F427 = "","",IFERROR(IF($G$1 = "YTM",_xll.CbondsCalcYTM($B$1,D427,F427),_xll.CbondsCalcYTP($B$1,D427,F427)),"")*100)</f>
        <v/>
      </c>
      <c r="U427" s="74"/>
      <c r="V427" s="74"/>
      <c r="W427" s="74"/>
      <c r="X427" s="74"/>
      <c r="Y427" s="74"/>
      <c r="Z427" s="74"/>
      <c r="AA427" s="74"/>
      <c r="AB427" s="74"/>
      <c r="AC427" s="74"/>
      <c r="AJ427" s="74"/>
      <c r="AK427" s="74"/>
      <c r="AL427" s="74"/>
      <c r="AM427" s="74"/>
      <c r="AN427" s="74"/>
      <c r="AO427" s="74"/>
      <c r="AP427" s="74"/>
      <c r="AQ427" s="74"/>
      <c r="AR427" s="74"/>
      <c r="AS427" s="74"/>
      <c r="BD427" s="74"/>
      <c r="BE427" s="74"/>
      <c r="BF427" s="74"/>
      <c r="BG427" s="74"/>
      <c r="BH427" s="74"/>
      <c r="BI427" s="74"/>
    </row>
    <row r="428" spans="4:61" x14ac:dyDescent="0.3">
      <c r="D428" s="76"/>
      <c r="E428" s="76"/>
      <c r="F428" s="76" t="str">
        <f t="shared" si="55"/>
        <v/>
      </c>
      <c r="G428" s="183" t="str">
        <f>IF(F428 = "","",IFERROR(IF($G$1 = "YTM",_xll.CbondsCalcYTM($B$1,D428,F428),_xll.CbondsCalcYTP($B$1,D428,F428)),"")*100)</f>
        <v/>
      </c>
      <c r="U428" s="74"/>
      <c r="V428" s="74"/>
      <c r="W428" s="74"/>
      <c r="X428" s="74"/>
      <c r="Y428" s="74"/>
      <c r="Z428" s="74"/>
      <c r="AA428" s="74"/>
      <c r="AB428" s="74"/>
      <c r="AC428" s="74"/>
      <c r="AJ428" s="74"/>
      <c r="AK428" s="74"/>
      <c r="AL428" s="74"/>
      <c r="AM428" s="74"/>
      <c r="AN428" s="74"/>
      <c r="AO428" s="74"/>
      <c r="AP428" s="74"/>
      <c r="AQ428" s="74"/>
      <c r="AR428" s="74"/>
      <c r="AS428" s="74"/>
      <c r="BD428" s="74"/>
      <c r="BE428" s="74"/>
      <c r="BF428" s="74"/>
      <c r="BG428" s="74"/>
      <c r="BH428" s="74"/>
      <c r="BI428" s="74"/>
    </row>
    <row r="429" spans="4:61" x14ac:dyDescent="0.3">
      <c r="D429" s="76"/>
      <c r="E429" s="76"/>
      <c r="F429" s="76" t="str">
        <f t="shared" si="55"/>
        <v/>
      </c>
      <c r="G429" s="183" t="str">
        <f>IF(F429 = "","",IFERROR(IF($G$1 = "YTM",_xll.CbondsCalcYTM($B$1,D429,F429),_xll.CbondsCalcYTP($B$1,D429,F429)),"")*100)</f>
        <v/>
      </c>
      <c r="U429" s="74"/>
      <c r="V429" s="74"/>
      <c r="W429" s="74"/>
      <c r="X429" s="74"/>
      <c r="Y429" s="74"/>
      <c r="Z429" s="74"/>
      <c r="AA429" s="74"/>
      <c r="AB429" s="74"/>
      <c r="AC429" s="74"/>
      <c r="AJ429" s="74"/>
      <c r="AK429" s="74"/>
      <c r="AL429" s="74"/>
      <c r="AM429" s="74"/>
      <c r="AN429" s="74"/>
      <c r="AO429" s="74"/>
      <c r="AP429" s="74"/>
      <c r="AQ429" s="74"/>
      <c r="AR429" s="74"/>
      <c r="AS429" s="74"/>
      <c r="BD429" s="74"/>
      <c r="BE429" s="74"/>
      <c r="BF429" s="74"/>
      <c r="BG429" s="74"/>
      <c r="BH429" s="74"/>
      <c r="BI429" s="74"/>
    </row>
    <row r="430" spans="4:61" x14ac:dyDescent="0.3">
      <c r="D430" s="76"/>
      <c r="E430" s="76"/>
      <c r="F430" s="76" t="str">
        <f t="shared" si="55"/>
        <v/>
      </c>
      <c r="G430" s="183" t="str">
        <f>IF(F430 = "","",IFERROR(IF($G$1 = "YTM",_xll.CbondsCalcYTM($B$1,D430,F430),_xll.CbondsCalcYTP($B$1,D430,F430)),"")*100)</f>
        <v/>
      </c>
      <c r="U430" s="74"/>
      <c r="V430" s="74"/>
      <c r="W430" s="74"/>
      <c r="X430" s="74"/>
      <c r="Y430" s="74"/>
      <c r="Z430" s="74"/>
      <c r="AA430" s="74"/>
      <c r="AB430" s="74"/>
      <c r="AC430" s="74"/>
      <c r="AJ430" s="74"/>
      <c r="AK430" s="74"/>
      <c r="AL430" s="74"/>
      <c r="AM430" s="74"/>
      <c r="AN430" s="74"/>
      <c r="AO430" s="74"/>
      <c r="AP430" s="74"/>
      <c r="AQ430" s="74"/>
      <c r="AR430" s="74"/>
      <c r="AS430" s="74"/>
      <c r="BD430" s="74"/>
      <c r="BE430" s="74"/>
      <c r="BF430" s="74"/>
      <c r="BG430" s="74"/>
      <c r="BH430" s="74"/>
      <c r="BI430" s="74"/>
    </row>
    <row r="431" spans="4:61" x14ac:dyDescent="0.3">
      <c r="D431" s="76"/>
      <c r="E431" s="76"/>
      <c r="F431" s="76" t="str">
        <f t="shared" si="55"/>
        <v/>
      </c>
      <c r="G431" s="183" t="str">
        <f>IF(F431 = "","",IFERROR(IF($G$1 = "YTM",_xll.CbondsCalcYTM($B$1,D431,F431),_xll.CbondsCalcYTP($B$1,D431,F431)),"")*100)</f>
        <v/>
      </c>
      <c r="U431" s="74"/>
      <c r="V431" s="74"/>
      <c r="W431" s="74"/>
      <c r="X431" s="74"/>
      <c r="Y431" s="74"/>
      <c r="Z431" s="74"/>
      <c r="AA431" s="74"/>
      <c r="AB431" s="74"/>
      <c r="AC431" s="74"/>
      <c r="AJ431" s="74"/>
      <c r="AK431" s="74"/>
      <c r="AL431" s="74"/>
      <c r="AM431" s="74"/>
      <c r="AN431" s="74"/>
      <c r="AO431" s="74"/>
      <c r="AP431" s="74"/>
      <c r="AQ431" s="74"/>
      <c r="AR431" s="74"/>
      <c r="AS431" s="74"/>
      <c r="BD431" s="74"/>
      <c r="BE431" s="74"/>
      <c r="BF431" s="74"/>
      <c r="BG431" s="74"/>
      <c r="BH431" s="74"/>
      <c r="BI431" s="74"/>
    </row>
    <row r="432" spans="4:61" x14ac:dyDescent="0.3">
      <c r="D432" s="76"/>
      <c r="E432" s="76"/>
      <c r="F432" s="76" t="str">
        <f t="shared" si="55"/>
        <v/>
      </c>
      <c r="G432" s="183" t="str">
        <f>IF(F432 = "","",IFERROR(IF($G$1 = "YTM",_xll.CbondsCalcYTM($B$1,D432,F432),_xll.CbondsCalcYTP($B$1,D432,F432)),"")*100)</f>
        <v/>
      </c>
      <c r="U432" s="74"/>
      <c r="V432" s="74"/>
      <c r="W432" s="74"/>
      <c r="X432" s="74"/>
      <c r="Y432" s="74"/>
      <c r="Z432" s="74"/>
      <c r="AA432" s="74"/>
      <c r="AB432" s="74"/>
      <c r="AC432" s="74"/>
      <c r="AJ432" s="74"/>
      <c r="AK432" s="74"/>
      <c r="AL432" s="74"/>
      <c r="AM432" s="74"/>
      <c r="AN432" s="74"/>
      <c r="AO432" s="74"/>
      <c r="AP432" s="74"/>
      <c r="AQ432" s="74"/>
      <c r="AR432" s="74"/>
      <c r="AS432" s="74"/>
      <c r="BD432" s="74"/>
      <c r="BE432" s="74"/>
      <c r="BF432" s="74"/>
      <c r="BG432" s="74"/>
      <c r="BH432" s="74"/>
      <c r="BI432" s="74"/>
    </row>
    <row r="433" spans="4:61" x14ac:dyDescent="0.3">
      <c r="D433" s="76"/>
      <c r="E433" s="76"/>
      <c r="F433" s="76" t="str">
        <f t="shared" si="55"/>
        <v/>
      </c>
      <c r="G433" s="183" t="str">
        <f>IF(F433 = "","",IFERROR(IF($G$1 = "YTM",_xll.CbondsCalcYTM($B$1,D433,F433),_xll.CbondsCalcYTP($B$1,D433,F433)),"")*100)</f>
        <v/>
      </c>
      <c r="U433" s="74"/>
      <c r="V433" s="74"/>
      <c r="W433" s="74"/>
      <c r="X433" s="74"/>
      <c r="Y433" s="74"/>
      <c r="Z433" s="74"/>
      <c r="AA433" s="74"/>
      <c r="AB433" s="74"/>
      <c r="AC433" s="74"/>
      <c r="AJ433" s="74"/>
      <c r="AK433" s="74"/>
      <c r="AL433" s="74"/>
      <c r="AM433" s="74"/>
      <c r="AN433" s="74"/>
      <c r="AO433" s="74"/>
      <c r="AP433" s="74"/>
      <c r="AQ433" s="74"/>
      <c r="AR433" s="74"/>
      <c r="AS433" s="74"/>
      <c r="BD433" s="74"/>
      <c r="BE433" s="74"/>
      <c r="BF433" s="74"/>
      <c r="BG433" s="74"/>
      <c r="BH433" s="74"/>
      <c r="BI433" s="74"/>
    </row>
    <row r="434" spans="4:61" x14ac:dyDescent="0.3">
      <c r="D434" s="76"/>
      <c r="E434" s="76"/>
      <c r="F434" s="76" t="str">
        <f t="shared" si="55"/>
        <v/>
      </c>
      <c r="G434" s="183" t="str">
        <f>IF(F434 = "","",IFERROR(IF($G$1 = "YTM",_xll.CbondsCalcYTM($B$1,D434,F434),_xll.CbondsCalcYTP($B$1,D434,F434)),"")*100)</f>
        <v/>
      </c>
      <c r="U434" s="74"/>
      <c r="V434" s="74"/>
      <c r="W434" s="74"/>
      <c r="X434" s="74"/>
      <c r="Y434" s="74"/>
      <c r="Z434" s="74"/>
      <c r="AA434" s="74"/>
      <c r="AB434" s="74"/>
      <c r="AC434" s="74"/>
      <c r="AJ434" s="74"/>
      <c r="AK434" s="74"/>
      <c r="AL434" s="74"/>
      <c r="AM434" s="74"/>
      <c r="AN434" s="74"/>
      <c r="AO434" s="74"/>
      <c r="AP434" s="74"/>
      <c r="AQ434" s="74"/>
      <c r="AR434" s="74"/>
      <c r="AS434" s="74"/>
      <c r="BD434" s="74"/>
      <c r="BE434" s="74"/>
      <c r="BF434" s="74"/>
      <c r="BG434" s="74"/>
      <c r="BH434" s="74"/>
      <c r="BI434" s="74"/>
    </row>
    <row r="435" spans="4:61" x14ac:dyDescent="0.3">
      <c r="D435" s="76"/>
      <c r="E435" s="76"/>
      <c r="F435" s="76" t="str">
        <f t="shared" si="55"/>
        <v/>
      </c>
      <c r="G435" s="183" t="str">
        <f>IF(F435 = "","",IFERROR(IF($G$1 = "YTM",_xll.CbondsCalcYTM($B$1,D435,F435),_xll.CbondsCalcYTP($B$1,D435,F435)),"")*100)</f>
        <v/>
      </c>
      <c r="U435" s="74"/>
      <c r="V435" s="74"/>
      <c r="W435" s="74"/>
      <c r="X435" s="74"/>
      <c r="Y435" s="74"/>
      <c r="Z435" s="74"/>
      <c r="AA435" s="74"/>
      <c r="AB435" s="74"/>
      <c r="AC435" s="74"/>
      <c r="AJ435" s="74"/>
      <c r="AK435" s="74"/>
      <c r="AL435" s="74"/>
      <c r="AM435" s="74"/>
      <c r="AN435" s="74"/>
      <c r="AO435" s="74"/>
      <c r="AP435" s="74"/>
      <c r="AQ435" s="74"/>
      <c r="AR435" s="74"/>
      <c r="AS435" s="74"/>
      <c r="BD435" s="74"/>
      <c r="BE435" s="74"/>
      <c r="BF435" s="74"/>
      <c r="BG435" s="74"/>
      <c r="BH435" s="74"/>
      <c r="BI435" s="74"/>
    </row>
    <row r="436" spans="4:61" x14ac:dyDescent="0.3">
      <c r="D436" s="76"/>
      <c r="E436" s="76"/>
      <c r="F436" s="76" t="str">
        <f t="shared" si="55"/>
        <v/>
      </c>
      <c r="G436" s="183" t="str">
        <f>IF(F436 = "","",IFERROR(IF($G$1 = "YTM",_xll.CbondsCalcYTM($B$1,D436,F436),_xll.CbondsCalcYTP($B$1,D436,F436)),"")*100)</f>
        <v/>
      </c>
      <c r="U436" s="74"/>
      <c r="V436" s="74"/>
      <c r="W436" s="74"/>
      <c r="X436" s="74"/>
      <c r="Y436" s="74"/>
      <c r="Z436" s="74"/>
      <c r="AA436" s="74"/>
      <c r="AB436" s="74"/>
      <c r="AC436" s="74"/>
      <c r="AJ436" s="74"/>
      <c r="AK436" s="74"/>
      <c r="AL436" s="74"/>
      <c r="AM436" s="74"/>
      <c r="AN436" s="74"/>
      <c r="AO436" s="74"/>
      <c r="AP436" s="74"/>
      <c r="AQ436" s="74"/>
      <c r="AR436" s="74"/>
      <c r="AS436" s="74"/>
      <c r="BD436" s="74"/>
      <c r="BE436" s="74"/>
      <c r="BF436" s="74"/>
      <c r="BG436" s="74"/>
      <c r="BH436" s="74"/>
      <c r="BI436" s="74"/>
    </row>
    <row r="437" spans="4:61" x14ac:dyDescent="0.3">
      <c r="D437" s="76"/>
      <c r="E437" s="76"/>
      <c r="F437" s="76" t="str">
        <f t="shared" si="55"/>
        <v/>
      </c>
      <c r="G437" s="183" t="str">
        <f>IF(F437 = "","",IFERROR(IF($G$1 = "YTM",_xll.CbondsCalcYTM($B$1,D437,F437),_xll.CbondsCalcYTP($B$1,D437,F437)),"")*100)</f>
        <v/>
      </c>
      <c r="U437" s="74"/>
      <c r="V437" s="74"/>
      <c r="W437" s="74"/>
      <c r="X437" s="74"/>
      <c r="Y437" s="74"/>
      <c r="Z437" s="74"/>
      <c r="AA437" s="74"/>
      <c r="AB437" s="74"/>
      <c r="AC437" s="74"/>
      <c r="AJ437" s="74"/>
      <c r="AK437" s="74"/>
      <c r="AL437" s="74"/>
      <c r="AM437" s="74"/>
      <c r="AN437" s="74"/>
      <c r="AO437" s="74"/>
      <c r="AP437" s="74"/>
      <c r="AQ437" s="74"/>
      <c r="AR437" s="74"/>
      <c r="AS437" s="74"/>
      <c r="BD437" s="74"/>
      <c r="BE437" s="74"/>
      <c r="BF437" s="74"/>
      <c r="BG437" s="74"/>
      <c r="BH437" s="74"/>
      <c r="BI437" s="74"/>
    </row>
    <row r="438" spans="4:61" x14ac:dyDescent="0.3">
      <c r="D438" s="76"/>
      <c r="E438" s="76"/>
      <c r="F438" s="76" t="str">
        <f t="shared" si="55"/>
        <v/>
      </c>
      <c r="G438" s="183" t="str">
        <f>IF(F438 = "","",IFERROR(IF($G$1 = "YTM",_xll.CbondsCalcYTM($B$1,D438,F438),_xll.CbondsCalcYTP($B$1,D438,F438)),"")*100)</f>
        <v/>
      </c>
      <c r="U438" s="74"/>
      <c r="V438" s="74"/>
      <c r="W438" s="74"/>
      <c r="X438" s="74"/>
      <c r="Y438" s="74"/>
      <c r="Z438" s="74"/>
      <c r="AA438" s="74"/>
      <c r="AB438" s="74"/>
      <c r="AC438" s="74"/>
      <c r="AJ438" s="74"/>
      <c r="AK438" s="74"/>
      <c r="AL438" s="74"/>
      <c r="AM438" s="74"/>
      <c r="AN438" s="74"/>
      <c r="AO438" s="74"/>
      <c r="AP438" s="74"/>
      <c r="AQ438" s="74"/>
      <c r="AR438" s="74"/>
      <c r="AS438" s="74"/>
      <c r="BD438" s="74"/>
      <c r="BE438" s="74"/>
      <c r="BF438" s="74"/>
      <c r="BG438" s="74"/>
      <c r="BH438" s="74"/>
      <c r="BI438" s="74"/>
    </row>
    <row r="439" spans="4:61" x14ac:dyDescent="0.3">
      <c r="D439" s="76"/>
      <c r="E439" s="76"/>
      <c r="F439" s="76" t="str">
        <f t="shared" si="55"/>
        <v/>
      </c>
      <c r="G439" s="183" t="str">
        <f>IF(F439 = "","",IFERROR(IF($G$1 = "YTM",_xll.CbondsCalcYTM($B$1,D439,F439),_xll.CbondsCalcYTP($B$1,D439,F439)),"")*100)</f>
        <v/>
      </c>
      <c r="U439" s="74"/>
      <c r="V439" s="74"/>
      <c r="W439" s="74"/>
      <c r="X439" s="74"/>
      <c r="Y439" s="74"/>
      <c r="Z439" s="74"/>
      <c r="AA439" s="74"/>
      <c r="AB439" s="74"/>
      <c r="AC439" s="74"/>
      <c r="AJ439" s="74"/>
      <c r="AK439" s="74"/>
      <c r="AL439" s="74"/>
      <c r="AM439" s="74"/>
      <c r="AN439" s="74"/>
      <c r="AO439" s="74"/>
      <c r="AP439" s="74"/>
      <c r="AQ439" s="74"/>
      <c r="AR439" s="74"/>
      <c r="AS439" s="74"/>
      <c r="BD439" s="74"/>
      <c r="BE439" s="74"/>
      <c r="BF439" s="74"/>
      <c r="BG439" s="74"/>
      <c r="BH439" s="74"/>
      <c r="BI439" s="74"/>
    </row>
    <row r="440" spans="4:61" x14ac:dyDescent="0.3">
      <c r="D440" s="76"/>
      <c r="E440" s="76"/>
      <c r="F440" s="76" t="str">
        <f t="shared" si="55"/>
        <v/>
      </c>
      <c r="G440" s="183" t="str">
        <f>IF(F440 = "","",IFERROR(IF($G$1 = "YTM",_xll.CbondsCalcYTM($B$1,D440,F440),_xll.CbondsCalcYTP($B$1,D440,F440)),"")*100)</f>
        <v/>
      </c>
      <c r="U440" s="74"/>
      <c r="V440" s="74"/>
      <c r="W440" s="74"/>
      <c r="X440" s="74"/>
      <c r="Y440" s="74"/>
      <c r="Z440" s="74"/>
      <c r="AA440" s="74"/>
      <c r="AB440" s="74"/>
      <c r="AC440" s="74"/>
      <c r="AJ440" s="74"/>
      <c r="AK440" s="74"/>
      <c r="AL440" s="74"/>
      <c r="AM440" s="74"/>
      <c r="AN440" s="74"/>
      <c r="AO440" s="74"/>
      <c r="AP440" s="74"/>
      <c r="AQ440" s="74"/>
      <c r="AR440" s="74"/>
      <c r="AS440" s="74"/>
      <c r="BD440" s="74"/>
      <c r="BE440" s="74"/>
      <c r="BF440" s="74"/>
      <c r="BG440" s="74"/>
      <c r="BH440" s="74"/>
      <c r="BI440" s="74"/>
    </row>
    <row r="441" spans="4:61" x14ac:dyDescent="0.3">
      <c r="D441" s="76"/>
      <c r="E441" s="76"/>
      <c r="F441" s="76" t="str">
        <f t="shared" si="55"/>
        <v/>
      </c>
      <c r="G441" s="183" t="str">
        <f>IF(F441 = "","",IFERROR(IF($G$1 = "YTM",_xll.CbondsCalcYTM($B$1,D441,F441),_xll.CbondsCalcYTP($B$1,D441,F441)),"")*100)</f>
        <v/>
      </c>
      <c r="U441" s="74"/>
      <c r="V441" s="74"/>
      <c r="W441" s="74"/>
      <c r="X441" s="74"/>
      <c r="Y441" s="74"/>
      <c r="Z441" s="74"/>
      <c r="AA441" s="74"/>
      <c r="AB441" s="74"/>
      <c r="AC441" s="74"/>
      <c r="AJ441" s="74"/>
      <c r="AK441" s="74"/>
      <c r="AL441" s="74"/>
      <c r="AM441" s="74"/>
      <c r="AN441" s="74"/>
      <c r="AO441" s="74"/>
      <c r="AP441" s="74"/>
      <c r="AQ441" s="74"/>
      <c r="AR441" s="74"/>
      <c r="AS441" s="74"/>
      <c r="BD441" s="74"/>
      <c r="BE441" s="74"/>
      <c r="BF441" s="74"/>
      <c r="BG441" s="74"/>
      <c r="BH441" s="74"/>
      <c r="BI441" s="74"/>
    </row>
    <row r="442" spans="4:61" x14ac:dyDescent="0.3">
      <c r="D442" s="76"/>
      <c r="E442" s="76"/>
      <c r="F442" s="76" t="str">
        <f t="shared" si="55"/>
        <v/>
      </c>
      <c r="G442" s="183" t="str">
        <f>IF(F442 = "","",IFERROR(IF($G$1 = "YTM",_xll.CbondsCalcYTM($B$1,D442,F442),_xll.CbondsCalcYTP($B$1,D442,F442)),"")*100)</f>
        <v/>
      </c>
      <c r="U442" s="74"/>
      <c r="V442" s="74"/>
      <c r="W442" s="74"/>
      <c r="X442" s="74"/>
      <c r="Y442" s="74"/>
      <c r="Z442" s="74"/>
      <c r="AA442" s="74"/>
      <c r="AB442" s="74"/>
      <c r="AC442" s="74"/>
      <c r="AJ442" s="74"/>
      <c r="AK442" s="74"/>
      <c r="AL442" s="74"/>
      <c r="AM442" s="74"/>
      <c r="AN442" s="74"/>
      <c r="AO442" s="74"/>
      <c r="AP442" s="74"/>
      <c r="AQ442" s="74"/>
      <c r="AR442" s="74"/>
      <c r="AS442" s="74"/>
      <c r="BD442" s="74"/>
      <c r="BE442" s="74"/>
      <c r="BF442" s="74"/>
      <c r="BG442" s="74"/>
      <c r="BH442" s="74"/>
      <c r="BI442" s="74"/>
    </row>
    <row r="443" spans="4:61" x14ac:dyDescent="0.3">
      <c r="D443" s="76"/>
      <c r="E443" s="76"/>
      <c r="F443" s="76" t="str">
        <f t="shared" si="55"/>
        <v/>
      </c>
      <c r="G443" s="183" t="str">
        <f>IF(F443 = "","",IFERROR(IF($G$1 = "YTM",_xll.CbondsCalcYTM($B$1,D443,F443),_xll.CbondsCalcYTP($B$1,D443,F443)),"")*100)</f>
        <v/>
      </c>
      <c r="U443" s="74"/>
      <c r="V443" s="74"/>
      <c r="W443" s="74"/>
      <c r="X443" s="74"/>
      <c r="Y443" s="74"/>
      <c r="Z443" s="74"/>
      <c r="AA443" s="74"/>
      <c r="AB443" s="74"/>
      <c r="AC443" s="74"/>
      <c r="AJ443" s="74"/>
      <c r="AK443" s="74"/>
      <c r="AL443" s="74"/>
      <c r="AM443" s="74"/>
      <c r="AN443" s="74"/>
      <c r="AO443" s="74"/>
      <c r="AP443" s="74"/>
      <c r="AQ443" s="74"/>
      <c r="AR443" s="74"/>
      <c r="AS443" s="74"/>
      <c r="BD443" s="74"/>
      <c r="BE443" s="74"/>
      <c r="BF443" s="74"/>
      <c r="BG443" s="74"/>
      <c r="BH443" s="74"/>
      <c r="BI443" s="74"/>
    </row>
    <row r="444" spans="4:61" x14ac:dyDescent="0.3">
      <c r="D444" s="76"/>
      <c r="E444" s="76"/>
      <c r="F444" s="76" t="str">
        <f t="shared" si="55"/>
        <v/>
      </c>
      <c r="G444" s="183" t="str">
        <f>IF(F444 = "","",IFERROR(IF($G$1 = "YTM",_xll.CbondsCalcYTM($B$1,D444,F444),_xll.CbondsCalcYTP($B$1,D444,F444)),"")*100)</f>
        <v/>
      </c>
      <c r="U444" s="74"/>
      <c r="V444" s="74"/>
      <c r="W444" s="74"/>
      <c r="X444" s="74"/>
      <c r="Y444" s="74"/>
      <c r="Z444" s="74"/>
      <c r="AA444" s="74"/>
      <c r="AB444" s="74"/>
      <c r="AC444" s="74"/>
      <c r="AJ444" s="74"/>
      <c r="AK444" s="74"/>
      <c r="AL444" s="74"/>
      <c r="AM444" s="74"/>
      <c r="AN444" s="74"/>
      <c r="AO444" s="74"/>
      <c r="AP444" s="74"/>
      <c r="AQ444" s="74"/>
      <c r="AR444" s="74"/>
      <c r="AS444" s="74"/>
      <c r="BD444" s="74"/>
      <c r="BE444" s="74"/>
      <c r="BF444" s="74"/>
      <c r="BG444" s="74"/>
      <c r="BH444" s="74"/>
      <c r="BI444" s="74"/>
    </row>
    <row r="445" spans="4:61" x14ac:dyDescent="0.3">
      <c r="D445" s="76"/>
      <c r="E445" s="76"/>
      <c r="F445" s="76" t="str">
        <f t="shared" si="55"/>
        <v/>
      </c>
      <c r="G445" s="183" t="str">
        <f>IF(F445 = "","",IFERROR(IF($G$1 = "YTM",_xll.CbondsCalcYTM($B$1,D445,F445),_xll.CbondsCalcYTP($B$1,D445,F445)),"")*100)</f>
        <v/>
      </c>
      <c r="U445" s="74"/>
      <c r="V445" s="74"/>
      <c r="W445" s="74"/>
      <c r="X445" s="74"/>
      <c r="Y445" s="74"/>
      <c r="Z445" s="74"/>
      <c r="AA445" s="74"/>
      <c r="AB445" s="74"/>
      <c r="AC445" s="74"/>
      <c r="AJ445" s="74"/>
      <c r="AK445" s="74"/>
      <c r="AL445" s="74"/>
      <c r="AM445" s="74"/>
      <c r="AN445" s="74"/>
      <c r="AO445" s="74"/>
      <c r="AP445" s="74"/>
      <c r="AQ445" s="74"/>
      <c r="AR445" s="74"/>
      <c r="AS445" s="74"/>
      <c r="BD445" s="74"/>
      <c r="BE445" s="74"/>
      <c r="BF445" s="74"/>
      <c r="BG445" s="74"/>
      <c r="BH445" s="74"/>
      <c r="BI445" s="74"/>
    </row>
    <row r="446" spans="4:61" x14ac:dyDescent="0.3">
      <c r="D446" s="76"/>
      <c r="E446" s="76"/>
      <c r="F446" s="76" t="str">
        <f t="shared" si="55"/>
        <v/>
      </c>
      <c r="G446" s="183" t="str">
        <f>IF(F446 = "","",IFERROR(IF($G$1 = "YTM",_xll.CbondsCalcYTM($B$1,D446,F446),_xll.CbondsCalcYTP($B$1,D446,F446)),"")*100)</f>
        <v/>
      </c>
      <c r="U446" s="74"/>
      <c r="V446" s="74"/>
      <c r="W446" s="74"/>
      <c r="X446" s="74"/>
      <c r="Y446" s="74"/>
      <c r="Z446" s="74"/>
      <c r="AA446" s="74"/>
      <c r="AB446" s="74"/>
      <c r="AC446" s="74"/>
      <c r="AJ446" s="74"/>
      <c r="AK446" s="74"/>
      <c r="AL446" s="74"/>
      <c r="AM446" s="74"/>
      <c r="AN446" s="74"/>
      <c r="AO446" s="74"/>
      <c r="AP446" s="74"/>
      <c r="AQ446" s="74"/>
      <c r="AR446" s="74"/>
      <c r="AS446" s="74"/>
      <c r="BD446" s="74"/>
      <c r="BE446" s="74"/>
      <c r="BF446" s="74"/>
      <c r="BG446" s="74"/>
      <c r="BH446" s="74"/>
      <c r="BI446" s="74"/>
    </row>
    <row r="447" spans="4:61" x14ac:dyDescent="0.3">
      <c r="D447" s="76"/>
      <c r="E447" s="76"/>
      <c r="F447" s="76" t="str">
        <f t="shared" si="55"/>
        <v/>
      </c>
      <c r="G447" s="183" t="str">
        <f>IF(F447 = "","",IFERROR(IF($G$1 = "YTM",_xll.CbondsCalcYTM($B$1,D447,F447),_xll.CbondsCalcYTP($B$1,D447,F447)),"")*100)</f>
        <v/>
      </c>
      <c r="U447" s="74"/>
      <c r="V447" s="74"/>
      <c r="W447" s="74"/>
      <c r="X447" s="74"/>
      <c r="Y447" s="74"/>
      <c r="Z447" s="74"/>
      <c r="AA447" s="74"/>
      <c r="AB447" s="74"/>
      <c r="AC447" s="74"/>
      <c r="AJ447" s="74"/>
      <c r="AK447" s="74"/>
      <c r="AL447" s="74"/>
      <c r="AM447" s="74"/>
      <c r="AN447" s="74"/>
      <c r="AO447" s="74"/>
      <c r="AP447" s="74"/>
      <c r="AQ447" s="74"/>
      <c r="AR447" s="74"/>
      <c r="AS447" s="74"/>
      <c r="BD447" s="74"/>
      <c r="BE447" s="74"/>
      <c r="BF447" s="74"/>
      <c r="BG447" s="74"/>
      <c r="BH447" s="74"/>
      <c r="BI447" s="74"/>
    </row>
    <row r="448" spans="4:61" x14ac:dyDescent="0.3">
      <c r="D448" s="76"/>
      <c r="E448" s="76"/>
      <c r="F448" s="76" t="str">
        <f t="shared" si="55"/>
        <v/>
      </c>
      <c r="G448" s="183" t="str">
        <f>IF(F448 = "","",IFERROR(IF($G$1 = "YTM",_xll.CbondsCalcYTM($B$1,D448,F448),_xll.CbondsCalcYTP($B$1,D448,F448)),"")*100)</f>
        <v/>
      </c>
      <c r="U448" s="74"/>
      <c r="V448" s="74"/>
      <c r="W448" s="74"/>
      <c r="X448" s="74"/>
      <c r="Y448" s="74"/>
      <c r="Z448" s="74"/>
      <c r="AA448" s="74"/>
      <c r="AB448" s="74"/>
      <c r="AC448" s="74"/>
      <c r="AJ448" s="74"/>
      <c r="AK448" s="74"/>
      <c r="AL448" s="74"/>
      <c r="AM448" s="74"/>
      <c r="AN448" s="74"/>
      <c r="AO448" s="74"/>
      <c r="AP448" s="74"/>
      <c r="AQ448" s="74"/>
      <c r="AR448" s="74"/>
      <c r="AS448" s="74"/>
      <c r="BD448" s="74"/>
      <c r="BE448" s="74"/>
      <c r="BF448" s="74"/>
      <c r="BG448" s="74"/>
      <c r="BH448" s="74"/>
      <c r="BI448" s="74"/>
    </row>
    <row r="449" spans="4:61" x14ac:dyDescent="0.3">
      <c r="D449" s="76"/>
      <c r="E449" s="76"/>
      <c r="F449" s="76" t="str">
        <f t="shared" si="55"/>
        <v/>
      </c>
      <c r="G449" s="183" t="str">
        <f>IF(F449 = "","",IFERROR(IF($G$1 = "YTM",_xll.CbondsCalcYTM($B$1,D449,F449),_xll.CbondsCalcYTP($B$1,D449,F449)),"")*100)</f>
        <v/>
      </c>
      <c r="U449" s="74"/>
      <c r="V449" s="74"/>
      <c r="W449" s="74"/>
      <c r="X449" s="74"/>
      <c r="Y449" s="74"/>
      <c r="Z449" s="74"/>
      <c r="AA449" s="74"/>
      <c r="AB449" s="74"/>
      <c r="AC449" s="74"/>
      <c r="AJ449" s="74"/>
      <c r="AK449" s="74"/>
      <c r="AL449" s="74"/>
      <c r="AM449" s="74"/>
      <c r="AN449" s="74"/>
      <c r="AO449" s="74"/>
      <c r="AP449" s="74"/>
      <c r="AQ449" s="74"/>
      <c r="AR449" s="74"/>
      <c r="AS449" s="74"/>
      <c r="BD449" s="74"/>
      <c r="BE449" s="74"/>
      <c r="BF449" s="74"/>
      <c r="BG449" s="74"/>
      <c r="BH449" s="74"/>
      <c r="BI449" s="74"/>
    </row>
    <row r="450" spans="4:61" x14ac:dyDescent="0.3">
      <c r="D450" s="76"/>
      <c r="E450" s="76"/>
      <c r="F450" s="76" t="str">
        <f t="shared" si="55"/>
        <v/>
      </c>
      <c r="G450" s="183" t="str">
        <f>IF(F450 = "","",IFERROR(IF($G$1 = "YTM",_xll.CbondsCalcYTM($B$1,D450,F450),_xll.CbondsCalcYTP($B$1,D450,F450)),"")*100)</f>
        <v/>
      </c>
      <c r="U450" s="74"/>
      <c r="V450" s="74"/>
      <c r="W450" s="74"/>
      <c r="X450" s="74"/>
      <c r="Y450" s="74"/>
      <c r="Z450" s="74"/>
      <c r="AA450" s="74"/>
      <c r="AB450" s="74"/>
      <c r="AC450" s="74"/>
      <c r="AJ450" s="74"/>
      <c r="AK450" s="74"/>
      <c r="AL450" s="74"/>
      <c r="AM450" s="74"/>
      <c r="AN450" s="74"/>
      <c r="AO450" s="74"/>
      <c r="AP450" s="74"/>
      <c r="AQ450" s="74"/>
      <c r="AR450" s="74"/>
      <c r="AS450" s="74"/>
      <c r="BD450" s="74"/>
      <c r="BE450" s="74"/>
      <c r="BF450" s="74"/>
      <c r="BG450" s="74"/>
      <c r="BH450" s="74"/>
      <c r="BI450" s="74"/>
    </row>
    <row r="451" spans="4:61" x14ac:dyDescent="0.3">
      <c r="D451" s="76"/>
      <c r="E451" s="76"/>
      <c r="F451" s="76" t="str">
        <f t="shared" si="55"/>
        <v/>
      </c>
      <c r="G451" s="183" t="str">
        <f>IF(F451 = "","",IFERROR(IF($G$1 = "YTM",_xll.CbondsCalcYTM($B$1,D451,F451),_xll.CbondsCalcYTP($B$1,D451,F451)),"")*100)</f>
        <v/>
      </c>
      <c r="U451" s="74"/>
      <c r="V451" s="74"/>
      <c r="W451" s="74"/>
      <c r="X451" s="74"/>
      <c r="Y451" s="74"/>
      <c r="Z451" s="74"/>
      <c r="AA451" s="74"/>
      <c r="AB451" s="74"/>
      <c r="AC451" s="74"/>
      <c r="AJ451" s="74"/>
      <c r="AK451" s="74"/>
      <c r="AL451" s="74"/>
      <c r="AM451" s="74"/>
      <c r="AN451" s="74"/>
      <c r="AO451" s="74"/>
      <c r="AP451" s="74"/>
      <c r="AQ451" s="74"/>
      <c r="AR451" s="74"/>
      <c r="AS451" s="74"/>
      <c r="BD451" s="74"/>
      <c r="BE451" s="74"/>
      <c r="BF451" s="74"/>
      <c r="BG451" s="74"/>
      <c r="BH451" s="74"/>
      <c r="BI451" s="74"/>
    </row>
    <row r="452" spans="4:61" x14ac:dyDescent="0.3">
      <c r="D452" s="76"/>
      <c r="E452" s="76"/>
      <c r="F452" s="76" t="str">
        <f t="shared" ref="F452:F515" si="56">IF(AND(E452="",D452=""),"",IF(AND(E452="",D452&lt;&gt;""),F451,E452))</f>
        <v/>
      </c>
      <c r="G452" s="183" t="str">
        <f>IF(F452 = "","",IFERROR(IF($G$1 = "YTM",_xll.CbondsCalcYTM($B$1,D452,F452),_xll.CbondsCalcYTP($B$1,D452,F452)),"")*100)</f>
        <v/>
      </c>
      <c r="U452" s="74"/>
      <c r="V452" s="74"/>
      <c r="W452" s="74"/>
      <c r="X452" s="74"/>
      <c r="Y452" s="74"/>
      <c r="Z452" s="74"/>
      <c r="AA452" s="74"/>
      <c r="AB452" s="74"/>
      <c r="AC452" s="74"/>
      <c r="AJ452" s="74"/>
      <c r="AK452" s="74"/>
      <c r="AL452" s="74"/>
      <c r="AM452" s="74"/>
      <c r="AN452" s="74"/>
      <c r="AO452" s="74"/>
      <c r="AP452" s="74"/>
      <c r="AQ452" s="74"/>
      <c r="AR452" s="74"/>
      <c r="AS452" s="74"/>
      <c r="BD452" s="74"/>
      <c r="BE452" s="74"/>
      <c r="BF452" s="74"/>
      <c r="BG452" s="74"/>
      <c r="BH452" s="74"/>
      <c r="BI452" s="74"/>
    </row>
    <row r="453" spans="4:61" x14ac:dyDescent="0.3">
      <c r="D453" s="76"/>
      <c r="E453" s="76"/>
      <c r="F453" s="76" t="str">
        <f t="shared" si="56"/>
        <v/>
      </c>
      <c r="G453" s="183" t="str">
        <f>IF(F453 = "","",IFERROR(IF($G$1 = "YTM",_xll.CbondsCalcYTM($B$1,D453,F453),_xll.CbondsCalcYTP($B$1,D453,F453)),"")*100)</f>
        <v/>
      </c>
      <c r="U453" s="74"/>
      <c r="V453" s="74"/>
      <c r="W453" s="74"/>
      <c r="X453" s="74"/>
      <c r="Y453" s="74"/>
      <c r="Z453" s="74"/>
      <c r="AA453" s="74"/>
      <c r="AB453" s="74"/>
      <c r="AC453" s="74"/>
      <c r="AJ453" s="74"/>
      <c r="AK453" s="74"/>
      <c r="AL453" s="74"/>
      <c r="AM453" s="74"/>
      <c r="AN453" s="74"/>
      <c r="AO453" s="74"/>
      <c r="AP453" s="74"/>
      <c r="AQ453" s="74"/>
      <c r="AR453" s="74"/>
      <c r="AS453" s="74"/>
      <c r="BD453" s="74"/>
      <c r="BE453" s="74"/>
      <c r="BF453" s="74"/>
      <c r="BG453" s="74"/>
      <c r="BH453" s="74"/>
      <c r="BI453" s="74"/>
    </row>
    <row r="454" spans="4:61" x14ac:dyDescent="0.3">
      <c r="D454" s="76"/>
      <c r="E454" s="76"/>
      <c r="F454" s="76" t="str">
        <f t="shared" si="56"/>
        <v/>
      </c>
      <c r="G454" s="183" t="str">
        <f>IF(F454 = "","",IFERROR(IF($G$1 = "YTM",_xll.CbondsCalcYTM($B$1,D454,F454),_xll.CbondsCalcYTP($B$1,D454,F454)),"")*100)</f>
        <v/>
      </c>
      <c r="U454" s="74"/>
      <c r="V454" s="74"/>
      <c r="W454" s="74"/>
      <c r="X454" s="74"/>
      <c r="Y454" s="74"/>
      <c r="Z454" s="74"/>
      <c r="AA454" s="74"/>
      <c r="AB454" s="74"/>
      <c r="AC454" s="74"/>
      <c r="AJ454" s="74"/>
      <c r="AK454" s="74"/>
      <c r="AL454" s="74"/>
      <c r="AM454" s="74"/>
      <c r="AN454" s="74"/>
      <c r="AO454" s="74"/>
      <c r="AP454" s="74"/>
      <c r="AQ454" s="74"/>
      <c r="AR454" s="74"/>
      <c r="AS454" s="74"/>
      <c r="BD454" s="74"/>
      <c r="BE454" s="74"/>
      <c r="BF454" s="74"/>
      <c r="BG454" s="74"/>
      <c r="BH454" s="74"/>
      <c r="BI454" s="74"/>
    </row>
    <row r="455" spans="4:61" x14ac:dyDescent="0.3">
      <c r="D455" s="76"/>
      <c r="E455" s="76"/>
      <c r="F455" s="76" t="str">
        <f t="shared" si="56"/>
        <v/>
      </c>
      <c r="G455" s="183" t="str">
        <f>IF(F455 = "","",IFERROR(IF($G$1 = "YTM",_xll.CbondsCalcYTM($B$1,D455,F455),_xll.CbondsCalcYTP($B$1,D455,F455)),"")*100)</f>
        <v/>
      </c>
      <c r="U455" s="74"/>
      <c r="V455" s="74"/>
      <c r="W455" s="74"/>
      <c r="X455" s="74"/>
      <c r="Y455" s="74"/>
      <c r="Z455" s="74"/>
      <c r="AA455" s="74"/>
      <c r="AB455" s="74"/>
      <c r="AC455" s="74"/>
      <c r="AJ455" s="74"/>
      <c r="AK455" s="74"/>
      <c r="AL455" s="74"/>
      <c r="AM455" s="74"/>
      <c r="AN455" s="74"/>
      <c r="AO455" s="74"/>
      <c r="AP455" s="74"/>
      <c r="AQ455" s="74"/>
      <c r="AR455" s="74"/>
      <c r="AS455" s="74"/>
      <c r="BD455" s="74"/>
      <c r="BE455" s="74"/>
      <c r="BF455" s="74"/>
      <c r="BG455" s="74"/>
      <c r="BH455" s="74"/>
      <c r="BI455" s="74"/>
    </row>
    <row r="456" spans="4:61" x14ac:dyDescent="0.3">
      <c r="D456" s="76"/>
      <c r="E456" s="76"/>
      <c r="F456" s="76" t="str">
        <f t="shared" si="56"/>
        <v/>
      </c>
      <c r="G456" s="183" t="str">
        <f>IF(F456 = "","",IFERROR(IF($G$1 = "YTM",_xll.CbondsCalcYTM($B$1,D456,F456),_xll.CbondsCalcYTP($B$1,D456,F456)),"")*100)</f>
        <v/>
      </c>
      <c r="U456" s="74"/>
      <c r="V456" s="74"/>
      <c r="W456" s="74"/>
      <c r="X456" s="74"/>
      <c r="Y456" s="74"/>
      <c r="Z456" s="74"/>
      <c r="AA456" s="74"/>
      <c r="AB456" s="74"/>
      <c r="AC456" s="74"/>
      <c r="AJ456" s="74"/>
      <c r="AK456" s="74"/>
      <c r="AL456" s="74"/>
      <c r="AM456" s="74"/>
      <c r="AN456" s="74"/>
      <c r="AO456" s="74"/>
      <c r="AP456" s="74"/>
      <c r="AQ456" s="74"/>
      <c r="AR456" s="74"/>
      <c r="AS456" s="74"/>
      <c r="BD456" s="74"/>
      <c r="BE456" s="74"/>
      <c r="BF456" s="74"/>
      <c r="BG456" s="74"/>
      <c r="BH456" s="74"/>
      <c r="BI456" s="74"/>
    </row>
    <row r="457" spans="4:61" x14ac:dyDescent="0.3">
      <c r="D457" s="76"/>
      <c r="E457" s="76"/>
      <c r="F457" s="76" t="str">
        <f t="shared" si="56"/>
        <v/>
      </c>
      <c r="G457" s="183" t="str">
        <f>IF(F457 = "","",IFERROR(IF($G$1 = "YTM",_xll.CbondsCalcYTM($B$1,D457,F457),_xll.CbondsCalcYTP($B$1,D457,F457)),"")*100)</f>
        <v/>
      </c>
      <c r="U457" s="74"/>
      <c r="V457" s="74"/>
      <c r="W457" s="74"/>
      <c r="X457" s="74"/>
      <c r="Y457" s="74"/>
      <c r="Z457" s="74"/>
      <c r="AA457" s="74"/>
      <c r="AB457" s="74"/>
      <c r="AC457" s="74"/>
      <c r="AJ457" s="74"/>
      <c r="AK457" s="74"/>
      <c r="AL457" s="74"/>
      <c r="AM457" s="74"/>
      <c r="AN457" s="74"/>
      <c r="AO457" s="74"/>
      <c r="AP457" s="74"/>
      <c r="AQ457" s="74"/>
      <c r="AR457" s="74"/>
      <c r="AS457" s="74"/>
      <c r="BD457" s="74"/>
      <c r="BE457" s="74"/>
      <c r="BF457" s="74"/>
      <c r="BG457" s="74"/>
      <c r="BH457" s="74"/>
      <c r="BI457" s="74"/>
    </row>
    <row r="458" spans="4:61" x14ac:dyDescent="0.3">
      <c r="D458" s="76"/>
      <c r="E458" s="76"/>
      <c r="F458" s="76" t="str">
        <f t="shared" si="56"/>
        <v/>
      </c>
      <c r="G458" s="183" t="str">
        <f>IF(F458 = "","",IFERROR(IF($G$1 = "YTM",_xll.CbondsCalcYTM($B$1,D458,F458),_xll.CbondsCalcYTP($B$1,D458,F458)),"")*100)</f>
        <v/>
      </c>
      <c r="U458" s="74"/>
      <c r="V458" s="74"/>
      <c r="W458" s="74"/>
      <c r="X458" s="74"/>
      <c r="Y458" s="74"/>
      <c r="Z458" s="74"/>
      <c r="AA458" s="74"/>
      <c r="AB458" s="74"/>
      <c r="AC458" s="74"/>
      <c r="AJ458" s="74"/>
      <c r="AK458" s="74"/>
      <c r="AL458" s="74"/>
      <c r="AM458" s="74"/>
      <c r="AN458" s="74"/>
      <c r="AO458" s="74"/>
      <c r="AP458" s="74"/>
      <c r="AQ458" s="74"/>
      <c r="AR458" s="74"/>
      <c r="AS458" s="74"/>
      <c r="BD458" s="74"/>
      <c r="BE458" s="74"/>
      <c r="BF458" s="74"/>
      <c r="BG458" s="74"/>
      <c r="BH458" s="74"/>
      <c r="BI458" s="74"/>
    </row>
    <row r="459" spans="4:61" x14ac:dyDescent="0.3">
      <c r="D459" s="76"/>
      <c r="E459" s="76"/>
      <c r="F459" s="76" t="str">
        <f t="shared" si="56"/>
        <v/>
      </c>
      <c r="G459" s="183" t="str">
        <f>IF(F459 = "","",IFERROR(IF($G$1 = "YTM",_xll.CbondsCalcYTM($B$1,D459,F459),_xll.CbondsCalcYTP($B$1,D459,F459)),"")*100)</f>
        <v/>
      </c>
      <c r="U459" s="74"/>
      <c r="V459" s="74"/>
      <c r="W459" s="74"/>
      <c r="X459" s="74"/>
      <c r="Y459" s="74"/>
      <c r="Z459" s="74"/>
      <c r="AA459" s="74"/>
      <c r="AB459" s="74"/>
      <c r="AC459" s="74"/>
      <c r="AJ459" s="74"/>
      <c r="AK459" s="74"/>
      <c r="AL459" s="74"/>
      <c r="AM459" s="74"/>
      <c r="AN459" s="74"/>
      <c r="AO459" s="74"/>
      <c r="AP459" s="74"/>
      <c r="AQ459" s="74"/>
      <c r="AR459" s="74"/>
      <c r="AS459" s="74"/>
      <c r="BD459" s="74"/>
      <c r="BE459" s="74"/>
      <c r="BF459" s="74"/>
      <c r="BG459" s="74"/>
      <c r="BH459" s="74"/>
      <c r="BI459" s="74"/>
    </row>
    <row r="460" spans="4:61" x14ac:dyDescent="0.3">
      <c r="D460" s="76"/>
      <c r="E460" s="76"/>
      <c r="F460" s="76" t="str">
        <f t="shared" si="56"/>
        <v/>
      </c>
      <c r="G460" s="183" t="str">
        <f>IF(F460 = "","",IFERROR(IF($G$1 = "YTM",_xll.CbondsCalcYTM($B$1,D460,F460),_xll.CbondsCalcYTP($B$1,D460,F460)),"")*100)</f>
        <v/>
      </c>
      <c r="U460" s="74"/>
      <c r="V460" s="74"/>
      <c r="W460" s="74"/>
      <c r="X460" s="74"/>
      <c r="Y460" s="74"/>
      <c r="Z460" s="74"/>
      <c r="AA460" s="74"/>
      <c r="AB460" s="74"/>
      <c r="AC460" s="74"/>
      <c r="AJ460" s="74"/>
      <c r="AK460" s="74"/>
      <c r="AL460" s="74"/>
      <c r="AM460" s="74"/>
      <c r="AN460" s="74"/>
      <c r="AO460" s="74"/>
      <c r="AP460" s="74"/>
      <c r="AQ460" s="74"/>
      <c r="AR460" s="74"/>
      <c r="AS460" s="74"/>
      <c r="BD460" s="74"/>
      <c r="BE460" s="74"/>
      <c r="BF460" s="74"/>
      <c r="BG460" s="74"/>
      <c r="BH460" s="74"/>
      <c r="BI460" s="74"/>
    </row>
    <row r="461" spans="4:61" x14ac:dyDescent="0.3">
      <c r="D461" s="76"/>
      <c r="E461" s="76"/>
      <c r="F461" s="76" t="str">
        <f t="shared" si="56"/>
        <v/>
      </c>
      <c r="G461" s="183" t="str">
        <f>IF(F461 = "","",IFERROR(IF($G$1 = "YTM",_xll.CbondsCalcYTM($B$1,D461,F461),_xll.CbondsCalcYTP($B$1,D461,F461)),"")*100)</f>
        <v/>
      </c>
      <c r="U461" s="74"/>
      <c r="V461" s="74"/>
      <c r="W461" s="74"/>
      <c r="X461" s="74"/>
      <c r="Y461" s="74"/>
      <c r="Z461" s="74"/>
      <c r="AA461" s="74"/>
      <c r="AB461" s="74"/>
      <c r="AC461" s="74"/>
      <c r="AJ461" s="74"/>
      <c r="AK461" s="74"/>
      <c r="AL461" s="74"/>
      <c r="AM461" s="74"/>
      <c r="AN461" s="74"/>
      <c r="AO461" s="74"/>
      <c r="AP461" s="74"/>
      <c r="AQ461" s="74"/>
      <c r="AR461" s="74"/>
      <c r="AS461" s="74"/>
      <c r="BD461" s="74"/>
      <c r="BE461" s="74"/>
      <c r="BF461" s="74"/>
      <c r="BG461" s="74"/>
      <c r="BH461" s="74"/>
      <c r="BI461" s="74"/>
    </row>
    <row r="462" spans="4:61" x14ac:dyDescent="0.3">
      <c r="D462" s="76"/>
      <c r="E462" s="76"/>
      <c r="F462" s="76" t="str">
        <f t="shared" si="56"/>
        <v/>
      </c>
      <c r="G462" s="183" t="str">
        <f>IF(F462 = "","",IFERROR(IF($G$1 = "YTM",_xll.CbondsCalcYTM($B$1,D462,F462),_xll.CbondsCalcYTP($B$1,D462,F462)),"")*100)</f>
        <v/>
      </c>
      <c r="U462" s="74"/>
      <c r="V462" s="74"/>
      <c r="W462" s="74"/>
      <c r="X462" s="74"/>
      <c r="Y462" s="74"/>
      <c r="Z462" s="74"/>
      <c r="AA462" s="74"/>
      <c r="AB462" s="74"/>
      <c r="AC462" s="74"/>
      <c r="AJ462" s="74"/>
      <c r="AK462" s="74"/>
      <c r="AL462" s="74"/>
      <c r="AM462" s="74"/>
      <c r="AN462" s="74"/>
      <c r="AO462" s="74"/>
      <c r="AP462" s="74"/>
      <c r="AQ462" s="74"/>
      <c r="AR462" s="74"/>
      <c r="AS462" s="74"/>
      <c r="BD462" s="74"/>
      <c r="BE462" s="74"/>
      <c r="BF462" s="74"/>
      <c r="BG462" s="74"/>
      <c r="BH462" s="74"/>
      <c r="BI462" s="74"/>
    </row>
    <row r="463" spans="4:61" x14ac:dyDescent="0.3">
      <c r="D463" s="76"/>
      <c r="E463" s="76"/>
      <c r="F463" s="76" t="str">
        <f t="shared" si="56"/>
        <v/>
      </c>
      <c r="G463" s="183" t="str">
        <f>IF(F463 = "","",IFERROR(IF($G$1 = "YTM",_xll.CbondsCalcYTM($B$1,D463,F463),_xll.CbondsCalcYTP($B$1,D463,F463)),"")*100)</f>
        <v/>
      </c>
      <c r="U463" s="74"/>
      <c r="V463" s="74"/>
      <c r="W463" s="74"/>
      <c r="X463" s="74"/>
      <c r="Y463" s="74"/>
      <c r="Z463" s="74"/>
      <c r="AA463" s="74"/>
      <c r="AB463" s="74"/>
      <c r="AC463" s="74"/>
      <c r="AJ463" s="74"/>
      <c r="AK463" s="74"/>
      <c r="AL463" s="74"/>
      <c r="AM463" s="74"/>
      <c r="AN463" s="74"/>
      <c r="AO463" s="74"/>
      <c r="AP463" s="74"/>
      <c r="AQ463" s="74"/>
      <c r="AR463" s="74"/>
      <c r="AS463" s="74"/>
      <c r="BD463" s="74"/>
      <c r="BE463" s="74"/>
      <c r="BF463" s="74"/>
      <c r="BG463" s="74"/>
      <c r="BH463" s="74"/>
      <c r="BI463" s="74"/>
    </row>
    <row r="464" spans="4:61" x14ac:dyDescent="0.3">
      <c r="D464" s="76"/>
      <c r="E464" s="76"/>
      <c r="F464" s="76" t="str">
        <f t="shared" si="56"/>
        <v/>
      </c>
      <c r="G464" s="183" t="str">
        <f>IF(F464 = "","",IFERROR(IF($G$1 = "YTM",_xll.CbondsCalcYTM($B$1,D464,F464),_xll.CbondsCalcYTP($B$1,D464,F464)),"")*100)</f>
        <v/>
      </c>
      <c r="U464" s="74"/>
      <c r="V464" s="74"/>
      <c r="W464" s="74"/>
      <c r="X464" s="74"/>
      <c r="Y464" s="74"/>
      <c r="Z464" s="74"/>
      <c r="AA464" s="74"/>
      <c r="AB464" s="74"/>
      <c r="AC464" s="74"/>
      <c r="AJ464" s="74"/>
      <c r="AK464" s="74"/>
      <c r="AL464" s="74"/>
      <c r="AM464" s="74"/>
      <c r="AN464" s="74"/>
      <c r="AO464" s="74"/>
      <c r="AP464" s="74"/>
      <c r="AQ464" s="74"/>
      <c r="AR464" s="74"/>
      <c r="AS464" s="74"/>
      <c r="BD464" s="74"/>
      <c r="BE464" s="74"/>
      <c r="BF464" s="74"/>
      <c r="BG464" s="74"/>
      <c r="BH464" s="74"/>
      <c r="BI464" s="74"/>
    </row>
    <row r="465" spans="4:61" x14ac:dyDescent="0.3">
      <c r="D465" s="76"/>
      <c r="E465" s="76"/>
      <c r="F465" s="76" t="str">
        <f t="shared" si="56"/>
        <v/>
      </c>
      <c r="G465" s="183" t="str">
        <f>IF(F465 = "","",IFERROR(IF($G$1 = "YTM",_xll.CbondsCalcYTM($B$1,D465,F465),_xll.CbondsCalcYTP($B$1,D465,F465)),"")*100)</f>
        <v/>
      </c>
      <c r="U465" s="74"/>
      <c r="V465" s="74"/>
      <c r="W465" s="74"/>
      <c r="X465" s="74"/>
      <c r="Y465" s="74"/>
      <c r="Z465" s="74"/>
      <c r="AA465" s="74"/>
      <c r="AB465" s="74"/>
      <c r="AC465" s="74"/>
      <c r="AJ465" s="74"/>
      <c r="AK465" s="74"/>
      <c r="AL465" s="74"/>
      <c r="AM465" s="74"/>
      <c r="AN465" s="74"/>
      <c r="AO465" s="74"/>
      <c r="AP465" s="74"/>
      <c r="AQ465" s="74"/>
      <c r="AR465" s="74"/>
      <c r="AS465" s="74"/>
      <c r="BD465" s="74"/>
      <c r="BE465" s="74"/>
      <c r="BF465" s="74"/>
      <c r="BG465" s="74"/>
      <c r="BH465" s="74"/>
      <c r="BI465" s="74"/>
    </row>
    <row r="466" spans="4:61" x14ac:dyDescent="0.3">
      <c r="D466" s="76"/>
      <c r="E466" s="76"/>
      <c r="F466" s="76" t="str">
        <f t="shared" si="56"/>
        <v/>
      </c>
      <c r="G466" s="183" t="str">
        <f>IF(F466 = "","",IFERROR(IF($G$1 = "YTM",_xll.CbondsCalcYTM($B$1,D466,F466),_xll.CbondsCalcYTP($B$1,D466,F466)),"")*100)</f>
        <v/>
      </c>
      <c r="U466" s="74"/>
      <c r="V466" s="74"/>
      <c r="W466" s="74"/>
      <c r="X466" s="74"/>
      <c r="Y466" s="74"/>
      <c r="Z466" s="74"/>
      <c r="AA466" s="74"/>
      <c r="AB466" s="74"/>
      <c r="AC466" s="74"/>
      <c r="AJ466" s="74"/>
      <c r="AK466" s="74"/>
      <c r="AL466" s="74"/>
      <c r="AM466" s="74"/>
      <c r="AN466" s="74"/>
      <c r="AO466" s="74"/>
      <c r="AP466" s="74"/>
      <c r="AQ466" s="74"/>
      <c r="AR466" s="74"/>
      <c r="AS466" s="74"/>
      <c r="BD466" s="74"/>
      <c r="BE466" s="74"/>
      <c r="BF466" s="74"/>
      <c r="BG466" s="74"/>
      <c r="BH466" s="74"/>
      <c r="BI466" s="74"/>
    </row>
    <row r="467" spans="4:61" x14ac:dyDescent="0.3">
      <c r="D467" s="76"/>
      <c r="E467" s="76"/>
      <c r="F467" s="76" t="str">
        <f t="shared" si="56"/>
        <v/>
      </c>
      <c r="G467" s="183" t="str">
        <f>IF(F467 = "","",IFERROR(IF($G$1 = "YTM",_xll.CbondsCalcYTM($B$1,D467,F467),_xll.CbondsCalcYTP($B$1,D467,F467)),"")*100)</f>
        <v/>
      </c>
      <c r="U467" s="74"/>
      <c r="V467" s="74"/>
      <c r="W467" s="74"/>
      <c r="X467" s="74"/>
      <c r="Y467" s="74"/>
      <c r="Z467" s="74"/>
      <c r="AA467" s="74"/>
      <c r="AB467" s="74"/>
      <c r="AC467" s="74"/>
      <c r="AJ467" s="74"/>
      <c r="AK467" s="74"/>
      <c r="AL467" s="74"/>
      <c r="AM467" s="74"/>
      <c r="AN467" s="74"/>
      <c r="AO467" s="74"/>
      <c r="AP467" s="74"/>
      <c r="AQ467" s="74"/>
      <c r="AR467" s="74"/>
      <c r="AS467" s="74"/>
      <c r="BD467" s="74"/>
      <c r="BE467" s="74"/>
      <c r="BF467" s="74"/>
      <c r="BG467" s="74"/>
      <c r="BH467" s="74"/>
      <c r="BI467" s="74"/>
    </row>
    <row r="468" spans="4:61" x14ac:dyDescent="0.3">
      <c r="D468" s="76"/>
      <c r="E468" s="76"/>
      <c r="F468" s="76" t="str">
        <f t="shared" si="56"/>
        <v/>
      </c>
      <c r="G468" s="183" t="str">
        <f>IF(F468 = "","",IFERROR(IF($G$1 = "YTM",_xll.CbondsCalcYTM($B$1,D468,F468),_xll.CbondsCalcYTP($B$1,D468,F468)),"")*100)</f>
        <v/>
      </c>
      <c r="U468" s="74"/>
      <c r="V468" s="74"/>
      <c r="W468" s="74"/>
      <c r="X468" s="74"/>
      <c r="Y468" s="74"/>
      <c r="Z468" s="74"/>
      <c r="AA468" s="74"/>
      <c r="AB468" s="74"/>
      <c r="AC468" s="74"/>
      <c r="AJ468" s="74"/>
      <c r="AK468" s="74"/>
      <c r="AL468" s="74"/>
      <c r="AM468" s="74"/>
      <c r="AN468" s="74"/>
      <c r="AO468" s="74"/>
      <c r="AP468" s="74"/>
      <c r="AQ468" s="74"/>
      <c r="AR468" s="74"/>
      <c r="AS468" s="74"/>
      <c r="BD468" s="74"/>
      <c r="BE468" s="74"/>
      <c r="BF468" s="74"/>
      <c r="BG468" s="74"/>
      <c r="BH468" s="74"/>
      <c r="BI468" s="74"/>
    </row>
    <row r="469" spans="4:61" x14ac:dyDescent="0.3">
      <c r="D469" s="76"/>
      <c r="E469" s="76"/>
      <c r="F469" s="76" t="str">
        <f t="shared" si="56"/>
        <v/>
      </c>
      <c r="G469" s="183" t="str">
        <f>IF(F469 = "","",IFERROR(IF($G$1 = "YTM",_xll.CbondsCalcYTM($B$1,D469,F469),_xll.CbondsCalcYTP($B$1,D469,F469)),"")*100)</f>
        <v/>
      </c>
      <c r="U469" s="74"/>
      <c r="V469" s="74"/>
      <c r="W469" s="74"/>
      <c r="X469" s="74"/>
      <c r="Y469" s="74"/>
      <c r="Z469" s="74"/>
      <c r="AA469" s="74"/>
      <c r="AB469" s="74"/>
      <c r="AC469" s="74"/>
      <c r="AJ469" s="74"/>
      <c r="AK469" s="74"/>
      <c r="AL469" s="74"/>
      <c r="AM469" s="74"/>
      <c r="AN469" s="74"/>
      <c r="AO469" s="74"/>
      <c r="AP469" s="74"/>
      <c r="AQ469" s="74"/>
      <c r="AR469" s="74"/>
      <c r="AS469" s="74"/>
      <c r="BD469" s="74"/>
      <c r="BE469" s="74"/>
      <c r="BF469" s="74"/>
      <c r="BG469" s="74"/>
      <c r="BH469" s="74"/>
      <c r="BI469" s="74"/>
    </row>
    <row r="470" spans="4:61" x14ac:dyDescent="0.3">
      <c r="D470" s="76"/>
      <c r="E470" s="76"/>
      <c r="F470" s="76" t="str">
        <f t="shared" si="56"/>
        <v/>
      </c>
      <c r="G470" s="183" t="str">
        <f>IF(F470 = "","",IFERROR(IF($G$1 = "YTM",_xll.CbondsCalcYTM($B$1,D470,F470),_xll.CbondsCalcYTP($B$1,D470,F470)),"")*100)</f>
        <v/>
      </c>
      <c r="U470" s="74"/>
      <c r="V470" s="74"/>
      <c r="W470" s="74"/>
      <c r="X470" s="74"/>
      <c r="Y470" s="74"/>
      <c r="Z470" s="74"/>
      <c r="AA470" s="74"/>
      <c r="AB470" s="74"/>
      <c r="AC470" s="74"/>
      <c r="AJ470" s="74"/>
      <c r="AK470" s="74"/>
      <c r="AL470" s="74"/>
      <c r="AM470" s="74"/>
      <c r="AN470" s="74"/>
      <c r="AO470" s="74"/>
      <c r="AP470" s="74"/>
      <c r="AQ470" s="74"/>
      <c r="AR470" s="74"/>
      <c r="AS470" s="74"/>
      <c r="BD470" s="74"/>
      <c r="BE470" s="74"/>
      <c r="BF470" s="74"/>
      <c r="BG470" s="74"/>
      <c r="BH470" s="74"/>
      <c r="BI470" s="74"/>
    </row>
    <row r="471" spans="4:61" x14ac:dyDescent="0.3">
      <c r="D471" s="76"/>
      <c r="E471" s="76"/>
      <c r="F471" s="76" t="str">
        <f t="shared" si="56"/>
        <v/>
      </c>
      <c r="G471" s="183" t="str">
        <f>IF(F471 = "","",IFERROR(IF($G$1 = "YTM",_xll.CbondsCalcYTM($B$1,D471,F471),_xll.CbondsCalcYTP($B$1,D471,F471)),"")*100)</f>
        <v/>
      </c>
      <c r="U471" s="74"/>
      <c r="V471" s="74"/>
      <c r="W471" s="74"/>
      <c r="X471" s="74"/>
      <c r="Y471" s="74"/>
      <c r="Z471" s="74"/>
      <c r="AA471" s="74"/>
      <c r="AB471" s="74"/>
      <c r="AC471" s="74"/>
      <c r="AJ471" s="74"/>
      <c r="AK471" s="74"/>
      <c r="AL471" s="74"/>
      <c r="AM471" s="74"/>
      <c r="AN471" s="74"/>
      <c r="AO471" s="74"/>
      <c r="AP471" s="74"/>
      <c r="AQ471" s="74"/>
      <c r="AR471" s="74"/>
      <c r="AS471" s="74"/>
      <c r="BD471" s="74"/>
      <c r="BE471" s="74"/>
      <c r="BF471" s="74"/>
      <c r="BG471" s="74"/>
      <c r="BH471" s="74"/>
      <c r="BI471" s="74"/>
    </row>
    <row r="472" spans="4:61" x14ac:dyDescent="0.3">
      <c r="D472" s="76"/>
      <c r="E472" s="76"/>
      <c r="F472" s="76" t="str">
        <f t="shared" si="56"/>
        <v/>
      </c>
      <c r="G472" s="183" t="str">
        <f>IF(F472 = "","",IFERROR(IF($G$1 = "YTM",_xll.CbondsCalcYTM($B$1,D472,F472),_xll.CbondsCalcYTP($B$1,D472,F472)),"")*100)</f>
        <v/>
      </c>
      <c r="U472" s="74"/>
      <c r="V472" s="74"/>
      <c r="W472" s="74"/>
      <c r="X472" s="74"/>
      <c r="Y472" s="74"/>
      <c r="Z472" s="74"/>
      <c r="AA472" s="74"/>
      <c r="AB472" s="74"/>
      <c r="AC472" s="74"/>
      <c r="AJ472" s="74"/>
      <c r="AK472" s="74"/>
      <c r="AL472" s="74"/>
      <c r="AM472" s="74"/>
      <c r="AN472" s="74"/>
      <c r="AO472" s="74"/>
      <c r="AP472" s="74"/>
      <c r="AQ472" s="74"/>
      <c r="AR472" s="74"/>
      <c r="AS472" s="74"/>
      <c r="BD472" s="74"/>
      <c r="BE472" s="74"/>
      <c r="BF472" s="74"/>
      <c r="BG472" s="74"/>
      <c r="BH472" s="74"/>
      <c r="BI472" s="74"/>
    </row>
    <row r="473" spans="4:61" x14ac:dyDescent="0.3">
      <c r="D473" s="76"/>
      <c r="E473" s="76"/>
      <c r="F473" s="76" t="str">
        <f t="shared" si="56"/>
        <v/>
      </c>
      <c r="G473" s="183" t="str">
        <f>IF(F473 = "","",IFERROR(IF($G$1 = "YTM",_xll.CbondsCalcYTM($B$1,D473,F473),_xll.CbondsCalcYTP($B$1,D473,F473)),"")*100)</f>
        <v/>
      </c>
      <c r="U473" s="74"/>
      <c r="V473" s="74"/>
      <c r="W473" s="74"/>
      <c r="X473" s="74"/>
      <c r="Y473" s="74"/>
      <c r="Z473" s="74"/>
      <c r="AA473" s="74"/>
      <c r="AB473" s="74"/>
      <c r="AC473" s="74"/>
      <c r="AJ473" s="74"/>
      <c r="AK473" s="74"/>
      <c r="AL473" s="74"/>
      <c r="AM473" s="74"/>
      <c r="AN473" s="74"/>
      <c r="AO473" s="74"/>
      <c r="AP473" s="74"/>
      <c r="AQ473" s="74"/>
      <c r="AR473" s="74"/>
      <c r="AS473" s="74"/>
      <c r="BD473" s="74"/>
      <c r="BE473" s="74"/>
      <c r="BF473" s="74"/>
      <c r="BG473" s="74"/>
      <c r="BH473" s="74"/>
      <c r="BI473" s="74"/>
    </row>
    <row r="474" spans="4:61" x14ac:dyDescent="0.3">
      <c r="D474" s="76"/>
      <c r="E474" s="76"/>
      <c r="F474" s="76" t="str">
        <f t="shared" si="56"/>
        <v/>
      </c>
      <c r="G474" s="183" t="str">
        <f>IF(F474 = "","",IFERROR(IF($G$1 = "YTM",_xll.CbondsCalcYTM($B$1,D474,F474),_xll.CbondsCalcYTP($B$1,D474,F474)),"")*100)</f>
        <v/>
      </c>
      <c r="U474" s="74"/>
      <c r="V474" s="74"/>
      <c r="W474" s="74"/>
      <c r="X474" s="74"/>
      <c r="Y474" s="74"/>
      <c r="Z474" s="74"/>
      <c r="AA474" s="74"/>
      <c r="AB474" s="74"/>
      <c r="AC474" s="74"/>
      <c r="AJ474" s="74"/>
      <c r="AK474" s="74"/>
      <c r="AL474" s="74"/>
      <c r="AM474" s="74"/>
      <c r="AN474" s="74"/>
      <c r="AO474" s="74"/>
      <c r="AP474" s="74"/>
      <c r="AQ474" s="74"/>
      <c r="AR474" s="74"/>
      <c r="AS474" s="74"/>
      <c r="BD474" s="74"/>
      <c r="BE474" s="74"/>
      <c r="BF474" s="74"/>
      <c r="BG474" s="74"/>
      <c r="BH474" s="74"/>
      <c r="BI474" s="74"/>
    </row>
    <row r="475" spans="4:61" x14ac:dyDescent="0.3">
      <c r="D475" s="76"/>
      <c r="E475" s="76"/>
      <c r="F475" s="76" t="str">
        <f t="shared" si="56"/>
        <v/>
      </c>
      <c r="G475" s="183" t="str">
        <f>IF(F475 = "","",IFERROR(IF($G$1 = "YTM",_xll.CbondsCalcYTM($B$1,D475,F475),_xll.CbondsCalcYTP($B$1,D475,F475)),"")*100)</f>
        <v/>
      </c>
      <c r="U475" s="74"/>
      <c r="V475" s="74"/>
      <c r="W475" s="74"/>
      <c r="X475" s="74"/>
      <c r="Y475" s="74"/>
      <c r="Z475" s="74"/>
      <c r="AA475" s="74"/>
      <c r="AB475" s="74"/>
      <c r="AC475" s="74"/>
      <c r="AJ475" s="74"/>
      <c r="AK475" s="74"/>
      <c r="AL475" s="74"/>
      <c r="AM475" s="74"/>
      <c r="AN475" s="74"/>
      <c r="AO475" s="74"/>
      <c r="AP475" s="74"/>
      <c r="AQ475" s="74"/>
      <c r="AR475" s="74"/>
      <c r="AS475" s="74"/>
      <c r="BD475" s="74"/>
      <c r="BE475" s="74"/>
      <c r="BF475" s="74"/>
      <c r="BG475" s="74"/>
      <c r="BH475" s="74"/>
      <c r="BI475" s="74"/>
    </row>
    <row r="476" spans="4:61" x14ac:dyDescent="0.3">
      <c r="D476" s="76"/>
      <c r="E476" s="76"/>
      <c r="F476" s="76" t="str">
        <f t="shared" si="56"/>
        <v/>
      </c>
      <c r="G476" s="183" t="str">
        <f>IF(F476 = "","",IFERROR(IF($G$1 = "YTM",_xll.CbondsCalcYTM($B$1,D476,F476),_xll.CbondsCalcYTP($B$1,D476,F476)),"")*100)</f>
        <v/>
      </c>
      <c r="U476" s="74"/>
      <c r="V476" s="74"/>
      <c r="W476" s="74"/>
      <c r="X476" s="74"/>
      <c r="Y476" s="74"/>
      <c r="Z476" s="74"/>
      <c r="AA476" s="74"/>
      <c r="AB476" s="74"/>
      <c r="AC476" s="74"/>
      <c r="AJ476" s="74"/>
      <c r="AK476" s="74"/>
      <c r="AL476" s="74"/>
      <c r="AM476" s="74"/>
      <c r="AN476" s="74"/>
      <c r="AO476" s="74"/>
      <c r="AP476" s="74"/>
      <c r="AQ476" s="74"/>
      <c r="AR476" s="74"/>
      <c r="AS476" s="74"/>
      <c r="BD476" s="74"/>
      <c r="BE476" s="74"/>
      <c r="BF476" s="74"/>
      <c r="BG476" s="74"/>
      <c r="BH476" s="74"/>
      <c r="BI476" s="74"/>
    </row>
    <row r="477" spans="4:61" x14ac:dyDescent="0.3">
      <c r="D477" s="76"/>
      <c r="E477" s="76"/>
      <c r="F477" s="76" t="str">
        <f t="shared" si="56"/>
        <v/>
      </c>
      <c r="G477" s="183" t="str">
        <f>IF(F477 = "","",IFERROR(IF($G$1 = "YTM",_xll.CbondsCalcYTM($B$1,D477,F477),_xll.CbondsCalcYTP($B$1,D477,F477)),"")*100)</f>
        <v/>
      </c>
      <c r="U477" s="74"/>
      <c r="V477" s="74"/>
      <c r="W477" s="74"/>
      <c r="X477" s="74"/>
      <c r="Y477" s="74"/>
      <c r="Z477" s="74"/>
      <c r="AA477" s="74"/>
      <c r="AB477" s="74"/>
      <c r="AC477" s="74"/>
      <c r="AJ477" s="74"/>
      <c r="AK477" s="74"/>
      <c r="AL477" s="74"/>
      <c r="AM477" s="74"/>
      <c r="AN477" s="74"/>
      <c r="AO477" s="74"/>
      <c r="AP477" s="74"/>
      <c r="AQ477" s="74"/>
      <c r="AR477" s="74"/>
      <c r="AS477" s="74"/>
      <c r="BD477" s="74"/>
      <c r="BE477" s="74"/>
      <c r="BF477" s="74"/>
      <c r="BG477" s="74"/>
      <c r="BH477" s="74"/>
      <c r="BI477" s="74"/>
    </row>
    <row r="478" spans="4:61" x14ac:dyDescent="0.3">
      <c r="D478" s="76"/>
      <c r="E478" s="76"/>
      <c r="F478" s="76" t="str">
        <f t="shared" si="56"/>
        <v/>
      </c>
      <c r="G478" s="183" t="str">
        <f>IF(F478 = "","",IFERROR(IF($G$1 = "YTM",_xll.CbondsCalcYTM($B$1,D478,F478),_xll.CbondsCalcYTP($B$1,D478,F478)),"")*100)</f>
        <v/>
      </c>
      <c r="U478" s="74"/>
      <c r="V478" s="74"/>
      <c r="W478" s="74"/>
      <c r="X478" s="74"/>
      <c r="Y478" s="74"/>
      <c r="Z478" s="74"/>
      <c r="AA478" s="74"/>
      <c r="AB478" s="74"/>
      <c r="AC478" s="74"/>
      <c r="AJ478" s="74"/>
      <c r="AK478" s="74"/>
      <c r="AL478" s="74"/>
      <c r="AM478" s="74"/>
      <c r="AN478" s="74"/>
      <c r="AO478" s="74"/>
      <c r="AP478" s="74"/>
      <c r="AQ478" s="74"/>
      <c r="AR478" s="74"/>
      <c r="AS478" s="74"/>
      <c r="BD478" s="74"/>
      <c r="BE478" s="74"/>
      <c r="BF478" s="74"/>
      <c r="BG478" s="74"/>
      <c r="BH478" s="74"/>
      <c r="BI478" s="74"/>
    </row>
    <row r="479" spans="4:61" x14ac:dyDescent="0.3">
      <c r="D479" s="76"/>
      <c r="E479" s="76"/>
      <c r="F479" s="76" t="str">
        <f t="shared" si="56"/>
        <v/>
      </c>
      <c r="G479" s="183" t="str">
        <f>IF(F479 = "","",IFERROR(IF($G$1 = "YTM",_xll.CbondsCalcYTM($B$1,D479,F479),_xll.CbondsCalcYTP($B$1,D479,F479)),"")*100)</f>
        <v/>
      </c>
      <c r="U479" s="74"/>
      <c r="V479" s="74"/>
      <c r="W479" s="74"/>
      <c r="X479" s="74"/>
      <c r="Y479" s="74"/>
      <c r="Z479" s="74"/>
      <c r="AA479" s="74"/>
      <c r="AB479" s="74"/>
      <c r="AC479" s="74"/>
      <c r="AJ479" s="74"/>
      <c r="AK479" s="74"/>
      <c r="AL479" s="74"/>
      <c r="AM479" s="74"/>
      <c r="AN479" s="74"/>
      <c r="AO479" s="74"/>
      <c r="AP479" s="74"/>
      <c r="AQ479" s="74"/>
      <c r="AR479" s="74"/>
      <c r="AS479" s="74"/>
      <c r="BD479" s="74"/>
      <c r="BE479" s="74"/>
      <c r="BF479" s="74"/>
      <c r="BG479" s="74"/>
      <c r="BH479" s="74"/>
      <c r="BI479" s="74"/>
    </row>
    <row r="480" spans="4:61" x14ac:dyDescent="0.3">
      <c r="D480" s="76"/>
      <c r="E480" s="76"/>
      <c r="F480" s="76" t="str">
        <f t="shared" si="56"/>
        <v/>
      </c>
      <c r="G480" s="183" t="str">
        <f>IF(F480 = "","",IFERROR(IF($G$1 = "YTM",_xll.CbondsCalcYTM($B$1,D480,F480),_xll.CbondsCalcYTP($B$1,D480,F480)),"")*100)</f>
        <v/>
      </c>
      <c r="U480" s="74"/>
      <c r="V480" s="74"/>
      <c r="W480" s="74"/>
      <c r="X480" s="74"/>
      <c r="Y480" s="74"/>
      <c r="Z480" s="74"/>
      <c r="AA480" s="74"/>
      <c r="AB480" s="74"/>
      <c r="AC480" s="74"/>
      <c r="AJ480" s="74"/>
      <c r="AK480" s="74"/>
      <c r="AL480" s="74"/>
      <c r="AM480" s="74"/>
      <c r="AN480" s="74"/>
      <c r="AO480" s="74"/>
      <c r="AP480" s="74"/>
      <c r="AQ480" s="74"/>
      <c r="AR480" s="74"/>
      <c r="AS480" s="74"/>
      <c r="BD480" s="74"/>
      <c r="BE480" s="74"/>
      <c r="BF480" s="74"/>
      <c r="BG480" s="74"/>
      <c r="BH480" s="74"/>
      <c r="BI480" s="74"/>
    </row>
    <row r="481" spans="4:61" x14ac:dyDescent="0.3">
      <c r="D481" s="76"/>
      <c r="E481" s="76"/>
      <c r="F481" s="76" t="str">
        <f t="shared" si="56"/>
        <v/>
      </c>
      <c r="G481" s="183" t="str">
        <f>IF(F481 = "","",IFERROR(IF($G$1 = "YTM",_xll.CbondsCalcYTM($B$1,D481,F481),_xll.CbondsCalcYTP($B$1,D481,F481)),"")*100)</f>
        <v/>
      </c>
      <c r="U481" s="74"/>
      <c r="V481" s="74"/>
      <c r="W481" s="74"/>
      <c r="X481" s="74"/>
      <c r="Y481" s="74"/>
      <c r="Z481" s="74"/>
      <c r="AA481" s="74"/>
      <c r="AB481" s="74"/>
      <c r="AC481" s="74"/>
      <c r="AJ481" s="74"/>
      <c r="AK481" s="74"/>
      <c r="AL481" s="74"/>
      <c r="AM481" s="74"/>
      <c r="AN481" s="74"/>
      <c r="AO481" s="74"/>
      <c r="AP481" s="74"/>
      <c r="AQ481" s="74"/>
      <c r="AR481" s="74"/>
      <c r="AS481" s="74"/>
      <c r="BD481" s="74"/>
      <c r="BE481" s="74"/>
      <c r="BF481" s="74"/>
      <c r="BG481" s="74"/>
      <c r="BH481" s="74"/>
      <c r="BI481" s="74"/>
    </row>
    <row r="482" spans="4:61" x14ac:dyDescent="0.3">
      <c r="D482" s="76"/>
      <c r="E482" s="76"/>
      <c r="F482" s="76" t="str">
        <f t="shared" si="56"/>
        <v/>
      </c>
      <c r="G482" s="183" t="str">
        <f>IF(F482 = "","",IFERROR(IF($G$1 = "YTM",_xll.CbondsCalcYTM($B$1,D482,F482),_xll.CbondsCalcYTP($B$1,D482,F482)),"")*100)</f>
        <v/>
      </c>
      <c r="U482" s="74"/>
      <c r="V482" s="74"/>
      <c r="W482" s="74"/>
      <c r="X482" s="74"/>
      <c r="Y482" s="74"/>
      <c r="Z482" s="74"/>
      <c r="AA482" s="74"/>
      <c r="AB482" s="74"/>
      <c r="AC482" s="74"/>
      <c r="AJ482" s="74"/>
      <c r="AK482" s="74"/>
      <c r="AL482" s="74"/>
      <c r="AM482" s="74"/>
      <c r="AN482" s="74"/>
      <c r="AO482" s="74"/>
      <c r="AP482" s="74"/>
      <c r="AQ482" s="74"/>
      <c r="AR482" s="74"/>
      <c r="AS482" s="74"/>
      <c r="BD482" s="74"/>
      <c r="BE482" s="74"/>
      <c r="BF482" s="74"/>
      <c r="BG482" s="74"/>
      <c r="BH482" s="74"/>
      <c r="BI482" s="74"/>
    </row>
    <row r="483" spans="4:61" x14ac:dyDescent="0.3">
      <c r="D483" s="76"/>
      <c r="E483" s="76"/>
      <c r="F483" s="76" t="str">
        <f t="shared" si="56"/>
        <v/>
      </c>
      <c r="G483" s="183" t="str">
        <f>IF(F483 = "","",IFERROR(IF($G$1 = "YTM",_xll.CbondsCalcYTM($B$1,D483,F483),_xll.CbondsCalcYTP($B$1,D483,F483)),"")*100)</f>
        <v/>
      </c>
      <c r="U483" s="74"/>
      <c r="V483" s="74"/>
      <c r="W483" s="74"/>
      <c r="X483" s="74"/>
      <c r="Y483" s="74"/>
      <c r="Z483" s="74"/>
      <c r="AA483" s="74"/>
      <c r="AB483" s="74"/>
      <c r="AC483" s="74"/>
      <c r="AJ483" s="74"/>
      <c r="AK483" s="74"/>
      <c r="AL483" s="74"/>
      <c r="AM483" s="74"/>
      <c r="AN483" s="74"/>
      <c r="AO483" s="74"/>
      <c r="AP483" s="74"/>
      <c r="AQ483" s="74"/>
      <c r="AR483" s="74"/>
      <c r="AS483" s="74"/>
      <c r="BD483" s="74"/>
      <c r="BE483" s="74"/>
      <c r="BF483" s="74"/>
      <c r="BG483" s="74"/>
      <c r="BH483" s="74"/>
      <c r="BI483" s="74"/>
    </row>
    <row r="484" spans="4:61" x14ac:dyDescent="0.3">
      <c r="D484" s="76"/>
      <c r="E484" s="76"/>
      <c r="F484" s="76" t="str">
        <f t="shared" si="56"/>
        <v/>
      </c>
      <c r="G484" s="183" t="str">
        <f>IF(F484 = "","",IFERROR(IF($G$1 = "YTM",_xll.CbondsCalcYTM($B$1,D484,F484),_xll.CbondsCalcYTP($B$1,D484,F484)),"")*100)</f>
        <v/>
      </c>
      <c r="U484" s="74"/>
      <c r="V484" s="74"/>
      <c r="W484" s="74"/>
      <c r="X484" s="74"/>
      <c r="Y484" s="74"/>
      <c r="Z484" s="74"/>
      <c r="AA484" s="74"/>
      <c r="AB484" s="74"/>
      <c r="AC484" s="74"/>
      <c r="AJ484" s="74"/>
      <c r="AK484" s="74"/>
      <c r="AL484" s="74"/>
      <c r="AM484" s="74"/>
      <c r="AN484" s="74"/>
      <c r="AO484" s="74"/>
      <c r="AP484" s="74"/>
      <c r="AQ484" s="74"/>
      <c r="AR484" s="74"/>
      <c r="AS484" s="74"/>
      <c r="BD484" s="74"/>
      <c r="BE484" s="74"/>
      <c r="BF484" s="74"/>
      <c r="BG484" s="74"/>
      <c r="BH484" s="74"/>
      <c r="BI484" s="74"/>
    </row>
    <row r="485" spans="4:61" x14ac:dyDescent="0.3">
      <c r="D485" s="76"/>
      <c r="E485" s="76"/>
      <c r="F485" s="76" t="str">
        <f t="shared" si="56"/>
        <v/>
      </c>
      <c r="G485" s="183" t="str">
        <f>IF(F485 = "","",IFERROR(IF($G$1 = "YTM",_xll.CbondsCalcYTM($B$1,D485,F485),_xll.CbondsCalcYTP($B$1,D485,F485)),"")*100)</f>
        <v/>
      </c>
      <c r="U485" s="74"/>
      <c r="V485" s="74"/>
      <c r="W485" s="74"/>
      <c r="X485" s="74"/>
      <c r="Y485" s="74"/>
      <c r="Z485" s="74"/>
      <c r="AA485" s="74"/>
      <c r="AB485" s="74"/>
      <c r="AC485" s="74"/>
      <c r="AJ485" s="74"/>
      <c r="AK485" s="74"/>
      <c r="AL485" s="74"/>
      <c r="AM485" s="74"/>
      <c r="AN485" s="74"/>
      <c r="AO485" s="74"/>
      <c r="AP485" s="74"/>
      <c r="AQ485" s="74"/>
      <c r="AR485" s="74"/>
      <c r="AS485" s="74"/>
      <c r="BD485" s="74"/>
      <c r="BE485" s="74"/>
      <c r="BF485" s="74"/>
      <c r="BG485" s="74"/>
      <c r="BH485" s="74"/>
      <c r="BI485" s="74"/>
    </row>
    <row r="486" spans="4:61" x14ac:dyDescent="0.3">
      <c r="D486" s="76"/>
      <c r="E486" s="76"/>
      <c r="F486" s="76" t="str">
        <f t="shared" si="56"/>
        <v/>
      </c>
      <c r="G486" s="183" t="str">
        <f>IF(F486 = "","",IFERROR(IF($G$1 = "YTM",_xll.CbondsCalcYTM($B$1,D486,F486),_xll.CbondsCalcYTP($B$1,D486,F486)),"")*100)</f>
        <v/>
      </c>
      <c r="U486" s="74"/>
      <c r="V486" s="74"/>
      <c r="W486" s="74"/>
      <c r="X486" s="74"/>
      <c r="Y486" s="74"/>
      <c r="Z486" s="74"/>
      <c r="AA486" s="74"/>
      <c r="AB486" s="74"/>
      <c r="AC486" s="74"/>
      <c r="AJ486" s="74"/>
      <c r="AK486" s="74"/>
      <c r="AL486" s="74"/>
      <c r="AM486" s="74"/>
      <c r="AN486" s="74"/>
      <c r="AO486" s="74"/>
      <c r="AP486" s="74"/>
      <c r="AQ486" s="74"/>
      <c r="AR486" s="74"/>
      <c r="AS486" s="74"/>
      <c r="BD486" s="74"/>
      <c r="BE486" s="74"/>
      <c r="BF486" s="74"/>
      <c r="BG486" s="74"/>
      <c r="BH486" s="74"/>
      <c r="BI486" s="74"/>
    </row>
    <row r="487" spans="4:61" x14ac:dyDescent="0.3">
      <c r="D487" s="76"/>
      <c r="E487" s="76"/>
      <c r="F487" s="76" t="str">
        <f t="shared" si="56"/>
        <v/>
      </c>
      <c r="G487" s="183" t="str">
        <f>IF(F487 = "","",IFERROR(IF($G$1 = "YTM",_xll.CbondsCalcYTM($B$1,D487,F487),_xll.CbondsCalcYTP($B$1,D487,F487)),"")*100)</f>
        <v/>
      </c>
      <c r="U487" s="74"/>
      <c r="V487" s="74"/>
      <c r="W487" s="74"/>
      <c r="X487" s="74"/>
      <c r="Y487" s="74"/>
      <c r="Z487" s="74"/>
      <c r="AA487" s="74"/>
      <c r="AB487" s="74"/>
      <c r="AC487" s="74"/>
      <c r="AJ487" s="74"/>
      <c r="AK487" s="74"/>
      <c r="AL487" s="74"/>
      <c r="AM487" s="74"/>
      <c r="AN487" s="74"/>
      <c r="AO487" s="74"/>
      <c r="AP487" s="74"/>
      <c r="AQ487" s="74"/>
      <c r="AR487" s="74"/>
      <c r="AS487" s="74"/>
      <c r="BD487" s="74"/>
      <c r="BE487" s="74"/>
      <c r="BF487" s="74"/>
      <c r="BG487" s="74"/>
      <c r="BH487" s="74"/>
      <c r="BI487" s="74"/>
    </row>
    <row r="488" spans="4:61" x14ac:dyDescent="0.3">
      <c r="D488" s="76"/>
      <c r="E488" s="76"/>
      <c r="F488" s="76" t="str">
        <f t="shared" si="56"/>
        <v/>
      </c>
      <c r="G488" s="183" t="str">
        <f>IF(F488 = "","",IFERROR(IF($G$1 = "YTM",_xll.CbondsCalcYTM($B$1,D488,F488),_xll.CbondsCalcYTP($B$1,D488,F488)),"")*100)</f>
        <v/>
      </c>
      <c r="U488" s="74"/>
      <c r="V488" s="74"/>
      <c r="W488" s="74"/>
      <c r="X488" s="74"/>
      <c r="Y488" s="74"/>
      <c r="Z488" s="74"/>
      <c r="AA488" s="74"/>
      <c r="AB488" s="74"/>
      <c r="AC488" s="74"/>
      <c r="AJ488" s="74"/>
      <c r="AK488" s="74"/>
      <c r="AL488" s="74"/>
      <c r="AM488" s="74"/>
      <c r="AN488" s="74"/>
      <c r="AO488" s="74"/>
      <c r="AP488" s="74"/>
      <c r="AQ488" s="74"/>
      <c r="AR488" s="74"/>
      <c r="AS488" s="74"/>
      <c r="BD488" s="74"/>
      <c r="BE488" s="74"/>
      <c r="BF488" s="74"/>
      <c r="BG488" s="74"/>
      <c r="BH488" s="74"/>
      <c r="BI488" s="74"/>
    </row>
    <row r="489" spans="4:61" x14ac:dyDescent="0.3">
      <c r="D489" s="76"/>
      <c r="E489" s="76"/>
      <c r="F489" s="76" t="str">
        <f t="shared" si="56"/>
        <v/>
      </c>
      <c r="G489" s="183" t="str">
        <f>IF(F489 = "","",IFERROR(IF($G$1 = "YTM",_xll.CbondsCalcYTM($B$1,D489,F489),_xll.CbondsCalcYTP($B$1,D489,F489)),"")*100)</f>
        <v/>
      </c>
      <c r="U489" s="74"/>
      <c r="V489" s="74"/>
      <c r="W489" s="74"/>
      <c r="X489" s="74"/>
      <c r="Y489" s="74"/>
      <c r="Z489" s="74"/>
      <c r="AA489" s="74"/>
      <c r="AB489" s="74"/>
      <c r="AC489" s="74"/>
      <c r="AJ489" s="74"/>
      <c r="AK489" s="74"/>
      <c r="AL489" s="74"/>
      <c r="AM489" s="74"/>
      <c r="AN489" s="74"/>
      <c r="AO489" s="74"/>
      <c r="AP489" s="74"/>
      <c r="AQ489" s="74"/>
      <c r="AR489" s="74"/>
      <c r="AS489" s="74"/>
      <c r="BD489" s="74"/>
      <c r="BE489" s="74"/>
      <c r="BF489" s="74"/>
      <c r="BG489" s="74"/>
      <c r="BH489" s="74"/>
      <c r="BI489" s="74"/>
    </row>
    <row r="490" spans="4:61" x14ac:dyDescent="0.3">
      <c r="D490" s="76"/>
      <c r="E490" s="76"/>
      <c r="F490" s="76" t="str">
        <f t="shared" si="56"/>
        <v/>
      </c>
      <c r="G490" s="183" t="str">
        <f>IF(F490 = "","",IFERROR(IF($G$1 = "YTM",_xll.CbondsCalcYTM($B$1,D490,F490),_xll.CbondsCalcYTP($B$1,D490,F490)),"")*100)</f>
        <v/>
      </c>
      <c r="U490" s="74"/>
      <c r="V490" s="74"/>
      <c r="W490" s="74"/>
      <c r="X490" s="74"/>
      <c r="Y490" s="74"/>
      <c r="Z490" s="74"/>
      <c r="AA490" s="74"/>
      <c r="AB490" s="74"/>
      <c r="AC490" s="74"/>
      <c r="AJ490" s="74"/>
      <c r="AK490" s="74"/>
      <c r="AL490" s="74"/>
      <c r="AM490" s="74"/>
      <c r="AN490" s="74"/>
      <c r="AO490" s="74"/>
      <c r="AP490" s="74"/>
      <c r="AQ490" s="74"/>
      <c r="AR490" s="74"/>
      <c r="AS490" s="74"/>
      <c r="BD490" s="74"/>
      <c r="BE490" s="74"/>
      <c r="BF490" s="74"/>
      <c r="BG490" s="74"/>
      <c r="BH490" s="74"/>
      <c r="BI490" s="74"/>
    </row>
    <row r="491" spans="4:61" x14ac:dyDescent="0.3">
      <c r="D491" s="76"/>
      <c r="E491" s="76"/>
      <c r="F491" s="76" t="str">
        <f t="shared" si="56"/>
        <v/>
      </c>
      <c r="G491" s="183" t="str">
        <f>IF(F491 = "","",IFERROR(IF($G$1 = "YTM",_xll.CbondsCalcYTM($B$1,D491,F491),_xll.CbondsCalcYTP($B$1,D491,F491)),"")*100)</f>
        <v/>
      </c>
      <c r="U491" s="74"/>
      <c r="V491" s="74"/>
      <c r="W491" s="74"/>
      <c r="X491" s="74"/>
      <c r="Y491" s="74"/>
      <c r="Z491" s="74"/>
      <c r="AA491" s="74"/>
      <c r="AB491" s="74"/>
      <c r="AC491" s="74"/>
      <c r="AJ491" s="74"/>
      <c r="AK491" s="74"/>
      <c r="AL491" s="74"/>
      <c r="AM491" s="74"/>
      <c r="AN491" s="74"/>
      <c r="AO491" s="74"/>
      <c r="AP491" s="74"/>
      <c r="AQ491" s="74"/>
      <c r="AR491" s="74"/>
      <c r="AS491" s="74"/>
      <c r="BD491" s="74"/>
      <c r="BE491" s="74"/>
      <c r="BF491" s="74"/>
      <c r="BG491" s="74"/>
      <c r="BH491" s="74"/>
      <c r="BI491" s="74"/>
    </row>
    <row r="492" spans="4:61" x14ac:dyDescent="0.3">
      <c r="D492" s="76"/>
      <c r="E492" s="76"/>
      <c r="F492" s="76" t="str">
        <f t="shared" si="56"/>
        <v/>
      </c>
      <c r="G492" s="183" t="str">
        <f>IF(F492 = "","",IFERROR(IF($G$1 = "YTM",_xll.CbondsCalcYTM($B$1,D492,F492),_xll.CbondsCalcYTP($B$1,D492,F492)),"")*100)</f>
        <v/>
      </c>
      <c r="U492" s="74"/>
      <c r="V492" s="74"/>
      <c r="W492" s="74"/>
      <c r="X492" s="74"/>
      <c r="Y492" s="74"/>
      <c r="Z492" s="74"/>
      <c r="AA492" s="74"/>
      <c r="AB492" s="74"/>
      <c r="AC492" s="74"/>
      <c r="AJ492" s="74"/>
      <c r="AK492" s="74"/>
      <c r="AL492" s="74"/>
      <c r="AM492" s="74"/>
      <c r="AN492" s="74"/>
      <c r="AO492" s="74"/>
      <c r="AP492" s="74"/>
      <c r="AQ492" s="74"/>
      <c r="AR492" s="74"/>
      <c r="AS492" s="74"/>
      <c r="BD492" s="74"/>
      <c r="BE492" s="74"/>
      <c r="BF492" s="74"/>
      <c r="BG492" s="74"/>
      <c r="BH492" s="74"/>
      <c r="BI492" s="74"/>
    </row>
    <row r="493" spans="4:61" x14ac:dyDescent="0.3">
      <c r="D493" s="76"/>
      <c r="E493" s="76"/>
      <c r="F493" s="76" t="str">
        <f t="shared" si="56"/>
        <v/>
      </c>
      <c r="G493" s="183" t="str">
        <f>IF(F493 = "","",IFERROR(IF($G$1 = "YTM",_xll.CbondsCalcYTM($B$1,D493,F493),_xll.CbondsCalcYTP($B$1,D493,F493)),"")*100)</f>
        <v/>
      </c>
      <c r="U493" s="74"/>
      <c r="V493" s="74"/>
      <c r="W493" s="74"/>
      <c r="X493" s="74"/>
      <c r="Y493" s="74"/>
      <c r="Z493" s="74"/>
      <c r="AA493" s="74"/>
      <c r="AB493" s="74"/>
      <c r="AC493" s="74"/>
      <c r="AJ493" s="74"/>
      <c r="AK493" s="74"/>
      <c r="AL493" s="74"/>
      <c r="AM493" s="74"/>
      <c r="AN493" s="74"/>
      <c r="AO493" s="74"/>
      <c r="AP493" s="74"/>
      <c r="AQ493" s="74"/>
      <c r="AR493" s="74"/>
      <c r="AS493" s="74"/>
      <c r="BD493" s="74"/>
      <c r="BE493" s="74"/>
      <c r="BF493" s="74"/>
      <c r="BG493" s="74"/>
      <c r="BH493" s="74"/>
      <c r="BI493" s="74"/>
    </row>
    <row r="494" spans="4:61" x14ac:dyDescent="0.3">
      <c r="D494" s="76"/>
      <c r="E494" s="76"/>
      <c r="F494" s="76" t="str">
        <f t="shared" si="56"/>
        <v/>
      </c>
      <c r="G494" s="183" t="str">
        <f>IF(F494 = "","",IFERROR(IF($G$1 = "YTM",_xll.CbondsCalcYTM($B$1,D494,F494),_xll.CbondsCalcYTP($B$1,D494,F494)),"")*100)</f>
        <v/>
      </c>
      <c r="U494" s="74"/>
      <c r="V494" s="74"/>
      <c r="W494" s="74"/>
      <c r="X494" s="74"/>
      <c r="Y494" s="74"/>
      <c r="Z494" s="74"/>
      <c r="AA494" s="74"/>
      <c r="AB494" s="74"/>
      <c r="AC494" s="74"/>
      <c r="AJ494" s="74"/>
      <c r="AK494" s="74"/>
      <c r="AL494" s="74"/>
      <c r="AM494" s="74"/>
      <c r="AN494" s="74"/>
      <c r="AO494" s="74"/>
      <c r="AP494" s="74"/>
      <c r="AQ494" s="74"/>
      <c r="AR494" s="74"/>
      <c r="AS494" s="74"/>
      <c r="BD494" s="74"/>
      <c r="BE494" s="74"/>
      <c r="BF494" s="74"/>
      <c r="BG494" s="74"/>
      <c r="BH494" s="74"/>
      <c r="BI494" s="74"/>
    </row>
    <row r="495" spans="4:61" x14ac:dyDescent="0.3">
      <c r="D495" s="76"/>
      <c r="E495" s="76"/>
      <c r="F495" s="76" t="str">
        <f t="shared" si="56"/>
        <v/>
      </c>
      <c r="G495" s="183" t="str">
        <f>IF(F495 = "","",IFERROR(IF($G$1 = "YTM",_xll.CbondsCalcYTM($B$1,D495,F495),_xll.CbondsCalcYTP($B$1,D495,F495)),"")*100)</f>
        <v/>
      </c>
      <c r="U495" s="74"/>
      <c r="V495" s="74"/>
      <c r="W495" s="74"/>
      <c r="X495" s="74"/>
      <c r="Y495" s="74"/>
      <c r="Z495" s="74"/>
      <c r="AA495" s="74"/>
      <c r="AB495" s="74"/>
      <c r="AC495" s="74"/>
      <c r="AJ495" s="74"/>
      <c r="AK495" s="74"/>
      <c r="AL495" s="74"/>
      <c r="AM495" s="74"/>
      <c r="AN495" s="74"/>
      <c r="AO495" s="74"/>
      <c r="AP495" s="74"/>
      <c r="AQ495" s="74"/>
      <c r="AR495" s="74"/>
      <c r="AS495" s="74"/>
      <c r="BD495" s="74"/>
      <c r="BE495" s="74"/>
      <c r="BF495" s="74"/>
      <c r="BG495" s="74"/>
      <c r="BH495" s="74"/>
      <c r="BI495" s="74"/>
    </row>
    <row r="496" spans="4:61" x14ac:dyDescent="0.3">
      <c r="D496" s="76"/>
      <c r="E496" s="76"/>
      <c r="F496" s="76" t="str">
        <f t="shared" si="56"/>
        <v/>
      </c>
      <c r="G496" s="183" t="str">
        <f>IF(F496 = "","",IFERROR(IF($G$1 = "YTM",_xll.CbondsCalcYTM($B$1,D496,F496),_xll.CbondsCalcYTP($B$1,D496,F496)),"")*100)</f>
        <v/>
      </c>
      <c r="U496" s="74"/>
      <c r="V496" s="74"/>
      <c r="W496" s="74"/>
      <c r="X496" s="74"/>
      <c r="Y496" s="74"/>
      <c r="Z496" s="74"/>
      <c r="AA496" s="74"/>
      <c r="AB496" s="74"/>
      <c r="AC496" s="74"/>
      <c r="AJ496" s="74"/>
      <c r="AK496" s="74"/>
      <c r="AL496" s="74"/>
      <c r="AM496" s="74"/>
      <c r="AN496" s="74"/>
      <c r="AO496" s="74"/>
      <c r="AP496" s="74"/>
      <c r="AQ496" s="74"/>
      <c r="AR496" s="74"/>
      <c r="AS496" s="74"/>
      <c r="BD496" s="74"/>
      <c r="BE496" s="74"/>
      <c r="BF496" s="74"/>
      <c r="BG496" s="74"/>
      <c r="BH496" s="74"/>
      <c r="BI496" s="74"/>
    </row>
    <row r="497" spans="4:61" x14ac:dyDescent="0.3">
      <c r="D497" s="76"/>
      <c r="E497" s="76"/>
      <c r="F497" s="76" t="str">
        <f t="shared" si="56"/>
        <v/>
      </c>
      <c r="G497" s="183" t="str">
        <f>IF(F497 = "","",IFERROR(IF($G$1 = "YTM",_xll.CbondsCalcYTM($B$1,D497,F497),_xll.CbondsCalcYTP($B$1,D497,F497)),"")*100)</f>
        <v/>
      </c>
      <c r="U497" s="74"/>
      <c r="V497" s="74"/>
      <c r="W497" s="74"/>
      <c r="X497" s="74"/>
      <c r="Y497" s="74"/>
      <c r="Z497" s="74"/>
      <c r="AA497" s="74"/>
      <c r="AB497" s="74"/>
      <c r="AC497" s="74"/>
      <c r="AJ497" s="74"/>
      <c r="AK497" s="74"/>
      <c r="AL497" s="74"/>
      <c r="AM497" s="74"/>
      <c r="AN497" s="74"/>
      <c r="AO497" s="74"/>
      <c r="AP497" s="74"/>
      <c r="AQ497" s="74"/>
      <c r="AR497" s="74"/>
      <c r="AS497" s="74"/>
      <c r="BD497" s="74"/>
      <c r="BE497" s="74"/>
      <c r="BF497" s="74"/>
      <c r="BG497" s="74"/>
      <c r="BH497" s="74"/>
      <c r="BI497" s="74"/>
    </row>
    <row r="498" spans="4:61" x14ac:dyDescent="0.3">
      <c r="D498" s="76"/>
      <c r="E498" s="76"/>
      <c r="F498" s="76" t="str">
        <f t="shared" si="56"/>
        <v/>
      </c>
      <c r="G498" s="183" t="str">
        <f>IF(F498 = "","",IFERROR(IF($G$1 = "YTM",_xll.CbondsCalcYTM($B$1,D498,F498),_xll.CbondsCalcYTP($B$1,D498,F498)),"")*100)</f>
        <v/>
      </c>
      <c r="U498" s="74"/>
      <c r="V498" s="74"/>
      <c r="W498" s="74"/>
      <c r="X498" s="74"/>
      <c r="Y498" s="74"/>
      <c r="Z498" s="74"/>
      <c r="AA498" s="74"/>
      <c r="AB498" s="74"/>
      <c r="AC498" s="74"/>
      <c r="AJ498" s="74"/>
      <c r="AK498" s="74"/>
      <c r="AL498" s="74"/>
      <c r="AM498" s="74"/>
      <c r="AN498" s="74"/>
      <c r="AO498" s="74"/>
      <c r="AP498" s="74"/>
      <c r="AQ498" s="74"/>
      <c r="AR498" s="74"/>
      <c r="AS498" s="74"/>
      <c r="BD498" s="74"/>
      <c r="BE498" s="74"/>
      <c r="BF498" s="74"/>
      <c r="BG498" s="74"/>
      <c r="BH498" s="74"/>
      <c r="BI498" s="74"/>
    </row>
    <row r="499" spans="4:61" x14ac:dyDescent="0.3">
      <c r="D499" s="76"/>
      <c r="E499" s="76"/>
      <c r="F499" s="76" t="str">
        <f t="shared" si="56"/>
        <v/>
      </c>
      <c r="G499" s="183" t="str">
        <f>IF(F499 = "","",IFERROR(IF($G$1 = "YTM",_xll.CbondsCalcYTM($B$1,D499,F499),_xll.CbondsCalcYTP($B$1,D499,F499)),"")*100)</f>
        <v/>
      </c>
      <c r="U499" s="74"/>
      <c r="V499" s="74"/>
      <c r="W499" s="74"/>
      <c r="X499" s="74"/>
      <c r="Y499" s="74"/>
      <c r="Z499" s="74"/>
      <c r="AA499" s="74"/>
      <c r="AB499" s="74"/>
      <c r="AC499" s="74"/>
      <c r="AJ499" s="74"/>
      <c r="AK499" s="74"/>
      <c r="AL499" s="74"/>
      <c r="AM499" s="74"/>
      <c r="AN499" s="74"/>
      <c r="AO499" s="74"/>
      <c r="AP499" s="74"/>
      <c r="AQ499" s="74"/>
      <c r="AR499" s="74"/>
      <c r="AS499" s="74"/>
      <c r="BD499" s="74"/>
      <c r="BE499" s="74"/>
      <c r="BF499" s="74"/>
      <c r="BG499" s="74"/>
      <c r="BH499" s="74"/>
      <c r="BI499" s="74"/>
    </row>
    <row r="500" spans="4:61" x14ac:dyDescent="0.3">
      <c r="D500" s="76"/>
      <c r="E500" s="76"/>
      <c r="F500" s="76" t="str">
        <f t="shared" si="56"/>
        <v/>
      </c>
      <c r="G500" s="183" t="str">
        <f>IF(F500 = "","",IFERROR(IF($G$1 = "YTM",_xll.CbondsCalcYTM($B$1,D500,F500),_xll.CbondsCalcYTP($B$1,D500,F500)),"")*100)</f>
        <v/>
      </c>
      <c r="U500" s="74"/>
      <c r="V500" s="74"/>
      <c r="W500" s="74"/>
      <c r="X500" s="74"/>
      <c r="Y500" s="74"/>
      <c r="Z500" s="74"/>
      <c r="AA500" s="74"/>
      <c r="AB500" s="74"/>
      <c r="AC500" s="74"/>
      <c r="AJ500" s="74"/>
      <c r="AK500" s="74"/>
      <c r="AL500" s="74"/>
      <c r="AM500" s="74"/>
      <c r="AN500" s="74"/>
      <c r="AO500" s="74"/>
      <c r="AP500" s="74"/>
      <c r="AQ500" s="74"/>
      <c r="AR500" s="74"/>
      <c r="AS500" s="74"/>
      <c r="BD500" s="74"/>
      <c r="BE500" s="74"/>
      <c r="BF500" s="74"/>
      <c r="BG500" s="74"/>
      <c r="BH500" s="74"/>
      <c r="BI500" s="74"/>
    </row>
    <row r="501" spans="4:61" x14ac:dyDescent="0.3">
      <c r="D501" s="76"/>
      <c r="E501" s="76"/>
      <c r="F501" s="76" t="str">
        <f t="shared" si="56"/>
        <v/>
      </c>
      <c r="G501" s="183" t="str">
        <f>IF(F501 = "","",IFERROR(IF($G$1 = "YTM",_xll.CbondsCalcYTM($B$1,D501,F501),_xll.CbondsCalcYTP($B$1,D501,F501)),"")*100)</f>
        <v/>
      </c>
      <c r="U501" s="74"/>
      <c r="V501" s="74"/>
      <c r="W501" s="74"/>
      <c r="X501" s="74"/>
      <c r="Y501" s="74"/>
      <c r="Z501" s="74"/>
      <c r="AA501" s="74"/>
      <c r="AB501" s="74"/>
      <c r="AC501" s="74"/>
      <c r="AJ501" s="74"/>
      <c r="AK501" s="74"/>
      <c r="AL501" s="74"/>
      <c r="AM501" s="74"/>
      <c r="AN501" s="74"/>
      <c r="AO501" s="74"/>
      <c r="AP501" s="74"/>
      <c r="AQ501" s="74"/>
      <c r="AR501" s="74"/>
      <c r="AS501" s="74"/>
      <c r="BD501" s="74"/>
      <c r="BE501" s="74"/>
      <c r="BF501" s="74"/>
      <c r="BG501" s="74"/>
      <c r="BH501" s="74"/>
      <c r="BI501" s="74"/>
    </row>
    <row r="502" spans="4:61" x14ac:dyDescent="0.3">
      <c r="D502" s="76"/>
      <c r="E502" s="76"/>
      <c r="F502" s="76" t="str">
        <f t="shared" si="56"/>
        <v/>
      </c>
      <c r="G502" s="183" t="str">
        <f>IF(F502 = "","",IFERROR(IF($G$1 = "YTM",_xll.CbondsCalcYTM($B$1,D502,F502),_xll.CbondsCalcYTP($B$1,D502,F502)),"")*100)</f>
        <v/>
      </c>
      <c r="U502" s="74"/>
      <c r="V502" s="74"/>
      <c r="W502" s="74"/>
      <c r="X502" s="74"/>
      <c r="Y502" s="74"/>
      <c r="Z502" s="74"/>
      <c r="AA502" s="74"/>
      <c r="AB502" s="74"/>
      <c r="AC502" s="74"/>
      <c r="AJ502" s="74"/>
      <c r="AK502" s="74"/>
      <c r="AL502" s="74"/>
      <c r="AM502" s="74"/>
      <c r="AN502" s="74"/>
      <c r="AO502" s="74"/>
      <c r="AP502" s="74"/>
      <c r="AQ502" s="74"/>
      <c r="AR502" s="74"/>
      <c r="AS502" s="74"/>
      <c r="BD502" s="74"/>
      <c r="BE502" s="74"/>
      <c r="BF502" s="74"/>
      <c r="BG502" s="74"/>
      <c r="BH502" s="74"/>
      <c r="BI502" s="74"/>
    </row>
    <row r="503" spans="4:61" x14ac:dyDescent="0.3">
      <c r="D503" s="76"/>
      <c r="E503" s="76"/>
      <c r="F503" s="76" t="str">
        <f t="shared" si="56"/>
        <v/>
      </c>
      <c r="G503" s="183" t="str">
        <f>IF(F503 = "","",IFERROR(IF($G$1 = "YTM",_xll.CbondsCalcYTM($B$1,D503,F503),_xll.CbondsCalcYTP($B$1,D503,F503)),"")*100)</f>
        <v/>
      </c>
      <c r="U503" s="74"/>
      <c r="V503" s="74"/>
      <c r="W503" s="74"/>
      <c r="X503" s="74"/>
      <c r="Y503" s="74"/>
      <c r="Z503" s="74"/>
      <c r="AA503" s="74"/>
      <c r="AB503" s="74"/>
      <c r="AC503" s="74"/>
      <c r="AJ503" s="74"/>
      <c r="AK503" s="74"/>
      <c r="AL503" s="74"/>
      <c r="AM503" s="74"/>
      <c r="AN503" s="74"/>
      <c r="AO503" s="74"/>
      <c r="AP503" s="74"/>
      <c r="AQ503" s="74"/>
      <c r="AR503" s="74"/>
      <c r="AS503" s="74"/>
      <c r="BD503" s="74"/>
      <c r="BE503" s="74"/>
      <c r="BF503" s="74"/>
      <c r="BG503" s="74"/>
      <c r="BH503" s="74"/>
      <c r="BI503" s="74"/>
    </row>
    <row r="504" spans="4:61" x14ac:dyDescent="0.3">
      <c r="D504" s="76"/>
      <c r="E504" s="76"/>
      <c r="F504" s="76" t="str">
        <f t="shared" si="56"/>
        <v/>
      </c>
      <c r="G504" s="183" t="str">
        <f>IF(F504 = "","",IFERROR(IF($G$1 = "YTM",_xll.CbondsCalcYTM($B$1,D504,F504),_xll.CbondsCalcYTP($B$1,D504,F504)),"")*100)</f>
        <v/>
      </c>
      <c r="U504" s="74"/>
      <c r="V504" s="74"/>
      <c r="W504" s="74"/>
      <c r="X504" s="74"/>
      <c r="Y504" s="74"/>
      <c r="Z504" s="74"/>
      <c r="AA504" s="74"/>
      <c r="AB504" s="74"/>
      <c r="AC504" s="74"/>
      <c r="AJ504" s="74"/>
      <c r="AK504" s="74"/>
      <c r="AL504" s="74"/>
      <c r="AM504" s="74"/>
      <c r="AN504" s="74"/>
      <c r="AO504" s="74"/>
      <c r="AP504" s="74"/>
      <c r="AQ504" s="74"/>
      <c r="AR504" s="74"/>
      <c r="AS504" s="74"/>
      <c r="BD504" s="74"/>
      <c r="BE504" s="74"/>
      <c r="BF504" s="74"/>
      <c r="BG504" s="74"/>
      <c r="BH504" s="74"/>
      <c r="BI504" s="74"/>
    </row>
    <row r="505" spans="4:61" x14ac:dyDescent="0.3">
      <c r="D505" s="76"/>
      <c r="E505" s="76"/>
      <c r="F505" s="76" t="str">
        <f t="shared" si="56"/>
        <v/>
      </c>
      <c r="G505" s="183" t="str">
        <f>IF(F505 = "","",IFERROR(IF($G$1 = "YTM",_xll.CbondsCalcYTM($B$1,D505,F505),_xll.CbondsCalcYTP($B$1,D505,F505)),"")*100)</f>
        <v/>
      </c>
      <c r="U505" s="74"/>
      <c r="V505" s="74"/>
      <c r="W505" s="74"/>
      <c r="X505" s="74"/>
      <c r="Y505" s="74"/>
      <c r="Z505" s="74"/>
      <c r="AA505" s="74"/>
      <c r="AB505" s="74"/>
      <c r="AC505" s="74"/>
      <c r="AJ505" s="74"/>
      <c r="AK505" s="74"/>
      <c r="AL505" s="74"/>
      <c r="AM505" s="74"/>
      <c r="AN505" s="74"/>
      <c r="AO505" s="74"/>
      <c r="AP505" s="74"/>
      <c r="AQ505" s="74"/>
      <c r="AR505" s="74"/>
      <c r="AS505" s="74"/>
      <c r="BD505" s="74"/>
      <c r="BE505" s="74"/>
      <c r="BF505" s="74"/>
      <c r="BG505" s="74"/>
      <c r="BH505" s="74"/>
      <c r="BI505" s="74"/>
    </row>
    <row r="506" spans="4:61" x14ac:dyDescent="0.3">
      <c r="D506" s="76"/>
      <c r="E506" s="76"/>
      <c r="F506" s="76" t="str">
        <f t="shared" si="56"/>
        <v/>
      </c>
      <c r="G506" s="183" t="str">
        <f>IF(F506 = "","",IFERROR(IF($G$1 = "YTM",_xll.CbondsCalcYTM($B$1,D506,F506),_xll.CbondsCalcYTP($B$1,D506,F506)),"")*100)</f>
        <v/>
      </c>
      <c r="U506" s="74"/>
      <c r="V506" s="74"/>
      <c r="W506" s="74"/>
      <c r="X506" s="74"/>
      <c r="Y506" s="74"/>
      <c r="Z506" s="74"/>
      <c r="AA506" s="74"/>
      <c r="AB506" s="74"/>
      <c r="AC506" s="74"/>
      <c r="AJ506" s="74"/>
      <c r="AK506" s="74"/>
      <c r="AL506" s="74"/>
      <c r="AM506" s="74"/>
      <c r="AN506" s="74"/>
      <c r="AO506" s="74"/>
      <c r="AP506" s="74"/>
      <c r="AQ506" s="74"/>
      <c r="AR506" s="74"/>
      <c r="AS506" s="74"/>
      <c r="BD506" s="74"/>
      <c r="BE506" s="74"/>
      <c r="BF506" s="74"/>
      <c r="BG506" s="74"/>
      <c r="BH506" s="74"/>
      <c r="BI506" s="74"/>
    </row>
    <row r="507" spans="4:61" x14ac:dyDescent="0.3">
      <c r="D507" s="76"/>
      <c r="E507" s="76"/>
      <c r="F507" s="76" t="str">
        <f t="shared" si="56"/>
        <v/>
      </c>
      <c r="G507" s="183" t="str">
        <f>IF(F507 = "","",IFERROR(IF($G$1 = "YTM",_xll.CbondsCalcYTM($B$1,D507,F507),_xll.CbondsCalcYTP($B$1,D507,F507)),"")*100)</f>
        <v/>
      </c>
      <c r="U507" s="74"/>
      <c r="V507" s="74"/>
      <c r="W507" s="74"/>
      <c r="X507" s="74"/>
      <c r="Y507" s="74"/>
      <c r="Z507" s="74"/>
      <c r="AA507" s="74"/>
      <c r="AB507" s="74"/>
      <c r="AC507" s="74"/>
      <c r="AJ507" s="74"/>
      <c r="AK507" s="74"/>
      <c r="AL507" s="74"/>
      <c r="AM507" s="74"/>
      <c r="AN507" s="74"/>
      <c r="AO507" s="74"/>
      <c r="AP507" s="74"/>
      <c r="AQ507" s="74"/>
      <c r="AR507" s="74"/>
      <c r="AS507" s="74"/>
      <c r="BD507" s="74"/>
      <c r="BE507" s="74"/>
      <c r="BF507" s="74"/>
      <c r="BG507" s="74"/>
      <c r="BH507" s="74"/>
      <c r="BI507" s="74"/>
    </row>
    <row r="508" spans="4:61" x14ac:dyDescent="0.3">
      <c r="D508" s="76"/>
      <c r="E508" s="76"/>
      <c r="F508" s="76" t="str">
        <f t="shared" si="56"/>
        <v/>
      </c>
      <c r="G508" s="183" t="str">
        <f>IF(F508 = "","",IFERROR(IF($G$1 = "YTM",_xll.CbondsCalcYTM($B$1,D508,F508),_xll.CbondsCalcYTP($B$1,D508,F508)),"")*100)</f>
        <v/>
      </c>
      <c r="U508" s="74"/>
      <c r="V508" s="74"/>
      <c r="W508" s="74"/>
      <c r="X508" s="74"/>
      <c r="Y508" s="74"/>
      <c r="Z508" s="74"/>
      <c r="AA508" s="74"/>
      <c r="AB508" s="74"/>
      <c r="AC508" s="74"/>
      <c r="AJ508" s="74"/>
      <c r="AK508" s="74"/>
      <c r="AL508" s="74"/>
      <c r="AM508" s="74"/>
      <c r="AN508" s="74"/>
      <c r="AO508" s="74"/>
      <c r="AP508" s="74"/>
      <c r="AQ508" s="74"/>
      <c r="AR508" s="74"/>
      <c r="AS508" s="74"/>
      <c r="BD508" s="74"/>
      <c r="BE508" s="74"/>
      <c r="BF508" s="74"/>
      <c r="BG508" s="74"/>
      <c r="BH508" s="74"/>
      <c r="BI508" s="74"/>
    </row>
    <row r="509" spans="4:61" x14ac:dyDescent="0.3">
      <c r="D509" s="76"/>
      <c r="E509" s="76"/>
      <c r="F509" s="76" t="str">
        <f t="shared" si="56"/>
        <v/>
      </c>
      <c r="G509" s="183" t="str">
        <f>IF(F509 = "","",IFERROR(IF($G$1 = "YTM",_xll.CbondsCalcYTM($B$1,D509,F509),_xll.CbondsCalcYTP($B$1,D509,F509)),"")*100)</f>
        <v/>
      </c>
      <c r="U509" s="74"/>
      <c r="V509" s="74"/>
      <c r="W509" s="74"/>
      <c r="X509" s="74"/>
      <c r="Y509" s="74"/>
      <c r="Z509" s="74"/>
      <c r="AA509" s="74"/>
      <c r="AB509" s="74"/>
      <c r="AC509" s="74"/>
      <c r="AJ509" s="74"/>
      <c r="AK509" s="74"/>
      <c r="AL509" s="74"/>
      <c r="AM509" s="74"/>
      <c r="AN509" s="74"/>
      <c r="AO509" s="74"/>
      <c r="AP509" s="74"/>
      <c r="AQ509" s="74"/>
      <c r="AR509" s="74"/>
      <c r="AS509" s="74"/>
      <c r="BD509" s="74"/>
      <c r="BE509" s="74"/>
      <c r="BF509" s="74"/>
      <c r="BG509" s="74"/>
      <c r="BH509" s="74"/>
      <c r="BI509" s="74"/>
    </row>
    <row r="510" spans="4:61" x14ac:dyDescent="0.3">
      <c r="D510" s="76"/>
      <c r="E510" s="76"/>
      <c r="F510" s="76" t="str">
        <f t="shared" si="56"/>
        <v/>
      </c>
      <c r="G510" s="183" t="str">
        <f>IF(F510 = "","",IFERROR(IF($G$1 = "YTM",_xll.CbondsCalcYTM($B$1,D510,F510),_xll.CbondsCalcYTP($B$1,D510,F510)),"")*100)</f>
        <v/>
      </c>
      <c r="U510" s="74"/>
      <c r="V510" s="74"/>
      <c r="W510" s="74"/>
      <c r="X510" s="74"/>
      <c r="Y510" s="74"/>
      <c r="Z510" s="74"/>
      <c r="AA510" s="74"/>
      <c r="AB510" s="74"/>
      <c r="AC510" s="74"/>
      <c r="AJ510" s="74"/>
      <c r="AK510" s="74"/>
      <c r="AL510" s="74"/>
      <c r="AM510" s="74"/>
      <c r="AN510" s="74"/>
      <c r="AO510" s="74"/>
      <c r="AP510" s="74"/>
      <c r="AQ510" s="74"/>
      <c r="AR510" s="74"/>
      <c r="AS510" s="74"/>
      <c r="BD510" s="74"/>
      <c r="BE510" s="74"/>
      <c r="BF510" s="74"/>
      <c r="BG510" s="74"/>
      <c r="BH510" s="74"/>
      <c r="BI510" s="74"/>
    </row>
    <row r="511" spans="4:61" x14ac:dyDescent="0.3">
      <c r="D511" s="76"/>
      <c r="E511" s="76"/>
      <c r="F511" s="76" t="str">
        <f t="shared" si="56"/>
        <v/>
      </c>
      <c r="G511" s="183" t="str">
        <f>IF(F511 = "","",IFERROR(IF($G$1 = "YTM",_xll.CbondsCalcYTM($B$1,D511,F511),_xll.CbondsCalcYTP($B$1,D511,F511)),"")*100)</f>
        <v/>
      </c>
      <c r="U511" s="74"/>
      <c r="V511" s="74"/>
      <c r="W511" s="74"/>
      <c r="X511" s="74"/>
      <c r="Y511" s="74"/>
      <c r="Z511" s="74"/>
      <c r="AA511" s="74"/>
      <c r="AB511" s="74"/>
      <c r="AC511" s="74"/>
      <c r="AJ511" s="74"/>
      <c r="AK511" s="74"/>
      <c r="AL511" s="74"/>
      <c r="AM511" s="74"/>
      <c r="AN511" s="74"/>
      <c r="AO511" s="74"/>
      <c r="AP511" s="74"/>
      <c r="AQ511" s="74"/>
      <c r="AR511" s="74"/>
      <c r="AS511" s="74"/>
      <c r="BD511" s="74"/>
      <c r="BE511" s="74"/>
      <c r="BF511" s="74"/>
      <c r="BG511" s="74"/>
      <c r="BH511" s="74"/>
      <c r="BI511" s="74"/>
    </row>
    <row r="512" spans="4:61" x14ac:dyDescent="0.3">
      <c r="D512" s="76"/>
      <c r="E512" s="76"/>
      <c r="F512" s="76" t="str">
        <f t="shared" si="56"/>
        <v/>
      </c>
      <c r="G512" s="183" t="str">
        <f>IF(F512 = "","",IFERROR(IF($G$1 = "YTM",_xll.CbondsCalcYTM($B$1,D512,F512),_xll.CbondsCalcYTP($B$1,D512,F512)),"")*100)</f>
        <v/>
      </c>
      <c r="U512" s="74"/>
      <c r="V512" s="74"/>
      <c r="W512" s="74"/>
      <c r="X512" s="74"/>
      <c r="Y512" s="74"/>
      <c r="Z512" s="74"/>
      <c r="AA512" s="74"/>
      <c r="AB512" s="74"/>
      <c r="AC512" s="74"/>
      <c r="AJ512" s="74"/>
      <c r="AK512" s="74"/>
      <c r="AL512" s="74"/>
      <c r="AM512" s="74"/>
      <c r="AN512" s="74"/>
      <c r="AO512" s="74"/>
      <c r="AP512" s="74"/>
      <c r="AQ512" s="74"/>
      <c r="AR512" s="74"/>
      <c r="AS512" s="74"/>
      <c r="BD512" s="74"/>
      <c r="BE512" s="74"/>
      <c r="BF512" s="74"/>
      <c r="BG512" s="74"/>
      <c r="BH512" s="74"/>
      <c r="BI512" s="74"/>
    </row>
    <row r="513" spans="4:61" x14ac:dyDescent="0.3">
      <c r="D513" s="76"/>
      <c r="E513" s="76"/>
      <c r="F513" s="76" t="str">
        <f t="shared" si="56"/>
        <v/>
      </c>
      <c r="G513" s="183" t="str">
        <f>IF(F513 = "","",IFERROR(IF($G$1 = "YTM",_xll.CbondsCalcYTM($B$1,D513,F513),_xll.CbondsCalcYTP($B$1,D513,F513)),"")*100)</f>
        <v/>
      </c>
      <c r="U513" s="74"/>
      <c r="V513" s="74"/>
      <c r="W513" s="74"/>
      <c r="X513" s="74"/>
      <c r="Y513" s="74"/>
      <c r="Z513" s="74"/>
      <c r="AA513" s="74"/>
      <c r="AB513" s="74"/>
      <c r="AC513" s="74"/>
      <c r="AJ513" s="74"/>
      <c r="AK513" s="74"/>
      <c r="AL513" s="74"/>
      <c r="AM513" s="74"/>
      <c r="AN513" s="74"/>
      <c r="AO513" s="74"/>
      <c r="AP513" s="74"/>
      <c r="AQ513" s="74"/>
      <c r="AR513" s="74"/>
      <c r="AS513" s="74"/>
      <c r="BD513" s="74"/>
      <c r="BE513" s="74"/>
      <c r="BF513" s="74"/>
      <c r="BG513" s="74"/>
      <c r="BH513" s="74"/>
      <c r="BI513" s="74"/>
    </row>
    <row r="514" spans="4:61" x14ac:dyDescent="0.3">
      <c r="D514" s="76"/>
      <c r="E514" s="76"/>
      <c r="F514" s="76" t="str">
        <f t="shared" si="56"/>
        <v/>
      </c>
      <c r="G514" s="183" t="str">
        <f>IF(F514 = "","",IFERROR(IF($G$1 = "YTM",_xll.CbondsCalcYTM($B$1,D514,F514),_xll.CbondsCalcYTP($B$1,D514,F514)),"")*100)</f>
        <v/>
      </c>
      <c r="U514" s="74"/>
      <c r="V514" s="74"/>
      <c r="W514" s="74"/>
      <c r="X514" s="74"/>
      <c r="Y514" s="74"/>
      <c r="Z514" s="74"/>
      <c r="AA514" s="74"/>
      <c r="AB514" s="74"/>
      <c r="AC514" s="74"/>
      <c r="AJ514" s="74"/>
      <c r="AK514" s="74"/>
      <c r="AL514" s="74"/>
      <c r="AM514" s="74"/>
      <c r="AN514" s="74"/>
      <c r="AO514" s="74"/>
      <c r="AP514" s="74"/>
      <c r="AQ514" s="74"/>
      <c r="AR514" s="74"/>
      <c r="AS514" s="74"/>
      <c r="BD514" s="74"/>
      <c r="BE514" s="74"/>
      <c r="BF514" s="74"/>
      <c r="BG514" s="74"/>
      <c r="BH514" s="74"/>
      <c r="BI514" s="74"/>
    </row>
    <row r="515" spans="4:61" x14ac:dyDescent="0.3">
      <c r="D515" s="76"/>
      <c r="E515" s="76"/>
      <c r="F515" s="76" t="str">
        <f t="shared" si="56"/>
        <v/>
      </c>
      <c r="G515" s="183" t="str">
        <f>IF(F515 = "","",IFERROR(IF($G$1 = "YTM",_xll.CbondsCalcYTM($B$1,D515,F515),_xll.CbondsCalcYTP($B$1,D515,F515)),"")*100)</f>
        <v/>
      </c>
      <c r="U515" s="74"/>
      <c r="V515" s="74"/>
      <c r="W515" s="74"/>
      <c r="X515" s="74"/>
      <c r="Y515" s="74"/>
      <c r="Z515" s="74"/>
      <c r="AA515" s="74"/>
      <c r="AB515" s="74"/>
      <c r="AC515" s="74"/>
      <c r="AJ515" s="74"/>
      <c r="AK515" s="74"/>
      <c r="AL515" s="74"/>
      <c r="AM515" s="74"/>
      <c r="AN515" s="74"/>
      <c r="AO515" s="74"/>
      <c r="AP515" s="74"/>
      <c r="AQ515" s="74"/>
      <c r="AR515" s="74"/>
      <c r="AS515" s="74"/>
      <c r="BD515" s="74"/>
      <c r="BE515" s="74"/>
      <c r="BF515" s="74"/>
      <c r="BG515" s="74"/>
      <c r="BH515" s="74"/>
      <c r="BI515" s="74"/>
    </row>
    <row r="516" spans="4:61" x14ac:dyDescent="0.3">
      <c r="D516" s="76"/>
      <c r="E516" s="76"/>
      <c r="F516" s="76" t="str">
        <f t="shared" ref="F516:F579" si="57">IF(AND(E516="",D516=""),"",IF(AND(E516="",D516&lt;&gt;""),F515,E516))</f>
        <v/>
      </c>
      <c r="G516" s="183" t="str">
        <f>IF(F516 = "","",IFERROR(IF($G$1 = "YTM",_xll.CbondsCalcYTM($B$1,D516,F516),_xll.CbondsCalcYTP($B$1,D516,F516)),"")*100)</f>
        <v/>
      </c>
      <c r="U516" s="74"/>
      <c r="V516" s="74"/>
      <c r="W516" s="74"/>
      <c r="X516" s="74"/>
      <c r="Y516" s="74"/>
      <c r="Z516" s="74"/>
      <c r="AA516" s="74"/>
      <c r="AB516" s="74"/>
      <c r="AC516" s="74"/>
      <c r="AJ516" s="74"/>
      <c r="AK516" s="74"/>
      <c r="AL516" s="74"/>
      <c r="AM516" s="74"/>
      <c r="AN516" s="74"/>
      <c r="AO516" s="74"/>
      <c r="AP516" s="74"/>
      <c r="AQ516" s="74"/>
      <c r="AR516" s="74"/>
      <c r="AS516" s="74"/>
      <c r="BD516" s="74"/>
      <c r="BE516" s="74"/>
      <c r="BF516" s="74"/>
      <c r="BG516" s="74"/>
      <c r="BH516" s="74"/>
      <c r="BI516" s="74"/>
    </row>
    <row r="517" spans="4:61" x14ac:dyDescent="0.3">
      <c r="D517" s="76"/>
      <c r="E517" s="76"/>
      <c r="F517" s="76" t="str">
        <f t="shared" si="57"/>
        <v/>
      </c>
      <c r="G517" s="183" t="str">
        <f>IF(F517 = "","",IFERROR(IF($G$1 = "YTM",_xll.CbondsCalcYTM($B$1,D517,F517),_xll.CbondsCalcYTP($B$1,D517,F517)),"")*100)</f>
        <v/>
      </c>
      <c r="U517" s="74"/>
      <c r="V517" s="74"/>
      <c r="W517" s="74"/>
      <c r="X517" s="74"/>
      <c r="Y517" s="74"/>
      <c r="Z517" s="74"/>
      <c r="AA517" s="74"/>
      <c r="AB517" s="74"/>
      <c r="AC517" s="74"/>
      <c r="AJ517" s="74"/>
      <c r="AK517" s="74"/>
      <c r="AL517" s="74"/>
      <c r="AM517" s="74"/>
      <c r="AN517" s="74"/>
      <c r="AO517" s="74"/>
      <c r="AP517" s="74"/>
      <c r="AQ517" s="74"/>
      <c r="AR517" s="74"/>
      <c r="AS517" s="74"/>
      <c r="BD517" s="74"/>
      <c r="BE517" s="74"/>
      <c r="BF517" s="74"/>
      <c r="BG517" s="74"/>
      <c r="BH517" s="74"/>
      <c r="BI517" s="74"/>
    </row>
    <row r="518" spans="4:61" x14ac:dyDescent="0.3">
      <c r="D518" s="76"/>
      <c r="E518" s="76"/>
      <c r="F518" s="76" t="str">
        <f t="shared" si="57"/>
        <v/>
      </c>
      <c r="G518" s="183" t="str">
        <f>IF(F518 = "","",IFERROR(IF($G$1 = "YTM",_xll.CbondsCalcYTM($B$1,D518,F518),_xll.CbondsCalcYTP($B$1,D518,F518)),"")*100)</f>
        <v/>
      </c>
      <c r="U518" s="74"/>
      <c r="V518" s="74"/>
      <c r="W518" s="74"/>
      <c r="X518" s="74"/>
      <c r="Y518" s="74"/>
      <c r="Z518" s="74"/>
      <c r="AA518" s="74"/>
      <c r="AB518" s="74"/>
      <c r="AC518" s="74"/>
      <c r="AJ518" s="74"/>
      <c r="AK518" s="74"/>
      <c r="AL518" s="74"/>
      <c r="AM518" s="74"/>
      <c r="AN518" s="74"/>
      <c r="AO518" s="74"/>
      <c r="AP518" s="74"/>
      <c r="AQ518" s="74"/>
      <c r="AR518" s="74"/>
      <c r="AS518" s="74"/>
      <c r="BD518" s="74"/>
      <c r="BE518" s="74"/>
      <c r="BF518" s="74"/>
      <c r="BG518" s="74"/>
      <c r="BH518" s="74"/>
      <c r="BI518" s="74"/>
    </row>
    <row r="519" spans="4:61" x14ac:dyDescent="0.3">
      <c r="D519" s="76"/>
      <c r="E519" s="76"/>
      <c r="F519" s="76" t="str">
        <f t="shared" si="57"/>
        <v/>
      </c>
      <c r="G519" s="183" t="str">
        <f>IF(F519 = "","",IFERROR(IF($G$1 = "YTM",_xll.CbondsCalcYTM($B$1,D519,F519),_xll.CbondsCalcYTP($B$1,D519,F519)),"")*100)</f>
        <v/>
      </c>
      <c r="U519" s="74"/>
      <c r="V519" s="74"/>
      <c r="W519" s="74"/>
      <c r="X519" s="74"/>
      <c r="Y519" s="74"/>
      <c r="Z519" s="74"/>
      <c r="AA519" s="74"/>
      <c r="AB519" s="74"/>
      <c r="AC519" s="74"/>
      <c r="AJ519" s="74"/>
      <c r="AK519" s="74"/>
      <c r="AL519" s="74"/>
      <c r="AM519" s="74"/>
      <c r="AN519" s="74"/>
      <c r="AO519" s="74"/>
      <c r="AP519" s="74"/>
      <c r="AQ519" s="74"/>
      <c r="AR519" s="74"/>
      <c r="AS519" s="74"/>
      <c r="BD519" s="74"/>
      <c r="BE519" s="74"/>
      <c r="BF519" s="74"/>
      <c r="BG519" s="74"/>
      <c r="BH519" s="74"/>
      <c r="BI519" s="74"/>
    </row>
    <row r="520" spans="4:61" x14ac:dyDescent="0.3">
      <c r="D520" s="76"/>
      <c r="E520" s="76"/>
      <c r="F520" s="76" t="str">
        <f t="shared" si="57"/>
        <v/>
      </c>
      <c r="G520" s="183" t="str">
        <f>IF(F520 = "","",IFERROR(IF($G$1 = "YTM",_xll.CbondsCalcYTM($B$1,D520,F520),_xll.CbondsCalcYTP($B$1,D520,F520)),"")*100)</f>
        <v/>
      </c>
      <c r="U520" s="74"/>
      <c r="V520" s="74"/>
      <c r="W520" s="74"/>
      <c r="X520" s="74"/>
      <c r="Y520" s="74"/>
      <c r="Z520" s="74"/>
      <c r="AA520" s="74"/>
      <c r="AB520" s="74"/>
      <c r="AC520" s="74"/>
      <c r="AJ520" s="74"/>
      <c r="AK520" s="74"/>
      <c r="AL520" s="74"/>
      <c r="AM520" s="74"/>
      <c r="AN520" s="74"/>
      <c r="AO520" s="74"/>
      <c r="AP520" s="74"/>
      <c r="AQ520" s="74"/>
      <c r="AR520" s="74"/>
      <c r="AS520" s="74"/>
      <c r="BD520" s="74"/>
      <c r="BE520" s="74"/>
      <c r="BF520" s="74"/>
      <c r="BG520" s="74"/>
      <c r="BH520" s="74"/>
      <c r="BI520" s="74"/>
    </row>
    <row r="521" spans="4:61" x14ac:dyDescent="0.3">
      <c r="D521" s="76"/>
      <c r="E521" s="76"/>
      <c r="F521" s="76" t="str">
        <f t="shared" si="57"/>
        <v/>
      </c>
      <c r="G521" s="183" t="str">
        <f>IF(F521 = "","",IFERROR(IF($G$1 = "YTM",_xll.CbondsCalcYTM($B$1,D521,F521),_xll.CbondsCalcYTP($B$1,D521,F521)),"")*100)</f>
        <v/>
      </c>
      <c r="U521" s="74"/>
      <c r="V521" s="74"/>
      <c r="W521" s="74"/>
      <c r="X521" s="74"/>
      <c r="Y521" s="74"/>
      <c r="Z521" s="74"/>
      <c r="AA521" s="74"/>
      <c r="AB521" s="74"/>
      <c r="AC521" s="74"/>
      <c r="AJ521" s="74"/>
      <c r="AK521" s="74"/>
      <c r="AL521" s="74"/>
      <c r="AM521" s="74"/>
      <c r="AN521" s="74"/>
      <c r="AO521" s="74"/>
      <c r="AP521" s="74"/>
      <c r="AQ521" s="74"/>
      <c r="AR521" s="74"/>
      <c r="AS521" s="74"/>
      <c r="BD521" s="74"/>
      <c r="BE521" s="74"/>
      <c r="BF521" s="74"/>
      <c r="BG521" s="74"/>
      <c r="BH521" s="74"/>
      <c r="BI521" s="74"/>
    </row>
    <row r="522" spans="4:61" x14ac:dyDescent="0.3">
      <c r="D522" s="76"/>
      <c r="E522" s="76"/>
      <c r="F522" s="76" t="str">
        <f t="shared" si="57"/>
        <v/>
      </c>
      <c r="G522" s="183" t="str">
        <f>IF(F522 = "","",IFERROR(IF($G$1 = "YTM",_xll.CbondsCalcYTM($B$1,D522,F522),_xll.CbondsCalcYTP($B$1,D522,F522)),"")*100)</f>
        <v/>
      </c>
      <c r="U522" s="74"/>
      <c r="V522" s="74"/>
      <c r="W522" s="74"/>
      <c r="X522" s="74"/>
      <c r="Y522" s="74"/>
      <c r="Z522" s="74"/>
      <c r="AA522" s="74"/>
      <c r="AB522" s="74"/>
      <c r="AC522" s="74"/>
      <c r="AJ522" s="74"/>
      <c r="AK522" s="74"/>
      <c r="AL522" s="74"/>
      <c r="AM522" s="74"/>
      <c r="AN522" s="74"/>
      <c r="AO522" s="74"/>
      <c r="AP522" s="74"/>
      <c r="AQ522" s="74"/>
      <c r="AR522" s="74"/>
      <c r="AS522" s="74"/>
      <c r="BD522" s="74"/>
      <c r="BE522" s="74"/>
      <c r="BF522" s="74"/>
      <c r="BG522" s="74"/>
      <c r="BH522" s="74"/>
      <c r="BI522" s="74"/>
    </row>
    <row r="523" spans="4:61" x14ac:dyDescent="0.3">
      <c r="D523" s="76"/>
      <c r="E523" s="76"/>
      <c r="F523" s="76" t="str">
        <f t="shared" si="57"/>
        <v/>
      </c>
      <c r="G523" s="183" t="str">
        <f>IF(F523 = "","",IFERROR(IF($G$1 = "YTM",_xll.CbondsCalcYTM($B$1,D523,F523),_xll.CbondsCalcYTP($B$1,D523,F523)),"")*100)</f>
        <v/>
      </c>
      <c r="U523" s="74"/>
      <c r="V523" s="74"/>
      <c r="W523" s="74"/>
      <c r="X523" s="74"/>
      <c r="Y523" s="74"/>
      <c r="Z523" s="74"/>
      <c r="AA523" s="74"/>
      <c r="AB523" s="74"/>
      <c r="AC523" s="74"/>
      <c r="AJ523" s="74"/>
      <c r="AK523" s="74"/>
      <c r="AL523" s="74"/>
      <c r="AM523" s="74"/>
      <c r="AN523" s="74"/>
      <c r="AO523" s="74"/>
      <c r="AP523" s="74"/>
      <c r="AQ523" s="74"/>
      <c r="AR523" s="74"/>
      <c r="AS523" s="74"/>
      <c r="BD523" s="74"/>
      <c r="BE523" s="74"/>
      <c r="BF523" s="74"/>
      <c r="BG523" s="74"/>
      <c r="BH523" s="74"/>
      <c r="BI523" s="74"/>
    </row>
    <row r="524" spans="4:61" x14ac:dyDescent="0.3">
      <c r="D524" s="76"/>
      <c r="E524" s="76"/>
      <c r="F524" s="76" t="str">
        <f t="shared" si="57"/>
        <v/>
      </c>
      <c r="G524" s="183" t="str">
        <f>IF(F524 = "","",IFERROR(IF($G$1 = "YTM",_xll.CbondsCalcYTM($B$1,D524,F524),_xll.CbondsCalcYTP($B$1,D524,F524)),"")*100)</f>
        <v/>
      </c>
      <c r="U524" s="74"/>
      <c r="V524" s="74"/>
      <c r="W524" s="74"/>
      <c r="X524" s="74"/>
      <c r="Y524" s="74"/>
      <c r="Z524" s="74"/>
      <c r="AA524" s="74"/>
      <c r="AB524" s="74"/>
      <c r="AC524" s="74"/>
      <c r="AJ524" s="74"/>
      <c r="AK524" s="74"/>
      <c r="AL524" s="74"/>
      <c r="AM524" s="74"/>
      <c r="AN524" s="74"/>
      <c r="AO524" s="74"/>
      <c r="AP524" s="74"/>
      <c r="AQ524" s="74"/>
      <c r="AR524" s="74"/>
      <c r="AS524" s="74"/>
      <c r="BD524" s="74"/>
      <c r="BE524" s="74"/>
      <c r="BF524" s="74"/>
      <c r="BG524" s="74"/>
      <c r="BH524" s="74"/>
      <c r="BI524" s="74"/>
    </row>
    <row r="525" spans="4:61" x14ac:dyDescent="0.3">
      <c r="D525" s="76"/>
      <c r="E525" s="76"/>
      <c r="F525" s="76" t="str">
        <f t="shared" si="57"/>
        <v/>
      </c>
      <c r="G525" s="183" t="str">
        <f>IF(F525 = "","",IFERROR(IF($G$1 = "YTM",_xll.CbondsCalcYTM($B$1,D525,F525),_xll.CbondsCalcYTP($B$1,D525,F525)),"")*100)</f>
        <v/>
      </c>
      <c r="U525" s="74"/>
      <c r="V525" s="74"/>
      <c r="W525" s="74"/>
      <c r="X525" s="74"/>
      <c r="Y525" s="74"/>
      <c r="Z525" s="74"/>
      <c r="AA525" s="74"/>
      <c r="AB525" s="74"/>
      <c r="AC525" s="74"/>
      <c r="AJ525" s="74"/>
      <c r="AK525" s="74"/>
      <c r="AL525" s="74"/>
      <c r="AM525" s="74"/>
      <c r="AN525" s="74"/>
      <c r="AO525" s="74"/>
      <c r="AP525" s="74"/>
      <c r="AQ525" s="74"/>
      <c r="AR525" s="74"/>
      <c r="AS525" s="74"/>
      <c r="BD525" s="74"/>
      <c r="BE525" s="74"/>
      <c r="BF525" s="74"/>
      <c r="BG525" s="74"/>
      <c r="BH525" s="74"/>
      <c r="BI525" s="74"/>
    </row>
    <row r="526" spans="4:61" x14ac:dyDescent="0.3">
      <c r="D526" s="76"/>
      <c r="E526" s="76"/>
      <c r="F526" s="76" t="str">
        <f t="shared" si="57"/>
        <v/>
      </c>
      <c r="G526" s="183" t="str">
        <f>IF(F526 = "","",IFERROR(IF($G$1 = "YTM",_xll.CbondsCalcYTM($B$1,D526,F526),_xll.CbondsCalcYTP($B$1,D526,F526)),"")*100)</f>
        <v/>
      </c>
      <c r="U526" s="74"/>
      <c r="V526" s="74"/>
      <c r="W526" s="74"/>
      <c r="X526" s="74"/>
      <c r="Y526" s="74"/>
      <c r="Z526" s="74"/>
      <c r="AA526" s="74"/>
      <c r="AB526" s="74"/>
      <c r="AC526" s="74"/>
      <c r="AJ526" s="74"/>
      <c r="AK526" s="74"/>
      <c r="AL526" s="74"/>
      <c r="AM526" s="74"/>
      <c r="AN526" s="74"/>
      <c r="AO526" s="74"/>
      <c r="AP526" s="74"/>
      <c r="AQ526" s="74"/>
      <c r="AR526" s="74"/>
      <c r="AS526" s="74"/>
      <c r="BD526" s="74"/>
      <c r="BE526" s="74"/>
      <c r="BF526" s="74"/>
      <c r="BG526" s="74"/>
      <c r="BH526" s="74"/>
      <c r="BI526" s="74"/>
    </row>
    <row r="527" spans="4:61" x14ac:dyDescent="0.3">
      <c r="D527" s="76"/>
      <c r="E527" s="76"/>
      <c r="F527" s="76" t="str">
        <f t="shared" si="57"/>
        <v/>
      </c>
      <c r="G527" s="183" t="str">
        <f>IF(F527 = "","",IFERROR(IF($G$1 = "YTM",_xll.CbondsCalcYTM($B$1,D527,F527),_xll.CbondsCalcYTP($B$1,D527,F527)),"")*100)</f>
        <v/>
      </c>
      <c r="U527" s="74"/>
      <c r="V527" s="74"/>
      <c r="W527" s="74"/>
      <c r="X527" s="74"/>
      <c r="Y527" s="74"/>
      <c r="Z527" s="74"/>
      <c r="AA527" s="74"/>
      <c r="AB527" s="74"/>
      <c r="AC527" s="74"/>
      <c r="AJ527" s="74"/>
      <c r="AK527" s="74"/>
      <c r="AL527" s="74"/>
      <c r="AM527" s="74"/>
      <c r="AN527" s="74"/>
      <c r="AO527" s="74"/>
      <c r="AP527" s="74"/>
      <c r="AQ527" s="74"/>
      <c r="AR527" s="74"/>
      <c r="AS527" s="74"/>
      <c r="BD527" s="74"/>
      <c r="BE527" s="74"/>
      <c r="BF527" s="74"/>
      <c r="BG527" s="74"/>
      <c r="BH527" s="74"/>
      <c r="BI527" s="74"/>
    </row>
    <row r="528" spans="4:61" x14ac:dyDescent="0.3">
      <c r="D528" s="76"/>
      <c r="E528" s="76"/>
      <c r="F528" s="76" t="str">
        <f t="shared" si="57"/>
        <v/>
      </c>
      <c r="G528" s="183" t="str">
        <f>IF(F528 = "","",IFERROR(IF($G$1 = "YTM",_xll.CbondsCalcYTM($B$1,D528,F528),_xll.CbondsCalcYTP($B$1,D528,F528)),"")*100)</f>
        <v/>
      </c>
      <c r="U528" s="74"/>
      <c r="V528" s="74"/>
      <c r="W528" s="74"/>
      <c r="X528" s="74"/>
      <c r="Y528" s="74"/>
      <c r="Z528" s="74"/>
      <c r="AA528" s="74"/>
      <c r="AB528" s="74"/>
      <c r="AC528" s="74"/>
      <c r="AJ528" s="74"/>
      <c r="AK528" s="74"/>
      <c r="AL528" s="74"/>
      <c r="AM528" s="74"/>
      <c r="AN528" s="74"/>
      <c r="AO528" s="74"/>
      <c r="AP528" s="74"/>
      <c r="AQ528" s="74"/>
      <c r="AR528" s="74"/>
      <c r="AS528" s="74"/>
      <c r="BD528" s="74"/>
      <c r="BE528" s="74"/>
      <c r="BF528" s="74"/>
      <c r="BG528" s="74"/>
      <c r="BH528" s="74"/>
      <c r="BI528" s="74"/>
    </row>
    <row r="529" spans="4:61" x14ac:dyDescent="0.3">
      <c r="D529" s="76"/>
      <c r="E529" s="76"/>
      <c r="F529" s="76" t="str">
        <f t="shared" si="57"/>
        <v/>
      </c>
      <c r="G529" s="183" t="str">
        <f>IF(F529 = "","",IFERROR(IF($G$1 = "YTM",_xll.CbondsCalcYTM($B$1,D529,F529),_xll.CbondsCalcYTP($B$1,D529,F529)),"")*100)</f>
        <v/>
      </c>
      <c r="U529" s="74"/>
      <c r="V529" s="74"/>
      <c r="W529" s="74"/>
      <c r="X529" s="74"/>
      <c r="Y529" s="74"/>
      <c r="Z529" s="74"/>
      <c r="AA529" s="74"/>
      <c r="AB529" s="74"/>
      <c r="AC529" s="74"/>
      <c r="AJ529" s="74"/>
      <c r="AK529" s="74"/>
      <c r="AL529" s="74"/>
      <c r="AM529" s="74"/>
      <c r="AN529" s="74"/>
      <c r="AO529" s="74"/>
      <c r="AP529" s="74"/>
      <c r="AQ529" s="74"/>
      <c r="AR529" s="74"/>
      <c r="AS529" s="74"/>
      <c r="BD529" s="74"/>
      <c r="BE529" s="74"/>
      <c r="BF529" s="74"/>
      <c r="BG529" s="74"/>
      <c r="BH529" s="74"/>
      <c r="BI529" s="74"/>
    </row>
    <row r="530" spans="4:61" x14ac:dyDescent="0.3">
      <c r="D530" s="76"/>
      <c r="E530" s="76"/>
      <c r="F530" s="76" t="str">
        <f t="shared" si="57"/>
        <v/>
      </c>
      <c r="G530" s="183" t="str">
        <f>IF(F530 = "","",IFERROR(IF($G$1 = "YTM",_xll.CbondsCalcYTM($B$1,D530,F530),_xll.CbondsCalcYTP($B$1,D530,F530)),"")*100)</f>
        <v/>
      </c>
      <c r="U530" s="74"/>
      <c r="V530" s="74"/>
      <c r="W530" s="74"/>
      <c r="X530" s="74"/>
      <c r="Y530" s="74"/>
      <c r="Z530" s="74"/>
      <c r="AA530" s="74"/>
      <c r="AB530" s="74"/>
      <c r="AC530" s="74"/>
      <c r="AJ530" s="74"/>
      <c r="AK530" s="74"/>
      <c r="AL530" s="74"/>
      <c r="AM530" s="74"/>
      <c r="AN530" s="74"/>
      <c r="AO530" s="74"/>
      <c r="AP530" s="74"/>
      <c r="AQ530" s="74"/>
      <c r="AR530" s="74"/>
      <c r="AS530" s="74"/>
      <c r="BD530" s="74"/>
      <c r="BE530" s="74"/>
      <c r="BF530" s="74"/>
      <c r="BG530" s="74"/>
      <c r="BH530" s="74"/>
      <c r="BI530" s="74"/>
    </row>
    <row r="531" spans="4:61" x14ac:dyDescent="0.3">
      <c r="D531" s="76"/>
      <c r="E531" s="76"/>
      <c r="F531" s="76" t="str">
        <f t="shared" si="57"/>
        <v/>
      </c>
      <c r="G531" s="183" t="str">
        <f>IF(F531 = "","",IFERROR(IF($G$1 = "YTM",_xll.CbondsCalcYTM($B$1,D531,F531),_xll.CbondsCalcYTP($B$1,D531,F531)),"")*100)</f>
        <v/>
      </c>
      <c r="U531" s="74"/>
      <c r="V531" s="74"/>
      <c r="W531" s="74"/>
      <c r="X531" s="74"/>
      <c r="Y531" s="74"/>
      <c r="Z531" s="74"/>
      <c r="AA531" s="74"/>
      <c r="AB531" s="74"/>
      <c r="AC531" s="74"/>
      <c r="AJ531" s="74"/>
      <c r="AK531" s="74"/>
      <c r="AL531" s="74"/>
      <c r="AM531" s="74"/>
      <c r="AN531" s="74"/>
      <c r="AO531" s="74"/>
      <c r="AP531" s="74"/>
      <c r="AQ531" s="74"/>
      <c r="AR531" s="74"/>
      <c r="AS531" s="74"/>
      <c r="BD531" s="74"/>
      <c r="BE531" s="74"/>
      <c r="BF531" s="74"/>
      <c r="BG531" s="74"/>
      <c r="BH531" s="74"/>
      <c r="BI531" s="74"/>
    </row>
    <row r="532" spans="4:61" x14ac:dyDescent="0.3">
      <c r="D532" s="76"/>
      <c r="E532" s="76"/>
      <c r="F532" s="76" t="str">
        <f t="shared" si="57"/>
        <v/>
      </c>
      <c r="G532" s="183" t="str">
        <f>IF(F532 = "","",IFERROR(IF($G$1 = "YTM",_xll.CbondsCalcYTM($B$1,D532,F532),_xll.CbondsCalcYTP($B$1,D532,F532)),"")*100)</f>
        <v/>
      </c>
      <c r="U532" s="74"/>
      <c r="V532" s="74"/>
      <c r="W532" s="74"/>
      <c r="X532" s="74"/>
      <c r="Y532" s="74"/>
      <c r="Z532" s="74"/>
      <c r="AA532" s="74"/>
      <c r="AB532" s="74"/>
      <c r="AC532" s="74"/>
      <c r="AJ532" s="74"/>
      <c r="AK532" s="74"/>
      <c r="AL532" s="74"/>
      <c r="AM532" s="74"/>
      <c r="AN532" s="74"/>
      <c r="AO532" s="74"/>
      <c r="AP532" s="74"/>
      <c r="AQ532" s="74"/>
      <c r="AR532" s="74"/>
      <c r="AS532" s="74"/>
      <c r="BD532" s="74"/>
      <c r="BE532" s="74"/>
      <c r="BF532" s="74"/>
      <c r="BG532" s="74"/>
      <c r="BH532" s="74"/>
      <c r="BI532" s="74"/>
    </row>
    <row r="533" spans="4:61" x14ac:dyDescent="0.3">
      <c r="D533" s="76"/>
      <c r="E533" s="76"/>
      <c r="F533" s="76" t="str">
        <f t="shared" si="57"/>
        <v/>
      </c>
      <c r="G533" s="183" t="str">
        <f>IF(F533 = "","",IFERROR(IF($G$1 = "YTM",_xll.CbondsCalcYTM($B$1,D533,F533),_xll.CbondsCalcYTP($B$1,D533,F533)),"")*100)</f>
        <v/>
      </c>
      <c r="U533" s="74"/>
      <c r="V533" s="74"/>
      <c r="W533" s="74"/>
      <c r="X533" s="74"/>
      <c r="Y533" s="74"/>
      <c r="Z533" s="74"/>
      <c r="AA533" s="74"/>
      <c r="AB533" s="74"/>
      <c r="AC533" s="74"/>
      <c r="AJ533" s="74"/>
      <c r="AK533" s="74"/>
      <c r="AL533" s="74"/>
      <c r="AM533" s="74"/>
      <c r="AN533" s="74"/>
      <c r="AO533" s="74"/>
      <c r="AP533" s="74"/>
      <c r="AQ533" s="74"/>
      <c r="AR533" s="74"/>
      <c r="AS533" s="74"/>
      <c r="BD533" s="74"/>
      <c r="BE533" s="74"/>
      <c r="BF533" s="74"/>
      <c r="BG533" s="74"/>
      <c r="BH533" s="74"/>
      <c r="BI533" s="74"/>
    </row>
    <row r="534" spans="4:61" x14ac:dyDescent="0.3">
      <c r="D534" s="76"/>
      <c r="E534" s="76"/>
      <c r="F534" s="76" t="str">
        <f t="shared" si="57"/>
        <v/>
      </c>
      <c r="G534" s="183" t="str">
        <f>IF(F534 = "","",IFERROR(IF($G$1 = "YTM",_xll.CbondsCalcYTM($B$1,D534,F534),_xll.CbondsCalcYTP($B$1,D534,F534)),"")*100)</f>
        <v/>
      </c>
      <c r="U534" s="74"/>
      <c r="V534" s="74"/>
      <c r="W534" s="74"/>
      <c r="X534" s="74"/>
      <c r="Y534" s="74"/>
      <c r="Z534" s="74"/>
      <c r="AA534" s="74"/>
      <c r="AB534" s="74"/>
      <c r="AC534" s="74"/>
      <c r="AJ534" s="74"/>
      <c r="AK534" s="74"/>
      <c r="AL534" s="74"/>
      <c r="AM534" s="74"/>
      <c r="AN534" s="74"/>
      <c r="AO534" s="74"/>
      <c r="AP534" s="74"/>
      <c r="AQ534" s="74"/>
      <c r="AR534" s="74"/>
      <c r="AS534" s="74"/>
      <c r="BD534" s="74"/>
      <c r="BE534" s="74"/>
      <c r="BF534" s="74"/>
      <c r="BG534" s="74"/>
      <c r="BH534" s="74"/>
      <c r="BI534" s="74"/>
    </row>
    <row r="535" spans="4:61" x14ac:dyDescent="0.3">
      <c r="D535" s="76"/>
      <c r="E535" s="76"/>
      <c r="F535" s="76" t="str">
        <f t="shared" si="57"/>
        <v/>
      </c>
      <c r="G535" s="183" t="str">
        <f>IF(F535 = "","",IFERROR(IF($G$1 = "YTM",_xll.CbondsCalcYTM($B$1,D535,F535),_xll.CbondsCalcYTP($B$1,D535,F535)),"")*100)</f>
        <v/>
      </c>
      <c r="U535" s="74"/>
      <c r="V535" s="74"/>
      <c r="W535" s="74"/>
      <c r="X535" s="74"/>
      <c r="Y535" s="74"/>
      <c r="Z535" s="74"/>
      <c r="AA535" s="74"/>
      <c r="AB535" s="74"/>
      <c r="AC535" s="74"/>
      <c r="AJ535" s="74"/>
      <c r="AK535" s="74"/>
      <c r="AL535" s="74"/>
      <c r="AM535" s="74"/>
      <c r="AN535" s="74"/>
      <c r="AO535" s="74"/>
      <c r="AP535" s="74"/>
      <c r="AQ535" s="74"/>
      <c r="AR535" s="74"/>
      <c r="AS535" s="74"/>
      <c r="BD535" s="74"/>
      <c r="BE535" s="74"/>
      <c r="BF535" s="74"/>
      <c r="BG535" s="74"/>
      <c r="BH535" s="74"/>
      <c r="BI535" s="74"/>
    </row>
    <row r="536" spans="4:61" x14ac:dyDescent="0.3">
      <c r="D536" s="76"/>
      <c r="E536" s="76"/>
      <c r="F536" s="76" t="str">
        <f t="shared" si="57"/>
        <v/>
      </c>
      <c r="G536" s="183" t="str">
        <f>IF(F536 = "","",IFERROR(IF($G$1 = "YTM",_xll.CbondsCalcYTM($B$1,D536,F536),_xll.CbondsCalcYTP($B$1,D536,F536)),"")*100)</f>
        <v/>
      </c>
      <c r="U536" s="74"/>
      <c r="V536" s="74"/>
      <c r="W536" s="74"/>
      <c r="X536" s="74"/>
      <c r="Y536" s="74"/>
      <c r="Z536" s="74"/>
      <c r="AA536" s="74"/>
      <c r="AB536" s="74"/>
      <c r="AC536" s="74"/>
      <c r="AJ536" s="74"/>
      <c r="AK536" s="74"/>
      <c r="AL536" s="74"/>
      <c r="AM536" s="74"/>
      <c r="AN536" s="74"/>
      <c r="AO536" s="74"/>
      <c r="AP536" s="74"/>
      <c r="AQ536" s="74"/>
      <c r="AR536" s="74"/>
      <c r="AS536" s="74"/>
      <c r="BD536" s="74"/>
      <c r="BE536" s="74"/>
      <c r="BF536" s="74"/>
      <c r="BG536" s="74"/>
      <c r="BH536" s="74"/>
      <c r="BI536" s="74"/>
    </row>
    <row r="537" spans="4:61" x14ac:dyDescent="0.3">
      <c r="D537" s="76"/>
      <c r="E537" s="76"/>
      <c r="F537" s="76" t="str">
        <f t="shared" si="57"/>
        <v/>
      </c>
      <c r="G537" s="183" t="str">
        <f>IF(F537 = "","",IFERROR(IF($G$1 = "YTM",_xll.CbondsCalcYTM($B$1,D537,F537),_xll.CbondsCalcYTP($B$1,D537,F537)),"")*100)</f>
        <v/>
      </c>
      <c r="U537" s="74"/>
      <c r="V537" s="74"/>
      <c r="W537" s="74"/>
      <c r="X537" s="74"/>
      <c r="Y537" s="74"/>
      <c r="Z537" s="74"/>
      <c r="AA537" s="74"/>
      <c r="AB537" s="74"/>
      <c r="AC537" s="74"/>
      <c r="AJ537" s="74"/>
      <c r="AK537" s="74"/>
      <c r="AL537" s="74"/>
      <c r="AM537" s="74"/>
      <c r="AN537" s="74"/>
      <c r="AO537" s="74"/>
      <c r="AP537" s="74"/>
      <c r="AQ537" s="74"/>
      <c r="AR537" s="74"/>
      <c r="AS537" s="74"/>
      <c r="BD537" s="74"/>
      <c r="BE537" s="74"/>
      <c r="BF537" s="74"/>
      <c r="BG537" s="74"/>
      <c r="BH537" s="74"/>
      <c r="BI537" s="74"/>
    </row>
    <row r="538" spans="4:61" x14ac:dyDescent="0.3">
      <c r="D538" s="76"/>
      <c r="E538" s="76"/>
      <c r="F538" s="76" t="str">
        <f t="shared" si="57"/>
        <v/>
      </c>
      <c r="G538" s="183" t="str">
        <f>IF(F538 = "","",IFERROR(IF($G$1 = "YTM",_xll.CbondsCalcYTM($B$1,D538,F538),_xll.CbondsCalcYTP($B$1,D538,F538)),"")*100)</f>
        <v/>
      </c>
      <c r="U538" s="74"/>
      <c r="V538" s="74"/>
      <c r="W538" s="74"/>
      <c r="X538" s="74"/>
      <c r="Y538" s="74"/>
      <c r="Z538" s="74"/>
      <c r="AA538" s="74"/>
      <c r="AB538" s="74"/>
      <c r="AC538" s="74"/>
      <c r="AJ538" s="74"/>
      <c r="AK538" s="74"/>
      <c r="AL538" s="74"/>
      <c r="AM538" s="74"/>
      <c r="AN538" s="74"/>
      <c r="AO538" s="74"/>
      <c r="AP538" s="74"/>
      <c r="AQ538" s="74"/>
      <c r="AR538" s="74"/>
      <c r="AS538" s="74"/>
      <c r="BD538" s="74"/>
      <c r="BE538" s="74"/>
      <c r="BF538" s="74"/>
      <c r="BG538" s="74"/>
      <c r="BH538" s="74"/>
      <c r="BI538" s="74"/>
    </row>
    <row r="539" spans="4:61" x14ac:dyDescent="0.3">
      <c r="D539" s="76"/>
      <c r="E539" s="76"/>
      <c r="F539" s="76" t="str">
        <f t="shared" si="57"/>
        <v/>
      </c>
      <c r="G539" s="183" t="str">
        <f>IF(F539 = "","",IFERROR(IF($G$1 = "YTM",_xll.CbondsCalcYTM($B$1,D539,F539),_xll.CbondsCalcYTP($B$1,D539,F539)),"")*100)</f>
        <v/>
      </c>
      <c r="U539" s="74"/>
      <c r="V539" s="74"/>
      <c r="W539" s="74"/>
      <c r="X539" s="74"/>
      <c r="Y539" s="74"/>
      <c r="Z539" s="74"/>
      <c r="AA539" s="74"/>
      <c r="AB539" s="74"/>
      <c r="AC539" s="74"/>
      <c r="AJ539" s="74"/>
      <c r="AK539" s="74"/>
      <c r="AL539" s="74"/>
      <c r="AM539" s="74"/>
      <c r="AN539" s="74"/>
      <c r="AO539" s="74"/>
      <c r="AP539" s="74"/>
      <c r="AQ539" s="74"/>
      <c r="AR539" s="74"/>
      <c r="AS539" s="74"/>
      <c r="BD539" s="74"/>
      <c r="BE539" s="74"/>
      <c r="BF539" s="74"/>
      <c r="BG539" s="74"/>
      <c r="BH539" s="74"/>
      <c r="BI539" s="74"/>
    </row>
    <row r="540" spans="4:61" x14ac:dyDescent="0.3">
      <c r="D540" s="76"/>
      <c r="E540" s="76"/>
      <c r="F540" s="76" t="str">
        <f t="shared" si="57"/>
        <v/>
      </c>
      <c r="G540" s="183" t="str">
        <f>IF(F540 = "","",IFERROR(IF($G$1 = "YTM",_xll.CbondsCalcYTM($B$1,D540,F540),_xll.CbondsCalcYTP($B$1,D540,F540)),"")*100)</f>
        <v/>
      </c>
      <c r="U540" s="74"/>
      <c r="V540" s="74"/>
      <c r="W540" s="74"/>
      <c r="X540" s="74"/>
      <c r="Y540" s="74"/>
      <c r="Z540" s="74"/>
      <c r="AA540" s="74"/>
      <c r="AB540" s="74"/>
      <c r="AC540" s="74"/>
      <c r="AJ540" s="74"/>
      <c r="AK540" s="74"/>
      <c r="AL540" s="74"/>
      <c r="AM540" s="74"/>
      <c r="AN540" s="74"/>
      <c r="AO540" s="74"/>
      <c r="AP540" s="74"/>
      <c r="AQ540" s="74"/>
      <c r="AR540" s="74"/>
      <c r="AS540" s="74"/>
      <c r="BD540" s="74"/>
      <c r="BE540" s="74"/>
      <c r="BF540" s="74"/>
      <c r="BG540" s="74"/>
      <c r="BH540" s="74"/>
      <c r="BI540" s="74"/>
    </row>
    <row r="541" spans="4:61" x14ac:dyDescent="0.3">
      <c r="D541" s="76"/>
      <c r="E541" s="76"/>
      <c r="F541" s="76" t="str">
        <f t="shared" si="57"/>
        <v/>
      </c>
      <c r="G541" s="183" t="str">
        <f>IF(F541 = "","",IFERROR(IF($G$1 = "YTM",_xll.CbondsCalcYTM($B$1,D541,F541),_xll.CbondsCalcYTP($B$1,D541,F541)),"")*100)</f>
        <v/>
      </c>
      <c r="U541" s="74"/>
      <c r="V541" s="74"/>
      <c r="W541" s="74"/>
      <c r="X541" s="74"/>
      <c r="Y541" s="74"/>
      <c r="Z541" s="74"/>
      <c r="AA541" s="74"/>
      <c r="AB541" s="74"/>
      <c r="AC541" s="74"/>
      <c r="AJ541" s="74"/>
      <c r="AK541" s="74"/>
      <c r="AL541" s="74"/>
      <c r="AM541" s="74"/>
      <c r="AN541" s="74"/>
      <c r="AO541" s="74"/>
      <c r="AP541" s="74"/>
      <c r="AQ541" s="74"/>
      <c r="AR541" s="74"/>
      <c r="AS541" s="74"/>
      <c r="BD541" s="74"/>
      <c r="BE541" s="74"/>
      <c r="BF541" s="74"/>
      <c r="BG541" s="74"/>
      <c r="BH541" s="74"/>
      <c r="BI541" s="74"/>
    </row>
    <row r="542" spans="4:61" x14ac:dyDescent="0.3">
      <c r="D542" s="76"/>
      <c r="E542" s="76"/>
      <c r="F542" s="76" t="str">
        <f t="shared" si="57"/>
        <v/>
      </c>
      <c r="G542" s="183" t="str">
        <f>IF(F542 = "","",IFERROR(IF($G$1 = "YTM",_xll.CbondsCalcYTM($B$1,D542,F542),_xll.CbondsCalcYTP($B$1,D542,F542)),"")*100)</f>
        <v/>
      </c>
      <c r="U542" s="74"/>
      <c r="V542" s="74"/>
      <c r="W542" s="74"/>
      <c r="X542" s="74"/>
      <c r="Y542" s="74"/>
      <c r="Z542" s="74"/>
      <c r="AA542" s="74"/>
      <c r="AB542" s="74"/>
      <c r="AC542" s="74"/>
      <c r="AJ542" s="74"/>
      <c r="AK542" s="74"/>
      <c r="AL542" s="74"/>
      <c r="AM542" s="74"/>
      <c r="AN542" s="74"/>
      <c r="AO542" s="74"/>
      <c r="AP542" s="74"/>
      <c r="AQ542" s="74"/>
      <c r="AR542" s="74"/>
      <c r="AS542" s="74"/>
      <c r="BD542" s="74"/>
      <c r="BE542" s="74"/>
      <c r="BF542" s="74"/>
      <c r="BG542" s="74"/>
      <c r="BH542" s="74"/>
      <c r="BI542" s="74"/>
    </row>
    <row r="543" spans="4:61" x14ac:dyDescent="0.3">
      <c r="D543" s="76"/>
      <c r="E543" s="76"/>
      <c r="F543" s="76" t="str">
        <f t="shared" si="57"/>
        <v/>
      </c>
      <c r="G543" s="183" t="str">
        <f>IF(F543 = "","",IFERROR(IF($G$1 = "YTM",_xll.CbondsCalcYTM($B$1,D543,F543),_xll.CbondsCalcYTP($B$1,D543,F543)),"")*100)</f>
        <v/>
      </c>
      <c r="U543" s="74"/>
      <c r="V543" s="74"/>
      <c r="W543" s="74"/>
      <c r="X543" s="74"/>
      <c r="Y543" s="74"/>
      <c r="Z543" s="74"/>
      <c r="AA543" s="74"/>
      <c r="AB543" s="74"/>
      <c r="AC543" s="74"/>
      <c r="AJ543" s="74"/>
      <c r="AK543" s="74"/>
      <c r="AL543" s="74"/>
      <c r="AM543" s="74"/>
      <c r="AN543" s="74"/>
      <c r="AO543" s="74"/>
      <c r="AP543" s="74"/>
      <c r="AQ543" s="74"/>
      <c r="AR543" s="74"/>
      <c r="AS543" s="74"/>
      <c r="BD543" s="74"/>
      <c r="BE543" s="74"/>
      <c r="BF543" s="74"/>
      <c r="BG543" s="74"/>
      <c r="BH543" s="74"/>
      <c r="BI543" s="74"/>
    </row>
    <row r="544" spans="4:61" x14ac:dyDescent="0.3">
      <c r="D544" s="76"/>
      <c r="E544" s="76"/>
      <c r="F544" s="76" t="str">
        <f t="shared" si="57"/>
        <v/>
      </c>
      <c r="G544" s="183" t="str">
        <f>IF(F544 = "","",IFERROR(IF($G$1 = "YTM",_xll.CbondsCalcYTM($B$1,D544,F544),_xll.CbondsCalcYTP($B$1,D544,F544)),"")*100)</f>
        <v/>
      </c>
      <c r="U544" s="74"/>
      <c r="V544" s="74"/>
      <c r="W544" s="74"/>
      <c r="X544" s="74"/>
      <c r="Y544" s="74"/>
      <c r="Z544" s="74"/>
      <c r="AA544" s="74"/>
      <c r="AB544" s="74"/>
      <c r="AC544" s="74"/>
      <c r="AJ544" s="74"/>
      <c r="AK544" s="74"/>
      <c r="AL544" s="74"/>
      <c r="AM544" s="74"/>
      <c r="AN544" s="74"/>
      <c r="AO544" s="74"/>
      <c r="AP544" s="74"/>
      <c r="AQ544" s="74"/>
      <c r="AR544" s="74"/>
      <c r="AS544" s="74"/>
      <c r="BD544" s="74"/>
      <c r="BE544" s="74"/>
      <c r="BF544" s="74"/>
      <c r="BG544" s="74"/>
      <c r="BH544" s="74"/>
      <c r="BI544" s="74"/>
    </row>
    <row r="545" spans="4:61" x14ac:dyDescent="0.3">
      <c r="D545" s="76"/>
      <c r="E545" s="76"/>
      <c r="F545" s="76" t="str">
        <f t="shared" si="57"/>
        <v/>
      </c>
      <c r="G545" s="183" t="str">
        <f>IF(F545 = "","",IFERROR(IF($G$1 = "YTM",_xll.CbondsCalcYTM($B$1,D545,F545),_xll.CbondsCalcYTP($B$1,D545,F545)),"")*100)</f>
        <v/>
      </c>
      <c r="U545" s="74"/>
      <c r="V545" s="74"/>
      <c r="W545" s="74"/>
      <c r="X545" s="74"/>
      <c r="Y545" s="74"/>
      <c r="Z545" s="74"/>
      <c r="AA545" s="74"/>
      <c r="AB545" s="74"/>
      <c r="AC545" s="74"/>
      <c r="AJ545" s="74"/>
      <c r="AK545" s="74"/>
      <c r="AL545" s="74"/>
      <c r="AM545" s="74"/>
      <c r="AN545" s="74"/>
      <c r="AO545" s="74"/>
      <c r="AP545" s="74"/>
      <c r="AQ545" s="74"/>
      <c r="AR545" s="74"/>
      <c r="AS545" s="74"/>
      <c r="BD545" s="74"/>
      <c r="BE545" s="74"/>
      <c r="BF545" s="74"/>
      <c r="BG545" s="74"/>
      <c r="BH545" s="74"/>
      <c r="BI545" s="74"/>
    </row>
    <row r="546" spans="4:61" x14ac:dyDescent="0.3">
      <c r="D546" s="76"/>
      <c r="E546" s="76"/>
      <c r="F546" s="76" t="str">
        <f t="shared" si="57"/>
        <v/>
      </c>
      <c r="G546" s="183" t="str">
        <f>IF(F546 = "","",IFERROR(IF($G$1 = "YTM",_xll.CbondsCalcYTM($B$1,D546,F546),_xll.CbondsCalcYTP($B$1,D546,F546)),"")*100)</f>
        <v/>
      </c>
      <c r="U546" s="74"/>
      <c r="V546" s="74"/>
      <c r="W546" s="74"/>
      <c r="X546" s="74"/>
      <c r="Y546" s="74"/>
      <c r="Z546" s="74"/>
      <c r="AA546" s="74"/>
      <c r="AB546" s="74"/>
      <c r="AC546" s="74"/>
      <c r="AJ546" s="74"/>
      <c r="AK546" s="74"/>
      <c r="AL546" s="74"/>
      <c r="AM546" s="74"/>
      <c r="AN546" s="74"/>
      <c r="AO546" s="74"/>
      <c r="AP546" s="74"/>
      <c r="AQ546" s="74"/>
      <c r="AR546" s="74"/>
      <c r="AS546" s="74"/>
      <c r="BD546" s="74"/>
      <c r="BE546" s="74"/>
      <c r="BF546" s="74"/>
      <c r="BG546" s="74"/>
      <c r="BH546" s="74"/>
      <c r="BI546" s="74"/>
    </row>
    <row r="547" spans="4:61" x14ac:dyDescent="0.3">
      <c r="D547" s="76"/>
      <c r="E547" s="76"/>
      <c r="F547" s="76" t="str">
        <f t="shared" si="57"/>
        <v/>
      </c>
      <c r="G547" s="183" t="str">
        <f>IF(F547 = "","",IFERROR(IF($G$1 = "YTM",_xll.CbondsCalcYTM($B$1,D547,F547),_xll.CbondsCalcYTP($B$1,D547,F547)),"")*100)</f>
        <v/>
      </c>
      <c r="U547" s="74"/>
      <c r="V547" s="74"/>
      <c r="W547" s="74"/>
      <c r="X547" s="74"/>
      <c r="Y547" s="74"/>
      <c r="Z547" s="74"/>
      <c r="AA547" s="74"/>
      <c r="AB547" s="74"/>
      <c r="AC547" s="74"/>
      <c r="AJ547" s="74"/>
      <c r="AK547" s="74"/>
      <c r="AL547" s="74"/>
      <c r="AM547" s="74"/>
      <c r="AN547" s="74"/>
      <c r="AO547" s="74"/>
      <c r="AP547" s="74"/>
      <c r="AQ547" s="74"/>
      <c r="AR547" s="74"/>
      <c r="AS547" s="74"/>
      <c r="BD547" s="74"/>
      <c r="BE547" s="74"/>
      <c r="BF547" s="74"/>
      <c r="BG547" s="74"/>
      <c r="BH547" s="74"/>
      <c r="BI547" s="74"/>
    </row>
    <row r="548" spans="4:61" x14ac:dyDescent="0.3">
      <c r="D548" s="76"/>
      <c r="E548" s="76"/>
      <c r="F548" s="76" t="str">
        <f t="shared" si="57"/>
        <v/>
      </c>
      <c r="G548" s="183" t="str">
        <f>IF(F548 = "","",IFERROR(IF($G$1 = "YTM",_xll.CbondsCalcYTM($B$1,D548,F548),_xll.CbondsCalcYTP($B$1,D548,F548)),"")*100)</f>
        <v/>
      </c>
      <c r="U548" s="74"/>
      <c r="V548" s="74"/>
      <c r="W548" s="74"/>
      <c r="X548" s="74"/>
      <c r="Y548" s="74"/>
      <c r="Z548" s="74"/>
      <c r="AA548" s="74"/>
      <c r="AB548" s="74"/>
      <c r="AC548" s="74"/>
      <c r="AJ548" s="74"/>
      <c r="AK548" s="74"/>
      <c r="AL548" s="74"/>
      <c r="AM548" s="74"/>
      <c r="AN548" s="74"/>
      <c r="AO548" s="74"/>
      <c r="AP548" s="74"/>
      <c r="AQ548" s="74"/>
      <c r="AR548" s="74"/>
      <c r="AS548" s="74"/>
      <c r="BD548" s="74"/>
      <c r="BE548" s="74"/>
      <c r="BF548" s="74"/>
      <c r="BG548" s="74"/>
      <c r="BH548" s="74"/>
      <c r="BI548" s="74"/>
    </row>
    <row r="549" spans="4:61" x14ac:dyDescent="0.3">
      <c r="D549" s="76"/>
      <c r="E549" s="76"/>
      <c r="F549" s="76" t="str">
        <f t="shared" si="57"/>
        <v/>
      </c>
      <c r="G549" s="183" t="str">
        <f>IF(F549 = "","",IFERROR(IF($G$1 = "YTM",_xll.CbondsCalcYTM($B$1,D549,F549),_xll.CbondsCalcYTP($B$1,D549,F549)),"")*100)</f>
        <v/>
      </c>
      <c r="U549" s="74"/>
      <c r="V549" s="74"/>
      <c r="W549" s="74"/>
      <c r="X549" s="74"/>
      <c r="Y549" s="74"/>
      <c r="Z549" s="74"/>
      <c r="AA549" s="74"/>
      <c r="AB549" s="74"/>
      <c r="AC549" s="74"/>
      <c r="AJ549" s="74"/>
      <c r="AK549" s="74"/>
      <c r="AL549" s="74"/>
      <c r="AM549" s="74"/>
      <c r="AN549" s="74"/>
      <c r="AO549" s="74"/>
      <c r="AP549" s="74"/>
      <c r="AQ549" s="74"/>
      <c r="AR549" s="74"/>
      <c r="AS549" s="74"/>
      <c r="BD549" s="74"/>
      <c r="BE549" s="74"/>
      <c r="BF549" s="74"/>
      <c r="BG549" s="74"/>
      <c r="BH549" s="74"/>
      <c r="BI549" s="74"/>
    </row>
    <row r="550" spans="4:61" x14ac:dyDescent="0.3">
      <c r="D550" s="76"/>
      <c r="E550" s="76"/>
      <c r="F550" s="76" t="str">
        <f t="shared" si="57"/>
        <v/>
      </c>
      <c r="G550" s="183" t="str">
        <f>IF(F550 = "","",IFERROR(IF($G$1 = "YTM",_xll.CbondsCalcYTM($B$1,D550,F550),_xll.CbondsCalcYTP($B$1,D550,F550)),"")*100)</f>
        <v/>
      </c>
      <c r="U550" s="74"/>
      <c r="V550" s="74"/>
      <c r="W550" s="74"/>
      <c r="X550" s="74"/>
      <c r="Y550" s="74"/>
      <c r="Z550" s="74"/>
      <c r="AA550" s="74"/>
      <c r="AB550" s="74"/>
      <c r="AC550" s="74"/>
      <c r="AJ550" s="74"/>
      <c r="AK550" s="74"/>
      <c r="AL550" s="74"/>
      <c r="AM550" s="74"/>
      <c r="AN550" s="74"/>
      <c r="AO550" s="74"/>
      <c r="AP550" s="74"/>
      <c r="AQ550" s="74"/>
      <c r="AR550" s="74"/>
      <c r="AS550" s="74"/>
      <c r="BD550" s="74"/>
      <c r="BE550" s="74"/>
      <c r="BF550" s="74"/>
      <c r="BG550" s="74"/>
      <c r="BH550" s="74"/>
      <c r="BI550" s="74"/>
    </row>
    <row r="551" spans="4:61" x14ac:dyDescent="0.3">
      <c r="D551" s="76"/>
      <c r="E551" s="76"/>
      <c r="F551" s="76" t="str">
        <f t="shared" si="57"/>
        <v/>
      </c>
      <c r="G551" s="183" t="str">
        <f>IF(F551 = "","",IFERROR(IF($G$1 = "YTM",_xll.CbondsCalcYTM($B$1,D551,F551),_xll.CbondsCalcYTP($B$1,D551,F551)),"")*100)</f>
        <v/>
      </c>
      <c r="U551" s="74"/>
      <c r="V551" s="74"/>
      <c r="W551" s="74"/>
      <c r="X551" s="74"/>
      <c r="Y551" s="74"/>
      <c r="Z551" s="74"/>
      <c r="AA551" s="74"/>
      <c r="AB551" s="74"/>
      <c r="AC551" s="74"/>
      <c r="AJ551" s="74"/>
      <c r="AK551" s="74"/>
      <c r="AL551" s="74"/>
      <c r="AM551" s="74"/>
      <c r="AN551" s="74"/>
      <c r="AO551" s="74"/>
      <c r="AP551" s="74"/>
      <c r="AQ551" s="74"/>
      <c r="AR551" s="74"/>
      <c r="AS551" s="74"/>
      <c r="BD551" s="74"/>
      <c r="BE551" s="74"/>
      <c r="BF551" s="74"/>
      <c r="BG551" s="74"/>
      <c r="BH551" s="74"/>
      <c r="BI551" s="74"/>
    </row>
    <row r="552" spans="4:61" x14ac:dyDescent="0.3">
      <c r="D552" s="76"/>
      <c r="E552" s="76"/>
      <c r="F552" s="76" t="str">
        <f t="shared" si="57"/>
        <v/>
      </c>
      <c r="G552" s="183" t="str">
        <f>IF(F552 = "","",IFERROR(IF($G$1 = "YTM",_xll.CbondsCalcYTM($B$1,D552,F552),_xll.CbondsCalcYTP($B$1,D552,F552)),"")*100)</f>
        <v/>
      </c>
      <c r="U552" s="74"/>
      <c r="V552" s="74"/>
      <c r="W552" s="74"/>
      <c r="X552" s="74"/>
      <c r="Y552" s="74"/>
      <c r="Z552" s="74"/>
      <c r="AA552" s="74"/>
      <c r="AB552" s="74"/>
      <c r="AC552" s="74"/>
      <c r="AJ552" s="74"/>
      <c r="AK552" s="74"/>
      <c r="AL552" s="74"/>
      <c r="AM552" s="74"/>
      <c r="AN552" s="74"/>
      <c r="AO552" s="74"/>
      <c r="AP552" s="74"/>
      <c r="AQ552" s="74"/>
      <c r="AR552" s="74"/>
      <c r="AS552" s="74"/>
      <c r="BD552" s="74"/>
      <c r="BE552" s="74"/>
      <c r="BF552" s="74"/>
      <c r="BG552" s="74"/>
      <c r="BH552" s="74"/>
      <c r="BI552" s="74"/>
    </row>
    <row r="553" spans="4:61" x14ac:dyDescent="0.3">
      <c r="D553" s="76"/>
      <c r="E553" s="76"/>
      <c r="F553" s="76" t="str">
        <f t="shared" si="57"/>
        <v/>
      </c>
      <c r="G553" s="183" t="str">
        <f>IF(F553 = "","",IFERROR(IF($G$1 = "YTM",_xll.CbondsCalcYTM($B$1,D553,F553),_xll.CbondsCalcYTP($B$1,D553,F553)),"")*100)</f>
        <v/>
      </c>
      <c r="U553" s="74"/>
      <c r="V553" s="74"/>
      <c r="W553" s="74"/>
      <c r="X553" s="74"/>
      <c r="Y553" s="74"/>
      <c r="Z553" s="74"/>
      <c r="AA553" s="74"/>
      <c r="AB553" s="74"/>
      <c r="AC553" s="74"/>
      <c r="AJ553" s="74"/>
      <c r="AK553" s="74"/>
      <c r="AL553" s="74"/>
      <c r="AM553" s="74"/>
      <c r="AN553" s="74"/>
      <c r="AO553" s="74"/>
      <c r="AP553" s="74"/>
      <c r="AQ553" s="74"/>
      <c r="AR553" s="74"/>
      <c r="AS553" s="74"/>
      <c r="BD553" s="74"/>
      <c r="BE553" s="74"/>
      <c r="BF553" s="74"/>
      <c r="BG553" s="74"/>
      <c r="BH553" s="74"/>
      <c r="BI553" s="74"/>
    </row>
    <row r="554" spans="4:61" x14ac:dyDescent="0.3">
      <c r="D554" s="76"/>
      <c r="E554" s="76"/>
      <c r="F554" s="76" t="str">
        <f t="shared" si="57"/>
        <v/>
      </c>
      <c r="G554" s="183" t="str">
        <f>IF(F554 = "","",IFERROR(IF($G$1 = "YTM",_xll.CbondsCalcYTM($B$1,D554,F554),_xll.CbondsCalcYTP($B$1,D554,F554)),"")*100)</f>
        <v/>
      </c>
      <c r="U554" s="74"/>
      <c r="V554" s="74"/>
      <c r="W554" s="74"/>
      <c r="X554" s="74"/>
      <c r="Y554" s="74"/>
      <c r="Z554" s="74"/>
      <c r="AA554" s="74"/>
      <c r="AB554" s="74"/>
      <c r="AC554" s="74"/>
      <c r="AJ554" s="74"/>
      <c r="AK554" s="74"/>
      <c r="AL554" s="74"/>
      <c r="AM554" s="74"/>
      <c r="AN554" s="74"/>
      <c r="AO554" s="74"/>
      <c r="AP554" s="74"/>
      <c r="AQ554" s="74"/>
      <c r="AR554" s="74"/>
      <c r="AS554" s="74"/>
      <c r="BD554" s="74"/>
      <c r="BE554" s="74"/>
      <c r="BF554" s="74"/>
      <c r="BG554" s="74"/>
      <c r="BH554" s="74"/>
      <c r="BI554" s="74"/>
    </row>
    <row r="555" spans="4:61" x14ac:dyDescent="0.3">
      <c r="D555" s="76"/>
      <c r="E555" s="76"/>
      <c r="F555" s="76" t="str">
        <f t="shared" si="57"/>
        <v/>
      </c>
      <c r="G555" s="183" t="str">
        <f>IF(F555 = "","",IFERROR(IF($G$1 = "YTM",_xll.CbondsCalcYTM($B$1,D555,F555),_xll.CbondsCalcYTP($B$1,D555,F555)),"")*100)</f>
        <v/>
      </c>
      <c r="U555" s="74"/>
      <c r="V555" s="74"/>
      <c r="W555" s="74"/>
      <c r="X555" s="74"/>
      <c r="Y555" s="74"/>
      <c r="Z555" s="74"/>
      <c r="AA555" s="74"/>
      <c r="AB555" s="74"/>
      <c r="AC555" s="74"/>
      <c r="AJ555" s="74"/>
      <c r="AK555" s="74"/>
      <c r="AL555" s="74"/>
      <c r="AM555" s="74"/>
      <c r="AN555" s="74"/>
      <c r="AO555" s="74"/>
      <c r="AP555" s="74"/>
      <c r="AQ555" s="74"/>
      <c r="AR555" s="74"/>
      <c r="AS555" s="74"/>
      <c r="BD555" s="74"/>
      <c r="BE555" s="74"/>
      <c r="BF555" s="74"/>
      <c r="BG555" s="74"/>
      <c r="BH555" s="74"/>
      <c r="BI555" s="74"/>
    </row>
    <row r="556" spans="4:61" x14ac:dyDescent="0.3">
      <c r="D556" s="76"/>
      <c r="E556" s="76"/>
      <c r="F556" s="76" t="str">
        <f t="shared" si="57"/>
        <v/>
      </c>
      <c r="G556" s="183" t="str">
        <f>IF(F556 = "","",IFERROR(IF($G$1 = "YTM",_xll.CbondsCalcYTM($B$1,D556,F556),_xll.CbondsCalcYTP($B$1,D556,F556)),"")*100)</f>
        <v/>
      </c>
      <c r="U556" s="74"/>
      <c r="V556" s="74"/>
      <c r="W556" s="74"/>
      <c r="X556" s="74"/>
      <c r="Y556" s="74"/>
      <c r="Z556" s="74"/>
      <c r="AA556" s="74"/>
      <c r="AB556" s="74"/>
      <c r="AC556" s="74"/>
      <c r="AJ556" s="74"/>
      <c r="AK556" s="74"/>
      <c r="AL556" s="74"/>
      <c r="AM556" s="74"/>
      <c r="AN556" s="74"/>
      <c r="AO556" s="74"/>
      <c r="AP556" s="74"/>
      <c r="AQ556" s="74"/>
      <c r="AR556" s="74"/>
      <c r="AS556" s="74"/>
      <c r="BD556" s="74"/>
      <c r="BE556" s="74"/>
      <c r="BF556" s="74"/>
      <c r="BG556" s="74"/>
      <c r="BH556" s="74"/>
      <c r="BI556" s="74"/>
    </row>
    <row r="557" spans="4:61" x14ac:dyDescent="0.3">
      <c r="D557" s="76"/>
      <c r="E557" s="76"/>
      <c r="F557" s="76" t="str">
        <f t="shared" si="57"/>
        <v/>
      </c>
      <c r="G557" s="183" t="str">
        <f>IF(F557 = "","",IFERROR(IF($G$1 = "YTM",_xll.CbondsCalcYTM($B$1,D557,F557),_xll.CbondsCalcYTP($B$1,D557,F557)),"")*100)</f>
        <v/>
      </c>
      <c r="U557" s="74"/>
      <c r="V557" s="74"/>
      <c r="W557" s="74"/>
      <c r="X557" s="74"/>
      <c r="Y557" s="74"/>
      <c r="Z557" s="74"/>
      <c r="AA557" s="74"/>
      <c r="AB557" s="74"/>
      <c r="AC557" s="74"/>
      <c r="AJ557" s="74"/>
      <c r="AK557" s="74"/>
      <c r="AL557" s="74"/>
      <c r="AM557" s="74"/>
      <c r="AN557" s="74"/>
      <c r="AO557" s="74"/>
      <c r="AP557" s="74"/>
      <c r="AQ557" s="74"/>
      <c r="AR557" s="74"/>
      <c r="AS557" s="74"/>
      <c r="BD557" s="74"/>
      <c r="BE557" s="74"/>
      <c r="BF557" s="74"/>
      <c r="BG557" s="74"/>
      <c r="BH557" s="74"/>
      <c r="BI557" s="74"/>
    </row>
    <row r="558" spans="4:61" x14ac:dyDescent="0.3">
      <c r="D558" s="76"/>
      <c r="E558" s="76"/>
      <c r="F558" s="76" t="str">
        <f t="shared" si="57"/>
        <v/>
      </c>
      <c r="G558" s="183" t="str">
        <f>IF(F558 = "","",IFERROR(IF($G$1 = "YTM",_xll.CbondsCalcYTM($B$1,D558,F558),_xll.CbondsCalcYTP($B$1,D558,F558)),"")*100)</f>
        <v/>
      </c>
      <c r="U558" s="74"/>
      <c r="V558" s="74"/>
      <c r="W558" s="74"/>
      <c r="X558" s="74"/>
      <c r="Y558" s="74"/>
      <c r="Z558" s="74"/>
      <c r="AA558" s="74"/>
      <c r="AB558" s="74"/>
      <c r="AC558" s="74"/>
      <c r="AJ558" s="74"/>
      <c r="AK558" s="74"/>
      <c r="AL558" s="74"/>
      <c r="AM558" s="74"/>
      <c r="AN558" s="74"/>
      <c r="AO558" s="74"/>
      <c r="AP558" s="74"/>
      <c r="AQ558" s="74"/>
      <c r="AR558" s="74"/>
      <c r="AS558" s="74"/>
      <c r="BD558" s="74"/>
      <c r="BE558" s="74"/>
      <c r="BF558" s="74"/>
      <c r="BG558" s="74"/>
      <c r="BH558" s="74"/>
      <c r="BI558" s="74"/>
    </row>
    <row r="559" spans="4:61" x14ac:dyDescent="0.3">
      <c r="D559" s="76"/>
      <c r="E559" s="76"/>
      <c r="F559" s="76" t="str">
        <f t="shared" si="57"/>
        <v/>
      </c>
      <c r="G559" s="183" t="str">
        <f>IF(F559 = "","",IFERROR(IF($G$1 = "YTM",_xll.CbondsCalcYTM($B$1,D559,F559),_xll.CbondsCalcYTP($B$1,D559,F559)),"")*100)</f>
        <v/>
      </c>
      <c r="U559" s="74"/>
      <c r="V559" s="74"/>
      <c r="W559" s="74"/>
      <c r="X559" s="74"/>
      <c r="Y559" s="74"/>
      <c r="Z559" s="74"/>
      <c r="AA559" s="74"/>
      <c r="AB559" s="74"/>
      <c r="AC559" s="74"/>
      <c r="AJ559" s="74"/>
      <c r="AK559" s="74"/>
      <c r="AL559" s="74"/>
      <c r="AM559" s="74"/>
      <c r="AN559" s="74"/>
      <c r="AO559" s="74"/>
      <c r="AP559" s="74"/>
      <c r="AQ559" s="74"/>
      <c r="AR559" s="74"/>
      <c r="AS559" s="74"/>
      <c r="BD559" s="74"/>
      <c r="BE559" s="74"/>
      <c r="BF559" s="74"/>
      <c r="BG559" s="74"/>
      <c r="BH559" s="74"/>
      <c r="BI559" s="74"/>
    </row>
    <row r="560" spans="4:61" x14ac:dyDescent="0.3">
      <c r="D560" s="76"/>
      <c r="E560" s="76"/>
      <c r="F560" s="76" t="str">
        <f t="shared" si="57"/>
        <v/>
      </c>
      <c r="G560" s="183" t="str">
        <f>IF(F560 = "","",IFERROR(IF($G$1 = "YTM",_xll.CbondsCalcYTM($B$1,D560,F560),_xll.CbondsCalcYTP($B$1,D560,F560)),"")*100)</f>
        <v/>
      </c>
      <c r="U560" s="74"/>
      <c r="V560" s="74"/>
      <c r="W560" s="74"/>
      <c r="X560" s="74"/>
      <c r="Y560" s="74"/>
      <c r="Z560" s="74"/>
      <c r="AA560" s="74"/>
      <c r="AB560" s="74"/>
      <c r="AC560" s="74"/>
      <c r="AJ560" s="74"/>
      <c r="AK560" s="74"/>
      <c r="AL560" s="74"/>
      <c r="AM560" s="74"/>
      <c r="AN560" s="74"/>
      <c r="AO560" s="74"/>
      <c r="AP560" s="74"/>
      <c r="AQ560" s="74"/>
      <c r="AR560" s="74"/>
      <c r="AS560" s="74"/>
      <c r="BD560" s="74"/>
      <c r="BE560" s="74"/>
      <c r="BF560" s="74"/>
      <c r="BG560" s="74"/>
      <c r="BH560" s="74"/>
      <c r="BI560" s="74"/>
    </row>
    <row r="561" spans="4:61" x14ac:dyDescent="0.3">
      <c r="D561" s="76"/>
      <c r="E561" s="76"/>
      <c r="F561" s="76" t="str">
        <f t="shared" si="57"/>
        <v/>
      </c>
      <c r="G561" s="183" t="str">
        <f>IF(F561 = "","",IFERROR(IF($G$1 = "YTM",_xll.CbondsCalcYTM($B$1,D561,F561),_xll.CbondsCalcYTP($B$1,D561,F561)),"")*100)</f>
        <v/>
      </c>
      <c r="U561" s="74"/>
      <c r="V561" s="74"/>
      <c r="W561" s="74"/>
      <c r="X561" s="74"/>
      <c r="Y561" s="74"/>
      <c r="Z561" s="74"/>
      <c r="AA561" s="74"/>
      <c r="AB561" s="74"/>
      <c r="AC561" s="74"/>
      <c r="AJ561" s="74"/>
      <c r="AK561" s="74"/>
      <c r="AL561" s="74"/>
      <c r="AM561" s="74"/>
      <c r="AN561" s="74"/>
      <c r="AO561" s="74"/>
      <c r="AP561" s="74"/>
      <c r="AQ561" s="74"/>
      <c r="AR561" s="74"/>
      <c r="AS561" s="74"/>
      <c r="BD561" s="74"/>
      <c r="BE561" s="74"/>
      <c r="BF561" s="74"/>
      <c r="BG561" s="74"/>
      <c r="BH561" s="74"/>
      <c r="BI561" s="74"/>
    </row>
    <row r="562" spans="4:61" x14ac:dyDescent="0.3">
      <c r="D562" s="76"/>
      <c r="E562" s="76"/>
      <c r="F562" s="76" t="str">
        <f t="shared" si="57"/>
        <v/>
      </c>
      <c r="G562" s="183" t="str">
        <f>IF(F562 = "","",IFERROR(IF($G$1 = "YTM",_xll.CbondsCalcYTM($B$1,D562,F562),_xll.CbondsCalcYTP($B$1,D562,F562)),"")*100)</f>
        <v/>
      </c>
      <c r="U562" s="74"/>
      <c r="V562" s="74"/>
      <c r="W562" s="74"/>
      <c r="X562" s="74"/>
      <c r="Y562" s="74"/>
      <c r="Z562" s="74"/>
      <c r="AA562" s="74"/>
      <c r="AB562" s="74"/>
      <c r="AC562" s="74"/>
      <c r="AJ562" s="74"/>
      <c r="AK562" s="74"/>
      <c r="AL562" s="74"/>
      <c r="AM562" s="74"/>
      <c r="AN562" s="74"/>
      <c r="AO562" s="74"/>
      <c r="AP562" s="74"/>
      <c r="AQ562" s="74"/>
      <c r="AR562" s="74"/>
      <c r="AS562" s="74"/>
      <c r="BD562" s="74"/>
      <c r="BE562" s="74"/>
      <c r="BF562" s="74"/>
      <c r="BG562" s="74"/>
      <c r="BH562" s="74"/>
      <c r="BI562" s="74"/>
    </row>
    <row r="563" spans="4:61" x14ac:dyDescent="0.3">
      <c r="D563" s="76"/>
      <c r="E563" s="76"/>
      <c r="F563" s="76" t="str">
        <f t="shared" si="57"/>
        <v/>
      </c>
      <c r="G563" s="183" t="str">
        <f>IF(F563 = "","",IFERROR(IF($G$1 = "YTM",_xll.CbondsCalcYTM($B$1,D563,F563),_xll.CbondsCalcYTP($B$1,D563,F563)),"")*100)</f>
        <v/>
      </c>
      <c r="U563" s="74"/>
      <c r="V563" s="74"/>
      <c r="W563" s="74"/>
      <c r="X563" s="74"/>
      <c r="Y563" s="74"/>
      <c r="Z563" s="74"/>
      <c r="AA563" s="74"/>
      <c r="AB563" s="74"/>
      <c r="AC563" s="74"/>
      <c r="AJ563" s="74"/>
      <c r="AK563" s="74"/>
      <c r="AL563" s="74"/>
      <c r="AM563" s="74"/>
      <c r="AN563" s="74"/>
      <c r="AO563" s="74"/>
      <c r="AP563" s="74"/>
      <c r="AQ563" s="74"/>
      <c r="AR563" s="74"/>
      <c r="AS563" s="74"/>
      <c r="BD563" s="74"/>
      <c r="BE563" s="74"/>
      <c r="BF563" s="74"/>
      <c r="BG563" s="74"/>
      <c r="BH563" s="74"/>
      <c r="BI563" s="74"/>
    </row>
    <row r="564" spans="4:61" x14ac:dyDescent="0.3">
      <c r="D564" s="76"/>
      <c r="E564" s="76"/>
      <c r="F564" s="76" t="str">
        <f t="shared" si="57"/>
        <v/>
      </c>
      <c r="G564" s="183" t="str">
        <f>IF(F564 = "","",IFERROR(IF($G$1 = "YTM",_xll.CbondsCalcYTM($B$1,D564,F564),_xll.CbondsCalcYTP($B$1,D564,F564)),"")*100)</f>
        <v/>
      </c>
      <c r="U564" s="74"/>
      <c r="V564" s="74"/>
      <c r="W564" s="74"/>
      <c r="X564" s="74"/>
      <c r="Y564" s="74"/>
      <c r="Z564" s="74"/>
      <c r="AA564" s="74"/>
      <c r="AB564" s="74"/>
      <c r="AC564" s="74"/>
      <c r="AJ564" s="74"/>
      <c r="AK564" s="74"/>
      <c r="AL564" s="74"/>
      <c r="AM564" s="74"/>
      <c r="AN564" s="74"/>
      <c r="AO564" s="74"/>
      <c r="AP564" s="74"/>
      <c r="AQ564" s="74"/>
      <c r="AR564" s="74"/>
      <c r="AS564" s="74"/>
      <c r="BD564" s="74"/>
      <c r="BE564" s="74"/>
      <c r="BF564" s="74"/>
      <c r="BG564" s="74"/>
      <c r="BH564" s="74"/>
      <c r="BI564" s="74"/>
    </row>
    <row r="565" spans="4:61" x14ac:dyDescent="0.3">
      <c r="D565" s="76"/>
      <c r="E565" s="76"/>
      <c r="F565" s="76" t="str">
        <f t="shared" si="57"/>
        <v/>
      </c>
      <c r="G565" s="183" t="str">
        <f>IF(F565 = "","",IFERROR(IF($G$1 = "YTM",_xll.CbondsCalcYTM($B$1,D565,F565),_xll.CbondsCalcYTP($B$1,D565,F565)),"")*100)</f>
        <v/>
      </c>
      <c r="U565" s="74"/>
      <c r="V565" s="74"/>
      <c r="W565" s="74"/>
      <c r="X565" s="74"/>
      <c r="Y565" s="74"/>
      <c r="Z565" s="74"/>
      <c r="AA565" s="74"/>
      <c r="AB565" s="74"/>
      <c r="AC565" s="74"/>
      <c r="AJ565" s="74"/>
      <c r="AK565" s="74"/>
      <c r="AL565" s="74"/>
      <c r="AM565" s="74"/>
      <c r="AN565" s="74"/>
      <c r="AO565" s="74"/>
      <c r="AP565" s="74"/>
      <c r="AQ565" s="74"/>
      <c r="AR565" s="74"/>
      <c r="AS565" s="74"/>
      <c r="BD565" s="74"/>
      <c r="BE565" s="74"/>
      <c r="BF565" s="74"/>
      <c r="BG565" s="74"/>
      <c r="BH565" s="74"/>
      <c r="BI565" s="74"/>
    </row>
    <row r="566" spans="4:61" x14ac:dyDescent="0.3">
      <c r="D566" s="76"/>
      <c r="E566" s="76"/>
      <c r="F566" s="76" t="str">
        <f t="shared" si="57"/>
        <v/>
      </c>
      <c r="G566" s="183" t="str">
        <f>IF(F566 = "","",IFERROR(IF($G$1 = "YTM",_xll.CbondsCalcYTM($B$1,D566,F566),_xll.CbondsCalcYTP($B$1,D566,F566)),"")*100)</f>
        <v/>
      </c>
      <c r="U566" s="74"/>
      <c r="V566" s="74"/>
      <c r="W566" s="74"/>
      <c r="X566" s="74"/>
      <c r="Y566" s="74"/>
      <c r="Z566" s="74"/>
      <c r="AA566" s="74"/>
      <c r="AB566" s="74"/>
      <c r="AC566" s="74"/>
      <c r="AJ566" s="74"/>
      <c r="AK566" s="74"/>
      <c r="AL566" s="74"/>
      <c r="AM566" s="74"/>
      <c r="AN566" s="74"/>
      <c r="AO566" s="74"/>
      <c r="AP566" s="74"/>
      <c r="AQ566" s="74"/>
      <c r="AR566" s="74"/>
      <c r="AS566" s="74"/>
      <c r="BD566" s="74"/>
      <c r="BE566" s="74"/>
      <c r="BF566" s="74"/>
      <c r="BG566" s="74"/>
      <c r="BH566" s="74"/>
      <c r="BI566" s="74"/>
    </row>
    <row r="567" spans="4:61" x14ac:dyDescent="0.3">
      <c r="D567" s="76"/>
      <c r="E567" s="76"/>
      <c r="F567" s="76" t="str">
        <f t="shared" si="57"/>
        <v/>
      </c>
      <c r="G567" s="183" t="str">
        <f>IF(F567 = "","",IFERROR(IF($G$1 = "YTM",_xll.CbondsCalcYTM($B$1,D567,F567),_xll.CbondsCalcYTP($B$1,D567,F567)),"")*100)</f>
        <v/>
      </c>
      <c r="U567" s="74"/>
      <c r="V567" s="74"/>
      <c r="W567" s="74"/>
      <c r="X567" s="74"/>
      <c r="Y567" s="74"/>
      <c r="Z567" s="74"/>
      <c r="AA567" s="74"/>
      <c r="AB567" s="74"/>
      <c r="AC567" s="74"/>
      <c r="AJ567" s="74"/>
      <c r="AK567" s="74"/>
      <c r="AL567" s="74"/>
      <c r="AM567" s="74"/>
      <c r="AN567" s="74"/>
      <c r="AO567" s="74"/>
      <c r="AP567" s="74"/>
      <c r="AQ567" s="74"/>
      <c r="AR567" s="74"/>
      <c r="AS567" s="74"/>
      <c r="BD567" s="74"/>
      <c r="BE567" s="74"/>
      <c r="BF567" s="74"/>
      <c r="BG567" s="74"/>
      <c r="BH567" s="74"/>
      <c r="BI567" s="74"/>
    </row>
    <row r="568" spans="4:61" x14ac:dyDescent="0.3">
      <c r="D568" s="76"/>
      <c r="E568" s="76"/>
      <c r="F568" s="76" t="str">
        <f t="shared" si="57"/>
        <v/>
      </c>
      <c r="G568" s="183" t="str">
        <f>IF(F568 = "","",IFERROR(IF($G$1 = "YTM",_xll.CbondsCalcYTM($B$1,D568,F568),_xll.CbondsCalcYTP($B$1,D568,F568)),"")*100)</f>
        <v/>
      </c>
      <c r="U568" s="74"/>
      <c r="V568" s="74"/>
      <c r="W568" s="74"/>
      <c r="X568" s="74"/>
      <c r="Y568" s="74"/>
      <c r="Z568" s="74"/>
      <c r="AA568" s="74"/>
      <c r="AB568" s="74"/>
      <c r="AC568" s="74"/>
      <c r="AJ568" s="74"/>
      <c r="AK568" s="74"/>
      <c r="AL568" s="74"/>
      <c r="AM568" s="74"/>
      <c r="AN568" s="74"/>
      <c r="AO568" s="74"/>
      <c r="AP568" s="74"/>
      <c r="AQ568" s="74"/>
      <c r="AR568" s="74"/>
      <c r="AS568" s="74"/>
      <c r="BD568" s="74"/>
      <c r="BE568" s="74"/>
      <c r="BF568" s="74"/>
      <c r="BG568" s="74"/>
      <c r="BH568" s="74"/>
      <c r="BI568" s="74"/>
    </row>
    <row r="569" spans="4:61" x14ac:dyDescent="0.3">
      <c r="D569" s="76"/>
      <c r="E569" s="76"/>
      <c r="F569" s="76" t="str">
        <f t="shared" si="57"/>
        <v/>
      </c>
      <c r="G569" s="183" t="str">
        <f>IF(F569 = "","",IFERROR(IF($G$1 = "YTM",_xll.CbondsCalcYTM($B$1,D569,F569),_xll.CbondsCalcYTP($B$1,D569,F569)),"")*100)</f>
        <v/>
      </c>
      <c r="U569" s="74"/>
      <c r="V569" s="74"/>
      <c r="W569" s="74"/>
      <c r="X569" s="74"/>
      <c r="Y569" s="74"/>
      <c r="Z569" s="74"/>
      <c r="AA569" s="74"/>
      <c r="AB569" s="74"/>
      <c r="AC569" s="74"/>
      <c r="AJ569" s="74"/>
      <c r="AK569" s="74"/>
      <c r="AL569" s="74"/>
      <c r="AM569" s="74"/>
      <c r="AN569" s="74"/>
      <c r="AO569" s="74"/>
      <c r="AP569" s="74"/>
      <c r="AQ569" s="74"/>
      <c r="AR569" s="74"/>
      <c r="AS569" s="74"/>
      <c r="BD569" s="74"/>
      <c r="BE569" s="74"/>
      <c r="BF569" s="74"/>
      <c r="BG569" s="74"/>
      <c r="BH569" s="74"/>
      <c r="BI569" s="74"/>
    </row>
    <row r="570" spans="4:61" x14ac:dyDescent="0.3">
      <c r="D570" s="76"/>
      <c r="E570" s="76"/>
      <c r="F570" s="76" t="str">
        <f t="shared" si="57"/>
        <v/>
      </c>
      <c r="G570" s="183" t="str">
        <f>IF(F570 = "","",IFERROR(IF($G$1 = "YTM",_xll.CbondsCalcYTM($B$1,D570,F570),_xll.CbondsCalcYTP($B$1,D570,F570)),"")*100)</f>
        <v/>
      </c>
      <c r="U570" s="74"/>
      <c r="V570" s="74"/>
      <c r="W570" s="74"/>
      <c r="X570" s="74"/>
      <c r="Y570" s="74"/>
      <c r="Z570" s="74"/>
      <c r="AA570" s="74"/>
      <c r="AB570" s="74"/>
      <c r="AC570" s="74"/>
      <c r="AJ570" s="74"/>
      <c r="AK570" s="74"/>
      <c r="AL570" s="74"/>
      <c r="AM570" s="74"/>
      <c r="AN570" s="74"/>
      <c r="AO570" s="74"/>
      <c r="AP570" s="74"/>
      <c r="AQ570" s="74"/>
      <c r="AR570" s="74"/>
      <c r="AS570" s="74"/>
      <c r="BD570" s="74"/>
      <c r="BE570" s="74"/>
      <c r="BF570" s="74"/>
      <c r="BG570" s="74"/>
      <c r="BH570" s="74"/>
      <c r="BI570" s="74"/>
    </row>
    <row r="571" spans="4:61" x14ac:dyDescent="0.3">
      <c r="D571" s="76"/>
      <c r="E571" s="76"/>
      <c r="F571" s="76" t="str">
        <f t="shared" si="57"/>
        <v/>
      </c>
      <c r="G571" s="183" t="str">
        <f>IF(F571 = "","",IFERROR(IF($G$1 = "YTM",_xll.CbondsCalcYTM($B$1,D571,F571),_xll.CbondsCalcYTP($B$1,D571,F571)),"")*100)</f>
        <v/>
      </c>
      <c r="U571" s="74"/>
      <c r="V571" s="74"/>
      <c r="W571" s="74"/>
      <c r="X571" s="74"/>
      <c r="Y571" s="74"/>
      <c r="Z571" s="74"/>
      <c r="AA571" s="74"/>
      <c r="AB571" s="74"/>
      <c r="AC571" s="74"/>
      <c r="AJ571" s="74"/>
      <c r="AK571" s="74"/>
      <c r="AL571" s="74"/>
      <c r="AM571" s="74"/>
      <c r="AN571" s="74"/>
      <c r="AO571" s="74"/>
      <c r="AP571" s="74"/>
      <c r="AQ571" s="74"/>
      <c r="AR571" s="74"/>
      <c r="AS571" s="74"/>
      <c r="BD571" s="74"/>
      <c r="BE571" s="74"/>
      <c r="BF571" s="74"/>
      <c r="BG571" s="74"/>
      <c r="BH571" s="74"/>
      <c r="BI571" s="74"/>
    </row>
    <row r="572" spans="4:61" x14ac:dyDescent="0.3">
      <c r="D572" s="76"/>
      <c r="E572" s="76"/>
      <c r="F572" s="76" t="str">
        <f t="shared" si="57"/>
        <v/>
      </c>
      <c r="G572" s="183" t="str">
        <f>IF(F572 = "","",IFERROR(IF($G$1 = "YTM",_xll.CbondsCalcYTM($B$1,D572,F572),_xll.CbondsCalcYTP($B$1,D572,F572)),"")*100)</f>
        <v/>
      </c>
      <c r="U572" s="74"/>
      <c r="V572" s="74"/>
      <c r="W572" s="74"/>
      <c r="X572" s="74"/>
      <c r="Y572" s="74"/>
      <c r="Z572" s="74"/>
      <c r="AA572" s="74"/>
      <c r="AB572" s="74"/>
      <c r="AC572" s="74"/>
      <c r="AJ572" s="74"/>
      <c r="AK572" s="74"/>
      <c r="AL572" s="74"/>
      <c r="AM572" s="74"/>
      <c r="AN572" s="74"/>
      <c r="AO572" s="74"/>
      <c r="AP572" s="74"/>
      <c r="AQ572" s="74"/>
      <c r="AR572" s="74"/>
      <c r="AS572" s="74"/>
      <c r="BD572" s="74"/>
      <c r="BE572" s="74"/>
      <c r="BF572" s="74"/>
      <c r="BG572" s="74"/>
      <c r="BH572" s="74"/>
      <c r="BI572" s="74"/>
    </row>
    <row r="573" spans="4:61" x14ac:dyDescent="0.3">
      <c r="D573" s="76"/>
      <c r="E573" s="76"/>
      <c r="F573" s="76" t="str">
        <f t="shared" si="57"/>
        <v/>
      </c>
      <c r="G573" s="183" t="str">
        <f>IF(F573 = "","",IFERROR(IF($G$1 = "YTM",_xll.CbondsCalcYTM($B$1,D573,F573),_xll.CbondsCalcYTP($B$1,D573,F573)),"")*100)</f>
        <v/>
      </c>
      <c r="U573" s="74"/>
      <c r="V573" s="74"/>
      <c r="W573" s="74"/>
      <c r="X573" s="74"/>
      <c r="Y573" s="74"/>
      <c r="Z573" s="74"/>
      <c r="AA573" s="74"/>
      <c r="AB573" s="74"/>
      <c r="AC573" s="74"/>
      <c r="AJ573" s="74"/>
      <c r="AK573" s="74"/>
      <c r="AL573" s="74"/>
      <c r="AM573" s="74"/>
      <c r="AN573" s="74"/>
      <c r="AO573" s="74"/>
      <c r="AP573" s="74"/>
      <c r="AQ573" s="74"/>
      <c r="AR573" s="74"/>
      <c r="AS573" s="74"/>
      <c r="BD573" s="74"/>
      <c r="BE573" s="74"/>
      <c r="BF573" s="74"/>
      <c r="BG573" s="74"/>
      <c r="BH573" s="74"/>
      <c r="BI573" s="74"/>
    </row>
    <row r="574" spans="4:61" x14ac:dyDescent="0.3">
      <c r="D574" s="76"/>
      <c r="E574" s="76"/>
      <c r="F574" s="76" t="str">
        <f t="shared" si="57"/>
        <v/>
      </c>
      <c r="G574" s="183" t="str">
        <f>IF(F574 = "","",IFERROR(IF($G$1 = "YTM",_xll.CbondsCalcYTM($B$1,D574,F574),_xll.CbondsCalcYTP($B$1,D574,F574)),"")*100)</f>
        <v/>
      </c>
      <c r="U574" s="74"/>
      <c r="V574" s="74"/>
      <c r="W574" s="74"/>
      <c r="X574" s="74"/>
      <c r="Y574" s="74"/>
      <c r="Z574" s="74"/>
      <c r="AA574" s="74"/>
      <c r="AB574" s="74"/>
      <c r="AC574" s="74"/>
      <c r="AJ574" s="74"/>
      <c r="AK574" s="74"/>
      <c r="AL574" s="74"/>
      <c r="AM574" s="74"/>
      <c r="AN574" s="74"/>
      <c r="AO574" s="74"/>
      <c r="AP574" s="74"/>
      <c r="AQ574" s="74"/>
      <c r="AR574" s="74"/>
      <c r="AS574" s="74"/>
      <c r="BD574" s="74"/>
      <c r="BE574" s="74"/>
      <c r="BF574" s="74"/>
      <c r="BG574" s="74"/>
      <c r="BH574" s="74"/>
      <c r="BI574" s="74"/>
    </row>
    <row r="575" spans="4:61" x14ac:dyDescent="0.3">
      <c r="D575" s="76"/>
      <c r="E575" s="76"/>
      <c r="F575" s="76" t="str">
        <f t="shared" si="57"/>
        <v/>
      </c>
      <c r="G575" s="183" t="str">
        <f>IF(F575 = "","",IFERROR(IF($G$1 = "YTM",_xll.CbondsCalcYTM($B$1,D575,F575),_xll.CbondsCalcYTP($B$1,D575,F575)),"")*100)</f>
        <v/>
      </c>
      <c r="U575" s="74"/>
      <c r="V575" s="74"/>
      <c r="W575" s="74"/>
      <c r="X575" s="74"/>
      <c r="Y575" s="74"/>
      <c r="Z575" s="74"/>
      <c r="AA575" s="74"/>
      <c r="AB575" s="74"/>
      <c r="AC575" s="74"/>
      <c r="AJ575" s="74"/>
      <c r="AK575" s="74"/>
      <c r="AL575" s="74"/>
      <c r="AM575" s="74"/>
      <c r="AN575" s="74"/>
      <c r="AO575" s="74"/>
      <c r="AP575" s="74"/>
      <c r="AQ575" s="74"/>
      <c r="AR575" s="74"/>
      <c r="AS575" s="74"/>
      <c r="BD575" s="74"/>
      <c r="BE575" s="74"/>
      <c r="BF575" s="74"/>
      <c r="BG575" s="74"/>
      <c r="BH575" s="74"/>
      <c r="BI575" s="74"/>
    </row>
    <row r="576" spans="4:61" x14ac:dyDescent="0.3">
      <c r="D576" s="76"/>
      <c r="E576" s="76"/>
      <c r="F576" s="76" t="str">
        <f t="shared" si="57"/>
        <v/>
      </c>
      <c r="G576" s="183" t="str">
        <f>IF(F576 = "","",IFERROR(IF($G$1 = "YTM",_xll.CbondsCalcYTM($B$1,D576,F576),_xll.CbondsCalcYTP($B$1,D576,F576)),"")*100)</f>
        <v/>
      </c>
      <c r="U576" s="74"/>
      <c r="V576" s="74"/>
      <c r="W576" s="74"/>
      <c r="X576" s="74"/>
      <c r="Y576" s="74"/>
      <c r="Z576" s="74"/>
      <c r="AA576" s="74"/>
      <c r="AB576" s="74"/>
      <c r="AC576" s="74"/>
      <c r="AJ576" s="74"/>
      <c r="AK576" s="74"/>
      <c r="AL576" s="74"/>
      <c r="AM576" s="74"/>
      <c r="AN576" s="74"/>
      <c r="AO576" s="74"/>
      <c r="AP576" s="74"/>
      <c r="AQ576" s="74"/>
      <c r="AR576" s="74"/>
      <c r="AS576" s="74"/>
      <c r="BD576" s="74"/>
      <c r="BE576" s="74"/>
      <c r="BF576" s="74"/>
      <c r="BG576" s="74"/>
      <c r="BH576" s="74"/>
      <c r="BI576" s="74"/>
    </row>
    <row r="577" spans="4:61" x14ac:dyDescent="0.3">
      <c r="D577" s="76"/>
      <c r="E577" s="76"/>
      <c r="F577" s="76" t="str">
        <f t="shared" si="57"/>
        <v/>
      </c>
      <c r="G577" s="183" t="str">
        <f>IF(F577 = "","",IFERROR(IF($G$1 = "YTM",_xll.CbondsCalcYTM($B$1,D577,F577),_xll.CbondsCalcYTP($B$1,D577,F577)),"")*100)</f>
        <v/>
      </c>
      <c r="U577" s="74"/>
      <c r="V577" s="74"/>
      <c r="W577" s="74"/>
      <c r="X577" s="74"/>
      <c r="Y577" s="74"/>
      <c r="Z577" s="74"/>
      <c r="AA577" s="74"/>
      <c r="AB577" s="74"/>
      <c r="AC577" s="74"/>
      <c r="AJ577" s="74"/>
      <c r="AK577" s="74"/>
      <c r="AL577" s="74"/>
      <c r="AM577" s="74"/>
      <c r="AN577" s="74"/>
      <c r="AO577" s="74"/>
      <c r="AP577" s="74"/>
      <c r="AQ577" s="74"/>
      <c r="AR577" s="74"/>
      <c r="AS577" s="74"/>
      <c r="BD577" s="74"/>
      <c r="BE577" s="74"/>
      <c r="BF577" s="74"/>
      <c r="BG577" s="74"/>
      <c r="BH577" s="74"/>
      <c r="BI577" s="74"/>
    </row>
    <row r="578" spans="4:61" x14ac:dyDescent="0.3">
      <c r="D578" s="76"/>
      <c r="E578" s="76"/>
      <c r="F578" s="76" t="str">
        <f t="shared" si="57"/>
        <v/>
      </c>
      <c r="G578" s="183" t="str">
        <f>IF(F578 = "","",IFERROR(IF($G$1 = "YTM",_xll.CbondsCalcYTM($B$1,D578,F578),_xll.CbondsCalcYTP($B$1,D578,F578)),"")*100)</f>
        <v/>
      </c>
      <c r="U578" s="74"/>
      <c r="V578" s="74"/>
      <c r="W578" s="74"/>
      <c r="X578" s="74"/>
      <c r="Y578" s="74"/>
      <c r="Z578" s="74"/>
      <c r="AA578" s="74"/>
      <c r="AB578" s="74"/>
      <c r="AC578" s="74"/>
      <c r="AJ578" s="74"/>
      <c r="AK578" s="74"/>
      <c r="AL578" s="74"/>
      <c r="AM578" s="74"/>
      <c r="AN578" s="74"/>
      <c r="AO578" s="74"/>
      <c r="AP578" s="74"/>
      <c r="AQ578" s="74"/>
      <c r="AR578" s="74"/>
      <c r="AS578" s="74"/>
      <c r="BD578" s="74"/>
      <c r="BE578" s="74"/>
      <c r="BF578" s="74"/>
      <c r="BG578" s="74"/>
      <c r="BH578" s="74"/>
      <c r="BI578" s="74"/>
    </row>
    <row r="579" spans="4:61" x14ac:dyDescent="0.3">
      <c r="D579" s="76"/>
      <c r="E579" s="76"/>
      <c r="F579" s="76" t="str">
        <f t="shared" si="57"/>
        <v/>
      </c>
      <c r="G579" s="183" t="str">
        <f>IF(F579 = "","",IFERROR(IF($G$1 = "YTM",_xll.CbondsCalcYTM($B$1,D579,F579),_xll.CbondsCalcYTP($B$1,D579,F579)),"")*100)</f>
        <v/>
      </c>
      <c r="U579" s="74"/>
      <c r="V579" s="74"/>
      <c r="W579" s="74"/>
      <c r="X579" s="74"/>
      <c r="Y579" s="74"/>
      <c r="Z579" s="74"/>
      <c r="AA579" s="74"/>
      <c r="AB579" s="74"/>
      <c r="AC579" s="74"/>
      <c r="AJ579" s="74"/>
      <c r="AK579" s="74"/>
      <c r="AL579" s="74"/>
      <c r="AM579" s="74"/>
      <c r="AN579" s="74"/>
      <c r="AO579" s="74"/>
      <c r="AP579" s="74"/>
      <c r="AQ579" s="74"/>
      <c r="AR579" s="74"/>
      <c r="AS579" s="74"/>
      <c r="BD579" s="74"/>
      <c r="BE579" s="74"/>
      <c r="BF579" s="74"/>
      <c r="BG579" s="74"/>
      <c r="BH579" s="74"/>
      <c r="BI579" s="74"/>
    </row>
    <row r="580" spans="4:61" x14ac:dyDescent="0.3">
      <c r="D580" s="76"/>
      <c r="E580" s="76"/>
      <c r="F580" s="76" t="str">
        <f t="shared" ref="F580:F643" si="58">IF(AND(E580="",D580=""),"",IF(AND(E580="",D580&lt;&gt;""),F579,E580))</f>
        <v/>
      </c>
      <c r="G580" s="183" t="str">
        <f>IF(F580 = "","",IFERROR(IF($G$1 = "YTM",_xll.CbondsCalcYTM($B$1,D580,F580),_xll.CbondsCalcYTP($B$1,D580,F580)),"")*100)</f>
        <v/>
      </c>
      <c r="U580" s="74"/>
      <c r="V580" s="74"/>
      <c r="W580" s="74"/>
      <c r="X580" s="74"/>
      <c r="Y580" s="74"/>
      <c r="Z580" s="74"/>
      <c r="AA580" s="74"/>
      <c r="AB580" s="74"/>
      <c r="AC580" s="74"/>
      <c r="AJ580" s="74"/>
      <c r="AK580" s="74"/>
      <c r="AL580" s="74"/>
      <c r="AM580" s="74"/>
      <c r="AN580" s="74"/>
      <c r="AO580" s="74"/>
      <c r="AP580" s="74"/>
      <c r="AQ580" s="74"/>
      <c r="AR580" s="74"/>
      <c r="AS580" s="74"/>
      <c r="BD580" s="74"/>
      <c r="BE580" s="74"/>
      <c r="BF580" s="74"/>
      <c r="BG580" s="74"/>
      <c r="BH580" s="74"/>
      <c r="BI580" s="74"/>
    </row>
    <row r="581" spans="4:61" x14ac:dyDescent="0.3">
      <c r="D581" s="76"/>
      <c r="E581" s="76"/>
      <c r="F581" s="76" t="str">
        <f t="shared" si="58"/>
        <v/>
      </c>
      <c r="G581" s="183" t="str">
        <f>IF(F581 = "","",IFERROR(IF($G$1 = "YTM",_xll.CbondsCalcYTM($B$1,D581,F581),_xll.CbondsCalcYTP($B$1,D581,F581)),"")*100)</f>
        <v/>
      </c>
      <c r="U581" s="74"/>
      <c r="V581" s="74"/>
      <c r="W581" s="74"/>
      <c r="X581" s="74"/>
      <c r="Y581" s="74"/>
      <c r="Z581" s="74"/>
      <c r="AA581" s="74"/>
      <c r="AB581" s="74"/>
      <c r="AC581" s="74"/>
      <c r="AJ581" s="74"/>
      <c r="AK581" s="74"/>
      <c r="AL581" s="74"/>
      <c r="AM581" s="74"/>
      <c r="AN581" s="74"/>
      <c r="AO581" s="74"/>
      <c r="AP581" s="74"/>
      <c r="AQ581" s="74"/>
      <c r="AR581" s="74"/>
      <c r="AS581" s="74"/>
      <c r="BD581" s="74"/>
      <c r="BE581" s="74"/>
      <c r="BF581" s="74"/>
      <c r="BG581" s="74"/>
      <c r="BH581" s="74"/>
      <c r="BI581" s="74"/>
    </row>
    <row r="582" spans="4:61" x14ac:dyDescent="0.3">
      <c r="D582" s="76"/>
      <c r="E582" s="76"/>
      <c r="F582" s="76" t="str">
        <f t="shared" si="58"/>
        <v/>
      </c>
      <c r="G582" s="183" t="str">
        <f>IF(F582 = "","",IFERROR(IF($G$1 = "YTM",_xll.CbondsCalcYTM($B$1,D582,F582),_xll.CbondsCalcYTP($B$1,D582,F582)),"")*100)</f>
        <v/>
      </c>
      <c r="U582" s="74"/>
      <c r="V582" s="74"/>
      <c r="W582" s="74"/>
      <c r="X582" s="74"/>
      <c r="Y582" s="74"/>
      <c r="Z582" s="74"/>
      <c r="AA582" s="74"/>
      <c r="AB582" s="74"/>
      <c r="AC582" s="74"/>
      <c r="AJ582" s="74"/>
      <c r="AK582" s="74"/>
      <c r="AL582" s="74"/>
      <c r="AM582" s="74"/>
      <c r="AN582" s="74"/>
      <c r="AO582" s="74"/>
      <c r="AP582" s="74"/>
      <c r="AQ582" s="74"/>
      <c r="AR582" s="74"/>
      <c r="AS582" s="74"/>
      <c r="BD582" s="74"/>
      <c r="BE582" s="74"/>
      <c r="BF582" s="74"/>
      <c r="BG582" s="74"/>
      <c r="BH582" s="74"/>
      <c r="BI582" s="74"/>
    </row>
    <row r="583" spans="4:61" x14ac:dyDescent="0.3">
      <c r="D583" s="76"/>
      <c r="E583" s="76"/>
      <c r="F583" s="76" t="str">
        <f t="shared" si="58"/>
        <v/>
      </c>
      <c r="G583" s="183" t="str">
        <f>IF(F583 = "","",IFERROR(IF($G$1 = "YTM",_xll.CbondsCalcYTM($B$1,D583,F583),_xll.CbondsCalcYTP($B$1,D583,F583)),"")*100)</f>
        <v/>
      </c>
      <c r="U583" s="74"/>
      <c r="V583" s="74"/>
      <c r="W583" s="74"/>
      <c r="X583" s="74"/>
      <c r="Y583" s="74"/>
      <c r="Z583" s="74"/>
      <c r="AA583" s="74"/>
      <c r="AB583" s="74"/>
      <c r="AC583" s="74"/>
      <c r="AJ583" s="74"/>
      <c r="AK583" s="74"/>
      <c r="AL583" s="74"/>
      <c r="AM583" s="74"/>
      <c r="AN583" s="74"/>
      <c r="AO583" s="74"/>
      <c r="AP583" s="74"/>
      <c r="AQ583" s="74"/>
      <c r="AR583" s="74"/>
      <c r="AS583" s="74"/>
      <c r="BD583" s="74"/>
      <c r="BE583" s="74"/>
      <c r="BF583" s="74"/>
      <c r="BG583" s="74"/>
      <c r="BH583" s="74"/>
      <c r="BI583" s="74"/>
    </row>
    <row r="584" spans="4:61" x14ac:dyDescent="0.3">
      <c r="D584" s="76"/>
      <c r="E584" s="76"/>
      <c r="F584" s="76" t="str">
        <f t="shared" si="58"/>
        <v/>
      </c>
      <c r="G584" s="183" t="str">
        <f>IF(F584 = "","",IFERROR(IF($G$1 = "YTM",_xll.CbondsCalcYTM($B$1,D584,F584),_xll.CbondsCalcYTP($B$1,D584,F584)),"")*100)</f>
        <v/>
      </c>
      <c r="U584" s="74"/>
      <c r="V584" s="74"/>
      <c r="W584" s="74"/>
      <c r="X584" s="74"/>
      <c r="Y584" s="74"/>
      <c r="Z584" s="74"/>
      <c r="AA584" s="74"/>
      <c r="AB584" s="74"/>
      <c r="AC584" s="74"/>
      <c r="AJ584" s="74"/>
      <c r="AK584" s="74"/>
      <c r="AL584" s="74"/>
      <c r="AM584" s="74"/>
      <c r="AN584" s="74"/>
      <c r="AO584" s="74"/>
      <c r="AP584" s="74"/>
      <c r="AQ584" s="74"/>
      <c r="AR584" s="74"/>
      <c r="AS584" s="74"/>
      <c r="BD584" s="74"/>
      <c r="BE584" s="74"/>
      <c r="BF584" s="74"/>
      <c r="BG584" s="74"/>
      <c r="BH584" s="74"/>
      <c r="BI584" s="74"/>
    </row>
    <row r="585" spans="4:61" x14ac:dyDescent="0.3">
      <c r="D585" s="76"/>
      <c r="E585" s="76"/>
      <c r="F585" s="76" t="str">
        <f t="shared" si="58"/>
        <v/>
      </c>
      <c r="G585" s="183" t="str">
        <f>IF(F585 = "","",IFERROR(IF($G$1 = "YTM",_xll.CbondsCalcYTM($B$1,D585,F585),_xll.CbondsCalcYTP($B$1,D585,F585)),"")*100)</f>
        <v/>
      </c>
      <c r="U585" s="74"/>
      <c r="V585" s="74"/>
      <c r="W585" s="74"/>
      <c r="X585" s="74"/>
      <c r="Y585" s="74"/>
      <c r="Z585" s="74"/>
      <c r="AA585" s="74"/>
      <c r="AB585" s="74"/>
      <c r="AC585" s="74"/>
      <c r="AJ585" s="74"/>
      <c r="AK585" s="74"/>
      <c r="AL585" s="74"/>
      <c r="AM585" s="74"/>
      <c r="AN585" s="74"/>
      <c r="AO585" s="74"/>
      <c r="AP585" s="74"/>
      <c r="AQ585" s="74"/>
      <c r="AR585" s="74"/>
      <c r="AS585" s="74"/>
      <c r="BD585" s="74"/>
      <c r="BE585" s="74"/>
      <c r="BF585" s="74"/>
      <c r="BG585" s="74"/>
      <c r="BH585" s="74"/>
      <c r="BI585" s="74"/>
    </row>
    <row r="586" spans="4:61" x14ac:dyDescent="0.3">
      <c r="D586" s="76"/>
      <c r="E586" s="76"/>
      <c r="F586" s="76" t="str">
        <f t="shared" si="58"/>
        <v/>
      </c>
      <c r="G586" s="183" t="str">
        <f>IF(F586 = "","",IFERROR(IF($G$1 = "YTM",_xll.CbondsCalcYTM($B$1,D586,F586),_xll.CbondsCalcYTP($B$1,D586,F586)),"")*100)</f>
        <v/>
      </c>
      <c r="U586" s="74"/>
      <c r="V586" s="74"/>
      <c r="W586" s="74"/>
      <c r="X586" s="74"/>
      <c r="Y586" s="74"/>
      <c r="Z586" s="74"/>
      <c r="AA586" s="74"/>
      <c r="AB586" s="74"/>
      <c r="AC586" s="74"/>
      <c r="AJ586" s="74"/>
      <c r="AK586" s="74"/>
      <c r="AL586" s="74"/>
      <c r="AM586" s="74"/>
      <c r="AN586" s="74"/>
      <c r="AO586" s="74"/>
      <c r="AP586" s="74"/>
      <c r="AQ586" s="74"/>
      <c r="AR586" s="74"/>
      <c r="AS586" s="74"/>
      <c r="BD586" s="74"/>
      <c r="BE586" s="74"/>
      <c r="BF586" s="74"/>
      <c r="BG586" s="74"/>
      <c r="BH586" s="74"/>
      <c r="BI586" s="74"/>
    </row>
    <row r="587" spans="4:61" x14ac:dyDescent="0.3">
      <c r="D587" s="76"/>
      <c r="E587" s="76"/>
      <c r="F587" s="76" t="str">
        <f t="shared" si="58"/>
        <v/>
      </c>
      <c r="G587" s="183" t="str">
        <f>IF(F587 = "","",IFERROR(IF($G$1 = "YTM",_xll.CbondsCalcYTM($B$1,D587,F587),_xll.CbondsCalcYTP($B$1,D587,F587)),"")*100)</f>
        <v/>
      </c>
      <c r="U587" s="74"/>
      <c r="V587" s="74"/>
      <c r="W587" s="74"/>
      <c r="X587" s="74"/>
      <c r="Y587" s="74"/>
      <c r="Z587" s="74"/>
      <c r="AA587" s="74"/>
      <c r="AB587" s="74"/>
      <c r="AC587" s="74"/>
      <c r="AJ587" s="74"/>
      <c r="AK587" s="74"/>
      <c r="AL587" s="74"/>
      <c r="AM587" s="74"/>
      <c r="AN587" s="74"/>
      <c r="AO587" s="74"/>
      <c r="AP587" s="74"/>
      <c r="AQ587" s="74"/>
      <c r="AR587" s="74"/>
      <c r="AS587" s="74"/>
      <c r="BD587" s="74"/>
      <c r="BE587" s="74"/>
      <c r="BF587" s="74"/>
      <c r="BG587" s="74"/>
      <c r="BH587" s="74"/>
      <c r="BI587" s="74"/>
    </row>
    <row r="588" spans="4:61" x14ac:dyDescent="0.3">
      <c r="D588" s="76"/>
      <c r="E588" s="76"/>
      <c r="F588" s="76" t="str">
        <f t="shared" si="58"/>
        <v/>
      </c>
      <c r="G588" s="183" t="str">
        <f>IF(F588 = "","",IFERROR(IF($G$1 = "YTM",_xll.CbondsCalcYTM($B$1,D588,F588),_xll.CbondsCalcYTP($B$1,D588,F588)),"")*100)</f>
        <v/>
      </c>
      <c r="U588" s="74"/>
      <c r="V588" s="74"/>
      <c r="W588" s="74"/>
      <c r="X588" s="74"/>
      <c r="Y588" s="74"/>
      <c r="Z588" s="74"/>
      <c r="AA588" s="74"/>
      <c r="AB588" s="74"/>
      <c r="AC588" s="74"/>
      <c r="AJ588" s="74"/>
      <c r="AK588" s="74"/>
      <c r="AL588" s="74"/>
      <c r="AM588" s="74"/>
      <c r="AN588" s="74"/>
      <c r="AO588" s="74"/>
      <c r="AP588" s="74"/>
      <c r="AQ588" s="74"/>
      <c r="AR588" s="74"/>
      <c r="AS588" s="74"/>
      <c r="BD588" s="74"/>
      <c r="BE588" s="74"/>
      <c r="BF588" s="74"/>
      <c r="BG588" s="74"/>
      <c r="BH588" s="74"/>
      <c r="BI588" s="74"/>
    </row>
    <row r="589" spans="4:61" x14ac:dyDescent="0.3">
      <c r="D589" s="76"/>
      <c r="E589" s="76"/>
      <c r="F589" s="76" t="str">
        <f t="shared" si="58"/>
        <v/>
      </c>
      <c r="G589" s="183" t="str">
        <f>IF(F589 = "","",IFERROR(IF($G$1 = "YTM",_xll.CbondsCalcYTM($B$1,D589,F589),_xll.CbondsCalcYTP($B$1,D589,F589)),"")*100)</f>
        <v/>
      </c>
      <c r="U589" s="74"/>
      <c r="V589" s="74"/>
      <c r="W589" s="74"/>
      <c r="X589" s="74"/>
      <c r="Y589" s="74"/>
      <c r="Z589" s="74"/>
      <c r="AA589" s="74"/>
      <c r="AB589" s="74"/>
      <c r="AC589" s="74"/>
      <c r="AJ589" s="74"/>
      <c r="AK589" s="74"/>
      <c r="AL589" s="74"/>
      <c r="AM589" s="74"/>
      <c r="AN589" s="74"/>
      <c r="AO589" s="74"/>
      <c r="AP589" s="74"/>
      <c r="AQ589" s="74"/>
      <c r="AR589" s="74"/>
      <c r="AS589" s="74"/>
      <c r="BD589" s="74"/>
      <c r="BE589" s="74"/>
      <c r="BF589" s="74"/>
      <c r="BG589" s="74"/>
      <c r="BH589" s="74"/>
      <c r="BI589" s="74"/>
    </row>
    <row r="590" spans="4:61" x14ac:dyDescent="0.3">
      <c r="D590" s="76"/>
      <c r="E590" s="76"/>
      <c r="F590" s="76" t="str">
        <f t="shared" si="58"/>
        <v/>
      </c>
      <c r="G590" s="183" t="str">
        <f>IF(F590 = "","",IFERROR(IF($G$1 = "YTM",_xll.CbondsCalcYTM($B$1,D590,F590),_xll.CbondsCalcYTP($B$1,D590,F590)),"")*100)</f>
        <v/>
      </c>
      <c r="U590" s="74"/>
      <c r="V590" s="74"/>
      <c r="W590" s="74"/>
      <c r="X590" s="74"/>
      <c r="Y590" s="74"/>
      <c r="Z590" s="74"/>
      <c r="AA590" s="74"/>
      <c r="AB590" s="74"/>
      <c r="AC590" s="74"/>
      <c r="AJ590" s="74"/>
      <c r="AK590" s="74"/>
      <c r="AL590" s="74"/>
      <c r="AM590" s="74"/>
      <c r="AN590" s="74"/>
      <c r="AO590" s="74"/>
      <c r="AP590" s="74"/>
      <c r="AQ590" s="74"/>
      <c r="AR590" s="74"/>
      <c r="AS590" s="74"/>
      <c r="BD590" s="74"/>
      <c r="BE590" s="74"/>
      <c r="BF590" s="74"/>
      <c r="BG590" s="74"/>
      <c r="BH590" s="74"/>
      <c r="BI590" s="74"/>
    </row>
    <row r="591" spans="4:61" x14ac:dyDescent="0.3">
      <c r="D591" s="76"/>
      <c r="E591" s="76"/>
      <c r="F591" s="76" t="str">
        <f t="shared" si="58"/>
        <v/>
      </c>
      <c r="G591" s="183" t="str">
        <f>IF(F591 = "","",IFERROR(IF($G$1 = "YTM",_xll.CbondsCalcYTM($B$1,D591,F591),_xll.CbondsCalcYTP($B$1,D591,F591)),"")*100)</f>
        <v/>
      </c>
      <c r="U591" s="74"/>
      <c r="V591" s="74"/>
      <c r="W591" s="74"/>
      <c r="X591" s="74"/>
      <c r="Y591" s="74"/>
      <c r="Z591" s="74"/>
      <c r="AA591" s="74"/>
      <c r="AB591" s="74"/>
      <c r="AC591" s="74"/>
      <c r="AJ591" s="74"/>
      <c r="AK591" s="74"/>
      <c r="AL591" s="74"/>
      <c r="AM591" s="74"/>
      <c r="AN591" s="74"/>
      <c r="AO591" s="74"/>
      <c r="AP591" s="74"/>
      <c r="AQ591" s="74"/>
      <c r="AR591" s="74"/>
      <c r="AS591" s="74"/>
      <c r="BD591" s="74"/>
      <c r="BE591" s="74"/>
      <c r="BF591" s="74"/>
      <c r="BG591" s="74"/>
      <c r="BH591" s="74"/>
      <c r="BI591" s="74"/>
    </row>
    <row r="592" spans="4:61" x14ac:dyDescent="0.3">
      <c r="D592" s="76"/>
      <c r="E592" s="76"/>
      <c r="F592" s="76" t="str">
        <f t="shared" si="58"/>
        <v/>
      </c>
      <c r="G592" s="183" t="str">
        <f>IF(F592 = "","",IFERROR(IF($G$1 = "YTM",_xll.CbondsCalcYTM($B$1,D592,F592),_xll.CbondsCalcYTP($B$1,D592,F592)),"")*100)</f>
        <v/>
      </c>
      <c r="U592" s="74"/>
      <c r="V592" s="74"/>
      <c r="W592" s="74"/>
      <c r="X592" s="74"/>
      <c r="Y592" s="74"/>
      <c r="Z592" s="74"/>
      <c r="AA592" s="74"/>
      <c r="AB592" s="74"/>
      <c r="AC592" s="74"/>
      <c r="AJ592" s="74"/>
      <c r="AK592" s="74"/>
      <c r="AL592" s="74"/>
      <c r="AM592" s="74"/>
      <c r="AN592" s="74"/>
      <c r="AO592" s="74"/>
      <c r="AP592" s="74"/>
      <c r="AQ592" s="74"/>
      <c r="AR592" s="74"/>
      <c r="AS592" s="74"/>
      <c r="BD592" s="74"/>
      <c r="BE592" s="74"/>
      <c r="BF592" s="74"/>
      <c r="BG592" s="74"/>
      <c r="BH592" s="74"/>
      <c r="BI592" s="74"/>
    </row>
    <row r="593" spans="4:61" x14ac:dyDescent="0.3">
      <c r="D593" s="76"/>
      <c r="E593" s="76"/>
      <c r="F593" s="76" t="str">
        <f t="shared" si="58"/>
        <v/>
      </c>
      <c r="G593" s="183" t="str">
        <f>IF(F593 = "","",IFERROR(IF($G$1 = "YTM",_xll.CbondsCalcYTM($B$1,D593,F593),_xll.CbondsCalcYTP($B$1,D593,F593)),"")*100)</f>
        <v/>
      </c>
      <c r="U593" s="74"/>
      <c r="V593" s="74"/>
      <c r="W593" s="74"/>
      <c r="X593" s="74"/>
      <c r="Y593" s="74"/>
      <c r="Z593" s="74"/>
      <c r="AA593" s="74"/>
      <c r="AB593" s="74"/>
      <c r="AC593" s="74"/>
      <c r="AJ593" s="74"/>
      <c r="AK593" s="74"/>
      <c r="AL593" s="74"/>
      <c r="AM593" s="74"/>
      <c r="AN593" s="74"/>
      <c r="AO593" s="74"/>
      <c r="AP593" s="74"/>
      <c r="AQ593" s="74"/>
      <c r="AR593" s="74"/>
      <c r="AS593" s="74"/>
      <c r="BD593" s="74"/>
      <c r="BE593" s="74"/>
      <c r="BF593" s="74"/>
      <c r="BG593" s="74"/>
      <c r="BH593" s="74"/>
      <c r="BI593" s="74"/>
    </row>
    <row r="594" spans="4:61" x14ac:dyDescent="0.3">
      <c r="D594" s="76"/>
      <c r="E594" s="76"/>
      <c r="F594" s="76" t="str">
        <f t="shared" si="58"/>
        <v/>
      </c>
      <c r="G594" s="183" t="str">
        <f>IF(F594 = "","",IFERROR(IF($G$1 = "YTM",_xll.CbondsCalcYTM($B$1,D594,F594),_xll.CbondsCalcYTP($B$1,D594,F594)),"")*100)</f>
        <v/>
      </c>
      <c r="U594" s="74"/>
      <c r="V594" s="74"/>
      <c r="W594" s="74"/>
      <c r="X594" s="74"/>
      <c r="Y594" s="74"/>
      <c r="Z594" s="74"/>
      <c r="AA594" s="74"/>
      <c r="AB594" s="74"/>
      <c r="AC594" s="74"/>
      <c r="AJ594" s="74"/>
      <c r="AK594" s="74"/>
      <c r="AL594" s="74"/>
      <c r="AM594" s="74"/>
      <c r="AN594" s="74"/>
      <c r="AO594" s="74"/>
      <c r="AP594" s="74"/>
      <c r="AQ594" s="74"/>
      <c r="AR594" s="74"/>
      <c r="AS594" s="74"/>
      <c r="BD594" s="74"/>
      <c r="BE594" s="74"/>
      <c r="BF594" s="74"/>
      <c r="BG594" s="74"/>
      <c r="BH594" s="74"/>
      <c r="BI594" s="74"/>
    </row>
    <row r="595" spans="4:61" x14ac:dyDescent="0.3">
      <c r="D595" s="76"/>
      <c r="E595" s="76"/>
      <c r="F595" s="76" t="str">
        <f t="shared" si="58"/>
        <v/>
      </c>
      <c r="G595" s="183" t="str">
        <f>IF(F595 = "","",IFERROR(IF($G$1 = "YTM",_xll.CbondsCalcYTM($B$1,D595,F595),_xll.CbondsCalcYTP($B$1,D595,F595)),"")*100)</f>
        <v/>
      </c>
      <c r="U595" s="74"/>
      <c r="V595" s="74"/>
      <c r="W595" s="74"/>
      <c r="X595" s="74"/>
      <c r="Y595" s="74"/>
      <c r="Z595" s="74"/>
      <c r="AA595" s="74"/>
      <c r="AB595" s="74"/>
      <c r="AC595" s="74"/>
      <c r="AJ595" s="74"/>
      <c r="AK595" s="74"/>
      <c r="AL595" s="74"/>
      <c r="AM595" s="74"/>
      <c r="AN595" s="74"/>
      <c r="AO595" s="74"/>
      <c r="AP595" s="74"/>
      <c r="AQ595" s="74"/>
      <c r="AR595" s="74"/>
      <c r="AS595" s="74"/>
      <c r="BD595" s="74"/>
      <c r="BE595" s="74"/>
      <c r="BF595" s="74"/>
      <c r="BG595" s="74"/>
      <c r="BH595" s="74"/>
      <c r="BI595" s="74"/>
    </row>
    <row r="596" spans="4:61" x14ac:dyDescent="0.3">
      <c r="D596" s="76"/>
      <c r="E596" s="76"/>
      <c r="F596" s="76" t="str">
        <f t="shared" si="58"/>
        <v/>
      </c>
      <c r="G596" s="183" t="str">
        <f>IF(F596 = "","",IFERROR(IF($G$1 = "YTM",_xll.CbondsCalcYTM($B$1,D596,F596),_xll.CbondsCalcYTP($B$1,D596,F596)),"")*100)</f>
        <v/>
      </c>
      <c r="U596" s="74"/>
      <c r="V596" s="74"/>
      <c r="W596" s="74"/>
      <c r="X596" s="74"/>
      <c r="Y596" s="74"/>
      <c r="Z596" s="74"/>
      <c r="AA596" s="74"/>
      <c r="AB596" s="74"/>
      <c r="AC596" s="74"/>
      <c r="AJ596" s="74"/>
      <c r="AK596" s="74"/>
      <c r="AL596" s="74"/>
      <c r="AM596" s="74"/>
      <c r="AN596" s="74"/>
      <c r="AO596" s="74"/>
      <c r="AP596" s="74"/>
      <c r="AQ596" s="74"/>
      <c r="AR596" s="74"/>
      <c r="AS596" s="74"/>
      <c r="BD596" s="74"/>
      <c r="BE596" s="74"/>
      <c r="BF596" s="74"/>
      <c r="BG596" s="74"/>
      <c r="BH596" s="74"/>
      <c r="BI596" s="74"/>
    </row>
    <row r="597" spans="4:61" x14ac:dyDescent="0.3">
      <c r="D597" s="76"/>
      <c r="E597" s="76"/>
      <c r="F597" s="76" t="str">
        <f t="shared" si="58"/>
        <v/>
      </c>
      <c r="G597" s="183" t="str">
        <f>IF(F597 = "","",IFERROR(IF($G$1 = "YTM",_xll.CbondsCalcYTM($B$1,D597,F597),_xll.CbondsCalcYTP($B$1,D597,F597)),"")*100)</f>
        <v/>
      </c>
      <c r="U597" s="74"/>
      <c r="V597" s="74"/>
      <c r="W597" s="74"/>
      <c r="X597" s="74"/>
      <c r="Y597" s="74"/>
      <c r="Z597" s="74"/>
      <c r="AA597" s="74"/>
      <c r="AB597" s="74"/>
      <c r="AC597" s="74"/>
      <c r="AJ597" s="74"/>
      <c r="AK597" s="74"/>
      <c r="AL597" s="74"/>
      <c r="AM597" s="74"/>
      <c r="AN597" s="74"/>
      <c r="AO597" s="74"/>
      <c r="AP597" s="74"/>
      <c r="AQ597" s="74"/>
      <c r="AR597" s="74"/>
      <c r="AS597" s="74"/>
      <c r="BD597" s="74"/>
      <c r="BE597" s="74"/>
      <c r="BF597" s="74"/>
      <c r="BG597" s="74"/>
      <c r="BH597" s="74"/>
      <c r="BI597" s="74"/>
    </row>
    <row r="598" spans="4:61" x14ac:dyDescent="0.3">
      <c r="D598" s="76"/>
      <c r="E598" s="76"/>
      <c r="F598" s="76" t="str">
        <f t="shared" si="58"/>
        <v/>
      </c>
      <c r="G598" s="183" t="str">
        <f>IF(F598 = "","",IFERROR(IF($G$1 = "YTM",_xll.CbondsCalcYTM($B$1,D598,F598),_xll.CbondsCalcYTP($B$1,D598,F598)),"")*100)</f>
        <v/>
      </c>
      <c r="U598" s="74"/>
      <c r="V598" s="74"/>
      <c r="W598" s="74"/>
      <c r="X598" s="74"/>
      <c r="Y598" s="74"/>
      <c r="Z598" s="74"/>
      <c r="AA598" s="74"/>
      <c r="AB598" s="74"/>
      <c r="AC598" s="74"/>
      <c r="AJ598" s="74"/>
      <c r="AK598" s="74"/>
      <c r="AL598" s="74"/>
      <c r="AM598" s="74"/>
      <c r="AN598" s="74"/>
      <c r="AO598" s="74"/>
      <c r="AP598" s="74"/>
      <c r="AQ598" s="74"/>
      <c r="AR598" s="74"/>
      <c r="AS598" s="74"/>
      <c r="BD598" s="74"/>
      <c r="BE598" s="74"/>
      <c r="BF598" s="74"/>
      <c r="BG598" s="74"/>
      <c r="BH598" s="74"/>
      <c r="BI598" s="74"/>
    </row>
    <row r="599" spans="4:61" x14ac:dyDescent="0.3">
      <c r="D599" s="76"/>
      <c r="E599" s="76"/>
      <c r="F599" s="76" t="str">
        <f t="shared" si="58"/>
        <v/>
      </c>
      <c r="G599" s="183" t="str">
        <f>IF(F599 = "","",IFERROR(IF($G$1 = "YTM",_xll.CbondsCalcYTM($B$1,D599,F599),_xll.CbondsCalcYTP($B$1,D599,F599)),"")*100)</f>
        <v/>
      </c>
      <c r="U599" s="74"/>
      <c r="V599" s="74"/>
      <c r="W599" s="74"/>
      <c r="X599" s="74"/>
      <c r="Y599" s="74"/>
      <c r="Z599" s="74"/>
      <c r="AA599" s="74"/>
      <c r="AB599" s="74"/>
      <c r="AC599" s="74"/>
      <c r="AJ599" s="74"/>
      <c r="AK599" s="74"/>
      <c r="AL599" s="74"/>
      <c r="AM599" s="74"/>
      <c r="AN599" s="74"/>
      <c r="AO599" s="74"/>
      <c r="AP599" s="74"/>
      <c r="AQ599" s="74"/>
      <c r="AR599" s="74"/>
      <c r="AS599" s="74"/>
      <c r="BD599" s="74"/>
      <c r="BE599" s="74"/>
      <c r="BF599" s="74"/>
      <c r="BG599" s="74"/>
      <c r="BH599" s="74"/>
      <c r="BI599" s="74"/>
    </row>
    <row r="600" spans="4:61" x14ac:dyDescent="0.3">
      <c r="D600" s="76"/>
      <c r="E600" s="76"/>
      <c r="F600" s="76" t="str">
        <f t="shared" si="58"/>
        <v/>
      </c>
      <c r="G600" s="183" t="str">
        <f>IF(F600 = "","",IFERROR(IF($G$1 = "YTM",_xll.CbondsCalcYTM($B$1,D600,F600),_xll.CbondsCalcYTP($B$1,D600,F600)),"")*100)</f>
        <v/>
      </c>
      <c r="U600" s="74"/>
      <c r="V600" s="74"/>
      <c r="W600" s="74"/>
      <c r="X600" s="74"/>
      <c r="Y600" s="74"/>
      <c r="Z600" s="74"/>
      <c r="AA600" s="74"/>
      <c r="AB600" s="74"/>
      <c r="AC600" s="74"/>
      <c r="AJ600" s="74"/>
      <c r="AK600" s="74"/>
      <c r="AL600" s="74"/>
      <c r="AM600" s="74"/>
      <c r="AN600" s="74"/>
      <c r="AO600" s="74"/>
      <c r="AP600" s="74"/>
      <c r="AQ600" s="74"/>
      <c r="AR600" s="74"/>
      <c r="AS600" s="74"/>
      <c r="BD600" s="74"/>
      <c r="BE600" s="74"/>
      <c r="BF600" s="74"/>
      <c r="BG600" s="74"/>
      <c r="BH600" s="74"/>
      <c r="BI600" s="74"/>
    </row>
    <row r="601" spans="4:61" x14ac:dyDescent="0.3">
      <c r="D601" s="76"/>
      <c r="E601" s="76"/>
      <c r="F601" s="76" t="str">
        <f t="shared" si="58"/>
        <v/>
      </c>
      <c r="G601" s="183" t="str">
        <f>IF(F601 = "","",IFERROR(IF($G$1 = "YTM",_xll.CbondsCalcYTM($B$1,D601,F601),_xll.CbondsCalcYTP($B$1,D601,F601)),"")*100)</f>
        <v/>
      </c>
      <c r="U601" s="74"/>
      <c r="V601" s="74"/>
      <c r="W601" s="74"/>
      <c r="X601" s="74"/>
      <c r="Y601" s="74"/>
      <c r="Z601" s="74"/>
      <c r="AA601" s="74"/>
      <c r="AB601" s="74"/>
      <c r="AC601" s="74"/>
      <c r="AJ601" s="74"/>
      <c r="AK601" s="74"/>
      <c r="AL601" s="74"/>
      <c r="AM601" s="74"/>
      <c r="AN601" s="74"/>
      <c r="AO601" s="74"/>
      <c r="AP601" s="74"/>
      <c r="AQ601" s="74"/>
      <c r="AR601" s="74"/>
      <c r="AS601" s="74"/>
      <c r="BD601" s="74"/>
      <c r="BE601" s="74"/>
      <c r="BF601" s="74"/>
      <c r="BG601" s="74"/>
      <c r="BH601" s="74"/>
      <c r="BI601" s="74"/>
    </row>
    <row r="602" spans="4:61" x14ac:dyDescent="0.3">
      <c r="D602" s="76"/>
      <c r="E602" s="76"/>
      <c r="F602" s="76" t="str">
        <f t="shared" si="58"/>
        <v/>
      </c>
      <c r="G602" s="183" t="str">
        <f>IF(F602 = "","",IFERROR(IF($G$1 = "YTM",_xll.CbondsCalcYTM($B$1,D602,F602),_xll.CbondsCalcYTP($B$1,D602,F602)),"")*100)</f>
        <v/>
      </c>
      <c r="U602" s="74"/>
      <c r="V602" s="74"/>
      <c r="W602" s="74"/>
      <c r="X602" s="74"/>
      <c r="Y602" s="74"/>
      <c r="Z602" s="74"/>
      <c r="AA602" s="74"/>
      <c r="AB602" s="74"/>
      <c r="AC602" s="74"/>
      <c r="AJ602" s="74"/>
      <c r="AK602" s="74"/>
      <c r="AL602" s="74"/>
      <c r="AM602" s="74"/>
      <c r="AN602" s="74"/>
      <c r="AO602" s="74"/>
      <c r="AP602" s="74"/>
      <c r="AQ602" s="74"/>
      <c r="AR602" s="74"/>
      <c r="AS602" s="74"/>
      <c r="BD602" s="74"/>
      <c r="BE602" s="74"/>
      <c r="BF602" s="74"/>
      <c r="BG602" s="74"/>
      <c r="BH602" s="74"/>
      <c r="BI602" s="74"/>
    </row>
    <row r="603" spans="4:61" x14ac:dyDescent="0.3">
      <c r="D603" s="76"/>
      <c r="E603" s="76"/>
      <c r="F603" s="76" t="str">
        <f t="shared" si="58"/>
        <v/>
      </c>
      <c r="G603" s="183" t="str">
        <f>IF(F603 = "","",IFERROR(IF($G$1 = "YTM",_xll.CbondsCalcYTM($B$1,D603,F603),_xll.CbondsCalcYTP($B$1,D603,F603)),"")*100)</f>
        <v/>
      </c>
      <c r="U603" s="74"/>
      <c r="V603" s="74"/>
      <c r="W603" s="74"/>
      <c r="X603" s="74"/>
      <c r="Y603" s="74"/>
      <c r="Z603" s="74"/>
      <c r="AA603" s="74"/>
      <c r="AB603" s="74"/>
      <c r="AC603" s="74"/>
      <c r="AJ603" s="74"/>
      <c r="AK603" s="74"/>
      <c r="AL603" s="74"/>
      <c r="AM603" s="74"/>
      <c r="AN603" s="74"/>
      <c r="AO603" s="74"/>
      <c r="AP603" s="74"/>
      <c r="AQ603" s="74"/>
      <c r="AR603" s="74"/>
      <c r="AS603" s="74"/>
      <c r="BD603" s="74"/>
      <c r="BE603" s="74"/>
      <c r="BF603" s="74"/>
      <c r="BG603" s="74"/>
      <c r="BH603" s="74"/>
      <c r="BI603" s="74"/>
    </row>
    <row r="604" spans="4:61" x14ac:dyDescent="0.3">
      <c r="D604" s="76"/>
      <c r="E604" s="76"/>
      <c r="F604" s="76" t="str">
        <f t="shared" si="58"/>
        <v/>
      </c>
      <c r="G604" s="183" t="str">
        <f>IF(F604 = "","",IFERROR(IF($G$1 = "YTM",_xll.CbondsCalcYTM($B$1,D604,F604),_xll.CbondsCalcYTP($B$1,D604,F604)),"")*100)</f>
        <v/>
      </c>
      <c r="U604" s="74"/>
      <c r="V604" s="74"/>
      <c r="W604" s="74"/>
      <c r="X604" s="74"/>
      <c r="Y604" s="74"/>
      <c r="Z604" s="74"/>
      <c r="AA604" s="74"/>
      <c r="AB604" s="74"/>
      <c r="AC604" s="74"/>
      <c r="AJ604" s="74"/>
      <c r="AK604" s="74"/>
      <c r="AL604" s="74"/>
      <c r="AM604" s="74"/>
      <c r="AN604" s="74"/>
      <c r="AO604" s="74"/>
      <c r="AP604" s="74"/>
      <c r="AQ604" s="74"/>
      <c r="AR604" s="74"/>
      <c r="AS604" s="74"/>
      <c r="BD604" s="74"/>
      <c r="BE604" s="74"/>
      <c r="BF604" s="74"/>
      <c r="BG604" s="74"/>
      <c r="BH604" s="74"/>
      <c r="BI604" s="74"/>
    </row>
    <row r="605" spans="4:61" x14ac:dyDescent="0.3">
      <c r="D605" s="76"/>
      <c r="E605" s="76"/>
      <c r="F605" s="76" t="str">
        <f t="shared" si="58"/>
        <v/>
      </c>
      <c r="G605" s="183" t="str">
        <f>IF(F605 = "","",IFERROR(IF($G$1 = "YTM",_xll.CbondsCalcYTM($B$1,D605,F605),_xll.CbondsCalcYTP($B$1,D605,F605)),"")*100)</f>
        <v/>
      </c>
      <c r="U605" s="74"/>
      <c r="V605" s="74"/>
      <c r="W605" s="74"/>
      <c r="X605" s="74"/>
      <c r="Y605" s="74"/>
      <c r="Z605" s="74"/>
      <c r="AA605" s="74"/>
      <c r="AB605" s="74"/>
      <c r="AC605" s="74"/>
      <c r="AJ605" s="74"/>
      <c r="AK605" s="74"/>
      <c r="AL605" s="74"/>
      <c r="AM605" s="74"/>
      <c r="AN605" s="74"/>
      <c r="AO605" s="74"/>
      <c r="AP605" s="74"/>
      <c r="AQ605" s="74"/>
      <c r="AR605" s="74"/>
      <c r="AS605" s="74"/>
      <c r="BD605" s="74"/>
      <c r="BE605" s="74"/>
      <c r="BF605" s="74"/>
      <c r="BG605" s="74"/>
      <c r="BH605" s="74"/>
      <c r="BI605" s="74"/>
    </row>
    <row r="606" spans="4:61" x14ac:dyDescent="0.3">
      <c r="D606" s="76"/>
      <c r="E606" s="76"/>
      <c r="F606" s="76" t="str">
        <f t="shared" si="58"/>
        <v/>
      </c>
      <c r="G606" s="183" t="str">
        <f>IF(F606 = "","",IFERROR(IF($G$1 = "YTM",_xll.CbondsCalcYTM($B$1,D606,F606),_xll.CbondsCalcYTP($B$1,D606,F606)),"")*100)</f>
        <v/>
      </c>
      <c r="U606" s="74"/>
      <c r="V606" s="74"/>
      <c r="W606" s="74"/>
      <c r="X606" s="74"/>
      <c r="Y606" s="74"/>
      <c r="Z606" s="74"/>
      <c r="AA606" s="74"/>
      <c r="AB606" s="74"/>
      <c r="AC606" s="74"/>
      <c r="AJ606" s="74"/>
      <c r="AK606" s="74"/>
      <c r="AL606" s="74"/>
      <c r="AM606" s="74"/>
      <c r="AN606" s="74"/>
      <c r="AO606" s="74"/>
      <c r="AP606" s="74"/>
      <c r="AQ606" s="74"/>
      <c r="AR606" s="74"/>
      <c r="AS606" s="74"/>
      <c r="BD606" s="74"/>
      <c r="BE606" s="74"/>
      <c r="BF606" s="74"/>
      <c r="BG606" s="74"/>
      <c r="BH606" s="74"/>
      <c r="BI606" s="74"/>
    </row>
    <row r="607" spans="4:61" x14ac:dyDescent="0.3">
      <c r="D607" s="76"/>
      <c r="E607" s="76"/>
      <c r="F607" s="76" t="str">
        <f t="shared" si="58"/>
        <v/>
      </c>
      <c r="G607" s="183" t="str">
        <f>IF(F607 = "","",IFERROR(IF($G$1 = "YTM",_xll.CbondsCalcYTM($B$1,D607,F607),_xll.CbondsCalcYTP($B$1,D607,F607)),"")*100)</f>
        <v/>
      </c>
      <c r="U607" s="74"/>
      <c r="V607" s="74"/>
      <c r="W607" s="74"/>
      <c r="X607" s="74"/>
      <c r="Y607" s="74"/>
      <c r="Z607" s="74"/>
      <c r="AA607" s="74"/>
      <c r="AB607" s="74"/>
      <c r="AC607" s="74"/>
      <c r="AJ607" s="74"/>
      <c r="AK607" s="74"/>
      <c r="AL607" s="74"/>
      <c r="AM607" s="74"/>
      <c r="AN607" s="74"/>
      <c r="AO607" s="74"/>
      <c r="AP607" s="74"/>
      <c r="AQ607" s="74"/>
      <c r="AR607" s="74"/>
      <c r="AS607" s="74"/>
      <c r="BD607" s="74"/>
      <c r="BE607" s="74"/>
      <c r="BF607" s="74"/>
      <c r="BG607" s="74"/>
      <c r="BH607" s="74"/>
      <c r="BI607" s="74"/>
    </row>
    <row r="608" spans="4:61" x14ac:dyDescent="0.3">
      <c r="D608" s="76"/>
      <c r="E608" s="76"/>
      <c r="F608" s="76" t="str">
        <f t="shared" si="58"/>
        <v/>
      </c>
      <c r="G608" s="183" t="str">
        <f>IF(F608 = "","",IFERROR(IF($G$1 = "YTM",_xll.CbondsCalcYTM($B$1,D608,F608),_xll.CbondsCalcYTP($B$1,D608,F608)),"")*100)</f>
        <v/>
      </c>
      <c r="U608" s="74"/>
      <c r="V608" s="74"/>
      <c r="W608" s="74"/>
      <c r="X608" s="74"/>
      <c r="Y608" s="74"/>
      <c r="Z608" s="74"/>
      <c r="AA608" s="74"/>
      <c r="AB608" s="74"/>
      <c r="AC608" s="74"/>
      <c r="AJ608" s="74"/>
      <c r="AK608" s="74"/>
      <c r="AL608" s="74"/>
      <c r="AM608" s="74"/>
      <c r="AN608" s="74"/>
      <c r="AO608" s="74"/>
      <c r="AP608" s="74"/>
      <c r="AQ608" s="74"/>
      <c r="AR608" s="74"/>
      <c r="AS608" s="74"/>
      <c r="BD608" s="74"/>
      <c r="BE608" s="74"/>
      <c r="BF608" s="74"/>
      <c r="BG608" s="74"/>
      <c r="BH608" s="74"/>
      <c r="BI608" s="74"/>
    </row>
    <row r="609" spans="4:61" x14ac:dyDescent="0.3">
      <c r="D609" s="76"/>
      <c r="E609" s="76"/>
      <c r="F609" s="76" t="str">
        <f t="shared" si="58"/>
        <v/>
      </c>
      <c r="G609" s="183" t="str">
        <f>IF(F609 = "","",IFERROR(IF($G$1 = "YTM",_xll.CbondsCalcYTM($B$1,D609,F609),_xll.CbondsCalcYTP($B$1,D609,F609)),"")*100)</f>
        <v/>
      </c>
      <c r="U609" s="74"/>
      <c r="V609" s="74"/>
      <c r="W609" s="74"/>
      <c r="X609" s="74"/>
      <c r="Y609" s="74"/>
      <c r="Z609" s="74"/>
      <c r="AA609" s="74"/>
      <c r="AB609" s="74"/>
      <c r="AC609" s="74"/>
      <c r="AJ609" s="74"/>
      <c r="AK609" s="74"/>
      <c r="AL609" s="74"/>
      <c r="AM609" s="74"/>
      <c r="AN609" s="74"/>
      <c r="AO609" s="74"/>
      <c r="AP609" s="74"/>
      <c r="AQ609" s="74"/>
      <c r="AR609" s="74"/>
      <c r="AS609" s="74"/>
      <c r="BD609" s="74"/>
      <c r="BE609" s="74"/>
      <c r="BF609" s="74"/>
      <c r="BG609" s="74"/>
      <c r="BH609" s="74"/>
      <c r="BI609" s="74"/>
    </row>
    <row r="610" spans="4:61" x14ac:dyDescent="0.3">
      <c r="D610" s="76"/>
      <c r="E610" s="76"/>
      <c r="F610" s="76" t="str">
        <f t="shared" si="58"/>
        <v/>
      </c>
      <c r="G610" s="183" t="str">
        <f>IF(F610 = "","",IFERROR(IF($G$1 = "YTM",_xll.CbondsCalcYTM($B$1,D610,F610),_xll.CbondsCalcYTP($B$1,D610,F610)),"")*100)</f>
        <v/>
      </c>
      <c r="U610" s="74"/>
      <c r="V610" s="74"/>
      <c r="W610" s="74"/>
      <c r="X610" s="74"/>
      <c r="Y610" s="74"/>
      <c r="Z610" s="74"/>
      <c r="AA610" s="74"/>
      <c r="AB610" s="74"/>
      <c r="AC610" s="74"/>
      <c r="AJ610" s="74"/>
      <c r="AK610" s="74"/>
      <c r="AL610" s="74"/>
      <c r="AM610" s="74"/>
      <c r="AN610" s="74"/>
      <c r="AO610" s="74"/>
      <c r="AP610" s="74"/>
      <c r="AQ610" s="74"/>
      <c r="AR610" s="74"/>
      <c r="AS610" s="74"/>
      <c r="BD610" s="74"/>
      <c r="BE610" s="74"/>
      <c r="BF610" s="74"/>
      <c r="BG610" s="74"/>
      <c r="BH610" s="74"/>
      <c r="BI610" s="74"/>
    </row>
    <row r="611" spans="4:61" x14ac:dyDescent="0.3">
      <c r="D611" s="76"/>
      <c r="E611" s="76"/>
      <c r="F611" s="76" t="str">
        <f t="shared" si="58"/>
        <v/>
      </c>
      <c r="G611" s="183" t="str">
        <f>IF(F611 = "","",IFERROR(IF($G$1 = "YTM",_xll.CbondsCalcYTM($B$1,D611,F611),_xll.CbondsCalcYTP($B$1,D611,F611)),"")*100)</f>
        <v/>
      </c>
      <c r="U611" s="74"/>
      <c r="V611" s="74"/>
      <c r="W611" s="74"/>
      <c r="X611" s="74"/>
      <c r="Y611" s="74"/>
      <c r="Z611" s="74"/>
      <c r="AA611" s="74"/>
      <c r="AB611" s="74"/>
      <c r="AC611" s="74"/>
      <c r="AJ611" s="74"/>
      <c r="AK611" s="74"/>
      <c r="AL611" s="74"/>
      <c r="AM611" s="74"/>
      <c r="AN611" s="74"/>
      <c r="AO611" s="74"/>
      <c r="AP611" s="74"/>
      <c r="AQ611" s="74"/>
      <c r="AR611" s="74"/>
      <c r="AS611" s="74"/>
      <c r="BD611" s="74"/>
      <c r="BE611" s="74"/>
      <c r="BF611" s="74"/>
      <c r="BG611" s="74"/>
      <c r="BH611" s="74"/>
      <c r="BI611" s="74"/>
    </row>
    <row r="612" spans="4:61" x14ac:dyDescent="0.3">
      <c r="D612" s="76"/>
      <c r="E612" s="76"/>
      <c r="F612" s="76" t="str">
        <f t="shared" si="58"/>
        <v/>
      </c>
      <c r="G612" s="183" t="str">
        <f>IF(F612 = "","",IFERROR(IF($G$1 = "YTM",_xll.CbondsCalcYTM($B$1,D612,F612),_xll.CbondsCalcYTP($B$1,D612,F612)),"")*100)</f>
        <v/>
      </c>
      <c r="U612" s="74"/>
      <c r="V612" s="74"/>
      <c r="W612" s="74"/>
      <c r="X612" s="74"/>
      <c r="Y612" s="74"/>
      <c r="Z612" s="74"/>
      <c r="AA612" s="74"/>
      <c r="AB612" s="74"/>
      <c r="AC612" s="74"/>
      <c r="AJ612" s="74"/>
      <c r="AK612" s="74"/>
      <c r="AL612" s="74"/>
      <c r="AM612" s="74"/>
      <c r="AN612" s="74"/>
      <c r="AO612" s="74"/>
      <c r="AP612" s="74"/>
      <c r="AQ612" s="74"/>
      <c r="AR612" s="74"/>
      <c r="AS612" s="74"/>
      <c r="BD612" s="74"/>
      <c r="BE612" s="74"/>
      <c r="BF612" s="74"/>
      <c r="BG612" s="74"/>
      <c r="BH612" s="74"/>
      <c r="BI612" s="74"/>
    </row>
    <row r="613" spans="4:61" x14ac:dyDescent="0.3">
      <c r="D613" s="76"/>
      <c r="E613" s="76"/>
      <c r="F613" s="76" t="str">
        <f t="shared" si="58"/>
        <v/>
      </c>
      <c r="G613" s="183" t="str">
        <f>IF(F613 = "","",IFERROR(IF($G$1 = "YTM",_xll.CbondsCalcYTM($B$1,D613,F613),_xll.CbondsCalcYTP($B$1,D613,F613)),"")*100)</f>
        <v/>
      </c>
      <c r="U613" s="74"/>
      <c r="V613" s="74"/>
      <c r="W613" s="74"/>
      <c r="X613" s="74"/>
      <c r="Y613" s="74"/>
      <c r="Z613" s="74"/>
      <c r="AA613" s="74"/>
      <c r="AB613" s="74"/>
      <c r="AC613" s="74"/>
      <c r="AJ613" s="74"/>
      <c r="AK613" s="74"/>
      <c r="AL613" s="74"/>
      <c r="AM613" s="74"/>
      <c r="AN613" s="74"/>
      <c r="AO613" s="74"/>
      <c r="AP613" s="74"/>
      <c r="AQ613" s="74"/>
      <c r="AR613" s="74"/>
      <c r="AS613" s="74"/>
      <c r="BD613" s="74"/>
      <c r="BE613" s="74"/>
      <c r="BF613" s="74"/>
      <c r="BG613" s="74"/>
      <c r="BH613" s="74"/>
      <c r="BI613" s="74"/>
    </row>
    <row r="614" spans="4:61" x14ac:dyDescent="0.3">
      <c r="D614" s="76"/>
      <c r="E614" s="76"/>
      <c r="F614" s="76" t="str">
        <f t="shared" si="58"/>
        <v/>
      </c>
      <c r="G614" s="183" t="str">
        <f>IF(F614 = "","",IFERROR(IF($G$1 = "YTM",_xll.CbondsCalcYTM($B$1,D614,F614),_xll.CbondsCalcYTP($B$1,D614,F614)),"")*100)</f>
        <v/>
      </c>
      <c r="U614" s="74"/>
      <c r="V614" s="74"/>
      <c r="W614" s="74"/>
      <c r="X614" s="74"/>
      <c r="Y614" s="74"/>
      <c r="Z614" s="74"/>
      <c r="AA614" s="74"/>
      <c r="AB614" s="74"/>
      <c r="AC614" s="74"/>
      <c r="AJ614" s="74"/>
      <c r="AK614" s="74"/>
      <c r="AL614" s="74"/>
      <c r="AM614" s="74"/>
      <c r="AN614" s="74"/>
      <c r="AO614" s="74"/>
      <c r="AP614" s="74"/>
      <c r="AQ614" s="74"/>
      <c r="AR614" s="74"/>
      <c r="AS614" s="74"/>
      <c r="BD614" s="74"/>
      <c r="BE614" s="74"/>
      <c r="BF614" s="74"/>
      <c r="BG614" s="74"/>
      <c r="BH614" s="74"/>
      <c r="BI614" s="74"/>
    </row>
    <row r="615" spans="4:61" x14ac:dyDescent="0.3">
      <c r="D615" s="76"/>
      <c r="E615" s="76"/>
      <c r="F615" s="76" t="str">
        <f t="shared" si="58"/>
        <v/>
      </c>
      <c r="G615" s="183" t="str">
        <f>IF(F615 = "","",IFERROR(IF($G$1 = "YTM",_xll.CbondsCalcYTM($B$1,D615,F615),_xll.CbondsCalcYTP($B$1,D615,F615)),"")*100)</f>
        <v/>
      </c>
      <c r="U615" s="74"/>
      <c r="V615" s="74"/>
      <c r="W615" s="74"/>
      <c r="X615" s="74"/>
      <c r="Y615" s="74"/>
      <c r="Z615" s="74"/>
      <c r="AA615" s="74"/>
      <c r="AB615" s="74"/>
      <c r="AC615" s="74"/>
      <c r="AJ615" s="74"/>
      <c r="AK615" s="74"/>
      <c r="AL615" s="74"/>
      <c r="AM615" s="74"/>
      <c r="AN615" s="74"/>
      <c r="AO615" s="74"/>
      <c r="AP615" s="74"/>
      <c r="AQ615" s="74"/>
      <c r="AR615" s="74"/>
      <c r="AS615" s="74"/>
      <c r="BD615" s="74"/>
      <c r="BE615" s="74"/>
      <c r="BF615" s="74"/>
      <c r="BG615" s="74"/>
      <c r="BH615" s="74"/>
      <c r="BI615" s="74"/>
    </row>
    <row r="616" spans="4:61" x14ac:dyDescent="0.3">
      <c r="D616" s="76"/>
      <c r="E616" s="76"/>
      <c r="F616" s="76" t="str">
        <f t="shared" si="58"/>
        <v/>
      </c>
      <c r="G616" s="183" t="str">
        <f>IF(F616 = "","",IFERROR(IF($G$1 = "YTM",_xll.CbondsCalcYTM($B$1,D616,F616),_xll.CbondsCalcYTP($B$1,D616,F616)),"")*100)</f>
        <v/>
      </c>
      <c r="U616" s="74"/>
      <c r="V616" s="74"/>
      <c r="W616" s="74"/>
      <c r="X616" s="74"/>
      <c r="Y616" s="74"/>
      <c r="Z616" s="74"/>
      <c r="AA616" s="74"/>
      <c r="AB616" s="74"/>
      <c r="AC616" s="74"/>
      <c r="AJ616" s="74"/>
      <c r="AK616" s="74"/>
      <c r="AL616" s="74"/>
      <c r="AM616" s="74"/>
      <c r="AN616" s="74"/>
      <c r="AO616" s="74"/>
      <c r="AP616" s="74"/>
      <c r="AQ616" s="74"/>
      <c r="AR616" s="74"/>
      <c r="AS616" s="74"/>
      <c r="BD616" s="74"/>
      <c r="BE616" s="74"/>
      <c r="BF616" s="74"/>
      <c r="BG616" s="74"/>
      <c r="BH616" s="74"/>
      <c r="BI616" s="74"/>
    </row>
    <row r="617" spans="4:61" x14ac:dyDescent="0.3">
      <c r="D617" s="76"/>
      <c r="E617" s="76"/>
      <c r="F617" s="76" t="str">
        <f t="shared" si="58"/>
        <v/>
      </c>
      <c r="G617" s="183" t="str">
        <f>IF(F617 = "","",IFERROR(IF($G$1 = "YTM",_xll.CbondsCalcYTM($B$1,D617,F617),_xll.CbondsCalcYTP($B$1,D617,F617)),"")*100)</f>
        <v/>
      </c>
      <c r="U617" s="74"/>
      <c r="V617" s="74"/>
      <c r="W617" s="74"/>
      <c r="X617" s="74"/>
      <c r="Y617" s="74"/>
      <c r="Z617" s="74"/>
      <c r="AA617" s="74"/>
      <c r="AB617" s="74"/>
      <c r="AC617" s="74"/>
      <c r="AJ617" s="74"/>
      <c r="AK617" s="74"/>
      <c r="AL617" s="74"/>
      <c r="AM617" s="74"/>
      <c r="AN617" s="74"/>
      <c r="AO617" s="74"/>
      <c r="AP617" s="74"/>
      <c r="AQ617" s="74"/>
      <c r="AR617" s="74"/>
      <c r="AS617" s="74"/>
      <c r="BD617" s="74"/>
      <c r="BE617" s="74"/>
      <c r="BF617" s="74"/>
      <c r="BG617" s="74"/>
      <c r="BH617" s="74"/>
      <c r="BI617" s="74"/>
    </row>
    <row r="618" spans="4:61" x14ac:dyDescent="0.3">
      <c r="D618" s="76"/>
      <c r="E618" s="76"/>
      <c r="F618" s="76" t="str">
        <f t="shared" si="58"/>
        <v/>
      </c>
      <c r="G618" s="183" t="str">
        <f>IF(F618 = "","",IFERROR(IF($G$1 = "YTM",_xll.CbondsCalcYTM($B$1,D618,F618),_xll.CbondsCalcYTP($B$1,D618,F618)),"")*100)</f>
        <v/>
      </c>
      <c r="U618" s="74"/>
      <c r="V618" s="74"/>
      <c r="W618" s="74"/>
      <c r="X618" s="74"/>
      <c r="Y618" s="74"/>
      <c r="Z618" s="74"/>
      <c r="AA618" s="74"/>
      <c r="AB618" s="74"/>
      <c r="AC618" s="74"/>
      <c r="AJ618" s="74"/>
      <c r="AK618" s="74"/>
      <c r="AL618" s="74"/>
      <c r="AM618" s="74"/>
      <c r="AN618" s="74"/>
      <c r="AO618" s="74"/>
      <c r="AP618" s="74"/>
      <c r="AQ618" s="74"/>
      <c r="AR618" s="74"/>
      <c r="AS618" s="74"/>
      <c r="BD618" s="74"/>
      <c r="BE618" s="74"/>
      <c r="BF618" s="74"/>
      <c r="BG618" s="74"/>
      <c r="BH618" s="74"/>
      <c r="BI618" s="74"/>
    </row>
    <row r="619" spans="4:61" x14ac:dyDescent="0.3">
      <c r="D619" s="76"/>
      <c r="E619" s="76"/>
      <c r="F619" s="76" t="str">
        <f t="shared" si="58"/>
        <v/>
      </c>
      <c r="G619" s="183" t="str">
        <f>IF(F619 = "","",IFERROR(IF($G$1 = "YTM",_xll.CbondsCalcYTM($B$1,D619,F619),_xll.CbondsCalcYTP($B$1,D619,F619)),"")*100)</f>
        <v/>
      </c>
      <c r="U619" s="74"/>
      <c r="V619" s="74"/>
      <c r="W619" s="74"/>
      <c r="X619" s="74"/>
      <c r="Y619" s="74"/>
      <c r="Z619" s="74"/>
      <c r="AA619" s="74"/>
      <c r="AB619" s="74"/>
      <c r="AC619" s="74"/>
      <c r="AJ619" s="74"/>
      <c r="AK619" s="74"/>
      <c r="AL619" s="74"/>
      <c r="AM619" s="74"/>
      <c r="AN619" s="74"/>
      <c r="AO619" s="74"/>
      <c r="AP619" s="74"/>
      <c r="AQ619" s="74"/>
      <c r="AR619" s="74"/>
      <c r="AS619" s="74"/>
      <c r="BD619" s="74"/>
      <c r="BE619" s="74"/>
      <c r="BF619" s="74"/>
      <c r="BG619" s="74"/>
      <c r="BH619" s="74"/>
      <c r="BI619" s="74"/>
    </row>
    <row r="620" spans="4:61" x14ac:dyDescent="0.3">
      <c r="D620" s="76"/>
      <c r="E620" s="76"/>
      <c r="F620" s="76" t="str">
        <f t="shared" si="58"/>
        <v/>
      </c>
      <c r="G620" s="183" t="str">
        <f>IF(F620 = "","",IFERROR(IF($G$1 = "YTM",_xll.CbondsCalcYTM($B$1,D620,F620),_xll.CbondsCalcYTP($B$1,D620,F620)),"")*100)</f>
        <v/>
      </c>
      <c r="U620" s="74"/>
      <c r="V620" s="74"/>
      <c r="W620" s="74"/>
      <c r="X620" s="74"/>
      <c r="Y620" s="74"/>
      <c r="Z620" s="74"/>
      <c r="AA620" s="74"/>
      <c r="AB620" s="74"/>
      <c r="AC620" s="74"/>
      <c r="AJ620" s="74"/>
      <c r="AK620" s="74"/>
      <c r="AL620" s="74"/>
      <c r="AM620" s="74"/>
      <c r="AN620" s="74"/>
      <c r="AO620" s="74"/>
      <c r="AP620" s="74"/>
      <c r="AQ620" s="74"/>
      <c r="AR620" s="74"/>
      <c r="AS620" s="74"/>
      <c r="BD620" s="74"/>
      <c r="BE620" s="74"/>
      <c r="BF620" s="74"/>
      <c r="BG620" s="74"/>
      <c r="BH620" s="74"/>
      <c r="BI620" s="74"/>
    </row>
    <row r="621" spans="4:61" x14ac:dyDescent="0.3">
      <c r="D621" s="76"/>
      <c r="E621" s="76"/>
      <c r="F621" s="76" t="str">
        <f t="shared" si="58"/>
        <v/>
      </c>
      <c r="G621" s="183" t="str">
        <f>IF(F621 = "","",IFERROR(IF($G$1 = "YTM",_xll.CbondsCalcYTM($B$1,D621,F621),_xll.CbondsCalcYTP($B$1,D621,F621)),"")*100)</f>
        <v/>
      </c>
      <c r="U621" s="74"/>
      <c r="V621" s="74"/>
      <c r="W621" s="74"/>
      <c r="X621" s="74"/>
      <c r="Y621" s="74"/>
      <c r="Z621" s="74"/>
      <c r="AA621" s="74"/>
      <c r="AB621" s="74"/>
      <c r="AC621" s="74"/>
      <c r="AJ621" s="74"/>
      <c r="AK621" s="74"/>
      <c r="AL621" s="74"/>
      <c r="AM621" s="74"/>
      <c r="AN621" s="74"/>
      <c r="AO621" s="74"/>
      <c r="AP621" s="74"/>
      <c r="AQ621" s="74"/>
      <c r="AR621" s="74"/>
      <c r="AS621" s="74"/>
      <c r="BD621" s="74"/>
      <c r="BE621" s="74"/>
      <c r="BF621" s="74"/>
      <c r="BG621" s="74"/>
      <c r="BH621" s="74"/>
      <c r="BI621" s="74"/>
    </row>
    <row r="622" spans="4:61" x14ac:dyDescent="0.3">
      <c r="D622" s="76"/>
      <c r="E622" s="76"/>
      <c r="F622" s="76" t="str">
        <f t="shared" si="58"/>
        <v/>
      </c>
      <c r="G622" s="183" t="str">
        <f>IF(F622 = "","",IFERROR(IF($G$1 = "YTM",_xll.CbondsCalcYTM($B$1,D622,F622),_xll.CbondsCalcYTP($B$1,D622,F622)),"")*100)</f>
        <v/>
      </c>
      <c r="U622" s="74"/>
      <c r="V622" s="74"/>
      <c r="W622" s="74"/>
      <c r="X622" s="74"/>
      <c r="Y622" s="74"/>
      <c r="Z622" s="74"/>
      <c r="AA622" s="74"/>
      <c r="AB622" s="74"/>
      <c r="AC622" s="74"/>
      <c r="AJ622" s="74"/>
      <c r="AK622" s="74"/>
      <c r="AL622" s="74"/>
      <c r="AM622" s="74"/>
      <c r="AN622" s="74"/>
      <c r="AO622" s="74"/>
      <c r="AP622" s="74"/>
      <c r="AQ622" s="74"/>
      <c r="AR622" s="74"/>
      <c r="AS622" s="74"/>
      <c r="BD622" s="74"/>
      <c r="BE622" s="74"/>
      <c r="BF622" s="74"/>
      <c r="BG622" s="74"/>
      <c r="BH622" s="74"/>
      <c r="BI622" s="74"/>
    </row>
    <row r="623" spans="4:61" x14ac:dyDescent="0.3">
      <c r="D623" s="76"/>
      <c r="E623" s="76"/>
      <c r="F623" s="76" t="str">
        <f t="shared" si="58"/>
        <v/>
      </c>
      <c r="G623" s="183" t="str">
        <f>IF(F623 = "","",IFERROR(IF($G$1 = "YTM",_xll.CbondsCalcYTM($B$1,D623,F623),_xll.CbondsCalcYTP($B$1,D623,F623)),"")*100)</f>
        <v/>
      </c>
      <c r="U623" s="74"/>
      <c r="V623" s="74"/>
      <c r="W623" s="74"/>
      <c r="X623" s="74"/>
      <c r="Y623" s="74"/>
      <c r="Z623" s="74"/>
      <c r="AA623" s="74"/>
      <c r="AB623" s="74"/>
      <c r="AC623" s="74"/>
      <c r="AJ623" s="74"/>
      <c r="AK623" s="74"/>
      <c r="AL623" s="74"/>
      <c r="AM623" s="74"/>
      <c r="AN623" s="74"/>
      <c r="AO623" s="74"/>
      <c r="AP623" s="74"/>
      <c r="AQ623" s="74"/>
      <c r="AR623" s="74"/>
      <c r="AS623" s="74"/>
      <c r="BD623" s="74"/>
      <c r="BE623" s="74"/>
      <c r="BF623" s="74"/>
      <c r="BG623" s="74"/>
      <c r="BH623" s="74"/>
      <c r="BI623" s="74"/>
    </row>
    <row r="624" spans="4:61" x14ac:dyDescent="0.3">
      <c r="D624" s="76"/>
      <c r="E624" s="76"/>
      <c r="F624" s="76" t="str">
        <f t="shared" si="58"/>
        <v/>
      </c>
      <c r="G624" s="183" t="str">
        <f>IF(F624 = "","",IFERROR(IF($G$1 = "YTM",_xll.CbondsCalcYTM($B$1,D624,F624),_xll.CbondsCalcYTP($B$1,D624,F624)),"")*100)</f>
        <v/>
      </c>
      <c r="U624" s="74"/>
      <c r="V624" s="74"/>
      <c r="W624" s="74"/>
      <c r="X624" s="74"/>
      <c r="Y624" s="74"/>
      <c r="Z624" s="74"/>
      <c r="AA624" s="74"/>
      <c r="AB624" s="74"/>
      <c r="AC624" s="74"/>
      <c r="AJ624" s="74"/>
      <c r="AK624" s="74"/>
      <c r="AL624" s="74"/>
      <c r="AM624" s="74"/>
      <c r="AN624" s="74"/>
      <c r="AO624" s="74"/>
      <c r="AP624" s="74"/>
      <c r="AQ624" s="74"/>
      <c r="AR624" s="74"/>
      <c r="AS624" s="74"/>
      <c r="BD624" s="74"/>
      <c r="BE624" s="74"/>
      <c r="BF624" s="74"/>
      <c r="BG624" s="74"/>
      <c r="BH624" s="74"/>
      <c r="BI624" s="74"/>
    </row>
    <row r="625" spans="4:61" x14ac:dyDescent="0.3">
      <c r="D625" s="76"/>
      <c r="E625" s="76"/>
      <c r="F625" s="76" t="str">
        <f t="shared" si="58"/>
        <v/>
      </c>
      <c r="G625" s="183" t="str">
        <f>IF(F625 = "","",IFERROR(IF($G$1 = "YTM",_xll.CbondsCalcYTM($B$1,D625,F625),_xll.CbondsCalcYTP($B$1,D625,F625)),"")*100)</f>
        <v/>
      </c>
      <c r="U625" s="74"/>
      <c r="V625" s="74"/>
      <c r="W625" s="74"/>
      <c r="X625" s="74"/>
      <c r="Y625" s="74"/>
      <c r="Z625" s="74"/>
      <c r="AA625" s="74"/>
      <c r="AB625" s="74"/>
      <c r="AC625" s="74"/>
      <c r="AJ625" s="74"/>
      <c r="AK625" s="74"/>
      <c r="AL625" s="74"/>
      <c r="AM625" s="74"/>
      <c r="AN625" s="74"/>
      <c r="AO625" s="74"/>
      <c r="AP625" s="74"/>
      <c r="AQ625" s="74"/>
      <c r="AR625" s="74"/>
      <c r="AS625" s="74"/>
      <c r="BD625" s="74"/>
      <c r="BE625" s="74"/>
      <c r="BF625" s="74"/>
      <c r="BG625" s="74"/>
      <c r="BH625" s="74"/>
      <c r="BI625" s="74"/>
    </row>
    <row r="626" spans="4:61" x14ac:dyDescent="0.3">
      <c r="D626" s="76"/>
      <c r="E626" s="76"/>
      <c r="F626" s="76" t="str">
        <f t="shared" si="58"/>
        <v/>
      </c>
      <c r="G626" s="183" t="str">
        <f>IF(F626 = "","",IFERROR(IF($G$1 = "YTM",_xll.CbondsCalcYTM($B$1,D626,F626),_xll.CbondsCalcYTP($B$1,D626,F626)),"")*100)</f>
        <v/>
      </c>
      <c r="U626" s="74"/>
      <c r="V626" s="74"/>
      <c r="W626" s="74"/>
      <c r="X626" s="74"/>
      <c r="Y626" s="74"/>
      <c r="Z626" s="74"/>
      <c r="AA626" s="74"/>
      <c r="AB626" s="74"/>
      <c r="AC626" s="74"/>
      <c r="AJ626" s="74"/>
      <c r="AK626" s="74"/>
      <c r="AL626" s="74"/>
      <c r="AM626" s="74"/>
      <c r="AN626" s="74"/>
      <c r="AO626" s="74"/>
      <c r="AP626" s="74"/>
      <c r="AQ626" s="74"/>
      <c r="AR626" s="74"/>
      <c r="AS626" s="74"/>
      <c r="BD626" s="74"/>
      <c r="BE626" s="74"/>
      <c r="BF626" s="74"/>
      <c r="BG626" s="74"/>
      <c r="BH626" s="74"/>
      <c r="BI626" s="74"/>
    </row>
    <row r="627" spans="4:61" x14ac:dyDescent="0.3">
      <c r="D627" s="76"/>
      <c r="E627" s="76"/>
      <c r="F627" s="76" t="str">
        <f t="shared" si="58"/>
        <v/>
      </c>
      <c r="G627" s="183" t="str">
        <f>IF(F627 = "","",IFERROR(IF($G$1 = "YTM",_xll.CbondsCalcYTM($B$1,D627,F627),_xll.CbondsCalcYTP($B$1,D627,F627)),"")*100)</f>
        <v/>
      </c>
      <c r="U627" s="74"/>
      <c r="V627" s="74"/>
      <c r="W627" s="74"/>
      <c r="X627" s="74"/>
      <c r="Y627" s="74"/>
      <c r="Z627" s="74"/>
      <c r="AA627" s="74"/>
      <c r="AB627" s="74"/>
      <c r="AC627" s="74"/>
      <c r="AJ627" s="74"/>
      <c r="AK627" s="74"/>
      <c r="AL627" s="74"/>
      <c r="AM627" s="74"/>
      <c r="AN627" s="74"/>
      <c r="AO627" s="74"/>
      <c r="AP627" s="74"/>
      <c r="AQ627" s="74"/>
      <c r="AR627" s="74"/>
      <c r="AS627" s="74"/>
      <c r="BD627" s="74"/>
      <c r="BE627" s="74"/>
      <c r="BF627" s="74"/>
      <c r="BG627" s="74"/>
      <c r="BH627" s="74"/>
      <c r="BI627" s="74"/>
    </row>
    <row r="628" spans="4:61" x14ac:dyDescent="0.3">
      <c r="D628" s="76"/>
      <c r="E628" s="76"/>
      <c r="F628" s="76" t="str">
        <f t="shared" si="58"/>
        <v/>
      </c>
      <c r="G628" s="183" t="str">
        <f>IF(F628 = "","",IFERROR(IF($G$1 = "YTM",_xll.CbondsCalcYTM($B$1,D628,F628),_xll.CbondsCalcYTP($B$1,D628,F628)),"")*100)</f>
        <v/>
      </c>
      <c r="U628" s="74"/>
      <c r="V628" s="74"/>
      <c r="W628" s="74"/>
      <c r="X628" s="74"/>
      <c r="Y628" s="74"/>
      <c r="Z628" s="74"/>
      <c r="AA628" s="74"/>
      <c r="AB628" s="74"/>
      <c r="AC628" s="74"/>
      <c r="AJ628" s="74"/>
      <c r="AK628" s="74"/>
      <c r="AL628" s="74"/>
      <c r="AM628" s="74"/>
      <c r="AN628" s="74"/>
      <c r="AO628" s="74"/>
      <c r="AP628" s="74"/>
      <c r="AQ628" s="74"/>
      <c r="AR628" s="74"/>
      <c r="AS628" s="74"/>
      <c r="BD628" s="74"/>
      <c r="BE628" s="74"/>
      <c r="BF628" s="74"/>
      <c r="BG628" s="74"/>
      <c r="BH628" s="74"/>
      <c r="BI628" s="74"/>
    </row>
    <row r="629" spans="4:61" x14ac:dyDescent="0.3">
      <c r="D629" s="76"/>
      <c r="E629" s="76"/>
      <c r="F629" s="76" t="str">
        <f t="shared" si="58"/>
        <v/>
      </c>
      <c r="G629" s="183" t="str">
        <f>IF(F629 = "","",IFERROR(IF($G$1 = "YTM",_xll.CbondsCalcYTM($B$1,D629,F629),_xll.CbondsCalcYTP($B$1,D629,F629)),"")*100)</f>
        <v/>
      </c>
      <c r="U629" s="74"/>
      <c r="V629" s="74"/>
      <c r="W629" s="74"/>
      <c r="X629" s="74"/>
      <c r="Y629" s="74"/>
      <c r="Z629" s="74"/>
      <c r="AA629" s="74"/>
      <c r="AB629" s="74"/>
      <c r="AC629" s="74"/>
      <c r="AJ629" s="74"/>
      <c r="AK629" s="74"/>
      <c r="AL629" s="74"/>
      <c r="AM629" s="74"/>
      <c r="AN629" s="74"/>
      <c r="AO629" s="74"/>
      <c r="AP629" s="74"/>
      <c r="AQ629" s="74"/>
      <c r="AR629" s="74"/>
      <c r="AS629" s="74"/>
      <c r="BD629" s="74"/>
      <c r="BE629" s="74"/>
      <c r="BF629" s="74"/>
      <c r="BG629" s="74"/>
      <c r="BH629" s="74"/>
      <c r="BI629" s="74"/>
    </row>
    <row r="630" spans="4:61" x14ac:dyDescent="0.3">
      <c r="D630" s="76"/>
      <c r="E630" s="76"/>
      <c r="F630" s="76" t="str">
        <f t="shared" si="58"/>
        <v/>
      </c>
      <c r="G630" s="183" t="str">
        <f>IF(F630 = "","",IFERROR(IF($G$1 = "YTM",_xll.CbondsCalcYTM($B$1,D630,F630),_xll.CbondsCalcYTP($B$1,D630,F630)),"")*100)</f>
        <v/>
      </c>
      <c r="U630" s="74"/>
      <c r="V630" s="74"/>
      <c r="W630" s="74"/>
      <c r="X630" s="74"/>
      <c r="Y630" s="74"/>
      <c r="Z630" s="74"/>
      <c r="AA630" s="74"/>
      <c r="AB630" s="74"/>
      <c r="AC630" s="74"/>
      <c r="AJ630" s="74"/>
      <c r="AK630" s="74"/>
      <c r="AL630" s="74"/>
      <c r="AM630" s="74"/>
      <c r="AN630" s="74"/>
      <c r="AO630" s="74"/>
      <c r="AP630" s="74"/>
      <c r="AQ630" s="74"/>
      <c r="AR630" s="74"/>
      <c r="AS630" s="74"/>
      <c r="BD630" s="74"/>
      <c r="BE630" s="74"/>
      <c r="BF630" s="74"/>
      <c r="BG630" s="74"/>
      <c r="BH630" s="74"/>
      <c r="BI630" s="74"/>
    </row>
    <row r="631" spans="4:61" x14ac:dyDescent="0.3">
      <c r="D631" s="76"/>
      <c r="E631" s="76"/>
      <c r="F631" s="76" t="str">
        <f t="shared" si="58"/>
        <v/>
      </c>
      <c r="G631" s="183" t="str">
        <f>IF(F631 = "","",IFERROR(IF($G$1 = "YTM",_xll.CbondsCalcYTM($B$1,D631,F631),_xll.CbondsCalcYTP($B$1,D631,F631)),"")*100)</f>
        <v/>
      </c>
      <c r="U631" s="74"/>
      <c r="V631" s="74"/>
      <c r="W631" s="74"/>
      <c r="X631" s="74"/>
      <c r="Y631" s="74"/>
      <c r="Z631" s="74"/>
      <c r="AA631" s="74"/>
      <c r="AB631" s="74"/>
      <c r="AC631" s="74"/>
      <c r="AJ631" s="74"/>
      <c r="AK631" s="74"/>
      <c r="AL631" s="74"/>
      <c r="AM631" s="74"/>
      <c r="AN631" s="74"/>
      <c r="AO631" s="74"/>
      <c r="AP631" s="74"/>
      <c r="AQ631" s="74"/>
      <c r="AR631" s="74"/>
      <c r="AS631" s="74"/>
      <c r="BD631" s="74"/>
      <c r="BE631" s="74"/>
      <c r="BF631" s="74"/>
      <c r="BG631" s="74"/>
      <c r="BH631" s="74"/>
      <c r="BI631" s="74"/>
    </row>
    <row r="632" spans="4:61" x14ac:dyDescent="0.3">
      <c r="D632" s="76"/>
      <c r="E632" s="76"/>
      <c r="F632" s="76" t="str">
        <f t="shared" si="58"/>
        <v/>
      </c>
      <c r="G632" s="183" t="str">
        <f>IF(F632 = "","",IFERROR(IF($G$1 = "YTM",_xll.CbondsCalcYTM($B$1,D632,F632),_xll.CbondsCalcYTP($B$1,D632,F632)),"")*100)</f>
        <v/>
      </c>
      <c r="U632" s="74"/>
      <c r="V632" s="74"/>
      <c r="W632" s="74"/>
      <c r="X632" s="74"/>
      <c r="Y632" s="74"/>
      <c r="Z632" s="74"/>
      <c r="AA632" s="74"/>
      <c r="AB632" s="74"/>
      <c r="AC632" s="74"/>
      <c r="AJ632" s="74"/>
      <c r="AK632" s="74"/>
      <c r="AL632" s="74"/>
      <c r="AM632" s="74"/>
      <c r="AN632" s="74"/>
      <c r="AO632" s="74"/>
      <c r="AP632" s="74"/>
      <c r="AQ632" s="74"/>
      <c r="AR632" s="74"/>
      <c r="AS632" s="74"/>
      <c r="BD632" s="74"/>
      <c r="BE632" s="74"/>
      <c r="BF632" s="74"/>
      <c r="BG632" s="74"/>
      <c r="BH632" s="74"/>
      <c r="BI632" s="74"/>
    </row>
    <row r="633" spans="4:61" x14ac:dyDescent="0.3">
      <c r="D633" s="76"/>
      <c r="E633" s="76"/>
      <c r="F633" s="76" t="str">
        <f t="shared" si="58"/>
        <v/>
      </c>
      <c r="G633" s="183" t="str">
        <f>IF(F633 = "","",IFERROR(IF($G$1 = "YTM",_xll.CbondsCalcYTM($B$1,D633,F633),_xll.CbondsCalcYTP($B$1,D633,F633)),"")*100)</f>
        <v/>
      </c>
      <c r="U633" s="74"/>
      <c r="V633" s="74"/>
      <c r="W633" s="74"/>
      <c r="X633" s="74"/>
      <c r="Y633" s="74"/>
      <c r="Z633" s="74"/>
      <c r="AA633" s="74"/>
      <c r="AB633" s="74"/>
      <c r="AC633" s="74"/>
      <c r="AJ633" s="74"/>
      <c r="AK633" s="74"/>
      <c r="AL633" s="74"/>
      <c r="AM633" s="74"/>
      <c r="AN633" s="74"/>
      <c r="AO633" s="74"/>
      <c r="AP633" s="74"/>
      <c r="AQ633" s="74"/>
      <c r="AR633" s="74"/>
      <c r="AS633" s="74"/>
      <c r="BD633" s="74"/>
      <c r="BE633" s="74"/>
      <c r="BF633" s="74"/>
      <c r="BG633" s="74"/>
      <c r="BH633" s="74"/>
      <c r="BI633" s="74"/>
    </row>
    <row r="634" spans="4:61" x14ac:dyDescent="0.3">
      <c r="D634" s="76"/>
      <c r="E634" s="76"/>
      <c r="F634" s="76" t="str">
        <f t="shared" si="58"/>
        <v/>
      </c>
      <c r="G634" s="183" t="str">
        <f>IF(F634 = "","",IFERROR(IF($G$1 = "YTM",_xll.CbondsCalcYTM($B$1,D634,F634),_xll.CbondsCalcYTP($B$1,D634,F634)),"")*100)</f>
        <v/>
      </c>
      <c r="U634" s="74"/>
      <c r="V634" s="74"/>
      <c r="W634" s="74"/>
      <c r="X634" s="74"/>
      <c r="Y634" s="74"/>
      <c r="Z634" s="74"/>
      <c r="AA634" s="74"/>
      <c r="AB634" s="74"/>
      <c r="AC634" s="74"/>
      <c r="AJ634" s="74"/>
      <c r="AK634" s="74"/>
      <c r="AL634" s="74"/>
      <c r="AM634" s="74"/>
      <c r="AN634" s="74"/>
      <c r="AO634" s="74"/>
      <c r="AP634" s="74"/>
      <c r="AQ634" s="74"/>
      <c r="AR634" s="74"/>
      <c r="AS634" s="74"/>
      <c r="BD634" s="74"/>
      <c r="BE634" s="74"/>
      <c r="BF634" s="74"/>
      <c r="BG634" s="74"/>
      <c r="BH634" s="74"/>
      <c r="BI634" s="74"/>
    </row>
    <row r="635" spans="4:61" x14ac:dyDescent="0.3">
      <c r="D635" s="76"/>
      <c r="E635" s="76"/>
      <c r="F635" s="76" t="str">
        <f t="shared" si="58"/>
        <v/>
      </c>
      <c r="G635" s="183" t="str">
        <f>IF(F635 = "","",IFERROR(IF($G$1 = "YTM",_xll.CbondsCalcYTM($B$1,D635,F635),_xll.CbondsCalcYTP($B$1,D635,F635)),"")*100)</f>
        <v/>
      </c>
      <c r="U635" s="74"/>
      <c r="V635" s="74"/>
      <c r="W635" s="74"/>
      <c r="X635" s="74"/>
      <c r="Y635" s="74"/>
      <c r="Z635" s="74"/>
      <c r="AA635" s="74"/>
      <c r="AB635" s="74"/>
      <c r="AC635" s="74"/>
      <c r="AJ635" s="74"/>
      <c r="AK635" s="74"/>
      <c r="AL635" s="74"/>
      <c r="AM635" s="74"/>
      <c r="AN635" s="74"/>
      <c r="AO635" s="74"/>
      <c r="AP635" s="74"/>
      <c r="AQ635" s="74"/>
      <c r="AR635" s="74"/>
      <c r="AS635" s="74"/>
      <c r="BD635" s="74"/>
      <c r="BE635" s="74"/>
      <c r="BF635" s="74"/>
      <c r="BG635" s="74"/>
      <c r="BH635" s="74"/>
      <c r="BI635" s="74"/>
    </row>
    <row r="636" spans="4:61" x14ac:dyDescent="0.3">
      <c r="D636" s="76"/>
      <c r="E636" s="76"/>
      <c r="F636" s="76" t="str">
        <f t="shared" si="58"/>
        <v/>
      </c>
      <c r="G636" s="183" t="str">
        <f>IF(F636 = "","",IFERROR(IF($G$1 = "YTM",_xll.CbondsCalcYTM($B$1,D636,F636),_xll.CbondsCalcYTP($B$1,D636,F636)),"")*100)</f>
        <v/>
      </c>
      <c r="U636" s="74"/>
      <c r="V636" s="74"/>
      <c r="W636" s="74"/>
      <c r="X636" s="74"/>
      <c r="Y636" s="74"/>
      <c r="Z636" s="74"/>
      <c r="AA636" s="74"/>
      <c r="AB636" s="74"/>
      <c r="AC636" s="74"/>
      <c r="AJ636" s="74"/>
      <c r="AK636" s="74"/>
      <c r="AL636" s="74"/>
      <c r="AM636" s="74"/>
      <c r="AN636" s="74"/>
      <c r="AO636" s="74"/>
      <c r="AP636" s="74"/>
      <c r="AQ636" s="74"/>
      <c r="AR636" s="74"/>
      <c r="AS636" s="74"/>
      <c r="BD636" s="74"/>
      <c r="BE636" s="74"/>
      <c r="BF636" s="74"/>
      <c r="BG636" s="74"/>
      <c r="BH636" s="74"/>
      <c r="BI636" s="74"/>
    </row>
    <row r="637" spans="4:61" x14ac:dyDescent="0.3">
      <c r="D637" s="76"/>
      <c r="E637" s="76"/>
      <c r="F637" s="76" t="str">
        <f t="shared" si="58"/>
        <v/>
      </c>
      <c r="G637" s="183" t="str">
        <f>IF(F637 = "","",IFERROR(IF($G$1 = "YTM",_xll.CbondsCalcYTM($B$1,D637,F637),_xll.CbondsCalcYTP($B$1,D637,F637)),"")*100)</f>
        <v/>
      </c>
      <c r="U637" s="74"/>
      <c r="V637" s="74"/>
      <c r="W637" s="74"/>
      <c r="X637" s="74"/>
      <c r="Y637" s="74"/>
      <c r="Z637" s="74"/>
      <c r="AA637" s="74"/>
      <c r="AB637" s="74"/>
      <c r="AC637" s="74"/>
      <c r="AJ637" s="74"/>
      <c r="AK637" s="74"/>
      <c r="AL637" s="74"/>
      <c r="AM637" s="74"/>
      <c r="AN637" s="74"/>
      <c r="AO637" s="74"/>
      <c r="AP637" s="74"/>
      <c r="AQ637" s="74"/>
      <c r="AR637" s="74"/>
      <c r="AS637" s="74"/>
      <c r="BD637" s="74"/>
      <c r="BE637" s="74"/>
      <c r="BF637" s="74"/>
      <c r="BG637" s="74"/>
      <c r="BH637" s="74"/>
      <c r="BI637" s="74"/>
    </row>
    <row r="638" spans="4:61" x14ac:dyDescent="0.3">
      <c r="D638" s="76"/>
      <c r="E638" s="76"/>
      <c r="F638" s="76" t="str">
        <f t="shared" si="58"/>
        <v/>
      </c>
      <c r="G638" s="183" t="str">
        <f>IF(F638 = "","",IFERROR(IF($G$1 = "YTM",_xll.CbondsCalcYTM($B$1,D638,F638),_xll.CbondsCalcYTP($B$1,D638,F638)),"")*100)</f>
        <v/>
      </c>
      <c r="U638" s="74"/>
      <c r="V638" s="74"/>
      <c r="W638" s="74"/>
      <c r="X638" s="74"/>
      <c r="Y638" s="74"/>
      <c r="Z638" s="74"/>
      <c r="AA638" s="74"/>
      <c r="AB638" s="74"/>
      <c r="AC638" s="74"/>
      <c r="AJ638" s="74"/>
      <c r="AK638" s="74"/>
      <c r="AL638" s="74"/>
      <c r="AM638" s="74"/>
      <c r="AN638" s="74"/>
      <c r="AO638" s="74"/>
      <c r="AP638" s="74"/>
      <c r="AQ638" s="74"/>
      <c r="AR638" s="74"/>
      <c r="AS638" s="74"/>
      <c r="BD638" s="74"/>
      <c r="BE638" s="74"/>
      <c r="BF638" s="74"/>
      <c r="BG638" s="74"/>
      <c r="BH638" s="74"/>
      <c r="BI638" s="74"/>
    </row>
    <row r="639" spans="4:61" x14ac:dyDescent="0.3">
      <c r="D639" s="76"/>
      <c r="E639" s="76"/>
      <c r="F639" s="76" t="str">
        <f t="shared" si="58"/>
        <v/>
      </c>
      <c r="G639" s="183" t="str">
        <f>IF(F639 = "","",IFERROR(IF($G$1 = "YTM",_xll.CbondsCalcYTM($B$1,D639,F639),_xll.CbondsCalcYTP($B$1,D639,F639)),"")*100)</f>
        <v/>
      </c>
      <c r="U639" s="74"/>
      <c r="V639" s="74"/>
      <c r="W639" s="74"/>
      <c r="X639" s="74"/>
      <c r="Y639" s="74"/>
      <c r="Z639" s="74"/>
      <c r="AA639" s="74"/>
      <c r="AB639" s="74"/>
      <c r="AC639" s="74"/>
      <c r="AJ639" s="74"/>
      <c r="AK639" s="74"/>
      <c r="AL639" s="74"/>
      <c r="AM639" s="74"/>
      <c r="AN639" s="74"/>
      <c r="AO639" s="74"/>
      <c r="AP639" s="74"/>
      <c r="AQ639" s="74"/>
      <c r="AR639" s="74"/>
      <c r="AS639" s="74"/>
      <c r="BD639" s="74"/>
      <c r="BE639" s="74"/>
      <c r="BF639" s="74"/>
      <c r="BG639" s="74"/>
      <c r="BH639" s="74"/>
      <c r="BI639" s="74"/>
    </row>
    <row r="640" spans="4:61" x14ac:dyDescent="0.3">
      <c r="D640" s="76"/>
      <c r="E640" s="76"/>
      <c r="F640" s="76" t="str">
        <f t="shared" si="58"/>
        <v/>
      </c>
      <c r="G640" s="183" t="str">
        <f>IF(F640 = "","",IFERROR(IF($G$1 = "YTM",_xll.CbondsCalcYTM($B$1,D640,F640),_xll.CbondsCalcYTP($B$1,D640,F640)),"")*100)</f>
        <v/>
      </c>
      <c r="U640" s="74"/>
      <c r="V640" s="74"/>
      <c r="W640" s="74"/>
      <c r="X640" s="74"/>
      <c r="Y640" s="74"/>
      <c r="Z640" s="74"/>
      <c r="AA640" s="74"/>
      <c r="AB640" s="74"/>
      <c r="AC640" s="74"/>
      <c r="AJ640" s="74"/>
      <c r="AK640" s="74"/>
      <c r="AL640" s="74"/>
      <c r="AM640" s="74"/>
      <c r="AN640" s="74"/>
      <c r="AO640" s="74"/>
      <c r="AP640" s="74"/>
      <c r="AQ640" s="74"/>
      <c r="AR640" s="74"/>
      <c r="AS640" s="74"/>
      <c r="BD640" s="74"/>
      <c r="BE640" s="74"/>
      <c r="BF640" s="74"/>
      <c r="BG640" s="74"/>
      <c r="BH640" s="74"/>
      <c r="BI640" s="74"/>
    </row>
    <row r="641" spans="4:61" x14ac:dyDescent="0.3">
      <c r="D641" s="76"/>
      <c r="E641" s="76"/>
      <c r="F641" s="76" t="str">
        <f t="shared" si="58"/>
        <v/>
      </c>
      <c r="G641" s="183" t="str">
        <f>IF(F641 = "","",IFERROR(IF($G$1 = "YTM",_xll.CbondsCalcYTM($B$1,D641,F641),_xll.CbondsCalcYTP($B$1,D641,F641)),"")*100)</f>
        <v/>
      </c>
      <c r="U641" s="74"/>
      <c r="V641" s="74"/>
      <c r="W641" s="74"/>
      <c r="X641" s="74"/>
      <c r="Y641" s="74"/>
      <c r="Z641" s="74"/>
      <c r="AA641" s="74"/>
      <c r="AB641" s="74"/>
      <c r="AC641" s="74"/>
      <c r="AJ641" s="74"/>
      <c r="AK641" s="74"/>
      <c r="AL641" s="74"/>
      <c r="AM641" s="74"/>
      <c r="AN641" s="74"/>
      <c r="AO641" s="74"/>
      <c r="AP641" s="74"/>
      <c r="AQ641" s="74"/>
      <c r="AR641" s="74"/>
      <c r="AS641" s="74"/>
      <c r="BD641" s="74"/>
      <c r="BE641" s="74"/>
      <c r="BF641" s="74"/>
      <c r="BG641" s="74"/>
      <c r="BH641" s="74"/>
      <c r="BI641" s="74"/>
    </row>
    <row r="642" spans="4:61" x14ac:dyDescent="0.3">
      <c r="D642" s="76"/>
      <c r="E642" s="76"/>
      <c r="F642" s="76" t="str">
        <f t="shared" si="58"/>
        <v/>
      </c>
      <c r="G642" s="183" t="str">
        <f>IF(F642 = "","",IFERROR(IF($G$1 = "YTM",_xll.CbondsCalcYTM($B$1,D642,F642),_xll.CbondsCalcYTP($B$1,D642,F642)),"")*100)</f>
        <v/>
      </c>
      <c r="U642" s="74"/>
      <c r="V642" s="74"/>
      <c r="W642" s="74"/>
      <c r="X642" s="74"/>
      <c r="Y642" s="74"/>
      <c r="Z642" s="74"/>
      <c r="AA642" s="74"/>
      <c r="AB642" s="74"/>
      <c r="AC642" s="74"/>
      <c r="AJ642" s="74"/>
      <c r="AK642" s="74"/>
      <c r="AL642" s="74"/>
      <c r="AM642" s="74"/>
      <c r="AN642" s="74"/>
      <c r="AO642" s="74"/>
      <c r="AP642" s="74"/>
      <c r="AQ642" s="74"/>
      <c r="AR642" s="74"/>
      <c r="AS642" s="74"/>
      <c r="BD642" s="74"/>
      <c r="BE642" s="74"/>
      <c r="BF642" s="74"/>
      <c r="BG642" s="74"/>
      <c r="BH642" s="74"/>
      <c r="BI642" s="74"/>
    </row>
    <row r="643" spans="4:61" x14ac:dyDescent="0.3">
      <c r="D643" s="76"/>
      <c r="E643" s="76"/>
      <c r="F643" s="76" t="str">
        <f t="shared" si="58"/>
        <v/>
      </c>
      <c r="G643" s="183" t="str">
        <f>IF(F643 = "","",IFERROR(IF($G$1 = "YTM",_xll.CbondsCalcYTM($B$1,D643,F643),_xll.CbondsCalcYTP($B$1,D643,F643)),"")*100)</f>
        <v/>
      </c>
      <c r="U643" s="74"/>
      <c r="V643" s="74"/>
      <c r="W643" s="74"/>
      <c r="X643" s="74"/>
      <c r="Y643" s="74"/>
      <c r="Z643" s="74"/>
      <c r="AA643" s="74"/>
      <c r="AB643" s="74"/>
      <c r="AC643" s="74"/>
      <c r="AJ643" s="74"/>
      <c r="AK643" s="74"/>
      <c r="AL643" s="74"/>
      <c r="AM643" s="74"/>
      <c r="AN643" s="74"/>
      <c r="AO643" s="74"/>
      <c r="AP643" s="74"/>
      <c r="AQ643" s="74"/>
      <c r="AR643" s="74"/>
      <c r="AS643" s="74"/>
      <c r="BD643" s="74"/>
      <c r="BE643" s="74"/>
      <c r="BF643" s="74"/>
      <c r="BG643" s="74"/>
      <c r="BH643" s="74"/>
      <c r="BI643" s="74"/>
    </row>
    <row r="644" spans="4:61" x14ac:dyDescent="0.3">
      <c r="D644" s="76"/>
      <c r="E644" s="76"/>
      <c r="F644" s="76" t="str">
        <f t="shared" ref="F644:F707" si="59">IF(AND(E644="",D644=""),"",IF(AND(E644="",D644&lt;&gt;""),F643,E644))</f>
        <v/>
      </c>
      <c r="G644" s="183" t="str">
        <f>IF(F644 = "","",IFERROR(IF($G$1 = "YTM",_xll.CbondsCalcYTM($B$1,D644,F644),_xll.CbondsCalcYTP($B$1,D644,F644)),"")*100)</f>
        <v/>
      </c>
      <c r="U644" s="74"/>
      <c r="V644" s="74"/>
      <c r="W644" s="74"/>
      <c r="X644" s="74"/>
      <c r="Y644" s="74"/>
      <c r="Z644" s="74"/>
      <c r="AA644" s="74"/>
      <c r="AB644" s="74"/>
      <c r="AC644" s="74"/>
      <c r="AJ644" s="74"/>
      <c r="AK644" s="74"/>
      <c r="AL644" s="74"/>
      <c r="AM644" s="74"/>
      <c r="AN644" s="74"/>
      <c r="AO644" s="74"/>
      <c r="AP644" s="74"/>
      <c r="AQ644" s="74"/>
      <c r="AR644" s="74"/>
      <c r="AS644" s="74"/>
      <c r="BD644" s="74"/>
      <c r="BE644" s="74"/>
      <c r="BF644" s="74"/>
      <c r="BG644" s="74"/>
      <c r="BH644" s="74"/>
      <c r="BI644" s="74"/>
    </row>
    <row r="645" spans="4:61" x14ac:dyDescent="0.3">
      <c r="D645" s="76"/>
      <c r="E645" s="76"/>
      <c r="F645" s="76" t="str">
        <f t="shared" si="59"/>
        <v/>
      </c>
      <c r="G645" s="183" t="str">
        <f>IF(F645 = "","",IFERROR(IF($G$1 = "YTM",_xll.CbondsCalcYTM($B$1,D645,F645),_xll.CbondsCalcYTP($B$1,D645,F645)),"")*100)</f>
        <v/>
      </c>
      <c r="U645" s="74"/>
      <c r="V645" s="74"/>
      <c r="W645" s="74"/>
      <c r="X645" s="74"/>
      <c r="Y645" s="74"/>
      <c r="Z645" s="74"/>
      <c r="AA645" s="74"/>
      <c r="AB645" s="74"/>
      <c r="AC645" s="74"/>
      <c r="AJ645" s="74"/>
      <c r="AK645" s="74"/>
      <c r="AL645" s="74"/>
      <c r="AM645" s="74"/>
      <c r="AN645" s="74"/>
      <c r="AO645" s="74"/>
      <c r="AP645" s="74"/>
      <c r="AQ645" s="74"/>
      <c r="AR645" s="74"/>
      <c r="AS645" s="74"/>
      <c r="BD645" s="74"/>
      <c r="BE645" s="74"/>
      <c r="BF645" s="74"/>
      <c r="BG645" s="74"/>
      <c r="BH645" s="74"/>
      <c r="BI645" s="74"/>
    </row>
    <row r="646" spans="4:61" x14ac:dyDescent="0.3">
      <c r="D646" s="76"/>
      <c r="E646" s="76"/>
      <c r="F646" s="76" t="str">
        <f t="shared" si="59"/>
        <v/>
      </c>
      <c r="G646" s="183" t="str">
        <f>IF(F646 = "","",IFERROR(IF($G$1 = "YTM",_xll.CbondsCalcYTM($B$1,D646,F646),_xll.CbondsCalcYTP($B$1,D646,F646)),"")*100)</f>
        <v/>
      </c>
      <c r="U646" s="74"/>
      <c r="V646" s="74"/>
      <c r="W646" s="74"/>
      <c r="X646" s="74"/>
      <c r="Y646" s="74"/>
      <c r="Z646" s="74"/>
      <c r="AA646" s="74"/>
      <c r="AB646" s="74"/>
      <c r="AC646" s="74"/>
      <c r="AJ646" s="74"/>
      <c r="AK646" s="74"/>
      <c r="AL646" s="74"/>
      <c r="AM646" s="74"/>
      <c r="AN646" s="74"/>
      <c r="AO646" s="74"/>
      <c r="AP646" s="74"/>
      <c r="AQ646" s="74"/>
      <c r="AR646" s="74"/>
      <c r="AS646" s="74"/>
      <c r="BD646" s="74"/>
      <c r="BE646" s="74"/>
      <c r="BF646" s="74"/>
      <c r="BG646" s="74"/>
      <c r="BH646" s="74"/>
      <c r="BI646" s="74"/>
    </row>
    <row r="647" spans="4:61" x14ac:dyDescent="0.3">
      <c r="D647" s="76"/>
      <c r="E647" s="76"/>
      <c r="F647" s="76" t="str">
        <f t="shared" si="59"/>
        <v/>
      </c>
      <c r="G647" s="183" t="str">
        <f>IF(F647 = "","",IFERROR(IF($G$1 = "YTM",_xll.CbondsCalcYTM($B$1,D647,F647),_xll.CbondsCalcYTP($B$1,D647,F647)),"")*100)</f>
        <v/>
      </c>
      <c r="U647" s="74"/>
      <c r="V647" s="74"/>
      <c r="W647" s="74"/>
      <c r="X647" s="74"/>
      <c r="Y647" s="74"/>
      <c r="Z647" s="74"/>
      <c r="AA647" s="74"/>
      <c r="AB647" s="74"/>
      <c r="AC647" s="74"/>
      <c r="AJ647" s="74"/>
      <c r="AK647" s="74"/>
      <c r="AL647" s="74"/>
      <c r="AM647" s="74"/>
      <c r="AN647" s="74"/>
      <c r="AO647" s="74"/>
      <c r="AP647" s="74"/>
      <c r="AQ647" s="74"/>
      <c r="AR647" s="74"/>
      <c r="AS647" s="74"/>
      <c r="BD647" s="74"/>
      <c r="BE647" s="74"/>
      <c r="BF647" s="74"/>
      <c r="BG647" s="74"/>
      <c r="BH647" s="74"/>
      <c r="BI647" s="74"/>
    </row>
    <row r="648" spans="4:61" x14ac:dyDescent="0.3">
      <c r="D648" s="76"/>
      <c r="E648" s="76"/>
      <c r="F648" s="76" t="str">
        <f t="shared" si="59"/>
        <v/>
      </c>
      <c r="G648" s="183" t="str">
        <f>IF(F648 = "","",IFERROR(IF($G$1 = "YTM",_xll.CbondsCalcYTM($B$1,D648,F648),_xll.CbondsCalcYTP($B$1,D648,F648)),"")*100)</f>
        <v/>
      </c>
      <c r="U648" s="74"/>
      <c r="V648" s="74"/>
      <c r="W648" s="74"/>
      <c r="X648" s="74"/>
      <c r="Y648" s="74"/>
      <c r="Z648" s="74"/>
      <c r="AA648" s="74"/>
      <c r="AB648" s="74"/>
      <c r="AC648" s="74"/>
      <c r="AJ648" s="74"/>
      <c r="AK648" s="74"/>
      <c r="AL648" s="74"/>
      <c r="AM648" s="74"/>
      <c r="AN648" s="74"/>
      <c r="AO648" s="74"/>
      <c r="AP648" s="74"/>
      <c r="AQ648" s="74"/>
      <c r="AR648" s="74"/>
      <c r="AS648" s="74"/>
      <c r="BD648" s="74"/>
      <c r="BE648" s="74"/>
      <c r="BF648" s="74"/>
      <c r="BG648" s="74"/>
      <c r="BH648" s="74"/>
      <c r="BI648" s="74"/>
    </row>
    <row r="649" spans="4:61" x14ac:dyDescent="0.3">
      <c r="D649" s="76"/>
      <c r="E649" s="76"/>
      <c r="F649" s="76" t="str">
        <f t="shared" si="59"/>
        <v/>
      </c>
      <c r="G649" s="183" t="str">
        <f>IF(F649 = "","",IFERROR(IF($G$1 = "YTM",_xll.CbondsCalcYTM($B$1,D649,F649),_xll.CbondsCalcYTP($B$1,D649,F649)),"")*100)</f>
        <v/>
      </c>
      <c r="U649" s="74"/>
      <c r="V649" s="74"/>
      <c r="W649" s="74"/>
      <c r="X649" s="74"/>
      <c r="Y649" s="74"/>
      <c r="Z649" s="74"/>
      <c r="AA649" s="74"/>
      <c r="AB649" s="74"/>
      <c r="AC649" s="74"/>
      <c r="AJ649" s="74"/>
      <c r="AK649" s="74"/>
      <c r="AL649" s="74"/>
      <c r="AM649" s="74"/>
      <c r="AN649" s="74"/>
      <c r="AO649" s="74"/>
      <c r="AP649" s="74"/>
      <c r="AQ649" s="74"/>
      <c r="AR649" s="74"/>
      <c r="AS649" s="74"/>
      <c r="BD649" s="74"/>
      <c r="BE649" s="74"/>
      <c r="BF649" s="74"/>
      <c r="BG649" s="74"/>
      <c r="BH649" s="74"/>
      <c r="BI649" s="74"/>
    </row>
    <row r="650" spans="4:61" x14ac:dyDescent="0.3">
      <c r="D650" s="76"/>
      <c r="E650" s="76"/>
      <c r="F650" s="76" t="str">
        <f t="shared" si="59"/>
        <v/>
      </c>
      <c r="G650" s="183" t="str">
        <f>IF(F650 = "","",IFERROR(IF($G$1 = "YTM",_xll.CbondsCalcYTM($B$1,D650,F650),_xll.CbondsCalcYTP($B$1,D650,F650)),"")*100)</f>
        <v/>
      </c>
      <c r="U650" s="74"/>
      <c r="V650" s="74"/>
      <c r="W650" s="74"/>
      <c r="X650" s="74"/>
      <c r="Y650" s="74"/>
      <c r="Z650" s="74"/>
      <c r="AA650" s="74"/>
      <c r="AB650" s="74"/>
      <c r="AC650" s="74"/>
      <c r="AJ650" s="74"/>
      <c r="AK650" s="74"/>
      <c r="AL650" s="74"/>
      <c r="AM650" s="74"/>
      <c r="AN650" s="74"/>
      <c r="AO650" s="74"/>
      <c r="AP650" s="74"/>
      <c r="AQ650" s="74"/>
      <c r="AR650" s="74"/>
      <c r="AS650" s="74"/>
      <c r="BD650" s="74"/>
      <c r="BE650" s="74"/>
      <c r="BF650" s="74"/>
      <c r="BG650" s="74"/>
      <c r="BH650" s="74"/>
      <c r="BI650" s="74"/>
    </row>
    <row r="651" spans="4:61" x14ac:dyDescent="0.3">
      <c r="D651" s="76"/>
      <c r="E651" s="76"/>
      <c r="F651" s="76" t="str">
        <f t="shared" si="59"/>
        <v/>
      </c>
      <c r="G651" s="183" t="str">
        <f>IF(F651 = "","",IFERROR(IF($G$1 = "YTM",_xll.CbondsCalcYTM($B$1,D651,F651),_xll.CbondsCalcYTP($B$1,D651,F651)),"")*100)</f>
        <v/>
      </c>
      <c r="U651" s="74"/>
      <c r="V651" s="74"/>
      <c r="W651" s="74"/>
      <c r="X651" s="74"/>
      <c r="Y651" s="74"/>
      <c r="Z651" s="74"/>
      <c r="AA651" s="74"/>
      <c r="AB651" s="74"/>
      <c r="AC651" s="74"/>
      <c r="AJ651" s="74"/>
      <c r="AK651" s="74"/>
      <c r="AL651" s="74"/>
      <c r="AM651" s="74"/>
      <c r="AN651" s="74"/>
      <c r="AO651" s="74"/>
      <c r="AP651" s="74"/>
      <c r="AQ651" s="74"/>
      <c r="AR651" s="74"/>
      <c r="AS651" s="74"/>
      <c r="BD651" s="74"/>
      <c r="BE651" s="74"/>
      <c r="BF651" s="74"/>
      <c r="BG651" s="74"/>
      <c r="BH651" s="74"/>
      <c r="BI651" s="74"/>
    </row>
    <row r="652" spans="4:61" x14ac:dyDescent="0.3">
      <c r="D652" s="76"/>
      <c r="E652" s="76"/>
      <c r="F652" s="76" t="str">
        <f t="shared" si="59"/>
        <v/>
      </c>
      <c r="G652" s="183" t="str">
        <f>IF(F652 = "","",IFERROR(IF($G$1 = "YTM",_xll.CbondsCalcYTM($B$1,D652,F652),_xll.CbondsCalcYTP($B$1,D652,F652)),"")*100)</f>
        <v/>
      </c>
      <c r="U652" s="74"/>
      <c r="V652" s="74"/>
      <c r="W652" s="74"/>
      <c r="X652" s="74"/>
      <c r="Y652" s="74"/>
      <c r="Z652" s="74"/>
      <c r="AA652" s="74"/>
      <c r="AB652" s="74"/>
      <c r="AC652" s="74"/>
      <c r="AJ652" s="74"/>
      <c r="AK652" s="74"/>
      <c r="AL652" s="74"/>
      <c r="AM652" s="74"/>
      <c r="AN652" s="74"/>
      <c r="AO652" s="74"/>
      <c r="AP652" s="74"/>
      <c r="AQ652" s="74"/>
      <c r="AR652" s="74"/>
      <c r="AS652" s="74"/>
      <c r="BD652" s="74"/>
      <c r="BE652" s="74"/>
      <c r="BF652" s="74"/>
      <c r="BG652" s="74"/>
      <c r="BH652" s="74"/>
      <c r="BI652" s="74"/>
    </row>
    <row r="653" spans="4:61" x14ac:dyDescent="0.3">
      <c r="D653" s="76"/>
      <c r="E653" s="76"/>
      <c r="F653" s="76" t="str">
        <f t="shared" si="59"/>
        <v/>
      </c>
      <c r="G653" s="183" t="str">
        <f>IF(F653 = "","",IFERROR(IF($G$1 = "YTM",_xll.CbondsCalcYTM($B$1,D653,F653),_xll.CbondsCalcYTP($B$1,D653,F653)),"")*100)</f>
        <v/>
      </c>
      <c r="U653" s="74"/>
      <c r="V653" s="74"/>
      <c r="W653" s="74"/>
      <c r="X653" s="74"/>
      <c r="Y653" s="74"/>
      <c r="Z653" s="74"/>
      <c r="AA653" s="74"/>
      <c r="AB653" s="74"/>
      <c r="AC653" s="74"/>
      <c r="AJ653" s="74"/>
      <c r="AK653" s="74"/>
      <c r="AL653" s="74"/>
      <c r="AM653" s="74"/>
      <c r="AN653" s="74"/>
      <c r="AO653" s="74"/>
      <c r="AP653" s="74"/>
      <c r="AQ653" s="74"/>
      <c r="AR653" s="74"/>
      <c r="AS653" s="74"/>
      <c r="BD653" s="74"/>
      <c r="BE653" s="74"/>
      <c r="BF653" s="74"/>
      <c r="BG653" s="74"/>
      <c r="BH653" s="74"/>
      <c r="BI653" s="74"/>
    </row>
    <row r="654" spans="4:61" x14ac:dyDescent="0.3">
      <c r="D654" s="76"/>
      <c r="E654" s="76"/>
      <c r="F654" s="76" t="str">
        <f t="shared" si="59"/>
        <v/>
      </c>
      <c r="G654" s="183" t="str">
        <f>IF(F654 = "","",IFERROR(IF($G$1 = "YTM",_xll.CbondsCalcYTM($B$1,D654,F654),_xll.CbondsCalcYTP($B$1,D654,F654)),"")*100)</f>
        <v/>
      </c>
      <c r="U654" s="74"/>
      <c r="V654" s="74"/>
      <c r="W654" s="74"/>
      <c r="X654" s="74"/>
      <c r="Y654" s="74"/>
      <c r="Z654" s="74"/>
      <c r="AA654" s="74"/>
      <c r="AB654" s="74"/>
      <c r="AC654" s="74"/>
      <c r="AJ654" s="74"/>
      <c r="AK654" s="74"/>
      <c r="AL654" s="74"/>
      <c r="AM654" s="74"/>
      <c r="AN654" s="74"/>
      <c r="AO654" s="74"/>
      <c r="AP654" s="74"/>
      <c r="AQ654" s="74"/>
      <c r="AR654" s="74"/>
      <c r="AS654" s="74"/>
      <c r="BD654" s="74"/>
      <c r="BE654" s="74"/>
      <c r="BF654" s="74"/>
      <c r="BG654" s="74"/>
      <c r="BH654" s="74"/>
      <c r="BI654" s="74"/>
    </row>
    <row r="655" spans="4:61" x14ac:dyDescent="0.3">
      <c r="D655" s="76"/>
      <c r="E655" s="76"/>
      <c r="F655" s="76" t="str">
        <f t="shared" si="59"/>
        <v/>
      </c>
      <c r="G655" s="183" t="str">
        <f>IF(F655 = "","",IFERROR(IF($G$1 = "YTM",_xll.CbondsCalcYTM($B$1,D655,F655),_xll.CbondsCalcYTP($B$1,D655,F655)),"")*100)</f>
        <v/>
      </c>
      <c r="U655" s="74"/>
      <c r="V655" s="74"/>
      <c r="W655" s="74"/>
      <c r="X655" s="74"/>
      <c r="Y655" s="74"/>
      <c r="Z655" s="74"/>
      <c r="AA655" s="74"/>
      <c r="AB655" s="74"/>
      <c r="AC655" s="74"/>
      <c r="AJ655" s="74"/>
      <c r="AK655" s="74"/>
      <c r="AL655" s="74"/>
      <c r="AM655" s="74"/>
      <c r="AN655" s="74"/>
      <c r="AO655" s="74"/>
      <c r="AP655" s="74"/>
      <c r="AQ655" s="74"/>
      <c r="AR655" s="74"/>
      <c r="AS655" s="74"/>
      <c r="BD655" s="74"/>
      <c r="BE655" s="74"/>
      <c r="BF655" s="74"/>
      <c r="BG655" s="74"/>
      <c r="BH655" s="74"/>
      <c r="BI655" s="74"/>
    </row>
    <row r="656" spans="4:61" x14ac:dyDescent="0.3">
      <c r="D656" s="76"/>
      <c r="E656" s="76"/>
      <c r="F656" s="76" t="str">
        <f t="shared" si="59"/>
        <v/>
      </c>
      <c r="G656" s="183" t="str">
        <f>IF(F656 = "","",IFERROR(IF($G$1 = "YTM",_xll.CbondsCalcYTM($B$1,D656,F656),_xll.CbondsCalcYTP($B$1,D656,F656)),"")*100)</f>
        <v/>
      </c>
      <c r="U656" s="74"/>
      <c r="V656" s="74"/>
      <c r="W656" s="74"/>
      <c r="X656" s="74"/>
      <c r="Y656" s="74"/>
      <c r="Z656" s="74"/>
      <c r="AA656" s="74"/>
      <c r="AB656" s="74"/>
      <c r="AC656" s="74"/>
      <c r="AJ656" s="74"/>
      <c r="AK656" s="74"/>
      <c r="AL656" s="74"/>
      <c r="AM656" s="74"/>
      <c r="AN656" s="74"/>
      <c r="AO656" s="74"/>
      <c r="AP656" s="74"/>
      <c r="AQ656" s="74"/>
      <c r="AR656" s="74"/>
      <c r="AS656" s="74"/>
      <c r="BD656" s="74"/>
      <c r="BE656" s="74"/>
      <c r="BF656" s="74"/>
      <c r="BG656" s="74"/>
      <c r="BH656" s="74"/>
      <c r="BI656" s="74"/>
    </row>
    <row r="657" spans="4:61" x14ac:dyDescent="0.3">
      <c r="D657" s="76"/>
      <c r="E657" s="76"/>
      <c r="F657" s="76" t="str">
        <f t="shared" si="59"/>
        <v/>
      </c>
      <c r="G657" s="183" t="str">
        <f>IF(F657 = "","",IFERROR(IF($G$1 = "YTM",_xll.CbondsCalcYTM($B$1,D657,F657),_xll.CbondsCalcYTP($B$1,D657,F657)),"")*100)</f>
        <v/>
      </c>
      <c r="U657" s="74"/>
      <c r="V657" s="74"/>
      <c r="W657" s="74"/>
      <c r="X657" s="74"/>
      <c r="Y657" s="74"/>
      <c r="Z657" s="74"/>
      <c r="AA657" s="74"/>
      <c r="AB657" s="74"/>
      <c r="AC657" s="74"/>
      <c r="AJ657" s="74"/>
      <c r="AK657" s="74"/>
      <c r="AL657" s="74"/>
      <c r="AM657" s="74"/>
      <c r="AN657" s="74"/>
      <c r="AO657" s="74"/>
      <c r="AP657" s="74"/>
      <c r="AQ657" s="74"/>
      <c r="AR657" s="74"/>
      <c r="AS657" s="74"/>
      <c r="BD657" s="74"/>
      <c r="BE657" s="74"/>
      <c r="BF657" s="74"/>
      <c r="BG657" s="74"/>
      <c r="BH657" s="74"/>
      <c r="BI657" s="74"/>
    </row>
    <row r="658" spans="4:61" x14ac:dyDescent="0.3">
      <c r="D658" s="76"/>
      <c r="E658" s="76"/>
      <c r="F658" s="76" t="str">
        <f t="shared" si="59"/>
        <v/>
      </c>
      <c r="G658" s="183" t="str">
        <f>IF(F658 = "","",IFERROR(IF($G$1 = "YTM",_xll.CbondsCalcYTM($B$1,D658,F658),_xll.CbondsCalcYTP($B$1,D658,F658)),"")*100)</f>
        <v/>
      </c>
      <c r="U658" s="74"/>
      <c r="V658" s="74"/>
      <c r="W658" s="74"/>
      <c r="X658" s="74"/>
      <c r="Y658" s="74"/>
      <c r="Z658" s="74"/>
      <c r="AA658" s="74"/>
      <c r="AB658" s="74"/>
      <c r="AC658" s="74"/>
      <c r="AJ658" s="74"/>
      <c r="AK658" s="74"/>
      <c r="AL658" s="74"/>
      <c r="AM658" s="74"/>
      <c r="AN658" s="74"/>
      <c r="AO658" s="74"/>
      <c r="AP658" s="74"/>
      <c r="AQ658" s="74"/>
      <c r="AR658" s="74"/>
      <c r="AS658" s="74"/>
      <c r="BD658" s="74"/>
      <c r="BE658" s="74"/>
      <c r="BF658" s="74"/>
      <c r="BG658" s="74"/>
      <c r="BH658" s="74"/>
      <c r="BI658" s="74"/>
    </row>
    <row r="659" spans="4:61" x14ac:dyDescent="0.3">
      <c r="D659" s="76"/>
      <c r="E659" s="76"/>
      <c r="F659" s="76" t="str">
        <f t="shared" si="59"/>
        <v/>
      </c>
      <c r="G659" s="183" t="str">
        <f>IF(F659 = "","",IFERROR(IF($G$1 = "YTM",_xll.CbondsCalcYTM($B$1,D659,F659),_xll.CbondsCalcYTP($B$1,D659,F659)),"")*100)</f>
        <v/>
      </c>
      <c r="U659" s="74"/>
      <c r="V659" s="74"/>
      <c r="W659" s="74"/>
      <c r="X659" s="74"/>
      <c r="Y659" s="74"/>
      <c r="Z659" s="74"/>
      <c r="AA659" s="74"/>
      <c r="AB659" s="74"/>
      <c r="AC659" s="74"/>
      <c r="AJ659" s="74"/>
      <c r="AK659" s="74"/>
      <c r="AL659" s="74"/>
      <c r="AM659" s="74"/>
      <c r="AN659" s="74"/>
      <c r="AO659" s="74"/>
      <c r="AP659" s="74"/>
      <c r="AQ659" s="74"/>
      <c r="AR659" s="74"/>
      <c r="AS659" s="74"/>
      <c r="BD659" s="74"/>
      <c r="BE659" s="74"/>
      <c r="BF659" s="74"/>
      <c r="BG659" s="74"/>
      <c r="BH659" s="74"/>
      <c r="BI659" s="74"/>
    </row>
    <row r="660" spans="4:61" x14ac:dyDescent="0.3">
      <c r="D660" s="76"/>
      <c r="E660" s="76"/>
      <c r="F660" s="76" t="str">
        <f t="shared" si="59"/>
        <v/>
      </c>
      <c r="G660" s="183" t="str">
        <f>IF(F660 = "","",IFERROR(IF($G$1 = "YTM",_xll.CbondsCalcYTM($B$1,D660,F660),_xll.CbondsCalcYTP($B$1,D660,F660)),"")*100)</f>
        <v/>
      </c>
      <c r="U660" s="74"/>
      <c r="V660" s="74"/>
      <c r="W660" s="74"/>
      <c r="X660" s="74"/>
      <c r="Y660" s="74"/>
      <c r="Z660" s="74"/>
      <c r="AA660" s="74"/>
      <c r="AB660" s="74"/>
      <c r="AC660" s="74"/>
      <c r="AJ660" s="74"/>
      <c r="AK660" s="74"/>
      <c r="AL660" s="74"/>
      <c r="AM660" s="74"/>
      <c r="AN660" s="74"/>
      <c r="AO660" s="74"/>
      <c r="AP660" s="74"/>
      <c r="AQ660" s="74"/>
      <c r="AR660" s="74"/>
      <c r="AS660" s="74"/>
      <c r="BD660" s="74"/>
      <c r="BE660" s="74"/>
      <c r="BF660" s="74"/>
      <c r="BG660" s="74"/>
      <c r="BH660" s="74"/>
      <c r="BI660" s="74"/>
    </row>
    <row r="661" spans="4:61" x14ac:dyDescent="0.3">
      <c r="D661" s="76"/>
      <c r="E661" s="76"/>
      <c r="F661" s="76" t="str">
        <f t="shared" si="59"/>
        <v/>
      </c>
      <c r="G661" s="183" t="str">
        <f>IF(F661 = "","",IFERROR(IF($G$1 = "YTM",_xll.CbondsCalcYTM($B$1,D661,F661),_xll.CbondsCalcYTP($B$1,D661,F661)),"")*100)</f>
        <v/>
      </c>
      <c r="U661" s="74"/>
      <c r="V661" s="74"/>
      <c r="W661" s="74"/>
      <c r="X661" s="74"/>
      <c r="Y661" s="74"/>
      <c r="Z661" s="74"/>
      <c r="AA661" s="74"/>
      <c r="AB661" s="74"/>
      <c r="AC661" s="74"/>
      <c r="AJ661" s="74"/>
      <c r="AK661" s="74"/>
      <c r="AL661" s="74"/>
      <c r="AM661" s="74"/>
      <c r="AN661" s="74"/>
      <c r="AO661" s="74"/>
      <c r="AP661" s="74"/>
      <c r="AQ661" s="74"/>
      <c r="AR661" s="74"/>
      <c r="AS661" s="74"/>
      <c r="BD661" s="74"/>
      <c r="BE661" s="74"/>
      <c r="BF661" s="74"/>
      <c r="BG661" s="74"/>
      <c r="BH661" s="74"/>
      <c r="BI661" s="74"/>
    </row>
    <row r="662" spans="4:61" x14ac:dyDescent="0.3">
      <c r="D662" s="76"/>
      <c r="E662" s="76"/>
      <c r="F662" s="76" t="str">
        <f t="shared" si="59"/>
        <v/>
      </c>
      <c r="G662" s="183" t="str">
        <f>IF(F662 = "","",IFERROR(IF($G$1 = "YTM",_xll.CbondsCalcYTM($B$1,D662,F662),_xll.CbondsCalcYTP($B$1,D662,F662)),"")*100)</f>
        <v/>
      </c>
      <c r="U662" s="74"/>
      <c r="V662" s="74"/>
      <c r="W662" s="74"/>
      <c r="X662" s="74"/>
      <c r="Y662" s="74"/>
      <c r="Z662" s="74"/>
      <c r="AA662" s="74"/>
      <c r="AB662" s="74"/>
      <c r="AC662" s="74"/>
      <c r="AJ662" s="74"/>
      <c r="AK662" s="74"/>
      <c r="AL662" s="74"/>
      <c r="AM662" s="74"/>
      <c r="AN662" s="74"/>
      <c r="AO662" s="74"/>
      <c r="AP662" s="74"/>
      <c r="AQ662" s="74"/>
      <c r="AR662" s="74"/>
      <c r="AS662" s="74"/>
      <c r="BD662" s="74"/>
      <c r="BE662" s="74"/>
      <c r="BF662" s="74"/>
      <c r="BG662" s="74"/>
      <c r="BH662" s="74"/>
      <c r="BI662" s="74"/>
    </row>
    <row r="663" spans="4:61" x14ac:dyDescent="0.3">
      <c r="D663" s="76"/>
      <c r="E663" s="76"/>
      <c r="F663" s="76" t="str">
        <f t="shared" si="59"/>
        <v/>
      </c>
      <c r="G663" s="183" t="str">
        <f>IF(F663 = "","",IFERROR(IF($G$1 = "YTM",_xll.CbondsCalcYTM($B$1,D663,F663),_xll.CbondsCalcYTP($B$1,D663,F663)),"")*100)</f>
        <v/>
      </c>
      <c r="U663" s="74"/>
      <c r="V663" s="74"/>
      <c r="W663" s="74"/>
      <c r="X663" s="74"/>
      <c r="Y663" s="74"/>
      <c r="Z663" s="74"/>
      <c r="AA663" s="74"/>
      <c r="AB663" s="74"/>
      <c r="AC663" s="74"/>
      <c r="AJ663" s="74"/>
      <c r="AK663" s="74"/>
      <c r="AL663" s="74"/>
      <c r="AM663" s="74"/>
      <c r="AN663" s="74"/>
      <c r="AO663" s="74"/>
      <c r="AP663" s="74"/>
      <c r="AQ663" s="74"/>
      <c r="AR663" s="74"/>
      <c r="AS663" s="74"/>
      <c r="BD663" s="74"/>
      <c r="BE663" s="74"/>
      <c r="BF663" s="74"/>
      <c r="BG663" s="74"/>
      <c r="BH663" s="74"/>
      <c r="BI663" s="74"/>
    </row>
    <row r="664" spans="4:61" x14ac:dyDescent="0.3">
      <c r="D664" s="76"/>
      <c r="E664" s="76"/>
      <c r="F664" s="76" t="str">
        <f t="shared" si="59"/>
        <v/>
      </c>
      <c r="G664" s="183" t="str">
        <f>IF(F664 = "","",IFERROR(IF($G$1 = "YTM",_xll.CbondsCalcYTM($B$1,D664,F664),_xll.CbondsCalcYTP($B$1,D664,F664)),"")*100)</f>
        <v/>
      </c>
      <c r="U664" s="74"/>
      <c r="V664" s="74"/>
      <c r="W664" s="74"/>
      <c r="X664" s="74"/>
      <c r="Y664" s="74"/>
      <c r="Z664" s="74"/>
      <c r="AA664" s="74"/>
      <c r="AB664" s="74"/>
      <c r="AC664" s="74"/>
      <c r="AJ664" s="74"/>
      <c r="AK664" s="74"/>
      <c r="AL664" s="74"/>
      <c r="AM664" s="74"/>
      <c r="AN664" s="74"/>
      <c r="AO664" s="74"/>
      <c r="AP664" s="74"/>
      <c r="AQ664" s="74"/>
      <c r="AR664" s="74"/>
      <c r="AS664" s="74"/>
      <c r="BD664" s="74"/>
      <c r="BE664" s="74"/>
      <c r="BF664" s="74"/>
      <c r="BG664" s="74"/>
      <c r="BH664" s="74"/>
      <c r="BI664" s="74"/>
    </row>
    <row r="665" spans="4:61" x14ac:dyDescent="0.3">
      <c r="D665" s="76"/>
      <c r="E665" s="76"/>
      <c r="F665" s="76" t="str">
        <f t="shared" si="59"/>
        <v/>
      </c>
      <c r="G665" s="183" t="str">
        <f>IF(F665 = "","",IFERROR(IF($G$1 = "YTM",_xll.CbondsCalcYTM($B$1,D665,F665),_xll.CbondsCalcYTP($B$1,D665,F665)),"")*100)</f>
        <v/>
      </c>
      <c r="U665" s="74"/>
      <c r="V665" s="74"/>
      <c r="W665" s="74"/>
      <c r="X665" s="74"/>
      <c r="Y665" s="74"/>
      <c r="Z665" s="74"/>
      <c r="AA665" s="74"/>
      <c r="AB665" s="74"/>
      <c r="AC665" s="74"/>
      <c r="AJ665" s="74"/>
      <c r="AK665" s="74"/>
      <c r="AL665" s="74"/>
      <c r="AM665" s="74"/>
      <c r="AN665" s="74"/>
      <c r="AO665" s="74"/>
      <c r="AP665" s="74"/>
      <c r="AQ665" s="74"/>
      <c r="AR665" s="74"/>
      <c r="AS665" s="74"/>
      <c r="BD665" s="74"/>
      <c r="BE665" s="74"/>
      <c r="BF665" s="74"/>
      <c r="BG665" s="74"/>
      <c r="BH665" s="74"/>
      <c r="BI665" s="74"/>
    </row>
    <row r="666" spans="4:61" x14ac:dyDescent="0.3">
      <c r="D666" s="76"/>
      <c r="E666" s="76"/>
      <c r="F666" s="76" t="str">
        <f t="shared" si="59"/>
        <v/>
      </c>
      <c r="G666" s="183" t="str">
        <f>IF(F666 = "","",IFERROR(IF($G$1 = "YTM",_xll.CbondsCalcYTM($B$1,D666,F666),_xll.CbondsCalcYTP($B$1,D666,F666)),"")*100)</f>
        <v/>
      </c>
      <c r="U666" s="74"/>
      <c r="V666" s="74"/>
      <c r="W666" s="74"/>
      <c r="X666" s="74"/>
      <c r="Y666" s="74"/>
      <c r="Z666" s="74"/>
      <c r="AA666" s="74"/>
      <c r="AB666" s="74"/>
      <c r="AC666" s="74"/>
      <c r="AJ666" s="74"/>
      <c r="AK666" s="74"/>
      <c r="AL666" s="74"/>
      <c r="AM666" s="74"/>
      <c r="AN666" s="74"/>
      <c r="AO666" s="74"/>
      <c r="AP666" s="74"/>
      <c r="AQ666" s="74"/>
      <c r="AR666" s="74"/>
      <c r="AS666" s="74"/>
      <c r="BD666" s="74"/>
      <c r="BE666" s="74"/>
      <c r="BF666" s="74"/>
      <c r="BG666" s="74"/>
      <c r="BH666" s="74"/>
      <c r="BI666" s="74"/>
    </row>
    <row r="667" spans="4:61" x14ac:dyDescent="0.3">
      <c r="D667" s="76"/>
      <c r="E667" s="76"/>
      <c r="F667" s="76" t="str">
        <f t="shared" si="59"/>
        <v/>
      </c>
      <c r="G667" s="183" t="str">
        <f>IF(F667 = "","",IFERROR(IF($G$1 = "YTM",_xll.CbondsCalcYTM($B$1,D667,F667),_xll.CbondsCalcYTP($B$1,D667,F667)),"")*100)</f>
        <v/>
      </c>
      <c r="U667" s="74"/>
      <c r="V667" s="74"/>
      <c r="W667" s="74"/>
      <c r="X667" s="74"/>
      <c r="Y667" s="74"/>
      <c r="Z667" s="74"/>
      <c r="AA667" s="74"/>
      <c r="AB667" s="74"/>
      <c r="AC667" s="74"/>
      <c r="AJ667" s="74"/>
      <c r="AK667" s="74"/>
      <c r="AL667" s="74"/>
      <c r="AM667" s="74"/>
      <c r="AN667" s="74"/>
      <c r="AO667" s="74"/>
      <c r="AP667" s="74"/>
      <c r="AQ667" s="74"/>
      <c r="AR667" s="74"/>
      <c r="AS667" s="74"/>
      <c r="BD667" s="74"/>
      <c r="BE667" s="74"/>
      <c r="BF667" s="74"/>
      <c r="BG667" s="74"/>
      <c r="BH667" s="74"/>
      <c r="BI667" s="74"/>
    </row>
    <row r="668" spans="4:61" x14ac:dyDescent="0.3">
      <c r="D668" s="76"/>
      <c r="E668" s="76"/>
      <c r="F668" s="76" t="str">
        <f t="shared" si="59"/>
        <v/>
      </c>
      <c r="G668" s="183" t="str">
        <f>IF(F668 = "","",IFERROR(IF($G$1 = "YTM",_xll.CbondsCalcYTM($B$1,D668,F668),_xll.CbondsCalcYTP($B$1,D668,F668)),"")*100)</f>
        <v/>
      </c>
      <c r="U668" s="74"/>
      <c r="V668" s="74"/>
      <c r="W668" s="74"/>
      <c r="X668" s="74"/>
      <c r="Y668" s="74"/>
      <c r="Z668" s="74"/>
      <c r="AA668" s="74"/>
      <c r="AB668" s="74"/>
      <c r="AC668" s="74"/>
      <c r="AJ668" s="74"/>
      <c r="AK668" s="74"/>
      <c r="AL668" s="74"/>
      <c r="AM668" s="74"/>
      <c r="AN668" s="74"/>
      <c r="AO668" s="74"/>
      <c r="AP668" s="74"/>
      <c r="AQ668" s="74"/>
      <c r="AR668" s="74"/>
      <c r="AS668" s="74"/>
      <c r="BD668" s="74"/>
      <c r="BE668" s="74"/>
      <c r="BF668" s="74"/>
      <c r="BG668" s="74"/>
      <c r="BH668" s="74"/>
      <c r="BI668" s="74"/>
    </row>
    <row r="669" spans="4:61" x14ac:dyDescent="0.3">
      <c r="D669" s="76"/>
      <c r="E669" s="76"/>
      <c r="F669" s="76" t="str">
        <f t="shared" si="59"/>
        <v/>
      </c>
      <c r="G669" s="183" t="str">
        <f>IF(F669 = "","",IFERROR(IF($G$1 = "YTM",_xll.CbondsCalcYTM($B$1,D669,F669),_xll.CbondsCalcYTP($B$1,D669,F669)),"")*100)</f>
        <v/>
      </c>
      <c r="U669" s="74"/>
      <c r="V669" s="74"/>
      <c r="W669" s="74"/>
      <c r="X669" s="74"/>
      <c r="Y669" s="74"/>
      <c r="Z669" s="74"/>
      <c r="AA669" s="74"/>
      <c r="AB669" s="74"/>
      <c r="AC669" s="74"/>
      <c r="AJ669" s="74"/>
      <c r="AK669" s="74"/>
      <c r="AL669" s="74"/>
      <c r="AM669" s="74"/>
      <c r="AN669" s="74"/>
      <c r="AO669" s="74"/>
      <c r="AP669" s="74"/>
      <c r="AQ669" s="74"/>
      <c r="AR669" s="74"/>
      <c r="AS669" s="74"/>
      <c r="BD669" s="74"/>
      <c r="BE669" s="74"/>
      <c r="BF669" s="74"/>
      <c r="BG669" s="74"/>
      <c r="BH669" s="74"/>
      <c r="BI669" s="74"/>
    </row>
    <row r="670" spans="4:61" x14ac:dyDescent="0.3">
      <c r="D670" s="76"/>
      <c r="E670" s="76"/>
      <c r="F670" s="76" t="str">
        <f t="shared" si="59"/>
        <v/>
      </c>
      <c r="G670" s="183" t="str">
        <f>IF(F670 = "","",IFERROR(IF($G$1 = "YTM",_xll.CbondsCalcYTM($B$1,D670,F670),_xll.CbondsCalcYTP($B$1,D670,F670)),"")*100)</f>
        <v/>
      </c>
      <c r="U670" s="74"/>
      <c r="V670" s="74"/>
      <c r="W670" s="74"/>
      <c r="X670" s="74"/>
      <c r="Y670" s="74"/>
      <c r="Z670" s="74"/>
      <c r="AA670" s="74"/>
      <c r="AB670" s="74"/>
      <c r="AC670" s="74"/>
      <c r="AJ670" s="74"/>
      <c r="AK670" s="74"/>
      <c r="AL670" s="74"/>
      <c r="AM670" s="74"/>
      <c r="AN670" s="74"/>
      <c r="AO670" s="74"/>
      <c r="AP670" s="74"/>
      <c r="AQ670" s="74"/>
      <c r="AR670" s="74"/>
      <c r="AS670" s="74"/>
      <c r="BD670" s="74"/>
      <c r="BE670" s="74"/>
      <c r="BF670" s="74"/>
      <c r="BG670" s="74"/>
      <c r="BH670" s="74"/>
      <c r="BI670" s="74"/>
    </row>
    <row r="671" spans="4:61" x14ac:dyDescent="0.3">
      <c r="D671" s="76"/>
      <c r="E671" s="76"/>
      <c r="F671" s="76" t="str">
        <f t="shared" si="59"/>
        <v/>
      </c>
      <c r="G671" s="183" t="str">
        <f>IF(F671 = "","",IFERROR(IF($G$1 = "YTM",_xll.CbondsCalcYTM($B$1,D671,F671),_xll.CbondsCalcYTP($B$1,D671,F671)),"")*100)</f>
        <v/>
      </c>
      <c r="U671" s="74"/>
      <c r="V671" s="74"/>
      <c r="W671" s="74"/>
      <c r="X671" s="74"/>
      <c r="Y671" s="74"/>
      <c r="Z671" s="74"/>
      <c r="AA671" s="74"/>
      <c r="AB671" s="74"/>
      <c r="AC671" s="74"/>
      <c r="AJ671" s="74"/>
      <c r="AK671" s="74"/>
      <c r="AL671" s="74"/>
      <c r="AM671" s="74"/>
      <c r="AN671" s="74"/>
      <c r="AO671" s="74"/>
      <c r="AP671" s="74"/>
      <c r="AQ671" s="74"/>
      <c r="AR671" s="74"/>
      <c r="AS671" s="74"/>
      <c r="BD671" s="74"/>
      <c r="BE671" s="74"/>
      <c r="BF671" s="74"/>
      <c r="BG671" s="74"/>
      <c r="BH671" s="74"/>
      <c r="BI671" s="74"/>
    </row>
    <row r="672" spans="4:61" x14ac:dyDescent="0.3">
      <c r="D672" s="76"/>
      <c r="E672" s="76"/>
      <c r="F672" s="76" t="str">
        <f t="shared" si="59"/>
        <v/>
      </c>
      <c r="G672" s="183" t="str">
        <f>IF(F672 = "","",IFERROR(IF($G$1 = "YTM",_xll.CbondsCalcYTM($B$1,D672,F672),_xll.CbondsCalcYTP($B$1,D672,F672)),"")*100)</f>
        <v/>
      </c>
      <c r="U672" s="74"/>
      <c r="V672" s="74"/>
      <c r="W672" s="74"/>
      <c r="X672" s="74"/>
      <c r="Y672" s="74"/>
      <c r="Z672" s="74"/>
      <c r="AA672" s="74"/>
      <c r="AB672" s="74"/>
      <c r="AC672" s="74"/>
      <c r="AJ672" s="74"/>
      <c r="AK672" s="74"/>
      <c r="AL672" s="74"/>
      <c r="AM672" s="74"/>
      <c r="AN672" s="74"/>
      <c r="AO672" s="74"/>
      <c r="AP672" s="74"/>
      <c r="AQ672" s="74"/>
      <c r="AR672" s="74"/>
      <c r="AS672" s="74"/>
      <c r="BD672" s="74"/>
      <c r="BE672" s="74"/>
      <c r="BF672" s="74"/>
      <c r="BG672" s="74"/>
      <c r="BH672" s="74"/>
      <c r="BI672" s="74"/>
    </row>
    <row r="673" spans="4:61" x14ac:dyDescent="0.3">
      <c r="D673" s="76"/>
      <c r="E673" s="76"/>
      <c r="F673" s="76" t="str">
        <f t="shared" si="59"/>
        <v/>
      </c>
      <c r="G673" s="183" t="str">
        <f>IF(F673 = "","",IFERROR(IF($G$1 = "YTM",_xll.CbondsCalcYTM($B$1,D673,F673),_xll.CbondsCalcYTP($B$1,D673,F673)),"")*100)</f>
        <v/>
      </c>
      <c r="U673" s="74"/>
      <c r="V673" s="74"/>
      <c r="W673" s="74"/>
      <c r="X673" s="74"/>
      <c r="Y673" s="74"/>
      <c r="Z673" s="74"/>
      <c r="AA673" s="74"/>
      <c r="AB673" s="74"/>
      <c r="AC673" s="74"/>
      <c r="AJ673" s="74"/>
      <c r="AK673" s="74"/>
      <c r="AL673" s="74"/>
      <c r="AM673" s="74"/>
      <c r="AN673" s="74"/>
      <c r="AO673" s="74"/>
      <c r="AP673" s="74"/>
      <c r="AQ673" s="74"/>
      <c r="AR673" s="74"/>
      <c r="AS673" s="74"/>
      <c r="BD673" s="74"/>
      <c r="BE673" s="74"/>
      <c r="BF673" s="74"/>
      <c r="BG673" s="74"/>
      <c r="BH673" s="74"/>
      <c r="BI673" s="74"/>
    </row>
    <row r="674" spans="4:61" x14ac:dyDescent="0.3">
      <c r="D674" s="76"/>
      <c r="E674" s="76"/>
      <c r="F674" s="76" t="str">
        <f t="shared" si="59"/>
        <v/>
      </c>
      <c r="G674" s="183" t="str">
        <f>IF(F674 = "","",IFERROR(IF($G$1 = "YTM",_xll.CbondsCalcYTM($B$1,D674,F674),_xll.CbondsCalcYTP($B$1,D674,F674)),"")*100)</f>
        <v/>
      </c>
      <c r="U674" s="74"/>
      <c r="V674" s="74"/>
      <c r="W674" s="74"/>
      <c r="X674" s="74"/>
      <c r="Y674" s="74"/>
      <c r="Z674" s="74"/>
      <c r="AA674" s="74"/>
      <c r="AB674" s="74"/>
      <c r="AC674" s="74"/>
      <c r="AJ674" s="74"/>
      <c r="AK674" s="74"/>
      <c r="AL674" s="74"/>
      <c r="AM674" s="74"/>
      <c r="AN674" s="74"/>
      <c r="AO674" s="74"/>
      <c r="AP674" s="74"/>
      <c r="AQ674" s="74"/>
      <c r="AR674" s="74"/>
      <c r="AS674" s="74"/>
      <c r="BD674" s="74"/>
      <c r="BE674" s="74"/>
      <c r="BF674" s="74"/>
      <c r="BG674" s="74"/>
      <c r="BH674" s="74"/>
      <c r="BI674" s="74"/>
    </row>
    <row r="675" spans="4:61" x14ac:dyDescent="0.3">
      <c r="D675" s="76"/>
      <c r="E675" s="76"/>
      <c r="F675" s="76" t="str">
        <f t="shared" si="59"/>
        <v/>
      </c>
      <c r="G675" s="183" t="str">
        <f>IF(F675 = "","",IFERROR(IF($G$1 = "YTM",_xll.CbondsCalcYTM($B$1,D675,F675),_xll.CbondsCalcYTP($B$1,D675,F675)),"")*100)</f>
        <v/>
      </c>
      <c r="U675" s="74"/>
      <c r="V675" s="74"/>
      <c r="W675" s="74"/>
      <c r="X675" s="74"/>
      <c r="Y675" s="74"/>
      <c r="Z675" s="74"/>
      <c r="AA675" s="74"/>
      <c r="AB675" s="74"/>
      <c r="AC675" s="74"/>
      <c r="AJ675" s="74"/>
      <c r="AK675" s="74"/>
      <c r="AL675" s="74"/>
      <c r="AM675" s="74"/>
      <c r="AN675" s="74"/>
      <c r="AO675" s="74"/>
      <c r="AP675" s="74"/>
      <c r="AQ675" s="74"/>
      <c r="AR675" s="74"/>
      <c r="AS675" s="74"/>
      <c r="BD675" s="74"/>
      <c r="BE675" s="74"/>
      <c r="BF675" s="74"/>
      <c r="BG675" s="74"/>
      <c r="BH675" s="74"/>
      <c r="BI675" s="74"/>
    </row>
    <row r="676" spans="4:61" x14ac:dyDescent="0.3">
      <c r="D676" s="76"/>
      <c r="E676" s="76"/>
      <c r="F676" s="76" t="str">
        <f t="shared" si="59"/>
        <v/>
      </c>
      <c r="G676" s="183" t="str">
        <f>IF(F676 = "","",IFERROR(IF($G$1 = "YTM",_xll.CbondsCalcYTM($B$1,D676,F676),_xll.CbondsCalcYTP($B$1,D676,F676)),"")*100)</f>
        <v/>
      </c>
      <c r="U676" s="74"/>
      <c r="V676" s="74"/>
      <c r="W676" s="74"/>
      <c r="X676" s="74"/>
      <c r="Y676" s="74"/>
      <c r="Z676" s="74"/>
      <c r="AA676" s="74"/>
      <c r="AB676" s="74"/>
      <c r="AC676" s="74"/>
      <c r="AJ676" s="74"/>
      <c r="AK676" s="74"/>
      <c r="AL676" s="74"/>
      <c r="AM676" s="74"/>
      <c r="AN676" s="74"/>
      <c r="AO676" s="74"/>
      <c r="AP676" s="74"/>
      <c r="AQ676" s="74"/>
      <c r="AR676" s="74"/>
      <c r="AS676" s="74"/>
      <c r="BD676" s="74"/>
      <c r="BE676" s="74"/>
      <c r="BF676" s="74"/>
      <c r="BG676" s="74"/>
      <c r="BH676" s="74"/>
      <c r="BI676" s="74"/>
    </row>
    <row r="677" spans="4:61" x14ac:dyDescent="0.3">
      <c r="D677" s="76"/>
      <c r="E677" s="76"/>
      <c r="F677" s="76" t="str">
        <f t="shared" si="59"/>
        <v/>
      </c>
      <c r="G677" s="183" t="str">
        <f>IF(F677 = "","",IFERROR(IF($G$1 = "YTM",_xll.CbondsCalcYTM($B$1,D677,F677),_xll.CbondsCalcYTP($B$1,D677,F677)),"")*100)</f>
        <v/>
      </c>
      <c r="U677" s="74"/>
      <c r="V677" s="74"/>
      <c r="W677" s="74"/>
      <c r="X677" s="74"/>
      <c r="Y677" s="74"/>
      <c r="Z677" s="74"/>
      <c r="AA677" s="74"/>
      <c r="AB677" s="74"/>
      <c r="AC677" s="74"/>
      <c r="AJ677" s="74"/>
      <c r="AK677" s="74"/>
      <c r="AL677" s="74"/>
      <c r="AM677" s="74"/>
      <c r="AN677" s="74"/>
      <c r="AO677" s="74"/>
      <c r="AP677" s="74"/>
      <c r="AQ677" s="74"/>
      <c r="AR677" s="74"/>
      <c r="AS677" s="74"/>
      <c r="BD677" s="74"/>
      <c r="BE677" s="74"/>
      <c r="BF677" s="74"/>
      <c r="BG677" s="74"/>
      <c r="BH677" s="74"/>
      <c r="BI677" s="74"/>
    </row>
    <row r="678" spans="4:61" x14ac:dyDescent="0.3">
      <c r="D678" s="76"/>
      <c r="E678" s="76"/>
      <c r="F678" s="76" t="str">
        <f t="shared" si="59"/>
        <v/>
      </c>
      <c r="G678" s="183" t="str">
        <f>IF(F678 = "","",IFERROR(IF($G$1 = "YTM",_xll.CbondsCalcYTM($B$1,D678,F678),_xll.CbondsCalcYTP($B$1,D678,F678)),"")*100)</f>
        <v/>
      </c>
      <c r="U678" s="74"/>
      <c r="V678" s="74"/>
      <c r="W678" s="74"/>
      <c r="X678" s="74"/>
      <c r="Y678" s="74"/>
      <c r="Z678" s="74"/>
      <c r="AA678" s="74"/>
      <c r="AB678" s="74"/>
      <c r="AC678" s="74"/>
      <c r="AJ678" s="74"/>
      <c r="AK678" s="74"/>
      <c r="AL678" s="74"/>
      <c r="AM678" s="74"/>
      <c r="AN678" s="74"/>
      <c r="AO678" s="74"/>
      <c r="AP678" s="74"/>
      <c r="AQ678" s="74"/>
      <c r="AR678" s="74"/>
      <c r="AS678" s="74"/>
      <c r="BD678" s="74"/>
      <c r="BE678" s="74"/>
      <c r="BF678" s="74"/>
      <c r="BG678" s="74"/>
      <c r="BH678" s="74"/>
      <c r="BI678" s="74"/>
    </row>
    <row r="679" spans="4:61" x14ac:dyDescent="0.3">
      <c r="D679" s="76"/>
      <c r="E679" s="76"/>
      <c r="F679" s="76" t="str">
        <f t="shared" si="59"/>
        <v/>
      </c>
      <c r="G679" s="183" t="str">
        <f>IF(F679 = "","",IFERROR(IF($G$1 = "YTM",_xll.CbondsCalcYTM($B$1,D679,F679),_xll.CbondsCalcYTP($B$1,D679,F679)),"")*100)</f>
        <v/>
      </c>
      <c r="U679" s="74"/>
      <c r="V679" s="74"/>
      <c r="W679" s="74"/>
      <c r="X679" s="74"/>
      <c r="Y679" s="74"/>
      <c r="Z679" s="74"/>
      <c r="AA679" s="74"/>
      <c r="AB679" s="74"/>
      <c r="AC679" s="74"/>
      <c r="AJ679" s="74"/>
      <c r="AK679" s="74"/>
      <c r="AL679" s="74"/>
      <c r="AM679" s="74"/>
      <c r="AN679" s="74"/>
      <c r="AO679" s="74"/>
      <c r="AP679" s="74"/>
      <c r="AQ679" s="74"/>
      <c r="AR679" s="74"/>
      <c r="AS679" s="74"/>
      <c r="BD679" s="74"/>
      <c r="BE679" s="74"/>
      <c r="BF679" s="74"/>
      <c r="BG679" s="74"/>
      <c r="BH679" s="74"/>
      <c r="BI679" s="74"/>
    </row>
    <row r="680" spans="4:61" x14ac:dyDescent="0.3">
      <c r="D680" s="76"/>
      <c r="E680" s="76"/>
      <c r="F680" s="76" t="str">
        <f t="shared" si="59"/>
        <v/>
      </c>
      <c r="G680" s="183" t="str">
        <f>IF(F680 = "","",IFERROR(IF($G$1 = "YTM",_xll.CbondsCalcYTM($B$1,D680,F680),_xll.CbondsCalcYTP($B$1,D680,F680)),"")*100)</f>
        <v/>
      </c>
      <c r="U680" s="74"/>
      <c r="V680" s="74"/>
      <c r="W680" s="74"/>
      <c r="X680" s="74"/>
      <c r="Y680" s="74"/>
      <c r="Z680" s="74"/>
      <c r="AA680" s="74"/>
      <c r="AB680" s="74"/>
      <c r="AC680" s="74"/>
      <c r="AJ680" s="74"/>
      <c r="AK680" s="74"/>
      <c r="AL680" s="74"/>
      <c r="AM680" s="74"/>
      <c r="AN680" s="74"/>
      <c r="AO680" s="74"/>
      <c r="AP680" s="74"/>
      <c r="AQ680" s="74"/>
      <c r="AR680" s="74"/>
      <c r="AS680" s="74"/>
      <c r="BD680" s="74"/>
      <c r="BE680" s="74"/>
      <c r="BF680" s="74"/>
      <c r="BG680" s="74"/>
      <c r="BH680" s="74"/>
      <c r="BI680" s="74"/>
    </row>
    <row r="681" spans="4:61" x14ac:dyDescent="0.3">
      <c r="D681" s="76"/>
      <c r="E681" s="76"/>
      <c r="F681" s="76" t="str">
        <f t="shared" si="59"/>
        <v/>
      </c>
      <c r="G681" s="183" t="str">
        <f>IF(F681 = "","",IFERROR(IF($G$1 = "YTM",_xll.CbondsCalcYTM($B$1,D681,F681),_xll.CbondsCalcYTP($B$1,D681,F681)),"")*100)</f>
        <v/>
      </c>
      <c r="U681" s="74"/>
      <c r="V681" s="74"/>
      <c r="W681" s="74"/>
      <c r="X681" s="74"/>
      <c r="Y681" s="74"/>
      <c r="Z681" s="74"/>
      <c r="AA681" s="74"/>
      <c r="AB681" s="74"/>
      <c r="AC681" s="74"/>
      <c r="AJ681" s="74"/>
      <c r="AK681" s="74"/>
      <c r="AL681" s="74"/>
      <c r="AM681" s="74"/>
      <c r="AN681" s="74"/>
      <c r="AO681" s="74"/>
      <c r="AP681" s="74"/>
      <c r="AQ681" s="74"/>
      <c r="AR681" s="74"/>
      <c r="AS681" s="74"/>
      <c r="BD681" s="74"/>
      <c r="BE681" s="74"/>
      <c r="BF681" s="74"/>
      <c r="BG681" s="74"/>
      <c r="BH681" s="74"/>
      <c r="BI681" s="74"/>
    </row>
    <row r="682" spans="4:61" x14ac:dyDescent="0.3">
      <c r="D682" s="76"/>
      <c r="E682" s="76"/>
      <c r="F682" s="76" t="str">
        <f t="shared" si="59"/>
        <v/>
      </c>
      <c r="G682" s="183" t="str">
        <f>IF(F682 = "","",IFERROR(IF($G$1 = "YTM",_xll.CbondsCalcYTM($B$1,D682,F682),_xll.CbondsCalcYTP($B$1,D682,F682)),"")*100)</f>
        <v/>
      </c>
      <c r="U682" s="74"/>
      <c r="V682" s="74"/>
      <c r="W682" s="74"/>
      <c r="X682" s="74"/>
      <c r="Y682" s="74"/>
      <c r="Z682" s="74"/>
      <c r="AA682" s="74"/>
      <c r="AB682" s="74"/>
      <c r="AC682" s="74"/>
      <c r="AJ682" s="74"/>
      <c r="AK682" s="74"/>
      <c r="AL682" s="74"/>
      <c r="AM682" s="74"/>
      <c r="AN682" s="74"/>
      <c r="AO682" s="74"/>
      <c r="AP682" s="74"/>
      <c r="AQ682" s="74"/>
      <c r="AR682" s="74"/>
      <c r="AS682" s="74"/>
      <c r="BD682" s="74"/>
      <c r="BE682" s="74"/>
      <c r="BF682" s="74"/>
      <c r="BG682" s="74"/>
      <c r="BH682" s="74"/>
      <c r="BI682" s="74"/>
    </row>
    <row r="683" spans="4:61" x14ac:dyDescent="0.3">
      <c r="D683" s="76"/>
      <c r="E683" s="76"/>
      <c r="F683" s="76" t="str">
        <f t="shared" si="59"/>
        <v/>
      </c>
      <c r="G683" s="183" t="str">
        <f>IF(F683 = "","",IFERROR(IF($G$1 = "YTM",_xll.CbondsCalcYTM($B$1,D683,F683),_xll.CbondsCalcYTP($B$1,D683,F683)),"")*100)</f>
        <v/>
      </c>
      <c r="U683" s="74"/>
      <c r="V683" s="74"/>
      <c r="W683" s="74"/>
      <c r="X683" s="74"/>
      <c r="Y683" s="74"/>
      <c r="Z683" s="74"/>
      <c r="AA683" s="74"/>
      <c r="AB683" s="74"/>
      <c r="AC683" s="74"/>
      <c r="AJ683" s="74"/>
      <c r="AK683" s="74"/>
      <c r="AL683" s="74"/>
      <c r="AM683" s="74"/>
      <c r="AN683" s="74"/>
      <c r="AO683" s="74"/>
      <c r="AP683" s="74"/>
      <c r="AQ683" s="74"/>
      <c r="AR683" s="74"/>
      <c r="AS683" s="74"/>
      <c r="BD683" s="74"/>
      <c r="BE683" s="74"/>
      <c r="BF683" s="74"/>
      <c r="BG683" s="74"/>
      <c r="BH683" s="74"/>
      <c r="BI683" s="74"/>
    </row>
    <row r="684" spans="4:61" x14ac:dyDescent="0.3">
      <c r="D684" s="76"/>
      <c r="E684" s="76"/>
      <c r="F684" s="76" t="str">
        <f t="shared" si="59"/>
        <v/>
      </c>
      <c r="G684" s="183" t="str">
        <f>IF(F684 = "","",IFERROR(IF($G$1 = "YTM",_xll.CbondsCalcYTM($B$1,D684,F684),_xll.CbondsCalcYTP($B$1,D684,F684)),"")*100)</f>
        <v/>
      </c>
      <c r="U684" s="74"/>
      <c r="V684" s="74"/>
      <c r="W684" s="74"/>
      <c r="X684" s="74"/>
      <c r="Y684" s="74"/>
      <c r="Z684" s="74"/>
      <c r="AA684" s="74"/>
      <c r="AB684" s="74"/>
      <c r="AC684" s="74"/>
      <c r="AJ684" s="74"/>
      <c r="AK684" s="74"/>
      <c r="AL684" s="74"/>
      <c r="AM684" s="74"/>
      <c r="AN684" s="74"/>
      <c r="AO684" s="74"/>
      <c r="AP684" s="74"/>
      <c r="AQ684" s="74"/>
      <c r="AR684" s="74"/>
      <c r="AS684" s="74"/>
      <c r="BD684" s="74"/>
      <c r="BE684" s="74"/>
      <c r="BF684" s="74"/>
      <c r="BG684" s="74"/>
      <c r="BH684" s="74"/>
      <c r="BI684" s="74"/>
    </row>
    <row r="685" spans="4:61" x14ac:dyDescent="0.3">
      <c r="D685" s="76"/>
      <c r="E685" s="76"/>
      <c r="F685" s="76" t="str">
        <f t="shared" si="59"/>
        <v/>
      </c>
      <c r="G685" s="183" t="str">
        <f>IF(F685 = "","",IFERROR(IF($G$1 = "YTM",_xll.CbondsCalcYTM($B$1,D685,F685),_xll.CbondsCalcYTP($B$1,D685,F685)),"")*100)</f>
        <v/>
      </c>
      <c r="U685" s="74"/>
      <c r="V685" s="74"/>
      <c r="W685" s="74"/>
      <c r="X685" s="74"/>
      <c r="Y685" s="74"/>
      <c r="Z685" s="74"/>
      <c r="AA685" s="74"/>
      <c r="AB685" s="74"/>
      <c r="AC685" s="74"/>
      <c r="AJ685" s="74"/>
      <c r="AK685" s="74"/>
      <c r="AL685" s="74"/>
      <c r="AM685" s="74"/>
      <c r="AN685" s="74"/>
      <c r="AO685" s="74"/>
      <c r="AP685" s="74"/>
      <c r="AQ685" s="74"/>
      <c r="AR685" s="74"/>
      <c r="AS685" s="74"/>
      <c r="BD685" s="74"/>
      <c r="BE685" s="74"/>
      <c r="BF685" s="74"/>
      <c r="BG685" s="74"/>
      <c r="BH685" s="74"/>
      <c r="BI685" s="74"/>
    </row>
    <row r="686" spans="4:61" x14ac:dyDescent="0.3">
      <c r="D686" s="76"/>
      <c r="E686" s="76"/>
      <c r="F686" s="76" t="str">
        <f t="shared" si="59"/>
        <v/>
      </c>
      <c r="G686" s="183" t="str">
        <f>IF(F686 = "","",IFERROR(IF($G$1 = "YTM",_xll.CbondsCalcYTM($B$1,D686,F686),_xll.CbondsCalcYTP($B$1,D686,F686)),"")*100)</f>
        <v/>
      </c>
      <c r="U686" s="74"/>
      <c r="V686" s="74"/>
      <c r="W686" s="74"/>
      <c r="X686" s="74"/>
      <c r="Y686" s="74"/>
      <c r="Z686" s="74"/>
      <c r="AA686" s="74"/>
      <c r="AB686" s="74"/>
      <c r="AC686" s="74"/>
      <c r="AJ686" s="74"/>
      <c r="AK686" s="74"/>
      <c r="AL686" s="74"/>
      <c r="AM686" s="74"/>
      <c r="AN686" s="74"/>
      <c r="AO686" s="74"/>
      <c r="AP686" s="74"/>
      <c r="AQ686" s="74"/>
      <c r="AR686" s="74"/>
      <c r="AS686" s="74"/>
      <c r="BD686" s="74"/>
      <c r="BE686" s="74"/>
      <c r="BF686" s="74"/>
      <c r="BG686" s="74"/>
      <c r="BH686" s="74"/>
      <c r="BI686" s="74"/>
    </row>
    <row r="687" spans="4:61" x14ac:dyDescent="0.3">
      <c r="D687" s="76"/>
      <c r="E687" s="76"/>
      <c r="F687" s="76" t="str">
        <f t="shared" si="59"/>
        <v/>
      </c>
      <c r="G687" s="183" t="str">
        <f>IF(F687 = "","",IFERROR(IF($G$1 = "YTM",_xll.CbondsCalcYTM($B$1,D687,F687),_xll.CbondsCalcYTP($B$1,D687,F687)),"")*100)</f>
        <v/>
      </c>
      <c r="U687" s="74"/>
      <c r="V687" s="74"/>
      <c r="W687" s="74"/>
      <c r="X687" s="74"/>
      <c r="Y687" s="74"/>
      <c r="Z687" s="74"/>
      <c r="AA687" s="74"/>
      <c r="AB687" s="74"/>
      <c r="AC687" s="74"/>
      <c r="AJ687" s="74"/>
      <c r="AK687" s="74"/>
      <c r="AL687" s="74"/>
      <c r="AM687" s="74"/>
      <c r="AN687" s="74"/>
      <c r="AO687" s="74"/>
      <c r="AP687" s="74"/>
      <c r="AQ687" s="74"/>
      <c r="AR687" s="74"/>
      <c r="AS687" s="74"/>
      <c r="BD687" s="74"/>
      <c r="BE687" s="74"/>
      <c r="BF687" s="74"/>
      <c r="BG687" s="74"/>
      <c r="BH687" s="74"/>
      <c r="BI687" s="74"/>
    </row>
    <row r="688" spans="4:61" x14ac:dyDescent="0.3">
      <c r="D688" s="76"/>
      <c r="E688" s="76"/>
      <c r="F688" s="76" t="str">
        <f t="shared" si="59"/>
        <v/>
      </c>
      <c r="G688" s="183" t="str">
        <f>IF(F688 = "","",IFERROR(IF($G$1 = "YTM",_xll.CbondsCalcYTM($B$1,D688,F688),_xll.CbondsCalcYTP($B$1,D688,F688)),"")*100)</f>
        <v/>
      </c>
      <c r="U688" s="74"/>
      <c r="V688" s="74"/>
      <c r="W688" s="74"/>
      <c r="X688" s="74"/>
      <c r="Y688" s="74"/>
      <c r="Z688" s="74"/>
      <c r="AA688" s="74"/>
      <c r="AB688" s="74"/>
      <c r="AC688" s="74"/>
      <c r="AJ688" s="74"/>
      <c r="AK688" s="74"/>
      <c r="AL688" s="74"/>
      <c r="AM688" s="74"/>
      <c r="AN688" s="74"/>
      <c r="AO688" s="74"/>
      <c r="AP688" s="74"/>
      <c r="AQ688" s="74"/>
      <c r="AR688" s="74"/>
      <c r="AS688" s="74"/>
      <c r="BD688" s="74"/>
      <c r="BE688" s="74"/>
      <c r="BF688" s="74"/>
      <c r="BG688" s="74"/>
      <c r="BH688" s="74"/>
      <c r="BI688" s="74"/>
    </row>
    <row r="689" spans="4:61" x14ac:dyDescent="0.3">
      <c r="D689" s="76"/>
      <c r="E689" s="76"/>
      <c r="F689" s="76" t="str">
        <f t="shared" si="59"/>
        <v/>
      </c>
      <c r="G689" s="183" t="str">
        <f>IF(F689 = "","",IFERROR(IF($G$1 = "YTM",_xll.CbondsCalcYTM($B$1,D689,F689),_xll.CbondsCalcYTP($B$1,D689,F689)),"")*100)</f>
        <v/>
      </c>
      <c r="U689" s="74"/>
      <c r="V689" s="74"/>
      <c r="W689" s="74"/>
      <c r="X689" s="74"/>
      <c r="Y689" s="74"/>
      <c r="Z689" s="74"/>
      <c r="AA689" s="74"/>
      <c r="AB689" s="74"/>
      <c r="AC689" s="74"/>
      <c r="AJ689" s="74"/>
      <c r="AK689" s="74"/>
      <c r="AL689" s="74"/>
      <c r="AM689" s="74"/>
      <c r="AN689" s="74"/>
      <c r="AO689" s="74"/>
      <c r="AP689" s="74"/>
      <c r="AQ689" s="74"/>
      <c r="AR689" s="74"/>
      <c r="AS689" s="74"/>
      <c r="BD689" s="74"/>
      <c r="BE689" s="74"/>
      <c r="BF689" s="74"/>
      <c r="BG689" s="74"/>
      <c r="BH689" s="74"/>
      <c r="BI689" s="74"/>
    </row>
    <row r="690" spans="4:61" x14ac:dyDescent="0.3">
      <c r="D690" s="76"/>
      <c r="E690" s="76"/>
      <c r="F690" s="76" t="str">
        <f t="shared" si="59"/>
        <v/>
      </c>
      <c r="G690" s="183" t="str">
        <f>IF(F690 = "","",IFERROR(IF($G$1 = "YTM",_xll.CbondsCalcYTM($B$1,D690,F690),_xll.CbondsCalcYTP($B$1,D690,F690)),"")*100)</f>
        <v/>
      </c>
      <c r="U690" s="74"/>
      <c r="V690" s="74"/>
      <c r="W690" s="74"/>
      <c r="X690" s="74"/>
      <c r="Y690" s="74"/>
      <c r="Z690" s="74"/>
      <c r="AA690" s="74"/>
      <c r="AB690" s="74"/>
      <c r="AC690" s="74"/>
      <c r="AJ690" s="74"/>
      <c r="AK690" s="74"/>
      <c r="AL690" s="74"/>
      <c r="AM690" s="74"/>
      <c r="AN690" s="74"/>
      <c r="AO690" s="74"/>
      <c r="AP690" s="74"/>
      <c r="AQ690" s="74"/>
      <c r="AR690" s="74"/>
      <c r="AS690" s="74"/>
      <c r="BD690" s="74"/>
      <c r="BE690" s="74"/>
      <c r="BF690" s="74"/>
      <c r="BG690" s="74"/>
      <c r="BH690" s="74"/>
      <c r="BI690" s="74"/>
    </row>
    <row r="691" spans="4:61" x14ac:dyDescent="0.3">
      <c r="D691" s="76"/>
      <c r="E691" s="76"/>
      <c r="F691" s="76" t="str">
        <f t="shared" si="59"/>
        <v/>
      </c>
      <c r="G691" s="183" t="str">
        <f>IF(F691 = "","",IFERROR(IF($G$1 = "YTM",_xll.CbondsCalcYTM($B$1,D691,F691),_xll.CbondsCalcYTP($B$1,D691,F691)),"")*100)</f>
        <v/>
      </c>
      <c r="U691" s="74"/>
      <c r="V691" s="74"/>
      <c r="W691" s="74"/>
      <c r="X691" s="74"/>
      <c r="Y691" s="74"/>
      <c r="Z691" s="74"/>
      <c r="AA691" s="74"/>
      <c r="AB691" s="74"/>
      <c r="AC691" s="74"/>
      <c r="AJ691" s="74"/>
      <c r="AK691" s="74"/>
      <c r="AL691" s="74"/>
      <c r="AM691" s="74"/>
      <c r="AN691" s="74"/>
      <c r="AO691" s="74"/>
      <c r="AP691" s="74"/>
      <c r="AQ691" s="74"/>
      <c r="AR691" s="74"/>
      <c r="AS691" s="74"/>
      <c r="BD691" s="74"/>
      <c r="BE691" s="74"/>
      <c r="BF691" s="74"/>
      <c r="BG691" s="74"/>
      <c r="BH691" s="74"/>
      <c r="BI691" s="74"/>
    </row>
    <row r="692" spans="4:61" x14ac:dyDescent="0.3">
      <c r="D692" s="76"/>
      <c r="E692" s="76"/>
      <c r="F692" s="76" t="str">
        <f t="shared" si="59"/>
        <v/>
      </c>
      <c r="G692" s="183" t="str">
        <f>IF(F692 = "","",IFERROR(IF($G$1 = "YTM",_xll.CbondsCalcYTM($B$1,D692,F692),_xll.CbondsCalcYTP($B$1,D692,F692)),"")*100)</f>
        <v/>
      </c>
      <c r="U692" s="74"/>
      <c r="V692" s="74"/>
      <c r="W692" s="74"/>
      <c r="X692" s="74"/>
      <c r="Y692" s="74"/>
      <c r="Z692" s="74"/>
      <c r="AA692" s="74"/>
      <c r="AB692" s="74"/>
      <c r="AC692" s="74"/>
      <c r="AJ692" s="74"/>
      <c r="AK692" s="74"/>
      <c r="AL692" s="74"/>
      <c r="AM692" s="74"/>
      <c r="AN692" s="74"/>
      <c r="AO692" s="74"/>
      <c r="AP692" s="74"/>
      <c r="AQ692" s="74"/>
      <c r="AR692" s="74"/>
      <c r="AS692" s="74"/>
      <c r="BD692" s="74"/>
      <c r="BE692" s="74"/>
      <c r="BF692" s="74"/>
      <c r="BG692" s="74"/>
      <c r="BH692" s="74"/>
      <c r="BI692" s="74"/>
    </row>
    <row r="693" spans="4:61" x14ac:dyDescent="0.3">
      <c r="D693" s="76"/>
      <c r="E693" s="76"/>
      <c r="F693" s="76" t="str">
        <f t="shared" si="59"/>
        <v/>
      </c>
      <c r="G693" s="183" t="str">
        <f>IF(F693 = "","",IFERROR(IF($G$1 = "YTM",_xll.CbondsCalcYTM($B$1,D693,F693),_xll.CbondsCalcYTP($B$1,D693,F693)),"")*100)</f>
        <v/>
      </c>
      <c r="U693" s="74"/>
      <c r="V693" s="74"/>
      <c r="W693" s="74"/>
      <c r="X693" s="74"/>
      <c r="Y693" s="74"/>
      <c r="Z693" s="74"/>
      <c r="AA693" s="74"/>
      <c r="AB693" s="74"/>
      <c r="AC693" s="74"/>
      <c r="AJ693" s="74"/>
      <c r="AK693" s="74"/>
      <c r="AL693" s="74"/>
      <c r="AM693" s="74"/>
      <c r="AN693" s="74"/>
      <c r="AO693" s="74"/>
      <c r="AP693" s="74"/>
      <c r="AQ693" s="74"/>
      <c r="AR693" s="74"/>
      <c r="AS693" s="74"/>
      <c r="BD693" s="74"/>
      <c r="BE693" s="74"/>
      <c r="BF693" s="74"/>
      <c r="BG693" s="74"/>
      <c r="BH693" s="74"/>
      <c r="BI693" s="74"/>
    </row>
    <row r="694" spans="4:61" x14ac:dyDescent="0.3">
      <c r="D694" s="76"/>
      <c r="E694" s="76"/>
      <c r="F694" s="76" t="str">
        <f t="shared" si="59"/>
        <v/>
      </c>
      <c r="G694" s="183" t="str">
        <f>IF(F694 = "","",IFERROR(IF($G$1 = "YTM",_xll.CbondsCalcYTM($B$1,D694,F694),_xll.CbondsCalcYTP($B$1,D694,F694)),"")*100)</f>
        <v/>
      </c>
      <c r="U694" s="74"/>
      <c r="V694" s="74"/>
      <c r="W694" s="74"/>
      <c r="X694" s="74"/>
      <c r="Y694" s="74"/>
      <c r="Z694" s="74"/>
      <c r="AA694" s="74"/>
      <c r="AB694" s="74"/>
      <c r="AC694" s="74"/>
      <c r="AJ694" s="74"/>
      <c r="AK694" s="74"/>
      <c r="AL694" s="74"/>
      <c r="AM694" s="74"/>
      <c r="AN694" s="74"/>
      <c r="AO694" s="74"/>
      <c r="AP694" s="74"/>
      <c r="AQ694" s="74"/>
      <c r="AR694" s="74"/>
      <c r="AS694" s="74"/>
      <c r="BD694" s="74"/>
      <c r="BE694" s="74"/>
      <c r="BF694" s="74"/>
      <c r="BG694" s="74"/>
      <c r="BH694" s="74"/>
      <c r="BI694" s="74"/>
    </row>
    <row r="695" spans="4:61" x14ac:dyDescent="0.3">
      <c r="D695" s="76"/>
      <c r="E695" s="76"/>
      <c r="F695" s="76" t="str">
        <f t="shared" si="59"/>
        <v/>
      </c>
      <c r="G695" s="183" t="str">
        <f>IF(F695 = "","",IFERROR(IF($G$1 = "YTM",_xll.CbondsCalcYTM($B$1,D695,F695),_xll.CbondsCalcYTP($B$1,D695,F695)),"")*100)</f>
        <v/>
      </c>
      <c r="U695" s="74"/>
      <c r="V695" s="74"/>
      <c r="W695" s="74"/>
      <c r="X695" s="74"/>
      <c r="Y695" s="74"/>
      <c r="Z695" s="74"/>
      <c r="AA695" s="74"/>
      <c r="AB695" s="74"/>
      <c r="AC695" s="74"/>
      <c r="AJ695" s="74"/>
      <c r="AK695" s="74"/>
      <c r="AL695" s="74"/>
      <c r="AM695" s="74"/>
      <c r="AN695" s="74"/>
      <c r="AO695" s="74"/>
      <c r="AP695" s="74"/>
      <c r="AQ695" s="74"/>
      <c r="AR695" s="74"/>
      <c r="AS695" s="74"/>
      <c r="BD695" s="74"/>
      <c r="BE695" s="74"/>
      <c r="BF695" s="74"/>
      <c r="BG695" s="74"/>
      <c r="BH695" s="74"/>
      <c r="BI695" s="74"/>
    </row>
    <row r="696" spans="4:61" x14ac:dyDescent="0.3">
      <c r="D696" s="76"/>
      <c r="E696" s="76"/>
      <c r="F696" s="76" t="str">
        <f t="shared" si="59"/>
        <v/>
      </c>
      <c r="G696" s="183" t="str">
        <f>IF(F696 = "","",IFERROR(IF($G$1 = "YTM",_xll.CbondsCalcYTM($B$1,D696,F696),_xll.CbondsCalcYTP($B$1,D696,F696)),"")*100)</f>
        <v/>
      </c>
      <c r="U696" s="74"/>
      <c r="V696" s="74"/>
      <c r="W696" s="74"/>
      <c r="X696" s="74"/>
      <c r="Y696" s="74"/>
      <c r="Z696" s="74"/>
      <c r="AA696" s="74"/>
      <c r="AB696" s="74"/>
      <c r="AC696" s="74"/>
      <c r="AJ696" s="74"/>
      <c r="AK696" s="74"/>
      <c r="AL696" s="74"/>
      <c r="AM696" s="74"/>
      <c r="AN696" s="74"/>
      <c r="AO696" s="74"/>
      <c r="AP696" s="74"/>
      <c r="AQ696" s="74"/>
      <c r="AR696" s="74"/>
      <c r="AS696" s="74"/>
      <c r="BD696" s="74"/>
      <c r="BE696" s="74"/>
      <c r="BF696" s="74"/>
      <c r="BG696" s="74"/>
      <c r="BH696" s="74"/>
      <c r="BI696" s="74"/>
    </row>
    <row r="697" spans="4:61" x14ac:dyDescent="0.3">
      <c r="D697" s="76"/>
      <c r="E697" s="76"/>
      <c r="F697" s="76" t="str">
        <f t="shared" si="59"/>
        <v/>
      </c>
      <c r="G697" s="183" t="str">
        <f>IF(F697 = "","",IFERROR(IF($G$1 = "YTM",_xll.CbondsCalcYTM($B$1,D697,F697),_xll.CbondsCalcYTP($B$1,D697,F697)),"")*100)</f>
        <v/>
      </c>
      <c r="U697" s="74"/>
      <c r="V697" s="74"/>
      <c r="W697" s="74"/>
      <c r="X697" s="74"/>
      <c r="Y697" s="74"/>
      <c r="Z697" s="74"/>
      <c r="AA697" s="74"/>
      <c r="AB697" s="74"/>
      <c r="AC697" s="74"/>
      <c r="AJ697" s="74"/>
      <c r="AK697" s="74"/>
      <c r="AL697" s="74"/>
      <c r="AM697" s="74"/>
      <c r="AN697" s="74"/>
      <c r="AO697" s="74"/>
      <c r="AP697" s="74"/>
      <c r="AQ697" s="74"/>
      <c r="AR697" s="74"/>
      <c r="AS697" s="74"/>
      <c r="BD697" s="74"/>
      <c r="BE697" s="74"/>
      <c r="BF697" s="74"/>
      <c r="BG697" s="74"/>
      <c r="BH697" s="74"/>
      <c r="BI697" s="74"/>
    </row>
    <row r="698" spans="4:61" x14ac:dyDescent="0.3">
      <c r="D698" s="76"/>
      <c r="E698" s="76"/>
      <c r="F698" s="76" t="str">
        <f t="shared" si="59"/>
        <v/>
      </c>
      <c r="G698" s="183" t="str">
        <f>IF(F698 = "","",IFERROR(IF($G$1 = "YTM",_xll.CbondsCalcYTM($B$1,D698,F698),_xll.CbondsCalcYTP($B$1,D698,F698)),"")*100)</f>
        <v/>
      </c>
      <c r="U698" s="74"/>
      <c r="V698" s="74"/>
      <c r="W698" s="74"/>
      <c r="X698" s="74"/>
      <c r="Y698" s="74"/>
      <c r="Z698" s="74"/>
      <c r="AA698" s="74"/>
      <c r="AB698" s="74"/>
      <c r="AC698" s="74"/>
      <c r="AJ698" s="74"/>
      <c r="AK698" s="74"/>
      <c r="AL698" s="74"/>
      <c r="AM698" s="74"/>
      <c r="AN698" s="74"/>
      <c r="AO698" s="74"/>
      <c r="AP698" s="74"/>
      <c r="AQ698" s="74"/>
      <c r="AR698" s="74"/>
      <c r="AS698" s="74"/>
      <c r="BD698" s="74"/>
      <c r="BE698" s="74"/>
      <c r="BF698" s="74"/>
      <c r="BG698" s="74"/>
      <c r="BH698" s="74"/>
      <c r="BI698" s="74"/>
    </row>
    <row r="699" spans="4:61" x14ac:dyDescent="0.3">
      <c r="D699" s="76"/>
      <c r="E699" s="76"/>
      <c r="F699" s="76" t="str">
        <f t="shared" si="59"/>
        <v/>
      </c>
      <c r="G699" s="183" t="str">
        <f>IF(F699 = "","",IFERROR(IF($G$1 = "YTM",_xll.CbondsCalcYTM($B$1,D699,F699),_xll.CbondsCalcYTP($B$1,D699,F699)),"")*100)</f>
        <v/>
      </c>
      <c r="U699" s="74"/>
      <c r="V699" s="74"/>
      <c r="W699" s="74"/>
      <c r="X699" s="74"/>
      <c r="Y699" s="74"/>
      <c r="Z699" s="74"/>
      <c r="AA699" s="74"/>
      <c r="AB699" s="74"/>
      <c r="AC699" s="74"/>
      <c r="AJ699" s="74"/>
      <c r="AK699" s="74"/>
      <c r="AL699" s="74"/>
      <c r="AM699" s="74"/>
      <c r="AN699" s="74"/>
      <c r="AO699" s="74"/>
      <c r="AP699" s="74"/>
      <c r="AQ699" s="74"/>
      <c r="AR699" s="74"/>
      <c r="AS699" s="74"/>
      <c r="BD699" s="74"/>
      <c r="BE699" s="74"/>
      <c r="BF699" s="74"/>
      <c r="BG699" s="74"/>
      <c r="BH699" s="74"/>
      <c r="BI699" s="74"/>
    </row>
    <row r="700" spans="4:61" x14ac:dyDescent="0.3">
      <c r="D700" s="76"/>
      <c r="E700" s="76"/>
      <c r="F700" s="76" t="str">
        <f t="shared" si="59"/>
        <v/>
      </c>
      <c r="G700" s="183" t="str">
        <f>IF(F700 = "","",IFERROR(IF($G$1 = "YTM",_xll.CbondsCalcYTM($B$1,D700,F700),_xll.CbondsCalcYTP($B$1,D700,F700)),"")*100)</f>
        <v/>
      </c>
      <c r="U700" s="74"/>
      <c r="V700" s="74"/>
      <c r="W700" s="74"/>
      <c r="X700" s="74"/>
      <c r="Y700" s="74"/>
      <c r="Z700" s="74"/>
      <c r="AA700" s="74"/>
      <c r="AB700" s="74"/>
      <c r="AC700" s="74"/>
      <c r="AJ700" s="74"/>
      <c r="AK700" s="74"/>
      <c r="AL700" s="74"/>
      <c r="AM700" s="74"/>
      <c r="AN700" s="74"/>
      <c r="AO700" s="74"/>
      <c r="AP700" s="74"/>
      <c r="AQ700" s="74"/>
      <c r="AR700" s="74"/>
      <c r="AS700" s="74"/>
      <c r="BD700" s="74"/>
      <c r="BE700" s="74"/>
      <c r="BF700" s="74"/>
      <c r="BG700" s="74"/>
      <c r="BH700" s="74"/>
      <c r="BI700" s="74"/>
    </row>
    <row r="701" spans="4:61" x14ac:dyDescent="0.3">
      <c r="D701" s="76"/>
      <c r="E701" s="76"/>
      <c r="F701" s="76" t="str">
        <f t="shared" si="59"/>
        <v/>
      </c>
      <c r="G701" s="183" t="str">
        <f>IF(F701 = "","",IFERROR(IF($G$1 = "YTM",_xll.CbondsCalcYTM($B$1,D701,F701),_xll.CbondsCalcYTP($B$1,D701,F701)),"")*100)</f>
        <v/>
      </c>
      <c r="U701" s="74"/>
      <c r="V701" s="74"/>
      <c r="W701" s="74"/>
      <c r="X701" s="74"/>
      <c r="Y701" s="74"/>
      <c r="Z701" s="74"/>
      <c r="AA701" s="74"/>
      <c r="AB701" s="74"/>
      <c r="AC701" s="74"/>
      <c r="AJ701" s="74"/>
      <c r="AK701" s="74"/>
      <c r="AL701" s="74"/>
      <c r="AM701" s="74"/>
      <c r="AN701" s="74"/>
      <c r="AO701" s="74"/>
      <c r="AP701" s="74"/>
      <c r="AQ701" s="74"/>
      <c r="AR701" s="74"/>
      <c r="AS701" s="74"/>
      <c r="BD701" s="74"/>
      <c r="BE701" s="74"/>
      <c r="BF701" s="74"/>
      <c r="BG701" s="74"/>
      <c r="BH701" s="74"/>
      <c r="BI701" s="74"/>
    </row>
    <row r="702" spans="4:61" x14ac:dyDescent="0.3">
      <c r="D702" s="76"/>
      <c r="E702" s="76"/>
      <c r="F702" s="76" t="str">
        <f t="shared" si="59"/>
        <v/>
      </c>
      <c r="G702" s="183" t="str">
        <f>IF(F702 = "","",IFERROR(IF($G$1 = "YTM",_xll.CbondsCalcYTM($B$1,D702,F702),_xll.CbondsCalcYTP($B$1,D702,F702)),"")*100)</f>
        <v/>
      </c>
      <c r="U702" s="74"/>
      <c r="V702" s="74"/>
      <c r="W702" s="74"/>
      <c r="X702" s="74"/>
      <c r="Y702" s="74"/>
      <c r="Z702" s="74"/>
      <c r="AA702" s="74"/>
      <c r="AB702" s="74"/>
      <c r="AC702" s="74"/>
      <c r="AJ702" s="74"/>
      <c r="AK702" s="74"/>
      <c r="AL702" s="74"/>
      <c r="AM702" s="74"/>
      <c r="AN702" s="74"/>
      <c r="AO702" s="74"/>
      <c r="AP702" s="74"/>
      <c r="AQ702" s="74"/>
      <c r="AR702" s="74"/>
      <c r="AS702" s="74"/>
      <c r="BD702" s="74"/>
      <c r="BE702" s="74"/>
      <c r="BF702" s="74"/>
      <c r="BG702" s="74"/>
      <c r="BH702" s="74"/>
      <c r="BI702" s="74"/>
    </row>
    <row r="703" spans="4:61" x14ac:dyDescent="0.3">
      <c r="D703" s="76"/>
      <c r="E703" s="76"/>
      <c r="F703" s="76" t="str">
        <f t="shared" si="59"/>
        <v/>
      </c>
      <c r="G703" s="183" t="str">
        <f>IF(F703 = "","",IFERROR(IF($G$1 = "YTM",_xll.CbondsCalcYTM($B$1,D703,F703),_xll.CbondsCalcYTP($B$1,D703,F703)),"")*100)</f>
        <v/>
      </c>
      <c r="U703" s="74"/>
      <c r="V703" s="74"/>
      <c r="W703" s="74"/>
      <c r="X703" s="74"/>
      <c r="Y703" s="74"/>
      <c r="Z703" s="74"/>
      <c r="AA703" s="74"/>
      <c r="AB703" s="74"/>
      <c r="AC703" s="74"/>
      <c r="AJ703" s="74"/>
      <c r="AK703" s="74"/>
      <c r="AL703" s="74"/>
      <c r="AM703" s="74"/>
      <c r="AN703" s="74"/>
      <c r="AO703" s="74"/>
      <c r="AP703" s="74"/>
      <c r="AQ703" s="74"/>
      <c r="AR703" s="74"/>
      <c r="AS703" s="74"/>
      <c r="BD703" s="74"/>
      <c r="BE703" s="74"/>
      <c r="BF703" s="74"/>
      <c r="BG703" s="74"/>
      <c r="BH703" s="74"/>
      <c r="BI703" s="74"/>
    </row>
    <row r="704" spans="4:61" x14ac:dyDescent="0.3">
      <c r="D704" s="76"/>
      <c r="E704" s="76"/>
      <c r="F704" s="76" t="str">
        <f t="shared" si="59"/>
        <v/>
      </c>
      <c r="G704" s="183" t="str">
        <f>IF(F704 = "","",IFERROR(IF($G$1 = "YTM",_xll.CbondsCalcYTM($B$1,D704,F704),_xll.CbondsCalcYTP($B$1,D704,F704)),"")*100)</f>
        <v/>
      </c>
      <c r="U704" s="74"/>
      <c r="V704" s="74"/>
      <c r="W704" s="74"/>
      <c r="X704" s="74"/>
      <c r="Y704" s="74"/>
      <c r="Z704" s="74"/>
      <c r="AA704" s="74"/>
      <c r="AB704" s="74"/>
      <c r="AC704" s="74"/>
      <c r="AJ704" s="74"/>
      <c r="AK704" s="74"/>
      <c r="AL704" s="74"/>
      <c r="AM704" s="74"/>
      <c r="AN704" s="74"/>
      <c r="AO704" s="74"/>
      <c r="AP704" s="74"/>
      <c r="AQ704" s="74"/>
      <c r="AR704" s="74"/>
      <c r="AS704" s="74"/>
      <c r="BD704" s="74"/>
      <c r="BE704" s="74"/>
      <c r="BF704" s="74"/>
      <c r="BG704" s="74"/>
      <c r="BH704" s="74"/>
      <c r="BI704" s="74"/>
    </row>
    <row r="705" spans="4:61" x14ac:dyDescent="0.3">
      <c r="D705" s="76"/>
      <c r="E705" s="76"/>
      <c r="F705" s="76" t="str">
        <f t="shared" si="59"/>
        <v/>
      </c>
      <c r="G705" s="183" t="str">
        <f>IF(F705 = "","",IFERROR(IF($G$1 = "YTM",_xll.CbondsCalcYTM($B$1,D705,F705),_xll.CbondsCalcYTP($B$1,D705,F705)),"")*100)</f>
        <v/>
      </c>
      <c r="U705" s="74"/>
      <c r="V705" s="74"/>
      <c r="W705" s="74"/>
      <c r="X705" s="74"/>
      <c r="Y705" s="74"/>
      <c r="Z705" s="74"/>
      <c r="AA705" s="74"/>
      <c r="AB705" s="74"/>
      <c r="AC705" s="74"/>
      <c r="AJ705" s="74"/>
      <c r="AK705" s="74"/>
      <c r="AL705" s="74"/>
      <c r="AM705" s="74"/>
      <c r="AN705" s="74"/>
      <c r="AO705" s="74"/>
      <c r="AP705" s="74"/>
      <c r="AQ705" s="74"/>
      <c r="AR705" s="74"/>
      <c r="AS705" s="74"/>
      <c r="BD705" s="74"/>
      <c r="BE705" s="74"/>
      <c r="BF705" s="74"/>
      <c r="BG705" s="74"/>
      <c r="BH705" s="74"/>
      <c r="BI705" s="74"/>
    </row>
    <row r="706" spans="4:61" x14ac:dyDescent="0.3">
      <c r="D706" s="76"/>
      <c r="E706" s="76"/>
      <c r="F706" s="76" t="str">
        <f t="shared" si="59"/>
        <v/>
      </c>
      <c r="G706" s="183" t="str">
        <f>IF(F706 = "","",IFERROR(IF($G$1 = "YTM",_xll.CbondsCalcYTM($B$1,D706,F706),_xll.CbondsCalcYTP($B$1,D706,F706)),"")*100)</f>
        <v/>
      </c>
      <c r="U706" s="74"/>
      <c r="V706" s="74"/>
      <c r="W706" s="74"/>
      <c r="X706" s="74"/>
      <c r="Y706" s="74"/>
      <c r="Z706" s="74"/>
      <c r="AA706" s="74"/>
      <c r="AB706" s="74"/>
      <c r="AC706" s="74"/>
      <c r="AJ706" s="74"/>
      <c r="AK706" s="74"/>
      <c r="AL706" s="74"/>
      <c r="AM706" s="74"/>
      <c r="AN706" s="74"/>
      <c r="AO706" s="74"/>
      <c r="AP706" s="74"/>
      <c r="AQ706" s="74"/>
      <c r="AR706" s="74"/>
      <c r="AS706" s="74"/>
      <c r="BD706" s="74"/>
      <c r="BE706" s="74"/>
      <c r="BF706" s="74"/>
      <c r="BG706" s="74"/>
      <c r="BH706" s="74"/>
      <c r="BI706" s="74"/>
    </row>
    <row r="707" spans="4:61" x14ac:dyDescent="0.3">
      <c r="D707" s="76"/>
      <c r="E707" s="76"/>
      <c r="F707" s="76" t="str">
        <f t="shared" si="59"/>
        <v/>
      </c>
      <c r="G707" s="183" t="str">
        <f>IF(F707 = "","",IFERROR(IF($G$1 = "YTM",_xll.CbondsCalcYTM($B$1,D707,F707),_xll.CbondsCalcYTP($B$1,D707,F707)),"")*100)</f>
        <v/>
      </c>
      <c r="U707" s="74"/>
      <c r="V707" s="74"/>
      <c r="W707" s="74"/>
      <c r="X707" s="74"/>
      <c r="Y707" s="74"/>
      <c r="Z707" s="74"/>
      <c r="AA707" s="74"/>
      <c r="AB707" s="74"/>
      <c r="AC707" s="74"/>
      <c r="AJ707" s="74"/>
      <c r="AK707" s="74"/>
      <c r="AL707" s="74"/>
      <c r="AM707" s="74"/>
      <c r="AN707" s="74"/>
      <c r="AO707" s="74"/>
      <c r="AP707" s="74"/>
      <c r="AQ707" s="74"/>
      <c r="AR707" s="74"/>
      <c r="AS707" s="74"/>
      <c r="BD707" s="74"/>
      <c r="BE707" s="74"/>
      <c r="BF707" s="74"/>
      <c r="BG707" s="74"/>
      <c r="BH707" s="74"/>
      <c r="BI707" s="74"/>
    </row>
    <row r="708" spans="4:61" x14ac:dyDescent="0.3">
      <c r="D708" s="76"/>
      <c r="E708" s="76"/>
      <c r="F708" s="76" t="str">
        <f t="shared" ref="F708:F771" si="60">IF(AND(E708="",D708=""),"",IF(AND(E708="",D708&lt;&gt;""),F707,E708))</f>
        <v/>
      </c>
      <c r="G708" s="183" t="str">
        <f>IF(F708 = "","",IFERROR(IF($G$1 = "YTM",_xll.CbondsCalcYTM($B$1,D708,F708),_xll.CbondsCalcYTP($B$1,D708,F708)),"")*100)</f>
        <v/>
      </c>
      <c r="U708" s="74"/>
      <c r="V708" s="74"/>
      <c r="W708" s="74"/>
      <c r="X708" s="74"/>
      <c r="Y708" s="74"/>
      <c r="Z708" s="74"/>
      <c r="AA708" s="74"/>
      <c r="AB708" s="74"/>
      <c r="AC708" s="74"/>
      <c r="AJ708" s="74"/>
      <c r="AK708" s="74"/>
      <c r="AL708" s="74"/>
      <c r="AM708" s="74"/>
      <c r="AN708" s="74"/>
      <c r="AO708" s="74"/>
      <c r="AP708" s="74"/>
      <c r="AQ708" s="74"/>
      <c r="AR708" s="74"/>
      <c r="AS708" s="74"/>
      <c r="BD708" s="74"/>
      <c r="BE708" s="74"/>
      <c r="BF708" s="74"/>
      <c r="BG708" s="74"/>
      <c r="BH708" s="74"/>
      <c r="BI708" s="74"/>
    </row>
    <row r="709" spans="4:61" x14ac:dyDescent="0.3">
      <c r="D709" s="76"/>
      <c r="E709" s="76"/>
      <c r="F709" s="76" t="str">
        <f t="shared" si="60"/>
        <v/>
      </c>
      <c r="G709" s="183" t="str">
        <f>IF(F709 = "","",IFERROR(IF($G$1 = "YTM",_xll.CbondsCalcYTM($B$1,D709,F709),_xll.CbondsCalcYTP($B$1,D709,F709)),"")*100)</f>
        <v/>
      </c>
      <c r="U709" s="74"/>
      <c r="V709" s="74"/>
      <c r="W709" s="74"/>
      <c r="X709" s="74"/>
      <c r="Y709" s="74"/>
      <c r="Z709" s="74"/>
      <c r="AA709" s="74"/>
      <c r="AB709" s="74"/>
      <c r="AC709" s="74"/>
      <c r="AJ709" s="74"/>
      <c r="AK709" s="74"/>
      <c r="AL709" s="74"/>
      <c r="AM709" s="74"/>
      <c r="AN709" s="74"/>
      <c r="AO709" s="74"/>
      <c r="AP709" s="74"/>
      <c r="AQ709" s="74"/>
      <c r="AR709" s="74"/>
      <c r="AS709" s="74"/>
      <c r="BD709" s="74"/>
      <c r="BE709" s="74"/>
      <c r="BF709" s="74"/>
      <c r="BG709" s="74"/>
      <c r="BH709" s="74"/>
      <c r="BI709" s="74"/>
    </row>
    <row r="710" spans="4:61" x14ac:dyDescent="0.3">
      <c r="D710" s="76"/>
      <c r="E710" s="76"/>
      <c r="F710" s="76" t="str">
        <f t="shared" si="60"/>
        <v/>
      </c>
      <c r="G710" s="183" t="str">
        <f>IF(F710 = "","",IFERROR(IF($G$1 = "YTM",_xll.CbondsCalcYTM($B$1,D710,F710),_xll.CbondsCalcYTP($B$1,D710,F710)),"")*100)</f>
        <v/>
      </c>
      <c r="U710" s="74"/>
      <c r="V710" s="74"/>
      <c r="W710" s="74"/>
      <c r="X710" s="74"/>
      <c r="Y710" s="74"/>
      <c r="Z710" s="74"/>
      <c r="AA710" s="74"/>
      <c r="AB710" s="74"/>
      <c r="AC710" s="74"/>
      <c r="AJ710" s="74"/>
      <c r="AK710" s="74"/>
      <c r="AL710" s="74"/>
      <c r="AM710" s="74"/>
      <c r="AN710" s="74"/>
      <c r="AO710" s="74"/>
      <c r="AP710" s="74"/>
      <c r="AQ710" s="74"/>
      <c r="AR710" s="74"/>
      <c r="AS710" s="74"/>
      <c r="BD710" s="74"/>
      <c r="BE710" s="74"/>
      <c r="BF710" s="74"/>
      <c r="BG710" s="74"/>
      <c r="BH710" s="74"/>
      <c r="BI710" s="74"/>
    </row>
    <row r="711" spans="4:61" x14ac:dyDescent="0.3">
      <c r="D711" s="76"/>
      <c r="E711" s="76"/>
      <c r="F711" s="76" t="str">
        <f t="shared" si="60"/>
        <v/>
      </c>
      <c r="G711" s="183" t="str">
        <f>IF(F711 = "","",IFERROR(IF($G$1 = "YTM",_xll.CbondsCalcYTM($B$1,D711,F711),_xll.CbondsCalcYTP($B$1,D711,F711)),"")*100)</f>
        <v/>
      </c>
      <c r="U711" s="74"/>
      <c r="V711" s="74"/>
      <c r="W711" s="74"/>
      <c r="X711" s="74"/>
      <c r="Y711" s="74"/>
      <c r="Z711" s="74"/>
      <c r="AA711" s="74"/>
      <c r="AB711" s="74"/>
      <c r="AC711" s="74"/>
      <c r="AJ711" s="74"/>
      <c r="AK711" s="74"/>
      <c r="AL711" s="74"/>
      <c r="AM711" s="74"/>
      <c r="AN711" s="74"/>
      <c r="AO711" s="74"/>
      <c r="AP711" s="74"/>
      <c r="AQ711" s="74"/>
      <c r="AR711" s="74"/>
      <c r="AS711" s="74"/>
      <c r="BD711" s="74"/>
      <c r="BE711" s="74"/>
      <c r="BF711" s="74"/>
      <c r="BG711" s="74"/>
      <c r="BH711" s="74"/>
      <c r="BI711" s="74"/>
    </row>
    <row r="712" spans="4:61" x14ac:dyDescent="0.3">
      <c r="D712" s="76"/>
      <c r="E712" s="76"/>
      <c r="F712" s="76" t="str">
        <f t="shared" si="60"/>
        <v/>
      </c>
      <c r="G712" s="183" t="str">
        <f>IF(F712 = "","",IFERROR(IF($G$1 = "YTM",_xll.CbondsCalcYTM($B$1,D712,F712),_xll.CbondsCalcYTP($B$1,D712,F712)),"")*100)</f>
        <v/>
      </c>
      <c r="U712" s="74"/>
      <c r="V712" s="74"/>
      <c r="W712" s="74"/>
      <c r="X712" s="74"/>
      <c r="Y712" s="74"/>
      <c r="Z712" s="74"/>
      <c r="AA712" s="74"/>
      <c r="AB712" s="74"/>
      <c r="AC712" s="74"/>
      <c r="AJ712" s="74"/>
      <c r="AK712" s="74"/>
      <c r="AL712" s="74"/>
      <c r="AM712" s="74"/>
      <c r="AN712" s="74"/>
      <c r="AO712" s="74"/>
      <c r="AP712" s="74"/>
      <c r="AQ712" s="74"/>
      <c r="AR712" s="74"/>
      <c r="AS712" s="74"/>
      <c r="BD712" s="74"/>
      <c r="BE712" s="74"/>
      <c r="BF712" s="74"/>
      <c r="BG712" s="74"/>
      <c r="BH712" s="74"/>
      <c r="BI712" s="74"/>
    </row>
    <row r="713" spans="4:61" x14ac:dyDescent="0.3">
      <c r="D713" s="76"/>
      <c r="E713" s="76"/>
      <c r="F713" s="76" t="str">
        <f t="shared" si="60"/>
        <v/>
      </c>
      <c r="G713" s="183" t="str">
        <f>IF(F713 = "","",IFERROR(IF($G$1 = "YTM",_xll.CbondsCalcYTM($B$1,D713,F713),_xll.CbondsCalcYTP($B$1,D713,F713)),"")*100)</f>
        <v/>
      </c>
      <c r="U713" s="74"/>
      <c r="V713" s="74"/>
      <c r="W713" s="74"/>
      <c r="X713" s="74"/>
      <c r="Y713" s="74"/>
      <c r="Z713" s="74"/>
      <c r="AA713" s="74"/>
      <c r="AB713" s="74"/>
      <c r="AC713" s="74"/>
      <c r="AJ713" s="74"/>
      <c r="AK713" s="74"/>
      <c r="AL713" s="74"/>
      <c r="AM713" s="74"/>
      <c r="AN713" s="74"/>
      <c r="AO713" s="74"/>
      <c r="AP713" s="74"/>
      <c r="AQ713" s="74"/>
      <c r="AR713" s="74"/>
      <c r="AS713" s="74"/>
      <c r="BD713" s="74"/>
      <c r="BE713" s="74"/>
      <c r="BF713" s="74"/>
      <c r="BG713" s="74"/>
      <c r="BH713" s="74"/>
      <c r="BI713" s="74"/>
    </row>
    <row r="714" spans="4:61" x14ac:dyDescent="0.3">
      <c r="D714" s="76"/>
      <c r="E714" s="76"/>
      <c r="F714" s="76" t="str">
        <f t="shared" si="60"/>
        <v/>
      </c>
      <c r="G714" s="183" t="str">
        <f>IF(F714 = "","",IFERROR(IF($G$1 = "YTM",_xll.CbondsCalcYTM($B$1,D714,F714),_xll.CbondsCalcYTP($B$1,D714,F714)),"")*100)</f>
        <v/>
      </c>
      <c r="U714" s="74"/>
      <c r="V714" s="74"/>
      <c r="W714" s="74"/>
      <c r="X714" s="74"/>
      <c r="Y714" s="74"/>
      <c r="Z714" s="74"/>
      <c r="AA714" s="74"/>
      <c r="AB714" s="74"/>
      <c r="AC714" s="74"/>
      <c r="AJ714" s="74"/>
      <c r="AK714" s="74"/>
      <c r="AL714" s="74"/>
      <c r="AM714" s="74"/>
      <c r="AN714" s="74"/>
      <c r="AO714" s="74"/>
      <c r="AP714" s="74"/>
      <c r="AQ714" s="74"/>
      <c r="AR714" s="74"/>
      <c r="AS714" s="74"/>
      <c r="BD714" s="74"/>
      <c r="BE714" s="74"/>
      <c r="BF714" s="74"/>
      <c r="BG714" s="74"/>
      <c r="BH714" s="74"/>
      <c r="BI714" s="74"/>
    </row>
    <row r="715" spans="4:61" x14ac:dyDescent="0.3">
      <c r="D715" s="76"/>
      <c r="E715" s="76"/>
      <c r="F715" s="76" t="str">
        <f t="shared" si="60"/>
        <v/>
      </c>
      <c r="G715" s="183" t="str">
        <f>IF(F715 = "","",IFERROR(IF($G$1 = "YTM",_xll.CbondsCalcYTM($B$1,D715,F715),_xll.CbondsCalcYTP($B$1,D715,F715)),"")*100)</f>
        <v/>
      </c>
      <c r="U715" s="74"/>
      <c r="V715" s="74"/>
      <c r="W715" s="74"/>
      <c r="X715" s="74"/>
      <c r="Y715" s="74"/>
      <c r="Z715" s="74"/>
      <c r="AA715" s="74"/>
      <c r="AB715" s="74"/>
      <c r="AC715" s="74"/>
      <c r="AJ715" s="74"/>
      <c r="AK715" s="74"/>
      <c r="AL715" s="74"/>
      <c r="AM715" s="74"/>
      <c r="AN715" s="74"/>
      <c r="AO715" s="74"/>
      <c r="AP715" s="74"/>
      <c r="AQ715" s="74"/>
      <c r="AR715" s="74"/>
      <c r="AS715" s="74"/>
      <c r="BD715" s="74"/>
      <c r="BE715" s="74"/>
      <c r="BF715" s="74"/>
      <c r="BG715" s="74"/>
      <c r="BH715" s="74"/>
      <c r="BI715" s="74"/>
    </row>
    <row r="716" spans="4:61" x14ac:dyDescent="0.3">
      <c r="D716" s="76"/>
      <c r="E716" s="76"/>
      <c r="F716" s="76" t="str">
        <f t="shared" si="60"/>
        <v/>
      </c>
      <c r="G716" s="183" t="str">
        <f>IF(F716 = "","",IFERROR(IF($G$1 = "YTM",_xll.CbondsCalcYTM($B$1,D716,F716),_xll.CbondsCalcYTP($B$1,D716,F716)),"")*100)</f>
        <v/>
      </c>
      <c r="U716" s="74"/>
      <c r="V716" s="74"/>
      <c r="W716" s="74"/>
      <c r="X716" s="74"/>
      <c r="Y716" s="74"/>
      <c r="Z716" s="74"/>
      <c r="AA716" s="74"/>
      <c r="AB716" s="74"/>
      <c r="AC716" s="74"/>
      <c r="AJ716" s="74"/>
      <c r="AK716" s="74"/>
      <c r="AL716" s="74"/>
      <c r="AM716" s="74"/>
      <c r="AN716" s="74"/>
      <c r="AO716" s="74"/>
      <c r="AP716" s="74"/>
      <c r="AQ716" s="74"/>
      <c r="AR716" s="74"/>
      <c r="AS716" s="74"/>
      <c r="BD716" s="74"/>
      <c r="BE716" s="74"/>
      <c r="BF716" s="74"/>
      <c r="BG716" s="74"/>
      <c r="BH716" s="74"/>
      <c r="BI716" s="74"/>
    </row>
    <row r="717" spans="4:61" x14ac:dyDescent="0.3">
      <c r="D717" s="76"/>
      <c r="E717" s="76"/>
      <c r="F717" s="76" t="str">
        <f t="shared" si="60"/>
        <v/>
      </c>
      <c r="G717" s="183" t="str">
        <f>IF(F717 = "","",IFERROR(IF($G$1 = "YTM",_xll.CbondsCalcYTM($B$1,D717,F717),_xll.CbondsCalcYTP($B$1,D717,F717)),"")*100)</f>
        <v/>
      </c>
      <c r="U717" s="74"/>
      <c r="V717" s="74"/>
      <c r="W717" s="74"/>
      <c r="X717" s="74"/>
      <c r="Y717" s="74"/>
      <c r="Z717" s="74"/>
      <c r="AA717" s="74"/>
      <c r="AB717" s="74"/>
      <c r="AC717" s="74"/>
      <c r="AJ717" s="74"/>
      <c r="AK717" s="74"/>
      <c r="AL717" s="74"/>
      <c r="AM717" s="74"/>
      <c r="AN717" s="74"/>
      <c r="AO717" s="74"/>
      <c r="AP717" s="74"/>
      <c r="AQ717" s="74"/>
      <c r="AR717" s="74"/>
      <c r="AS717" s="74"/>
      <c r="BD717" s="74"/>
      <c r="BE717" s="74"/>
      <c r="BF717" s="74"/>
      <c r="BG717" s="74"/>
      <c r="BH717" s="74"/>
      <c r="BI717" s="74"/>
    </row>
    <row r="718" spans="4:61" x14ac:dyDescent="0.3">
      <c r="D718" s="76"/>
      <c r="E718" s="76"/>
      <c r="F718" s="76" t="str">
        <f t="shared" si="60"/>
        <v/>
      </c>
      <c r="G718" s="183" t="str">
        <f>IF(F718 = "","",IFERROR(IF($G$1 = "YTM",_xll.CbondsCalcYTM($B$1,D718,F718),_xll.CbondsCalcYTP($B$1,D718,F718)),"")*100)</f>
        <v/>
      </c>
      <c r="U718" s="74"/>
      <c r="V718" s="74"/>
      <c r="W718" s="74"/>
      <c r="X718" s="74"/>
      <c r="Y718" s="74"/>
      <c r="Z718" s="74"/>
      <c r="AA718" s="74"/>
      <c r="AB718" s="74"/>
      <c r="AC718" s="74"/>
      <c r="AJ718" s="74"/>
      <c r="AK718" s="74"/>
      <c r="AL718" s="74"/>
      <c r="AM718" s="74"/>
      <c r="AN718" s="74"/>
      <c r="AO718" s="74"/>
      <c r="AP718" s="74"/>
      <c r="AQ718" s="74"/>
      <c r="AR718" s="74"/>
      <c r="AS718" s="74"/>
      <c r="BD718" s="74"/>
      <c r="BE718" s="74"/>
      <c r="BF718" s="74"/>
      <c r="BG718" s="74"/>
      <c r="BH718" s="74"/>
      <c r="BI718" s="74"/>
    </row>
    <row r="719" spans="4:61" x14ac:dyDescent="0.3">
      <c r="D719" s="76"/>
      <c r="E719" s="76"/>
      <c r="F719" s="76" t="str">
        <f t="shared" si="60"/>
        <v/>
      </c>
      <c r="G719" s="183" t="str">
        <f>IF(F719 = "","",IFERROR(IF($G$1 = "YTM",_xll.CbondsCalcYTM($B$1,D719,F719),_xll.CbondsCalcYTP($B$1,D719,F719)),"")*100)</f>
        <v/>
      </c>
      <c r="U719" s="74"/>
      <c r="V719" s="74"/>
      <c r="W719" s="74"/>
      <c r="X719" s="74"/>
      <c r="Y719" s="74"/>
      <c r="Z719" s="74"/>
      <c r="AA719" s="74"/>
      <c r="AB719" s="74"/>
      <c r="AC719" s="74"/>
      <c r="AJ719" s="74"/>
      <c r="AK719" s="74"/>
      <c r="AL719" s="74"/>
      <c r="AM719" s="74"/>
      <c r="AN719" s="74"/>
      <c r="AO719" s="74"/>
      <c r="AP719" s="74"/>
      <c r="AQ719" s="74"/>
      <c r="AR719" s="74"/>
      <c r="AS719" s="74"/>
      <c r="BD719" s="74"/>
      <c r="BE719" s="74"/>
      <c r="BF719" s="74"/>
      <c r="BG719" s="74"/>
      <c r="BH719" s="74"/>
      <c r="BI719" s="74"/>
    </row>
    <row r="720" spans="4:61" x14ac:dyDescent="0.3">
      <c r="D720" s="76"/>
      <c r="E720" s="76"/>
      <c r="F720" s="76" t="str">
        <f t="shared" si="60"/>
        <v/>
      </c>
      <c r="G720" s="183" t="str">
        <f>IF(F720 = "","",IFERROR(IF($G$1 = "YTM",_xll.CbondsCalcYTM($B$1,D720,F720),_xll.CbondsCalcYTP($B$1,D720,F720)),"")*100)</f>
        <v/>
      </c>
      <c r="U720" s="74"/>
      <c r="V720" s="74"/>
      <c r="W720" s="74"/>
      <c r="X720" s="74"/>
      <c r="Y720" s="74"/>
      <c r="Z720" s="74"/>
      <c r="AA720" s="74"/>
      <c r="AB720" s="74"/>
      <c r="AC720" s="74"/>
      <c r="AJ720" s="74"/>
      <c r="AK720" s="74"/>
      <c r="AL720" s="74"/>
      <c r="AM720" s="74"/>
      <c r="AN720" s="74"/>
      <c r="AO720" s="74"/>
      <c r="AP720" s="74"/>
      <c r="AQ720" s="74"/>
      <c r="AR720" s="74"/>
      <c r="AS720" s="74"/>
      <c r="BD720" s="74"/>
      <c r="BE720" s="74"/>
      <c r="BF720" s="74"/>
      <c r="BG720" s="74"/>
      <c r="BH720" s="74"/>
      <c r="BI720" s="74"/>
    </row>
    <row r="721" spans="4:61" x14ac:dyDescent="0.3">
      <c r="D721" s="76"/>
      <c r="E721" s="76"/>
      <c r="F721" s="76" t="str">
        <f t="shared" si="60"/>
        <v/>
      </c>
      <c r="G721" s="183" t="str">
        <f>IF(F721 = "","",IFERROR(IF($G$1 = "YTM",_xll.CbondsCalcYTM($B$1,D721,F721),_xll.CbondsCalcYTP($B$1,D721,F721)),"")*100)</f>
        <v/>
      </c>
      <c r="U721" s="74"/>
      <c r="V721" s="74"/>
      <c r="W721" s="74"/>
      <c r="X721" s="74"/>
      <c r="Y721" s="74"/>
      <c r="Z721" s="74"/>
      <c r="AA721" s="74"/>
      <c r="AB721" s="74"/>
      <c r="AC721" s="74"/>
      <c r="AJ721" s="74"/>
      <c r="AK721" s="74"/>
      <c r="AL721" s="74"/>
      <c r="AM721" s="74"/>
      <c r="AN721" s="74"/>
      <c r="AO721" s="74"/>
      <c r="AP721" s="74"/>
      <c r="AQ721" s="74"/>
      <c r="AR721" s="74"/>
      <c r="AS721" s="74"/>
      <c r="BD721" s="74"/>
      <c r="BE721" s="74"/>
      <c r="BF721" s="74"/>
      <c r="BG721" s="74"/>
      <c r="BH721" s="74"/>
      <c r="BI721" s="74"/>
    </row>
    <row r="722" spans="4:61" x14ac:dyDescent="0.3">
      <c r="D722" s="76"/>
      <c r="E722" s="76"/>
      <c r="F722" s="76" t="str">
        <f t="shared" si="60"/>
        <v/>
      </c>
      <c r="G722" s="183" t="str">
        <f>IF(F722 = "","",IFERROR(IF($G$1 = "YTM",_xll.CbondsCalcYTM($B$1,D722,F722),_xll.CbondsCalcYTP($B$1,D722,F722)),"")*100)</f>
        <v/>
      </c>
      <c r="U722" s="74"/>
      <c r="V722" s="74"/>
      <c r="W722" s="74"/>
      <c r="X722" s="74"/>
      <c r="Y722" s="74"/>
      <c r="Z722" s="74"/>
      <c r="AA722" s="74"/>
      <c r="AB722" s="74"/>
      <c r="AC722" s="74"/>
      <c r="AJ722" s="74"/>
      <c r="AK722" s="74"/>
      <c r="AL722" s="74"/>
      <c r="AM722" s="74"/>
      <c r="AN722" s="74"/>
      <c r="AO722" s="74"/>
      <c r="AP722" s="74"/>
      <c r="AQ722" s="74"/>
      <c r="AR722" s="74"/>
      <c r="AS722" s="74"/>
      <c r="BD722" s="74"/>
      <c r="BE722" s="74"/>
      <c r="BF722" s="74"/>
      <c r="BG722" s="74"/>
      <c r="BH722" s="74"/>
      <c r="BI722" s="74"/>
    </row>
    <row r="723" spans="4:61" x14ac:dyDescent="0.3">
      <c r="D723" s="76"/>
      <c r="E723" s="76"/>
      <c r="F723" s="76" t="str">
        <f t="shared" si="60"/>
        <v/>
      </c>
      <c r="G723" s="183" t="str">
        <f>IF(F723 = "","",IFERROR(IF($G$1 = "YTM",_xll.CbondsCalcYTM($B$1,D723,F723),_xll.CbondsCalcYTP($B$1,D723,F723)),"")*100)</f>
        <v/>
      </c>
      <c r="U723" s="74"/>
      <c r="V723" s="74"/>
      <c r="W723" s="74"/>
      <c r="X723" s="74"/>
      <c r="Y723" s="74"/>
      <c r="Z723" s="74"/>
      <c r="AA723" s="74"/>
      <c r="AB723" s="74"/>
      <c r="AC723" s="74"/>
      <c r="AJ723" s="74"/>
      <c r="AK723" s="74"/>
      <c r="AL723" s="74"/>
      <c r="AM723" s="74"/>
      <c r="AN723" s="74"/>
      <c r="AO723" s="74"/>
      <c r="AP723" s="74"/>
      <c r="AQ723" s="74"/>
      <c r="AR723" s="74"/>
      <c r="AS723" s="74"/>
      <c r="BD723" s="74"/>
      <c r="BE723" s="74"/>
      <c r="BF723" s="74"/>
      <c r="BG723" s="74"/>
      <c r="BH723" s="74"/>
      <c r="BI723" s="74"/>
    </row>
    <row r="724" spans="4:61" x14ac:dyDescent="0.3">
      <c r="D724" s="76"/>
      <c r="E724" s="76"/>
      <c r="F724" s="76" t="str">
        <f t="shared" si="60"/>
        <v/>
      </c>
      <c r="G724" s="183" t="str">
        <f>IF(F724 = "","",IFERROR(IF($G$1 = "YTM",_xll.CbondsCalcYTM($B$1,D724,F724),_xll.CbondsCalcYTP($B$1,D724,F724)),"")*100)</f>
        <v/>
      </c>
      <c r="U724" s="74"/>
      <c r="V724" s="74"/>
      <c r="W724" s="74"/>
      <c r="X724" s="74"/>
      <c r="Y724" s="74"/>
      <c r="Z724" s="74"/>
      <c r="AA724" s="74"/>
      <c r="AB724" s="74"/>
      <c r="AC724" s="74"/>
      <c r="AJ724" s="74"/>
      <c r="AK724" s="74"/>
      <c r="AL724" s="74"/>
      <c r="AM724" s="74"/>
      <c r="AN724" s="74"/>
      <c r="AO724" s="74"/>
      <c r="AP724" s="74"/>
      <c r="AQ724" s="74"/>
      <c r="AR724" s="74"/>
      <c r="AS724" s="74"/>
      <c r="BD724" s="74"/>
      <c r="BE724" s="74"/>
      <c r="BF724" s="74"/>
      <c r="BG724" s="74"/>
      <c r="BH724" s="74"/>
      <c r="BI724" s="74"/>
    </row>
    <row r="725" spans="4:61" x14ac:dyDescent="0.3">
      <c r="D725" s="76"/>
      <c r="E725" s="76"/>
      <c r="F725" s="76" t="str">
        <f t="shared" si="60"/>
        <v/>
      </c>
      <c r="G725" s="183" t="str">
        <f>IF(F725 = "","",IFERROR(IF($G$1 = "YTM",_xll.CbondsCalcYTM($B$1,D725,F725),_xll.CbondsCalcYTP($B$1,D725,F725)),"")*100)</f>
        <v/>
      </c>
      <c r="U725" s="74"/>
      <c r="V725" s="74"/>
      <c r="W725" s="74"/>
      <c r="X725" s="74"/>
      <c r="Y725" s="74"/>
      <c r="Z725" s="74"/>
      <c r="AA725" s="74"/>
      <c r="AB725" s="74"/>
      <c r="AC725" s="74"/>
      <c r="AJ725" s="74"/>
      <c r="AK725" s="74"/>
      <c r="AL725" s="74"/>
      <c r="AM725" s="74"/>
      <c r="AN725" s="74"/>
      <c r="AO725" s="74"/>
      <c r="AP725" s="74"/>
      <c r="AQ725" s="74"/>
      <c r="AR725" s="74"/>
      <c r="AS725" s="74"/>
      <c r="BD725" s="74"/>
      <c r="BE725" s="74"/>
      <c r="BF725" s="74"/>
      <c r="BG725" s="74"/>
      <c r="BH725" s="74"/>
      <c r="BI725" s="74"/>
    </row>
    <row r="726" spans="4:61" x14ac:dyDescent="0.3">
      <c r="D726" s="76"/>
      <c r="E726" s="76"/>
      <c r="F726" s="76" t="str">
        <f t="shared" si="60"/>
        <v/>
      </c>
      <c r="G726" s="183" t="str">
        <f>IF(F726 = "","",IFERROR(IF($G$1 = "YTM",_xll.CbondsCalcYTM($B$1,D726,F726),_xll.CbondsCalcYTP($B$1,D726,F726)),"")*100)</f>
        <v/>
      </c>
      <c r="U726" s="74"/>
      <c r="V726" s="74"/>
      <c r="W726" s="74"/>
      <c r="X726" s="74"/>
      <c r="Y726" s="74"/>
      <c r="Z726" s="74"/>
      <c r="AA726" s="74"/>
      <c r="AB726" s="74"/>
      <c r="AC726" s="74"/>
      <c r="AJ726" s="74"/>
      <c r="AK726" s="74"/>
      <c r="AL726" s="74"/>
      <c r="AM726" s="74"/>
      <c r="AN726" s="74"/>
      <c r="AO726" s="74"/>
      <c r="AP726" s="74"/>
      <c r="AQ726" s="74"/>
      <c r="AR726" s="74"/>
      <c r="AS726" s="74"/>
      <c r="BD726" s="74"/>
      <c r="BE726" s="74"/>
      <c r="BF726" s="74"/>
      <c r="BG726" s="74"/>
      <c r="BH726" s="74"/>
      <c r="BI726" s="74"/>
    </row>
    <row r="727" spans="4:61" x14ac:dyDescent="0.3">
      <c r="D727" s="76"/>
      <c r="E727" s="76"/>
      <c r="F727" s="76" t="str">
        <f t="shared" si="60"/>
        <v/>
      </c>
      <c r="G727" s="183" t="str">
        <f>IF(F727 = "","",IFERROR(IF($G$1 = "YTM",_xll.CbondsCalcYTM($B$1,D727,F727),_xll.CbondsCalcYTP($B$1,D727,F727)),"")*100)</f>
        <v/>
      </c>
      <c r="U727" s="74"/>
      <c r="V727" s="74"/>
      <c r="W727" s="74"/>
      <c r="X727" s="74"/>
      <c r="Y727" s="74"/>
      <c r="Z727" s="74"/>
      <c r="AA727" s="74"/>
      <c r="AB727" s="74"/>
      <c r="AC727" s="74"/>
      <c r="AJ727" s="74"/>
      <c r="AK727" s="74"/>
      <c r="AL727" s="74"/>
      <c r="AM727" s="74"/>
      <c r="AN727" s="74"/>
      <c r="AO727" s="74"/>
      <c r="AP727" s="74"/>
      <c r="AQ727" s="74"/>
      <c r="AR727" s="74"/>
      <c r="AS727" s="74"/>
      <c r="BD727" s="74"/>
      <c r="BE727" s="74"/>
      <c r="BF727" s="74"/>
      <c r="BG727" s="74"/>
      <c r="BH727" s="74"/>
      <c r="BI727" s="74"/>
    </row>
    <row r="728" spans="4:61" x14ac:dyDescent="0.3">
      <c r="D728" s="76"/>
      <c r="E728" s="76"/>
      <c r="F728" s="76" t="str">
        <f t="shared" si="60"/>
        <v/>
      </c>
      <c r="G728" s="183" t="str">
        <f>IF(F728 = "","",IFERROR(IF($G$1 = "YTM",_xll.CbondsCalcYTM($B$1,D728,F728),_xll.CbondsCalcYTP($B$1,D728,F728)),"")*100)</f>
        <v/>
      </c>
      <c r="U728" s="74"/>
      <c r="V728" s="74"/>
      <c r="W728" s="74"/>
      <c r="X728" s="74"/>
      <c r="Y728" s="74"/>
      <c r="Z728" s="74"/>
      <c r="AA728" s="74"/>
      <c r="AB728" s="74"/>
      <c r="AC728" s="74"/>
      <c r="AJ728" s="74"/>
      <c r="AK728" s="74"/>
      <c r="AL728" s="74"/>
      <c r="AM728" s="74"/>
      <c r="AN728" s="74"/>
      <c r="AO728" s="74"/>
      <c r="AP728" s="74"/>
      <c r="AQ728" s="74"/>
      <c r="AR728" s="74"/>
      <c r="AS728" s="74"/>
      <c r="BD728" s="74"/>
      <c r="BE728" s="74"/>
      <c r="BF728" s="74"/>
      <c r="BG728" s="74"/>
      <c r="BH728" s="74"/>
      <c r="BI728" s="74"/>
    </row>
    <row r="729" spans="4:61" x14ac:dyDescent="0.3">
      <c r="D729" s="76"/>
      <c r="E729" s="76"/>
      <c r="F729" s="76" t="str">
        <f t="shared" si="60"/>
        <v/>
      </c>
      <c r="G729" s="183" t="str">
        <f>IF(F729 = "","",IFERROR(IF($G$1 = "YTM",_xll.CbondsCalcYTM($B$1,D729,F729),_xll.CbondsCalcYTP($B$1,D729,F729)),"")*100)</f>
        <v/>
      </c>
      <c r="U729" s="74"/>
      <c r="V729" s="74"/>
      <c r="W729" s="74"/>
      <c r="X729" s="74"/>
      <c r="Y729" s="74"/>
      <c r="Z729" s="74"/>
      <c r="AA729" s="74"/>
      <c r="AB729" s="74"/>
      <c r="AC729" s="74"/>
      <c r="AJ729" s="74"/>
      <c r="AK729" s="74"/>
      <c r="AL729" s="74"/>
      <c r="AM729" s="74"/>
      <c r="AN729" s="74"/>
      <c r="AO729" s="74"/>
      <c r="AP729" s="74"/>
      <c r="AQ729" s="74"/>
      <c r="AR729" s="74"/>
      <c r="AS729" s="74"/>
      <c r="BD729" s="74"/>
      <c r="BE729" s="74"/>
      <c r="BF729" s="74"/>
      <c r="BG729" s="74"/>
      <c r="BH729" s="74"/>
      <c r="BI729" s="74"/>
    </row>
    <row r="730" spans="4:61" x14ac:dyDescent="0.3">
      <c r="D730" s="76"/>
      <c r="E730" s="76"/>
      <c r="F730" s="76" t="str">
        <f t="shared" si="60"/>
        <v/>
      </c>
      <c r="G730" s="183" t="str">
        <f>IF(F730 = "","",IFERROR(IF($G$1 = "YTM",_xll.CbondsCalcYTM($B$1,D730,F730),_xll.CbondsCalcYTP($B$1,D730,F730)),"")*100)</f>
        <v/>
      </c>
      <c r="U730" s="74"/>
      <c r="V730" s="74"/>
      <c r="W730" s="74"/>
      <c r="X730" s="74"/>
      <c r="Y730" s="74"/>
      <c r="Z730" s="74"/>
      <c r="AA730" s="74"/>
      <c r="AB730" s="74"/>
      <c r="AC730" s="74"/>
      <c r="AJ730" s="74"/>
      <c r="AK730" s="74"/>
      <c r="AL730" s="74"/>
      <c r="AM730" s="74"/>
      <c r="AN730" s="74"/>
      <c r="AO730" s="74"/>
      <c r="AP730" s="74"/>
      <c r="AQ730" s="74"/>
      <c r="AR730" s="74"/>
      <c r="AS730" s="74"/>
      <c r="BD730" s="74"/>
      <c r="BE730" s="74"/>
      <c r="BF730" s="74"/>
      <c r="BG730" s="74"/>
      <c r="BH730" s="74"/>
      <c r="BI730" s="74"/>
    </row>
    <row r="731" spans="4:61" x14ac:dyDescent="0.3">
      <c r="D731" s="76"/>
      <c r="E731" s="76"/>
      <c r="F731" s="76" t="str">
        <f t="shared" si="60"/>
        <v/>
      </c>
      <c r="G731" s="183" t="str">
        <f>IF(F731 = "","",IFERROR(IF($G$1 = "YTM",_xll.CbondsCalcYTM($B$1,D731,F731),_xll.CbondsCalcYTP($B$1,D731,F731)),"")*100)</f>
        <v/>
      </c>
      <c r="U731" s="74"/>
      <c r="V731" s="74"/>
      <c r="W731" s="74"/>
      <c r="X731" s="74"/>
      <c r="Y731" s="74"/>
      <c r="Z731" s="74"/>
      <c r="AA731" s="74"/>
      <c r="AB731" s="74"/>
      <c r="AC731" s="74"/>
      <c r="AJ731" s="74"/>
      <c r="AK731" s="74"/>
      <c r="AL731" s="74"/>
      <c r="AM731" s="74"/>
      <c r="AN731" s="74"/>
      <c r="AO731" s="74"/>
      <c r="AP731" s="74"/>
      <c r="AQ731" s="74"/>
      <c r="AR731" s="74"/>
      <c r="AS731" s="74"/>
      <c r="BD731" s="74"/>
      <c r="BE731" s="74"/>
      <c r="BF731" s="74"/>
      <c r="BG731" s="74"/>
      <c r="BH731" s="74"/>
      <c r="BI731" s="74"/>
    </row>
    <row r="732" spans="4:61" x14ac:dyDescent="0.3">
      <c r="D732" s="76"/>
      <c r="E732" s="76"/>
      <c r="F732" s="76" t="str">
        <f t="shared" si="60"/>
        <v/>
      </c>
      <c r="G732" s="183" t="str">
        <f>IF(F732 = "","",IFERROR(IF($G$1 = "YTM",_xll.CbondsCalcYTM($B$1,D732,F732),_xll.CbondsCalcYTP($B$1,D732,F732)),"")*100)</f>
        <v/>
      </c>
      <c r="U732" s="74"/>
      <c r="V732" s="74"/>
      <c r="W732" s="74"/>
      <c r="X732" s="74"/>
      <c r="Y732" s="74"/>
      <c r="Z732" s="74"/>
      <c r="AA732" s="74"/>
      <c r="AB732" s="74"/>
      <c r="AC732" s="74"/>
      <c r="AJ732" s="74"/>
      <c r="AK732" s="74"/>
      <c r="AL732" s="74"/>
      <c r="AM732" s="74"/>
      <c r="AN732" s="74"/>
      <c r="AO732" s="74"/>
      <c r="AP732" s="74"/>
      <c r="AQ732" s="74"/>
      <c r="AR732" s="74"/>
      <c r="AS732" s="74"/>
      <c r="BD732" s="74"/>
      <c r="BE732" s="74"/>
      <c r="BF732" s="74"/>
      <c r="BG732" s="74"/>
      <c r="BH732" s="74"/>
      <c r="BI732" s="74"/>
    </row>
    <row r="733" spans="4:61" x14ac:dyDescent="0.3">
      <c r="D733" s="76"/>
      <c r="E733" s="76"/>
      <c r="F733" s="76" t="str">
        <f t="shared" si="60"/>
        <v/>
      </c>
      <c r="G733" s="183" t="str">
        <f>IF(F733 = "","",IFERROR(IF($G$1 = "YTM",_xll.CbondsCalcYTM($B$1,D733,F733),_xll.CbondsCalcYTP($B$1,D733,F733)),"")*100)</f>
        <v/>
      </c>
      <c r="U733" s="74"/>
      <c r="V733" s="74"/>
      <c r="W733" s="74"/>
      <c r="X733" s="74"/>
      <c r="Y733" s="74"/>
      <c r="Z733" s="74"/>
      <c r="AA733" s="74"/>
      <c r="AB733" s="74"/>
      <c r="AC733" s="74"/>
      <c r="AJ733" s="74"/>
      <c r="AK733" s="74"/>
      <c r="AL733" s="74"/>
      <c r="AM733" s="74"/>
      <c r="AN733" s="74"/>
      <c r="AO733" s="74"/>
      <c r="AP733" s="74"/>
      <c r="AQ733" s="74"/>
      <c r="AR733" s="74"/>
      <c r="AS733" s="74"/>
      <c r="BD733" s="74"/>
      <c r="BE733" s="74"/>
      <c r="BF733" s="74"/>
      <c r="BG733" s="74"/>
      <c r="BH733" s="74"/>
      <c r="BI733" s="74"/>
    </row>
    <row r="734" spans="4:61" x14ac:dyDescent="0.3">
      <c r="D734" s="76"/>
      <c r="E734" s="76"/>
      <c r="F734" s="76" t="str">
        <f t="shared" si="60"/>
        <v/>
      </c>
      <c r="G734" s="183" t="str">
        <f>IF(F734 = "","",IFERROR(IF($G$1 = "YTM",_xll.CbondsCalcYTM($B$1,D734,F734),_xll.CbondsCalcYTP($B$1,D734,F734)),"")*100)</f>
        <v/>
      </c>
      <c r="U734" s="74"/>
      <c r="V734" s="74"/>
      <c r="W734" s="74"/>
      <c r="X734" s="74"/>
      <c r="Y734" s="74"/>
      <c r="Z734" s="74"/>
      <c r="AA734" s="74"/>
      <c r="AB734" s="74"/>
      <c r="AC734" s="74"/>
      <c r="AJ734" s="74"/>
      <c r="AK734" s="74"/>
      <c r="AL734" s="74"/>
      <c r="AM734" s="74"/>
      <c r="AN734" s="74"/>
      <c r="AO734" s="74"/>
      <c r="AP734" s="74"/>
      <c r="AQ734" s="74"/>
      <c r="AR734" s="74"/>
      <c r="AS734" s="74"/>
      <c r="BD734" s="74"/>
      <c r="BE734" s="74"/>
      <c r="BF734" s="74"/>
      <c r="BG734" s="74"/>
      <c r="BH734" s="74"/>
      <c r="BI734" s="74"/>
    </row>
    <row r="735" spans="4:61" x14ac:dyDescent="0.3">
      <c r="D735" s="76"/>
      <c r="E735" s="76"/>
      <c r="F735" s="76" t="str">
        <f t="shared" si="60"/>
        <v/>
      </c>
      <c r="G735" s="183" t="str">
        <f>IF(F735 = "","",IFERROR(IF($G$1 = "YTM",_xll.CbondsCalcYTM($B$1,D735,F735),_xll.CbondsCalcYTP($B$1,D735,F735)),"")*100)</f>
        <v/>
      </c>
      <c r="U735" s="74"/>
      <c r="V735" s="74"/>
      <c r="W735" s="74"/>
      <c r="X735" s="74"/>
      <c r="Y735" s="74"/>
      <c r="Z735" s="74"/>
      <c r="AA735" s="74"/>
      <c r="AB735" s="74"/>
      <c r="AC735" s="74"/>
      <c r="AJ735" s="74"/>
      <c r="AK735" s="74"/>
      <c r="AL735" s="74"/>
      <c r="AM735" s="74"/>
      <c r="AN735" s="74"/>
      <c r="AO735" s="74"/>
      <c r="AP735" s="74"/>
      <c r="AQ735" s="74"/>
      <c r="AR735" s="74"/>
      <c r="AS735" s="74"/>
      <c r="BD735" s="74"/>
      <c r="BE735" s="74"/>
      <c r="BF735" s="74"/>
      <c r="BG735" s="74"/>
      <c r="BH735" s="74"/>
      <c r="BI735" s="74"/>
    </row>
    <row r="736" spans="4:61" x14ac:dyDescent="0.3">
      <c r="D736" s="76"/>
      <c r="E736" s="76"/>
      <c r="F736" s="76" t="str">
        <f t="shared" si="60"/>
        <v/>
      </c>
      <c r="G736" s="183" t="str">
        <f>IF(F736 = "","",IFERROR(IF($G$1 = "YTM",_xll.CbondsCalcYTM($B$1,D736,F736),_xll.CbondsCalcYTP($B$1,D736,F736)),"")*100)</f>
        <v/>
      </c>
      <c r="U736" s="74"/>
      <c r="V736" s="74"/>
      <c r="W736" s="74"/>
      <c r="X736" s="74"/>
      <c r="Y736" s="74"/>
      <c r="Z736" s="74"/>
      <c r="AA736" s="74"/>
      <c r="AB736" s="74"/>
      <c r="AC736" s="74"/>
      <c r="AJ736" s="74"/>
      <c r="AK736" s="74"/>
      <c r="AL736" s="74"/>
      <c r="AM736" s="74"/>
      <c r="AN736" s="74"/>
      <c r="AO736" s="74"/>
      <c r="AP736" s="74"/>
      <c r="AQ736" s="74"/>
      <c r="AR736" s="74"/>
      <c r="AS736" s="74"/>
      <c r="BD736" s="74"/>
      <c r="BE736" s="74"/>
      <c r="BF736" s="74"/>
      <c r="BG736" s="74"/>
      <c r="BH736" s="74"/>
      <c r="BI736" s="74"/>
    </row>
    <row r="737" spans="4:61" x14ac:dyDescent="0.3">
      <c r="D737" s="76"/>
      <c r="E737" s="76"/>
      <c r="F737" s="76" t="str">
        <f t="shared" si="60"/>
        <v/>
      </c>
      <c r="G737" s="183" t="str">
        <f>IF(F737 = "","",IFERROR(IF($G$1 = "YTM",_xll.CbondsCalcYTM($B$1,D737,F737),_xll.CbondsCalcYTP($B$1,D737,F737)),"")*100)</f>
        <v/>
      </c>
      <c r="U737" s="74"/>
      <c r="V737" s="74"/>
      <c r="W737" s="74"/>
      <c r="X737" s="74"/>
      <c r="Y737" s="74"/>
      <c r="Z737" s="74"/>
      <c r="AA737" s="74"/>
      <c r="AB737" s="74"/>
      <c r="AC737" s="74"/>
      <c r="AJ737" s="74"/>
      <c r="AK737" s="74"/>
      <c r="AL737" s="74"/>
      <c r="AM737" s="74"/>
      <c r="AN737" s="74"/>
      <c r="AO737" s="74"/>
      <c r="AP737" s="74"/>
      <c r="AQ737" s="74"/>
      <c r="AR737" s="74"/>
      <c r="AS737" s="74"/>
      <c r="BD737" s="74"/>
      <c r="BE737" s="74"/>
      <c r="BF737" s="74"/>
      <c r="BG737" s="74"/>
      <c r="BH737" s="74"/>
      <c r="BI737" s="74"/>
    </row>
    <row r="738" spans="4:61" x14ac:dyDescent="0.3">
      <c r="D738" s="76"/>
      <c r="E738" s="76"/>
      <c r="F738" s="76" t="str">
        <f t="shared" si="60"/>
        <v/>
      </c>
      <c r="G738" s="183" t="str">
        <f>IF(F738 = "","",IFERROR(IF($G$1 = "YTM",_xll.CbondsCalcYTM($B$1,D738,F738),_xll.CbondsCalcYTP($B$1,D738,F738)),"")*100)</f>
        <v/>
      </c>
      <c r="U738" s="74"/>
      <c r="V738" s="74"/>
      <c r="W738" s="74"/>
      <c r="X738" s="74"/>
      <c r="Y738" s="74"/>
      <c r="Z738" s="74"/>
      <c r="AA738" s="74"/>
      <c r="AB738" s="74"/>
      <c r="AC738" s="74"/>
      <c r="AJ738" s="74"/>
      <c r="AK738" s="74"/>
      <c r="AL738" s="74"/>
      <c r="AM738" s="74"/>
      <c r="AN738" s="74"/>
      <c r="AO738" s="74"/>
      <c r="AP738" s="74"/>
      <c r="AQ738" s="74"/>
      <c r="AR738" s="74"/>
      <c r="AS738" s="74"/>
      <c r="BD738" s="74"/>
      <c r="BE738" s="74"/>
      <c r="BF738" s="74"/>
      <c r="BG738" s="74"/>
      <c r="BH738" s="74"/>
      <c r="BI738" s="74"/>
    </row>
    <row r="739" spans="4:61" x14ac:dyDescent="0.3">
      <c r="D739" s="76"/>
      <c r="E739" s="76"/>
      <c r="F739" s="76" t="str">
        <f t="shared" si="60"/>
        <v/>
      </c>
      <c r="G739" s="183" t="str">
        <f>IF(F739 = "","",IFERROR(IF($G$1 = "YTM",_xll.CbondsCalcYTM($B$1,D739,F739),_xll.CbondsCalcYTP($B$1,D739,F739)),"")*100)</f>
        <v/>
      </c>
      <c r="U739" s="74"/>
      <c r="V739" s="74"/>
      <c r="W739" s="74"/>
      <c r="X739" s="74"/>
      <c r="Y739" s="74"/>
      <c r="Z739" s="74"/>
      <c r="AA739" s="74"/>
      <c r="AB739" s="74"/>
      <c r="AC739" s="74"/>
      <c r="AJ739" s="74"/>
      <c r="AK739" s="74"/>
      <c r="AL739" s="74"/>
      <c r="AM739" s="74"/>
      <c r="AN739" s="74"/>
      <c r="AO739" s="74"/>
      <c r="AP739" s="74"/>
      <c r="AQ739" s="74"/>
      <c r="AR739" s="74"/>
      <c r="AS739" s="74"/>
      <c r="BD739" s="74"/>
      <c r="BE739" s="74"/>
      <c r="BF739" s="74"/>
      <c r="BG739" s="74"/>
      <c r="BH739" s="74"/>
      <c r="BI739" s="74"/>
    </row>
    <row r="740" spans="4:61" x14ac:dyDescent="0.3">
      <c r="D740" s="76"/>
      <c r="E740" s="76"/>
      <c r="F740" s="76" t="str">
        <f t="shared" si="60"/>
        <v/>
      </c>
      <c r="G740" s="183" t="str">
        <f>IF(F740 = "","",IFERROR(IF($G$1 = "YTM",_xll.CbondsCalcYTM($B$1,D740,F740),_xll.CbondsCalcYTP($B$1,D740,F740)),"")*100)</f>
        <v/>
      </c>
      <c r="U740" s="74"/>
      <c r="V740" s="74"/>
      <c r="W740" s="74"/>
      <c r="X740" s="74"/>
      <c r="Y740" s="74"/>
      <c r="Z740" s="74"/>
      <c r="AA740" s="74"/>
      <c r="AB740" s="74"/>
      <c r="AC740" s="74"/>
      <c r="AJ740" s="74"/>
      <c r="AK740" s="74"/>
      <c r="AL740" s="74"/>
      <c r="AM740" s="74"/>
      <c r="AN740" s="74"/>
      <c r="AO740" s="74"/>
      <c r="AP740" s="74"/>
      <c r="AQ740" s="74"/>
      <c r="AR740" s="74"/>
      <c r="AS740" s="74"/>
      <c r="BD740" s="74"/>
      <c r="BE740" s="74"/>
      <c r="BF740" s="74"/>
      <c r="BG740" s="74"/>
      <c r="BH740" s="74"/>
      <c r="BI740" s="74"/>
    </row>
    <row r="741" spans="4:61" x14ac:dyDescent="0.3">
      <c r="D741" s="76"/>
      <c r="E741" s="76"/>
      <c r="F741" s="76" t="str">
        <f t="shared" si="60"/>
        <v/>
      </c>
      <c r="G741" s="183" t="str">
        <f>IF(F741 = "","",IFERROR(IF($G$1 = "YTM",_xll.CbondsCalcYTM($B$1,D741,F741),_xll.CbondsCalcYTP($B$1,D741,F741)),"")*100)</f>
        <v/>
      </c>
      <c r="U741" s="74"/>
      <c r="V741" s="74"/>
      <c r="W741" s="74"/>
      <c r="X741" s="74"/>
      <c r="Y741" s="74"/>
      <c r="Z741" s="74"/>
      <c r="AA741" s="74"/>
      <c r="AB741" s="74"/>
      <c r="AC741" s="74"/>
      <c r="AJ741" s="74"/>
      <c r="AK741" s="74"/>
      <c r="AL741" s="74"/>
      <c r="AM741" s="74"/>
      <c r="AN741" s="74"/>
      <c r="AO741" s="74"/>
      <c r="AP741" s="74"/>
      <c r="AQ741" s="74"/>
      <c r="AR741" s="74"/>
      <c r="AS741" s="74"/>
      <c r="BD741" s="74"/>
      <c r="BE741" s="74"/>
      <c r="BF741" s="74"/>
      <c r="BG741" s="74"/>
      <c r="BH741" s="74"/>
      <c r="BI741" s="74"/>
    </row>
    <row r="742" spans="4:61" x14ac:dyDescent="0.3">
      <c r="D742" s="76"/>
      <c r="E742" s="76"/>
      <c r="F742" s="76" t="str">
        <f t="shared" si="60"/>
        <v/>
      </c>
      <c r="G742" s="183" t="str">
        <f>IF(F742 = "","",IFERROR(IF($G$1 = "YTM",_xll.CbondsCalcYTM($B$1,D742,F742),_xll.CbondsCalcYTP($B$1,D742,F742)),"")*100)</f>
        <v/>
      </c>
      <c r="U742" s="74"/>
      <c r="V742" s="74"/>
      <c r="W742" s="74"/>
      <c r="X742" s="74"/>
      <c r="Y742" s="74"/>
      <c r="Z742" s="74"/>
      <c r="AA742" s="74"/>
      <c r="AB742" s="74"/>
      <c r="AC742" s="74"/>
      <c r="AJ742" s="74"/>
      <c r="AK742" s="74"/>
      <c r="AL742" s="74"/>
      <c r="AM742" s="74"/>
      <c r="AN742" s="74"/>
      <c r="AO742" s="74"/>
      <c r="AP742" s="74"/>
      <c r="AQ742" s="74"/>
      <c r="AR742" s="74"/>
      <c r="AS742" s="74"/>
      <c r="BD742" s="74"/>
      <c r="BE742" s="74"/>
      <c r="BF742" s="74"/>
      <c r="BG742" s="74"/>
      <c r="BH742" s="74"/>
      <c r="BI742" s="74"/>
    </row>
    <row r="743" spans="4:61" x14ac:dyDescent="0.3">
      <c r="D743" s="76"/>
      <c r="E743" s="76"/>
      <c r="F743" s="76" t="str">
        <f t="shared" si="60"/>
        <v/>
      </c>
      <c r="G743" s="183" t="str">
        <f>IF(F743 = "","",IFERROR(IF($G$1 = "YTM",_xll.CbondsCalcYTM($B$1,D743,F743),_xll.CbondsCalcYTP($B$1,D743,F743)),"")*100)</f>
        <v/>
      </c>
      <c r="U743" s="74"/>
      <c r="V743" s="74"/>
      <c r="W743" s="74"/>
      <c r="X743" s="74"/>
      <c r="Y743" s="74"/>
      <c r="Z743" s="74"/>
      <c r="AA743" s="74"/>
      <c r="AB743" s="74"/>
      <c r="AC743" s="74"/>
      <c r="AJ743" s="74"/>
      <c r="AK743" s="74"/>
      <c r="AL743" s="74"/>
      <c r="AM743" s="74"/>
      <c r="AN743" s="74"/>
      <c r="AO743" s="74"/>
      <c r="AP743" s="74"/>
      <c r="AQ743" s="74"/>
      <c r="AR743" s="74"/>
      <c r="AS743" s="74"/>
      <c r="BD743" s="74"/>
      <c r="BE743" s="74"/>
      <c r="BF743" s="74"/>
      <c r="BG743" s="74"/>
      <c r="BH743" s="74"/>
      <c r="BI743" s="74"/>
    </row>
    <row r="744" spans="4:61" x14ac:dyDescent="0.3">
      <c r="D744" s="76"/>
      <c r="E744" s="76"/>
      <c r="F744" s="76" t="str">
        <f t="shared" si="60"/>
        <v/>
      </c>
      <c r="G744" s="183" t="str">
        <f>IF(F744 = "","",IFERROR(IF($G$1 = "YTM",_xll.CbondsCalcYTM($B$1,D744,F744),_xll.CbondsCalcYTP($B$1,D744,F744)),"")*100)</f>
        <v/>
      </c>
      <c r="U744" s="74"/>
      <c r="V744" s="74"/>
      <c r="W744" s="74"/>
      <c r="X744" s="74"/>
      <c r="Y744" s="74"/>
      <c r="Z744" s="74"/>
      <c r="AA744" s="74"/>
      <c r="AB744" s="74"/>
      <c r="AC744" s="74"/>
      <c r="AJ744" s="74"/>
      <c r="AK744" s="74"/>
      <c r="AL744" s="74"/>
      <c r="AM744" s="74"/>
      <c r="AN744" s="74"/>
      <c r="AO744" s="74"/>
      <c r="AP744" s="74"/>
      <c r="AQ744" s="74"/>
      <c r="AR744" s="74"/>
      <c r="AS744" s="74"/>
      <c r="BD744" s="74"/>
      <c r="BE744" s="74"/>
      <c r="BF744" s="74"/>
      <c r="BG744" s="74"/>
      <c r="BH744" s="74"/>
      <c r="BI744" s="74"/>
    </row>
    <row r="745" spans="4:61" x14ac:dyDescent="0.3">
      <c r="D745" s="76"/>
      <c r="E745" s="76"/>
      <c r="F745" s="76" t="str">
        <f t="shared" si="60"/>
        <v/>
      </c>
      <c r="G745" s="183" t="str">
        <f>IF(F745 = "","",IFERROR(IF($G$1 = "YTM",_xll.CbondsCalcYTM($B$1,D745,F745),_xll.CbondsCalcYTP($B$1,D745,F745)),"")*100)</f>
        <v/>
      </c>
      <c r="U745" s="74"/>
      <c r="V745" s="74"/>
      <c r="W745" s="74"/>
      <c r="X745" s="74"/>
      <c r="Y745" s="74"/>
      <c r="Z745" s="74"/>
      <c r="AA745" s="74"/>
      <c r="AB745" s="74"/>
      <c r="AC745" s="74"/>
      <c r="AJ745" s="74"/>
      <c r="AK745" s="74"/>
      <c r="AL745" s="74"/>
      <c r="AM745" s="74"/>
      <c r="AN745" s="74"/>
      <c r="AO745" s="74"/>
      <c r="AP745" s="74"/>
      <c r="AQ745" s="74"/>
      <c r="AR745" s="74"/>
      <c r="AS745" s="74"/>
      <c r="BD745" s="74"/>
      <c r="BE745" s="74"/>
      <c r="BF745" s="74"/>
      <c r="BG745" s="74"/>
      <c r="BH745" s="74"/>
      <c r="BI745" s="74"/>
    </row>
    <row r="746" spans="4:61" x14ac:dyDescent="0.3">
      <c r="D746" s="76"/>
      <c r="E746" s="76"/>
      <c r="F746" s="76" t="str">
        <f t="shared" si="60"/>
        <v/>
      </c>
      <c r="G746" s="183" t="str">
        <f>IF(F746 = "","",IFERROR(IF($G$1 = "YTM",_xll.CbondsCalcYTM($B$1,D746,F746),_xll.CbondsCalcYTP($B$1,D746,F746)),"")*100)</f>
        <v/>
      </c>
      <c r="U746" s="74"/>
      <c r="V746" s="74"/>
      <c r="W746" s="74"/>
      <c r="X746" s="74"/>
      <c r="Y746" s="74"/>
      <c r="Z746" s="74"/>
      <c r="AA746" s="74"/>
      <c r="AB746" s="74"/>
      <c r="AC746" s="74"/>
      <c r="AJ746" s="74"/>
      <c r="AK746" s="74"/>
      <c r="AL746" s="74"/>
      <c r="AM746" s="74"/>
      <c r="AN746" s="74"/>
      <c r="AO746" s="74"/>
      <c r="AP746" s="74"/>
      <c r="AQ746" s="74"/>
      <c r="AR746" s="74"/>
      <c r="AS746" s="74"/>
      <c r="BD746" s="74"/>
      <c r="BE746" s="74"/>
      <c r="BF746" s="74"/>
      <c r="BG746" s="74"/>
      <c r="BH746" s="74"/>
      <c r="BI746" s="74"/>
    </row>
    <row r="747" spans="4:61" x14ac:dyDescent="0.3">
      <c r="D747" s="76"/>
      <c r="E747" s="76"/>
      <c r="F747" s="76" t="str">
        <f t="shared" si="60"/>
        <v/>
      </c>
      <c r="G747" s="183" t="str">
        <f>IF(F747 = "","",IFERROR(IF($G$1 = "YTM",_xll.CbondsCalcYTM($B$1,D747,F747),_xll.CbondsCalcYTP($B$1,D747,F747)),"")*100)</f>
        <v/>
      </c>
      <c r="U747" s="74"/>
      <c r="V747" s="74"/>
      <c r="W747" s="74"/>
      <c r="X747" s="74"/>
      <c r="Y747" s="74"/>
      <c r="Z747" s="74"/>
      <c r="AA747" s="74"/>
      <c r="AB747" s="74"/>
      <c r="AC747" s="74"/>
      <c r="AJ747" s="74"/>
      <c r="AK747" s="74"/>
      <c r="AL747" s="74"/>
      <c r="AM747" s="74"/>
      <c r="AN747" s="74"/>
      <c r="AO747" s="74"/>
      <c r="AP747" s="74"/>
      <c r="AQ747" s="74"/>
      <c r="AR747" s="74"/>
      <c r="AS747" s="74"/>
      <c r="BD747" s="74"/>
      <c r="BE747" s="74"/>
      <c r="BF747" s="74"/>
      <c r="BG747" s="74"/>
      <c r="BH747" s="74"/>
      <c r="BI747" s="74"/>
    </row>
    <row r="748" spans="4:61" x14ac:dyDescent="0.3">
      <c r="D748" s="76"/>
      <c r="E748" s="76"/>
      <c r="F748" s="76" t="str">
        <f t="shared" si="60"/>
        <v/>
      </c>
      <c r="G748" s="183" t="str">
        <f>IF(F748 = "","",IFERROR(IF($G$1 = "YTM",_xll.CbondsCalcYTM($B$1,D748,F748),_xll.CbondsCalcYTP($B$1,D748,F748)),"")*100)</f>
        <v/>
      </c>
      <c r="U748" s="74"/>
      <c r="V748" s="74"/>
      <c r="W748" s="74"/>
      <c r="X748" s="74"/>
      <c r="Y748" s="74"/>
      <c r="Z748" s="74"/>
      <c r="AA748" s="74"/>
      <c r="AB748" s="74"/>
      <c r="AC748" s="74"/>
      <c r="AJ748" s="74"/>
      <c r="AK748" s="74"/>
      <c r="AL748" s="74"/>
      <c r="AM748" s="74"/>
      <c r="AN748" s="74"/>
      <c r="AO748" s="74"/>
      <c r="AP748" s="74"/>
      <c r="AQ748" s="74"/>
      <c r="AR748" s="74"/>
      <c r="AS748" s="74"/>
      <c r="BD748" s="74"/>
      <c r="BE748" s="74"/>
      <c r="BF748" s="74"/>
      <c r="BG748" s="74"/>
      <c r="BH748" s="74"/>
      <c r="BI748" s="74"/>
    </row>
    <row r="749" spans="4:61" x14ac:dyDescent="0.3">
      <c r="D749" s="76"/>
      <c r="E749" s="76"/>
      <c r="F749" s="76" t="str">
        <f t="shared" si="60"/>
        <v/>
      </c>
      <c r="G749" s="183" t="str">
        <f>IF(F749 = "","",IFERROR(IF($G$1 = "YTM",_xll.CbondsCalcYTM($B$1,D749,F749),_xll.CbondsCalcYTP($B$1,D749,F749)),"")*100)</f>
        <v/>
      </c>
      <c r="U749" s="74"/>
      <c r="V749" s="74"/>
      <c r="W749" s="74"/>
      <c r="X749" s="74"/>
      <c r="Y749" s="74"/>
      <c r="Z749" s="74"/>
      <c r="AA749" s="74"/>
      <c r="AB749" s="74"/>
      <c r="AC749" s="74"/>
      <c r="AJ749" s="74"/>
      <c r="AK749" s="74"/>
      <c r="AL749" s="74"/>
      <c r="AM749" s="74"/>
      <c r="AN749" s="74"/>
      <c r="AO749" s="74"/>
      <c r="AP749" s="74"/>
      <c r="AQ749" s="74"/>
      <c r="AR749" s="74"/>
      <c r="AS749" s="74"/>
      <c r="BD749" s="74"/>
      <c r="BE749" s="74"/>
      <c r="BF749" s="74"/>
      <c r="BG749" s="74"/>
      <c r="BH749" s="74"/>
      <c r="BI749" s="74"/>
    </row>
    <row r="750" spans="4:61" x14ac:dyDescent="0.3">
      <c r="D750" s="76"/>
      <c r="E750" s="76"/>
      <c r="F750" s="76" t="str">
        <f t="shared" si="60"/>
        <v/>
      </c>
      <c r="G750" s="183" t="str">
        <f>IF(F750 = "","",IFERROR(IF($G$1 = "YTM",_xll.CbondsCalcYTM($B$1,D750,F750),_xll.CbondsCalcYTP($B$1,D750,F750)),"")*100)</f>
        <v/>
      </c>
      <c r="U750" s="74"/>
      <c r="V750" s="74"/>
      <c r="W750" s="74"/>
      <c r="X750" s="74"/>
      <c r="Y750" s="74"/>
      <c r="Z750" s="74"/>
      <c r="AA750" s="74"/>
      <c r="AB750" s="74"/>
      <c r="AC750" s="74"/>
      <c r="AJ750" s="74"/>
      <c r="AK750" s="74"/>
      <c r="AL750" s="74"/>
      <c r="AM750" s="74"/>
      <c r="AN750" s="74"/>
      <c r="AO750" s="74"/>
      <c r="AP750" s="74"/>
      <c r="AQ750" s="74"/>
      <c r="AR750" s="74"/>
      <c r="AS750" s="74"/>
      <c r="BD750" s="74"/>
      <c r="BE750" s="74"/>
      <c r="BF750" s="74"/>
      <c r="BG750" s="74"/>
      <c r="BH750" s="74"/>
      <c r="BI750" s="74"/>
    </row>
    <row r="751" spans="4:61" x14ac:dyDescent="0.3">
      <c r="D751" s="76"/>
      <c r="E751" s="76"/>
      <c r="F751" s="76" t="str">
        <f t="shared" si="60"/>
        <v/>
      </c>
      <c r="G751" s="183" t="str">
        <f>IF(F751 = "","",IFERROR(IF($G$1 = "YTM",_xll.CbondsCalcYTM($B$1,D751,F751),_xll.CbondsCalcYTP($B$1,D751,F751)),"")*100)</f>
        <v/>
      </c>
      <c r="U751" s="74"/>
      <c r="V751" s="74"/>
      <c r="W751" s="74"/>
      <c r="X751" s="74"/>
      <c r="Y751" s="74"/>
      <c r="Z751" s="74"/>
      <c r="AA751" s="74"/>
      <c r="AB751" s="74"/>
      <c r="AC751" s="74"/>
      <c r="AJ751" s="74"/>
      <c r="AK751" s="74"/>
      <c r="AL751" s="74"/>
      <c r="AM751" s="74"/>
      <c r="AN751" s="74"/>
      <c r="AO751" s="74"/>
      <c r="AP751" s="74"/>
      <c r="AQ751" s="74"/>
      <c r="AR751" s="74"/>
      <c r="AS751" s="74"/>
      <c r="BD751" s="74"/>
      <c r="BE751" s="74"/>
      <c r="BF751" s="74"/>
      <c r="BG751" s="74"/>
      <c r="BH751" s="74"/>
      <c r="BI751" s="74"/>
    </row>
    <row r="752" spans="4:61" x14ac:dyDescent="0.3">
      <c r="D752" s="76"/>
      <c r="E752" s="76"/>
      <c r="F752" s="76" t="str">
        <f t="shared" si="60"/>
        <v/>
      </c>
      <c r="G752" s="183" t="str">
        <f>IF(F752 = "","",IFERROR(IF($G$1 = "YTM",_xll.CbondsCalcYTM($B$1,D752,F752),_xll.CbondsCalcYTP($B$1,D752,F752)),"")*100)</f>
        <v/>
      </c>
      <c r="U752" s="74"/>
      <c r="V752" s="74"/>
      <c r="W752" s="74"/>
      <c r="X752" s="74"/>
      <c r="Y752" s="74"/>
      <c r="Z752" s="74"/>
      <c r="AA752" s="74"/>
      <c r="AB752" s="74"/>
      <c r="AC752" s="74"/>
      <c r="AJ752" s="74"/>
      <c r="AK752" s="74"/>
      <c r="AL752" s="74"/>
      <c r="AM752" s="74"/>
      <c r="AN752" s="74"/>
      <c r="AO752" s="74"/>
      <c r="AP752" s="74"/>
      <c r="AQ752" s="74"/>
      <c r="AR752" s="74"/>
      <c r="AS752" s="74"/>
      <c r="BD752" s="74"/>
      <c r="BE752" s="74"/>
      <c r="BF752" s="74"/>
      <c r="BG752" s="74"/>
      <c r="BH752" s="74"/>
      <c r="BI752" s="74"/>
    </row>
    <row r="753" spans="4:61" x14ac:dyDescent="0.3">
      <c r="D753" s="76"/>
      <c r="E753" s="76"/>
      <c r="F753" s="76" t="str">
        <f t="shared" si="60"/>
        <v/>
      </c>
      <c r="G753" s="183" t="str">
        <f>IF(F753 = "","",IFERROR(IF($G$1 = "YTM",_xll.CbondsCalcYTM($B$1,D753,F753),_xll.CbondsCalcYTP($B$1,D753,F753)),"")*100)</f>
        <v/>
      </c>
      <c r="U753" s="74"/>
      <c r="V753" s="74"/>
      <c r="W753" s="74"/>
      <c r="X753" s="74"/>
      <c r="Y753" s="74"/>
      <c r="Z753" s="74"/>
      <c r="AA753" s="74"/>
      <c r="AB753" s="74"/>
      <c r="AC753" s="74"/>
      <c r="AJ753" s="74"/>
      <c r="AK753" s="74"/>
      <c r="AL753" s="74"/>
      <c r="AM753" s="74"/>
      <c r="AN753" s="74"/>
      <c r="AO753" s="74"/>
      <c r="AP753" s="74"/>
      <c r="AQ753" s="74"/>
      <c r="AR753" s="74"/>
      <c r="AS753" s="74"/>
      <c r="BD753" s="74"/>
      <c r="BE753" s="74"/>
      <c r="BF753" s="74"/>
      <c r="BG753" s="74"/>
      <c r="BH753" s="74"/>
      <c r="BI753" s="74"/>
    </row>
    <row r="754" spans="4:61" x14ac:dyDescent="0.3">
      <c r="D754" s="76"/>
      <c r="E754" s="76"/>
      <c r="F754" s="76" t="str">
        <f t="shared" si="60"/>
        <v/>
      </c>
      <c r="G754" s="183" t="str">
        <f>IF(F754 = "","",IFERROR(IF($G$1 = "YTM",_xll.CbondsCalcYTM($B$1,D754,F754),_xll.CbondsCalcYTP($B$1,D754,F754)),"")*100)</f>
        <v/>
      </c>
      <c r="U754" s="74"/>
      <c r="V754" s="74"/>
      <c r="W754" s="74"/>
      <c r="X754" s="74"/>
      <c r="Y754" s="74"/>
      <c r="Z754" s="74"/>
      <c r="AA754" s="74"/>
      <c r="AB754" s="74"/>
      <c r="AC754" s="74"/>
      <c r="AJ754" s="74"/>
      <c r="AK754" s="74"/>
      <c r="AL754" s="74"/>
      <c r="AM754" s="74"/>
      <c r="AN754" s="74"/>
      <c r="AO754" s="74"/>
      <c r="AP754" s="74"/>
      <c r="AQ754" s="74"/>
      <c r="AR754" s="74"/>
      <c r="AS754" s="74"/>
      <c r="BD754" s="74"/>
      <c r="BE754" s="74"/>
      <c r="BF754" s="74"/>
      <c r="BG754" s="74"/>
      <c r="BH754" s="74"/>
      <c r="BI754" s="74"/>
    </row>
    <row r="755" spans="4:61" x14ac:dyDescent="0.3">
      <c r="D755" s="76"/>
      <c r="E755" s="76"/>
      <c r="F755" s="76" t="str">
        <f t="shared" si="60"/>
        <v/>
      </c>
      <c r="G755" s="183" t="str">
        <f>IF(F755 = "","",IFERROR(IF($G$1 = "YTM",_xll.CbondsCalcYTM($B$1,D755,F755),_xll.CbondsCalcYTP($B$1,D755,F755)),"")*100)</f>
        <v/>
      </c>
      <c r="U755" s="74"/>
      <c r="V755" s="74"/>
      <c r="W755" s="74"/>
      <c r="X755" s="74"/>
      <c r="Y755" s="74"/>
      <c r="Z755" s="74"/>
      <c r="AA755" s="74"/>
      <c r="AB755" s="74"/>
      <c r="AC755" s="74"/>
      <c r="AJ755" s="74"/>
      <c r="AK755" s="74"/>
      <c r="AL755" s="74"/>
      <c r="AM755" s="74"/>
      <c r="AN755" s="74"/>
      <c r="AO755" s="74"/>
      <c r="AP755" s="74"/>
      <c r="AQ755" s="74"/>
      <c r="AR755" s="74"/>
      <c r="AS755" s="74"/>
      <c r="BD755" s="74"/>
      <c r="BE755" s="74"/>
      <c r="BF755" s="74"/>
      <c r="BG755" s="74"/>
      <c r="BH755" s="74"/>
      <c r="BI755" s="74"/>
    </row>
    <row r="756" spans="4:61" x14ac:dyDescent="0.3">
      <c r="D756" s="76"/>
      <c r="E756" s="76"/>
      <c r="F756" s="76" t="str">
        <f t="shared" si="60"/>
        <v/>
      </c>
      <c r="G756" s="183" t="str">
        <f>IF(F756 = "","",IFERROR(IF($G$1 = "YTM",_xll.CbondsCalcYTM($B$1,D756,F756),_xll.CbondsCalcYTP($B$1,D756,F756)),"")*100)</f>
        <v/>
      </c>
      <c r="U756" s="74"/>
      <c r="V756" s="74"/>
      <c r="W756" s="74"/>
      <c r="X756" s="74"/>
      <c r="Y756" s="74"/>
      <c r="Z756" s="74"/>
      <c r="AA756" s="74"/>
      <c r="AB756" s="74"/>
      <c r="AC756" s="74"/>
      <c r="AJ756" s="74"/>
      <c r="AK756" s="74"/>
      <c r="AL756" s="74"/>
      <c r="AM756" s="74"/>
      <c r="AN756" s="74"/>
      <c r="AO756" s="74"/>
      <c r="AP756" s="74"/>
      <c r="AQ756" s="74"/>
      <c r="AR756" s="74"/>
      <c r="AS756" s="74"/>
      <c r="BD756" s="74"/>
      <c r="BE756" s="74"/>
      <c r="BF756" s="74"/>
      <c r="BG756" s="74"/>
      <c r="BH756" s="74"/>
      <c r="BI756" s="74"/>
    </row>
    <row r="757" spans="4:61" x14ac:dyDescent="0.3">
      <c r="D757" s="76"/>
      <c r="E757" s="76"/>
      <c r="F757" s="76" t="str">
        <f t="shared" si="60"/>
        <v/>
      </c>
      <c r="G757" s="183" t="str">
        <f>IF(F757 = "","",IFERROR(IF($G$1 = "YTM",_xll.CbondsCalcYTM($B$1,D757,F757),_xll.CbondsCalcYTP($B$1,D757,F757)),"")*100)</f>
        <v/>
      </c>
      <c r="U757" s="74"/>
      <c r="V757" s="74"/>
      <c r="W757" s="74"/>
      <c r="X757" s="74"/>
      <c r="Y757" s="74"/>
      <c r="Z757" s="74"/>
      <c r="AA757" s="74"/>
      <c r="AB757" s="74"/>
      <c r="AC757" s="74"/>
      <c r="AJ757" s="74"/>
      <c r="AK757" s="74"/>
      <c r="AL757" s="74"/>
      <c r="AM757" s="74"/>
      <c r="AN757" s="74"/>
      <c r="AO757" s="74"/>
      <c r="AP757" s="74"/>
      <c r="AQ757" s="74"/>
      <c r="AR757" s="74"/>
      <c r="AS757" s="74"/>
      <c r="BD757" s="74"/>
      <c r="BE757" s="74"/>
      <c r="BF757" s="74"/>
      <c r="BG757" s="74"/>
      <c r="BH757" s="74"/>
      <c r="BI757" s="74"/>
    </row>
    <row r="758" spans="4:61" x14ac:dyDescent="0.3">
      <c r="D758" s="76"/>
      <c r="E758" s="76"/>
      <c r="F758" s="76" t="str">
        <f t="shared" si="60"/>
        <v/>
      </c>
      <c r="G758" s="183" t="str">
        <f>IF(F758 = "","",IFERROR(IF($G$1 = "YTM",_xll.CbondsCalcYTM($B$1,D758,F758),_xll.CbondsCalcYTP($B$1,D758,F758)),"")*100)</f>
        <v/>
      </c>
      <c r="U758" s="74"/>
      <c r="V758" s="74"/>
      <c r="W758" s="74"/>
      <c r="X758" s="74"/>
      <c r="Y758" s="74"/>
      <c r="Z758" s="74"/>
      <c r="AA758" s="74"/>
      <c r="AB758" s="74"/>
      <c r="AC758" s="74"/>
      <c r="AJ758" s="74"/>
      <c r="AK758" s="74"/>
      <c r="AL758" s="74"/>
      <c r="AM758" s="74"/>
      <c r="AN758" s="74"/>
      <c r="AO758" s="74"/>
      <c r="AP758" s="74"/>
      <c r="AQ758" s="74"/>
      <c r="AR758" s="74"/>
      <c r="AS758" s="74"/>
      <c r="BD758" s="74"/>
      <c r="BE758" s="74"/>
      <c r="BF758" s="74"/>
      <c r="BG758" s="74"/>
      <c r="BH758" s="74"/>
      <c r="BI758" s="74"/>
    </row>
    <row r="759" spans="4:61" x14ac:dyDescent="0.3">
      <c r="D759" s="76"/>
      <c r="E759" s="76"/>
      <c r="F759" s="76" t="str">
        <f t="shared" si="60"/>
        <v/>
      </c>
      <c r="G759" s="183" t="str">
        <f>IF(F759 = "","",IFERROR(IF($G$1 = "YTM",_xll.CbondsCalcYTM($B$1,D759,F759),_xll.CbondsCalcYTP($B$1,D759,F759)),"")*100)</f>
        <v/>
      </c>
      <c r="U759" s="74"/>
      <c r="V759" s="74"/>
      <c r="W759" s="74"/>
      <c r="X759" s="74"/>
      <c r="Y759" s="74"/>
      <c r="Z759" s="74"/>
      <c r="AA759" s="74"/>
      <c r="AB759" s="74"/>
      <c r="AC759" s="74"/>
      <c r="AJ759" s="74"/>
      <c r="AK759" s="74"/>
      <c r="AL759" s="74"/>
      <c r="AM759" s="74"/>
      <c r="AN759" s="74"/>
      <c r="AO759" s="74"/>
      <c r="AP759" s="74"/>
      <c r="AQ759" s="74"/>
      <c r="AR759" s="74"/>
      <c r="AS759" s="74"/>
      <c r="BD759" s="74"/>
      <c r="BE759" s="74"/>
      <c r="BF759" s="74"/>
      <c r="BG759" s="74"/>
      <c r="BH759" s="74"/>
      <c r="BI759" s="74"/>
    </row>
    <row r="760" spans="4:61" x14ac:dyDescent="0.3">
      <c r="D760" s="76"/>
      <c r="E760" s="76"/>
      <c r="F760" s="76" t="str">
        <f t="shared" si="60"/>
        <v/>
      </c>
      <c r="G760" s="183" t="str">
        <f>IF(F760 = "","",IFERROR(IF($G$1 = "YTM",_xll.CbondsCalcYTM($B$1,D760,F760),_xll.CbondsCalcYTP($B$1,D760,F760)),"")*100)</f>
        <v/>
      </c>
      <c r="U760" s="74"/>
      <c r="V760" s="74"/>
      <c r="W760" s="74"/>
      <c r="X760" s="74"/>
      <c r="Y760" s="74"/>
      <c r="Z760" s="74"/>
      <c r="AA760" s="74"/>
      <c r="AB760" s="74"/>
      <c r="AC760" s="74"/>
      <c r="AJ760" s="74"/>
      <c r="AK760" s="74"/>
      <c r="AL760" s="74"/>
      <c r="AM760" s="74"/>
      <c r="AN760" s="74"/>
      <c r="AO760" s="74"/>
      <c r="AP760" s="74"/>
      <c r="AQ760" s="74"/>
      <c r="AR760" s="74"/>
      <c r="AS760" s="74"/>
      <c r="BD760" s="74"/>
      <c r="BE760" s="74"/>
      <c r="BF760" s="74"/>
      <c r="BG760" s="74"/>
      <c r="BH760" s="74"/>
      <c r="BI760" s="74"/>
    </row>
    <row r="761" spans="4:61" x14ac:dyDescent="0.3">
      <c r="D761" s="76"/>
      <c r="E761" s="76"/>
      <c r="F761" s="76" t="str">
        <f t="shared" si="60"/>
        <v/>
      </c>
      <c r="G761" s="183" t="str">
        <f>IF(F761 = "","",IFERROR(IF($G$1 = "YTM",_xll.CbondsCalcYTM($B$1,D761,F761),_xll.CbondsCalcYTP($B$1,D761,F761)),"")*100)</f>
        <v/>
      </c>
      <c r="U761" s="74"/>
      <c r="V761" s="74"/>
      <c r="W761" s="74"/>
      <c r="X761" s="74"/>
      <c r="Y761" s="74"/>
      <c r="Z761" s="74"/>
      <c r="AA761" s="74"/>
      <c r="AB761" s="74"/>
      <c r="AC761" s="74"/>
      <c r="AJ761" s="74"/>
      <c r="AK761" s="74"/>
      <c r="AL761" s="74"/>
      <c r="AM761" s="74"/>
      <c r="AN761" s="74"/>
      <c r="AO761" s="74"/>
      <c r="AP761" s="74"/>
      <c r="AQ761" s="74"/>
      <c r="AR761" s="74"/>
      <c r="AS761" s="74"/>
      <c r="BD761" s="74"/>
      <c r="BE761" s="74"/>
      <c r="BF761" s="74"/>
      <c r="BG761" s="74"/>
      <c r="BH761" s="74"/>
      <c r="BI761" s="74"/>
    </row>
    <row r="762" spans="4:61" x14ac:dyDescent="0.3">
      <c r="D762" s="76"/>
      <c r="E762" s="76"/>
      <c r="F762" s="76" t="str">
        <f t="shared" si="60"/>
        <v/>
      </c>
      <c r="G762" s="183" t="str">
        <f>IF(F762 = "","",IFERROR(IF($G$1 = "YTM",_xll.CbondsCalcYTM($B$1,D762,F762),_xll.CbondsCalcYTP($B$1,D762,F762)),"")*100)</f>
        <v/>
      </c>
      <c r="U762" s="74"/>
      <c r="V762" s="74"/>
      <c r="W762" s="74"/>
      <c r="X762" s="74"/>
      <c r="Y762" s="74"/>
      <c r="Z762" s="74"/>
      <c r="AA762" s="74"/>
      <c r="AB762" s="74"/>
      <c r="AC762" s="74"/>
      <c r="AJ762" s="74"/>
      <c r="AK762" s="74"/>
      <c r="AL762" s="74"/>
      <c r="AM762" s="74"/>
      <c r="AN762" s="74"/>
      <c r="AO762" s="74"/>
      <c r="AP762" s="74"/>
      <c r="AQ762" s="74"/>
      <c r="AR762" s="74"/>
      <c r="AS762" s="74"/>
      <c r="BD762" s="74"/>
      <c r="BE762" s="74"/>
      <c r="BF762" s="74"/>
      <c r="BG762" s="74"/>
      <c r="BH762" s="74"/>
      <c r="BI762" s="74"/>
    </row>
    <row r="763" spans="4:61" x14ac:dyDescent="0.3">
      <c r="D763" s="76"/>
      <c r="E763" s="76"/>
      <c r="F763" s="76" t="str">
        <f t="shared" si="60"/>
        <v/>
      </c>
      <c r="G763" s="183" t="str">
        <f>IF(F763 = "","",IFERROR(IF($G$1 = "YTM",_xll.CbondsCalcYTM($B$1,D763,F763),_xll.CbondsCalcYTP($B$1,D763,F763)),"")*100)</f>
        <v/>
      </c>
      <c r="U763" s="74"/>
      <c r="V763" s="74"/>
      <c r="W763" s="74"/>
      <c r="X763" s="74"/>
      <c r="Y763" s="74"/>
      <c r="Z763" s="74"/>
      <c r="AA763" s="74"/>
      <c r="AB763" s="74"/>
      <c r="AC763" s="74"/>
      <c r="AJ763" s="74"/>
      <c r="AK763" s="74"/>
      <c r="AL763" s="74"/>
      <c r="AM763" s="74"/>
      <c r="AN763" s="74"/>
      <c r="AO763" s="74"/>
      <c r="AP763" s="74"/>
      <c r="AQ763" s="74"/>
      <c r="AR763" s="74"/>
      <c r="AS763" s="74"/>
      <c r="BD763" s="74"/>
      <c r="BE763" s="74"/>
      <c r="BF763" s="74"/>
      <c r="BG763" s="74"/>
      <c r="BH763" s="74"/>
      <c r="BI763" s="74"/>
    </row>
    <row r="764" spans="4:61" x14ac:dyDescent="0.3">
      <c r="D764" s="76"/>
      <c r="E764" s="76"/>
      <c r="F764" s="76" t="str">
        <f t="shared" si="60"/>
        <v/>
      </c>
      <c r="G764" s="183" t="str">
        <f>IF(F764 = "","",IFERROR(IF($G$1 = "YTM",_xll.CbondsCalcYTM($B$1,D764,F764),_xll.CbondsCalcYTP($B$1,D764,F764)),"")*100)</f>
        <v/>
      </c>
      <c r="U764" s="74"/>
      <c r="V764" s="74"/>
      <c r="W764" s="74"/>
      <c r="X764" s="74"/>
      <c r="Y764" s="74"/>
      <c r="Z764" s="74"/>
      <c r="AA764" s="74"/>
      <c r="AB764" s="74"/>
      <c r="AC764" s="74"/>
      <c r="AJ764" s="74"/>
      <c r="AK764" s="74"/>
      <c r="AL764" s="74"/>
      <c r="AM764" s="74"/>
      <c r="AN764" s="74"/>
      <c r="AO764" s="74"/>
      <c r="AP764" s="74"/>
      <c r="AQ764" s="74"/>
      <c r="AR764" s="74"/>
      <c r="AS764" s="74"/>
      <c r="BD764" s="74"/>
      <c r="BE764" s="74"/>
      <c r="BF764" s="74"/>
      <c r="BG764" s="74"/>
      <c r="BH764" s="74"/>
      <c r="BI764" s="74"/>
    </row>
    <row r="765" spans="4:61" x14ac:dyDescent="0.3">
      <c r="D765" s="76"/>
      <c r="E765" s="76"/>
      <c r="F765" s="76" t="str">
        <f t="shared" si="60"/>
        <v/>
      </c>
      <c r="G765" s="183" t="str">
        <f>IF(F765 = "","",IFERROR(IF($G$1 = "YTM",_xll.CbondsCalcYTM($B$1,D765,F765),_xll.CbondsCalcYTP($B$1,D765,F765)),"")*100)</f>
        <v/>
      </c>
      <c r="U765" s="74"/>
      <c r="V765" s="74"/>
      <c r="W765" s="74"/>
      <c r="X765" s="74"/>
      <c r="Y765" s="74"/>
      <c r="Z765" s="74"/>
      <c r="AA765" s="74"/>
      <c r="AB765" s="74"/>
      <c r="AC765" s="74"/>
      <c r="AJ765" s="74"/>
      <c r="AK765" s="74"/>
      <c r="AL765" s="74"/>
      <c r="AM765" s="74"/>
      <c r="AN765" s="74"/>
      <c r="AO765" s="74"/>
      <c r="AP765" s="74"/>
      <c r="AQ765" s="74"/>
      <c r="AR765" s="74"/>
      <c r="AS765" s="74"/>
      <c r="BD765" s="74"/>
      <c r="BE765" s="74"/>
      <c r="BF765" s="74"/>
      <c r="BG765" s="74"/>
      <c r="BH765" s="74"/>
      <c r="BI765" s="74"/>
    </row>
    <row r="766" spans="4:61" x14ac:dyDescent="0.3">
      <c r="D766" s="76"/>
      <c r="E766" s="76"/>
      <c r="F766" s="76" t="str">
        <f t="shared" si="60"/>
        <v/>
      </c>
      <c r="G766" s="183" t="str">
        <f>IF(F766 = "","",IFERROR(IF($G$1 = "YTM",_xll.CbondsCalcYTM($B$1,D766,F766),_xll.CbondsCalcYTP($B$1,D766,F766)),"")*100)</f>
        <v/>
      </c>
      <c r="U766" s="74"/>
      <c r="V766" s="74"/>
      <c r="W766" s="74"/>
      <c r="X766" s="74"/>
      <c r="Y766" s="74"/>
      <c r="Z766" s="74"/>
      <c r="AA766" s="74"/>
      <c r="AB766" s="74"/>
      <c r="AC766" s="74"/>
      <c r="AJ766" s="74"/>
      <c r="AK766" s="74"/>
      <c r="AL766" s="74"/>
      <c r="AM766" s="74"/>
      <c r="AN766" s="74"/>
      <c r="AO766" s="74"/>
      <c r="AP766" s="74"/>
      <c r="AQ766" s="74"/>
      <c r="AR766" s="74"/>
      <c r="AS766" s="74"/>
      <c r="BD766" s="74"/>
      <c r="BE766" s="74"/>
      <c r="BF766" s="74"/>
      <c r="BG766" s="74"/>
      <c r="BH766" s="74"/>
      <c r="BI766" s="74"/>
    </row>
    <row r="767" spans="4:61" x14ac:dyDescent="0.3">
      <c r="D767" s="76"/>
      <c r="E767" s="76"/>
      <c r="F767" s="76" t="str">
        <f t="shared" si="60"/>
        <v/>
      </c>
      <c r="G767" s="183" t="str">
        <f>IF(F767 = "","",IFERROR(IF($G$1 = "YTM",_xll.CbondsCalcYTM($B$1,D767,F767),_xll.CbondsCalcYTP($B$1,D767,F767)),"")*100)</f>
        <v/>
      </c>
      <c r="U767" s="74"/>
      <c r="V767" s="74"/>
      <c r="W767" s="74"/>
      <c r="X767" s="74"/>
      <c r="Y767" s="74"/>
      <c r="Z767" s="74"/>
      <c r="AA767" s="74"/>
      <c r="AB767" s="74"/>
      <c r="AC767" s="74"/>
      <c r="AJ767" s="74"/>
      <c r="AK767" s="74"/>
      <c r="AL767" s="74"/>
      <c r="AM767" s="74"/>
      <c r="AN767" s="74"/>
      <c r="AO767" s="74"/>
      <c r="AP767" s="74"/>
      <c r="AQ767" s="74"/>
      <c r="AR767" s="74"/>
      <c r="AS767" s="74"/>
      <c r="BD767" s="74"/>
      <c r="BE767" s="74"/>
      <c r="BF767" s="74"/>
      <c r="BG767" s="74"/>
      <c r="BH767" s="74"/>
      <c r="BI767" s="74"/>
    </row>
    <row r="768" spans="4:61" x14ac:dyDescent="0.3">
      <c r="D768" s="76"/>
      <c r="E768" s="76"/>
      <c r="F768" s="76" t="str">
        <f t="shared" si="60"/>
        <v/>
      </c>
      <c r="G768" s="183" t="str">
        <f>IF(F768 = "","",IFERROR(IF($G$1 = "YTM",_xll.CbondsCalcYTM($B$1,D768,F768),_xll.CbondsCalcYTP($B$1,D768,F768)),"")*100)</f>
        <v/>
      </c>
      <c r="U768" s="74"/>
      <c r="V768" s="74"/>
      <c r="W768" s="74"/>
      <c r="X768" s="74"/>
      <c r="Y768" s="74"/>
      <c r="Z768" s="74"/>
      <c r="AA768" s="74"/>
      <c r="AB768" s="74"/>
      <c r="AC768" s="74"/>
      <c r="AJ768" s="74"/>
      <c r="AK768" s="74"/>
      <c r="AL768" s="74"/>
      <c r="AM768" s="74"/>
      <c r="AN768" s="74"/>
      <c r="AO768" s="74"/>
      <c r="AP768" s="74"/>
      <c r="AQ768" s="74"/>
      <c r="AR768" s="74"/>
      <c r="AS768" s="74"/>
      <c r="BD768" s="74"/>
      <c r="BE768" s="74"/>
      <c r="BF768" s="74"/>
      <c r="BG768" s="74"/>
      <c r="BH768" s="74"/>
      <c r="BI768" s="74"/>
    </row>
    <row r="769" spans="4:61" x14ac:dyDescent="0.3">
      <c r="D769" s="76"/>
      <c r="E769" s="76"/>
      <c r="F769" s="76" t="str">
        <f t="shared" si="60"/>
        <v/>
      </c>
      <c r="G769" s="183" t="str">
        <f>IF(F769 = "","",IFERROR(IF($G$1 = "YTM",_xll.CbondsCalcYTM($B$1,D769,F769),_xll.CbondsCalcYTP($B$1,D769,F769)),"")*100)</f>
        <v/>
      </c>
      <c r="U769" s="74"/>
      <c r="V769" s="74"/>
      <c r="W769" s="74"/>
      <c r="X769" s="74"/>
      <c r="Y769" s="74"/>
      <c r="Z769" s="74"/>
      <c r="AA769" s="74"/>
      <c r="AB769" s="74"/>
      <c r="AC769" s="74"/>
      <c r="AJ769" s="74"/>
      <c r="AK769" s="74"/>
      <c r="AL769" s="74"/>
      <c r="AM769" s="74"/>
      <c r="AN769" s="74"/>
      <c r="AO769" s="74"/>
      <c r="AP769" s="74"/>
      <c r="AQ769" s="74"/>
      <c r="AR769" s="74"/>
      <c r="AS769" s="74"/>
      <c r="BD769" s="74"/>
      <c r="BE769" s="74"/>
      <c r="BF769" s="74"/>
      <c r="BG769" s="74"/>
      <c r="BH769" s="74"/>
      <c r="BI769" s="74"/>
    </row>
    <row r="770" spans="4:61" x14ac:dyDescent="0.3">
      <c r="D770" s="76"/>
      <c r="E770" s="76"/>
      <c r="F770" s="76" t="str">
        <f t="shared" si="60"/>
        <v/>
      </c>
      <c r="G770" s="183" t="str">
        <f>IF(F770 = "","",IFERROR(IF($G$1 = "YTM",_xll.CbondsCalcYTM($B$1,D770,F770),_xll.CbondsCalcYTP($B$1,D770,F770)),"")*100)</f>
        <v/>
      </c>
      <c r="U770" s="74"/>
      <c r="V770" s="74"/>
      <c r="W770" s="74"/>
      <c r="X770" s="74"/>
      <c r="Y770" s="74"/>
      <c r="Z770" s="74"/>
      <c r="AA770" s="74"/>
      <c r="AB770" s="74"/>
      <c r="AC770" s="74"/>
      <c r="AJ770" s="74"/>
      <c r="AK770" s="74"/>
      <c r="AL770" s="74"/>
      <c r="AM770" s="74"/>
      <c r="AN770" s="74"/>
      <c r="AO770" s="74"/>
      <c r="AP770" s="74"/>
      <c r="AQ770" s="74"/>
      <c r="AR770" s="74"/>
      <c r="AS770" s="74"/>
      <c r="BD770" s="74"/>
      <c r="BE770" s="74"/>
      <c r="BF770" s="74"/>
      <c r="BG770" s="74"/>
      <c r="BH770" s="74"/>
      <c r="BI770" s="74"/>
    </row>
    <row r="771" spans="4:61" x14ac:dyDescent="0.3">
      <c r="D771" s="76"/>
      <c r="E771" s="76"/>
      <c r="F771" s="76" t="str">
        <f t="shared" si="60"/>
        <v/>
      </c>
      <c r="G771" s="183" t="str">
        <f>IF(F771 = "","",IFERROR(IF($G$1 = "YTM",_xll.CbondsCalcYTM($B$1,D771,F771),_xll.CbondsCalcYTP($B$1,D771,F771)),"")*100)</f>
        <v/>
      </c>
      <c r="U771" s="74"/>
      <c r="V771" s="74"/>
      <c r="W771" s="74"/>
      <c r="X771" s="74"/>
      <c r="Y771" s="74"/>
      <c r="Z771" s="74"/>
      <c r="AA771" s="74"/>
      <c r="AB771" s="74"/>
      <c r="AC771" s="74"/>
      <c r="AJ771" s="74"/>
      <c r="AK771" s="74"/>
      <c r="AL771" s="74"/>
      <c r="AM771" s="74"/>
      <c r="AN771" s="74"/>
      <c r="AO771" s="74"/>
      <c r="AP771" s="74"/>
      <c r="AQ771" s="74"/>
      <c r="AR771" s="74"/>
      <c r="AS771" s="74"/>
      <c r="BD771" s="74"/>
      <c r="BE771" s="74"/>
      <c r="BF771" s="74"/>
      <c r="BG771" s="74"/>
      <c r="BH771" s="74"/>
      <c r="BI771" s="74"/>
    </row>
    <row r="772" spans="4:61" x14ac:dyDescent="0.3">
      <c r="D772" s="76"/>
      <c r="E772" s="76"/>
      <c r="F772" s="76" t="str">
        <f t="shared" ref="F772:F835" si="61">IF(AND(E772="",D772=""),"",IF(AND(E772="",D772&lt;&gt;""),F771,E772))</f>
        <v/>
      </c>
      <c r="G772" s="183" t="str">
        <f>IF(F772 = "","",IFERROR(IF($G$1 = "YTM",_xll.CbondsCalcYTM($B$1,D772,F772),_xll.CbondsCalcYTP($B$1,D772,F772)),"")*100)</f>
        <v/>
      </c>
      <c r="U772" s="74"/>
      <c r="V772" s="74"/>
      <c r="W772" s="74"/>
      <c r="X772" s="74"/>
      <c r="Y772" s="74"/>
      <c r="Z772" s="74"/>
      <c r="AA772" s="74"/>
      <c r="AB772" s="74"/>
      <c r="AC772" s="74"/>
      <c r="AJ772" s="74"/>
      <c r="AK772" s="74"/>
      <c r="AL772" s="74"/>
      <c r="AM772" s="74"/>
      <c r="AN772" s="74"/>
      <c r="AO772" s="74"/>
      <c r="AP772" s="74"/>
      <c r="AQ772" s="74"/>
      <c r="AR772" s="74"/>
      <c r="AS772" s="74"/>
      <c r="BD772" s="74"/>
      <c r="BE772" s="74"/>
      <c r="BF772" s="74"/>
      <c r="BG772" s="74"/>
      <c r="BH772" s="74"/>
      <c r="BI772" s="74"/>
    </row>
    <row r="773" spans="4:61" x14ac:dyDescent="0.3">
      <c r="D773" s="76"/>
      <c r="E773" s="76"/>
      <c r="F773" s="76" t="str">
        <f t="shared" si="61"/>
        <v/>
      </c>
      <c r="G773" s="183" t="str">
        <f>IF(F773 = "","",IFERROR(IF($G$1 = "YTM",_xll.CbondsCalcYTM($B$1,D773,F773),_xll.CbondsCalcYTP($B$1,D773,F773)),"")*100)</f>
        <v/>
      </c>
      <c r="U773" s="74"/>
      <c r="V773" s="74"/>
      <c r="W773" s="74"/>
      <c r="X773" s="74"/>
      <c r="Y773" s="74"/>
      <c r="Z773" s="74"/>
      <c r="AA773" s="74"/>
      <c r="AB773" s="74"/>
      <c r="AC773" s="74"/>
      <c r="AJ773" s="74"/>
      <c r="AK773" s="74"/>
      <c r="AL773" s="74"/>
      <c r="AM773" s="74"/>
      <c r="AN773" s="74"/>
      <c r="AO773" s="74"/>
      <c r="AP773" s="74"/>
      <c r="AQ773" s="74"/>
      <c r="AR773" s="74"/>
      <c r="AS773" s="74"/>
      <c r="BD773" s="74"/>
      <c r="BE773" s="74"/>
      <c r="BF773" s="74"/>
      <c r="BG773" s="74"/>
      <c r="BH773" s="74"/>
      <c r="BI773" s="74"/>
    </row>
    <row r="774" spans="4:61" x14ac:dyDescent="0.3">
      <c r="D774" s="76"/>
      <c r="E774" s="76"/>
      <c r="F774" s="76" t="str">
        <f t="shared" si="61"/>
        <v/>
      </c>
      <c r="G774" s="183" t="str">
        <f>IF(F774 = "","",IFERROR(IF($G$1 = "YTM",_xll.CbondsCalcYTM($B$1,D774,F774),_xll.CbondsCalcYTP($B$1,D774,F774)),"")*100)</f>
        <v/>
      </c>
      <c r="U774" s="74"/>
      <c r="V774" s="74"/>
      <c r="W774" s="74"/>
      <c r="X774" s="74"/>
      <c r="Y774" s="74"/>
      <c r="Z774" s="74"/>
      <c r="AA774" s="74"/>
      <c r="AB774" s="74"/>
      <c r="AC774" s="74"/>
      <c r="AJ774" s="74"/>
      <c r="AK774" s="74"/>
      <c r="AL774" s="74"/>
      <c r="AM774" s="74"/>
      <c r="AN774" s="74"/>
      <c r="AO774" s="74"/>
      <c r="AP774" s="74"/>
      <c r="AQ774" s="74"/>
      <c r="AR774" s="74"/>
      <c r="AS774" s="74"/>
      <c r="BD774" s="74"/>
      <c r="BE774" s="74"/>
      <c r="BF774" s="74"/>
      <c r="BG774" s="74"/>
      <c r="BH774" s="74"/>
      <c r="BI774" s="74"/>
    </row>
    <row r="775" spans="4:61" x14ac:dyDescent="0.3">
      <c r="D775" s="76"/>
      <c r="E775" s="76"/>
      <c r="F775" s="76" t="str">
        <f t="shared" si="61"/>
        <v/>
      </c>
      <c r="G775" s="183" t="str">
        <f>IF(F775 = "","",IFERROR(IF($G$1 = "YTM",_xll.CbondsCalcYTM($B$1,D775,F775),_xll.CbondsCalcYTP($B$1,D775,F775)),"")*100)</f>
        <v/>
      </c>
      <c r="U775" s="74"/>
      <c r="V775" s="74"/>
      <c r="W775" s="74"/>
      <c r="X775" s="74"/>
      <c r="Y775" s="74"/>
      <c r="Z775" s="74"/>
      <c r="AA775" s="74"/>
      <c r="AB775" s="74"/>
      <c r="AC775" s="74"/>
      <c r="AJ775" s="74"/>
      <c r="AK775" s="74"/>
      <c r="AL775" s="74"/>
      <c r="AM775" s="74"/>
      <c r="AN775" s="74"/>
      <c r="AO775" s="74"/>
      <c r="AP775" s="74"/>
      <c r="AQ775" s="74"/>
      <c r="AR775" s="74"/>
      <c r="AS775" s="74"/>
      <c r="BD775" s="74"/>
      <c r="BE775" s="74"/>
      <c r="BF775" s="74"/>
      <c r="BG775" s="74"/>
      <c r="BH775" s="74"/>
      <c r="BI775" s="74"/>
    </row>
    <row r="776" spans="4:61" x14ac:dyDescent="0.3">
      <c r="D776" s="76"/>
      <c r="E776" s="76"/>
      <c r="F776" s="76" t="str">
        <f t="shared" si="61"/>
        <v/>
      </c>
      <c r="G776" s="183" t="str">
        <f>IF(F776 = "","",IFERROR(IF($G$1 = "YTM",_xll.CbondsCalcYTM($B$1,D776,F776),_xll.CbondsCalcYTP($B$1,D776,F776)),"")*100)</f>
        <v/>
      </c>
      <c r="U776" s="74"/>
      <c r="V776" s="74"/>
      <c r="W776" s="74"/>
      <c r="X776" s="74"/>
      <c r="Y776" s="74"/>
      <c r="Z776" s="74"/>
      <c r="AA776" s="74"/>
      <c r="AB776" s="74"/>
      <c r="AC776" s="74"/>
      <c r="AJ776" s="74"/>
      <c r="AK776" s="74"/>
      <c r="AL776" s="74"/>
      <c r="AM776" s="74"/>
      <c r="AN776" s="74"/>
      <c r="AO776" s="74"/>
      <c r="AP776" s="74"/>
      <c r="AQ776" s="74"/>
      <c r="AR776" s="74"/>
      <c r="AS776" s="74"/>
      <c r="BD776" s="74"/>
      <c r="BE776" s="74"/>
      <c r="BF776" s="74"/>
      <c r="BG776" s="74"/>
      <c r="BH776" s="74"/>
      <c r="BI776" s="74"/>
    </row>
    <row r="777" spans="4:61" x14ac:dyDescent="0.3">
      <c r="D777" s="76"/>
      <c r="E777" s="76"/>
      <c r="F777" s="76" t="str">
        <f t="shared" si="61"/>
        <v/>
      </c>
      <c r="G777" s="183" t="str">
        <f>IF(F777 = "","",IFERROR(IF($G$1 = "YTM",_xll.CbondsCalcYTM($B$1,D777,F777),_xll.CbondsCalcYTP($B$1,D777,F777)),"")*100)</f>
        <v/>
      </c>
      <c r="U777" s="74"/>
      <c r="V777" s="74"/>
      <c r="W777" s="74"/>
      <c r="X777" s="74"/>
      <c r="Y777" s="74"/>
      <c r="Z777" s="74"/>
      <c r="AA777" s="74"/>
      <c r="AB777" s="74"/>
      <c r="AC777" s="74"/>
      <c r="AJ777" s="74"/>
      <c r="AK777" s="74"/>
      <c r="AL777" s="74"/>
      <c r="AM777" s="74"/>
      <c r="AN777" s="74"/>
      <c r="AO777" s="74"/>
      <c r="AP777" s="74"/>
      <c r="AQ777" s="74"/>
      <c r="AR777" s="74"/>
      <c r="AS777" s="74"/>
      <c r="BD777" s="74"/>
      <c r="BE777" s="74"/>
      <c r="BF777" s="74"/>
      <c r="BG777" s="74"/>
      <c r="BH777" s="74"/>
      <c r="BI777" s="74"/>
    </row>
    <row r="778" spans="4:61" x14ac:dyDescent="0.3">
      <c r="D778" s="76"/>
      <c r="E778" s="76"/>
      <c r="F778" s="76" t="str">
        <f t="shared" si="61"/>
        <v/>
      </c>
      <c r="G778" s="183" t="str">
        <f>IF(F778 = "","",IFERROR(IF($G$1 = "YTM",_xll.CbondsCalcYTM($B$1,D778,F778),_xll.CbondsCalcYTP($B$1,D778,F778)),"")*100)</f>
        <v/>
      </c>
      <c r="U778" s="74"/>
      <c r="V778" s="74"/>
      <c r="W778" s="74"/>
      <c r="X778" s="74"/>
      <c r="Y778" s="74"/>
      <c r="Z778" s="74"/>
      <c r="AA778" s="74"/>
      <c r="AB778" s="74"/>
      <c r="AC778" s="74"/>
      <c r="AJ778" s="74"/>
      <c r="AK778" s="74"/>
      <c r="AL778" s="74"/>
      <c r="AM778" s="74"/>
      <c r="AN778" s="74"/>
      <c r="AO778" s="74"/>
      <c r="AP778" s="74"/>
      <c r="AQ778" s="74"/>
      <c r="AR778" s="74"/>
      <c r="AS778" s="74"/>
      <c r="BD778" s="74"/>
      <c r="BE778" s="74"/>
      <c r="BF778" s="74"/>
      <c r="BG778" s="74"/>
      <c r="BH778" s="74"/>
      <c r="BI778" s="74"/>
    </row>
    <row r="779" spans="4:61" x14ac:dyDescent="0.3">
      <c r="D779" s="76"/>
      <c r="E779" s="76"/>
      <c r="F779" s="76" t="str">
        <f t="shared" si="61"/>
        <v/>
      </c>
      <c r="G779" s="183" t="str">
        <f>IF(F779 = "","",IFERROR(IF($G$1 = "YTM",_xll.CbondsCalcYTM($B$1,D779,F779),_xll.CbondsCalcYTP($B$1,D779,F779)),"")*100)</f>
        <v/>
      </c>
      <c r="U779" s="74"/>
      <c r="V779" s="74"/>
      <c r="W779" s="74"/>
      <c r="X779" s="74"/>
      <c r="Y779" s="74"/>
      <c r="Z779" s="74"/>
      <c r="AA779" s="74"/>
      <c r="AB779" s="74"/>
      <c r="AC779" s="74"/>
      <c r="AJ779" s="74"/>
      <c r="AK779" s="74"/>
      <c r="AL779" s="74"/>
      <c r="AM779" s="74"/>
      <c r="AN779" s="74"/>
      <c r="AO779" s="74"/>
      <c r="AP779" s="74"/>
      <c r="AQ779" s="74"/>
      <c r="AR779" s="74"/>
      <c r="AS779" s="74"/>
      <c r="BD779" s="74"/>
      <c r="BE779" s="74"/>
      <c r="BF779" s="74"/>
      <c r="BG779" s="74"/>
      <c r="BH779" s="74"/>
      <c r="BI779" s="74"/>
    </row>
    <row r="780" spans="4:61" x14ac:dyDescent="0.3">
      <c r="D780" s="76"/>
      <c r="E780" s="76"/>
      <c r="F780" s="76" t="str">
        <f t="shared" si="61"/>
        <v/>
      </c>
      <c r="G780" s="183" t="str">
        <f>IF(F780 = "","",IFERROR(IF($G$1 = "YTM",_xll.CbondsCalcYTM($B$1,D780,F780),_xll.CbondsCalcYTP($B$1,D780,F780)),"")*100)</f>
        <v/>
      </c>
      <c r="U780" s="74"/>
      <c r="V780" s="74"/>
      <c r="W780" s="74"/>
      <c r="X780" s="74"/>
      <c r="Y780" s="74"/>
      <c r="Z780" s="74"/>
      <c r="AA780" s="74"/>
      <c r="AB780" s="74"/>
      <c r="AC780" s="74"/>
      <c r="AJ780" s="74"/>
      <c r="AK780" s="74"/>
      <c r="AL780" s="74"/>
      <c r="AM780" s="74"/>
      <c r="AN780" s="74"/>
      <c r="AO780" s="74"/>
      <c r="AP780" s="74"/>
      <c r="AQ780" s="74"/>
      <c r="AR780" s="74"/>
      <c r="AS780" s="74"/>
      <c r="BD780" s="74"/>
      <c r="BE780" s="74"/>
      <c r="BF780" s="74"/>
      <c r="BG780" s="74"/>
      <c r="BH780" s="74"/>
      <c r="BI780" s="74"/>
    </row>
    <row r="781" spans="4:61" x14ac:dyDescent="0.3">
      <c r="D781" s="76"/>
      <c r="E781" s="76"/>
      <c r="F781" s="76" t="str">
        <f t="shared" si="61"/>
        <v/>
      </c>
      <c r="G781" s="183" t="str">
        <f>IF(F781 = "","",IFERROR(IF($G$1 = "YTM",_xll.CbondsCalcYTM($B$1,D781,F781),_xll.CbondsCalcYTP($B$1,D781,F781)),"")*100)</f>
        <v/>
      </c>
      <c r="U781" s="74"/>
      <c r="V781" s="74"/>
      <c r="W781" s="74"/>
      <c r="X781" s="74"/>
      <c r="Y781" s="74"/>
      <c r="Z781" s="74"/>
      <c r="AA781" s="74"/>
      <c r="AB781" s="74"/>
      <c r="AC781" s="74"/>
      <c r="AJ781" s="74"/>
      <c r="AK781" s="74"/>
      <c r="AL781" s="74"/>
      <c r="AM781" s="74"/>
      <c r="AN781" s="74"/>
      <c r="AO781" s="74"/>
      <c r="AP781" s="74"/>
      <c r="AQ781" s="74"/>
      <c r="AR781" s="74"/>
      <c r="AS781" s="74"/>
      <c r="BD781" s="74"/>
      <c r="BE781" s="74"/>
      <c r="BF781" s="74"/>
      <c r="BG781" s="74"/>
      <c r="BH781" s="74"/>
      <c r="BI781" s="74"/>
    </row>
    <row r="782" spans="4:61" x14ac:dyDescent="0.3">
      <c r="D782" s="76"/>
      <c r="E782" s="76"/>
      <c r="F782" s="76" t="str">
        <f t="shared" si="61"/>
        <v/>
      </c>
      <c r="G782" s="183" t="str">
        <f>IF(F782 = "","",IFERROR(IF($G$1 = "YTM",_xll.CbondsCalcYTM($B$1,D782,F782),_xll.CbondsCalcYTP($B$1,D782,F782)),"")*100)</f>
        <v/>
      </c>
      <c r="U782" s="74"/>
      <c r="V782" s="74"/>
      <c r="W782" s="74"/>
      <c r="X782" s="74"/>
      <c r="Y782" s="74"/>
      <c r="Z782" s="74"/>
      <c r="AA782" s="74"/>
      <c r="AB782" s="74"/>
      <c r="AC782" s="74"/>
      <c r="AJ782" s="74"/>
      <c r="AK782" s="74"/>
      <c r="AL782" s="74"/>
      <c r="AM782" s="74"/>
      <c r="AN782" s="74"/>
      <c r="AO782" s="74"/>
      <c r="AP782" s="74"/>
      <c r="AQ782" s="74"/>
      <c r="AR782" s="74"/>
      <c r="AS782" s="74"/>
      <c r="BD782" s="74"/>
      <c r="BE782" s="74"/>
      <c r="BF782" s="74"/>
      <c r="BG782" s="74"/>
      <c r="BH782" s="74"/>
      <c r="BI782" s="74"/>
    </row>
    <row r="783" spans="4:61" x14ac:dyDescent="0.3">
      <c r="D783" s="76"/>
      <c r="E783" s="76"/>
      <c r="F783" s="76" t="str">
        <f t="shared" si="61"/>
        <v/>
      </c>
      <c r="G783" s="183" t="str">
        <f>IF(F783 = "","",IFERROR(IF($G$1 = "YTM",_xll.CbondsCalcYTM($B$1,D783,F783),_xll.CbondsCalcYTP($B$1,D783,F783)),"")*100)</f>
        <v/>
      </c>
      <c r="U783" s="74"/>
      <c r="V783" s="74"/>
      <c r="W783" s="74"/>
      <c r="X783" s="74"/>
      <c r="Y783" s="74"/>
      <c r="Z783" s="74"/>
      <c r="AA783" s="74"/>
      <c r="AB783" s="74"/>
      <c r="AC783" s="74"/>
      <c r="AJ783" s="74"/>
      <c r="AK783" s="74"/>
      <c r="AL783" s="74"/>
      <c r="AM783" s="74"/>
      <c r="AN783" s="74"/>
      <c r="AO783" s="74"/>
      <c r="AP783" s="74"/>
      <c r="AQ783" s="74"/>
      <c r="AR783" s="74"/>
      <c r="AS783" s="74"/>
      <c r="BD783" s="74"/>
      <c r="BE783" s="74"/>
      <c r="BF783" s="74"/>
      <c r="BG783" s="74"/>
      <c r="BH783" s="74"/>
      <c r="BI783" s="74"/>
    </row>
    <row r="784" spans="4:61" x14ac:dyDescent="0.3">
      <c r="D784" s="76"/>
      <c r="E784" s="76"/>
      <c r="F784" s="76" t="str">
        <f t="shared" si="61"/>
        <v/>
      </c>
      <c r="G784" s="183" t="str">
        <f>IF(F784 = "","",IFERROR(IF($G$1 = "YTM",_xll.CbondsCalcYTM($B$1,D784,F784),_xll.CbondsCalcYTP($B$1,D784,F784)),"")*100)</f>
        <v/>
      </c>
      <c r="U784" s="74"/>
      <c r="V784" s="74"/>
      <c r="W784" s="74"/>
      <c r="X784" s="74"/>
      <c r="Y784" s="74"/>
      <c r="Z784" s="74"/>
      <c r="AA784" s="74"/>
      <c r="AB784" s="74"/>
      <c r="AC784" s="74"/>
      <c r="AJ784" s="74"/>
      <c r="AK784" s="74"/>
      <c r="AL784" s="74"/>
      <c r="AM784" s="74"/>
      <c r="AN784" s="74"/>
      <c r="AO784" s="74"/>
      <c r="AP784" s="74"/>
      <c r="AQ784" s="74"/>
      <c r="AR784" s="74"/>
      <c r="AS784" s="74"/>
      <c r="BD784" s="74"/>
      <c r="BE784" s="74"/>
      <c r="BF784" s="74"/>
      <c r="BG784" s="74"/>
      <c r="BH784" s="74"/>
      <c r="BI784" s="74"/>
    </row>
    <row r="785" spans="4:61" x14ac:dyDescent="0.3">
      <c r="D785" s="76"/>
      <c r="E785" s="76"/>
      <c r="F785" s="76" t="str">
        <f t="shared" si="61"/>
        <v/>
      </c>
      <c r="G785" s="183" t="str">
        <f>IF(F785 = "","",IFERROR(IF($G$1 = "YTM",_xll.CbondsCalcYTM($B$1,D785,F785),_xll.CbondsCalcYTP($B$1,D785,F785)),"")*100)</f>
        <v/>
      </c>
      <c r="U785" s="74"/>
      <c r="V785" s="74"/>
      <c r="W785" s="74"/>
      <c r="X785" s="74"/>
      <c r="Y785" s="74"/>
      <c r="Z785" s="74"/>
      <c r="AA785" s="74"/>
      <c r="AB785" s="74"/>
      <c r="AC785" s="74"/>
      <c r="AJ785" s="74"/>
      <c r="AK785" s="74"/>
      <c r="AL785" s="74"/>
      <c r="AM785" s="74"/>
      <c r="AN785" s="74"/>
      <c r="AO785" s="74"/>
      <c r="AP785" s="74"/>
      <c r="AQ785" s="74"/>
      <c r="AR785" s="74"/>
      <c r="AS785" s="74"/>
      <c r="BD785" s="74"/>
      <c r="BE785" s="74"/>
      <c r="BF785" s="74"/>
      <c r="BG785" s="74"/>
      <c r="BH785" s="74"/>
      <c r="BI785" s="74"/>
    </row>
    <row r="786" spans="4:61" x14ac:dyDescent="0.3">
      <c r="D786" s="76"/>
      <c r="E786" s="76"/>
      <c r="F786" s="76" t="str">
        <f t="shared" si="61"/>
        <v/>
      </c>
      <c r="G786" s="183" t="str">
        <f>IF(F786 = "","",IFERROR(IF($G$1 = "YTM",_xll.CbondsCalcYTM($B$1,D786,F786),_xll.CbondsCalcYTP($B$1,D786,F786)),"")*100)</f>
        <v/>
      </c>
      <c r="U786" s="74"/>
      <c r="V786" s="74"/>
      <c r="W786" s="74"/>
      <c r="X786" s="74"/>
      <c r="Y786" s="74"/>
      <c r="Z786" s="74"/>
      <c r="AA786" s="74"/>
      <c r="AB786" s="74"/>
      <c r="AC786" s="74"/>
      <c r="AJ786" s="74"/>
      <c r="AK786" s="74"/>
      <c r="AL786" s="74"/>
      <c r="AM786" s="74"/>
      <c r="AN786" s="74"/>
      <c r="AO786" s="74"/>
      <c r="AP786" s="74"/>
      <c r="AQ786" s="74"/>
      <c r="AR786" s="74"/>
      <c r="AS786" s="74"/>
      <c r="BD786" s="74"/>
      <c r="BE786" s="74"/>
      <c r="BF786" s="74"/>
      <c r="BG786" s="74"/>
      <c r="BH786" s="74"/>
      <c r="BI786" s="74"/>
    </row>
    <row r="787" spans="4:61" x14ac:dyDescent="0.3">
      <c r="D787" s="76"/>
      <c r="E787" s="76"/>
      <c r="F787" s="76" t="str">
        <f t="shared" si="61"/>
        <v/>
      </c>
      <c r="G787" s="183" t="str">
        <f>IF(F787 = "","",IFERROR(IF($G$1 = "YTM",_xll.CbondsCalcYTM($B$1,D787,F787),_xll.CbondsCalcYTP($B$1,D787,F787)),"")*100)</f>
        <v/>
      </c>
      <c r="U787" s="74"/>
      <c r="V787" s="74"/>
      <c r="W787" s="74"/>
      <c r="X787" s="74"/>
      <c r="Y787" s="74"/>
      <c r="Z787" s="74"/>
      <c r="AA787" s="74"/>
      <c r="AB787" s="74"/>
      <c r="AC787" s="74"/>
      <c r="AJ787" s="74"/>
      <c r="AK787" s="74"/>
      <c r="AL787" s="74"/>
      <c r="AM787" s="74"/>
      <c r="AN787" s="74"/>
      <c r="AO787" s="74"/>
      <c r="AP787" s="74"/>
      <c r="AQ787" s="74"/>
      <c r="AR787" s="74"/>
      <c r="AS787" s="74"/>
      <c r="BD787" s="74"/>
      <c r="BE787" s="74"/>
      <c r="BF787" s="74"/>
      <c r="BG787" s="74"/>
      <c r="BH787" s="74"/>
      <c r="BI787" s="74"/>
    </row>
    <row r="788" spans="4:61" x14ac:dyDescent="0.3">
      <c r="D788" s="76"/>
      <c r="E788" s="76"/>
      <c r="F788" s="76" t="str">
        <f t="shared" si="61"/>
        <v/>
      </c>
      <c r="G788" s="183" t="str">
        <f>IF(F788 = "","",IFERROR(IF($G$1 = "YTM",_xll.CbondsCalcYTM($B$1,D788,F788),_xll.CbondsCalcYTP($B$1,D788,F788)),"")*100)</f>
        <v/>
      </c>
      <c r="U788" s="74"/>
      <c r="V788" s="74"/>
      <c r="W788" s="74"/>
      <c r="X788" s="74"/>
      <c r="Y788" s="74"/>
      <c r="Z788" s="74"/>
      <c r="AA788" s="74"/>
      <c r="AB788" s="74"/>
      <c r="AC788" s="74"/>
      <c r="AJ788" s="74"/>
      <c r="AK788" s="74"/>
      <c r="AL788" s="74"/>
      <c r="AM788" s="74"/>
      <c r="AN788" s="74"/>
      <c r="AO788" s="74"/>
      <c r="AP788" s="74"/>
      <c r="AQ788" s="74"/>
      <c r="AR788" s="74"/>
      <c r="AS788" s="74"/>
      <c r="BD788" s="74"/>
      <c r="BE788" s="74"/>
      <c r="BF788" s="74"/>
      <c r="BG788" s="74"/>
      <c r="BH788" s="74"/>
      <c r="BI788" s="74"/>
    </row>
    <row r="789" spans="4:61" x14ac:dyDescent="0.3">
      <c r="D789" s="76"/>
      <c r="E789" s="76"/>
      <c r="F789" s="76" t="str">
        <f t="shared" si="61"/>
        <v/>
      </c>
      <c r="G789" s="183" t="str">
        <f>IF(F789 = "","",IFERROR(IF($G$1 = "YTM",_xll.CbondsCalcYTM($B$1,D789,F789),_xll.CbondsCalcYTP($B$1,D789,F789)),"")*100)</f>
        <v/>
      </c>
      <c r="U789" s="74"/>
      <c r="V789" s="74"/>
      <c r="W789" s="74"/>
      <c r="X789" s="74"/>
      <c r="Y789" s="74"/>
      <c r="Z789" s="74"/>
      <c r="AA789" s="74"/>
      <c r="AB789" s="74"/>
      <c r="AC789" s="74"/>
      <c r="AJ789" s="74"/>
      <c r="AK789" s="74"/>
      <c r="AL789" s="74"/>
      <c r="AM789" s="74"/>
      <c r="AN789" s="74"/>
      <c r="AO789" s="74"/>
      <c r="AP789" s="74"/>
      <c r="AQ789" s="74"/>
      <c r="AR789" s="74"/>
      <c r="AS789" s="74"/>
      <c r="BD789" s="74"/>
      <c r="BE789" s="74"/>
      <c r="BF789" s="74"/>
      <c r="BG789" s="74"/>
      <c r="BH789" s="74"/>
      <c r="BI789" s="74"/>
    </row>
    <row r="790" spans="4:61" x14ac:dyDescent="0.3">
      <c r="D790" s="76"/>
      <c r="E790" s="76"/>
      <c r="F790" s="76" t="str">
        <f t="shared" si="61"/>
        <v/>
      </c>
      <c r="G790" s="183" t="str">
        <f>IF(F790 = "","",IFERROR(IF($G$1 = "YTM",_xll.CbondsCalcYTM($B$1,D790,F790),_xll.CbondsCalcYTP($B$1,D790,F790)),"")*100)</f>
        <v/>
      </c>
      <c r="U790" s="74"/>
      <c r="V790" s="74"/>
      <c r="W790" s="74"/>
      <c r="X790" s="74"/>
      <c r="Y790" s="74"/>
      <c r="Z790" s="74"/>
      <c r="AA790" s="74"/>
      <c r="AB790" s="74"/>
      <c r="AC790" s="74"/>
      <c r="AJ790" s="74"/>
      <c r="AK790" s="74"/>
      <c r="AL790" s="74"/>
      <c r="AM790" s="74"/>
      <c r="AN790" s="74"/>
      <c r="AO790" s="74"/>
      <c r="AP790" s="74"/>
      <c r="AQ790" s="74"/>
      <c r="AR790" s="74"/>
      <c r="AS790" s="74"/>
      <c r="BD790" s="74"/>
      <c r="BE790" s="74"/>
      <c r="BF790" s="74"/>
      <c r="BG790" s="74"/>
      <c r="BH790" s="74"/>
      <c r="BI790" s="74"/>
    </row>
    <row r="791" spans="4:61" x14ac:dyDescent="0.3">
      <c r="D791" s="76"/>
      <c r="E791" s="76"/>
      <c r="F791" s="76" t="str">
        <f t="shared" si="61"/>
        <v/>
      </c>
      <c r="G791" s="183" t="str">
        <f>IF(F791 = "","",IFERROR(IF($G$1 = "YTM",_xll.CbondsCalcYTM($B$1,D791,F791),_xll.CbondsCalcYTP($B$1,D791,F791)),"")*100)</f>
        <v/>
      </c>
      <c r="U791" s="74"/>
      <c r="V791" s="74"/>
      <c r="W791" s="74"/>
      <c r="X791" s="74"/>
      <c r="Y791" s="74"/>
      <c r="Z791" s="74"/>
      <c r="AA791" s="74"/>
      <c r="AB791" s="74"/>
      <c r="AC791" s="74"/>
      <c r="AJ791" s="74"/>
      <c r="AK791" s="74"/>
      <c r="AL791" s="74"/>
      <c r="AM791" s="74"/>
      <c r="AN791" s="74"/>
      <c r="AO791" s="74"/>
      <c r="AP791" s="74"/>
      <c r="AQ791" s="74"/>
      <c r="AR791" s="74"/>
      <c r="AS791" s="74"/>
      <c r="BD791" s="74"/>
      <c r="BE791" s="74"/>
      <c r="BF791" s="74"/>
      <c r="BG791" s="74"/>
      <c r="BH791" s="74"/>
      <c r="BI791" s="74"/>
    </row>
    <row r="792" spans="4:61" x14ac:dyDescent="0.3">
      <c r="D792" s="76"/>
      <c r="E792" s="76"/>
      <c r="F792" s="76" t="str">
        <f t="shared" si="61"/>
        <v/>
      </c>
      <c r="G792" s="183" t="str">
        <f>IF(F792 = "","",IFERROR(IF($G$1 = "YTM",_xll.CbondsCalcYTM($B$1,D792,F792),_xll.CbondsCalcYTP($B$1,D792,F792)),"")*100)</f>
        <v/>
      </c>
      <c r="U792" s="74"/>
      <c r="V792" s="74"/>
      <c r="W792" s="74"/>
      <c r="X792" s="74"/>
      <c r="Y792" s="74"/>
      <c r="Z792" s="74"/>
      <c r="AA792" s="74"/>
      <c r="AB792" s="74"/>
      <c r="AC792" s="74"/>
      <c r="AJ792" s="74"/>
      <c r="AK792" s="74"/>
      <c r="AL792" s="74"/>
      <c r="AM792" s="74"/>
      <c r="AN792" s="74"/>
      <c r="AO792" s="74"/>
      <c r="AP792" s="74"/>
      <c r="AQ792" s="74"/>
      <c r="AR792" s="74"/>
      <c r="AS792" s="74"/>
      <c r="BD792" s="74"/>
      <c r="BE792" s="74"/>
      <c r="BF792" s="74"/>
      <c r="BG792" s="74"/>
      <c r="BH792" s="74"/>
      <c r="BI792" s="74"/>
    </row>
    <row r="793" spans="4:61" x14ac:dyDescent="0.3">
      <c r="D793" s="76"/>
      <c r="E793" s="76"/>
      <c r="F793" s="76" t="str">
        <f t="shared" si="61"/>
        <v/>
      </c>
      <c r="G793" s="183" t="str">
        <f>IF(F793 = "","",IFERROR(IF($G$1 = "YTM",_xll.CbondsCalcYTM($B$1,D793,F793),_xll.CbondsCalcYTP($B$1,D793,F793)),"")*100)</f>
        <v/>
      </c>
      <c r="U793" s="74"/>
      <c r="V793" s="74"/>
      <c r="W793" s="74"/>
      <c r="X793" s="74"/>
      <c r="Y793" s="74"/>
      <c r="Z793" s="74"/>
      <c r="AA793" s="74"/>
      <c r="AB793" s="74"/>
      <c r="AC793" s="74"/>
      <c r="AJ793" s="74"/>
      <c r="AK793" s="74"/>
      <c r="AL793" s="74"/>
      <c r="AM793" s="74"/>
      <c r="AN793" s="74"/>
      <c r="AO793" s="74"/>
      <c r="AP793" s="74"/>
      <c r="AQ793" s="74"/>
      <c r="AR793" s="74"/>
      <c r="AS793" s="74"/>
      <c r="BD793" s="74"/>
      <c r="BE793" s="74"/>
      <c r="BF793" s="74"/>
      <c r="BG793" s="74"/>
      <c r="BH793" s="74"/>
      <c r="BI793" s="74"/>
    </row>
    <row r="794" spans="4:61" x14ac:dyDescent="0.3">
      <c r="D794" s="76"/>
      <c r="E794" s="76"/>
      <c r="F794" s="76" t="str">
        <f t="shared" si="61"/>
        <v/>
      </c>
      <c r="G794" s="183" t="str">
        <f>IF(F794 = "","",IFERROR(IF($G$1 = "YTM",_xll.CbondsCalcYTM($B$1,D794,F794),_xll.CbondsCalcYTP($B$1,D794,F794)),"")*100)</f>
        <v/>
      </c>
      <c r="U794" s="74"/>
      <c r="V794" s="74"/>
      <c r="W794" s="74"/>
      <c r="X794" s="74"/>
      <c r="Y794" s="74"/>
      <c r="Z794" s="74"/>
      <c r="AA794" s="74"/>
      <c r="AB794" s="74"/>
      <c r="AC794" s="74"/>
      <c r="AJ794" s="74"/>
      <c r="AK794" s="74"/>
      <c r="AL794" s="74"/>
      <c r="AM794" s="74"/>
      <c r="AN794" s="74"/>
      <c r="AO794" s="74"/>
      <c r="AP794" s="74"/>
      <c r="AQ794" s="74"/>
      <c r="AR794" s="74"/>
      <c r="AS794" s="74"/>
      <c r="BD794" s="74"/>
      <c r="BE794" s="74"/>
      <c r="BF794" s="74"/>
      <c r="BG794" s="74"/>
      <c r="BH794" s="74"/>
      <c r="BI794" s="74"/>
    </row>
    <row r="795" spans="4:61" x14ac:dyDescent="0.3">
      <c r="D795" s="76"/>
      <c r="E795" s="76"/>
      <c r="F795" s="76" t="str">
        <f t="shared" si="61"/>
        <v/>
      </c>
      <c r="G795" s="183" t="str">
        <f>IF(F795 = "","",IFERROR(IF($G$1 = "YTM",_xll.CbondsCalcYTM($B$1,D795,F795),_xll.CbondsCalcYTP($B$1,D795,F795)),"")*100)</f>
        <v/>
      </c>
      <c r="U795" s="74"/>
      <c r="V795" s="74"/>
      <c r="W795" s="74"/>
      <c r="X795" s="74"/>
      <c r="Y795" s="74"/>
      <c r="Z795" s="74"/>
      <c r="AA795" s="74"/>
      <c r="AB795" s="74"/>
      <c r="AC795" s="74"/>
      <c r="AJ795" s="74"/>
      <c r="AK795" s="74"/>
      <c r="AL795" s="74"/>
      <c r="AM795" s="74"/>
      <c r="AN795" s="74"/>
      <c r="AO795" s="74"/>
      <c r="AP795" s="74"/>
      <c r="AQ795" s="74"/>
      <c r="AR795" s="74"/>
      <c r="AS795" s="74"/>
      <c r="BD795" s="74"/>
      <c r="BE795" s="74"/>
      <c r="BF795" s="74"/>
      <c r="BG795" s="74"/>
      <c r="BH795" s="74"/>
      <c r="BI795" s="74"/>
    </row>
    <row r="796" spans="4:61" x14ac:dyDescent="0.3">
      <c r="D796" s="76"/>
      <c r="E796" s="76"/>
      <c r="F796" s="76" t="str">
        <f t="shared" si="61"/>
        <v/>
      </c>
      <c r="G796" s="183" t="str">
        <f>IF(F796 = "","",IFERROR(IF($G$1 = "YTM",_xll.CbondsCalcYTM($B$1,D796,F796),_xll.CbondsCalcYTP($B$1,D796,F796)),"")*100)</f>
        <v/>
      </c>
      <c r="U796" s="74"/>
      <c r="V796" s="74"/>
      <c r="W796" s="74"/>
      <c r="X796" s="74"/>
      <c r="Y796" s="74"/>
      <c r="Z796" s="74"/>
      <c r="AA796" s="74"/>
      <c r="AB796" s="74"/>
      <c r="AC796" s="74"/>
      <c r="AJ796" s="74"/>
      <c r="AK796" s="74"/>
      <c r="AL796" s="74"/>
      <c r="AM796" s="74"/>
      <c r="AN796" s="74"/>
      <c r="AO796" s="74"/>
      <c r="AP796" s="74"/>
      <c r="AQ796" s="74"/>
      <c r="AR796" s="74"/>
      <c r="AS796" s="74"/>
      <c r="BD796" s="74"/>
      <c r="BE796" s="74"/>
      <c r="BF796" s="74"/>
      <c r="BG796" s="74"/>
      <c r="BH796" s="74"/>
      <c r="BI796" s="74"/>
    </row>
    <row r="797" spans="4:61" x14ac:dyDescent="0.3">
      <c r="D797" s="76"/>
      <c r="E797" s="76"/>
      <c r="F797" s="76" t="str">
        <f t="shared" si="61"/>
        <v/>
      </c>
      <c r="G797" s="183" t="str">
        <f>IF(F797 = "","",IFERROR(IF($G$1 = "YTM",_xll.CbondsCalcYTM($B$1,D797,F797),_xll.CbondsCalcYTP($B$1,D797,F797)),"")*100)</f>
        <v/>
      </c>
      <c r="U797" s="74"/>
      <c r="V797" s="74"/>
      <c r="W797" s="74"/>
      <c r="X797" s="74"/>
      <c r="Y797" s="74"/>
      <c r="Z797" s="74"/>
      <c r="AA797" s="74"/>
      <c r="AB797" s="74"/>
      <c r="AC797" s="74"/>
      <c r="AJ797" s="74"/>
      <c r="AK797" s="74"/>
      <c r="AL797" s="74"/>
      <c r="AM797" s="74"/>
      <c r="AN797" s="74"/>
      <c r="AO797" s="74"/>
      <c r="AP797" s="74"/>
      <c r="AQ797" s="74"/>
      <c r="AR797" s="74"/>
      <c r="AS797" s="74"/>
      <c r="BD797" s="74"/>
      <c r="BE797" s="74"/>
      <c r="BF797" s="74"/>
      <c r="BG797" s="74"/>
      <c r="BH797" s="74"/>
      <c r="BI797" s="74"/>
    </row>
    <row r="798" spans="4:61" x14ac:dyDescent="0.3">
      <c r="D798" s="76"/>
      <c r="E798" s="76"/>
      <c r="F798" s="76" t="str">
        <f t="shared" si="61"/>
        <v/>
      </c>
      <c r="G798" s="183" t="str">
        <f>IF(F798 = "","",IFERROR(IF($G$1 = "YTM",_xll.CbondsCalcYTM($B$1,D798,F798),_xll.CbondsCalcYTP($B$1,D798,F798)),"")*100)</f>
        <v/>
      </c>
      <c r="U798" s="74"/>
      <c r="V798" s="74"/>
      <c r="W798" s="74"/>
      <c r="X798" s="74"/>
      <c r="Y798" s="74"/>
      <c r="Z798" s="74"/>
      <c r="AA798" s="74"/>
      <c r="AB798" s="74"/>
      <c r="AC798" s="74"/>
      <c r="AJ798" s="74"/>
      <c r="AK798" s="74"/>
      <c r="AL798" s="74"/>
      <c r="AM798" s="74"/>
      <c r="AN798" s="74"/>
      <c r="AO798" s="74"/>
      <c r="AP798" s="74"/>
      <c r="AQ798" s="74"/>
      <c r="AR798" s="74"/>
      <c r="AS798" s="74"/>
      <c r="BD798" s="74"/>
      <c r="BE798" s="74"/>
      <c r="BF798" s="74"/>
      <c r="BG798" s="74"/>
      <c r="BH798" s="74"/>
      <c r="BI798" s="74"/>
    </row>
    <row r="799" spans="4:61" x14ac:dyDescent="0.3">
      <c r="D799" s="76"/>
      <c r="E799" s="76"/>
      <c r="F799" s="76" t="str">
        <f t="shared" si="61"/>
        <v/>
      </c>
      <c r="G799" s="183" t="str">
        <f>IF(F799 = "","",IFERROR(IF($G$1 = "YTM",_xll.CbondsCalcYTM($B$1,D799,F799),_xll.CbondsCalcYTP($B$1,D799,F799)),"")*100)</f>
        <v/>
      </c>
      <c r="U799" s="74"/>
      <c r="V799" s="74"/>
      <c r="W799" s="74"/>
      <c r="X799" s="74"/>
      <c r="Y799" s="74"/>
      <c r="Z799" s="74"/>
      <c r="AA799" s="74"/>
      <c r="AB799" s="74"/>
      <c r="AC799" s="74"/>
      <c r="AJ799" s="74"/>
      <c r="AK799" s="74"/>
      <c r="AL799" s="74"/>
      <c r="AM799" s="74"/>
      <c r="AN799" s="74"/>
      <c r="AO799" s="74"/>
      <c r="AP799" s="74"/>
      <c r="AQ799" s="74"/>
      <c r="AR799" s="74"/>
      <c r="AS799" s="74"/>
      <c r="BD799" s="74"/>
      <c r="BE799" s="74"/>
      <c r="BF799" s="74"/>
      <c r="BG799" s="74"/>
      <c r="BH799" s="74"/>
      <c r="BI799" s="74"/>
    </row>
    <row r="800" spans="4:61" x14ac:dyDescent="0.3">
      <c r="D800" s="76"/>
      <c r="E800" s="76"/>
      <c r="F800" s="76" t="str">
        <f t="shared" si="61"/>
        <v/>
      </c>
      <c r="G800" s="183" t="str">
        <f>IF(F800 = "","",IFERROR(IF($G$1 = "YTM",_xll.CbondsCalcYTM($B$1,D800,F800),_xll.CbondsCalcYTP($B$1,D800,F800)),"")*100)</f>
        <v/>
      </c>
      <c r="U800" s="74"/>
      <c r="V800" s="74"/>
      <c r="W800" s="74"/>
      <c r="X800" s="74"/>
      <c r="Y800" s="74"/>
      <c r="Z800" s="74"/>
      <c r="AA800" s="74"/>
      <c r="AB800" s="74"/>
      <c r="AC800" s="74"/>
      <c r="AJ800" s="74"/>
      <c r="AK800" s="74"/>
      <c r="AL800" s="74"/>
      <c r="AM800" s="74"/>
      <c r="AN800" s="74"/>
      <c r="AO800" s="74"/>
      <c r="AP800" s="74"/>
      <c r="AQ800" s="74"/>
      <c r="AR800" s="74"/>
      <c r="AS800" s="74"/>
      <c r="BD800" s="74"/>
      <c r="BE800" s="74"/>
      <c r="BF800" s="74"/>
      <c r="BG800" s="74"/>
      <c r="BH800" s="74"/>
      <c r="BI800" s="74"/>
    </row>
    <row r="801" spans="4:61" x14ac:dyDescent="0.3">
      <c r="D801" s="76"/>
      <c r="E801" s="76"/>
      <c r="F801" s="76" t="str">
        <f t="shared" si="61"/>
        <v/>
      </c>
      <c r="G801" s="183" t="str">
        <f>IF(F801 = "","",IFERROR(IF($G$1 = "YTM",_xll.CbondsCalcYTM($B$1,D801,F801),_xll.CbondsCalcYTP($B$1,D801,F801)),"")*100)</f>
        <v/>
      </c>
      <c r="U801" s="74"/>
      <c r="V801" s="74"/>
      <c r="W801" s="74"/>
      <c r="X801" s="74"/>
      <c r="Y801" s="74"/>
      <c r="Z801" s="74"/>
      <c r="AA801" s="74"/>
      <c r="AB801" s="74"/>
      <c r="AC801" s="74"/>
      <c r="AJ801" s="74"/>
      <c r="AK801" s="74"/>
      <c r="AL801" s="74"/>
      <c r="AM801" s="74"/>
      <c r="AN801" s="74"/>
      <c r="AO801" s="74"/>
      <c r="AP801" s="74"/>
      <c r="AQ801" s="74"/>
      <c r="AR801" s="74"/>
      <c r="AS801" s="74"/>
      <c r="BD801" s="74"/>
      <c r="BE801" s="74"/>
      <c r="BF801" s="74"/>
      <c r="BG801" s="74"/>
      <c r="BH801" s="74"/>
      <c r="BI801" s="74"/>
    </row>
    <row r="802" spans="4:61" x14ac:dyDescent="0.3">
      <c r="D802" s="76"/>
      <c r="E802" s="76"/>
      <c r="F802" s="76" t="str">
        <f t="shared" si="61"/>
        <v/>
      </c>
      <c r="G802" s="183" t="str">
        <f>IF(F802 = "","",IFERROR(IF($G$1 = "YTM",_xll.CbondsCalcYTM($B$1,D802,F802),_xll.CbondsCalcYTP($B$1,D802,F802)),"")*100)</f>
        <v/>
      </c>
      <c r="U802" s="74"/>
      <c r="V802" s="74"/>
      <c r="W802" s="74"/>
      <c r="X802" s="74"/>
      <c r="Y802" s="74"/>
      <c r="Z802" s="74"/>
      <c r="AA802" s="74"/>
      <c r="AB802" s="74"/>
      <c r="AC802" s="74"/>
      <c r="AJ802" s="74"/>
      <c r="AK802" s="74"/>
      <c r="AL802" s="74"/>
      <c r="AM802" s="74"/>
      <c r="AN802" s="74"/>
      <c r="AO802" s="74"/>
      <c r="AP802" s="74"/>
      <c r="AQ802" s="74"/>
      <c r="AR802" s="74"/>
      <c r="AS802" s="74"/>
      <c r="BD802" s="74"/>
      <c r="BE802" s="74"/>
      <c r="BF802" s="74"/>
      <c r="BG802" s="74"/>
      <c r="BH802" s="74"/>
      <c r="BI802" s="74"/>
    </row>
    <row r="803" spans="4:61" x14ac:dyDescent="0.3">
      <c r="D803" s="76"/>
      <c r="E803" s="76"/>
      <c r="F803" s="76" t="str">
        <f t="shared" si="61"/>
        <v/>
      </c>
      <c r="G803" s="183" t="str">
        <f>IF(F803 = "","",IFERROR(IF($G$1 = "YTM",_xll.CbondsCalcYTM($B$1,D803,F803),_xll.CbondsCalcYTP($B$1,D803,F803)),"")*100)</f>
        <v/>
      </c>
      <c r="U803" s="74"/>
      <c r="V803" s="74"/>
      <c r="W803" s="74"/>
      <c r="X803" s="74"/>
      <c r="Y803" s="74"/>
      <c r="Z803" s="74"/>
      <c r="AA803" s="74"/>
      <c r="AB803" s="74"/>
      <c r="AC803" s="74"/>
      <c r="AJ803" s="74"/>
      <c r="AK803" s="74"/>
      <c r="AL803" s="74"/>
      <c r="AM803" s="74"/>
      <c r="AN803" s="74"/>
      <c r="AO803" s="74"/>
      <c r="AP803" s="74"/>
      <c r="AQ803" s="74"/>
      <c r="AR803" s="74"/>
      <c r="AS803" s="74"/>
      <c r="BD803" s="74"/>
      <c r="BE803" s="74"/>
      <c r="BF803" s="74"/>
      <c r="BG803" s="74"/>
      <c r="BH803" s="74"/>
      <c r="BI803" s="74"/>
    </row>
    <row r="804" spans="4:61" x14ac:dyDescent="0.3">
      <c r="D804" s="76"/>
      <c r="E804" s="76"/>
      <c r="F804" s="76" t="str">
        <f t="shared" si="61"/>
        <v/>
      </c>
      <c r="G804" s="183" t="str">
        <f>IF(F804 = "","",IFERROR(IF($G$1 = "YTM",_xll.CbondsCalcYTM($B$1,D804,F804),_xll.CbondsCalcYTP($B$1,D804,F804)),"")*100)</f>
        <v/>
      </c>
      <c r="U804" s="74"/>
      <c r="V804" s="74"/>
      <c r="W804" s="74"/>
      <c r="X804" s="74"/>
      <c r="Y804" s="74"/>
      <c r="Z804" s="74"/>
      <c r="AA804" s="74"/>
      <c r="AB804" s="74"/>
      <c r="AC804" s="74"/>
      <c r="AJ804" s="74"/>
      <c r="AK804" s="74"/>
      <c r="AL804" s="74"/>
      <c r="AM804" s="74"/>
      <c r="AN804" s="74"/>
      <c r="AO804" s="74"/>
      <c r="AP804" s="74"/>
      <c r="AQ804" s="74"/>
      <c r="AR804" s="74"/>
      <c r="AS804" s="74"/>
      <c r="BD804" s="74"/>
      <c r="BE804" s="74"/>
      <c r="BF804" s="74"/>
      <c r="BG804" s="74"/>
      <c r="BH804" s="74"/>
      <c r="BI804" s="74"/>
    </row>
    <row r="805" spans="4:61" x14ac:dyDescent="0.3">
      <c r="D805" s="76"/>
      <c r="E805" s="76"/>
      <c r="F805" s="76" t="str">
        <f t="shared" si="61"/>
        <v/>
      </c>
      <c r="G805" s="183" t="str">
        <f>IF(F805 = "","",IFERROR(IF($G$1 = "YTM",_xll.CbondsCalcYTM($B$1,D805,F805),_xll.CbondsCalcYTP($B$1,D805,F805)),"")*100)</f>
        <v/>
      </c>
      <c r="U805" s="74"/>
      <c r="V805" s="74"/>
      <c r="W805" s="74"/>
      <c r="X805" s="74"/>
      <c r="Y805" s="74"/>
      <c r="Z805" s="74"/>
      <c r="AA805" s="74"/>
      <c r="AB805" s="74"/>
      <c r="AC805" s="74"/>
      <c r="AJ805" s="74"/>
      <c r="AK805" s="74"/>
      <c r="AL805" s="74"/>
      <c r="AM805" s="74"/>
      <c r="AN805" s="74"/>
      <c r="AO805" s="74"/>
      <c r="AP805" s="74"/>
      <c r="AQ805" s="74"/>
      <c r="AR805" s="74"/>
      <c r="AS805" s="74"/>
      <c r="BD805" s="74"/>
      <c r="BE805" s="74"/>
      <c r="BF805" s="74"/>
      <c r="BG805" s="74"/>
      <c r="BH805" s="74"/>
      <c r="BI805" s="74"/>
    </row>
    <row r="806" spans="4:61" x14ac:dyDescent="0.3">
      <c r="D806" s="76"/>
      <c r="E806" s="76"/>
      <c r="F806" s="76" t="str">
        <f t="shared" si="61"/>
        <v/>
      </c>
      <c r="G806" s="183" t="str">
        <f>IF(F806 = "","",IFERROR(IF($G$1 = "YTM",_xll.CbondsCalcYTM($B$1,D806,F806),_xll.CbondsCalcYTP($B$1,D806,F806)),"")*100)</f>
        <v/>
      </c>
      <c r="U806" s="74"/>
      <c r="V806" s="74"/>
      <c r="W806" s="74"/>
      <c r="X806" s="74"/>
      <c r="Y806" s="74"/>
      <c r="Z806" s="74"/>
      <c r="AA806" s="74"/>
      <c r="AB806" s="74"/>
      <c r="AC806" s="74"/>
      <c r="AJ806" s="74"/>
      <c r="AK806" s="74"/>
      <c r="AL806" s="74"/>
      <c r="AM806" s="74"/>
      <c r="AN806" s="74"/>
      <c r="AO806" s="74"/>
      <c r="AP806" s="74"/>
      <c r="AQ806" s="74"/>
      <c r="AR806" s="74"/>
      <c r="AS806" s="74"/>
      <c r="BD806" s="74"/>
      <c r="BE806" s="74"/>
      <c r="BF806" s="74"/>
      <c r="BG806" s="74"/>
      <c r="BH806" s="74"/>
      <c r="BI806" s="74"/>
    </row>
    <row r="807" spans="4:61" x14ac:dyDescent="0.3">
      <c r="D807" s="76"/>
      <c r="E807" s="76"/>
      <c r="F807" s="76" t="str">
        <f t="shared" si="61"/>
        <v/>
      </c>
      <c r="G807" s="183" t="str">
        <f>IF(F807 = "","",IFERROR(IF($G$1 = "YTM",_xll.CbondsCalcYTM($B$1,D807,F807),_xll.CbondsCalcYTP($B$1,D807,F807)),"")*100)</f>
        <v/>
      </c>
      <c r="U807" s="74"/>
      <c r="V807" s="74"/>
      <c r="W807" s="74"/>
      <c r="X807" s="74"/>
      <c r="Y807" s="74"/>
      <c r="Z807" s="74"/>
      <c r="AA807" s="74"/>
      <c r="AB807" s="74"/>
      <c r="AC807" s="74"/>
      <c r="AJ807" s="74"/>
      <c r="AK807" s="74"/>
      <c r="AL807" s="74"/>
      <c r="AM807" s="74"/>
      <c r="AN807" s="74"/>
      <c r="AO807" s="74"/>
      <c r="AP807" s="74"/>
      <c r="AQ807" s="74"/>
      <c r="AR807" s="74"/>
      <c r="AS807" s="74"/>
      <c r="BD807" s="74"/>
      <c r="BE807" s="74"/>
      <c r="BF807" s="74"/>
      <c r="BG807" s="74"/>
      <c r="BH807" s="74"/>
      <c r="BI807" s="74"/>
    </row>
    <row r="808" spans="4:61" x14ac:dyDescent="0.3">
      <c r="D808" s="76"/>
      <c r="E808" s="76"/>
      <c r="F808" s="76" t="str">
        <f t="shared" si="61"/>
        <v/>
      </c>
      <c r="G808" s="183" t="str">
        <f>IF(F808 = "","",IFERROR(IF($G$1 = "YTM",_xll.CbondsCalcYTM($B$1,D808,F808),_xll.CbondsCalcYTP($B$1,D808,F808)),"")*100)</f>
        <v/>
      </c>
      <c r="U808" s="74"/>
      <c r="V808" s="74"/>
      <c r="W808" s="74"/>
      <c r="X808" s="74"/>
      <c r="Y808" s="74"/>
      <c r="Z808" s="74"/>
      <c r="AA808" s="74"/>
      <c r="AB808" s="74"/>
      <c r="AC808" s="74"/>
      <c r="AJ808" s="74"/>
      <c r="AK808" s="74"/>
      <c r="AL808" s="74"/>
      <c r="AM808" s="74"/>
      <c r="AN808" s="74"/>
      <c r="AO808" s="74"/>
      <c r="AP808" s="74"/>
      <c r="AQ808" s="74"/>
      <c r="AR808" s="74"/>
      <c r="AS808" s="74"/>
      <c r="BD808" s="74"/>
      <c r="BE808" s="74"/>
      <c r="BF808" s="74"/>
      <c r="BG808" s="74"/>
      <c r="BH808" s="74"/>
      <c r="BI808" s="74"/>
    </row>
    <row r="809" spans="4:61" x14ac:dyDescent="0.3">
      <c r="D809" s="76"/>
      <c r="E809" s="76"/>
      <c r="F809" s="76" t="str">
        <f t="shared" si="61"/>
        <v/>
      </c>
      <c r="G809" s="183" t="str">
        <f>IF(F809 = "","",IFERROR(IF($G$1 = "YTM",_xll.CbondsCalcYTM($B$1,D809,F809),_xll.CbondsCalcYTP($B$1,D809,F809)),"")*100)</f>
        <v/>
      </c>
      <c r="U809" s="74"/>
      <c r="V809" s="74"/>
      <c r="W809" s="74"/>
      <c r="X809" s="74"/>
      <c r="Y809" s="74"/>
      <c r="Z809" s="74"/>
      <c r="AA809" s="74"/>
      <c r="AB809" s="74"/>
      <c r="AC809" s="74"/>
      <c r="AJ809" s="74"/>
      <c r="AK809" s="74"/>
      <c r="AL809" s="74"/>
      <c r="AM809" s="74"/>
      <c r="AN809" s="74"/>
      <c r="AO809" s="74"/>
      <c r="AP809" s="74"/>
      <c r="AQ809" s="74"/>
      <c r="AR809" s="74"/>
      <c r="AS809" s="74"/>
      <c r="BD809" s="74"/>
      <c r="BE809" s="74"/>
      <c r="BF809" s="74"/>
      <c r="BG809" s="74"/>
      <c r="BH809" s="74"/>
      <c r="BI809" s="74"/>
    </row>
    <row r="810" spans="4:61" x14ac:dyDescent="0.3">
      <c r="D810" s="76"/>
      <c r="E810" s="76"/>
      <c r="F810" s="76" t="str">
        <f t="shared" si="61"/>
        <v/>
      </c>
      <c r="G810" s="183" t="str">
        <f>IF(F810 = "","",IFERROR(IF($G$1 = "YTM",_xll.CbondsCalcYTM($B$1,D810,F810),_xll.CbondsCalcYTP($B$1,D810,F810)),"")*100)</f>
        <v/>
      </c>
      <c r="U810" s="74"/>
      <c r="V810" s="74"/>
      <c r="W810" s="74"/>
      <c r="X810" s="74"/>
      <c r="Y810" s="74"/>
      <c r="Z810" s="74"/>
      <c r="AA810" s="74"/>
      <c r="AB810" s="74"/>
      <c r="AC810" s="74"/>
      <c r="AJ810" s="74"/>
      <c r="AK810" s="74"/>
      <c r="AL810" s="74"/>
      <c r="AM810" s="74"/>
      <c r="AN810" s="74"/>
      <c r="AO810" s="74"/>
      <c r="AP810" s="74"/>
      <c r="AQ810" s="74"/>
      <c r="AR810" s="74"/>
      <c r="AS810" s="74"/>
      <c r="BD810" s="74"/>
      <c r="BE810" s="74"/>
      <c r="BF810" s="74"/>
      <c r="BG810" s="74"/>
      <c r="BH810" s="74"/>
      <c r="BI810" s="74"/>
    </row>
    <row r="811" spans="4:61" x14ac:dyDescent="0.3">
      <c r="D811" s="76"/>
      <c r="E811" s="76"/>
      <c r="F811" s="76" t="str">
        <f t="shared" si="61"/>
        <v/>
      </c>
      <c r="G811" s="183" t="str">
        <f>IF(F811 = "","",IFERROR(IF($G$1 = "YTM",_xll.CbondsCalcYTM($B$1,D811,F811),_xll.CbondsCalcYTP($B$1,D811,F811)),"")*100)</f>
        <v/>
      </c>
      <c r="U811" s="74"/>
      <c r="V811" s="74"/>
      <c r="W811" s="74"/>
      <c r="X811" s="74"/>
      <c r="Y811" s="74"/>
      <c r="Z811" s="74"/>
      <c r="AA811" s="74"/>
      <c r="AB811" s="74"/>
      <c r="AC811" s="74"/>
      <c r="AJ811" s="74"/>
      <c r="AK811" s="74"/>
      <c r="AL811" s="74"/>
      <c r="AM811" s="74"/>
      <c r="AN811" s="74"/>
      <c r="AO811" s="74"/>
      <c r="AP811" s="74"/>
      <c r="AQ811" s="74"/>
      <c r="AR811" s="74"/>
      <c r="AS811" s="74"/>
      <c r="BD811" s="74"/>
      <c r="BE811" s="74"/>
      <c r="BF811" s="74"/>
      <c r="BG811" s="74"/>
      <c r="BH811" s="74"/>
      <c r="BI811" s="74"/>
    </row>
    <row r="812" spans="4:61" x14ac:dyDescent="0.3">
      <c r="D812" s="76"/>
      <c r="E812" s="76"/>
      <c r="F812" s="76" t="str">
        <f t="shared" si="61"/>
        <v/>
      </c>
      <c r="G812" s="183" t="str">
        <f>IF(F812 = "","",IFERROR(IF($G$1 = "YTM",_xll.CbondsCalcYTM($B$1,D812,F812),_xll.CbondsCalcYTP($B$1,D812,F812)),"")*100)</f>
        <v/>
      </c>
      <c r="U812" s="74"/>
      <c r="V812" s="74"/>
      <c r="W812" s="74"/>
      <c r="X812" s="74"/>
      <c r="Y812" s="74"/>
      <c r="Z812" s="74"/>
      <c r="AA812" s="74"/>
      <c r="AB812" s="74"/>
      <c r="AC812" s="74"/>
      <c r="AJ812" s="74"/>
      <c r="AK812" s="74"/>
      <c r="AL812" s="74"/>
      <c r="AM812" s="74"/>
      <c r="AN812" s="74"/>
      <c r="AO812" s="74"/>
      <c r="AP812" s="74"/>
      <c r="AQ812" s="74"/>
      <c r="AR812" s="74"/>
      <c r="AS812" s="74"/>
      <c r="BD812" s="74"/>
      <c r="BE812" s="74"/>
      <c r="BF812" s="74"/>
      <c r="BG812" s="74"/>
      <c r="BH812" s="74"/>
      <c r="BI812" s="74"/>
    </row>
    <row r="813" spans="4:61" x14ac:dyDescent="0.3">
      <c r="D813" s="76"/>
      <c r="E813" s="76"/>
      <c r="F813" s="76" t="str">
        <f t="shared" si="61"/>
        <v/>
      </c>
      <c r="G813" s="183" t="str">
        <f>IF(F813 = "","",IFERROR(IF($G$1 = "YTM",_xll.CbondsCalcYTM($B$1,D813,F813),_xll.CbondsCalcYTP($B$1,D813,F813)),"")*100)</f>
        <v/>
      </c>
      <c r="U813" s="74"/>
      <c r="V813" s="74"/>
      <c r="W813" s="74"/>
      <c r="X813" s="74"/>
      <c r="Y813" s="74"/>
      <c r="Z813" s="74"/>
      <c r="AA813" s="74"/>
      <c r="AB813" s="74"/>
      <c r="AC813" s="74"/>
      <c r="AJ813" s="74"/>
      <c r="AK813" s="74"/>
      <c r="AL813" s="74"/>
      <c r="AM813" s="74"/>
      <c r="AN813" s="74"/>
      <c r="AO813" s="74"/>
      <c r="AP813" s="74"/>
      <c r="AQ813" s="74"/>
      <c r="AR813" s="74"/>
      <c r="AS813" s="74"/>
      <c r="BD813" s="74"/>
      <c r="BE813" s="74"/>
      <c r="BF813" s="74"/>
      <c r="BG813" s="74"/>
      <c r="BH813" s="74"/>
      <c r="BI813" s="74"/>
    </row>
    <row r="814" spans="4:61" x14ac:dyDescent="0.3">
      <c r="D814" s="76"/>
      <c r="E814" s="76"/>
      <c r="F814" s="76" t="str">
        <f t="shared" si="61"/>
        <v/>
      </c>
      <c r="G814" s="183" t="str">
        <f>IF(F814 = "","",IFERROR(IF($G$1 = "YTM",_xll.CbondsCalcYTM($B$1,D814,F814),_xll.CbondsCalcYTP($B$1,D814,F814)),"")*100)</f>
        <v/>
      </c>
      <c r="U814" s="74"/>
      <c r="V814" s="74"/>
      <c r="W814" s="74"/>
      <c r="X814" s="74"/>
      <c r="Y814" s="74"/>
      <c r="Z814" s="74"/>
      <c r="AA814" s="74"/>
      <c r="AB814" s="74"/>
      <c r="AC814" s="74"/>
      <c r="AJ814" s="74"/>
      <c r="AK814" s="74"/>
      <c r="AL814" s="74"/>
      <c r="AM814" s="74"/>
      <c r="AN814" s="74"/>
      <c r="AO814" s="74"/>
      <c r="AP814" s="74"/>
      <c r="AQ814" s="74"/>
      <c r="AR814" s="74"/>
      <c r="AS814" s="74"/>
      <c r="BD814" s="74"/>
      <c r="BE814" s="74"/>
      <c r="BF814" s="74"/>
      <c r="BG814" s="74"/>
      <c r="BH814" s="74"/>
      <c r="BI814" s="74"/>
    </row>
    <row r="815" spans="4:61" x14ac:dyDescent="0.3">
      <c r="D815" s="76"/>
      <c r="E815" s="76"/>
      <c r="F815" s="76" t="str">
        <f t="shared" si="61"/>
        <v/>
      </c>
      <c r="G815" s="183" t="str">
        <f>IF(F815 = "","",IFERROR(IF($G$1 = "YTM",_xll.CbondsCalcYTM($B$1,D815,F815),_xll.CbondsCalcYTP($B$1,D815,F815)),"")*100)</f>
        <v/>
      </c>
      <c r="U815" s="74"/>
      <c r="V815" s="74"/>
      <c r="W815" s="74"/>
      <c r="X815" s="74"/>
      <c r="Y815" s="74"/>
      <c r="Z815" s="74"/>
      <c r="AA815" s="74"/>
      <c r="AB815" s="74"/>
      <c r="AC815" s="74"/>
      <c r="AJ815" s="74"/>
      <c r="AK815" s="74"/>
      <c r="AL815" s="74"/>
      <c r="AM815" s="74"/>
      <c r="AN815" s="74"/>
      <c r="AO815" s="74"/>
      <c r="AP815" s="74"/>
      <c r="AQ815" s="74"/>
      <c r="AR815" s="74"/>
      <c r="AS815" s="74"/>
      <c r="BD815" s="74"/>
      <c r="BE815" s="74"/>
      <c r="BF815" s="74"/>
      <c r="BG815" s="74"/>
      <c r="BH815" s="74"/>
      <c r="BI815" s="74"/>
    </row>
    <row r="816" spans="4:61" x14ac:dyDescent="0.3">
      <c r="D816" s="76"/>
      <c r="E816" s="76"/>
      <c r="F816" s="76" t="str">
        <f t="shared" si="61"/>
        <v/>
      </c>
      <c r="G816" s="183" t="str">
        <f>IF(F816 = "","",IFERROR(IF($G$1 = "YTM",_xll.CbondsCalcYTM($B$1,D816,F816),_xll.CbondsCalcYTP($B$1,D816,F816)),"")*100)</f>
        <v/>
      </c>
      <c r="U816" s="74"/>
      <c r="V816" s="74"/>
      <c r="W816" s="74"/>
      <c r="X816" s="74"/>
      <c r="Y816" s="74"/>
      <c r="Z816" s="74"/>
      <c r="AA816" s="74"/>
      <c r="AB816" s="74"/>
      <c r="AC816" s="74"/>
      <c r="AJ816" s="74"/>
      <c r="AK816" s="74"/>
      <c r="AL816" s="74"/>
      <c r="AM816" s="74"/>
      <c r="AN816" s="74"/>
      <c r="AO816" s="74"/>
      <c r="AP816" s="74"/>
      <c r="AQ816" s="74"/>
      <c r="AR816" s="74"/>
      <c r="AS816" s="74"/>
      <c r="BD816" s="74"/>
      <c r="BE816" s="74"/>
      <c r="BF816" s="74"/>
      <c r="BG816" s="74"/>
      <c r="BH816" s="74"/>
      <c r="BI816" s="74"/>
    </row>
    <row r="817" spans="4:61" x14ac:dyDescent="0.3">
      <c r="D817" s="76"/>
      <c r="E817" s="76"/>
      <c r="F817" s="76" t="str">
        <f t="shared" si="61"/>
        <v/>
      </c>
      <c r="G817" s="183" t="str">
        <f>IF(F817 = "","",IFERROR(IF($G$1 = "YTM",_xll.CbondsCalcYTM($B$1,D817,F817),_xll.CbondsCalcYTP($B$1,D817,F817)),"")*100)</f>
        <v/>
      </c>
      <c r="U817" s="74"/>
      <c r="V817" s="74"/>
      <c r="W817" s="74"/>
      <c r="X817" s="74"/>
      <c r="Y817" s="74"/>
      <c r="Z817" s="74"/>
      <c r="AA817" s="74"/>
      <c r="AB817" s="74"/>
      <c r="AC817" s="74"/>
      <c r="AJ817" s="74"/>
      <c r="AK817" s="74"/>
      <c r="AL817" s="74"/>
      <c r="AM817" s="74"/>
      <c r="AN817" s="74"/>
      <c r="AO817" s="74"/>
      <c r="AP817" s="74"/>
      <c r="AQ817" s="74"/>
      <c r="AR817" s="74"/>
      <c r="AS817" s="74"/>
      <c r="BD817" s="74"/>
      <c r="BE817" s="74"/>
      <c r="BF817" s="74"/>
      <c r="BG817" s="74"/>
      <c r="BH817" s="74"/>
      <c r="BI817" s="74"/>
    </row>
    <row r="818" spans="4:61" x14ac:dyDescent="0.3">
      <c r="D818" s="76"/>
      <c r="E818" s="76"/>
      <c r="F818" s="76" t="str">
        <f t="shared" si="61"/>
        <v/>
      </c>
      <c r="G818" s="183" t="str">
        <f>IF(F818 = "","",IFERROR(IF($G$1 = "YTM",_xll.CbondsCalcYTM($B$1,D818,F818),_xll.CbondsCalcYTP($B$1,D818,F818)),"")*100)</f>
        <v/>
      </c>
      <c r="U818" s="74"/>
      <c r="V818" s="74"/>
      <c r="W818" s="74"/>
      <c r="X818" s="74"/>
      <c r="Y818" s="74"/>
      <c r="Z818" s="74"/>
      <c r="AA818" s="74"/>
      <c r="AB818" s="74"/>
      <c r="AC818" s="74"/>
      <c r="AJ818" s="74"/>
      <c r="AK818" s="74"/>
      <c r="AL818" s="74"/>
      <c r="AM818" s="74"/>
      <c r="AN818" s="74"/>
      <c r="AO818" s="74"/>
      <c r="AP818" s="74"/>
      <c r="AQ818" s="74"/>
      <c r="AR818" s="74"/>
      <c r="AS818" s="74"/>
      <c r="BD818" s="74"/>
      <c r="BE818" s="74"/>
      <c r="BF818" s="74"/>
      <c r="BG818" s="74"/>
      <c r="BH818" s="74"/>
      <c r="BI818" s="74"/>
    </row>
    <row r="819" spans="4:61" x14ac:dyDescent="0.3">
      <c r="D819" s="76"/>
      <c r="E819" s="76"/>
      <c r="F819" s="76" t="str">
        <f t="shared" si="61"/>
        <v/>
      </c>
      <c r="G819" s="183" t="str">
        <f>IF(F819 = "","",IFERROR(IF($G$1 = "YTM",_xll.CbondsCalcYTM($B$1,D819,F819),_xll.CbondsCalcYTP($B$1,D819,F819)),"")*100)</f>
        <v/>
      </c>
      <c r="U819" s="74"/>
      <c r="V819" s="74"/>
      <c r="W819" s="74"/>
      <c r="X819" s="74"/>
      <c r="Y819" s="74"/>
      <c r="Z819" s="74"/>
      <c r="AA819" s="74"/>
      <c r="AB819" s="74"/>
      <c r="AC819" s="74"/>
      <c r="AJ819" s="74"/>
      <c r="AK819" s="74"/>
      <c r="AL819" s="74"/>
      <c r="AM819" s="74"/>
      <c r="AN819" s="74"/>
      <c r="AO819" s="74"/>
      <c r="AP819" s="74"/>
      <c r="AQ819" s="74"/>
      <c r="AR819" s="74"/>
      <c r="AS819" s="74"/>
      <c r="BD819" s="74"/>
      <c r="BE819" s="74"/>
      <c r="BF819" s="74"/>
      <c r="BG819" s="74"/>
      <c r="BH819" s="74"/>
      <c r="BI819" s="74"/>
    </row>
    <row r="820" spans="4:61" x14ac:dyDescent="0.3">
      <c r="D820" s="76"/>
      <c r="E820" s="76"/>
      <c r="F820" s="76" t="str">
        <f t="shared" si="61"/>
        <v/>
      </c>
      <c r="G820" s="183" t="str">
        <f>IF(F820 = "","",IFERROR(IF($G$1 = "YTM",_xll.CbondsCalcYTM($B$1,D820,F820),_xll.CbondsCalcYTP($B$1,D820,F820)),"")*100)</f>
        <v/>
      </c>
      <c r="U820" s="74"/>
      <c r="V820" s="74"/>
      <c r="W820" s="74"/>
      <c r="X820" s="74"/>
      <c r="Y820" s="74"/>
      <c r="Z820" s="74"/>
      <c r="AA820" s="74"/>
      <c r="AB820" s="74"/>
      <c r="AC820" s="74"/>
      <c r="AJ820" s="74"/>
      <c r="AK820" s="74"/>
      <c r="AL820" s="74"/>
      <c r="AM820" s="74"/>
      <c r="AN820" s="74"/>
      <c r="AO820" s="74"/>
      <c r="AP820" s="74"/>
      <c r="AQ820" s="74"/>
      <c r="AR820" s="74"/>
      <c r="AS820" s="74"/>
      <c r="BD820" s="74"/>
      <c r="BE820" s="74"/>
      <c r="BF820" s="74"/>
      <c r="BG820" s="74"/>
      <c r="BH820" s="74"/>
      <c r="BI820" s="74"/>
    </row>
    <row r="821" spans="4:61" x14ac:dyDescent="0.3">
      <c r="D821" s="76"/>
      <c r="E821" s="76"/>
      <c r="F821" s="76" t="str">
        <f t="shared" si="61"/>
        <v/>
      </c>
      <c r="G821" s="183" t="str">
        <f>IF(F821 = "","",IFERROR(IF($G$1 = "YTM",_xll.CbondsCalcYTM($B$1,D821,F821),_xll.CbondsCalcYTP($B$1,D821,F821)),"")*100)</f>
        <v/>
      </c>
      <c r="U821" s="74"/>
      <c r="V821" s="74"/>
      <c r="W821" s="74"/>
      <c r="X821" s="74"/>
      <c r="Y821" s="74"/>
      <c r="Z821" s="74"/>
      <c r="AA821" s="74"/>
      <c r="AB821" s="74"/>
      <c r="AC821" s="74"/>
      <c r="AJ821" s="74"/>
      <c r="AK821" s="74"/>
      <c r="AL821" s="74"/>
      <c r="AM821" s="74"/>
      <c r="AN821" s="74"/>
      <c r="AO821" s="74"/>
      <c r="AP821" s="74"/>
      <c r="AQ821" s="74"/>
      <c r="AR821" s="74"/>
      <c r="AS821" s="74"/>
      <c r="BD821" s="74"/>
      <c r="BE821" s="74"/>
      <c r="BF821" s="74"/>
      <c r="BG821" s="74"/>
      <c r="BH821" s="74"/>
      <c r="BI821" s="74"/>
    </row>
    <row r="822" spans="4:61" x14ac:dyDescent="0.3">
      <c r="D822" s="76"/>
      <c r="E822" s="76"/>
      <c r="F822" s="76" t="str">
        <f t="shared" si="61"/>
        <v/>
      </c>
      <c r="G822" s="183" t="str">
        <f>IF(F822 = "","",IFERROR(IF($G$1 = "YTM",_xll.CbondsCalcYTM($B$1,D822,F822),_xll.CbondsCalcYTP($B$1,D822,F822)),"")*100)</f>
        <v/>
      </c>
      <c r="U822" s="74"/>
      <c r="V822" s="74"/>
      <c r="W822" s="74"/>
      <c r="X822" s="74"/>
      <c r="Y822" s="74"/>
      <c r="Z822" s="74"/>
      <c r="AA822" s="74"/>
      <c r="AB822" s="74"/>
      <c r="AC822" s="74"/>
      <c r="AJ822" s="74"/>
      <c r="AK822" s="74"/>
      <c r="AL822" s="74"/>
      <c r="AM822" s="74"/>
      <c r="AN822" s="74"/>
      <c r="AO822" s="74"/>
      <c r="AP822" s="74"/>
      <c r="AQ822" s="74"/>
      <c r="AR822" s="74"/>
      <c r="AS822" s="74"/>
      <c r="BD822" s="74"/>
      <c r="BE822" s="74"/>
      <c r="BF822" s="74"/>
      <c r="BG822" s="74"/>
      <c r="BH822" s="74"/>
      <c r="BI822" s="74"/>
    </row>
    <row r="823" spans="4:61" x14ac:dyDescent="0.3">
      <c r="D823" s="76"/>
      <c r="E823" s="76"/>
      <c r="F823" s="76" t="str">
        <f t="shared" si="61"/>
        <v/>
      </c>
      <c r="G823" s="183" t="str">
        <f>IF(F823 = "","",IFERROR(IF($G$1 = "YTM",_xll.CbondsCalcYTM($B$1,D823,F823),_xll.CbondsCalcYTP($B$1,D823,F823)),"")*100)</f>
        <v/>
      </c>
      <c r="U823" s="74"/>
      <c r="V823" s="74"/>
      <c r="W823" s="74"/>
      <c r="X823" s="74"/>
      <c r="Y823" s="74"/>
      <c r="Z823" s="74"/>
      <c r="AA823" s="74"/>
      <c r="AB823" s="74"/>
      <c r="AC823" s="74"/>
      <c r="AJ823" s="74"/>
      <c r="AK823" s="74"/>
      <c r="AL823" s="74"/>
      <c r="AM823" s="74"/>
      <c r="AN823" s="74"/>
      <c r="AO823" s="74"/>
      <c r="AP823" s="74"/>
      <c r="AQ823" s="74"/>
      <c r="AR823" s="74"/>
      <c r="AS823" s="74"/>
      <c r="BD823" s="74"/>
      <c r="BE823" s="74"/>
      <c r="BF823" s="74"/>
      <c r="BG823" s="74"/>
      <c r="BH823" s="74"/>
      <c r="BI823" s="74"/>
    </row>
    <row r="824" spans="4:61" x14ac:dyDescent="0.3">
      <c r="D824" s="76"/>
      <c r="E824" s="76"/>
      <c r="F824" s="76" t="str">
        <f t="shared" si="61"/>
        <v/>
      </c>
      <c r="G824" s="183" t="str">
        <f>IF(F824 = "","",IFERROR(IF($G$1 = "YTM",_xll.CbondsCalcYTM($B$1,D824,F824),_xll.CbondsCalcYTP($B$1,D824,F824)),"")*100)</f>
        <v/>
      </c>
      <c r="U824" s="74"/>
      <c r="V824" s="74"/>
      <c r="W824" s="74"/>
      <c r="X824" s="74"/>
      <c r="Y824" s="74"/>
      <c r="Z824" s="74"/>
      <c r="AA824" s="74"/>
      <c r="AB824" s="74"/>
      <c r="AC824" s="74"/>
      <c r="AJ824" s="74"/>
      <c r="AK824" s="74"/>
      <c r="AL824" s="74"/>
      <c r="AM824" s="74"/>
      <c r="AN824" s="74"/>
      <c r="AO824" s="74"/>
      <c r="AP824" s="74"/>
      <c r="AQ824" s="74"/>
      <c r="AR824" s="74"/>
      <c r="AS824" s="74"/>
      <c r="BD824" s="74"/>
      <c r="BE824" s="74"/>
      <c r="BF824" s="74"/>
      <c r="BG824" s="74"/>
      <c r="BH824" s="74"/>
      <c r="BI824" s="74"/>
    </row>
    <row r="825" spans="4:61" x14ac:dyDescent="0.3">
      <c r="D825" s="76"/>
      <c r="E825" s="76"/>
      <c r="F825" s="76" t="str">
        <f t="shared" si="61"/>
        <v/>
      </c>
      <c r="G825" s="183" t="str">
        <f>IF(F825 = "","",IFERROR(IF($G$1 = "YTM",_xll.CbondsCalcYTM($B$1,D825,F825),_xll.CbondsCalcYTP($B$1,D825,F825)),"")*100)</f>
        <v/>
      </c>
      <c r="U825" s="74"/>
      <c r="V825" s="74"/>
      <c r="W825" s="74"/>
      <c r="X825" s="74"/>
      <c r="Y825" s="74"/>
      <c r="Z825" s="74"/>
      <c r="AA825" s="74"/>
      <c r="AB825" s="74"/>
      <c r="AC825" s="74"/>
      <c r="AJ825" s="74"/>
      <c r="AK825" s="74"/>
      <c r="AL825" s="74"/>
      <c r="AM825" s="74"/>
      <c r="AN825" s="74"/>
      <c r="AO825" s="74"/>
      <c r="AP825" s="74"/>
      <c r="AQ825" s="74"/>
      <c r="AR825" s="74"/>
      <c r="AS825" s="74"/>
      <c r="BD825" s="74"/>
      <c r="BE825" s="74"/>
      <c r="BF825" s="74"/>
      <c r="BG825" s="74"/>
      <c r="BH825" s="74"/>
      <c r="BI825" s="74"/>
    </row>
    <row r="826" spans="4:61" x14ac:dyDescent="0.3">
      <c r="D826" s="76"/>
      <c r="E826" s="76"/>
      <c r="F826" s="76" t="str">
        <f t="shared" si="61"/>
        <v/>
      </c>
      <c r="G826" s="183" t="str">
        <f>IF(F826 = "","",IFERROR(IF($G$1 = "YTM",_xll.CbondsCalcYTM($B$1,D826,F826),_xll.CbondsCalcYTP($B$1,D826,F826)),"")*100)</f>
        <v/>
      </c>
      <c r="U826" s="74"/>
      <c r="V826" s="74"/>
      <c r="W826" s="74"/>
      <c r="X826" s="74"/>
      <c r="Y826" s="74"/>
      <c r="Z826" s="74"/>
      <c r="AA826" s="74"/>
      <c r="AB826" s="74"/>
      <c r="AC826" s="74"/>
      <c r="AJ826" s="74"/>
      <c r="AK826" s="74"/>
      <c r="AL826" s="74"/>
      <c r="AM826" s="74"/>
      <c r="AN826" s="74"/>
      <c r="AO826" s="74"/>
      <c r="AP826" s="74"/>
      <c r="AQ826" s="74"/>
      <c r="AR826" s="74"/>
      <c r="AS826" s="74"/>
      <c r="BD826" s="74"/>
      <c r="BE826" s="74"/>
      <c r="BF826" s="74"/>
      <c r="BG826" s="74"/>
      <c r="BH826" s="74"/>
      <c r="BI826" s="74"/>
    </row>
    <row r="827" spans="4:61" x14ac:dyDescent="0.3">
      <c r="D827" s="76"/>
      <c r="E827" s="76"/>
      <c r="F827" s="76" t="str">
        <f t="shared" si="61"/>
        <v/>
      </c>
      <c r="G827" s="183" t="str">
        <f>IF(F827 = "","",IFERROR(IF($G$1 = "YTM",_xll.CbondsCalcYTM($B$1,D827,F827),_xll.CbondsCalcYTP($B$1,D827,F827)),"")*100)</f>
        <v/>
      </c>
      <c r="U827" s="74"/>
      <c r="V827" s="74"/>
      <c r="W827" s="74"/>
      <c r="X827" s="74"/>
      <c r="Y827" s="74"/>
      <c r="Z827" s="74"/>
      <c r="AA827" s="74"/>
      <c r="AB827" s="74"/>
      <c r="AC827" s="74"/>
      <c r="AJ827" s="74"/>
      <c r="AK827" s="74"/>
      <c r="AL827" s="74"/>
      <c r="AM827" s="74"/>
      <c r="AN827" s="74"/>
      <c r="AO827" s="74"/>
      <c r="AP827" s="74"/>
      <c r="AQ827" s="74"/>
      <c r="AR827" s="74"/>
      <c r="AS827" s="74"/>
      <c r="BD827" s="74"/>
      <c r="BE827" s="74"/>
      <c r="BF827" s="74"/>
      <c r="BG827" s="74"/>
      <c r="BH827" s="74"/>
      <c r="BI827" s="74"/>
    </row>
    <row r="828" spans="4:61" x14ac:dyDescent="0.3">
      <c r="D828" s="76"/>
      <c r="E828" s="76"/>
      <c r="F828" s="76" t="str">
        <f t="shared" si="61"/>
        <v/>
      </c>
      <c r="G828" s="183" t="str">
        <f>IF(F828 = "","",IFERROR(IF($G$1 = "YTM",_xll.CbondsCalcYTM($B$1,D828,F828),_xll.CbondsCalcYTP($B$1,D828,F828)),"")*100)</f>
        <v/>
      </c>
      <c r="U828" s="74"/>
      <c r="V828" s="74"/>
      <c r="W828" s="74"/>
      <c r="X828" s="74"/>
      <c r="Y828" s="74"/>
      <c r="Z828" s="74"/>
      <c r="AA828" s="74"/>
      <c r="AB828" s="74"/>
      <c r="AC828" s="74"/>
      <c r="AJ828" s="74"/>
      <c r="AK828" s="74"/>
      <c r="AL828" s="74"/>
      <c r="AM828" s="74"/>
      <c r="AN828" s="74"/>
      <c r="AO828" s="74"/>
      <c r="AP828" s="74"/>
      <c r="AQ828" s="74"/>
      <c r="AR828" s="74"/>
      <c r="AS828" s="74"/>
      <c r="BD828" s="74"/>
      <c r="BE828" s="74"/>
      <c r="BF828" s="74"/>
      <c r="BG828" s="74"/>
      <c r="BH828" s="74"/>
      <c r="BI828" s="74"/>
    </row>
    <row r="829" spans="4:61" x14ac:dyDescent="0.3">
      <c r="D829" s="76"/>
      <c r="E829" s="76"/>
      <c r="F829" s="76" t="str">
        <f t="shared" si="61"/>
        <v/>
      </c>
      <c r="G829" s="183" t="str">
        <f>IF(F829 = "","",IFERROR(IF($G$1 = "YTM",_xll.CbondsCalcYTM($B$1,D829,F829),_xll.CbondsCalcYTP($B$1,D829,F829)),"")*100)</f>
        <v/>
      </c>
      <c r="U829" s="74"/>
      <c r="V829" s="74"/>
      <c r="W829" s="74"/>
      <c r="X829" s="74"/>
      <c r="Y829" s="74"/>
      <c r="Z829" s="74"/>
      <c r="AA829" s="74"/>
      <c r="AB829" s="74"/>
      <c r="AC829" s="74"/>
      <c r="AJ829" s="74"/>
      <c r="AK829" s="74"/>
      <c r="AL829" s="74"/>
      <c r="AM829" s="74"/>
      <c r="AN829" s="74"/>
      <c r="AO829" s="74"/>
      <c r="AP829" s="74"/>
      <c r="AQ829" s="74"/>
      <c r="AR829" s="74"/>
      <c r="AS829" s="74"/>
      <c r="BD829" s="74"/>
      <c r="BE829" s="74"/>
      <c r="BF829" s="74"/>
      <c r="BG829" s="74"/>
      <c r="BH829" s="74"/>
      <c r="BI829" s="74"/>
    </row>
    <row r="830" spans="4:61" x14ac:dyDescent="0.3">
      <c r="D830" s="76"/>
      <c r="E830" s="76"/>
      <c r="F830" s="76" t="str">
        <f t="shared" si="61"/>
        <v/>
      </c>
      <c r="G830" s="183" t="str">
        <f>IF(F830 = "","",IFERROR(IF($G$1 = "YTM",_xll.CbondsCalcYTM($B$1,D830,F830),_xll.CbondsCalcYTP($B$1,D830,F830)),"")*100)</f>
        <v/>
      </c>
      <c r="U830" s="74"/>
      <c r="V830" s="74"/>
      <c r="W830" s="74"/>
      <c r="X830" s="74"/>
      <c r="Y830" s="74"/>
      <c r="Z830" s="74"/>
      <c r="AA830" s="74"/>
      <c r="AB830" s="74"/>
      <c r="AC830" s="74"/>
      <c r="AJ830" s="74"/>
      <c r="AK830" s="74"/>
      <c r="AL830" s="74"/>
      <c r="AM830" s="74"/>
      <c r="AN830" s="74"/>
      <c r="AO830" s="74"/>
      <c r="AP830" s="74"/>
      <c r="AQ830" s="74"/>
      <c r="AR830" s="74"/>
      <c r="AS830" s="74"/>
      <c r="BD830" s="74"/>
      <c r="BE830" s="74"/>
      <c r="BF830" s="74"/>
      <c r="BG830" s="74"/>
      <c r="BH830" s="74"/>
      <c r="BI830" s="74"/>
    </row>
    <row r="831" spans="4:61" x14ac:dyDescent="0.3">
      <c r="D831" s="76"/>
      <c r="E831" s="76"/>
      <c r="F831" s="76" t="str">
        <f t="shared" si="61"/>
        <v/>
      </c>
      <c r="G831" s="183" t="str">
        <f>IF(F831 = "","",IFERROR(IF($G$1 = "YTM",_xll.CbondsCalcYTM($B$1,D831,F831),_xll.CbondsCalcYTP($B$1,D831,F831)),"")*100)</f>
        <v/>
      </c>
      <c r="U831" s="74"/>
      <c r="V831" s="74"/>
      <c r="W831" s="74"/>
      <c r="X831" s="74"/>
      <c r="Y831" s="74"/>
      <c r="Z831" s="74"/>
      <c r="AA831" s="74"/>
      <c r="AB831" s="74"/>
      <c r="AC831" s="74"/>
      <c r="AJ831" s="74"/>
      <c r="AK831" s="74"/>
      <c r="AL831" s="74"/>
      <c r="AM831" s="74"/>
      <c r="AN831" s="74"/>
      <c r="AO831" s="74"/>
      <c r="AP831" s="74"/>
      <c r="AQ831" s="74"/>
      <c r="AR831" s="74"/>
      <c r="AS831" s="74"/>
      <c r="BD831" s="74"/>
      <c r="BE831" s="74"/>
      <c r="BF831" s="74"/>
      <c r="BG831" s="74"/>
      <c r="BH831" s="74"/>
      <c r="BI831" s="74"/>
    </row>
    <row r="832" spans="4:61" x14ac:dyDescent="0.3">
      <c r="D832" s="76"/>
      <c r="E832" s="76"/>
      <c r="F832" s="76" t="str">
        <f t="shared" si="61"/>
        <v/>
      </c>
      <c r="G832" s="183" t="str">
        <f>IF(F832 = "","",IFERROR(IF($G$1 = "YTM",_xll.CbondsCalcYTM($B$1,D832,F832),_xll.CbondsCalcYTP($B$1,D832,F832)),"")*100)</f>
        <v/>
      </c>
      <c r="U832" s="74"/>
      <c r="V832" s="74"/>
      <c r="W832" s="74"/>
      <c r="X832" s="74"/>
      <c r="Y832" s="74"/>
      <c r="Z832" s="74"/>
      <c r="AA832" s="74"/>
      <c r="AB832" s="74"/>
      <c r="AC832" s="74"/>
      <c r="AJ832" s="74"/>
      <c r="AK832" s="74"/>
      <c r="AL832" s="74"/>
      <c r="AM832" s="74"/>
      <c r="AN832" s="74"/>
      <c r="AO832" s="74"/>
      <c r="AP832" s="74"/>
      <c r="AQ832" s="74"/>
      <c r="AR832" s="74"/>
      <c r="AS832" s="74"/>
      <c r="BD832" s="74"/>
      <c r="BE832" s="74"/>
      <c r="BF832" s="74"/>
      <c r="BG832" s="74"/>
      <c r="BH832" s="74"/>
      <c r="BI832" s="74"/>
    </row>
    <row r="833" spans="4:61" x14ac:dyDescent="0.3">
      <c r="D833" s="76"/>
      <c r="E833" s="76"/>
      <c r="F833" s="76" t="str">
        <f t="shared" si="61"/>
        <v/>
      </c>
      <c r="G833" s="183" t="str">
        <f>IF(F833 = "","",IFERROR(IF($G$1 = "YTM",_xll.CbondsCalcYTM($B$1,D833,F833),_xll.CbondsCalcYTP($B$1,D833,F833)),"")*100)</f>
        <v/>
      </c>
      <c r="U833" s="74"/>
      <c r="V833" s="74"/>
      <c r="W833" s="74"/>
      <c r="X833" s="74"/>
      <c r="Y833" s="74"/>
      <c r="Z833" s="74"/>
      <c r="AA833" s="74"/>
      <c r="AB833" s="74"/>
      <c r="AC833" s="74"/>
      <c r="AJ833" s="74"/>
      <c r="AK833" s="74"/>
      <c r="AL833" s="74"/>
      <c r="AM833" s="74"/>
      <c r="AN833" s="74"/>
      <c r="AO833" s="74"/>
      <c r="AP833" s="74"/>
      <c r="AQ833" s="74"/>
      <c r="AR833" s="74"/>
      <c r="AS833" s="74"/>
      <c r="BD833" s="74"/>
      <c r="BE833" s="74"/>
      <c r="BF833" s="74"/>
      <c r="BG833" s="74"/>
      <c r="BH833" s="74"/>
      <c r="BI833" s="74"/>
    </row>
    <row r="834" spans="4:61" x14ac:dyDescent="0.3">
      <c r="D834" s="76"/>
      <c r="E834" s="76"/>
      <c r="F834" s="76" t="str">
        <f t="shared" si="61"/>
        <v/>
      </c>
      <c r="G834" s="183" t="str">
        <f>IF(F834 = "","",IFERROR(IF($G$1 = "YTM",_xll.CbondsCalcYTM($B$1,D834,F834),_xll.CbondsCalcYTP($B$1,D834,F834)),"")*100)</f>
        <v/>
      </c>
      <c r="U834" s="74"/>
      <c r="V834" s="74"/>
      <c r="W834" s="74"/>
      <c r="X834" s="74"/>
      <c r="Y834" s="74"/>
      <c r="Z834" s="74"/>
      <c r="AA834" s="74"/>
      <c r="AB834" s="74"/>
      <c r="AC834" s="74"/>
      <c r="AJ834" s="74"/>
      <c r="AK834" s="74"/>
      <c r="AL834" s="74"/>
      <c r="AM834" s="74"/>
      <c r="AN834" s="74"/>
      <c r="AO834" s="74"/>
      <c r="AP834" s="74"/>
      <c r="AQ834" s="74"/>
      <c r="AR834" s="74"/>
      <c r="AS834" s="74"/>
      <c r="BD834" s="74"/>
      <c r="BE834" s="74"/>
      <c r="BF834" s="74"/>
      <c r="BG834" s="74"/>
      <c r="BH834" s="74"/>
      <c r="BI834" s="74"/>
    </row>
    <row r="835" spans="4:61" x14ac:dyDescent="0.3">
      <c r="D835" s="76"/>
      <c r="E835" s="76"/>
      <c r="F835" s="76" t="str">
        <f t="shared" si="61"/>
        <v/>
      </c>
      <c r="G835" s="183" t="str">
        <f>IF(F835 = "","",IFERROR(IF($G$1 = "YTM",_xll.CbondsCalcYTM($B$1,D835,F835),_xll.CbondsCalcYTP($B$1,D835,F835)),"")*100)</f>
        <v/>
      </c>
      <c r="U835" s="74"/>
      <c r="V835" s="74"/>
      <c r="W835" s="74"/>
      <c r="X835" s="74"/>
      <c r="Y835" s="74"/>
      <c r="Z835" s="74"/>
      <c r="AA835" s="74"/>
      <c r="AB835" s="74"/>
      <c r="AC835" s="74"/>
      <c r="AJ835" s="74"/>
      <c r="AK835" s="74"/>
      <c r="AL835" s="74"/>
      <c r="AM835" s="74"/>
      <c r="AN835" s="74"/>
      <c r="AO835" s="74"/>
      <c r="AP835" s="74"/>
      <c r="AQ835" s="74"/>
      <c r="AR835" s="74"/>
      <c r="AS835" s="74"/>
      <c r="BD835" s="74"/>
      <c r="BE835" s="74"/>
      <c r="BF835" s="74"/>
      <c r="BG835" s="74"/>
      <c r="BH835" s="74"/>
      <c r="BI835" s="74"/>
    </row>
    <row r="836" spans="4:61" x14ac:dyDescent="0.3">
      <c r="D836" s="76"/>
      <c r="E836" s="76"/>
      <c r="F836" s="76" t="str">
        <f t="shared" ref="F836:F899" si="62">IF(AND(E836="",D836=""),"",IF(AND(E836="",D836&lt;&gt;""),F835,E836))</f>
        <v/>
      </c>
      <c r="G836" s="183" t="str">
        <f>IF(F836 = "","",IFERROR(IF($G$1 = "YTM",_xll.CbondsCalcYTM($B$1,D836,F836),_xll.CbondsCalcYTP($B$1,D836,F836)),"")*100)</f>
        <v/>
      </c>
      <c r="U836" s="74"/>
      <c r="V836" s="74"/>
      <c r="W836" s="74"/>
      <c r="X836" s="74"/>
      <c r="Y836" s="74"/>
      <c r="Z836" s="74"/>
      <c r="AA836" s="74"/>
      <c r="AB836" s="74"/>
      <c r="AC836" s="74"/>
      <c r="AJ836" s="74"/>
      <c r="AK836" s="74"/>
      <c r="AL836" s="74"/>
      <c r="AM836" s="74"/>
      <c r="AN836" s="74"/>
      <c r="AO836" s="74"/>
      <c r="AP836" s="74"/>
      <c r="AQ836" s="74"/>
      <c r="AR836" s="74"/>
      <c r="AS836" s="74"/>
      <c r="BD836" s="74"/>
      <c r="BE836" s="74"/>
      <c r="BF836" s="74"/>
      <c r="BG836" s="74"/>
      <c r="BH836" s="74"/>
      <c r="BI836" s="74"/>
    </row>
    <row r="837" spans="4:61" x14ac:dyDescent="0.3">
      <c r="D837" s="76"/>
      <c r="E837" s="76"/>
      <c r="F837" s="76" t="str">
        <f t="shared" si="62"/>
        <v/>
      </c>
      <c r="G837" s="183" t="str">
        <f>IF(F837 = "","",IFERROR(IF($G$1 = "YTM",_xll.CbondsCalcYTM($B$1,D837,F837),_xll.CbondsCalcYTP($B$1,D837,F837)),"")*100)</f>
        <v/>
      </c>
      <c r="U837" s="74"/>
      <c r="V837" s="74"/>
      <c r="W837" s="74"/>
      <c r="X837" s="74"/>
      <c r="Y837" s="74"/>
      <c r="Z837" s="74"/>
      <c r="AA837" s="74"/>
      <c r="AB837" s="74"/>
      <c r="AC837" s="74"/>
      <c r="AJ837" s="74"/>
      <c r="AK837" s="74"/>
      <c r="AL837" s="74"/>
      <c r="AM837" s="74"/>
      <c r="AN837" s="74"/>
      <c r="AO837" s="74"/>
      <c r="AP837" s="74"/>
      <c r="AQ837" s="74"/>
      <c r="AR837" s="74"/>
      <c r="AS837" s="74"/>
      <c r="BD837" s="74"/>
      <c r="BE837" s="74"/>
      <c r="BF837" s="74"/>
      <c r="BG837" s="74"/>
      <c r="BH837" s="74"/>
      <c r="BI837" s="74"/>
    </row>
    <row r="838" spans="4:61" x14ac:dyDescent="0.3">
      <c r="D838" s="76"/>
      <c r="E838" s="76"/>
      <c r="F838" s="76" t="str">
        <f t="shared" si="62"/>
        <v/>
      </c>
      <c r="G838" s="183" t="str">
        <f>IF(F838 = "","",IFERROR(IF($G$1 = "YTM",_xll.CbondsCalcYTM($B$1,D838,F838),_xll.CbondsCalcYTP($B$1,D838,F838)),"")*100)</f>
        <v/>
      </c>
      <c r="U838" s="74"/>
      <c r="V838" s="74"/>
      <c r="W838" s="74"/>
      <c r="X838" s="74"/>
      <c r="Y838" s="74"/>
      <c r="Z838" s="74"/>
      <c r="AA838" s="74"/>
      <c r="AB838" s="74"/>
      <c r="AC838" s="74"/>
      <c r="AJ838" s="74"/>
      <c r="AK838" s="74"/>
      <c r="AL838" s="74"/>
      <c r="AM838" s="74"/>
      <c r="AN838" s="74"/>
      <c r="AO838" s="74"/>
      <c r="AP838" s="74"/>
      <c r="AQ838" s="74"/>
      <c r="AR838" s="74"/>
      <c r="AS838" s="74"/>
      <c r="BD838" s="74"/>
      <c r="BE838" s="74"/>
      <c r="BF838" s="74"/>
      <c r="BG838" s="74"/>
      <c r="BH838" s="74"/>
      <c r="BI838" s="74"/>
    </row>
    <row r="839" spans="4:61" x14ac:dyDescent="0.3">
      <c r="D839" s="76"/>
      <c r="E839" s="76"/>
      <c r="F839" s="76" t="str">
        <f t="shared" si="62"/>
        <v/>
      </c>
      <c r="G839" s="183" t="str">
        <f>IF(F839 = "","",IFERROR(IF($G$1 = "YTM",_xll.CbondsCalcYTM($B$1,D839,F839),_xll.CbondsCalcYTP($B$1,D839,F839)),"")*100)</f>
        <v/>
      </c>
      <c r="U839" s="74"/>
      <c r="V839" s="74"/>
      <c r="W839" s="74"/>
      <c r="X839" s="74"/>
      <c r="Y839" s="74"/>
      <c r="Z839" s="74"/>
      <c r="AA839" s="74"/>
      <c r="AB839" s="74"/>
      <c r="AC839" s="74"/>
      <c r="AJ839" s="74"/>
      <c r="AK839" s="74"/>
      <c r="AL839" s="74"/>
      <c r="AM839" s="74"/>
      <c r="AN839" s="74"/>
      <c r="AO839" s="74"/>
      <c r="AP839" s="74"/>
      <c r="AQ839" s="74"/>
      <c r="AR839" s="74"/>
      <c r="AS839" s="74"/>
      <c r="BD839" s="74"/>
      <c r="BE839" s="74"/>
      <c r="BF839" s="74"/>
      <c r="BG839" s="74"/>
      <c r="BH839" s="74"/>
      <c r="BI839" s="74"/>
    </row>
    <row r="840" spans="4:61" x14ac:dyDescent="0.3">
      <c r="D840" s="76"/>
      <c r="E840" s="76"/>
      <c r="F840" s="76" t="str">
        <f t="shared" si="62"/>
        <v/>
      </c>
      <c r="G840" s="183" t="str">
        <f>IF(F840 = "","",IFERROR(IF($G$1 = "YTM",_xll.CbondsCalcYTM($B$1,D840,F840),_xll.CbondsCalcYTP($B$1,D840,F840)),"")*100)</f>
        <v/>
      </c>
      <c r="U840" s="74"/>
      <c r="V840" s="74"/>
      <c r="W840" s="74"/>
      <c r="X840" s="74"/>
      <c r="Y840" s="74"/>
      <c r="Z840" s="74"/>
      <c r="AA840" s="74"/>
      <c r="AB840" s="74"/>
      <c r="AC840" s="74"/>
      <c r="AJ840" s="74"/>
      <c r="AK840" s="74"/>
      <c r="AL840" s="74"/>
      <c r="AM840" s="74"/>
      <c r="AN840" s="74"/>
      <c r="AO840" s="74"/>
      <c r="AP840" s="74"/>
      <c r="AQ840" s="74"/>
      <c r="AR840" s="74"/>
      <c r="AS840" s="74"/>
      <c r="BD840" s="74"/>
      <c r="BE840" s="74"/>
      <c r="BF840" s="74"/>
      <c r="BG840" s="74"/>
      <c r="BH840" s="74"/>
      <c r="BI840" s="74"/>
    </row>
    <row r="841" spans="4:61" x14ac:dyDescent="0.3">
      <c r="D841" s="76"/>
      <c r="E841" s="76"/>
      <c r="F841" s="76" t="str">
        <f t="shared" si="62"/>
        <v/>
      </c>
      <c r="G841" s="183" t="str">
        <f>IF(F841 = "","",IFERROR(IF($G$1 = "YTM",_xll.CbondsCalcYTM($B$1,D841,F841),_xll.CbondsCalcYTP($B$1,D841,F841)),"")*100)</f>
        <v/>
      </c>
      <c r="U841" s="74"/>
      <c r="V841" s="74"/>
      <c r="W841" s="74"/>
      <c r="X841" s="74"/>
      <c r="Y841" s="74"/>
      <c r="Z841" s="74"/>
      <c r="AA841" s="74"/>
      <c r="AB841" s="74"/>
      <c r="AC841" s="74"/>
      <c r="AJ841" s="74"/>
      <c r="AK841" s="74"/>
      <c r="AL841" s="74"/>
      <c r="AM841" s="74"/>
      <c r="AN841" s="74"/>
      <c r="AO841" s="74"/>
      <c r="AP841" s="74"/>
      <c r="AQ841" s="74"/>
      <c r="AR841" s="74"/>
      <c r="AS841" s="74"/>
      <c r="BD841" s="74"/>
      <c r="BE841" s="74"/>
      <c r="BF841" s="74"/>
      <c r="BG841" s="74"/>
      <c r="BH841" s="74"/>
      <c r="BI841" s="74"/>
    </row>
    <row r="842" spans="4:61" x14ac:dyDescent="0.3">
      <c r="D842" s="76"/>
      <c r="E842" s="76"/>
      <c r="F842" s="76" t="str">
        <f t="shared" si="62"/>
        <v/>
      </c>
      <c r="G842" s="183" t="str">
        <f>IF(F842 = "","",IFERROR(IF($G$1 = "YTM",_xll.CbondsCalcYTM($B$1,D842,F842),_xll.CbondsCalcYTP($B$1,D842,F842)),"")*100)</f>
        <v/>
      </c>
      <c r="U842" s="74"/>
      <c r="V842" s="74"/>
      <c r="W842" s="74"/>
      <c r="X842" s="74"/>
      <c r="Y842" s="74"/>
      <c r="Z842" s="74"/>
      <c r="AA842" s="74"/>
      <c r="AB842" s="74"/>
      <c r="AC842" s="74"/>
      <c r="AJ842" s="74"/>
      <c r="AK842" s="74"/>
      <c r="AL842" s="74"/>
      <c r="AM842" s="74"/>
      <c r="AN842" s="74"/>
      <c r="AO842" s="74"/>
      <c r="AP842" s="74"/>
      <c r="AQ842" s="74"/>
      <c r="AR842" s="74"/>
      <c r="AS842" s="74"/>
      <c r="BD842" s="74"/>
      <c r="BE842" s="74"/>
      <c r="BF842" s="74"/>
      <c r="BG842" s="74"/>
      <c r="BH842" s="74"/>
      <c r="BI842" s="74"/>
    </row>
    <row r="843" spans="4:61" x14ac:dyDescent="0.3">
      <c r="D843" s="76"/>
      <c r="E843" s="76"/>
      <c r="F843" s="76" t="str">
        <f t="shared" si="62"/>
        <v/>
      </c>
      <c r="G843" s="183" t="str">
        <f>IF(F843 = "","",IFERROR(IF($G$1 = "YTM",_xll.CbondsCalcYTM($B$1,D843,F843),_xll.CbondsCalcYTP($B$1,D843,F843)),"")*100)</f>
        <v/>
      </c>
      <c r="U843" s="74"/>
      <c r="V843" s="74"/>
      <c r="W843" s="74"/>
      <c r="X843" s="74"/>
      <c r="Y843" s="74"/>
      <c r="Z843" s="74"/>
      <c r="AA843" s="74"/>
      <c r="AB843" s="74"/>
      <c r="AC843" s="74"/>
      <c r="AJ843" s="74"/>
      <c r="AK843" s="74"/>
      <c r="AL843" s="74"/>
      <c r="AM843" s="74"/>
      <c r="AN843" s="74"/>
      <c r="AO843" s="74"/>
      <c r="AP843" s="74"/>
      <c r="AQ843" s="74"/>
      <c r="AR843" s="74"/>
      <c r="AS843" s="74"/>
      <c r="BD843" s="74"/>
      <c r="BE843" s="74"/>
      <c r="BF843" s="74"/>
      <c r="BG843" s="74"/>
      <c r="BH843" s="74"/>
      <c r="BI843" s="74"/>
    </row>
    <row r="844" spans="4:61" x14ac:dyDescent="0.3">
      <c r="D844" s="76"/>
      <c r="E844" s="76"/>
      <c r="F844" s="76" t="str">
        <f t="shared" si="62"/>
        <v/>
      </c>
      <c r="G844" s="183" t="str">
        <f>IF(F844 = "","",IFERROR(IF($G$1 = "YTM",_xll.CbondsCalcYTM($B$1,D844,F844),_xll.CbondsCalcYTP($B$1,D844,F844)),"")*100)</f>
        <v/>
      </c>
      <c r="U844" s="74"/>
      <c r="V844" s="74"/>
      <c r="W844" s="74"/>
      <c r="X844" s="74"/>
      <c r="Y844" s="74"/>
      <c r="Z844" s="74"/>
      <c r="AA844" s="74"/>
      <c r="AB844" s="74"/>
      <c r="AC844" s="74"/>
      <c r="AJ844" s="74"/>
      <c r="AK844" s="74"/>
      <c r="AL844" s="74"/>
      <c r="AM844" s="74"/>
      <c r="AN844" s="74"/>
      <c r="AO844" s="74"/>
      <c r="AP844" s="74"/>
      <c r="AQ844" s="74"/>
      <c r="AR844" s="74"/>
      <c r="AS844" s="74"/>
      <c r="BD844" s="74"/>
      <c r="BE844" s="74"/>
      <c r="BF844" s="74"/>
      <c r="BG844" s="74"/>
      <c r="BH844" s="74"/>
      <c r="BI844" s="74"/>
    </row>
    <row r="845" spans="4:61" x14ac:dyDescent="0.3">
      <c r="D845" s="76"/>
      <c r="E845" s="76"/>
      <c r="F845" s="76" t="str">
        <f t="shared" si="62"/>
        <v/>
      </c>
      <c r="G845" s="183" t="str">
        <f>IF(F845 = "","",IFERROR(IF($G$1 = "YTM",_xll.CbondsCalcYTM($B$1,D845,F845),_xll.CbondsCalcYTP($B$1,D845,F845)),"")*100)</f>
        <v/>
      </c>
      <c r="U845" s="74"/>
      <c r="V845" s="74"/>
      <c r="W845" s="74"/>
      <c r="X845" s="74"/>
      <c r="Y845" s="74"/>
      <c r="Z845" s="74"/>
      <c r="AA845" s="74"/>
      <c r="AB845" s="74"/>
      <c r="AC845" s="74"/>
      <c r="AJ845" s="74"/>
      <c r="AK845" s="74"/>
      <c r="AL845" s="74"/>
      <c r="AM845" s="74"/>
      <c r="AN845" s="74"/>
      <c r="AO845" s="74"/>
      <c r="AP845" s="74"/>
      <c r="AQ845" s="74"/>
      <c r="AR845" s="74"/>
      <c r="AS845" s="74"/>
      <c r="BD845" s="74"/>
      <c r="BE845" s="74"/>
      <c r="BF845" s="74"/>
      <c r="BG845" s="74"/>
      <c r="BH845" s="74"/>
      <c r="BI845" s="74"/>
    </row>
    <row r="846" spans="4:61" x14ac:dyDescent="0.3">
      <c r="D846" s="76"/>
      <c r="E846" s="76"/>
      <c r="F846" s="76" t="str">
        <f t="shared" si="62"/>
        <v/>
      </c>
      <c r="G846" s="183" t="str">
        <f>IF(F846 = "","",IFERROR(IF($G$1 = "YTM",_xll.CbondsCalcYTM($B$1,D846,F846),_xll.CbondsCalcYTP($B$1,D846,F846)),"")*100)</f>
        <v/>
      </c>
      <c r="U846" s="74"/>
      <c r="V846" s="74"/>
      <c r="W846" s="74"/>
      <c r="X846" s="74"/>
      <c r="Y846" s="74"/>
      <c r="Z846" s="74"/>
      <c r="AA846" s="74"/>
      <c r="AB846" s="74"/>
      <c r="AC846" s="74"/>
      <c r="AJ846" s="74"/>
      <c r="AK846" s="74"/>
      <c r="AL846" s="74"/>
      <c r="AM846" s="74"/>
      <c r="AN846" s="74"/>
      <c r="AO846" s="74"/>
      <c r="AP846" s="74"/>
      <c r="AQ846" s="74"/>
      <c r="AR846" s="74"/>
      <c r="AS846" s="74"/>
      <c r="BD846" s="74"/>
      <c r="BE846" s="74"/>
      <c r="BF846" s="74"/>
      <c r="BG846" s="74"/>
      <c r="BH846" s="74"/>
      <c r="BI846" s="74"/>
    </row>
    <row r="847" spans="4:61" x14ac:dyDescent="0.3">
      <c r="D847" s="76"/>
      <c r="E847" s="76"/>
      <c r="F847" s="76" t="str">
        <f t="shared" si="62"/>
        <v/>
      </c>
      <c r="G847" s="183" t="str">
        <f>IF(F847 = "","",IFERROR(IF($G$1 = "YTM",_xll.CbondsCalcYTM($B$1,D847,F847),_xll.CbondsCalcYTP($B$1,D847,F847)),"")*100)</f>
        <v/>
      </c>
      <c r="U847" s="74"/>
      <c r="V847" s="74"/>
      <c r="W847" s="74"/>
      <c r="X847" s="74"/>
      <c r="Y847" s="74"/>
      <c r="Z847" s="74"/>
      <c r="AA847" s="74"/>
      <c r="AB847" s="74"/>
      <c r="AC847" s="74"/>
      <c r="AJ847" s="74"/>
      <c r="AK847" s="74"/>
      <c r="AL847" s="74"/>
      <c r="AM847" s="74"/>
      <c r="AN847" s="74"/>
      <c r="AO847" s="74"/>
      <c r="AP847" s="74"/>
      <c r="AQ847" s="74"/>
      <c r="AR847" s="74"/>
      <c r="AS847" s="74"/>
      <c r="BD847" s="74"/>
      <c r="BE847" s="74"/>
      <c r="BF847" s="74"/>
      <c r="BG847" s="74"/>
      <c r="BH847" s="74"/>
      <c r="BI847" s="74"/>
    </row>
    <row r="848" spans="4:61" x14ac:dyDescent="0.3">
      <c r="D848" s="76"/>
      <c r="E848" s="76"/>
      <c r="F848" s="76" t="str">
        <f t="shared" si="62"/>
        <v/>
      </c>
      <c r="G848" s="183" t="str">
        <f>IF(F848 = "","",IFERROR(IF($G$1 = "YTM",_xll.CbondsCalcYTM($B$1,D848,F848),_xll.CbondsCalcYTP($B$1,D848,F848)),"")*100)</f>
        <v/>
      </c>
      <c r="U848" s="74"/>
      <c r="V848" s="74"/>
      <c r="W848" s="74"/>
      <c r="X848" s="74"/>
      <c r="Y848" s="74"/>
      <c r="Z848" s="74"/>
      <c r="AA848" s="74"/>
      <c r="AB848" s="74"/>
      <c r="AC848" s="74"/>
      <c r="AJ848" s="74"/>
      <c r="AK848" s="74"/>
      <c r="AL848" s="74"/>
      <c r="AM848" s="74"/>
      <c r="AN848" s="74"/>
      <c r="AO848" s="74"/>
      <c r="AP848" s="74"/>
      <c r="AQ848" s="74"/>
      <c r="AR848" s="74"/>
      <c r="AS848" s="74"/>
      <c r="BD848" s="74"/>
      <c r="BE848" s="74"/>
      <c r="BF848" s="74"/>
      <c r="BG848" s="74"/>
      <c r="BH848" s="74"/>
      <c r="BI848" s="74"/>
    </row>
    <row r="849" spans="4:61" x14ac:dyDescent="0.3">
      <c r="D849" s="76"/>
      <c r="E849" s="76"/>
      <c r="F849" s="76" t="str">
        <f t="shared" si="62"/>
        <v/>
      </c>
      <c r="G849" s="183" t="str">
        <f>IF(F849 = "","",IFERROR(IF($G$1 = "YTM",_xll.CbondsCalcYTM($B$1,D849,F849),_xll.CbondsCalcYTP($B$1,D849,F849)),"")*100)</f>
        <v/>
      </c>
      <c r="U849" s="74"/>
      <c r="V849" s="74"/>
      <c r="W849" s="74"/>
      <c r="X849" s="74"/>
      <c r="Y849" s="74"/>
      <c r="Z849" s="74"/>
      <c r="AA849" s="74"/>
      <c r="AB849" s="74"/>
      <c r="AC849" s="74"/>
      <c r="AJ849" s="74"/>
      <c r="AK849" s="74"/>
      <c r="AL849" s="74"/>
      <c r="AM849" s="74"/>
      <c r="AN849" s="74"/>
      <c r="AO849" s="74"/>
      <c r="AP849" s="74"/>
      <c r="AQ849" s="74"/>
      <c r="AR849" s="74"/>
      <c r="AS849" s="74"/>
      <c r="BD849" s="74"/>
      <c r="BE849" s="74"/>
      <c r="BF849" s="74"/>
      <c r="BG849" s="74"/>
      <c r="BH849" s="74"/>
      <c r="BI849" s="74"/>
    </row>
    <row r="850" spans="4:61" x14ac:dyDescent="0.3">
      <c r="D850" s="76"/>
      <c r="E850" s="76"/>
      <c r="F850" s="76" t="str">
        <f t="shared" si="62"/>
        <v/>
      </c>
      <c r="G850" s="183" t="str">
        <f>IF(F850 = "","",IFERROR(IF($G$1 = "YTM",_xll.CbondsCalcYTM($B$1,D850,F850),_xll.CbondsCalcYTP($B$1,D850,F850)),"")*100)</f>
        <v/>
      </c>
      <c r="U850" s="74"/>
      <c r="V850" s="74"/>
      <c r="W850" s="74"/>
      <c r="X850" s="74"/>
      <c r="Y850" s="74"/>
      <c r="Z850" s="74"/>
      <c r="AA850" s="74"/>
      <c r="AB850" s="74"/>
      <c r="AC850" s="74"/>
      <c r="AJ850" s="74"/>
      <c r="AK850" s="74"/>
      <c r="AL850" s="74"/>
      <c r="AM850" s="74"/>
      <c r="AN850" s="74"/>
      <c r="AO850" s="74"/>
      <c r="AP850" s="74"/>
      <c r="AQ850" s="74"/>
      <c r="AR850" s="74"/>
      <c r="AS850" s="74"/>
      <c r="BD850" s="74"/>
      <c r="BE850" s="74"/>
      <c r="BF850" s="74"/>
      <c r="BG850" s="74"/>
      <c r="BH850" s="74"/>
      <c r="BI850" s="74"/>
    </row>
    <row r="851" spans="4:61" x14ac:dyDescent="0.3">
      <c r="D851" s="76"/>
      <c r="E851" s="76"/>
      <c r="F851" s="76" t="str">
        <f t="shared" si="62"/>
        <v/>
      </c>
      <c r="G851" s="183" t="str">
        <f>IF(F851 = "","",IFERROR(IF($G$1 = "YTM",_xll.CbondsCalcYTM($B$1,D851,F851),_xll.CbondsCalcYTP($B$1,D851,F851)),"")*100)</f>
        <v/>
      </c>
      <c r="U851" s="74"/>
      <c r="V851" s="74"/>
      <c r="W851" s="74"/>
      <c r="X851" s="74"/>
      <c r="Y851" s="74"/>
      <c r="Z851" s="74"/>
      <c r="AA851" s="74"/>
      <c r="AB851" s="74"/>
      <c r="AC851" s="74"/>
      <c r="AJ851" s="74"/>
      <c r="AK851" s="74"/>
      <c r="AL851" s="74"/>
      <c r="AM851" s="74"/>
      <c r="AN851" s="74"/>
      <c r="AO851" s="74"/>
      <c r="AP851" s="74"/>
      <c r="AQ851" s="74"/>
      <c r="AR851" s="74"/>
      <c r="AS851" s="74"/>
      <c r="BD851" s="74"/>
      <c r="BE851" s="74"/>
      <c r="BF851" s="74"/>
      <c r="BG851" s="74"/>
      <c r="BH851" s="74"/>
      <c r="BI851" s="74"/>
    </row>
    <row r="852" spans="4:61" x14ac:dyDescent="0.3">
      <c r="D852" s="76"/>
      <c r="E852" s="76"/>
      <c r="F852" s="76" t="str">
        <f t="shared" si="62"/>
        <v/>
      </c>
      <c r="G852" s="183" t="str">
        <f>IF(F852 = "","",IFERROR(IF($G$1 = "YTM",_xll.CbondsCalcYTM($B$1,D852,F852),_xll.CbondsCalcYTP($B$1,D852,F852)),"")*100)</f>
        <v/>
      </c>
      <c r="U852" s="74"/>
      <c r="V852" s="74"/>
      <c r="W852" s="74"/>
      <c r="X852" s="74"/>
      <c r="Y852" s="74"/>
      <c r="Z852" s="74"/>
      <c r="AA852" s="74"/>
      <c r="AB852" s="74"/>
      <c r="AC852" s="74"/>
      <c r="AJ852" s="74"/>
      <c r="AK852" s="74"/>
      <c r="AL852" s="74"/>
      <c r="AM852" s="74"/>
      <c r="AN852" s="74"/>
      <c r="AO852" s="74"/>
      <c r="AP852" s="74"/>
      <c r="AQ852" s="74"/>
      <c r="AR852" s="74"/>
      <c r="AS852" s="74"/>
      <c r="BD852" s="74"/>
      <c r="BE852" s="74"/>
      <c r="BF852" s="74"/>
      <c r="BG852" s="74"/>
      <c r="BH852" s="74"/>
      <c r="BI852" s="74"/>
    </row>
    <row r="853" spans="4:61" x14ac:dyDescent="0.3">
      <c r="D853" s="76"/>
      <c r="E853" s="76"/>
      <c r="F853" s="76" t="str">
        <f t="shared" si="62"/>
        <v/>
      </c>
      <c r="G853" s="183" t="str">
        <f>IF(F853 = "","",IFERROR(IF($G$1 = "YTM",_xll.CbondsCalcYTM($B$1,D853,F853),_xll.CbondsCalcYTP($B$1,D853,F853)),"")*100)</f>
        <v/>
      </c>
      <c r="U853" s="74"/>
      <c r="V853" s="74"/>
      <c r="W853" s="74"/>
      <c r="X853" s="74"/>
      <c r="Y853" s="74"/>
      <c r="Z853" s="74"/>
      <c r="AA853" s="74"/>
      <c r="AB853" s="74"/>
      <c r="AC853" s="74"/>
      <c r="AJ853" s="74"/>
      <c r="AK853" s="74"/>
      <c r="AL853" s="74"/>
      <c r="AM853" s="74"/>
      <c r="AN853" s="74"/>
      <c r="AO853" s="74"/>
      <c r="AP853" s="74"/>
      <c r="AQ853" s="74"/>
      <c r="AR853" s="74"/>
      <c r="AS853" s="74"/>
      <c r="BD853" s="74"/>
      <c r="BE853" s="74"/>
      <c r="BF853" s="74"/>
      <c r="BG853" s="74"/>
      <c r="BH853" s="74"/>
      <c r="BI853" s="74"/>
    </row>
    <row r="854" spans="4:61" x14ac:dyDescent="0.3">
      <c r="D854" s="76"/>
      <c r="E854" s="76"/>
      <c r="F854" s="76" t="str">
        <f t="shared" si="62"/>
        <v/>
      </c>
      <c r="G854" s="183" t="str">
        <f>IF(F854 = "","",IFERROR(IF($G$1 = "YTM",_xll.CbondsCalcYTM($B$1,D854,F854),_xll.CbondsCalcYTP($B$1,D854,F854)),"")*100)</f>
        <v/>
      </c>
      <c r="U854" s="74"/>
      <c r="V854" s="74"/>
      <c r="W854" s="74"/>
      <c r="X854" s="74"/>
      <c r="Y854" s="74"/>
      <c r="Z854" s="74"/>
      <c r="AA854" s="74"/>
      <c r="AB854" s="74"/>
      <c r="AC854" s="74"/>
      <c r="AJ854" s="74"/>
      <c r="AK854" s="74"/>
      <c r="AL854" s="74"/>
      <c r="AM854" s="74"/>
      <c r="AN854" s="74"/>
      <c r="AO854" s="74"/>
      <c r="AP854" s="74"/>
      <c r="AQ854" s="74"/>
      <c r="AR854" s="74"/>
      <c r="AS854" s="74"/>
      <c r="BD854" s="74"/>
      <c r="BE854" s="74"/>
      <c r="BF854" s="74"/>
      <c r="BG854" s="74"/>
      <c r="BH854" s="74"/>
      <c r="BI854" s="74"/>
    </row>
    <row r="855" spans="4:61" x14ac:dyDescent="0.3">
      <c r="D855" s="76"/>
      <c r="E855" s="76"/>
      <c r="F855" s="76" t="str">
        <f t="shared" si="62"/>
        <v/>
      </c>
      <c r="G855" s="183" t="str">
        <f>IF(F855 = "","",IFERROR(IF($G$1 = "YTM",_xll.CbondsCalcYTM($B$1,D855,F855),_xll.CbondsCalcYTP($B$1,D855,F855)),"")*100)</f>
        <v/>
      </c>
      <c r="U855" s="74"/>
      <c r="V855" s="74"/>
      <c r="W855" s="74"/>
      <c r="X855" s="74"/>
      <c r="Y855" s="74"/>
      <c r="Z855" s="74"/>
      <c r="AA855" s="74"/>
      <c r="AB855" s="74"/>
      <c r="AC855" s="74"/>
      <c r="AJ855" s="74"/>
      <c r="AK855" s="74"/>
      <c r="AL855" s="74"/>
      <c r="AM855" s="74"/>
      <c r="AN855" s="74"/>
      <c r="AO855" s="74"/>
      <c r="AP855" s="74"/>
      <c r="AQ855" s="74"/>
      <c r="AR855" s="74"/>
      <c r="AS855" s="74"/>
      <c r="BD855" s="74"/>
      <c r="BE855" s="74"/>
      <c r="BF855" s="74"/>
      <c r="BG855" s="74"/>
      <c r="BH855" s="74"/>
      <c r="BI855" s="74"/>
    </row>
    <row r="856" spans="4:61" x14ac:dyDescent="0.3">
      <c r="D856" s="76"/>
      <c r="E856" s="76"/>
      <c r="F856" s="76" t="str">
        <f t="shared" si="62"/>
        <v/>
      </c>
      <c r="G856" s="183" t="str">
        <f>IF(F856 = "","",IFERROR(IF($G$1 = "YTM",_xll.CbondsCalcYTM($B$1,D856,F856),_xll.CbondsCalcYTP($B$1,D856,F856)),"")*100)</f>
        <v/>
      </c>
      <c r="U856" s="74"/>
      <c r="V856" s="74"/>
      <c r="W856" s="74"/>
      <c r="X856" s="74"/>
      <c r="Y856" s="74"/>
      <c r="Z856" s="74"/>
      <c r="AA856" s="74"/>
      <c r="AB856" s="74"/>
      <c r="AC856" s="74"/>
      <c r="AJ856" s="74"/>
      <c r="AK856" s="74"/>
      <c r="AL856" s="74"/>
      <c r="AM856" s="74"/>
      <c r="AN856" s="74"/>
      <c r="AO856" s="74"/>
      <c r="AP856" s="74"/>
      <c r="AQ856" s="74"/>
      <c r="AR856" s="74"/>
      <c r="AS856" s="74"/>
      <c r="BD856" s="74"/>
      <c r="BE856" s="74"/>
      <c r="BF856" s="74"/>
      <c r="BG856" s="74"/>
      <c r="BH856" s="74"/>
      <c r="BI856" s="74"/>
    </row>
    <row r="857" spans="4:61" x14ac:dyDescent="0.3">
      <c r="D857" s="76"/>
      <c r="E857" s="76"/>
      <c r="F857" s="76" t="str">
        <f t="shared" si="62"/>
        <v/>
      </c>
      <c r="G857" s="183" t="str">
        <f>IF(F857 = "","",IFERROR(IF($G$1 = "YTM",_xll.CbondsCalcYTM($B$1,D857,F857),_xll.CbondsCalcYTP($B$1,D857,F857)),"")*100)</f>
        <v/>
      </c>
      <c r="U857" s="74"/>
      <c r="V857" s="74"/>
      <c r="W857" s="74"/>
      <c r="X857" s="74"/>
      <c r="Y857" s="74"/>
      <c r="Z857" s="74"/>
      <c r="AA857" s="74"/>
      <c r="AB857" s="74"/>
      <c r="AC857" s="74"/>
      <c r="AJ857" s="74"/>
      <c r="AK857" s="74"/>
      <c r="AL857" s="74"/>
      <c r="AM857" s="74"/>
      <c r="AN857" s="74"/>
      <c r="AO857" s="74"/>
      <c r="AP857" s="74"/>
      <c r="AQ857" s="74"/>
      <c r="AR857" s="74"/>
      <c r="AS857" s="74"/>
      <c r="BD857" s="74"/>
      <c r="BE857" s="74"/>
      <c r="BF857" s="74"/>
      <c r="BG857" s="74"/>
      <c r="BH857" s="74"/>
      <c r="BI857" s="74"/>
    </row>
    <row r="858" spans="4:61" x14ac:dyDescent="0.3">
      <c r="D858" s="76"/>
      <c r="E858" s="76"/>
      <c r="F858" s="76" t="str">
        <f t="shared" si="62"/>
        <v/>
      </c>
      <c r="G858" s="183" t="str">
        <f>IF(F858 = "","",IFERROR(IF($G$1 = "YTM",_xll.CbondsCalcYTM($B$1,D858,F858),_xll.CbondsCalcYTP($B$1,D858,F858)),"")*100)</f>
        <v/>
      </c>
      <c r="U858" s="74"/>
      <c r="V858" s="74"/>
      <c r="W858" s="74"/>
      <c r="X858" s="74"/>
      <c r="Y858" s="74"/>
      <c r="Z858" s="74"/>
      <c r="AA858" s="74"/>
      <c r="AB858" s="74"/>
      <c r="AC858" s="74"/>
      <c r="AJ858" s="74"/>
      <c r="AK858" s="74"/>
      <c r="AL858" s="74"/>
      <c r="AM858" s="74"/>
      <c r="AN858" s="74"/>
      <c r="AO858" s="74"/>
      <c r="AP858" s="74"/>
      <c r="AQ858" s="74"/>
      <c r="AR858" s="74"/>
      <c r="AS858" s="74"/>
      <c r="BD858" s="74"/>
      <c r="BE858" s="74"/>
      <c r="BF858" s="74"/>
      <c r="BG858" s="74"/>
      <c r="BH858" s="74"/>
      <c r="BI858" s="74"/>
    </row>
    <row r="859" spans="4:61" x14ac:dyDescent="0.3">
      <c r="D859" s="76"/>
      <c r="E859" s="76"/>
      <c r="F859" s="76" t="str">
        <f t="shared" si="62"/>
        <v/>
      </c>
      <c r="G859" s="183" t="str">
        <f>IF(F859 = "","",IFERROR(IF($G$1 = "YTM",_xll.CbondsCalcYTM($B$1,D859,F859),_xll.CbondsCalcYTP($B$1,D859,F859)),"")*100)</f>
        <v/>
      </c>
      <c r="U859" s="74"/>
      <c r="V859" s="74"/>
      <c r="W859" s="74"/>
      <c r="X859" s="74"/>
      <c r="Y859" s="74"/>
      <c r="Z859" s="74"/>
      <c r="AA859" s="74"/>
      <c r="AB859" s="74"/>
      <c r="AC859" s="74"/>
      <c r="AJ859" s="74"/>
      <c r="AK859" s="74"/>
      <c r="AL859" s="74"/>
      <c r="AM859" s="74"/>
      <c r="AN859" s="74"/>
      <c r="AO859" s="74"/>
      <c r="AP859" s="74"/>
      <c r="AQ859" s="74"/>
      <c r="AR859" s="74"/>
      <c r="AS859" s="74"/>
      <c r="BD859" s="74"/>
      <c r="BE859" s="74"/>
      <c r="BF859" s="74"/>
      <c r="BG859" s="74"/>
      <c r="BH859" s="74"/>
      <c r="BI859" s="74"/>
    </row>
    <row r="860" spans="4:61" x14ac:dyDescent="0.3">
      <c r="D860" s="76"/>
      <c r="E860" s="76"/>
      <c r="F860" s="76" t="str">
        <f t="shared" si="62"/>
        <v/>
      </c>
      <c r="G860" s="183" t="str">
        <f>IF(F860 = "","",IFERROR(IF($G$1 = "YTM",_xll.CbondsCalcYTM($B$1,D860,F860),_xll.CbondsCalcYTP($B$1,D860,F860)),"")*100)</f>
        <v/>
      </c>
      <c r="U860" s="74"/>
      <c r="V860" s="74"/>
      <c r="W860" s="74"/>
      <c r="X860" s="74"/>
      <c r="Y860" s="74"/>
      <c r="Z860" s="74"/>
      <c r="AA860" s="74"/>
      <c r="AB860" s="74"/>
      <c r="AC860" s="74"/>
      <c r="AJ860" s="74"/>
      <c r="AK860" s="74"/>
      <c r="AL860" s="74"/>
      <c r="AM860" s="74"/>
      <c r="AN860" s="74"/>
      <c r="AO860" s="74"/>
      <c r="AP860" s="74"/>
      <c r="AQ860" s="74"/>
      <c r="AR860" s="74"/>
      <c r="AS860" s="74"/>
      <c r="BD860" s="74"/>
      <c r="BE860" s="74"/>
      <c r="BF860" s="74"/>
      <c r="BG860" s="74"/>
      <c r="BH860" s="74"/>
      <c r="BI860" s="74"/>
    </row>
    <row r="861" spans="4:61" x14ac:dyDescent="0.3">
      <c r="D861" s="76"/>
      <c r="E861" s="76"/>
      <c r="F861" s="76" t="str">
        <f t="shared" si="62"/>
        <v/>
      </c>
      <c r="G861" s="183" t="str">
        <f>IF(F861 = "","",IFERROR(IF($G$1 = "YTM",_xll.CbondsCalcYTM($B$1,D861,F861),_xll.CbondsCalcYTP($B$1,D861,F861)),"")*100)</f>
        <v/>
      </c>
      <c r="U861" s="74"/>
      <c r="V861" s="74"/>
      <c r="W861" s="74"/>
      <c r="X861" s="74"/>
      <c r="Y861" s="74"/>
      <c r="Z861" s="74"/>
      <c r="AA861" s="74"/>
      <c r="AB861" s="74"/>
      <c r="AC861" s="74"/>
      <c r="AJ861" s="74"/>
      <c r="AK861" s="74"/>
      <c r="AL861" s="74"/>
      <c r="AM861" s="74"/>
      <c r="AN861" s="74"/>
      <c r="AO861" s="74"/>
      <c r="AP861" s="74"/>
      <c r="AQ861" s="74"/>
      <c r="AR861" s="74"/>
      <c r="AS861" s="74"/>
      <c r="BD861" s="74"/>
      <c r="BE861" s="74"/>
      <c r="BF861" s="74"/>
      <c r="BG861" s="74"/>
      <c r="BH861" s="74"/>
      <c r="BI861" s="74"/>
    </row>
    <row r="862" spans="4:61" x14ac:dyDescent="0.3">
      <c r="D862" s="76"/>
      <c r="E862" s="76"/>
      <c r="F862" s="76" t="str">
        <f t="shared" si="62"/>
        <v/>
      </c>
      <c r="G862" s="183" t="str">
        <f>IF(F862 = "","",IFERROR(IF($G$1 = "YTM",_xll.CbondsCalcYTM($B$1,D862,F862),_xll.CbondsCalcYTP($B$1,D862,F862)),"")*100)</f>
        <v/>
      </c>
      <c r="U862" s="74"/>
      <c r="V862" s="74"/>
      <c r="W862" s="74"/>
      <c r="X862" s="74"/>
      <c r="Y862" s="74"/>
      <c r="Z862" s="74"/>
      <c r="AA862" s="74"/>
      <c r="AB862" s="74"/>
      <c r="AC862" s="74"/>
      <c r="AJ862" s="74"/>
      <c r="AK862" s="74"/>
      <c r="AL862" s="74"/>
      <c r="AM862" s="74"/>
      <c r="AN862" s="74"/>
      <c r="AO862" s="74"/>
      <c r="AP862" s="74"/>
      <c r="AQ862" s="74"/>
      <c r="AR862" s="74"/>
      <c r="AS862" s="74"/>
      <c r="BD862" s="74"/>
      <c r="BE862" s="74"/>
      <c r="BF862" s="74"/>
      <c r="BG862" s="74"/>
      <c r="BH862" s="74"/>
      <c r="BI862" s="74"/>
    </row>
    <row r="863" spans="4:61" x14ac:dyDescent="0.3">
      <c r="D863" s="76"/>
      <c r="E863" s="76"/>
      <c r="F863" s="76" t="str">
        <f t="shared" si="62"/>
        <v/>
      </c>
      <c r="G863" s="183" t="str">
        <f>IF(F863 = "","",IFERROR(IF($G$1 = "YTM",_xll.CbondsCalcYTM($B$1,D863,F863),_xll.CbondsCalcYTP($B$1,D863,F863)),"")*100)</f>
        <v/>
      </c>
      <c r="U863" s="74"/>
      <c r="V863" s="74"/>
      <c r="W863" s="74"/>
      <c r="X863" s="74"/>
      <c r="Y863" s="74"/>
      <c r="Z863" s="74"/>
      <c r="AA863" s="74"/>
      <c r="AB863" s="74"/>
      <c r="AC863" s="74"/>
      <c r="AJ863" s="74"/>
      <c r="AK863" s="74"/>
      <c r="AL863" s="74"/>
      <c r="AM863" s="74"/>
      <c r="AN863" s="74"/>
      <c r="AO863" s="74"/>
      <c r="AP863" s="74"/>
      <c r="AQ863" s="74"/>
      <c r="AR863" s="74"/>
      <c r="AS863" s="74"/>
      <c r="BD863" s="74"/>
      <c r="BE863" s="74"/>
      <c r="BF863" s="74"/>
      <c r="BG863" s="74"/>
      <c r="BH863" s="74"/>
      <c r="BI863" s="74"/>
    </row>
    <row r="864" spans="4:61" x14ac:dyDescent="0.3">
      <c r="D864" s="76"/>
      <c r="E864" s="76"/>
      <c r="F864" s="76" t="str">
        <f t="shared" si="62"/>
        <v/>
      </c>
      <c r="G864" s="183" t="str">
        <f>IF(F864 = "","",IFERROR(IF($G$1 = "YTM",_xll.CbondsCalcYTM($B$1,D864,F864),_xll.CbondsCalcYTP($B$1,D864,F864)),"")*100)</f>
        <v/>
      </c>
      <c r="U864" s="74"/>
      <c r="V864" s="74"/>
      <c r="W864" s="74"/>
      <c r="X864" s="74"/>
      <c r="Y864" s="74"/>
      <c r="Z864" s="74"/>
      <c r="AA864" s="74"/>
      <c r="AB864" s="74"/>
      <c r="AC864" s="74"/>
      <c r="AJ864" s="74"/>
      <c r="AK864" s="74"/>
      <c r="AL864" s="74"/>
      <c r="AM864" s="74"/>
      <c r="AN864" s="74"/>
      <c r="AO864" s="74"/>
      <c r="AP864" s="74"/>
      <c r="AQ864" s="74"/>
      <c r="AR864" s="74"/>
      <c r="AS864" s="74"/>
      <c r="BD864" s="74"/>
      <c r="BE864" s="74"/>
      <c r="BF864" s="74"/>
      <c r="BG864" s="74"/>
      <c r="BH864" s="74"/>
      <c r="BI864" s="74"/>
    </row>
    <row r="865" spans="4:61" x14ac:dyDescent="0.3">
      <c r="D865" s="76"/>
      <c r="E865" s="76"/>
      <c r="F865" s="76" t="str">
        <f t="shared" si="62"/>
        <v/>
      </c>
      <c r="G865" s="183" t="str">
        <f>IF(F865 = "","",IFERROR(IF($G$1 = "YTM",_xll.CbondsCalcYTM($B$1,D865,F865),_xll.CbondsCalcYTP($B$1,D865,F865)),"")*100)</f>
        <v/>
      </c>
      <c r="U865" s="74"/>
      <c r="V865" s="74"/>
      <c r="W865" s="74"/>
      <c r="X865" s="74"/>
      <c r="Y865" s="74"/>
      <c r="Z865" s="74"/>
      <c r="AA865" s="74"/>
      <c r="AB865" s="74"/>
      <c r="AC865" s="74"/>
      <c r="AJ865" s="74"/>
      <c r="AK865" s="74"/>
      <c r="AL865" s="74"/>
      <c r="AM865" s="74"/>
      <c r="AN865" s="74"/>
      <c r="AO865" s="74"/>
      <c r="AP865" s="74"/>
      <c r="AQ865" s="74"/>
      <c r="AR865" s="74"/>
      <c r="AS865" s="74"/>
      <c r="BD865" s="74"/>
      <c r="BE865" s="74"/>
      <c r="BF865" s="74"/>
      <c r="BG865" s="74"/>
      <c r="BH865" s="74"/>
      <c r="BI865" s="74"/>
    </row>
    <row r="866" spans="4:61" x14ac:dyDescent="0.3">
      <c r="D866" s="76"/>
      <c r="E866" s="76"/>
      <c r="F866" s="76" t="str">
        <f t="shared" si="62"/>
        <v/>
      </c>
      <c r="G866" s="183" t="str">
        <f>IF(F866 = "","",IFERROR(IF($G$1 = "YTM",_xll.CbondsCalcYTM($B$1,D866,F866),_xll.CbondsCalcYTP($B$1,D866,F866)),"")*100)</f>
        <v/>
      </c>
      <c r="U866" s="74"/>
      <c r="V866" s="74"/>
      <c r="W866" s="74"/>
      <c r="X866" s="74"/>
      <c r="Y866" s="74"/>
      <c r="Z866" s="74"/>
      <c r="AA866" s="74"/>
      <c r="AB866" s="74"/>
      <c r="AC866" s="74"/>
      <c r="AJ866" s="74"/>
      <c r="AK866" s="74"/>
      <c r="AL866" s="74"/>
      <c r="AM866" s="74"/>
      <c r="AN866" s="74"/>
      <c r="AO866" s="74"/>
      <c r="AP866" s="74"/>
      <c r="AQ866" s="74"/>
      <c r="AR866" s="74"/>
      <c r="AS866" s="74"/>
      <c r="BD866" s="74"/>
      <c r="BE866" s="74"/>
      <c r="BF866" s="74"/>
      <c r="BG866" s="74"/>
      <c r="BH866" s="74"/>
      <c r="BI866" s="74"/>
    </row>
    <row r="867" spans="4:61" x14ac:dyDescent="0.3">
      <c r="D867" s="76"/>
      <c r="E867" s="76"/>
      <c r="F867" s="76" t="str">
        <f t="shared" si="62"/>
        <v/>
      </c>
      <c r="G867" s="183" t="str">
        <f>IF(F867 = "","",IFERROR(IF($G$1 = "YTM",_xll.CbondsCalcYTM($B$1,D867,F867),_xll.CbondsCalcYTP($B$1,D867,F867)),"")*100)</f>
        <v/>
      </c>
      <c r="U867" s="74"/>
      <c r="V867" s="74"/>
      <c r="W867" s="74"/>
      <c r="X867" s="74"/>
      <c r="Y867" s="74"/>
      <c r="Z867" s="74"/>
      <c r="AA867" s="74"/>
      <c r="AB867" s="74"/>
      <c r="AC867" s="74"/>
      <c r="AJ867" s="74"/>
      <c r="AK867" s="74"/>
      <c r="AL867" s="74"/>
      <c r="AM867" s="74"/>
      <c r="AN867" s="74"/>
      <c r="AO867" s="74"/>
      <c r="AP867" s="74"/>
      <c r="AQ867" s="74"/>
      <c r="AR867" s="74"/>
      <c r="AS867" s="74"/>
      <c r="BD867" s="74"/>
      <c r="BE867" s="74"/>
      <c r="BF867" s="74"/>
      <c r="BG867" s="74"/>
      <c r="BH867" s="74"/>
      <c r="BI867" s="74"/>
    </row>
    <row r="868" spans="4:61" x14ac:dyDescent="0.3">
      <c r="D868" s="76"/>
      <c r="E868" s="76"/>
      <c r="F868" s="76" t="str">
        <f t="shared" si="62"/>
        <v/>
      </c>
      <c r="G868" s="183" t="str">
        <f>IF(F868 = "","",IFERROR(IF($G$1 = "YTM",_xll.CbondsCalcYTM($B$1,D868,F868),_xll.CbondsCalcYTP($B$1,D868,F868)),"")*100)</f>
        <v/>
      </c>
      <c r="U868" s="74"/>
      <c r="V868" s="74"/>
      <c r="W868" s="74"/>
      <c r="X868" s="74"/>
      <c r="Y868" s="74"/>
      <c r="Z868" s="74"/>
      <c r="AA868" s="74"/>
      <c r="AB868" s="74"/>
      <c r="AC868" s="74"/>
      <c r="AJ868" s="74"/>
      <c r="AK868" s="74"/>
      <c r="AL868" s="74"/>
      <c r="AM868" s="74"/>
      <c r="AN868" s="74"/>
      <c r="AO868" s="74"/>
      <c r="AP868" s="74"/>
      <c r="AQ868" s="74"/>
      <c r="AR868" s="74"/>
      <c r="AS868" s="74"/>
      <c r="BD868" s="74"/>
      <c r="BE868" s="74"/>
      <c r="BF868" s="74"/>
      <c r="BG868" s="74"/>
      <c r="BH868" s="74"/>
      <c r="BI868" s="74"/>
    </row>
    <row r="869" spans="4:61" x14ac:dyDescent="0.3">
      <c r="D869" s="76"/>
      <c r="E869" s="76"/>
      <c r="F869" s="76" t="str">
        <f t="shared" si="62"/>
        <v/>
      </c>
      <c r="G869" s="183" t="str">
        <f>IF(F869 = "","",IFERROR(IF($G$1 = "YTM",_xll.CbondsCalcYTM($B$1,D869,F869),_xll.CbondsCalcYTP($B$1,D869,F869)),"")*100)</f>
        <v/>
      </c>
      <c r="U869" s="74"/>
      <c r="V869" s="74"/>
      <c r="W869" s="74"/>
      <c r="X869" s="74"/>
      <c r="Y869" s="74"/>
      <c r="Z869" s="74"/>
      <c r="AA869" s="74"/>
      <c r="AB869" s="74"/>
      <c r="AC869" s="74"/>
      <c r="AJ869" s="74"/>
      <c r="AK869" s="74"/>
      <c r="AL869" s="74"/>
      <c r="AM869" s="74"/>
      <c r="AN869" s="74"/>
      <c r="AO869" s="74"/>
      <c r="AP869" s="74"/>
      <c r="AQ869" s="74"/>
      <c r="AR869" s="74"/>
      <c r="AS869" s="74"/>
      <c r="BD869" s="74"/>
      <c r="BE869" s="74"/>
      <c r="BF869" s="74"/>
      <c r="BG869" s="74"/>
      <c r="BH869" s="74"/>
      <c r="BI869" s="74"/>
    </row>
    <row r="870" spans="4:61" x14ac:dyDescent="0.3">
      <c r="D870" s="76"/>
      <c r="E870" s="76"/>
      <c r="F870" s="76" t="str">
        <f t="shared" si="62"/>
        <v/>
      </c>
      <c r="G870" s="183" t="str">
        <f>IF(F870 = "","",IFERROR(IF($G$1 = "YTM",_xll.CbondsCalcYTM($B$1,D870,F870),_xll.CbondsCalcYTP($B$1,D870,F870)),"")*100)</f>
        <v/>
      </c>
      <c r="U870" s="74"/>
      <c r="V870" s="74"/>
      <c r="W870" s="74"/>
      <c r="X870" s="74"/>
      <c r="Y870" s="74"/>
      <c r="Z870" s="74"/>
      <c r="AA870" s="74"/>
      <c r="AB870" s="74"/>
      <c r="AC870" s="74"/>
      <c r="AJ870" s="74"/>
      <c r="AK870" s="74"/>
      <c r="AL870" s="74"/>
      <c r="AM870" s="74"/>
      <c r="AN870" s="74"/>
      <c r="AO870" s="74"/>
      <c r="AP870" s="74"/>
      <c r="AQ870" s="74"/>
      <c r="AR870" s="74"/>
      <c r="AS870" s="74"/>
      <c r="BD870" s="74"/>
      <c r="BE870" s="74"/>
      <c r="BF870" s="74"/>
      <c r="BG870" s="74"/>
      <c r="BH870" s="74"/>
      <c r="BI870" s="74"/>
    </row>
    <row r="871" spans="4:61" x14ac:dyDescent="0.3">
      <c r="D871" s="76"/>
      <c r="E871" s="76"/>
      <c r="F871" s="76" t="str">
        <f t="shared" si="62"/>
        <v/>
      </c>
      <c r="G871" s="183" t="str">
        <f>IF(F871 = "","",IFERROR(IF($G$1 = "YTM",_xll.CbondsCalcYTM($B$1,D871,F871),_xll.CbondsCalcYTP($B$1,D871,F871)),"")*100)</f>
        <v/>
      </c>
      <c r="U871" s="74"/>
      <c r="V871" s="74"/>
      <c r="W871" s="74"/>
      <c r="X871" s="74"/>
      <c r="Y871" s="74"/>
      <c r="Z871" s="74"/>
      <c r="AA871" s="74"/>
      <c r="AB871" s="74"/>
      <c r="AC871" s="74"/>
      <c r="AJ871" s="74"/>
      <c r="AK871" s="74"/>
      <c r="AL871" s="74"/>
      <c r="AM871" s="74"/>
      <c r="AN871" s="74"/>
      <c r="AO871" s="74"/>
      <c r="AP871" s="74"/>
      <c r="AQ871" s="74"/>
      <c r="AR871" s="74"/>
      <c r="AS871" s="74"/>
      <c r="BD871" s="74"/>
      <c r="BE871" s="74"/>
      <c r="BF871" s="74"/>
      <c r="BG871" s="74"/>
      <c r="BH871" s="74"/>
      <c r="BI871" s="74"/>
    </row>
    <row r="872" spans="4:61" x14ac:dyDescent="0.3">
      <c r="D872" s="76"/>
      <c r="E872" s="76"/>
      <c r="F872" s="76" t="str">
        <f t="shared" si="62"/>
        <v/>
      </c>
      <c r="G872" s="183" t="str">
        <f>IF(F872 = "","",IFERROR(IF($G$1 = "YTM",_xll.CbondsCalcYTM($B$1,D872,F872),_xll.CbondsCalcYTP($B$1,D872,F872)),"")*100)</f>
        <v/>
      </c>
      <c r="U872" s="74"/>
      <c r="V872" s="74"/>
      <c r="W872" s="74"/>
      <c r="X872" s="74"/>
      <c r="Y872" s="74"/>
      <c r="Z872" s="74"/>
      <c r="AA872" s="74"/>
      <c r="AB872" s="74"/>
      <c r="AC872" s="74"/>
      <c r="AJ872" s="74"/>
      <c r="AK872" s="74"/>
      <c r="AL872" s="74"/>
      <c r="AM872" s="74"/>
      <c r="AN872" s="74"/>
      <c r="AO872" s="74"/>
      <c r="AP872" s="74"/>
      <c r="AQ872" s="74"/>
      <c r="AR872" s="74"/>
      <c r="AS872" s="74"/>
      <c r="BD872" s="74"/>
      <c r="BE872" s="74"/>
      <c r="BF872" s="74"/>
      <c r="BG872" s="74"/>
      <c r="BH872" s="74"/>
      <c r="BI872" s="74"/>
    </row>
    <row r="873" spans="4:61" x14ac:dyDescent="0.3">
      <c r="D873" s="76"/>
      <c r="E873" s="76"/>
      <c r="F873" s="76" t="str">
        <f t="shared" si="62"/>
        <v/>
      </c>
      <c r="G873" s="183" t="str">
        <f>IF(F873 = "","",IFERROR(IF($G$1 = "YTM",_xll.CbondsCalcYTM($B$1,D873,F873),_xll.CbondsCalcYTP($B$1,D873,F873)),"")*100)</f>
        <v/>
      </c>
      <c r="U873" s="74"/>
      <c r="V873" s="74"/>
      <c r="W873" s="74"/>
      <c r="X873" s="74"/>
      <c r="Y873" s="74"/>
      <c r="Z873" s="74"/>
      <c r="AA873" s="74"/>
      <c r="AB873" s="74"/>
      <c r="AC873" s="74"/>
      <c r="AJ873" s="74"/>
      <c r="AK873" s="74"/>
      <c r="AL873" s="74"/>
      <c r="AM873" s="74"/>
      <c r="AN873" s="74"/>
      <c r="AO873" s="74"/>
      <c r="AP873" s="74"/>
      <c r="AQ873" s="74"/>
      <c r="AR873" s="74"/>
      <c r="AS873" s="74"/>
      <c r="BD873" s="74"/>
      <c r="BE873" s="74"/>
      <c r="BF873" s="74"/>
      <c r="BG873" s="74"/>
      <c r="BH873" s="74"/>
      <c r="BI873" s="74"/>
    </row>
    <row r="874" spans="4:61" x14ac:dyDescent="0.3">
      <c r="D874" s="76"/>
      <c r="E874" s="76"/>
      <c r="F874" s="76" t="str">
        <f t="shared" si="62"/>
        <v/>
      </c>
      <c r="G874" s="183" t="str">
        <f>IF(F874 = "","",IFERROR(IF($G$1 = "YTM",_xll.CbondsCalcYTM($B$1,D874,F874),_xll.CbondsCalcYTP($B$1,D874,F874)),"")*100)</f>
        <v/>
      </c>
      <c r="U874" s="74"/>
      <c r="V874" s="74"/>
      <c r="W874" s="74"/>
      <c r="X874" s="74"/>
      <c r="Y874" s="74"/>
      <c r="Z874" s="74"/>
      <c r="AA874" s="74"/>
      <c r="AB874" s="74"/>
      <c r="AC874" s="74"/>
      <c r="AJ874" s="74"/>
      <c r="AK874" s="74"/>
      <c r="AL874" s="74"/>
      <c r="AM874" s="74"/>
      <c r="AN874" s="74"/>
      <c r="AO874" s="74"/>
      <c r="AP874" s="74"/>
      <c r="AQ874" s="74"/>
      <c r="AR874" s="74"/>
      <c r="AS874" s="74"/>
      <c r="BD874" s="74"/>
      <c r="BE874" s="74"/>
      <c r="BF874" s="74"/>
      <c r="BG874" s="74"/>
      <c r="BH874" s="74"/>
      <c r="BI874" s="74"/>
    </row>
    <row r="875" spans="4:61" x14ac:dyDescent="0.3">
      <c r="D875" s="76"/>
      <c r="E875" s="76"/>
      <c r="F875" s="76" t="str">
        <f t="shared" si="62"/>
        <v/>
      </c>
      <c r="G875" s="183" t="str">
        <f>IF(F875 = "","",IFERROR(IF($G$1 = "YTM",_xll.CbondsCalcYTM($B$1,D875,F875),_xll.CbondsCalcYTP($B$1,D875,F875)),"")*100)</f>
        <v/>
      </c>
      <c r="U875" s="74"/>
      <c r="V875" s="74"/>
      <c r="W875" s="74"/>
      <c r="X875" s="74"/>
      <c r="Y875" s="74"/>
      <c r="Z875" s="74"/>
      <c r="AA875" s="74"/>
      <c r="AB875" s="74"/>
      <c r="AC875" s="74"/>
      <c r="AJ875" s="74"/>
      <c r="AK875" s="74"/>
      <c r="AL875" s="74"/>
      <c r="AM875" s="74"/>
      <c r="AN875" s="74"/>
      <c r="AO875" s="74"/>
      <c r="AP875" s="74"/>
      <c r="AQ875" s="74"/>
      <c r="AR875" s="74"/>
      <c r="AS875" s="74"/>
      <c r="BD875" s="74"/>
      <c r="BE875" s="74"/>
      <c r="BF875" s="74"/>
      <c r="BG875" s="74"/>
      <c r="BH875" s="74"/>
      <c r="BI875" s="74"/>
    </row>
    <row r="876" spans="4:61" x14ac:dyDescent="0.3">
      <c r="D876" s="76"/>
      <c r="E876" s="76"/>
      <c r="F876" s="76" t="str">
        <f t="shared" si="62"/>
        <v/>
      </c>
      <c r="G876" s="183" t="str">
        <f>IF(F876 = "","",IFERROR(IF($G$1 = "YTM",_xll.CbondsCalcYTM($B$1,D876,F876),_xll.CbondsCalcYTP($B$1,D876,F876)),"")*100)</f>
        <v/>
      </c>
      <c r="U876" s="74"/>
      <c r="V876" s="74"/>
      <c r="W876" s="74"/>
      <c r="X876" s="74"/>
      <c r="Y876" s="74"/>
      <c r="Z876" s="74"/>
      <c r="AA876" s="74"/>
      <c r="AB876" s="74"/>
      <c r="AC876" s="74"/>
      <c r="AJ876" s="74"/>
      <c r="AK876" s="74"/>
      <c r="AL876" s="74"/>
      <c r="AM876" s="74"/>
      <c r="AN876" s="74"/>
      <c r="AO876" s="74"/>
      <c r="AP876" s="74"/>
      <c r="AQ876" s="74"/>
      <c r="AR876" s="74"/>
      <c r="AS876" s="74"/>
      <c r="BD876" s="74"/>
      <c r="BE876" s="74"/>
      <c r="BF876" s="74"/>
      <c r="BG876" s="74"/>
      <c r="BH876" s="74"/>
      <c r="BI876" s="74"/>
    </row>
    <row r="877" spans="4:61" x14ac:dyDescent="0.3">
      <c r="D877" s="76"/>
      <c r="E877" s="76"/>
      <c r="F877" s="76" t="str">
        <f t="shared" si="62"/>
        <v/>
      </c>
      <c r="G877" s="183" t="str">
        <f>IF(F877 = "","",IFERROR(IF($G$1 = "YTM",_xll.CbondsCalcYTM($B$1,D877,F877),_xll.CbondsCalcYTP($B$1,D877,F877)),"")*100)</f>
        <v/>
      </c>
      <c r="U877" s="74"/>
      <c r="V877" s="74"/>
      <c r="W877" s="74"/>
      <c r="X877" s="74"/>
      <c r="Y877" s="74"/>
      <c r="Z877" s="74"/>
      <c r="AA877" s="74"/>
      <c r="AB877" s="74"/>
      <c r="AC877" s="74"/>
      <c r="AJ877" s="74"/>
      <c r="AK877" s="74"/>
      <c r="AL877" s="74"/>
      <c r="AM877" s="74"/>
      <c r="AN877" s="74"/>
      <c r="AO877" s="74"/>
      <c r="AP877" s="74"/>
      <c r="AQ877" s="74"/>
      <c r="AR877" s="74"/>
      <c r="AS877" s="74"/>
      <c r="BD877" s="74"/>
      <c r="BE877" s="74"/>
      <c r="BF877" s="74"/>
      <c r="BG877" s="74"/>
      <c r="BH877" s="74"/>
      <c r="BI877" s="74"/>
    </row>
    <row r="878" spans="4:61" x14ac:dyDescent="0.3">
      <c r="D878" s="76"/>
      <c r="E878" s="76"/>
      <c r="F878" s="76" t="str">
        <f t="shared" si="62"/>
        <v/>
      </c>
      <c r="G878" s="183" t="str">
        <f>IF(F878 = "","",IFERROR(IF($G$1 = "YTM",_xll.CbondsCalcYTM($B$1,D878,F878),_xll.CbondsCalcYTP($B$1,D878,F878)),"")*100)</f>
        <v/>
      </c>
      <c r="U878" s="74"/>
      <c r="V878" s="74"/>
      <c r="W878" s="74"/>
      <c r="X878" s="74"/>
      <c r="Y878" s="74"/>
      <c r="Z878" s="74"/>
      <c r="AA878" s="74"/>
      <c r="AB878" s="74"/>
      <c r="AC878" s="74"/>
      <c r="AJ878" s="74"/>
      <c r="AK878" s="74"/>
      <c r="AL878" s="74"/>
      <c r="AM878" s="74"/>
      <c r="AN878" s="74"/>
      <c r="AO878" s="74"/>
      <c r="AP878" s="74"/>
      <c r="AQ878" s="74"/>
      <c r="AR878" s="74"/>
      <c r="AS878" s="74"/>
      <c r="BD878" s="74"/>
      <c r="BE878" s="74"/>
      <c r="BF878" s="74"/>
      <c r="BG878" s="74"/>
      <c r="BH878" s="74"/>
      <c r="BI878" s="74"/>
    </row>
    <row r="879" spans="4:61" x14ac:dyDescent="0.3">
      <c r="D879" s="76"/>
      <c r="E879" s="76"/>
      <c r="F879" s="76" t="str">
        <f t="shared" si="62"/>
        <v/>
      </c>
      <c r="G879" s="183" t="str">
        <f>IF(F879 = "","",IFERROR(IF($G$1 = "YTM",_xll.CbondsCalcYTM($B$1,D879,F879),_xll.CbondsCalcYTP($B$1,D879,F879)),"")*100)</f>
        <v/>
      </c>
      <c r="U879" s="74"/>
      <c r="V879" s="74"/>
      <c r="W879" s="74"/>
      <c r="X879" s="74"/>
      <c r="Y879" s="74"/>
      <c r="Z879" s="74"/>
      <c r="AA879" s="74"/>
      <c r="AB879" s="74"/>
      <c r="AC879" s="74"/>
      <c r="AJ879" s="74"/>
      <c r="AK879" s="74"/>
      <c r="AL879" s="74"/>
      <c r="AM879" s="74"/>
      <c r="AN879" s="74"/>
      <c r="AO879" s="74"/>
      <c r="AP879" s="74"/>
      <c r="AQ879" s="74"/>
      <c r="AR879" s="74"/>
      <c r="AS879" s="74"/>
      <c r="BD879" s="74"/>
      <c r="BE879" s="74"/>
      <c r="BF879" s="74"/>
      <c r="BG879" s="74"/>
      <c r="BH879" s="74"/>
      <c r="BI879" s="74"/>
    </row>
    <row r="880" spans="4:61" x14ac:dyDescent="0.3">
      <c r="D880" s="76"/>
      <c r="E880" s="76"/>
      <c r="F880" s="76" t="str">
        <f t="shared" si="62"/>
        <v/>
      </c>
      <c r="G880" s="183" t="str">
        <f>IF(F880 = "","",IFERROR(IF($G$1 = "YTM",_xll.CbondsCalcYTM($B$1,D880,F880),_xll.CbondsCalcYTP($B$1,D880,F880)),"")*100)</f>
        <v/>
      </c>
      <c r="U880" s="74"/>
      <c r="V880" s="74"/>
      <c r="W880" s="74"/>
      <c r="X880" s="74"/>
      <c r="Y880" s="74"/>
      <c r="Z880" s="74"/>
      <c r="AA880" s="74"/>
      <c r="AB880" s="74"/>
      <c r="AC880" s="74"/>
      <c r="AJ880" s="74"/>
      <c r="AK880" s="74"/>
      <c r="AL880" s="74"/>
      <c r="AM880" s="74"/>
      <c r="AN880" s="74"/>
      <c r="AO880" s="74"/>
      <c r="AP880" s="74"/>
      <c r="AQ880" s="74"/>
      <c r="AR880" s="74"/>
      <c r="AS880" s="74"/>
      <c r="BD880" s="74"/>
      <c r="BE880" s="74"/>
      <c r="BF880" s="74"/>
      <c r="BG880" s="74"/>
      <c r="BH880" s="74"/>
      <c r="BI880" s="74"/>
    </row>
    <row r="881" spans="4:61" x14ac:dyDescent="0.3">
      <c r="D881" s="76"/>
      <c r="E881" s="76"/>
      <c r="F881" s="76" t="str">
        <f t="shared" si="62"/>
        <v/>
      </c>
      <c r="G881" s="183" t="str">
        <f>IF(F881 = "","",IFERROR(IF($G$1 = "YTM",_xll.CbondsCalcYTM($B$1,D881,F881),_xll.CbondsCalcYTP($B$1,D881,F881)),"")*100)</f>
        <v/>
      </c>
      <c r="U881" s="74"/>
      <c r="V881" s="74"/>
      <c r="W881" s="74"/>
      <c r="X881" s="74"/>
      <c r="Y881" s="74"/>
      <c r="Z881" s="74"/>
      <c r="AA881" s="74"/>
      <c r="AB881" s="74"/>
      <c r="AC881" s="74"/>
      <c r="AJ881" s="74"/>
      <c r="AK881" s="74"/>
      <c r="AL881" s="74"/>
      <c r="AM881" s="74"/>
      <c r="AN881" s="74"/>
      <c r="AO881" s="74"/>
      <c r="AP881" s="74"/>
      <c r="AQ881" s="74"/>
      <c r="AR881" s="74"/>
      <c r="AS881" s="74"/>
      <c r="BD881" s="74"/>
      <c r="BE881" s="74"/>
      <c r="BF881" s="74"/>
      <c r="BG881" s="74"/>
      <c r="BH881" s="74"/>
      <c r="BI881" s="74"/>
    </row>
    <row r="882" spans="4:61" x14ac:dyDescent="0.3">
      <c r="D882" s="76"/>
      <c r="E882" s="76"/>
      <c r="F882" s="76" t="str">
        <f t="shared" si="62"/>
        <v/>
      </c>
      <c r="G882" s="183" t="str">
        <f>IF(F882 = "","",IFERROR(IF($G$1 = "YTM",_xll.CbondsCalcYTM($B$1,D882,F882),_xll.CbondsCalcYTP($B$1,D882,F882)),"")*100)</f>
        <v/>
      </c>
      <c r="U882" s="74"/>
      <c r="V882" s="74"/>
      <c r="W882" s="74"/>
      <c r="X882" s="74"/>
      <c r="Y882" s="74"/>
      <c r="Z882" s="74"/>
      <c r="AA882" s="74"/>
      <c r="AB882" s="74"/>
      <c r="AC882" s="74"/>
      <c r="AJ882" s="74"/>
      <c r="AK882" s="74"/>
      <c r="AL882" s="74"/>
      <c r="AM882" s="74"/>
      <c r="AN882" s="74"/>
      <c r="AO882" s="74"/>
      <c r="AP882" s="74"/>
      <c r="AQ882" s="74"/>
      <c r="AR882" s="74"/>
      <c r="AS882" s="74"/>
      <c r="BD882" s="74"/>
      <c r="BE882" s="74"/>
      <c r="BF882" s="74"/>
      <c r="BG882" s="74"/>
      <c r="BH882" s="74"/>
      <c r="BI882" s="74"/>
    </row>
    <row r="883" spans="4:61" x14ac:dyDescent="0.3">
      <c r="D883" s="76"/>
      <c r="E883" s="76"/>
      <c r="F883" s="76" t="str">
        <f t="shared" si="62"/>
        <v/>
      </c>
      <c r="G883" s="183" t="str">
        <f>IF(F883 = "","",IFERROR(IF($G$1 = "YTM",_xll.CbondsCalcYTM($B$1,D883,F883),_xll.CbondsCalcYTP($B$1,D883,F883)),"")*100)</f>
        <v/>
      </c>
      <c r="U883" s="74"/>
      <c r="V883" s="74"/>
      <c r="W883" s="74"/>
      <c r="X883" s="74"/>
      <c r="Y883" s="74"/>
      <c r="Z883" s="74"/>
      <c r="AA883" s="74"/>
      <c r="AB883" s="74"/>
      <c r="AC883" s="74"/>
      <c r="AJ883" s="74"/>
      <c r="AK883" s="74"/>
      <c r="AL883" s="74"/>
      <c r="AM883" s="74"/>
      <c r="AN883" s="74"/>
      <c r="AO883" s="74"/>
      <c r="AP883" s="74"/>
      <c r="AQ883" s="74"/>
      <c r="AR883" s="74"/>
      <c r="AS883" s="74"/>
      <c r="BD883" s="74"/>
      <c r="BE883" s="74"/>
      <c r="BF883" s="74"/>
      <c r="BG883" s="74"/>
      <c r="BH883" s="74"/>
      <c r="BI883" s="74"/>
    </row>
    <row r="884" spans="4:61" x14ac:dyDescent="0.3">
      <c r="D884" s="76"/>
      <c r="E884" s="76"/>
      <c r="F884" s="76" t="str">
        <f t="shared" si="62"/>
        <v/>
      </c>
      <c r="G884" s="183" t="str">
        <f>IF(F884 = "","",IFERROR(IF($G$1 = "YTM",_xll.CbondsCalcYTM($B$1,D884,F884),_xll.CbondsCalcYTP($B$1,D884,F884)),"")*100)</f>
        <v/>
      </c>
      <c r="U884" s="74"/>
      <c r="V884" s="74"/>
      <c r="W884" s="74"/>
      <c r="X884" s="74"/>
      <c r="Y884" s="74"/>
      <c r="Z884" s="74"/>
      <c r="AA884" s="74"/>
      <c r="AB884" s="74"/>
      <c r="AC884" s="74"/>
      <c r="AJ884" s="74"/>
      <c r="AK884" s="74"/>
      <c r="AL884" s="74"/>
      <c r="AM884" s="74"/>
      <c r="AN884" s="74"/>
      <c r="AO884" s="74"/>
      <c r="AP884" s="74"/>
      <c r="AQ884" s="74"/>
      <c r="AR884" s="74"/>
      <c r="AS884" s="74"/>
      <c r="BD884" s="74"/>
      <c r="BE884" s="74"/>
      <c r="BF884" s="74"/>
      <c r="BG884" s="74"/>
      <c r="BH884" s="74"/>
      <c r="BI884" s="74"/>
    </row>
    <row r="885" spans="4:61" x14ac:dyDescent="0.3">
      <c r="D885" s="76"/>
      <c r="E885" s="76"/>
      <c r="F885" s="76" t="str">
        <f t="shared" si="62"/>
        <v/>
      </c>
      <c r="G885" s="183" t="str">
        <f>IF(F885 = "","",IFERROR(IF($G$1 = "YTM",_xll.CbondsCalcYTM($B$1,D885,F885),_xll.CbondsCalcYTP($B$1,D885,F885)),"")*100)</f>
        <v/>
      </c>
      <c r="U885" s="74"/>
      <c r="V885" s="74"/>
      <c r="W885" s="74"/>
      <c r="X885" s="74"/>
      <c r="Y885" s="74"/>
      <c r="Z885" s="74"/>
      <c r="AA885" s="74"/>
      <c r="AB885" s="74"/>
      <c r="AC885" s="74"/>
      <c r="AJ885" s="74"/>
      <c r="AK885" s="74"/>
      <c r="AL885" s="74"/>
      <c r="AM885" s="74"/>
      <c r="AN885" s="74"/>
      <c r="AO885" s="74"/>
      <c r="AP885" s="74"/>
      <c r="AQ885" s="74"/>
      <c r="AR885" s="74"/>
      <c r="AS885" s="74"/>
      <c r="BD885" s="74"/>
      <c r="BE885" s="74"/>
      <c r="BF885" s="74"/>
      <c r="BG885" s="74"/>
      <c r="BH885" s="74"/>
      <c r="BI885" s="74"/>
    </row>
    <row r="886" spans="4:61" x14ac:dyDescent="0.3">
      <c r="D886" s="76"/>
      <c r="E886" s="76"/>
      <c r="F886" s="76" t="str">
        <f t="shared" si="62"/>
        <v/>
      </c>
      <c r="G886" s="183" t="str">
        <f>IF(F886 = "","",IFERROR(IF($G$1 = "YTM",_xll.CbondsCalcYTM($B$1,D886,F886),_xll.CbondsCalcYTP($B$1,D886,F886)),"")*100)</f>
        <v/>
      </c>
      <c r="U886" s="74"/>
      <c r="V886" s="74"/>
      <c r="W886" s="74"/>
      <c r="X886" s="74"/>
      <c r="Y886" s="74"/>
      <c r="Z886" s="74"/>
      <c r="AA886" s="74"/>
      <c r="AB886" s="74"/>
      <c r="AC886" s="74"/>
      <c r="AJ886" s="74"/>
      <c r="AK886" s="74"/>
      <c r="AL886" s="74"/>
      <c r="AM886" s="74"/>
      <c r="AN886" s="74"/>
      <c r="AO886" s="74"/>
      <c r="AP886" s="74"/>
      <c r="AQ886" s="74"/>
      <c r="AR886" s="74"/>
      <c r="AS886" s="74"/>
      <c r="BD886" s="74"/>
      <c r="BE886" s="74"/>
      <c r="BF886" s="74"/>
      <c r="BG886" s="74"/>
      <c r="BH886" s="74"/>
      <c r="BI886" s="74"/>
    </row>
    <row r="887" spans="4:61" x14ac:dyDescent="0.3">
      <c r="D887" s="76"/>
      <c r="E887" s="76"/>
      <c r="F887" s="76" t="str">
        <f t="shared" si="62"/>
        <v/>
      </c>
      <c r="G887" s="183" t="str">
        <f>IF(F887 = "","",IFERROR(IF($G$1 = "YTM",_xll.CbondsCalcYTM($B$1,D887,F887),_xll.CbondsCalcYTP($B$1,D887,F887)),"")*100)</f>
        <v/>
      </c>
      <c r="U887" s="74"/>
      <c r="V887" s="74"/>
      <c r="W887" s="74"/>
      <c r="X887" s="74"/>
      <c r="Y887" s="74"/>
      <c r="Z887" s="74"/>
      <c r="AA887" s="74"/>
      <c r="AB887" s="74"/>
      <c r="AC887" s="74"/>
      <c r="AJ887" s="74"/>
      <c r="AK887" s="74"/>
      <c r="AL887" s="74"/>
      <c r="AM887" s="74"/>
      <c r="AN887" s="74"/>
      <c r="AO887" s="74"/>
      <c r="AP887" s="74"/>
      <c r="AQ887" s="74"/>
      <c r="AR887" s="74"/>
      <c r="AS887" s="74"/>
      <c r="BD887" s="74"/>
      <c r="BE887" s="74"/>
      <c r="BF887" s="74"/>
      <c r="BG887" s="74"/>
      <c r="BH887" s="74"/>
      <c r="BI887" s="74"/>
    </row>
    <row r="888" spans="4:61" x14ac:dyDescent="0.3">
      <c r="D888" s="76"/>
      <c r="E888" s="76"/>
      <c r="F888" s="76" t="str">
        <f t="shared" si="62"/>
        <v/>
      </c>
      <c r="G888" s="183" t="str">
        <f>IF(F888 = "","",IFERROR(IF($G$1 = "YTM",_xll.CbondsCalcYTM($B$1,D888,F888),_xll.CbondsCalcYTP($B$1,D888,F888)),"")*100)</f>
        <v/>
      </c>
      <c r="U888" s="74"/>
      <c r="V888" s="74"/>
      <c r="W888" s="74"/>
      <c r="X888" s="74"/>
      <c r="Y888" s="74"/>
      <c r="Z888" s="74"/>
      <c r="AA888" s="74"/>
      <c r="AB888" s="74"/>
      <c r="AC888" s="74"/>
      <c r="AJ888" s="74"/>
      <c r="AK888" s="74"/>
      <c r="AL888" s="74"/>
      <c r="AM888" s="74"/>
      <c r="AN888" s="74"/>
      <c r="AO888" s="74"/>
      <c r="AP888" s="74"/>
      <c r="AQ888" s="74"/>
      <c r="AR888" s="74"/>
      <c r="AS888" s="74"/>
      <c r="BD888" s="74"/>
      <c r="BE888" s="74"/>
      <c r="BF888" s="74"/>
      <c r="BG888" s="74"/>
      <c r="BH888" s="74"/>
      <c r="BI888" s="74"/>
    </row>
    <row r="889" spans="4:61" x14ac:dyDescent="0.3">
      <c r="D889" s="76"/>
      <c r="E889" s="76"/>
      <c r="F889" s="76" t="str">
        <f t="shared" si="62"/>
        <v/>
      </c>
      <c r="G889" s="183" t="str">
        <f>IF(F889 = "","",IFERROR(IF($G$1 = "YTM",_xll.CbondsCalcYTM($B$1,D889,F889),_xll.CbondsCalcYTP($B$1,D889,F889)),"")*100)</f>
        <v/>
      </c>
      <c r="U889" s="74"/>
      <c r="V889" s="74"/>
      <c r="W889" s="74"/>
      <c r="X889" s="74"/>
      <c r="Y889" s="74"/>
      <c r="Z889" s="74"/>
      <c r="AA889" s="74"/>
      <c r="AB889" s="74"/>
      <c r="AC889" s="74"/>
      <c r="AJ889" s="74"/>
      <c r="AK889" s="74"/>
      <c r="AL889" s="74"/>
      <c r="AM889" s="74"/>
      <c r="AN889" s="74"/>
      <c r="AO889" s="74"/>
      <c r="AP889" s="74"/>
      <c r="AQ889" s="74"/>
      <c r="AR889" s="74"/>
      <c r="AS889" s="74"/>
      <c r="BD889" s="74"/>
      <c r="BE889" s="74"/>
      <c r="BF889" s="74"/>
      <c r="BG889" s="74"/>
      <c r="BH889" s="74"/>
      <c r="BI889" s="74"/>
    </row>
    <row r="890" spans="4:61" x14ac:dyDescent="0.3">
      <c r="D890" s="76"/>
      <c r="E890" s="76"/>
      <c r="F890" s="76" t="str">
        <f t="shared" si="62"/>
        <v/>
      </c>
      <c r="G890" s="183" t="str">
        <f>IF(F890 = "","",IFERROR(IF($G$1 = "YTM",_xll.CbondsCalcYTM($B$1,D890,F890),_xll.CbondsCalcYTP($B$1,D890,F890)),"")*100)</f>
        <v/>
      </c>
      <c r="U890" s="74"/>
      <c r="V890" s="74"/>
      <c r="W890" s="74"/>
      <c r="X890" s="74"/>
      <c r="Y890" s="74"/>
      <c r="Z890" s="74"/>
      <c r="AA890" s="74"/>
      <c r="AB890" s="74"/>
      <c r="AC890" s="74"/>
      <c r="AJ890" s="74"/>
      <c r="AK890" s="74"/>
      <c r="AL890" s="74"/>
      <c r="AM890" s="74"/>
      <c r="AN890" s="74"/>
      <c r="AO890" s="74"/>
      <c r="AP890" s="74"/>
      <c r="AQ890" s="74"/>
      <c r="AR890" s="74"/>
      <c r="AS890" s="74"/>
      <c r="BD890" s="74"/>
      <c r="BE890" s="74"/>
      <c r="BF890" s="74"/>
      <c r="BG890" s="74"/>
      <c r="BH890" s="74"/>
      <c r="BI890" s="74"/>
    </row>
    <row r="891" spans="4:61" x14ac:dyDescent="0.3">
      <c r="D891" s="76"/>
      <c r="E891" s="76"/>
      <c r="F891" s="76" t="str">
        <f t="shared" si="62"/>
        <v/>
      </c>
      <c r="G891" s="183" t="str">
        <f>IF(F891 = "","",IFERROR(IF($G$1 = "YTM",_xll.CbondsCalcYTM($B$1,D891,F891),_xll.CbondsCalcYTP($B$1,D891,F891)),"")*100)</f>
        <v/>
      </c>
      <c r="U891" s="74"/>
      <c r="V891" s="74"/>
      <c r="W891" s="74"/>
      <c r="X891" s="74"/>
      <c r="Y891" s="74"/>
      <c r="Z891" s="74"/>
      <c r="AA891" s="74"/>
      <c r="AB891" s="74"/>
      <c r="AC891" s="74"/>
      <c r="AJ891" s="74"/>
      <c r="AK891" s="74"/>
      <c r="AL891" s="74"/>
      <c r="AM891" s="74"/>
      <c r="AN891" s="74"/>
      <c r="AO891" s="74"/>
      <c r="AP891" s="74"/>
      <c r="AQ891" s="74"/>
      <c r="AR891" s="74"/>
      <c r="AS891" s="74"/>
      <c r="BD891" s="74"/>
      <c r="BE891" s="74"/>
      <c r="BF891" s="74"/>
      <c r="BG891" s="74"/>
      <c r="BH891" s="74"/>
      <c r="BI891" s="74"/>
    </row>
    <row r="892" spans="4:61" x14ac:dyDescent="0.3">
      <c r="D892" s="76"/>
      <c r="E892" s="76"/>
      <c r="F892" s="76" t="str">
        <f t="shared" si="62"/>
        <v/>
      </c>
      <c r="G892" s="183" t="str">
        <f>IF(F892 = "","",IFERROR(IF($G$1 = "YTM",_xll.CbondsCalcYTM($B$1,D892,F892),_xll.CbondsCalcYTP($B$1,D892,F892)),"")*100)</f>
        <v/>
      </c>
      <c r="U892" s="74"/>
      <c r="V892" s="74"/>
      <c r="W892" s="74"/>
      <c r="X892" s="74"/>
      <c r="Y892" s="74"/>
      <c r="Z892" s="74"/>
      <c r="AA892" s="74"/>
      <c r="AB892" s="74"/>
      <c r="AC892" s="74"/>
      <c r="AJ892" s="74"/>
      <c r="AK892" s="74"/>
      <c r="AL892" s="74"/>
      <c r="AM892" s="74"/>
      <c r="AN892" s="74"/>
      <c r="AO892" s="74"/>
      <c r="AP892" s="74"/>
      <c r="AQ892" s="74"/>
      <c r="AR892" s="74"/>
      <c r="AS892" s="74"/>
      <c r="BD892" s="74"/>
      <c r="BE892" s="74"/>
      <c r="BF892" s="74"/>
      <c r="BG892" s="74"/>
      <c r="BH892" s="74"/>
      <c r="BI892" s="74"/>
    </row>
    <row r="893" spans="4:61" x14ac:dyDescent="0.3">
      <c r="D893" s="76"/>
      <c r="E893" s="76"/>
      <c r="F893" s="76" t="str">
        <f t="shared" si="62"/>
        <v/>
      </c>
      <c r="G893" s="183" t="str">
        <f>IF(F893 = "","",IFERROR(IF($G$1 = "YTM",_xll.CbondsCalcYTM($B$1,D893,F893),_xll.CbondsCalcYTP($B$1,D893,F893)),"")*100)</f>
        <v/>
      </c>
      <c r="U893" s="74"/>
      <c r="V893" s="74"/>
      <c r="W893" s="74"/>
      <c r="X893" s="74"/>
      <c r="Y893" s="74"/>
      <c r="Z893" s="74"/>
      <c r="AA893" s="74"/>
      <c r="AB893" s="74"/>
      <c r="AC893" s="74"/>
      <c r="AJ893" s="74"/>
      <c r="AK893" s="74"/>
      <c r="AL893" s="74"/>
      <c r="AM893" s="74"/>
      <c r="AN893" s="74"/>
      <c r="AO893" s="74"/>
      <c r="AP893" s="74"/>
      <c r="AQ893" s="74"/>
      <c r="AR893" s="74"/>
      <c r="AS893" s="74"/>
      <c r="BD893" s="74"/>
      <c r="BE893" s="74"/>
      <c r="BF893" s="74"/>
      <c r="BG893" s="74"/>
      <c r="BH893" s="74"/>
      <c r="BI893" s="74"/>
    </row>
    <row r="894" spans="4:61" x14ac:dyDescent="0.3">
      <c r="D894" s="76"/>
      <c r="E894" s="76"/>
      <c r="F894" s="76" t="str">
        <f t="shared" si="62"/>
        <v/>
      </c>
      <c r="G894" s="183" t="str">
        <f>IF(F894 = "","",IFERROR(IF($G$1 = "YTM",_xll.CbondsCalcYTM($B$1,D894,F894),_xll.CbondsCalcYTP($B$1,D894,F894)),"")*100)</f>
        <v/>
      </c>
      <c r="U894" s="74"/>
      <c r="V894" s="74"/>
      <c r="W894" s="74"/>
      <c r="X894" s="74"/>
      <c r="Y894" s="74"/>
      <c r="Z894" s="74"/>
      <c r="AA894" s="74"/>
      <c r="AB894" s="74"/>
      <c r="AC894" s="74"/>
      <c r="AJ894" s="74"/>
      <c r="AK894" s="74"/>
      <c r="AL894" s="74"/>
      <c r="AM894" s="74"/>
      <c r="AN894" s="74"/>
      <c r="AO894" s="74"/>
      <c r="AP894" s="74"/>
      <c r="AQ894" s="74"/>
      <c r="AR894" s="74"/>
      <c r="AS894" s="74"/>
      <c r="BD894" s="74"/>
      <c r="BE894" s="74"/>
      <c r="BF894" s="74"/>
      <c r="BG894" s="74"/>
      <c r="BH894" s="74"/>
      <c r="BI894" s="74"/>
    </row>
    <row r="895" spans="4:61" x14ac:dyDescent="0.3">
      <c r="D895" s="76"/>
      <c r="E895" s="76"/>
      <c r="F895" s="76" t="str">
        <f t="shared" si="62"/>
        <v/>
      </c>
      <c r="G895" s="183" t="str">
        <f>IF(F895 = "","",IFERROR(IF($G$1 = "YTM",_xll.CbondsCalcYTM($B$1,D895,F895),_xll.CbondsCalcYTP($B$1,D895,F895)),"")*100)</f>
        <v/>
      </c>
      <c r="U895" s="74"/>
      <c r="V895" s="74"/>
      <c r="W895" s="74"/>
      <c r="X895" s="74"/>
      <c r="Y895" s="74"/>
      <c r="Z895" s="74"/>
      <c r="AA895" s="74"/>
      <c r="AB895" s="74"/>
      <c r="AC895" s="74"/>
      <c r="AJ895" s="74"/>
      <c r="AK895" s="74"/>
      <c r="AL895" s="74"/>
      <c r="AM895" s="74"/>
      <c r="AN895" s="74"/>
      <c r="AO895" s="74"/>
      <c r="AP895" s="74"/>
      <c r="AQ895" s="74"/>
      <c r="AR895" s="74"/>
      <c r="AS895" s="74"/>
      <c r="BD895" s="74"/>
      <c r="BE895" s="74"/>
      <c r="BF895" s="74"/>
      <c r="BG895" s="74"/>
      <c r="BH895" s="74"/>
      <c r="BI895" s="74"/>
    </row>
    <row r="896" spans="4:61" x14ac:dyDescent="0.3">
      <c r="D896" s="76"/>
      <c r="E896" s="76"/>
      <c r="F896" s="76" t="str">
        <f t="shared" si="62"/>
        <v/>
      </c>
      <c r="G896" s="183" t="str">
        <f>IF(F896 = "","",IFERROR(IF($G$1 = "YTM",_xll.CbondsCalcYTM($B$1,D896,F896),_xll.CbondsCalcYTP($B$1,D896,F896)),"")*100)</f>
        <v/>
      </c>
      <c r="U896" s="74"/>
      <c r="V896" s="74"/>
      <c r="W896" s="74"/>
      <c r="X896" s="74"/>
      <c r="Y896" s="74"/>
      <c r="Z896" s="74"/>
      <c r="AA896" s="74"/>
      <c r="AB896" s="74"/>
      <c r="AC896" s="74"/>
      <c r="AJ896" s="74"/>
      <c r="AK896" s="74"/>
      <c r="AL896" s="74"/>
      <c r="AM896" s="74"/>
      <c r="AN896" s="74"/>
      <c r="AO896" s="74"/>
      <c r="AP896" s="74"/>
      <c r="AQ896" s="74"/>
      <c r="AR896" s="74"/>
      <c r="AS896" s="74"/>
      <c r="BD896" s="74"/>
      <c r="BE896" s="74"/>
      <c r="BF896" s="74"/>
      <c r="BG896" s="74"/>
      <c r="BH896" s="74"/>
      <c r="BI896" s="74"/>
    </row>
    <row r="897" spans="4:61" x14ac:dyDescent="0.3">
      <c r="D897" s="76"/>
      <c r="E897" s="76"/>
      <c r="F897" s="76" t="str">
        <f t="shared" si="62"/>
        <v/>
      </c>
      <c r="G897" s="183" t="str">
        <f>IF(F897 = "","",IFERROR(IF($G$1 = "YTM",_xll.CbondsCalcYTM($B$1,D897,F897),_xll.CbondsCalcYTP($B$1,D897,F897)),"")*100)</f>
        <v/>
      </c>
      <c r="U897" s="74"/>
      <c r="V897" s="74"/>
      <c r="W897" s="74"/>
      <c r="X897" s="74"/>
      <c r="Y897" s="74"/>
      <c r="Z897" s="74"/>
      <c r="AA897" s="74"/>
      <c r="AB897" s="74"/>
      <c r="AC897" s="74"/>
      <c r="AJ897" s="74"/>
      <c r="AK897" s="74"/>
      <c r="AL897" s="74"/>
      <c r="AM897" s="74"/>
      <c r="AN897" s="74"/>
      <c r="AO897" s="74"/>
      <c r="AP897" s="74"/>
      <c r="AQ897" s="74"/>
      <c r="AR897" s="74"/>
      <c r="AS897" s="74"/>
      <c r="BD897" s="74"/>
      <c r="BE897" s="74"/>
      <c r="BF897" s="74"/>
      <c r="BG897" s="74"/>
      <c r="BH897" s="74"/>
      <c r="BI897" s="74"/>
    </row>
    <row r="898" spans="4:61" x14ac:dyDescent="0.3">
      <c r="D898" s="76"/>
      <c r="E898" s="76"/>
      <c r="F898" s="76" t="str">
        <f t="shared" si="62"/>
        <v/>
      </c>
      <c r="G898" s="183" t="str">
        <f>IF(F898 = "","",IFERROR(IF($G$1 = "YTM",_xll.CbondsCalcYTM($B$1,D898,F898),_xll.CbondsCalcYTP($B$1,D898,F898)),"")*100)</f>
        <v/>
      </c>
      <c r="U898" s="74"/>
      <c r="V898" s="74"/>
      <c r="W898" s="74"/>
      <c r="X898" s="74"/>
      <c r="Y898" s="74"/>
      <c r="Z898" s="74"/>
      <c r="AA898" s="74"/>
      <c r="AB898" s="74"/>
      <c r="AC898" s="74"/>
      <c r="AJ898" s="74"/>
      <c r="AK898" s="74"/>
      <c r="AL898" s="74"/>
      <c r="AM898" s="74"/>
      <c r="AN898" s="74"/>
      <c r="AO898" s="74"/>
      <c r="AP898" s="74"/>
      <c r="AQ898" s="74"/>
      <c r="AR898" s="74"/>
      <c r="AS898" s="74"/>
      <c r="BD898" s="74"/>
      <c r="BE898" s="74"/>
      <c r="BF898" s="74"/>
      <c r="BG898" s="74"/>
      <c r="BH898" s="74"/>
      <c r="BI898" s="74"/>
    </row>
    <row r="899" spans="4:61" x14ac:dyDescent="0.3">
      <c r="D899" s="76"/>
      <c r="E899" s="76"/>
      <c r="F899" s="76" t="str">
        <f t="shared" si="62"/>
        <v/>
      </c>
      <c r="G899" s="183" t="str">
        <f>IF(F899 = "","",IFERROR(IF($G$1 = "YTM",_xll.CbondsCalcYTM($B$1,D899,F899),_xll.CbondsCalcYTP($B$1,D899,F899)),"")*100)</f>
        <v/>
      </c>
      <c r="U899" s="74"/>
      <c r="V899" s="74"/>
      <c r="W899" s="74"/>
      <c r="X899" s="74"/>
      <c r="Y899" s="74"/>
      <c r="Z899" s="74"/>
      <c r="AA899" s="74"/>
      <c r="AB899" s="74"/>
      <c r="AC899" s="74"/>
      <c r="AJ899" s="74"/>
      <c r="AK899" s="74"/>
      <c r="AL899" s="74"/>
      <c r="AM899" s="74"/>
      <c r="AN899" s="74"/>
      <c r="AO899" s="74"/>
      <c r="AP899" s="74"/>
      <c r="AQ899" s="74"/>
      <c r="AR899" s="74"/>
      <c r="AS899" s="74"/>
      <c r="BD899" s="74"/>
      <c r="BE899" s="74"/>
      <c r="BF899" s="74"/>
      <c r="BG899" s="74"/>
      <c r="BH899" s="74"/>
      <c r="BI899" s="74"/>
    </row>
    <row r="900" spans="4:61" x14ac:dyDescent="0.3">
      <c r="D900" s="76"/>
      <c r="E900" s="76"/>
      <c r="F900" s="76" t="str">
        <f t="shared" ref="F900:F916" si="63">IF(AND(E900="",D900=""),"",IF(AND(E900="",D900&lt;&gt;""),F899,E900))</f>
        <v/>
      </c>
      <c r="G900" s="183" t="str">
        <f>IF(F900 = "","",IFERROR(IF($G$1 = "YTM",_xll.CbondsCalcYTM($B$1,D900,F900),_xll.CbondsCalcYTP($B$1,D900,F900)),"")*100)</f>
        <v/>
      </c>
      <c r="U900" s="74"/>
      <c r="V900" s="74"/>
      <c r="W900" s="74"/>
      <c r="X900" s="74"/>
      <c r="Y900" s="74"/>
      <c r="Z900" s="74"/>
      <c r="AA900" s="74"/>
      <c r="AB900" s="74"/>
      <c r="AC900" s="74"/>
      <c r="AJ900" s="74"/>
      <c r="AK900" s="74"/>
      <c r="AL900" s="74"/>
      <c r="AM900" s="74"/>
      <c r="AN900" s="74"/>
      <c r="AO900" s="74"/>
      <c r="AP900" s="74"/>
      <c r="AQ900" s="74"/>
      <c r="AR900" s="74"/>
      <c r="AS900" s="74"/>
      <c r="BD900" s="74"/>
      <c r="BE900" s="74"/>
      <c r="BF900" s="74"/>
      <c r="BG900" s="74"/>
      <c r="BH900" s="74"/>
      <c r="BI900" s="74"/>
    </row>
    <row r="901" spans="4:61" x14ac:dyDescent="0.3">
      <c r="D901" s="76"/>
      <c r="E901" s="76"/>
      <c r="F901" s="76" t="str">
        <f t="shared" si="63"/>
        <v/>
      </c>
      <c r="G901" s="183" t="str">
        <f>IF(F901 = "","",IFERROR(IF($G$1 = "YTM",_xll.CbondsCalcYTM($B$1,D901,F901),_xll.CbondsCalcYTP($B$1,D901,F901)),"")*100)</f>
        <v/>
      </c>
      <c r="U901" s="74"/>
      <c r="V901" s="74"/>
      <c r="W901" s="74"/>
      <c r="X901" s="74"/>
      <c r="Y901" s="74"/>
      <c r="Z901" s="74"/>
      <c r="AA901" s="74"/>
      <c r="AB901" s="74"/>
      <c r="AC901" s="74"/>
      <c r="AJ901" s="74"/>
      <c r="AK901" s="74"/>
      <c r="AL901" s="74"/>
      <c r="AM901" s="74"/>
      <c r="AN901" s="74"/>
      <c r="AO901" s="74"/>
      <c r="AP901" s="74"/>
      <c r="AQ901" s="74"/>
      <c r="AR901" s="74"/>
      <c r="AS901" s="74"/>
      <c r="BD901" s="74"/>
      <c r="BE901" s="74"/>
      <c r="BF901" s="74"/>
      <c r="BG901" s="74"/>
      <c r="BH901" s="74"/>
      <c r="BI901" s="74"/>
    </row>
    <row r="902" spans="4:61" x14ac:dyDescent="0.3">
      <c r="D902" s="76"/>
      <c r="E902" s="76"/>
      <c r="F902" s="76" t="str">
        <f t="shared" si="63"/>
        <v/>
      </c>
      <c r="G902" s="183" t="str">
        <f>IF(F902 = "","",IFERROR(IF($G$1 = "YTM",_xll.CbondsCalcYTM($B$1,D902,F902),_xll.CbondsCalcYTP($B$1,D902,F902)),"")*100)</f>
        <v/>
      </c>
      <c r="U902" s="74"/>
      <c r="V902" s="74"/>
      <c r="W902" s="74"/>
      <c r="X902" s="74"/>
      <c r="Y902" s="74"/>
      <c r="Z902" s="74"/>
      <c r="AA902" s="74"/>
      <c r="AB902" s="74"/>
      <c r="AC902" s="74"/>
      <c r="AJ902" s="74"/>
      <c r="AK902" s="74"/>
      <c r="AL902" s="74"/>
      <c r="AM902" s="74"/>
      <c r="AN902" s="74"/>
      <c r="AO902" s="74"/>
      <c r="AP902" s="74"/>
      <c r="AQ902" s="74"/>
      <c r="AR902" s="74"/>
      <c r="AS902" s="74"/>
      <c r="BD902" s="74"/>
      <c r="BE902" s="74"/>
      <c r="BF902" s="74"/>
      <c r="BG902" s="74"/>
      <c r="BH902" s="74"/>
      <c r="BI902" s="74"/>
    </row>
    <row r="903" spans="4:61" x14ac:dyDescent="0.3">
      <c r="D903" s="76"/>
      <c r="E903" s="76"/>
      <c r="F903" s="76" t="str">
        <f t="shared" si="63"/>
        <v/>
      </c>
      <c r="G903" s="183" t="str">
        <f>IF(F903 = "","",IFERROR(IF($G$1 = "YTM",_xll.CbondsCalcYTM($B$1,D903,F903),_xll.CbondsCalcYTP($B$1,D903,F903)),"")*100)</f>
        <v/>
      </c>
      <c r="U903" s="74"/>
      <c r="V903" s="74"/>
      <c r="W903" s="74"/>
      <c r="X903" s="74"/>
      <c r="Y903" s="74"/>
      <c r="Z903" s="74"/>
      <c r="AA903" s="74"/>
      <c r="AB903" s="74"/>
      <c r="AC903" s="74"/>
      <c r="AJ903" s="74"/>
      <c r="AK903" s="74"/>
      <c r="AL903" s="74"/>
      <c r="AM903" s="74"/>
      <c r="AN903" s="74"/>
      <c r="AO903" s="74"/>
      <c r="AP903" s="74"/>
      <c r="AQ903" s="74"/>
      <c r="AR903" s="74"/>
      <c r="AS903" s="74"/>
      <c r="BD903" s="74"/>
      <c r="BE903" s="74"/>
      <c r="BF903" s="74"/>
      <c r="BG903" s="74"/>
      <c r="BH903" s="74"/>
      <c r="BI903" s="74"/>
    </row>
    <row r="904" spans="4:61" x14ac:dyDescent="0.3">
      <c r="D904" s="76"/>
      <c r="E904" s="76"/>
      <c r="F904" s="76" t="str">
        <f t="shared" si="63"/>
        <v/>
      </c>
      <c r="G904" s="183" t="str">
        <f>IF(F904 = "","",IFERROR(IF($G$1 = "YTM",_xll.CbondsCalcYTM($B$1,D904,F904),_xll.CbondsCalcYTP($B$1,D904,F904)),"")*100)</f>
        <v/>
      </c>
      <c r="U904" s="74"/>
      <c r="V904" s="74"/>
      <c r="W904" s="74"/>
      <c r="X904" s="74"/>
      <c r="Y904" s="74"/>
      <c r="Z904" s="74"/>
      <c r="AA904" s="74"/>
      <c r="AB904" s="74"/>
      <c r="AC904" s="74"/>
      <c r="AJ904" s="74"/>
      <c r="AK904" s="74"/>
      <c r="AL904" s="74"/>
      <c r="AM904" s="74"/>
      <c r="AN904" s="74"/>
      <c r="AO904" s="74"/>
      <c r="AP904" s="74"/>
      <c r="AQ904" s="74"/>
      <c r="AR904" s="74"/>
      <c r="AS904" s="74"/>
      <c r="BD904" s="74"/>
      <c r="BE904" s="74"/>
      <c r="BF904" s="74"/>
      <c r="BG904" s="74"/>
      <c r="BH904" s="74"/>
      <c r="BI904" s="74"/>
    </row>
    <row r="905" spans="4:61" x14ac:dyDescent="0.3">
      <c r="D905" s="76"/>
      <c r="E905" s="76"/>
      <c r="F905" s="76" t="str">
        <f t="shared" si="63"/>
        <v/>
      </c>
      <c r="G905" s="183" t="str">
        <f>IF(F905 = "","",IFERROR(IF($G$1 = "YTM",_xll.CbondsCalcYTM($B$1,D905,F905),_xll.CbondsCalcYTP($B$1,D905,F905)),"")*100)</f>
        <v/>
      </c>
      <c r="U905" s="74"/>
      <c r="V905" s="74"/>
      <c r="W905" s="74"/>
      <c r="X905" s="74"/>
      <c r="Y905" s="74"/>
      <c r="Z905" s="74"/>
      <c r="AA905" s="74"/>
      <c r="AB905" s="74"/>
      <c r="AC905" s="74"/>
      <c r="AJ905" s="74"/>
      <c r="AK905" s="74"/>
      <c r="AL905" s="74"/>
      <c r="AM905" s="74"/>
      <c r="AN905" s="74"/>
      <c r="AO905" s="74"/>
      <c r="AP905" s="74"/>
      <c r="AQ905" s="74"/>
      <c r="AR905" s="74"/>
      <c r="AS905" s="74"/>
      <c r="BD905" s="74"/>
      <c r="BE905" s="74"/>
      <c r="BF905" s="74"/>
      <c r="BG905" s="74"/>
      <c r="BH905" s="74"/>
      <c r="BI905" s="74"/>
    </row>
    <row r="906" spans="4:61" x14ac:dyDescent="0.3">
      <c r="D906" s="76"/>
      <c r="E906" s="76"/>
      <c r="F906" s="76" t="str">
        <f t="shared" si="63"/>
        <v/>
      </c>
      <c r="G906" s="183" t="str">
        <f>IF(F906 = "","",IFERROR(IF($G$1 = "YTM",_xll.CbondsCalcYTM($B$1,D906,F906),_xll.CbondsCalcYTP($B$1,D906,F906)),"")*100)</f>
        <v/>
      </c>
      <c r="U906" s="74"/>
      <c r="V906" s="74"/>
      <c r="W906" s="74"/>
      <c r="X906" s="74"/>
      <c r="Y906" s="74"/>
      <c r="Z906" s="74"/>
      <c r="AA906" s="74"/>
      <c r="AB906" s="74"/>
      <c r="AC906" s="74"/>
      <c r="AJ906" s="74"/>
      <c r="AK906" s="74"/>
      <c r="AL906" s="74"/>
      <c r="AM906" s="74"/>
      <c r="AN906" s="74"/>
      <c r="AO906" s="74"/>
      <c r="AP906" s="74"/>
      <c r="AQ906" s="74"/>
      <c r="AR906" s="74"/>
      <c r="AS906" s="74"/>
      <c r="BD906" s="74"/>
      <c r="BE906" s="74"/>
      <c r="BF906" s="74"/>
      <c r="BG906" s="74"/>
      <c r="BH906" s="74"/>
      <c r="BI906" s="74"/>
    </row>
    <row r="907" spans="4:61" x14ac:dyDescent="0.3">
      <c r="D907" s="76"/>
      <c r="E907" s="76"/>
      <c r="F907" s="76" t="str">
        <f t="shared" si="63"/>
        <v/>
      </c>
      <c r="G907" s="183" t="str">
        <f>IF(F907 = "","",IFERROR(IF($G$1 = "YTM",_xll.CbondsCalcYTM($B$1,D907,F907),_xll.CbondsCalcYTP($B$1,D907,F907)),"")*100)</f>
        <v/>
      </c>
      <c r="U907" s="74"/>
      <c r="V907" s="74"/>
      <c r="W907" s="74"/>
      <c r="X907" s="74"/>
      <c r="Y907" s="74"/>
      <c r="Z907" s="74"/>
      <c r="AA907" s="74"/>
      <c r="AB907" s="74"/>
      <c r="AC907" s="74"/>
      <c r="AJ907" s="74"/>
      <c r="AK907" s="74"/>
      <c r="AL907" s="74"/>
      <c r="AM907" s="74"/>
      <c r="AN907" s="74"/>
      <c r="AO907" s="74"/>
      <c r="AP907" s="74"/>
      <c r="AQ907" s="74"/>
      <c r="AR907" s="74"/>
      <c r="AS907" s="74"/>
      <c r="BD907" s="74"/>
      <c r="BE907" s="74"/>
      <c r="BF907" s="74"/>
      <c r="BG907" s="74"/>
      <c r="BH907" s="74"/>
      <c r="BI907" s="74"/>
    </row>
    <row r="908" spans="4:61" x14ac:dyDescent="0.3">
      <c r="D908" s="76"/>
      <c r="E908" s="76"/>
      <c r="F908" s="76" t="str">
        <f t="shared" si="63"/>
        <v/>
      </c>
      <c r="G908" s="183" t="str">
        <f>IF(F908 = "","",IFERROR(IF($G$1 = "YTM",_xll.CbondsCalcYTM($B$1,D908,F908),_xll.CbondsCalcYTP($B$1,D908,F908)),"")*100)</f>
        <v/>
      </c>
      <c r="U908" s="74"/>
      <c r="V908" s="74"/>
      <c r="W908" s="74"/>
      <c r="X908" s="74"/>
      <c r="Y908" s="74"/>
      <c r="Z908" s="74"/>
      <c r="AA908" s="74"/>
      <c r="AB908" s="74"/>
      <c r="AC908" s="74"/>
      <c r="AJ908" s="74"/>
      <c r="AK908" s="74"/>
      <c r="AL908" s="74"/>
      <c r="AM908" s="74"/>
      <c r="AN908" s="74"/>
      <c r="AO908" s="74"/>
      <c r="AP908" s="74"/>
      <c r="AQ908" s="74"/>
      <c r="AR908" s="74"/>
      <c r="AS908" s="74"/>
      <c r="BD908" s="74"/>
      <c r="BE908" s="74"/>
      <c r="BF908" s="74"/>
      <c r="BG908" s="74"/>
      <c r="BH908" s="74"/>
      <c r="BI908" s="74"/>
    </row>
    <row r="909" spans="4:61" x14ac:dyDescent="0.3">
      <c r="D909" s="76"/>
      <c r="E909" s="76"/>
      <c r="F909" s="76" t="str">
        <f t="shared" si="63"/>
        <v/>
      </c>
      <c r="G909" s="183" t="str">
        <f>IF(F909 = "","",IFERROR(IF($G$1 = "YTM",_xll.CbondsCalcYTM($B$1,D909,F909),_xll.CbondsCalcYTP($B$1,D909,F909)),"")*100)</f>
        <v/>
      </c>
      <c r="U909" s="74"/>
      <c r="V909" s="74"/>
      <c r="W909" s="74"/>
      <c r="X909" s="74"/>
      <c r="Y909" s="74"/>
      <c r="Z909" s="74"/>
      <c r="AA909" s="74"/>
      <c r="AB909" s="74"/>
      <c r="AC909" s="74"/>
      <c r="AJ909" s="74"/>
      <c r="AK909" s="74"/>
      <c r="AL909" s="74"/>
      <c r="AM909" s="74"/>
      <c r="AN909" s="74"/>
      <c r="AO909" s="74"/>
      <c r="AP909" s="74"/>
      <c r="AQ909" s="74"/>
      <c r="AR909" s="74"/>
      <c r="AS909" s="74"/>
      <c r="BD909" s="74"/>
      <c r="BE909" s="74"/>
      <c r="BF909" s="74"/>
      <c r="BG909" s="74"/>
      <c r="BH909" s="74"/>
      <c r="BI909" s="74"/>
    </row>
    <row r="910" spans="4:61" x14ac:dyDescent="0.3">
      <c r="D910" s="76"/>
      <c r="E910" s="76"/>
      <c r="F910" s="76" t="str">
        <f t="shared" si="63"/>
        <v/>
      </c>
      <c r="G910" s="183" t="str">
        <f>IF(F910 = "","",IFERROR(IF($G$1 = "YTM",_xll.CbondsCalcYTM($B$1,D910,F910),_xll.CbondsCalcYTP($B$1,D910,F910)),"")*100)</f>
        <v/>
      </c>
      <c r="U910" s="74"/>
      <c r="V910" s="74"/>
      <c r="W910" s="74"/>
      <c r="X910" s="74"/>
      <c r="Y910" s="74"/>
      <c r="Z910" s="74"/>
      <c r="AA910" s="74"/>
      <c r="AB910" s="74"/>
      <c r="AC910" s="74"/>
      <c r="AJ910" s="74"/>
      <c r="AK910" s="74"/>
      <c r="AL910" s="74"/>
      <c r="AM910" s="74"/>
      <c r="AN910" s="74"/>
      <c r="AO910" s="74"/>
      <c r="AP910" s="74"/>
      <c r="AQ910" s="74"/>
      <c r="AR910" s="74"/>
      <c r="AS910" s="74"/>
      <c r="BD910" s="74"/>
      <c r="BE910" s="74"/>
      <c r="BF910" s="74"/>
      <c r="BG910" s="74"/>
      <c r="BH910" s="74"/>
      <c r="BI910" s="74"/>
    </row>
    <row r="911" spans="4:61" x14ac:dyDescent="0.3">
      <c r="D911" s="76"/>
      <c r="E911" s="76"/>
      <c r="F911" s="76" t="str">
        <f t="shared" si="63"/>
        <v/>
      </c>
      <c r="G911" s="183" t="str">
        <f>IF(F911 = "","",IFERROR(IF($G$1 = "YTM",_xll.CbondsCalcYTM($B$1,D911,F911),_xll.CbondsCalcYTP($B$1,D911,F911)),"")*100)</f>
        <v/>
      </c>
      <c r="U911" s="74"/>
      <c r="V911" s="74"/>
      <c r="W911" s="74"/>
      <c r="X911" s="74"/>
      <c r="Y911" s="74"/>
      <c r="Z911" s="74"/>
      <c r="AA911" s="74"/>
      <c r="AB911" s="74"/>
      <c r="AC911" s="74"/>
      <c r="AJ911" s="74"/>
      <c r="AK911" s="74"/>
      <c r="AL911" s="74"/>
      <c r="AM911" s="74"/>
      <c r="AN911" s="74"/>
      <c r="AO911" s="74"/>
      <c r="AP911" s="74"/>
      <c r="AQ911" s="74"/>
      <c r="AR911" s="74"/>
      <c r="AS911" s="74"/>
      <c r="BD911" s="74"/>
      <c r="BE911" s="74"/>
      <c r="BF911" s="74"/>
      <c r="BG911" s="74"/>
      <c r="BH911" s="74"/>
      <c r="BI911" s="74"/>
    </row>
    <row r="912" spans="4:61" x14ac:dyDescent="0.3">
      <c r="D912" s="76"/>
      <c r="E912" s="76"/>
      <c r="F912" s="76" t="str">
        <f t="shared" si="63"/>
        <v/>
      </c>
      <c r="G912" s="183" t="str">
        <f>IF(F912 = "","",IFERROR(IF($G$1 = "YTM",_xll.CbondsCalcYTM($B$1,D912,F912),_xll.CbondsCalcYTP($B$1,D912,F912)),"")*100)</f>
        <v/>
      </c>
      <c r="U912" s="74"/>
      <c r="V912" s="74"/>
      <c r="W912" s="74"/>
      <c r="X912" s="74"/>
      <c r="Y912" s="74"/>
      <c r="Z912" s="74"/>
      <c r="AA912" s="74"/>
      <c r="AB912" s="74"/>
      <c r="AC912" s="74"/>
      <c r="AJ912" s="74"/>
      <c r="AK912" s="74"/>
      <c r="AL912" s="74"/>
      <c r="AM912" s="74"/>
      <c r="AN912" s="74"/>
      <c r="AO912" s="74"/>
      <c r="AP912" s="74"/>
      <c r="AQ912" s="74"/>
      <c r="AR912" s="74"/>
      <c r="AS912" s="74"/>
      <c r="BD912" s="74"/>
      <c r="BE912" s="74"/>
      <c r="BF912" s="74"/>
      <c r="BG912" s="74"/>
      <c r="BH912" s="74"/>
      <c r="BI912" s="74"/>
    </row>
    <row r="913" spans="4:61" x14ac:dyDescent="0.3">
      <c r="D913" s="76"/>
      <c r="E913" s="76"/>
      <c r="F913" s="76" t="str">
        <f t="shared" si="63"/>
        <v/>
      </c>
      <c r="G913" s="183" t="str">
        <f>IF(F913 = "","",IFERROR(IF($G$1 = "YTM",_xll.CbondsCalcYTM($B$1,D913,F913),_xll.CbondsCalcYTP($B$1,D913,F913)),"")*100)</f>
        <v/>
      </c>
      <c r="U913" s="74"/>
      <c r="V913" s="74"/>
      <c r="W913" s="74"/>
      <c r="X913" s="74"/>
      <c r="Y913" s="74"/>
      <c r="Z913" s="74"/>
      <c r="AA913" s="74"/>
      <c r="AB913" s="74"/>
      <c r="AC913" s="74"/>
      <c r="AJ913" s="74"/>
      <c r="AK913" s="74"/>
      <c r="AL913" s="74"/>
      <c r="AM913" s="74"/>
      <c r="AN913" s="74"/>
      <c r="AO913" s="74"/>
      <c r="AP913" s="74"/>
      <c r="AQ913" s="74"/>
      <c r="AR913" s="74"/>
      <c r="AS913" s="74"/>
      <c r="BD913" s="74"/>
      <c r="BE913" s="74"/>
      <c r="BF913" s="74"/>
      <c r="BG913" s="74"/>
      <c r="BH913" s="74"/>
      <c r="BI913" s="74"/>
    </row>
    <row r="914" spans="4:61" x14ac:dyDescent="0.3">
      <c r="D914" s="76"/>
      <c r="E914" s="76"/>
      <c r="F914" s="76" t="str">
        <f t="shared" si="63"/>
        <v/>
      </c>
      <c r="G914" s="183" t="str">
        <f>IF(F914 = "","",IFERROR(IF($G$1 = "YTM",_xll.CbondsCalcYTM($B$1,D914,F914),_xll.CbondsCalcYTP($B$1,D914,F914)),"")*100)</f>
        <v/>
      </c>
      <c r="U914" s="74"/>
      <c r="V914" s="74"/>
      <c r="W914" s="74"/>
      <c r="X914" s="74"/>
      <c r="Y914" s="74"/>
      <c r="Z914" s="74"/>
      <c r="AA914" s="74"/>
      <c r="AB914" s="74"/>
      <c r="AC914" s="74"/>
      <c r="AJ914" s="74"/>
      <c r="AK914" s="74"/>
      <c r="AL914" s="74"/>
      <c r="AM914" s="74"/>
      <c r="AN914" s="74"/>
      <c r="AO914" s="74"/>
      <c r="AP914" s="74"/>
      <c r="AQ914" s="74"/>
      <c r="AR914" s="74"/>
      <c r="AS914" s="74"/>
      <c r="BD914" s="74"/>
      <c r="BE914" s="74"/>
      <c r="BF914" s="74"/>
      <c r="BG914" s="74"/>
      <c r="BH914" s="74"/>
      <c r="BI914" s="74"/>
    </row>
    <row r="915" spans="4:61" x14ac:dyDescent="0.3">
      <c r="D915" s="76"/>
      <c r="E915" s="76"/>
      <c r="F915" s="76" t="str">
        <f t="shared" si="63"/>
        <v/>
      </c>
      <c r="G915" s="183" t="str">
        <f>IF(F915 = "","",IFERROR(IF($G$1 = "YTM",_xll.CbondsCalcYTM($B$1,D915,F915),_xll.CbondsCalcYTP($B$1,D915,F915)),"")*100)</f>
        <v/>
      </c>
      <c r="U915" s="74"/>
      <c r="V915" s="74"/>
      <c r="W915" s="74"/>
      <c r="X915" s="74"/>
      <c r="Y915" s="74"/>
      <c r="Z915" s="74"/>
      <c r="AA915" s="74"/>
      <c r="AB915" s="74"/>
      <c r="AC915" s="74"/>
      <c r="AJ915" s="74"/>
      <c r="AK915" s="74"/>
      <c r="AL915" s="74"/>
      <c r="AM915" s="74"/>
      <c r="AN915" s="74"/>
      <c r="AO915" s="74"/>
      <c r="AP915" s="74"/>
      <c r="AQ915" s="74"/>
      <c r="AR915" s="74"/>
      <c r="AS915" s="74"/>
      <c r="BD915" s="74"/>
      <c r="BE915" s="74"/>
      <c r="BF915" s="74"/>
      <c r="BG915" s="74"/>
      <c r="BH915" s="74"/>
      <c r="BI915" s="74"/>
    </row>
    <row r="916" spans="4:61" x14ac:dyDescent="0.3">
      <c r="D916" s="76"/>
      <c r="E916" s="76"/>
      <c r="F916" s="76" t="str">
        <f t="shared" si="63"/>
        <v/>
      </c>
      <c r="G916" s="183" t="str">
        <f>IF(F916 = "","",IFERROR(IF($G$1 = "YTM",_xll.CbondsCalcYTM($B$1,D916,F916),_xll.CbondsCalcYTP($B$1,D916,F916)),"")*100)</f>
        <v/>
      </c>
      <c r="U916" s="74"/>
      <c r="V916" s="74"/>
      <c r="W916" s="74"/>
      <c r="X916" s="74"/>
      <c r="Y916" s="74"/>
      <c r="Z916" s="74"/>
      <c r="AA916" s="74"/>
      <c r="AB916" s="74"/>
      <c r="AC916" s="74"/>
      <c r="AJ916" s="74"/>
      <c r="AK916" s="74"/>
      <c r="AL916" s="74"/>
      <c r="AM916" s="74"/>
      <c r="AN916" s="74"/>
      <c r="AO916" s="74"/>
      <c r="AP916" s="74"/>
      <c r="AQ916" s="74"/>
      <c r="AR916" s="74"/>
      <c r="AS916" s="74"/>
      <c r="BD916" s="74"/>
      <c r="BE916" s="74"/>
      <c r="BF916" s="74"/>
      <c r="BG916" s="74"/>
      <c r="BH916" s="74"/>
      <c r="BI916" s="74"/>
    </row>
    <row r="917" spans="4:61" x14ac:dyDescent="0.3">
      <c r="D917" s="74"/>
      <c r="E917" s="74"/>
      <c r="F917" s="74"/>
      <c r="G917" s="134"/>
      <c r="U917" s="74"/>
      <c r="V917" s="74"/>
      <c r="W917" s="74"/>
      <c r="X917" s="74"/>
      <c r="Y917" s="74"/>
      <c r="Z917" s="74"/>
      <c r="AA917" s="74"/>
      <c r="AB917" s="74"/>
      <c r="AC917" s="74"/>
      <c r="AJ917" s="74"/>
      <c r="AK917" s="74"/>
      <c r="AL917" s="74"/>
      <c r="AM917" s="74"/>
      <c r="AN917" s="74"/>
      <c r="AO917" s="74"/>
      <c r="AP917" s="74"/>
      <c r="AQ917" s="74"/>
      <c r="AR917" s="74"/>
      <c r="AS917" s="74"/>
      <c r="BD917" s="74"/>
      <c r="BE917" s="74"/>
      <c r="BF917" s="74"/>
      <c r="BG917" s="74"/>
      <c r="BH917" s="74"/>
      <c r="BI917" s="74"/>
    </row>
    <row r="918" spans="4:61" x14ac:dyDescent="0.3">
      <c r="D918" s="74"/>
      <c r="E918" s="74"/>
      <c r="F918" s="74"/>
      <c r="G918" s="134"/>
      <c r="U918" s="74"/>
      <c r="V918" s="74"/>
      <c r="W918" s="74"/>
      <c r="X918" s="74"/>
      <c r="Y918" s="74"/>
      <c r="Z918" s="74"/>
      <c r="AA918" s="74"/>
      <c r="AB918" s="74"/>
      <c r="AC918" s="74"/>
      <c r="AJ918" s="74"/>
      <c r="AK918" s="74"/>
      <c r="AL918" s="74"/>
      <c r="AM918" s="74"/>
      <c r="AN918" s="74"/>
      <c r="AO918" s="74"/>
      <c r="AP918" s="74"/>
      <c r="AQ918" s="74"/>
      <c r="AR918" s="74"/>
      <c r="AS918" s="74"/>
      <c r="BD918" s="74"/>
      <c r="BE918" s="74"/>
      <c r="BF918" s="74"/>
      <c r="BG918" s="74"/>
      <c r="BH918" s="74"/>
      <c r="BI918" s="74"/>
    </row>
    <row r="919" spans="4:61" x14ac:dyDescent="0.3">
      <c r="D919" s="74"/>
      <c r="E919" s="74"/>
      <c r="F919" s="74"/>
      <c r="G919" s="134"/>
      <c r="U919" s="74"/>
      <c r="V919" s="74"/>
      <c r="W919" s="74"/>
      <c r="X919" s="74"/>
      <c r="Y919" s="74"/>
      <c r="Z919" s="74"/>
      <c r="AA919" s="74"/>
      <c r="AB919" s="74"/>
      <c r="AC919" s="74"/>
      <c r="AJ919" s="74"/>
      <c r="AK919" s="74"/>
      <c r="AL919" s="74"/>
      <c r="AM919" s="74"/>
      <c r="AN919" s="74"/>
      <c r="AO919" s="74"/>
      <c r="AP919" s="74"/>
      <c r="AQ919" s="74"/>
      <c r="AR919" s="74"/>
      <c r="AS919" s="74"/>
      <c r="BD919" s="74"/>
      <c r="BE919" s="74"/>
      <c r="BF919" s="74"/>
      <c r="BG919" s="74"/>
      <c r="BH919" s="74"/>
      <c r="BI919" s="74"/>
    </row>
    <row r="920" spans="4:61" x14ac:dyDescent="0.3">
      <c r="D920" s="74"/>
      <c r="E920" s="74"/>
      <c r="F920" s="74"/>
      <c r="G920" s="134"/>
      <c r="U920" s="74"/>
      <c r="V920" s="74"/>
      <c r="W920" s="74"/>
      <c r="X920" s="74"/>
      <c r="Y920" s="74"/>
      <c r="Z920" s="74"/>
      <c r="AA920" s="74"/>
      <c r="AB920" s="74"/>
      <c r="AC920" s="74"/>
      <c r="AJ920" s="74"/>
      <c r="AK920" s="74"/>
      <c r="AL920" s="74"/>
      <c r="AM920" s="74"/>
      <c r="AN920" s="74"/>
      <c r="AO920" s="74"/>
      <c r="AP920" s="74"/>
      <c r="AQ920" s="74"/>
      <c r="AR920" s="74"/>
      <c r="AS920" s="74"/>
      <c r="BD920" s="74"/>
      <c r="BE920" s="74"/>
      <c r="BF920" s="74"/>
      <c r="BG920" s="74"/>
      <c r="BH920" s="74"/>
      <c r="BI920" s="74"/>
    </row>
    <row r="921" spans="4:61" x14ac:dyDescent="0.3">
      <c r="D921" s="74"/>
      <c r="E921" s="74"/>
      <c r="F921" s="74"/>
      <c r="G921" s="134"/>
      <c r="U921" s="74"/>
      <c r="V921" s="74"/>
      <c r="W921" s="74"/>
      <c r="X921" s="74"/>
      <c r="Y921" s="74"/>
      <c r="Z921" s="74"/>
      <c r="AA921" s="74"/>
      <c r="AB921" s="74"/>
      <c r="AC921" s="74"/>
      <c r="AJ921" s="74"/>
      <c r="AK921" s="74"/>
      <c r="AL921" s="74"/>
      <c r="AM921" s="74"/>
      <c r="AN921" s="74"/>
      <c r="AO921" s="74"/>
      <c r="AP921" s="74"/>
      <c r="AQ921" s="74"/>
      <c r="AR921" s="74"/>
      <c r="AS921" s="74"/>
      <c r="BD921" s="74"/>
      <c r="BE921" s="74"/>
      <c r="BF921" s="74"/>
      <c r="BG921" s="74"/>
      <c r="BH921" s="74"/>
      <c r="BI921" s="74"/>
    </row>
    <row r="922" spans="4:61" x14ac:dyDescent="0.3">
      <c r="D922" s="74"/>
      <c r="E922" s="74"/>
      <c r="F922" s="74"/>
      <c r="G922" s="134"/>
      <c r="U922" s="74"/>
      <c r="V922" s="74"/>
      <c r="W922" s="74"/>
      <c r="X922" s="74"/>
      <c r="Y922" s="74"/>
      <c r="Z922" s="74"/>
      <c r="AA922" s="74"/>
      <c r="AB922" s="74"/>
      <c r="AC922" s="74"/>
      <c r="AJ922" s="74"/>
      <c r="AK922" s="74"/>
      <c r="AL922" s="74"/>
      <c r="AM922" s="74"/>
      <c r="AN922" s="74"/>
      <c r="AO922" s="74"/>
      <c r="AP922" s="74"/>
      <c r="AQ922" s="74"/>
      <c r="AR922" s="74"/>
      <c r="AS922" s="74"/>
      <c r="BD922" s="74"/>
      <c r="BE922" s="74"/>
      <c r="BF922" s="74"/>
      <c r="BG922" s="74"/>
      <c r="BH922" s="74"/>
      <c r="BI922" s="74"/>
    </row>
    <row r="923" spans="4:61" x14ac:dyDescent="0.3">
      <c r="D923" s="74"/>
      <c r="E923" s="74"/>
      <c r="F923" s="74"/>
      <c r="G923" s="134"/>
      <c r="U923" s="74"/>
      <c r="V923" s="74"/>
      <c r="W923" s="74"/>
      <c r="X923" s="74"/>
      <c r="Y923" s="74"/>
      <c r="Z923" s="74"/>
      <c r="AA923" s="74"/>
      <c r="AB923" s="74"/>
      <c r="AC923" s="74"/>
      <c r="AJ923" s="74"/>
      <c r="AK923" s="74"/>
      <c r="AL923" s="74"/>
      <c r="AM923" s="74"/>
      <c r="AN923" s="74"/>
      <c r="AO923" s="74"/>
      <c r="AP923" s="74"/>
      <c r="AQ923" s="74"/>
      <c r="AR923" s="74"/>
      <c r="AS923" s="74"/>
      <c r="BD923" s="74"/>
      <c r="BE923" s="74"/>
      <c r="BF923" s="74"/>
      <c r="BG923" s="74"/>
      <c r="BH923" s="74"/>
      <c r="BI923" s="74"/>
    </row>
    <row r="924" spans="4:61" x14ac:dyDescent="0.3">
      <c r="D924" s="74"/>
      <c r="E924" s="74"/>
      <c r="F924" s="74"/>
      <c r="G924" s="134"/>
      <c r="U924" s="74"/>
      <c r="V924" s="74"/>
      <c r="W924" s="74"/>
      <c r="X924" s="74"/>
      <c r="Y924" s="74"/>
      <c r="Z924" s="74"/>
      <c r="AA924" s="74"/>
      <c r="AB924" s="74"/>
      <c r="AC924" s="74"/>
      <c r="AJ924" s="74"/>
      <c r="AK924" s="74"/>
      <c r="AL924" s="74"/>
      <c r="AM924" s="74"/>
      <c r="AN924" s="74"/>
      <c r="AO924" s="74"/>
      <c r="AP924" s="74"/>
      <c r="AQ924" s="74"/>
      <c r="AR924" s="74"/>
      <c r="AS924" s="74"/>
      <c r="BD924" s="74"/>
      <c r="BE924" s="74"/>
      <c r="BF924" s="74"/>
      <c r="BG924" s="74"/>
      <c r="BH924" s="74"/>
      <c r="BI924" s="74"/>
    </row>
    <row r="925" spans="4:61" x14ac:dyDescent="0.3">
      <c r="D925" s="74"/>
      <c r="E925" s="74"/>
      <c r="F925" s="74"/>
      <c r="G925" s="134"/>
      <c r="U925" s="74"/>
      <c r="V925" s="74"/>
      <c r="W925" s="74"/>
      <c r="X925" s="74"/>
      <c r="Y925" s="74"/>
      <c r="Z925" s="74"/>
      <c r="AA925" s="74"/>
      <c r="AB925" s="74"/>
      <c r="AC925" s="74"/>
      <c r="AJ925" s="74"/>
      <c r="AK925" s="74"/>
      <c r="AL925" s="74"/>
      <c r="AM925" s="74"/>
      <c r="AN925" s="74"/>
      <c r="AO925" s="74"/>
      <c r="AP925" s="74"/>
      <c r="AQ925" s="74"/>
      <c r="AR925" s="74"/>
      <c r="AS925" s="74"/>
      <c r="BD925" s="74"/>
      <c r="BE925" s="74"/>
      <c r="BF925" s="74"/>
      <c r="BG925" s="74"/>
      <c r="BH925" s="74"/>
      <c r="BI925" s="74"/>
    </row>
    <row r="926" spans="4:61" x14ac:dyDescent="0.3">
      <c r="D926" s="74"/>
      <c r="E926" s="74"/>
      <c r="F926" s="74"/>
      <c r="G926" s="134"/>
      <c r="U926" s="74"/>
      <c r="V926" s="74"/>
      <c r="W926" s="74"/>
      <c r="X926" s="74"/>
      <c r="Y926" s="74"/>
      <c r="Z926" s="74"/>
      <c r="AA926" s="74"/>
      <c r="AB926" s="74"/>
      <c r="AC926" s="74"/>
      <c r="AJ926" s="74"/>
      <c r="AK926" s="74"/>
      <c r="AL926" s="74"/>
      <c r="AM926" s="74"/>
      <c r="AN926" s="74"/>
      <c r="AO926" s="74"/>
      <c r="AP926" s="74"/>
      <c r="AQ926" s="74"/>
      <c r="AR926" s="74"/>
      <c r="AS926" s="74"/>
      <c r="BD926" s="74"/>
      <c r="BE926" s="74"/>
      <c r="BF926" s="74"/>
      <c r="BG926" s="74"/>
      <c r="BH926" s="74"/>
      <c r="BI926" s="74"/>
    </row>
    <row r="927" spans="4:61" x14ac:dyDescent="0.3">
      <c r="D927" s="74"/>
      <c r="E927" s="74"/>
      <c r="F927" s="74"/>
      <c r="G927" s="134"/>
      <c r="U927" s="74"/>
      <c r="V927" s="74"/>
      <c r="W927" s="74"/>
      <c r="X927" s="74"/>
      <c r="Y927" s="74"/>
      <c r="Z927" s="74"/>
      <c r="AA927" s="74"/>
      <c r="AB927" s="74"/>
      <c r="AC927" s="74"/>
      <c r="AJ927" s="74"/>
      <c r="AK927" s="74"/>
      <c r="AL927" s="74"/>
      <c r="AM927" s="74"/>
      <c r="AN927" s="74"/>
      <c r="AO927" s="74"/>
      <c r="AP927" s="74"/>
      <c r="AQ927" s="74"/>
      <c r="AR927" s="74"/>
      <c r="AS927" s="74"/>
      <c r="BD927" s="74"/>
      <c r="BE927" s="74"/>
      <c r="BF927" s="74"/>
      <c r="BG927" s="74"/>
      <c r="BH927" s="74"/>
      <c r="BI927" s="74"/>
    </row>
    <row r="928" spans="4:61" x14ac:dyDescent="0.3">
      <c r="D928" s="74"/>
      <c r="E928" s="74"/>
      <c r="F928" s="74"/>
      <c r="G928" s="134"/>
      <c r="U928" s="74"/>
      <c r="V928" s="74"/>
      <c r="W928" s="74"/>
      <c r="X928" s="74"/>
      <c r="Y928" s="74"/>
      <c r="Z928" s="74"/>
      <c r="AA928" s="74"/>
      <c r="AB928" s="74"/>
      <c r="AC928" s="74"/>
      <c r="AJ928" s="74"/>
      <c r="AK928" s="74"/>
      <c r="AL928" s="74"/>
      <c r="AM928" s="74"/>
      <c r="AN928" s="74"/>
      <c r="AO928" s="74"/>
      <c r="AP928" s="74"/>
      <c r="AQ928" s="74"/>
      <c r="AR928" s="74"/>
      <c r="AS928" s="74"/>
      <c r="BD928" s="74"/>
      <c r="BE928" s="74"/>
      <c r="BF928" s="74"/>
      <c r="BG928" s="74"/>
      <c r="BH928" s="74"/>
      <c r="BI928" s="74"/>
    </row>
    <row r="929" spans="4:61" x14ac:dyDescent="0.3">
      <c r="D929" s="74"/>
      <c r="E929" s="74"/>
      <c r="F929" s="74"/>
      <c r="G929" s="134"/>
      <c r="U929" s="74"/>
      <c r="V929" s="74"/>
      <c r="W929" s="74"/>
      <c r="X929" s="74"/>
      <c r="Y929" s="74"/>
      <c r="Z929" s="74"/>
      <c r="AA929" s="74"/>
      <c r="AB929" s="74"/>
      <c r="AC929" s="74"/>
      <c r="AJ929" s="74"/>
      <c r="AK929" s="74"/>
      <c r="AL929" s="74"/>
      <c r="AM929" s="74"/>
      <c r="AN929" s="74"/>
      <c r="AO929" s="74"/>
      <c r="AP929" s="74"/>
      <c r="AQ929" s="74"/>
      <c r="AR929" s="74"/>
      <c r="AS929" s="74"/>
      <c r="BD929" s="74"/>
      <c r="BE929" s="74"/>
      <c r="BF929" s="74"/>
      <c r="BG929" s="74"/>
      <c r="BH929" s="74"/>
      <c r="BI929" s="74"/>
    </row>
    <row r="930" spans="4:61" x14ac:dyDescent="0.3">
      <c r="D930" s="74"/>
      <c r="E930" s="74"/>
      <c r="F930" s="74"/>
      <c r="G930" s="134"/>
      <c r="U930" s="74"/>
      <c r="V930" s="74"/>
      <c r="W930" s="74"/>
      <c r="X930" s="74"/>
      <c r="Y930" s="74"/>
      <c r="Z930" s="74"/>
      <c r="AA930" s="74"/>
      <c r="AB930" s="74"/>
      <c r="AC930" s="74"/>
      <c r="AJ930" s="74"/>
      <c r="AK930" s="74"/>
      <c r="AL930" s="74"/>
      <c r="AM930" s="74"/>
      <c r="AN930" s="74"/>
      <c r="AO930" s="74"/>
      <c r="AP930" s="74"/>
      <c r="AQ930" s="74"/>
      <c r="AR930" s="74"/>
      <c r="AS930" s="74"/>
      <c r="BD930" s="74"/>
      <c r="BE930" s="74"/>
      <c r="BF930" s="74"/>
      <c r="BG930" s="74"/>
      <c r="BH930" s="74"/>
      <c r="BI930" s="74"/>
    </row>
    <row r="931" spans="4:61" x14ac:dyDescent="0.3">
      <c r="D931" s="74"/>
      <c r="E931" s="74"/>
      <c r="F931" s="74"/>
      <c r="G931" s="134"/>
      <c r="U931" s="74"/>
      <c r="V931" s="74"/>
      <c r="W931" s="74"/>
      <c r="X931" s="74"/>
      <c r="Y931" s="74"/>
      <c r="Z931" s="74"/>
      <c r="AA931" s="74"/>
      <c r="AB931" s="74"/>
      <c r="AC931" s="74"/>
      <c r="AJ931" s="74"/>
      <c r="AK931" s="74"/>
      <c r="AL931" s="74"/>
      <c r="AM931" s="74"/>
      <c r="AN931" s="74"/>
      <c r="AO931" s="74"/>
      <c r="AP931" s="74"/>
      <c r="AQ931" s="74"/>
      <c r="AR931" s="74"/>
      <c r="AS931" s="74"/>
      <c r="BD931" s="74"/>
      <c r="BE931" s="74"/>
      <c r="BF931" s="74"/>
      <c r="BG931" s="74"/>
      <c r="BH931" s="74"/>
      <c r="BI931" s="74"/>
    </row>
    <row r="932" spans="4:61" x14ac:dyDescent="0.3">
      <c r="D932" s="74"/>
      <c r="E932" s="74"/>
      <c r="F932" s="74"/>
      <c r="G932" s="134"/>
      <c r="U932" s="74"/>
      <c r="V932" s="74"/>
      <c r="W932" s="74"/>
      <c r="X932" s="74"/>
      <c r="Y932" s="74"/>
      <c r="Z932" s="74"/>
      <c r="AA932" s="74"/>
      <c r="AB932" s="74"/>
      <c r="AC932" s="74"/>
      <c r="AJ932" s="74"/>
      <c r="AK932" s="74"/>
      <c r="AL932" s="74"/>
      <c r="AM932" s="74"/>
      <c r="AN932" s="74"/>
      <c r="AO932" s="74"/>
      <c r="AP932" s="74"/>
      <c r="AQ932" s="74"/>
      <c r="AR932" s="74"/>
      <c r="AS932" s="74"/>
      <c r="BD932" s="74"/>
      <c r="BE932" s="74"/>
      <c r="BF932" s="74"/>
      <c r="BG932" s="74"/>
      <c r="BH932" s="74"/>
      <c r="BI932" s="74"/>
    </row>
    <row r="933" spans="4:61" x14ac:dyDescent="0.3">
      <c r="D933" s="74"/>
      <c r="E933" s="74"/>
      <c r="F933" s="74"/>
      <c r="G933" s="134"/>
      <c r="U933" s="74"/>
      <c r="V933" s="74"/>
      <c r="W933" s="74"/>
      <c r="X933" s="74"/>
      <c r="Y933" s="74"/>
      <c r="Z933" s="74"/>
      <c r="AA933" s="74"/>
      <c r="AB933" s="74"/>
      <c r="AC933" s="74"/>
      <c r="AJ933" s="74"/>
      <c r="AK933" s="74"/>
      <c r="AL933" s="74"/>
      <c r="AM933" s="74"/>
      <c r="AN933" s="74"/>
      <c r="AO933" s="74"/>
      <c r="AP933" s="74"/>
      <c r="AQ933" s="74"/>
      <c r="AR933" s="74"/>
      <c r="AS933" s="74"/>
      <c r="BD933" s="74"/>
      <c r="BE933" s="74"/>
      <c r="BF933" s="74"/>
      <c r="BG933" s="74"/>
      <c r="BH933" s="74"/>
      <c r="BI933" s="74"/>
    </row>
    <row r="934" spans="4:61" x14ac:dyDescent="0.3">
      <c r="D934" s="74"/>
      <c r="E934" s="74"/>
      <c r="F934" s="74"/>
      <c r="G934" s="134"/>
      <c r="U934" s="74"/>
      <c r="V934" s="74"/>
      <c r="W934" s="74"/>
      <c r="X934" s="74"/>
      <c r="Y934" s="74"/>
      <c r="Z934" s="74"/>
      <c r="AA934" s="74"/>
      <c r="AB934" s="74"/>
      <c r="AC934" s="74"/>
      <c r="AJ934" s="74"/>
      <c r="AK934" s="74"/>
      <c r="AL934" s="74"/>
      <c r="AM934" s="74"/>
      <c r="AN934" s="74"/>
      <c r="AO934" s="74"/>
      <c r="AP934" s="74"/>
      <c r="AQ934" s="74"/>
      <c r="AR934" s="74"/>
      <c r="AS934" s="74"/>
      <c r="BD934" s="74"/>
      <c r="BE934" s="74"/>
      <c r="BF934" s="74"/>
      <c r="BG934" s="74"/>
      <c r="BH934" s="74"/>
      <c r="BI934" s="74"/>
    </row>
    <row r="935" spans="4:61" x14ac:dyDescent="0.3">
      <c r="D935" s="74"/>
      <c r="E935" s="74"/>
      <c r="F935" s="74"/>
      <c r="G935" s="134"/>
      <c r="U935" s="74"/>
      <c r="V935" s="74"/>
      <c r="W935" s="74"/>
      <c r="X935" s="74"/>
      <c r="Y935" s="74"/>
      <c r="Z935" s="74"/>
      <c r="AA935" s="74"/>
      <c r="AB935" s="74"/>
      <c r="AC935" s="74"/>
      <c r="AJ935" s="74"/>
      <c r="AK935" s="74"/>
      <c r="AL935" s="74"/>
      <c r="AM935" s="74"/>
      <c r="AN935" s="74"/>
      <c r="AO935" s="74"/>
      <c r="AP935" s="74"/>
      <c r="AQ935" s="74"/>
      <c r="AR935" s="74"/>
      <c r="AS935" s="74"/>
      <c r="BD935" s="74"/>
      <c r="BE935" s="74"/>
      <c r="BF935" s="74"/>
      <c r="BG935" s="74"/>
      <c r="BH935" s="74"/>
      <c r="BI935" s="74"/>
    </row>
    <row r="936" spans="4:61" x14ac:dyDescent="0.3">
      <c r="D936" s="74"/>
      <c r="E936" s="74"/>
      <c r="F936" s="74"/>
      <c r="G936" s="134"/>
      <c r="U936" s="74"/>
      <c r="V936" s="74"/>
      <c r="W936" s="74"/>
      <c r="X936" s="74"/>
      <c r="Y936" s="74"/>
      <c r="Z936" s="74"/>
      <c r="AA936" s="74"/>
      <c r="AB936" s="74"/>
      <c r="AC936" s="74"/>
      <c r="AJ936" s="74"/>
      <c r="AK936" s="74"/>
      <c r="AL936" s="74"/>
      <c r="AM936" s="74"/>
      <c r="AN936" s="74"/>
      <c r="AO936" s="74"/>
      <c r="AP936" s="74"/>
      <c r="AQ936" s="74"/>
      <c r="AR936" s="74"/>
      <c r="AS936" s="74"/>
      <c r="BD936" s="74"/>
      <c r="BE936" s="74"/>
      <c r="BF936" s="74"/>
      <c r="BG936" s="74"/>
      <c r="BH936" s="74"/>
      <c r="BI936" s="74"/>
    </row>
    <row r="937" spans="4:61" x14ac:dyDescent="0.3">
      <c r="D937" s="74"/>
      <c r="E937" s="74"/>
      <c r="F937" s="74"/>
      <c r="G937" s="134"/>
      <c r="U937" s="74"/>
      <c r="V937" s="74"/>
      <c r="W937" s="74"/>
      <c r="X937" s="74"/>
      <c r="Y937" s="74"/>
      <c r="Z937" s="74"/>
      <c r="AA937" s="74"/>
      <c r="AB937" s="74"/>
      <c r="AC937" s="74"/>
      <c r="AJ937" s="74"/>
      <c r="AK937" s="74"/>
      <c r="AL937" s="74"/>
      <c r="AM937" s="74"/>
      <c r="AN937" s="74"/>
      <c r="AO937" s="74"/>
      <c r="AP937" s="74"/>
      <c r="AQ937" s="74"/>
      <c r="AR937" s="74"/>
      <c r="AS937" s="74"/>
      <c r="BD937" s="74"/>
      <c r="BE937" s="74"/>
      <c r="BF937" s="74"/>
      <c r="BG937" s="74"/>
      <c r="BH937" s="74"/>
      <c r="BI937" s="74"/>
    </row>
    <row r="938" spans="4:61" x14ac:dyDescent="0.3">
      <c r="D938" s="74"/>
      <c r="E938" s="74"/>
      <c r="F938" s="74"/>
      <c r="G938" s="134"/>
      <c r="U938" s="74"/>
      <c r="V938" s="74"/>
      <c r="W938" s="74"/>
      <c r="X938" s="74"/>
      <c r="Y938" s="74"/>
      <c r="Z938" s="74"/>
      <c r="AA938" s="74"/>
      <c r="AB938" s="74"/>
      <c r="AC938" s="74"/>
      <c r="AJ938" s="74"/>
      <c r="AK938" s="74"/>
      <c r="AL938" s="74"/>
      <c r="AM938" s="74"/>
      <c r="AN938" s="74"/>
      <c r="AO938" s="74"/>
      <c r="AP938" s="74"/>
      <c r="AQ938" s="74"/>
      <c r="AR938" s="74"/>
      <c r="AS938" s="74"/>
      <c r="BD938" s="74"/>
      <c r="BE938" s="74"/>
      <c r="BF938" s="74"/>
      <c r="BG938" s="74"/>
      <c r="BH938" s="74"/>
      <c r="BI938" s="74"/>
    </row>
    <row r="939" spans="4:61" x14ac:dyDescent="0.3">
      <c r="D939" s="74"/>
      <c r="E939" s="74"/>
      <c r="F939" s="74"/>
      <c r="G939" s="134"/>
      <c r="U939" s="74"/>
      <c r="V939" s="74"/>
      <c r="W939" s="74"/>
      <c r="X939" s="74"/>
      <c r="Y939" s="74"/>
      <c r="Z939" s="74"/>
      <c r="AA939" s="74"/>
      <c r="AB939" s="74"/>
      <c r="AC939" s="74"/>
      <c r="AJ939" s="74"/>
      <c r="AK939" s="74"/>
      <c r="AL939" s="74"/>
      <c r="AM939" s="74"/>
      <c r="AN939" s="74"/>
      <c r="AO939" s="74"/>
      <c r="AP939" s="74"/>
      <c r="AQ939" s="74"/>
      <c r="AR939" s="74"/>
      <c r="AS939" s="74"/>
      <c r="BD939" s="74"/>
      <c r="BE939" s="74"/>
      <c r="BF939" s="74"/>
      <c r="BG939" s="74"/>
      <c r="BH939" s="74"/>
      <c r="BI939" s="74"/>
    </row>
    <row r="940" spans="4:61" x14ac:dyDescent="0.3">
      <c r="D940" s="74"/>
      <c r="E940" s="74"/>
      <c r="F940" s="74"/>
      <c r="G940" s="134"/>
      <c r="U940" s="74"/>
      <c r="V940" s="74"/>
      <c r="W940" s="74"/>
      <c r="X940" s="74"/>
      <c r="Y940" s="74"/>
      <c r="Z940" s="74"/>
      <c r="AA940" s="74"/>
      <c r="AB940" s="74"/>
      <c r="AC940" s="74"/>
      <c r="AJ940" s="74"/>
      <c r="AK940" s="74"/>
      <c r="AL940" s="74"/>
      <c r="AM940" s="74"/>
      <c r="AN940" s="74"/>
      <c r="AO940" s="74"/>
      <c r="AP940" s="74"/>
      <c r="AQ940" s="74"/>
      <c r="AR940" s="74"/>
      <c r="AS940" s="74"/>
      <c r="BD940" s="74"/>
      <c r="BE940" s="74"/>
      <c r="BF940" s="74"/>
      <c r="BG940" s="74"/>
      <c r="BH940" s="74"/>
      <c r="BI940" s="74"/>
    </row>
    <row r="941" spans="4:61" x14ac:dyDescent="0.3">
      <c r="D941" s="74"/>
      <c r="E941" s="74"/>
      <c r="F941" s="74"/>
      <c r="G941" s="134"/>
      <c r="U941" s="74"/>
      <c r="V941" s="74"/>
      <c r="W941" s="74"/>
      <c r="X941" s="74"/>
      <c r="Y941" s="74"/>
      <c r="Z941" s="74"/>
      <c r="AA941" s="74"/>
      <c r="AB941" s="74"/>
      <c r="AC941" s="74"/>
      <c r="AJ941" s="74"/>
      <c r="AK941" s="74"/>
      <c r="AL941" s="74"/>
      <c r="AM941" s="74"/>
      <c r="AN941" s="74"/>
      <c r="AO941" s="74"/>
      <c r="AP941" s="74"/>
      <c r="AQ941" s="74"/>
      <c r="AR941" s="74"/>
      <c r="AS941" s="74"/>
      <c r="BD941" s="74"/>
      <c r="BE941" s="74"/>
      <c r="BF941" s="74"/>
      <c r="BG941" s="74"/>
      <c r="BH941" s="74"/>
      <c r="BI941" s="74"/>
    </row>
    <row r="942" spans="4:61" x14ac:dyDescent="0.3">
      <c r="D942" s="74"/>
      <c r="E942" s="74"/>
      <c r="F942" s="74"/>
      <c r="G942" s="134"/>
      <c r="U942" s="74"/>
      <c r="V942" s="74"/>
      <c r="W942" s="74"/>
      <c r="X942" s="74"/>
      <c r="Y942" s="74"/>
      <c r="Z942" s="74"/>
      <c r="AA942" s="74"/>
      <c r="AB942" s="74"/>
      <c r="AC942" s="74"/>
      <c r="AJ942" s="74"/>
      <c r="AK942" s="74"/>
      <c r="AL942" s="74"/>
      <c r="AM942" s="74"/>
      <c r="AN942" s="74"/>
      <c r="AO942" s="74"/>
      <c r="AP942" s="74"/>
      <c r="AQ942" s="74"/>
      <c r="AR942" s="74"/>
      <c r="AS942" s="74"/>
      <c r="BD942" s="74"/>
      <c r="BE942" s="74"/>
      <c r="BF942" s="74"/>
      <c r="BG942" s="74"/>
      <c r="BH942" s="74"/>
      <c r="BI942" s="74"/>
    </row>
    <row r="943" spans="4:61" x14ac:dyDescent="0.3">
      <c r="D943" s="74"/>
      <c r="E943" s="74"/>
      <c r="F943" s="74"/>
      <c r="G943" s="134"/>
      <c r="U943" s="74"/>
      <c r="V943" s="74"/>
      <c r="W943" s="74"/>
      <c r="X943" s="74"/>
      <c r="Y943" s="74"/>
      <c r="Z943" s="74"/>
      <c r="AA943" s="74"/>
      <c r="AB943" s="74"/>
      <c r="AC943" s="74"/>
      <c r="AJ943" s="74"/>
      <c r="AK943" s="74"/>
      <c r="AL943" s="74"/>
      <c r="AM943" s="74"/>
      <c r="AN943" s="74"/>
      <c r="AO943" s="74"/>
      <c r="AP943" s="74"/>
      <c r="AQ943" s="74"/>
      <c r="AR943" s="74"/>
      <c r="AS943" s="74"/>
      <c r="BD943" s="74"/>
      <c r="BE943" s="74"/>
      <c r="BF943" s="74"/>
      <c r="BG943" s="74"/>
      <c r="BH943" s="74"/>
      <c r="BI943" s="74"/>
    </row>
    <row r="944" spans="4:61" x14ac:dyDescent="0.3">
      <c r="D944" s="74"/>
      <c r="E944" s="74"/>
      <c r="F944" s="74"/>
      <c r="G944" s="134"/>
      <c r="U944" s="74"/>
      <c r="V944" s="74"/>
      <c r="W944" s="74"/>
      <c r="X944" s="74"/>
      <c r="Y944" s="74"/>
      <c r="Z944" s="74"/>
      <c r="AA944" s="74"/>
      <c r="AB944" s="74"/>
      <c r="AC944" s="74"/>
      <c r="AJ944" s="74"/>
      <c r="AK944" s="74"/>
      <c r="AL944" s="74"/>
      <c r="AM944" s="74"/>
      <c r="AN944" s="74"/>
      <c r="AO944" s="74"/>
      <c r="AP944" s="74"/>
      <c r="AQ944" s="74"/>
      <c r="AR944" s="74"/>
      <c r="AS944" s="74"/>
      <c r="BD944" s="74"/>
      <c r="BE944" s="74"/>
      <c r="BF944" s="74"/>
      <c r="BG944" s="74"/>
      <c r="BH944" s="74"/>
      <c r="BI944" s="74"/>
    </row>
    <row r="945" spans="4:61" x14ac:dyDescent="0.3">
      <c r="D945" s="74"/>
      <c r="E945" s="74"/>
      <c r="F945" s="74"/>
      <c r="G945" s="134"/>
      <c r="U945" s="74"/>
      <c r="V945" s="74"/>
      <c r="W945" s="74"/>
      <c r="X945" s="74"/>
      <c r="Y945" s="74"/>
      <c r="Z945" s="74"/>
      <c r="AA945" s="74"/>
      <c r="AB945" s="74"/>
      <c r="AC945" s="74"/>
      <c r="AJ945" s="74"/>
      <c r="AK945" s="74"/>
      <c r="AL945" s="74"/>
      <c r="AM945" s="74"/>
      <c r="AN945" s="74"/>
      <c r="AO945" s="74"/>
      <c r="AP945" s="74"/>
      <c r="AQ945" s="74"/>
      <c r="AR945" s="74"/>
      <c r="AS945" s="74"/>
      <c r="BD945" s="74"/>
      <c r="BE945" s="74"/>
      <c r="BF945" s="74"/>
      <c r="BG945" s="74"/>
      <c r="BH945" s="74"/>
      <c r="BI945" s="74"/>
    </row>
    <row r="946" spans="4:61" x14ac:dyDescent="0.3">
      <c r="D946" s="74"/>
      <c r="E946" s="74"/>
      <c r="F946" s="74"/>
      <c r="G946" s="134"/>
      <c r="U946" s="74"/>
      <c r="V946" s="74"/>
      <c r="W946" s="74"/>
      <c r="X946" s="74"/>
      <c r="Y946" s="74"/>
      <c r="Z946" s="74"/>
      <c r="AA946" s="74"/>
      <c r="AB946" s="74"/>
      <c r="AC946" s="74"/>
      <c r="AJ946" s="74"/>
      <c r="AK946" s="74"/>
      <c r="AL946" s="74"/>
      <c r="AM946" s="74"/>
      <c r="AN946" s="74"/>
      <c r="AO946" s="74"/>
      <c r="AP946" s="74"/>
      <c r="AQ946" s="74"/>
      <c r="AR946" s="74"/>
      <c r="AS946" s="74"/>
      <c r="BD946" s="74"/>
      <c r="BE946" s="74"/>
      <c r="BF946" s="74"/>
      <c r="BG946" s="74"/>
      <c r="BH946" s="74"/>
      <c r="BI946" s="74"/>
    </row>
    <row r="947" spans="4:61" x14ac:dyDescent="0.3">
      <c r="D947" s="74"/>
      <c r="E947" s="74"/>
      <c r="F947" s="74"/>
      <c r="G947" s="134"/>
      <c r="U947" s="74"/>
      <c r="V947" s="74"/>
      <c r="W947" s="74"/>
      <c r="X947" s="74"/>
      <c r="Y947" s="74"/>
      <c r="Z947" s="74"/>
      <c r="AA947" s="74"/>
      <c r="AB947" s="74"/>
      <c r="AC947" s="74"/>
      <c r="AJ947" s="74"/>
      <c r="AK947" s="74"/>
      <c r="AL947" s="74"/>
      <c r="AM947" s="74"/>
      <c r="AN947" s="74"/>
      <c r="AO947" s="74"/>
      <c r="AP947" s="74"/>
      <c r="AQ947" s="74"/>
      <c r="AR947" s="74"/>
      <c r="AS947" s="74"/>
      <c r="BD947" s="74"/>
      <c r="BE947" s="74"/>
      <c r="BF947" s="74"/>
      <c r="BG947" s="74"/>
      <c r="BH947" s="74"/>
      <c r="BI947" s="74"/>
    </row>
    <row r="948" spans="4:61" x14ac:dyDescent="0.3">
      <c r="D948" s="74"/>
      <c r="E948" s="74"/>
      <c r="F948" s="74"/>
      <c r="G948" s="134"/>
      <c r="U948" s="74"/>
      <c r="V948" s="74"/>
      <c r="W948" s="74"/>
      <c r="X948" s="74"/>
      <c r="Y948" s="74"/>
      <c r="Z948" s="74"/>
      <c r="AA948" s="74"/>
      <c r="AB948" s="74"/>
      <c r="AC948" s="74"/>
      <c r="AJ948" s="74"/>
      <c r="AK948" s="74"/>
      <c r="AL948" s="74"/>
      <c r="AM948" s="74"/>
      <c r="AN948" s="74"/>
      <c r="AO948" s="74"/>
      <c r="AP948" s="74"/>
      <c r="AQ948" s="74"/>
      <c r="AR948" s="74"/>
      <c r="AS948" s="74"/>
      <c r="BD948" s="74"/>
      <c r="BE948" s="74"/>
      <c r="BF948" s="74"/>
      <c r="BG948" s="74"/>
      <c r="BH948" s="74"/>
      <c r="BI948" s="74"/>
    </row>
    <row r="949" spans="4:61" x14ac:dyDescent="0.3">
      <c r="D949" s="74"/>
      <c r="E949" s="74"/>
      <c r="F949" s="74"/>
      <c r="G949" s="134"/>
      <c r="U949" s="74"/>
      <c r="V949" s="74"/>
      <c r="W949" s="74"/>
      <c r="X949" s="74"/>
      <c r="Y949" s="74"/>
      <c r="Z949" s="74"/>
      <c r="AA949" s="74"/>
      <c r="AB949" s="74"/>
      <c r="AC949" s="74"/>
      <c r="AJ949" s="74"/>
      <c r="AK949" s="74"/>
      <c r="AL949" s="74"/>
      <c r="AM949" s="74"/>
      <c r="AN949" s="74"/>
      <c r="AO949" s="74"/>
      <c r="AP949" s="74"/>
      <c r="AQ949" s="74"/>
      <c r="AR949" s="74"/>
      <c r="AS949" s="74"/>
      <c r="BD949" s="74"/>
      <c r="BE949" s="74"/>
      <c r="BF949" s="74"/>
      <c r="BG949" s="74"/>
      <c r="BH949" s="74"/>
      <c r="BI949" s="74"/>
    </row>
    <row r="950" spans="4:61" x14ac:dyDescent="0.3">
      <c r="D950" s="74"/>
      <c r="E950" s="74"/>
      <c r="F950" s="74"/>
      <c r="G950" s="134"/>
      <c r="U950" s="74"/>
      <c r="V950" s="74"/>
      <c r="W950" s="74"/>
      <c r="X950" s="74"/>
      <c r="Y950" s="74"/>
      <c r="Z950" s="74"/>
      <c r="AA950" s="74"/>
      <c r="AB950" s="74"/>
      <c r="AC950" s="74"/>
      <c r="AJ950" s="74"/>
      <c r="AK950" s="74"/>
      <c r="AL950" s="74"/>
      <c r="AM950" s="74"/>
      <c r="AN950" s="74"/>
      <c r="AO950" s="74"/>
      <c r="AP950" s="74"/>
      <c r="AQ950" s="74"/>
      <c r="AR950" s="74"/>
      <c r="AS950" s="74"/>
      <c r="BD950" s="74"/>
      <c r="BE950" s="74"/>
      <c r="BF950" s="74"/>
      <c r="BG950" s="74"/>
      <c r="BH950" s="74"/>
      <c r="BI950" s="74"/>
    </row>
    <row r="951" spans="4:61" x14ac:dyDescent="0.3">
      <c r="D951" s="74"/>
      <c r="E951" s="74"/>
      <c r="F951" s="74"/>
      <c r="G951" s="134"/>
      <c r="U951" s="74"/>
      <c r="V951" s="74"/>
      <c r="W951" s="74"/>
      <c r="X951" s="74"/>
      <c r="Y951" s="74"/>
      <c r="Z951" s="74"/>
      <c r="AA951" s="74"/>
      <c r="AB951" s="74"/>
      <c r="AC951" s="74"/>
      <c r="AJ951" s="74"/>
      <c r="AK951" s="74"/>
      <c r="AL951" s="74"/>
      <c r="AM951" s="74"/>
      <c r="AN951" s="74"/>
      <c r="AO951" s="74"/>
      <c r="AP951" s="74"/>
      <c r="AQ951" s="74"/>
      <c r="AR951" s="74"/>
      <c r="AS951" s="74"/>
      <c r="BD951" s="74"/>
      <c r="BE951" s="74"/>
      <c r="BF951" s="74"/>
      <c r="BG951" s="74"/>
      <c r="BH951" s="74"/>
      <c r="BI951" s="74"/>
    </row>
    <row r="952" spans="4:61" x14ac:dyDescent="0.3">
      <c r="D952" s="74"/>
      <c r="E952" s="74"/>
      <c r="F952" s="74"/>
      <c r="G952" s="134"/>
      <c r="U952" s="74"/>
      <c r="V952" s="74"/>
      <c r="W952" s="74"/>
      <c r="X952" s="74"/>
      <c r="Y952" s="74"/>
      <c r="Z952" s="74"/>
      <c r="AA952" s="74"/>
      <c r="AB952" s="74"/>
      <c r="AC952" s="74"/>
      <c r="AJ952" s="74"/>
      <c r="AK952" s="74"/>
      <c r="AL952" s="74"/>
      <c r="AM952" s="74"/>
      <c r="AN952" s="74"/>
      <c r="AO952" s="74"/>
      <c r="AP952" s="74"/>
      <c r="AQ952" s="74"/>
      <c r="AR952" s="74"/>
      <c r="AS952" s="74"/>
      <c r="BD952" s="74"/>
      <c r="BE952" s="74"/>
      <c r="BF952" s="74"/>
      <c r="BG952" s="74"/>
      <c r="BH952" s="74"/>
      <c r="BI952" s="74"/>
    </row>
    <row r="953" spans="4:61" x14ac:dyDescent="0.3">
      <c r="D953" s="74"/>
      <c r="E953" s="74"/>
      <c r="F953" s="74"/>
      <c r="G953" s="134"/>
      <c r="U953" s="74"/>
      <c r="V953" s="74"/>
      <c r="W953" s="74"/>
      <c r="X953" s="74"/>
      <c r="Y953" s="74"/>
      <c r="Z953" s="74"/>
      <c r="AA953" s="74"/>
      <c r="AB953" s="74"/>
      <c r="AC953" s="74"/>
      <c r="AJ953" s="74"/>
      <c r="AK953" s="74"/>
      <c r="AL953" s="74"/>
      <c r="AM953" s="74"/>
      <c r="AN953" s="74"/>
      <c r="AO953" s="74"/>
      <c r="AP953" s="74"/>
      <c r="AQ953" s="74"/>
      <c r="AR953" s="74"/>
      <c r="AS953" s="74"/>
      <c r="BD953" s="74"/>
      <c r="BE953" s="74"/>
      <c r="BF953" s="74"/>
      <c r="BG953" s="74"/>
      <c r="BH953" s="74"/>
      <c r="BI953" s="74"/>
    </row>
    <row r="954" spans="4:61" x14ac:dyDescent="0.3">
      <c r="D954" s="74"/>
      <c r="E954" s="74"/>
      <c r="F954" s="74"/>
      <c r="G954" s="134"/>
      <c r="U954" s="74"/>
      <c r="V954" s="74"/>
      <c r="W954" s="74"/>
      <c r="X954" s="74"/>
      <c r="Y954" s="74"/>
      <c r="Z954" s="74"/>
      <c r="AA954" s="74"/>
      <c r="AB954" s="74"/>
      <c r="AC954" s="74"/>
      <c r="AJ954" s="74"/>
      <c r="AK954" s="74"/>
      <c r="AL954" s="74"/>
      <c r="AM954" s="74"/>
      <c r="AN954" s="74"/>
      <c r="AO954" s="74"/>
      <c r="AP954" s="74"/>
      <c r="AQ954" s="74"/>
      <c r="AR954" s="74"/>
      <c r="AS954" s="74"/>
      <c r="BD954" s="74"/>
      <c r="BE954" s="74"/>
      <c r="BF954" s="74"/>
      <c r="BG954" s="74"/>
      <c r="BH954" s="74"/>
      <c r="BI954" s="74"/>
    </row>
    <row r="955" spans="4:61" x14ac:dyDescent="0.3">
      <c r="D955" s="74"/>
      <c r="E955" s="74"/>
      <c r="F955" s="74"/>
      <c r="G955" s="134"/>
      <c r="U955" s="74"/>
      <c r="V955" s="74"/>
      <c r="W955" s="74"/>
      <c r="X955" s="74"/>
      <c r="Y955" s="74"/>
      <c r="Z955" s="74"/>
      <c r="AA955" s="74"/>
      <c r="AB955" s="74"/>
      <c r="AC955" s="74"/>
      <c r="AJ955" s="74"/>
      <c r="AK955" s="74"/>
      <c r="AL955" s="74"/>
      <c r="AM955" s="74"/>
      <c r="AN955" s="74"/>
      <c r="AO955" s="74"/>
      <c r="AP955" s="74"/>
      <c r="AQ955" s="74"/>
      <c r="AR955" s="74"/>
      <c r="AS955" s="74"/>
      <c r="BD955" s="74"/>
      <c r="BE955" s="74"/>
      <c r="BF955" s="74"/>
      <c r="BG955" s="74"/>
      <c r="BH955" s="74"/>
      <c r="BI955" s="74"/>
    </row>
    <row r="956" spans="4:61" x14ac:dyDescent="0.3">
      <c r="D956" s="74"/>
      <c r="E956" s="74"/>
      <c r="F956" s="74"/>
      <c r="G956" s="134"/>
      <c r="U956" s="74"/>
      <c r="V956" s="74"/>
      <c r="W956" s="74"/>
      <c r="X956" s="74"/>
      <c r="Y956" s="74"/>
      <c r="Z956" s="74"/>
      <c r="AA956" s="74"/>
      <c r="AB956" s="74"/>
      <c r="AC956" s="74"/>
      <c r="AJ956" s="74"/>
      <c r="AK956" s="74"/>
      <c r="AL956" s="74"/>
      <c r="AM956" s="74"/>
      <c r="AN956" s="74"/>
      <c r="AO956" s="74"/>
      <c r="AP956" s="74"/>
      <c r="AQ956" s="74"/>
      <c r="AR956" s="74"/>
      <c r="AS956" s="74"/>
      <c r="BD956" s="74"/>
      <c r="BE956" s="74"/>
      <c r="BF956" s="74"/>
      <c r="BG956" s="74"/>
      <c r="BH956" s="74"/>
      <c r="BI956" s="74"/>
    </row>
    <row r="957" spans="4:61" x14ac:dyDescent="0.3">
      <c r="D957" s="74"/>
      <c r="E957" s="74"/>
      <c r="F957" s="74"/>
      <c r="G957" s="134"/>
      <c r="U957" s="74"/>
      <c r="V957" s="74"/>
      <c r="W957" s="74"/>
      <c r="X957" s="74"/>
      <c r="Y957" s="74"/>
      <c r="Z957" s="74"/>
      <c r="AA957" s="74"/>
      <c r="AB957" s="74"/>
      <c r="AC957" s="74"/>
      <c r="AJ957" s="74"/>
      <c r="AK957" s="74"/>
      <c r="AL957" s="74"/>
      <c r="AM957" s="74"/>
      <c r="AN957" s="74"/>
      <c r="AO957" s="74"/>
      <c r="AP957" s="74"/>
      <c r="AQ957" s="74"/>
      <c r="AR957" s="74"/>
      <c r="AS957" s="74"/>
      <c r="BD957" s="74"/>
      <c r="BE957" s="74"/>
      <c r="BF957" s="74"/>
      <c r="BG957" s="74"/>
      <c r="BH957" s="74"/>
      <c r="BI957" s="74"/>
    </row>
    <row r="958" spans="4:61" x14ac:dyDescent="0.3">
      <c r="D958" s="74"/>
      <c r="E958" s="74"/>
      <c r="F958" s="74"/>
      <c r="G958" s="134"/>
      <c r="U958" s="74"/>
      <c r="V958" s="74"/>
      <c r="W958" s="74"/>
      <c r="X958" s="74"/>
      <c r="Y958" s="74"/>
      <c r="Z958" s="74"/>
      <c r="AA958" s="74"/>
      <c r="AB958" s="74"/>
      <c r="AC958" s="74"/>
      <c r="AJ958" s="74"/>
      <c r="AK958" s="74"/>
      <c r="AL958" s="74"/>
      <c r="AM958" s="74"/>
      <c r="AN958" s="74"/>
      <c r="AO958" s="74"/>
      <c r="AP958" s="74"/>
      <c r="AQ958" s="74"/>
      <c r="AR958" s="74"/>
      <c r="AS958" s="74"/>
      <c r="BD958" s="74"/>
      <c r="BE958" s="74"/>
      <c r="BF958" s="74"/>
      <c r="BG958" s="74"/>
      <c r="BH958" s="74"/>
      <c r="BI958" s="74"/>
    </row>
    <row r="959" spans="4:61" x14ac:dyDescent="0.3">
      <c r="D959" s="74"/>
      <c r="E959" s="74"/>
      <c r="F959" s="74"/>
      <c r="G959" s="134"/>
      <c r="U959" s="74"/>
      <c r="V959" s="74"/>
      <c r="W959" s="74"/>
      <c r="X959" s="74"/>
      <c r="Y959" s="74"/>
      <c r="Z959" s="74"/>
      <c r="AA959" s="74"/>
      <c r="AB959" s="74"/>
      <c r="AC959" s="74"/>
      <c r="AJ959" s="74"/>
      <c r="AK959" s="74"/>
      <c r="AL959" s="74"/>
      <c r="AM959" s="74"/>
      <c r="AN959" s="74"/>
      <c r="AO959" s="74"/>
      <c r="AP959" s="74"/>
      <c r="AQ959" s="74"/>
      <c r="AR959" s="74"/>
      <c r="AS959" s="74"/>
      <c r="BD959" s="74"/>
      <c r="BE959" s="74"/>
      <c r="BF959" s="74"/>
      <c r="BG959" s="74"/>
      <c r="BH959" s="74"/>
      <c r="BI959" s="74"/>
    </row>
    <row r="960" spans="4:61" x14ac:dyDescent="0.3">
      <c r="D960" s="74"/>
      <c r="E960" s="74"/>
      <c r="F960" s="74"/>
      <c r="G960" s="134"/>
      <c r="U960" s="74"/>
      <c r="V960" s="74"/>
      <c r="W960" s="74"/>
      <c r="X960" s="74"/>
      <c r="Y960" s="74"/>
      <c r="Z960" s="74"/>
      <c r="AA960" s="74"/>
      <c r="AB960" s="74"/>
      <c r="AC960" s="74"/>
      <c r="AJ960" s="74"/>
      <c r="AK960" s="74"/>
      <c r="AL960" s="74"/>
      <c r="AM960" s="74"/>
      <c r="AN960" s="74"/>
      <c r="AO960" s="74"/>
      <c r="AP960" s="74"/>
      <c r="AQ960" s="74"/>
      <c r="AR960" s="74"/>
      <c r="AS960" s="74"/>
      <c r="BD960" s="74"/>
      <c r="BE960" s="74"/>
      <c r="BF960" s="74"/>
      <c r="BG960" s="74"/>
      <c r="BH960" s="74"/>
      <c r="BI960" s="74"/>
    </row>
    <row r="961" spans="4:61" x14ac:dyDescent="0.3">
      <c r="D961" s="74"/>
      <c r="E961" s="74"/>
      <c r="F961" s="74"/>
      <c r="G961" s="134"/>
      <c r="U961" s="74"/>
      <c r="V961" s="74"/>
      <c r="W961" s="74"/>
      <c r="X961" s="74"/>
      <c r="Y961" s="74"/>
      <c r="Z961" s="74"/>
      <c r="AA961" s="74"/>
      <c r="AB961" s="74"/>
      <c r="AC961" s="74"/>
      <c r="AJ961" s="74"/>
      <c r="AK961" s="74"/>
      <c r="AL961" s="74"/>
      <c r="AM961" s="74"/>
      <c r="AN961" s="74"/>
      <c r="AO961" s="74"/>
      <c r="AP961" s="74"/>
      <c r="AQ961" s="74"/>
      <c r="AR961" s="74"/>
      <c r="AS961" s="74"/>
      <c r="BD961" s="74"/>
      <c r="BE961" s="74"/>
      <c r="BF961" s="74"/>
      <c r="BG961" s="74"/>
      <c r="BH961" s="74"/>
      <c r="BI961" s="74"/>
    </row>
    <row r="962" spans="4:61" x14ac:dyDescent="0.3">
      <c r="D962" s="74"/>
      <c r="E962" s="74"/>
      <c r="F962" s="74"/>
      <c r="G962" s="134"/>
      <c r="U962" s="74"/>
      <c r="V962" s="74"/>
      <c r="W962" s="74"/>
      <c r="X962" s="74"/>
      <c r="Y962" s="74"/>
      <c r="Z962" s="74"/>
      <c r="AA962" s="74"/>
      <c r="AB962" s="74"/>
      <c r="AC962" s="74"/>
      <c r="AJ962" s="74"/>
      <c r="AK962" s="74"/>
      <c r="AL962" s="74"/>
      <c r="AM962" s="74"/>
      <c r="AN962" s="74"/>
      <c r="AO962" s="74"/>
      <c r="AP962" s="74"/>
      <c r="AQ962" s="74"/>
      <c r="AR962" s="74"/>
      <c r="AS962" s="74"/>
      <c r="BD962" s="74"/>
      <c r="BE962" s="74"/>
      <c r="BF962" s="74"/>
      <c r="BG962" s="74"/>
      <c r="BH962" s="74"/>
      <c r="BI962" s="74"/>
    </row>
    <row r="963" spans="4:61" x14ac:dyDescent="0.3">
      <c r="D963" s="74"/>
      <c r="E963" s="74"/>
      <c r="F963" s="74"/>
      <c r="G963" s="134"/>
      <c r="U963" s="74"/>
      <c r="V963" s="74"/>
      <c r="W963" s="74"/>
      <c r="X963" s="74"/>
      <c r="Y963" s="74"/>
      <c r="Z963" s="74"/>
      <c r="AA963" s="74"/>
      <c r="AB963" s="74"/>
      <c r="AC963" s="74"/>
      <c r="AJ963" s="74"/>
      <c r="AK963" s="74"/>
      <c r="AL963" s="74"/>
      <c r="AM963" s="74"/>
      <c r="AN963" s="74"/>
      <c r="AO963" s="74"/>
      <c r="AP963" s="74"/>
      <c r="AQ963" s="74"/>
      <c r="AR963" s="74"/>
      <c r="AS963" s="74"/>
      <c r="BD963" s="74"/>
      <c r="BE963" s="74"/>
      <c r="BF963" s="74"/>
      <c r="BG963" s="74"/>
      <c r="BH963" s="74"/>
      <c r="BI963" s="74"/>
    </row>
    <row r="964" spans="4:61" x14ac:dyDescent="0.3">
      <c r="D964" s="74"/>
      <c r="E964" s="74"/>
      <c r="F964" s="74"/>
      <c r="G964" s="134"/>
      <c r="U964" s="74"/>
      <c r="V964" s="74"/>
      <c r="W964" s="74"/>
      <c r="X964" s="74"/>
      <c r="Y964" s="74"/>
      <c r="Z964" s="74"/>
      <c r="AA964" s="74"/>
      <c r="AB964" s="74"/>
      <c r="AC964" s="74"/>
      <c r="AJ964" s="74"/>
      <c r="AK964" s="74"/>
      <c r="AL964" s="74"/>
      <c r="AM964" s="74"/>
      <c r="AN964" s="74"/>
      <c r="AO964" s="74"/>
      <c r="AP964" s="74"/>
      <c r="AQ964" s="74"/>
      <c r="AR964" s="74"/>
      <c r="AS964" s="74"/>
      <c r="BD964" s="74"/>
      <c r="BE964" s="74"/>
      <c r="BF964" s="74"/>
      <c r="BG964" s="74"/>
      <c r="BH964" s="74"/>
      <c r="BI964" s="74"/>
    </row>
    <row r="965" spans="4:61" x14ac:dyDescent="0.3">
      <c r="D965" s="74"/>
      <c r="E965" s="74"/>
      <c r="F965" s="74"/>
      <c r="G965" s="134"/>
      <c r="U965" s="74"/>
      <c r="V965" s="74"/>
      <c r="W965" s="74"/>
      <c r="X965" s="74"/>
      <c r="Y965" s="74"/>
      <c r="Z965" s="74"/>
      <c r="AA965" s="74"/>
      <c r="AB965" s="74"/>
      <c r="AC965" s="74"/>
      <c r="AJ965" s="74"/>
      <c r="AK965" s="74"/>
      <c r="AL965" s="74"/>
      <c r="AM965" s="74"/>
      <c r="AN965" s="74"/>
      <c r="AO965" s="74"/>
      <c r="AP965" s="74"/>
      <c r="AQ965" s="74"/>
      <c r="AR965" s="74"/>
      <c r="AS965" s="74"/>
      <c r="BD965" s="74"/>
      <c r="BE965" s="74"/>
      <c r="BF965" s="74"/>
      <c r="BG965" s="74"/>
      <c r="BH965" s="74"/>
      <c r="BI965" s="74"/>
    </row>
    <row r="966" spans="4:61" x14ac:dyDescent="0.3">
      <c r="D966" s="74"/>
      <c r="E966" s="74"/>
      <c r="F966" s="74"/>
      <c r="G966" s="134"/>
      <c r="U966" s="74"/>
      <c r="V966" s="74"/>
      <c r="W966" s="74"/>
      <c r="X966" s="74"/>
      <c r="Y966" s="74"/>
      <c r="Z966" s="74"/>
      <c r="AA966" s="74"/>
      <c r="AB966" s="74"/>
      <c r="AC966" s="74"/>
      <c r="AJ966" s="74"/>
      <c r="AK966" s="74"/>
      <c r="AL966" s="74"/>
      <c r="AM966" s="74"/>
      <c r="AN966" s="74"/>
      <c r="AO966" s="74"/>
      <c r="AP966" s="74"/>
      <c r="AQ966" s="74"/>
      <c r="AR966" s="74"/>
      <c r="AS966" s="74"/>
      <c r="BD966" s="74"/>
      <c r="BE966" s="74"/>
      <c r="BF966" s="74"/>
      <c r="BG966" s="74"/>
      <c r="BH966" s="74"/>
      <c r="BI966" s="74"/>
    </row>
    <row r="967" spans="4:61" x14ac:dyDescent="0.3">
      <c r="D967" s="74"/>
      <c r="E967" s="74"/>
      <c r="F967" s="74"/>
      <c r="G967" s="134"/>
      <c r="U967" s="74"/>
      <c r="V967" s="74"/>
      <c r="W967" s="74"/>
      <c r="X967" s="74"/>
      <c r="Y967" s="74"/>
      <c r="Z967" s="74"/>
      <c r="AA967" s="74"/>
      <c r="AB967" s="74"/>
      <c r="AC967" s="74"/>
      <c r="AJ967" s="74"/>
      <c r="AK967" s="74"/>
      <c r="AL967" s="74"/>
      <c r="AM967" s="74"/>
      <c r="AN967" s="74"/>
      <c r="AO967" s="74"/>
      <c r="AP967" s="74"/>
      <c r="AQ967" s="74"/>
      <c r="AR967" s="74"/>
      <c r="AS967" s="74"/>
      <c r="BD967" s="74"/>
      <c r="BE967" s="74"/>
      <c r="BF967" s="74"/>
      <c r="BG967" s="74"/>
      <c r="BH967" s="74"/>
      <c r="BI967" s="74"/>
    </row>
    <row r="968" spans="4:61" x14ac:dyDescent="0.3">
      <c r="D968" s="74"/>
      <c r="E968" s="74"/>
      <c r="F968" s="74"/>
      <c r="G968" s="134"/>
      <c r="U968" s="74"/>
      <c r="V968" s="74"/>
      <c r="W968" s="74"/>
      <c r="X968" s="74"/>
      <c r="Y968" s="74"/>
      <c r="Z968" s="74"/>
      <c r="AA968" s="74"/>
      <c r="AB968" s="74"/>
      <c r="AC968" s="74"/>
      <c r="AJ968" s="74"/>
      <c r="AK968" s="74"/>
      <c r="AL968" s="74"/>
      <c r="AM968" s="74"/>
      <c r="AN968" s="74"/>
      <c r="AO968" s="74"/>
      <c r="AP968" s="74"/>
      <c r="AQ968" s="74"/>
      <c r="AR968" s="74"/>
      <c r="AS968" s="74"/>
      <c r="BD968" s="74"/>
      <c r="BE968" s="74"/>
      <c r="BF968" s="74"/>
      <c r="BG968" s="74"/>
      <c r="BH968" s="74"/>
      <c r="BI968" s="74"/>
    </row>
    <row r="969" spans="4:61" x14ac:dyDescent="0.3">
      <c r="D969" s="74"/>
      <c r="E969" s="74"/>
      <c r="F969" s="74"/>
      <c r="G969" s="134"/>
      <c r="U969" s="74"/>
      <c r="V969" s="74"/>
      <c r="W969" s="74"/>
      <c r="X969" s="74"/>
      <c r="Y969" s="74"/>
      <c r="Z969" s="74"/>
      <c r="AA969" s="74"/>
      <c r="AB969" s="74"/>
      <c r="AC969" s="74"/>
      <c r="AJ969" s="74"/>
      <c r="AK969" s="74"/>
      <c r="AL969" s="74"/>
      <c r="AM969" s="74"/>
      <c r="AN969" s="74"/>
      <c r="AO969" s="74"/>
      <c r="AP969" s="74"/>
      <c r="AQ969" s="74"/>
      <c r="AR969" s="74"/>
      <c r="AS969" s="74"/>
      <c r="BD969" s="74"/>
      <c r="BE969" s="74"/>
      <c r="BF969" s="74"/>
      <c r="BG969" s="74"/>
      <c r="BH969" s="74"/>
      <c r="BI969" s="74"/>
    </row>
    <row r="970" spans="4:61" x14ac:dyDescent="0.3">
      <c r="D970" s="74"/>
      <c r="E970" s="74"/>
      <c r="F970" s="74"/>
      <c r="G970" s="134"/>
      <c r="U970" s="74"/>
      <c r="V970" s="74"/>
      <c r="W970" s="74"/>
      <c r="X970" s="74"/>
      <c r="Y970" s="74"/>
      <c r="Z970" s="74"/>
      <c r="AA970" s="74"/>
      <c r="AB970" s="74"/>
      <c r="AC970" s="74"/>
      <c r="AJ970" s="74"/>
      <c r="AK970" s="74"/>
      <c r="AL970" s="74"/>
      <c r="AM970" s="74"/>
      <c r="AN970" s="74"/>
      <c r="AO970" s="74"/>
      <c r="AP970" s="74"/>
      <c r="AQ970" s="74"/>
      <c r="AR970" s="74"/>
      <c r="AS970" s="74"/>
      <c r="BD970" s="74"/>
      <c r="BE970" s="74"/>
      <c r="BF970" s="74"/>
      <c r="BG970" s="74"/>
      <c r="BH970" s="74"/>
      <c r="BI970" s="74"/>
    </row>
    <row r="971" spans="4:61" x14ac:dyDescent="0.3">
      <c r="D971" s="74"/>
      <c r="E971" s="74"/>
      <c r="F971" s="74"/>
      <c r="G971" s="134"/>
      <c r="U971" s="74"/>
      <c r="V971" s="74"/>
      <c r="W971" s="74"/>
      <c r="X971" s="74"/>
      <c r="Y971" s="74"/>
      <c r="Z971" s="74"/>
      <c r="AA971" s="74"/>
      <c r="AB971" s="74"/>
      <c r="AC971" s="74"/>
      <c r="AJ971" s="74"/>
      <c r="AK971" s="74"/>
      <c r="AL971" s="74"/>
      <c r="AM971" s="74"/>
      <c r="AN971" s="74"/>
      <c r="AO971" s="74"/>
      <c r="AP971" s="74"/>
      <c r="AQ971" s="74"/>
      <c r="AR971" s="74"/>
      <c r="AS971" s="74"/>
      <c r="BD971" s="74"/>
      <c r="BE971" s="74"/>
      <c r="BF971" s="74"/>
      <c r="BG971" s="74"/>
      <c r="BH971" s="74"/>
      <c r="BI971" s="74"/>
    </row>
    <row r="972" spans="4:61" x14ac:dyDescent="0.3">
      <c r="D972" s="74"/>
      <c r="E972" s="74"/>
      <c r="F972" s="74"/>
      <c r="G972" s="134"/>
      <c r="U972" s="74"/>
      <c r="V972" s="74"/>
      <c r="W972" s="74"/>
      <c r="X972" s="74"/>
      <c r="Y972" s="74"/>
      <c r="Z972" s="74"/>
      <c r="AA972" s="74"/>
      <c r="AB972" s="74"/>
      <c r="AC972" s="74"/>
      <c r="AJ972" s="74"/>
      <c r="AK972" s="74"/>
      <c r="AL972" s="74"/>
      <c r="AM972" s="74"/>
      <c r="AN972" s="74"/>
      <c r="AO972" s="74"/>
      <c r="AP972" s="74"/>
      <c r="AQ972" s="74"/>
      <c r="AR972" s="74"/>
      <c r="AS972" s="74"/>
      <c r="BD972" s="74"/>
      <c r="BE972" s="74"/>
      <c r="BF972" s="74"/>
      <c r="BG972" s="74"/>
      <c r="BH972" s="74"/>
      <c r="BI972" s="74"/>
    </row>
    <row r="973" spans="4:61" x14ac:dyDescent="0.3">
      <c r="D973" s="74"/>
      <c r="E973" s="74"/>
      <c r="F973" s="74"/>
      <c r="G973" s="134"/>
      <c r="U973" s="74"/>
      <c r="V973" s="74"/>
      <c r="W973" s="74"/>
      <c r="X973" s="74"/>
      <c r="Y973" s="74"/>
      <c r="Z973" s="74"/>
      <c r="AA973" s="74"/>
      <c r="AB973" s="74"/>
      <c r="AC973" s="74"/>
      <c r="AJ973" s="74"/>
      <c r="AK973" s="74"/>
      <c r="AL973" s="74"/>
      <c r="AM973" s="74"/>
      <c r="AN973" s="74"/>
      <c r="AO973" s="74"/>
      <c r="AP973" s="74"/>
      <c r="AQ973" s="74"/>
      <c r="AR973" s="74"/>
      <c r="AS973" s="74"/>
      <c r="BD973" s="74"/>
      <c r="BE973" s="74"/>
      <c r="BF973" s="74"/>
      <c r="BG973" s="74"/>
      <c r="BH973" s="74"/>
      <c r="BI973" s="74"/>
    </row>
    <row r="974" spans="4:61" x14ac:dyDescent="0.3">
      <c r="D974" s="74"/>
      <c r="E974" s="74"/>
      <c r="F974" s="74"/>
      <c r="G974" s="134"/>
      <c r="U974" s="74"/>
      <c r="V974" s="74"/>
      <c r="W974" s="74"/>
      <c r="X974" s="74"/>
      <c r="Y974" s="74"/>
      <c r="Z974" s="74"/>
      <c r="AA974" s="74"/>
      <c r="AB974" s="74"/>
      <c r="AC974" s="74"/>
      <c r="AJ974" s="74"/>
      <c r="AK974" s="74"/>
      <c r="AL974" s="74"/>
      <c r="AM974" s="74"/>
      <c r="AN974" s="74"/>
      <c r="AO974" s="74"/>
      <c r="AP974" s="74"/>
      <c r="AQ974" s="74"/>
      <c r="AR974" s="74"/>
      <c r="AS974" s="74"/>
      <c r="BD974" s="74"/>
      <c r="BE974" s="74"/>
      <c r="BF974" s="74"/>
      <c r="BG974" s="74"/>
      <c r="BH974" s="74"/>
      <c r="BI974" s="74"/>
    </row>
    <row r="975" spans="4:61" x14ac:dyDescent="0.3">
      <c r="D975" s="74"/>
      <c r="E975" s="74"/>
      <c r="F975" s="74"/>
      <c r="G975" s="134"/>
      <c r="U975" s="74"/>
      <c r="V975" s="74"/>
      <c r="W975" s="74"/>
      <c r="X975" s="74"/>
      <c r="Y975" s="74"/>
      <c r="Z975" s="74"/>
      <c r="AA975" s="74"/>
      <c r="AB975" s="74"/>
      <c r="AC975" s="74"/>
      <c r="AJ975" s="74"/>
      <c r="AK975" s="74"/>
      <c r="AL975" s="74"/>
      <c r="AM975" s="74"/>
      <c r="AN975" s="74"/>
      <c r="AO975" s="74"/>
      <c r="AP975" s="74"/>
      <c r="AQ975" s="74"/>
      <c r="AR975" s="74"/>
      <c r="AS975" s="74"/>
      <c r="BD975" s="74"/>
      <c r="BE975" s="74"/>
      <c r="BF975" s="74"/>
      <c r="BG975" s="74"/>
      <c r="BH975" s="74"/>
      <c r="BI975" s="74"/>
    </row>
    <row r="976" spans="4:61" x14ac:dyDescent="0.3">
      <c r="D976" s="74"/>
      <c r="E976" s="74"/>
      <c r="F976" s="74"/>
      <c r="G976" s="134"/>
      <c r="U976" s="74"/>
      <c r="V976" s="74"/>
      <c r="W976" s="74"/>
      <c r="X976" s="74"/>
      <c r="Y976" s="74"/>
      <c r="Z976" s="74"/>
      <c r="AA976" s="74"/>
      <c r="AB976" s="74"/>
      <c r="AC976" s="74"/>
      <c r="AJ976" s="74"/>
      <c r="AK976" s="74"/>
      <c r="AL976" s="74"/>
      <c r="AM976" s="74"/>
      <c r="AN976" s="74"/>
      <c r="AO976" s="74"/>
      <c r="AP976" s="74"/>
      <c r="AQ976" s="74"/>
      <c r="AR976" s="74"/>
      <c r="AS976" s="74"/>
      <c r="BD976" s="74"/>
      <c r="BE976" s="74"/>
      <c r="BF976" s="74"/>
      <c r="BG976" s="74"/>
      <c r="BH976" s="74"/>
      <c r="BI976" s="74"/>
    </row>
    <row r="977" spans="4:61" x14ac:dyDescent="0.3">
      <c r="D977" s="74"/>
      <c r="E977" s="74"/>
      <c r="F977" s="74"/>
      <c r="G977" s="134"/>
      <c r="U977" s="74"/>
      <c r="V977" s="74"/>
      <c r="W977" s="74"/>
      <c r="X977" s="74"/>
      <c r="Y977" s="74"/>
      <c r="Z977" s="74"/>
      <c r="AA977" s="74"/>
      <c r="AB977" s="74"/>
      <c r="AC977" s="74"/>
      <c r="AJ977" s="74"/>
      <c r="AK977" s="74"/>
      <c r="AL977" s="74"/>
      <c r="AM977" s="74"/>
      <c r="AN977" s="74"/>
      <c r="AO977" s="74"/>
      <c r="AP977" s="74"/>
      <c r="AQ977" s="74"/>
      <c r="AR977" s="74"/>
      <c r="AS977" s="74"/>
      <c r="BD977" s="74"/>
      <c r="BE977" s="74"/>
      <c r="BF977" s="74"/>
      <c r="BG977" s="74"/>
      <c r="BH977" s="74"/>
      <c r="BI977" s="74"/>
    </row>
    <row r="978" spans="4:61" x14ac:dyDescent="0.3">
      <c r="D978" s="74"/>
      <c r="E978" s="74"/>
      <c r="F978" s="74"/>
      <c r="G978" s="134"/>
      <c r="U978" s="74"/>
      <c r="V978" s="74"/>
      <c r="W978" s="74"/>
      <c r="X978" s="74"/>
      <c r="Y978" s="74"/>
      <c r="Z978" s="74"/>
      <c r="AA978" s="74"/>
      <c r="AB978" s="74"/>
      <c r="AC978" s="74"/>
      <c r="AJ978" s="74"/>
      <c r="AK978" s="74"/>
      <c r="AL978" s="74"/>
      <c r="AM978" s="74"/>
      <c r="AN978" s="74"/>
      <c r="AO978" s="74"/>
      <c r="AP978" s="74"/>
      <c r="AQ978" s="74"/>
      <c r="AR978" s="74"/>
      <c r="AS978" s="74"/>
      <c r="BD978" s="74"/>
      <c r="BE978" s="74"/>
      <c r="BF978" s="74"/>
      <c r="BG978" s="74"/>
      <c r="BH978" s="74"/>
      <c r="BI978" s="74"/>
    </row>
    <row r="979" spans="4:61" x14ac:dyDescent="0.3">
      <c r="D979" s="74"/>
      <c r="E979" s="74"/>
      <c r="F979" s="74"/>
      <c r="G979" s="134"/>
      <c r="U979" s="74"/>
      <c r="V979" s="74"/>
      <c r="W979" s="74"/>
      <c r="X979" s="74"/>
      <c r="Y979" s="74"/>
      <c r="Z979" s="74"/>
      <c r="AA979" s="74"/>
      <c r="AB979" s="74"/>
      <c r="AC979" s="74"/>
      <c r="AJ979" s="74"/>
      <c r="AK979" s="74"/>
      <c r="AL979" s="74"/>
      <c r="AM979" s="74"/>
      <c r="AN979" s="74"/>
      <c r="AO979" s="74"/>
      <c r="AP979" s="74"/>
      <c r="AQ979" s="74"/>
      <c r="AR979" s="74"/>
      <c r="AS979" s="74"/>
      <c r="BD979" s="74"/>
      <c r="BE979" s="74"/>
      <c r="BF979" s="74"/>
      <c r="BG979" s="74"/>
      <c r="BH979" s="74"/>
      <c r="BI979" s="74"/>
    </row>
    <row r="980" spans="4:61" x14ac:dyDescent="0.3">
      <c r="D980" s="74"/>
      <c r="E980" s="74"/>
      <c r="F980" s="74"/>
      <c r="G980" s="134"/>
      <c r="U980" s="74"/>
      <c r="V980" s="74"/>
      <c r="W980" s="74"/>
      <c r="X980" s="74"/>
      <c r="Y980" s="74"/>
      <c r="Z980" s="74"/>
      <c r="AA980" s="74"/>
      <c r="AB980" s="74"/>
      <c r="AC980" s="74"/>
      <c r="AJ980" s="74"/>
      <c r="AK980" s="74"/>
      <c r="AL980" s="74"/>
      <c r="AM980" s="74"/>
      <c r="AN980" s="74"/>
      <c r="AO980" s="74"/>
      <c r="AP980" s="74"/>
      <c r="AQ980" s="74"/>
      <c r="AR980" s="74"/>
      <c r="AS980" s="74"/>
      <c r="BD980" s="74"/>
      <c r="BE980" s="74"/>
      <c r="BF980" s="74"/>
      <c r="BG980" s="74"/>
      <c r="BH980" s="74"/>
      <c r="BI980" s="74"/>
    </row>
    <row r="981" spans="4:61" x14ac:dyDescent="0.3">
      <c r="D981" s="74"/>
      <c r="E981" s="74"/>
      <c r="F981" s="74"/>
      <c r="G981" s="134"/>
      <c r="U981" s="74"/>
      <c r="V981" s="74"/>
      <c r="W981" s="74"/>
      <c r="X981" s="74"/>
      <c r="Y981" s="74"/>
      <c r="Z981" s="74"/>
      <c r="AA981" s="74"/>
      <c r="AB981" s="74"/>
      <c r="AC981" s="74"/>
      <c r="AJ981" s="74"/>
      <c r="AK981" s="74"/>
      <c r="AL981" s="74"/>
      <c r="AM981" s="74"/>
      <c r="AN981" s="74"/>
      <c r="AO981" s="74"/>
      <c r="AP981" s="74"/>
      <c r="AQ981" s="74"/>
      <c r="AR981" s="74"/>
      <c r="AS981" s="74"/>
      <c r="BD981" s="74"/>
      <c r="BE981" s="74"/>
      <c r="BF981" s="74"/>
      <c r="BG981" s="74"/>
      <c r="BH981" s="74"/>
      <c r="BI981" s="74"/>
    </row>
    <row r="982" spans="4:61" x14ac:dyDescent="0.3">
      <c r="D982" s="74"/>
      <c r="E982" s="74"/>
      <c r="F982" s="74"/>
      <c r="G982" s="134"/>
      <c r="U982" s="74"/>
      <c r="V982" s="74"/>
      <c r="W982" s="74"/>
      <c r="X982" s="74"/>
      <c r="Y982" s="74"/>
      <c r="Z982" s="74"/>
      <c r="AA982" s="74"/>
      <c r="AB982" s="74"/>
      <c r="AC982" s="74"/>
      <c r="AJ982" s="74"/>
      <c r="AK982" s="74"/>
      <c r="AL982" s="74"/>
      <c r="AM982" s="74"/>
      <c r="AN982" s="74"/>
      <c r="AO982" s="74"/>
      <c r="AP982" s="74"/>
      <c r="AQ982" s="74"/>
      <c r="AR982" s="74"/>
      <c r="AS982" s="74"/>
      <c r="BD982" s="74"/>
      <c r="BE982" s="74"/>
      <c r="BF982" s="74"/>
      <c r="BG982" s="74"/>
      <c r="BH982" s="74"/>
      <c r="BI982" s="74"/>
    </row>
    <row r="983" spans="4:61" x14ac:dyDescent="0.3">
      <c r="D983" s="74"/>
      <c r="E983" s="74"/>
      <c r="F983" s="74"/>
      <c r="G983" s="134"/>
      <c r="U983" s="74"/>
      <c r="V983" s="74"/>
      <c r="W983" s="74"/>
      <c r="X983" s="74"/>
      <c r="Y983" s="74"/>
      <c r="Z983" s="74"/>
      <c r="AA983" s="74"/>
      <c r="AB983" s="74"/>
      <c r="AC983" s="74"/>
      <c r="AJ983" s="74"/>
      <c r="AK983" s="74"/>
      <c r="AL983" s="74"/>
      <c r="AM983" s="74"/>
      <c r="AN983" s="74"/>
      <c r="AO983" s="74"/>
      <c r="AP983" s="74"/>
      <c r="AQ983" s="74"/>
      <c r="AR983" s="74"/>
      <c r="AS983" s="74"/>
      <c r="BD983" s="74"/>
      <c r="BE983" s="74"/>
      <c r="BF983" s="74"/>
      <c r="BG983" s="74"/>
      <c r="BH983" s="74"/>
      <c r="BI983" s="74"/>
    </row>
    <row r="984" spans="4:61" x14ac:dyDescent="0.3">
      <c r="D984" s="74"/>
      <c r="E984" s="74"/>
      <c r="F984" s="74"/>
      <c r="G984" s="134"/>
      <c r="U984" s="74"/>
      <c r="V984" s="74"/>
      <c r="W984" s="74"/>
      <c r="X984" s="74"/>
      <c r="Y984" s="74"/>
      <c r="Z984" s="74"/>
      <c r="AA984" s="74"/>
      <c r="AB984" s="74"/>
      <c r="AC984" s="74"/>
      <c r="AJ984" s="74"/>
      <c r="AK984" s="74"/>
      <c r="AL984" s="74"/>
      <c r="AM984" s="74"/>
      <c r="AN984" s="74"/>
      <c r="AO984" s="74"/>
      <c r="AP984" s="74"/>
      <c r="AQ984" s="74"/>
      <c r="AR984" s="74"/>
      <c r="AS984" s="74"/>
      <c r="BD984" s="74"/>
      <c r="BE984" s="74"/>
      <c r="BF984" s="74"/>
      <c r="BG984" s="74"/>
      <c r="BH984" s="74"/>
      <c r="BI984" s="74"/>
    </row>
    <row r="985" spans="4:61" x14ac:dyDescent="0.3">
      <c r="D985" s="74"/>
      <c r="E985" s="74"/>
      <c r="F985" s="74"/>
      <c r="G985" s="134"/>
      <c r="U985" s="74"/>
      <c r="V985" s="74"/>
      <c r="W985" s="74"/>
      <c r="X985" s="74"/>
      <c r="Y985" s="74"/>
      <c r="Z985" s="74"/>
      <c r="AA985" s="74"/>
      <c r="AB985" s="74"/>
      <c r="AC985" s="74"/>
      <c r="AJ985" s="74"/>
      <c r="AK985" s="74"/>
      <c r="AL985" s="74"/>
      <c r="AM985" s="74"/>
      <c r="AN985" s="74"/>
      <c r="AO985" s="74"/>
      <c r="AP985" s="74"/>
      <c r="AQ985" s="74"/>
      <c r="AR985" s="74"/>
      <c r="AS985" s="74"/>
      <c r="BD985" s="74"/>
      <c r="BE985" s="74"/>
      <c r="BF985" s="74"/>
      <c r="BG985" s="74"/>
      <c r="BH985" s="74"/>
      <c r="BI985" s="74"/>
    </row>
    <row r="986" spans="4:61" x14ac:dyDescent="0.3">
      <c r="D986" s="74"/>
      <c r="E986" s="74"/>
      <c r="F986" s="74"/>
      <c r="G986" s="134"/>
      <c r="U986" s="74"/>
      <c r="V986" s="74"/>
      <c r="W986" s="74"/>
      <c r="X986" s="74"/>
      <c r="Y986" s="74"/>
      <c r="Z986" s="74"/>
      <c r="AA986" s="74"/>
      <c r="AB986" s="74"/>
      <c r="AC986" s="74"/>
      <c r="AJ986" s="74"/>
      <c r="AK986" s="74"/>
      <c r="AL986" s="74"/>
      <c r="AM986" s="74"/>
      <c r="AN986" s="74"/>
      <c r="AO986" s="74"/>
      <c r="AP986" s="74"/>
      <c r="AQ986" s="74"/>
      <c r="AR986" s="74"/>
      <c r="AS986" s="74"/>
      <c r="BD986" s="74"/>
      <c r="BE986" s="74"/>
      <c r="BF986" s="74"/>
      <c r="BG986" s="74"/>
      <c r="BH986" s="74"/>
      <c r="BI986" s="74"/>
    </row>
    <row r="987" spans="4:61" x14ac:dyDescent="0.3">
      <c r="D987" s="74"/>
      <c r="E987" s="74"/>
      <c r="F987" s="74"/>
      <c r="G987" s="134"/>
      <c r="U987" s="74"/>
      <c r="V987" s="74"/>
      <c r="W987" s="74"/>
      <c r="X987" s="74"/>
      <c r="Y987" s="74"/>
      <c r="Z987" s="74"/>
      <c r="AA987" s="74"/>
      <c r="AB987" s="74"/>
      <c r="AC987" s="74"/>
      <c r="AJ987" s="74"/>
      <c r="AK987" s="74"/>
      <c r="AL987" s="74"/>
      <c r="AM987" s="74"/>
      <c r="AN987" s="74"/>
      <c r="AO987" s="74"/>
      <c r="AP987" s="74"/>
      <c r="AQ987" s="74"/>
      <c r="AR987" s="74"/>
      <c r="AS987" s="74"/>
      <c r="BD987" s="74"/>
      <c r="BE987" s="74"/>
      <c r="BF987" s="74"/>
      <c r="BG987" s="74"/>
      <c r="BH987" s="74"/>
      <c r="BI987" s="74"/>
    </row>
    <row r="988" spans="4:61" x14ac:dyDescent="0.3">
      <c r="D988" s="74"/>
      <c r="E988" s="74"/>
      <c r="F988" s="74"/>
      <c r="G988" s="134"/>
      <c r="U988" s="74"/>
      <c r="V988" s="74"/>
      <c r="W988" s="74"/>
      <c r="X988" s="74"/>
      <c r="Y988" s="74"/>
      <c r="Z988" s="74"/>
      <c r="AA988" s="74"/>
      <c r="AB988" s="74"/>
      <c r="AC988" s="74"/>
      <c r="AJ988" s="74"/>
      <c r="AK988" s="74"/>
      <c r="AL988" s="74"/>
      <c r="AM988" s="74"/>
      <c r="AN988" s="74"/>
      <c r="AO988" s="74"/>
      <c r="AP988" s="74"/>
      <c r="AQ988" s="74"/>
      <c r="AR988" s="74"/>
      <c r="AS988" s="74"/>
      <c r="BD988" s="74"/>
      <c r="BE988" s="74"/>
      <c r="BF988" s="74"/>
      <c r="BG988" s="74"/>
      <c r="BH988" s="74"/>
      <c r="BI988" s="74"/>
    </row>
    <row r="989" spans="4:61" x14ac:dyDescent="0.3">
      <c r="D989" s="74"/>
      <c r="E989" s="74"/>
      <c r="F989" s="74"/>
      <c r="G989" s="134"/>
      <c r="U989" s="74"/>
      <c r="V989" s="74"/>
      <c r="W989" s="74"/>
      <c r="X989" s="74"/>
      <c r="Y989" s="74"/>
      <c r="Z989" s="74"/>
      <c r="AA989" s="74"/>
      <c r="AB989" s="74"/>
      <c r="AC989" s="74"/>
      <c r="AJ989" s="74"/>
      <c r="AK989" s="74"/>
      <c r="AL989" s="74"/>
      <c r="AM989" s="74"/>
      <c r="AN989" s="74"/>
      <c r="AO989" s="74"/>
      <c r="AP989" s="74"/>
      <c r="AQ989" s="74"/>
      <c r="AR989" s="74"/>
      <c r="AS989" s="74"/>
      <c r="BD989" s="74"/>
      <c r="BE989" s="74"/>
      <c r="BF989" s="74"/>
      <c r="BG989" s="74"/>
      <c r="BH989" s="74"/>
      <c r="BI989" s="74"/>
    </row>
    <row r="990" spans="4:61" x14ac:dyDescent="0.3">
      <c r="D990" s="74"/>
      <c r="E990" s="74"/>
      <c r="F990" s="74"/>
      <c r="G990" s="134"/>
      <c r="U990" s="74"/>
      <c r="V990" s="74"/>
      <c r="W990" s="74"/>
      <c r="X990" s="74"/>
      <c r="Y990" s="74"/>
      <c r="Z990" s="74"/>
      <c r="AA990" s="74"/>
      <c r="AB990" s="74"/>
      <c r="AC990" s="74"/>
      <c r="AJ990" s="74"/>
      <c r="AK990" s="74"/>
      <c r="AL990" s="74"/>
      <c r="AM990" s="74"/>
      <c r="AN990" s="74"/>
      <c r="AO990" s="74"/>
      <c r="AP990" s="74"/>
      <c r="AQ990" s="74"/>
      <c r="AR990" s="74"/>
      <c r="AS990" s="74"/>
      <c r="BD990" s="74"/>
      <c r="BE990" s="74"/>
      <c r="BF990" s="74"/>
      <c r="BG990" s="74"/>
      <c r="BH990" s="74"/>
      <c r="BI990" s="74"/>
    </row>
    <row r="991" spans="4:61" x14ac:dyDescent="0.3">
      <c r="D991" s="74"/>
      <c r="E991" s="74"/>
      <c r="F991" s="74"/>
      <c r="G991" s="134"/>
      <c r="U991" s="74"/>
      <c r="V991" s="74"/>
      <c r="W991" s="74"/>
      <c r="X991" s="74"/>
      <c r="Y991" s="74"/>
      <c r="Z991" s="74"/>
      <c r="AA991" s="74"/>
      <c r="AB991" s="74"/>
      <c r="AC991" s="74"/>
      <c r="AJ991" s="74"/>
      <c r="AK991" s="74"/>
      <c r="AL991" s="74"/>
      <c r="AM991" s="74"/>
      <c r="AN991" s="74"/>
      <c r="AO991" s="74"/>
      <c r="AP991" s="74"/>
      <c r="AQ991" s="74"/>
      <c r="AR991" s="74"/>
      <c r="AS991" s="74"/>
      <c r="BD991" s="74"/>
      <c r="BE991" s="74"/>
      <c r="BF991" s="74"/>
      <c r="BG991" s="74"/>
      <c r="BH991" s="74"/>
      <c r="BI991" s="74"/>
    </row>
    <row r="992" spans="4:61" x14ac:dyDescent="0.3">
      <c r="D992" s="74"/>
      <c r="E992" s="74"/>
      <c r="F992" s="74"/>
      <c r="G992" s="134"/>
      <c r="U992" s="74"/>
      <c r="V992" s="74"/>
      <c r="W992" s="74"/>
      <c r="X992" s="74"/>
      <c r="Y992" s="74"/>
      <c r="Z992" s="74"/>
      <c r="AA992" s="74"/>
      <c r="AB992" s="74"/>
      <c r="AC992" s="74"/>
      <c r="AJ992" s="74"/>
      <c r="AK992" s="74"/>
      <c r="AL992" s="74"/>
      <c r="AM992" s="74"/>
      <c r="AN992" s="74"/>
      <c r="AO992" s="74"/>
      <c r="AP992" s="74"/>
      <c r="AQ992" s="74"/>
      <c r="AR992" s="74"/>
      <c r="AS992" s="74"/>
      <c r="BD992" s="74"/>
      <c r="BE992" s="74"/>
      <c r="BF992" s="74"/>
      <c r="BG992" s="74"/>
      <c r="BH992" s="74"/>
      <c r="BI992" s="74"/>
    </row>
    <row r="993" spans="4:61" x14ac:dyDescent="0.3">
      <c r="D993" s="74"/>
      <c r="E993" s="74"/>
      <c r="F993" s="74"/>
      <c r="G993" s="134"/>
      <c r="U993" s="74"/>
      <c r="V993" s="74"/>
      <c r="W993" s="74"/>
      <c r="X993" s="74"/>
      <c r="Y993" s="74"/>
      <c r="Z993" s="74"/>
      <c r="AA993" s="74"/>
      <c r="AB993" s="74"/>
      <c r="AC993" s="74"/>
      <c r="AJ993" s="74"/>
      <c r="AK993" s="74"/>
      <c r="AL993" s="74"/>
      <c r="AM993" s="74"/>
      <c r="AN993" s="74"/>
      <c r="AO993" s="74"/>
      <c r="AP993" s="74"/>
      <c r="AQ993" s="74"/>
      <c r="AR993" s="74"/>
      <c r="AS993" s="74"/>
      <c r="BD993" s="74"/>
      <c r="BE993" s="74"/>
      <c r="BF993" s="74"/>
      <c r="BG993" s="74"/>
      <c r="BH993" s="74"/>
      <c r="BI993" s="74"/>
    </row>
    <row r="994" spans="4:61" x14ac:dyDescent="0.3">
      <c r="D994" s="74"/>
      <c r="E994" s="74"/>
      <c r="F994" s="74"/>
      <c r="G994" s="134"/>
      <c r="U994" s="74"/>
      <c r="V994" s="74"/>
      <c r="W994" s="74"/>
      <c r="X994" s="74"/>
      <c r="Y994" s="74"/>
      <c r="Z994" s="74"/>
      <c r="AA994" s="74"/>
      <c r="AB994" s="74"/>
      <c r="AC994" s="74"/>
      <c r="AJ994" s="74"/>
      <c r="AK994" s="74"/>
      <c r="AL994" s="74"/>
      <c r="AM994" s="74"/>
      <c r="AN994" s="74"/>
      <c r="AO994" s="74"/>
      <c r="AP994" s="74"/>
      <c r="AQ994" s="74"/>
      <c r="AR994" s="74"/>
      <c r="AS994" s="74"/>
      <c r="BD994" s="74"/>
      <c r="BE994" s="74"/>
      <c r="BF994" s="74"/>
      <c r="BG994" s="74"/>
      <c r="BH994" s="74"/>
      <c r="BI994" s="74"/>
    </row>
    <row r="995" spans="4:61" x14ac:dyDescent="0.3">
      <c r="D995" s="74"/>
      <c r="E995" s="74"/>
      <c r="F995" s="74"/>
      <c r="G995" s="134"/>
      <c r="U995" s="74"/>
      <c r="V995" s="74"/>
      <c r="W995" s="74"/>
      <c r="X995" s="74"/>
      <c r="Y995" s="74"/>
      <c r="Z995" s="74"/>
      <c r="AA995" s="74"/>
      <c r="AB995" s="74"/>
      <c r="AC995" s="74"/>
      <c r="AJ995" s="74"/>
      <c r="AK995" s="74"/>
      <c r="AL995" s="74"/>
      <c r="AM995" s="74"/>
      <c r="AN995" s="74"/>
      <c r="AO995" s="74"/>
      <c r="AP995" s="74"/>
      <c r="AQ995" s="74"/>
      <c r="AR995" s="74"/>
      <c r="AS995" s="74"/>
      <c r="BD995" s="74"/>
      <c r="BE995" s="74"/>
      <c r="BF995" s="74"/>
      <c r="BG995" s="74"/>
      <c r="BH995" s="74"/>
      <c r="BI995" s="74"/>
    </row>
    <row r="996" spans="4:61" x14ac:dyDescent="0.3">
      <c r="D996" s="74"/>
      <c r="E996" s="74"/>
      <c r="F996" s="74"/>
      <c r="G996" s="134"/>
      <c r="U996" s="74"/>
      <c r="V996" s="74"/>
      <c r="W996" s="74"/>
      <c r="X996" s="74"/>
      <c r="Y996" s="74"/>
      <c r="Z996" s="74"/>
      <c r="AA996" s="74"/>
      <c r="AB996" s="74"/>
      <c r="AC996" s="74"/>
      <c r="AJ996" s="74"/>
      <c r="AK996" s="74"/>
      <c r="AL996" s="74"/>
      <c r="AM996" s="74"/>
      <c r="AN996" s="74"/>
      <c r="AO996" s="74"/>
      <c r="AP996" s="74"/>
      <c r="AQ996" s="74"/>
      <c r="AR996" s="74"/>
      <c r="AS996" s="74"/>
      <c r="BD996" s="74"/>
      <c r="BE996" s="74"/>
      <c r="BF996" s="74"/>
      <c r="BG996" s="74"/>
      <c r="BH996" s="74"/>
      <c r="BI996" s="74"/>
    </row>
    <row r="997" spans="4:61" x14ac:dyDescent="0.3">
      <c r="D997" s="74"/>
      <c r="E997" s="74"/>
      <c r="F997" s="74"/>
      <c r="G997" s="134"/>
      <c r="U997" s="74"/>
      <c r="V997" s="74"/>
      <c r="W997" s="74"/>
      <c r="X997" s="74"/>
      <c r="Y997" s="74"/>
      <c r="Z997" s="74"/>
      <c r="AA997" s="74"/>
      <c r="AB997" s="74"/>
      <c r="AC997" s="74"/>
      <c r="AJ997" s="74"/>
      <c r="AK997" s="74"/>
      <c r="AL997" s="74"/>
      <c r="AM997" s="74"/>
      <c r="AN997" s="74"/>
      <c r="AO997" s="74"/>
      <c r="AP997" s="74"/>
      <c r="AQ997" s="74"/>
      <c r="AR997" s="74"/>
      <c r="AS997" s="74"/>
      <c r="BD997" s="74"/>
      <c r="BE997" s="74"/>
      <c r="BF997" s="74"/>
      <c r="BG997" s="74"/>
      <c r="BH997" s="74"/>
      <c r="BI997" s="74"/>
    </row>
    <row r="998" spans="4:61" x14ac:dyDescent="0.3">
      <c r="D998" s="74"/>
      <c r="E998" s="74"/>
      <c r="F998" s="74"/>
      <c r="G998" s="134"/>
      <c r="U998" s="74"/>
      <c r="V998" s="74"/>
      <c r="W998" s="74"/>
      <c r="X998" s="74"/>
      <c r="Y998" s="74"/>
      <c r="Z998" s="74"/>
      <c r="AA998" s="74"/>
      <c r="AB998" s="74"/>
      <c r="AC998" s="74"/>
      <c r="AJ998" s="74"/>
      <c r="AK998" s="74"/>
      <c r="AL998" s="74"/>
      <c r="AM998" s="74"/>
      <c r="AN998" s="74"/>
      <c r="AO998" s="74"/>
      <c r="AP998" s="74"/>
      <c r="AQ998" s="74"/>
      <c r="AR998" s="74"/>
      <c r="AS998" s="74"/>
      <c r="BD998" s="74"/>
      <c r="BE998" s="74"/>
      <c r="BF998" s="74"/>
      <c r="BG998" s="74"/>
      <c r="BH998" s="74"/>
      <c r="BI998" s="74"/>
    </row>
    <row r="999" spans="4:61" x14ac:dyDescent="0.3">
      <c r="D999" s="74"/>
      <c r="E999" s="74"/>
      <c r="F999" s="74"/>
      <c r="G999" s="134"/>
      <c r="U999" s="74"/>
      <c r="V999" s="74"/>
      <c r="W999" s="74"/>
      <c r="X999" s="74"/>
      <c r="Y999" s="74"/>
      <c r="Z999" s="74"/>
      <c r="AA999" s="74"/>
      <c r="AB999" s="74"/>
      <c r="AC999" s="74"/>
      <c r="AJ999" s="74"/>
      <c r="AK999" s="74"/>
      <c r="AL999" s="74"/>
      <c r="AM999" s="74"/>
      <c r="AN999" s="74"/>
      <c r="AO999" s="74"/>
      <c r="AP999" s="74"/>
      <c r="AQ999" s="74"/>
      <c r="AR999" s="74"/>
      <c r="AS999" s="74"/>
      <c r="BD999" s="74"/>
      <c r="BE999" s="74"/>
      <c r="BF999" s="74"/>
      <c r="BG999" s="74"/>
      <c r="BH999" s="74"/>
      <c r="BI999" s="74"/>
    </row>
    <row r="1000" spans="4:61" x14ac:dyDescent="0.3">
      <c r="D1000" s="74"/>
      <c r="E1000" s="74"/>
      <c r="F1000" s="74"/>
      <c r="G1000" s="134"/>
      <c r="U1000" s="74"/>
      <c r="V1000" s="74"/>
      <c r="W1000" s="74"/>
      <c r="X1000" s="74"/>
      <c r="Y1000" s="74"/>
      <c r="Z1000" s="74"/>
      <c r="AA1000" s="74"/>
      <c r="AB1000" s="74"/>
      <c r="AC1000" s="74"/>
      <c r="AJ1000" s="74"/>
      <c r="AK1000" s="74"/>
      <c r="AL1000" s="74"/>
      <c r="AM1000" s="74"/>
      <c r="AN1000" s="74"/>
      <c r="AO1000" s="74"/>
      <c r="AP1000" s="74"/>
      <c r="AQ1000" s="74"/>
      <c r="AR1000" s="74"/>
      <c r="AS1000" s="74"/>
      <c r="BD1000" s="74"/>
      <c r="BE1000" s="74"/>
      <c r="BF1000" s="74"/>
      <c r="BG1000" s="74"/>
      <c r="BH1000" s="74"/>
      <c r="BI1000" s="74"/>
    </row>
    <row r="1001" spans="4:61" x14ac:dyDescent="0.3">
      <c r="D1001" s="74"/>
      <c r="E1001" s="74"/>
      <c r="F1001" s="74"/>
      <c r="G1001" s="134"/>
      <c r="U1001" s="74"/>
      <c r="V1001" s="74"/>
      <c r="W1001" s="74"/>
      <c r="X1001" s="74"/>
      <c r="Y1001" s="74"/>
      <c r="Z1001" s="74"/>
      <c r="AA1001" s="74"/>
      <c r="AB1001" s="74"/>
      <c r="AC1001" s="74"/>
      <c r="AJ1001" s="74"/>
      <c r="AK1001" s="74"/>
      <c r="AL1001" s="74"/>
      <c r="AM1001" s="74"/>
      <c r="AN1001" s="74"/>
      <c r="AO1001" s="74"/>
      <c r="AP1001" s="74"/>
      <c r="AQ1001" s="74"/>
      <c r="AR1001" s="74"/>
      <c r="AS1001" s="74"/>
      <c r="BD1001" s="74"/>
      <c r="BE1001" s="74"/>
      <c r="BF1001" s="74"/>
      <c r="BG1001" s="74"/>
      <c r="BH1001" s="74"/>
      <c r="BI1001" s="74"/>
    </row>
    <row r="1002" spans="4:61" x14ac:dyDescent="0.3">
      <c r="D1002" s="74"/>
      <c r="E1002" s="74"/>
      <c r="F1002" s="74"/>
      <c r="G1002" s="134"/>
      <c r="U1002" s="74"/>
      <c r="V1002" s="74"/>
      <c r="W1002" s="74"/>
      <c r="X1002" s="74"/>
      <c r="Y1002" s="74"/>
      <c r="Z1002" s="74"/>
      <c r="AA1002" s="74"/>
      <c r="AB1002" s="74"/>
      <c r="AC1002" s="74"/>
      <c r="AJ1002" s="74"/>
      <c r="AK1002" s="74"/>
      <c r="AL1002" s="74"/>
      <c r="AM1002" s="74"/>
      <c r="AN1002" s="74"/>
      <c r="AO1002" s="74"/>
      <c r="AP1002" s="74"/>
      <c r="AQ1002" s="74"/>
      <c r="AR1002" s="74"/>
      <c r="AS1002" s="74"/>
      <c r="BD1002" s="74"/>
      <c r="BE1002" s="74"/>
      <c r="BF1002" s="74"/>
      <c r="BG1002" s="74"/>
      <c r="BH1002" s="74"/>
      <c r="BI1002" s="74"/>
    </row>
    <row r="1003" spans="4:61" x14ac:dyDescent="0.3">
      <c r="D1003" s="74"/>
      <c r="E1003" s="74"/>
      <c r="F1003" s="74"/>
      <c r="G1003" s="134"/>
      <c r="U1003" s="74"/>
      <c r="V1003" s="74"/>
      <c r="W1003" s="74"/>
      <c r="X1003" s="74"/>
      <c r="Y1003" s="74"/>
      <c r="Z1003" s="74"/>
      <c r="AA1003" s="74"/>
      <c r="AB1003" s="74"/>
      <c r="AC1003" s="74"/>
      <c r="AJ1003" s="74"/>
      <c r="AK1003" s="74"/>
      <c r="AL1003" s="74"/>
      <c r="AM1003" s="74"/>
      <c r="AN1003" s="74"/>
      <c r="AO1003" s="74"/>
      <c r="AP1003" s="74"/>
      <c r="AQ1003" s="74"/>
      <c r="AR1003" s="74"/>
      <c r="AS1003" s="74"/>
      <c r="BD1003" s="74"/>
      <c r="BE1003" s="74"/>
      <c r="BF1003" s="74"/>
      <c r="BG1003" s="74"/>
      <c r="BH1003" s="74"/>
      <c r="BI1003" s="74"/>
    </row>
    <row r="1004" spans="4:61" x14ac:dyDescent="0.3">
      <c r="D1004" s="74"/>
      <c r="E1004" s="74"/>
      <c r="F1004" s="74"/>
      <c r="G1004" s="134"/>
      <c r="U1004" s="74"/>
      <c r="V1004" s="74"/>
      <c r="W1004" s="74"/>
      <c r="X1004" s="74"/>
      <c r="Y1004" s="74"/>
      <c r="Z1004" s="74"/>
      <c r="AA1004" s="74"/>
      <c r="AB1004" s="74"/>
      <c r="AC1004" s="74"/>
      <c r="AJ1004" s="74"/>
      <c r="AK1004" s="74"/>
      <c r="AL1004" s="74"/>
      <c r="AM1004" s="74"/>
      <c r="AN1004" s="74"/>
      <c r="AO1004" s="74"/>
      <c r="AP1004" s="74"/>
      <c r="AQ1004" s="74"/>
      <c r="AR1004" s="74"/>
      <c r="AS1004" s="74"/>
      <c r="BD1004" s="74"/>
      <c r="BE1004" s="74"/>
      <c r="BF1004" s="74"/>
      <c r="BG1004" s="74"/>
      <c r="BH1004" s="74"/>
      <c r="BI1004" s="74"/>
    </row>
    <row r="1005" spans="4:61" x14ac:dyDescent="0.3">
      <c r="D1005" s="74"/>
      <c r="E1005" s="74"/>
      <c r="F1005" s="74"/>
      <c r="G1005" s="134"/>
      <c r="U1005" s="74"/>
      <c r="V1005" s="74"/>
      <c r="W1005" s="74"/>
      <c r="X1005" s="74"/>
      <c r="Y1005" s="74"/>
      <c r="Z1005" s="74"/>
      <c r="AA1005" s="74"/>
      <c r="AB1005" s="74"/>
      <c r="AC1005" s="74"/>
      <c r="AJ1005" s="74"/>
      <c r="AK1005" s="74"/>
      <c r="AL1005" s="74"/>
      <c r="AM1005" s="74"/>
      <c r="AN1005" s="74"/>
      <c r="AO1005" s="74"/>
      <c r="AP1005" s="74"/>
      <c r="AQ1005" s="74"/>
      <c r="AR1005" s="74"/>
      <c r="AS1005" s="74"/>
      <c r="BD1005" s="74"/>
      <c r="BE1005" s="74"/>
      <c r="BF1005" s="74"/>
      <c r="BG1005" s="74"/>
      <c r="BH1005" s="74"/>
      <c r="BI1005" s="74"/>
    </row>
    <row r="1006" spans="4:61" x14ac:dyDescent="0.3">
      <c r="D1006" s="74"/>
      <c r="E1006" s="74"/>
      <c r="F1006" s="74"/>
      <c r="G1006" s="134"/>
      <c r="U1006" s="74"/>
      <c r="V1006" s="74"/>
      <c r="W1006" s="74"/>
      <c r="X1006" s="74"/>
      <c r="Y1006" s="74"/>
      <c r="Z1006" s="74"/>
      <c r="AA1006" s="74"/>
      <c r="AB1006" s="74"/>
      <c r="AC1006" s="74"/>
      <c r="AN1006" s="74"/>
      <c r="AO1006" s="74"/>
      <c r="AP1006" s="74"/>
      <c r="AQ1006" s="74"/>
      <c r="AR1006" s="74"/>
      <c r="AS1006" s="74"/>
      <c r="BD1006" s="74"/>
      <c r="BE1006" s="74"/>
      <c r="BF1006" s="74"/>
      <c r="BG1006" s="74"/>
      <c r="BH1006" s="74"/>
      <c r="BI1006" s="74"/>
    </row>
    <row r="1007" spans="4:61" x14ac:dyDescent="0.3">
      <c r="D1007" s="74"/>
      <c r="E1007" s="74"/>
      <c r="F1007" s="74"/>
      <c r="G1007" s="134"/>
      <c r="U1007" s="74"/>
      <c r="V1007" s="74"/>
      <c r="W1007" s="74"/>
      <c r="X1007" s="74"/>
      <c r="Y1007" s="74"/>
      <c r="Z1007" s="74"/>
      <c r="AA1007" s="74"/>
      <c r="AB1007" s="74"/>
      <c r="AC1007" s="74"/>
      <c r="AN1007" s="74"/>
      <c r="AO1007" s="74"/>
      <c r="AP1007" s="74"/>
      <c r="AQ1007" s="74"/>
      <c r="AR1007" s="74"/>
      <c r="AS1007" s="74"/>
      <c r="BD1007" s="74"/>
      <c r="BE1007" s="74"/>
      <c r="BF1007" s="74"/>
      <c r="BG1007" s="74"/>
      <c r="BH1007" s="74"/>
      <c r="BI1007" s="74"/>
    </row>
    <row r="1008" spans="4:61" x14ac:dyDescent="0.3">
      <c r="D1008" s="74"/>
      <c r="E1008" s="74"/>
      <c r="F1008" s="74"/>
      <c r="G1008" s="134"/>
      <c r="U1008" s="74"/>
      <c r="V1008" s="74"/>
      <c r="W1008" s="74"/>
      <c r="X1008" s="74"/>
      <c r="Y1008" s="74"/>
      <c r="Z1008" s="74"/>
      <c r="AA1008" s="74"/>
      <c r="AB1008" s="74"/>
      <c r="AC1008" s="74"/>
      <c r="AN1008" s="74"/>
      <c r="AO1008" s="74"/>
      <c r="AP1008" s="74"/>
      <c r="AQ1008" s="74"/>
      <c r="AR1008" s="74"/>
      <c r="AS1008" s="74"/>
      <c r="BD1008" s="74"/>
      <c r="BE1008" s="74"/>
      <c r="BF1008" s="74"/>
      <c r="BG1008" s="74"/>
      <c r="BH1008" s="74"/>
      <c r="BI1008" s="74"/>
    </row>
    <row r="1009" spans="4:61" x14ac:dyDescent="0.3">
      <c r="D1009" s="74"/>
      <c r="E1009" s="74"/>
      <c r="F1009" s="74"/>
      <c r="G1009" s="134"/>
      <c r="U1009" s="74"/>
      <c r="V1009" s="74"/>
      <c r="W1009" s="74"/>
      <c r="X1009" s="74"/>
      <c r="Y1009" s="74"/>
      <c r="Z1009" s="74"/>
      <c r="AA1009" s="74"/>
      <c r="AB1009" s="74"/>
      <c r="AC1009" s="74"/>
      <c r="AN1009" s="74"/>
      <c r="AO1009" s="74"/>
      <c r="AP1009" s="74"/>
      <c r="AQ1009" s="74"/>
      <c r="AR1009" s="74"/>
      <c r="AS1009" s="74"/>
      <c r="BD1009" s="74"/>
      <c r="BE1009" s="74"/>
      <c r="BF1009" s="74"/>
      <c r="BG1009" s="74"/>
      <c r="BH1009" s="74"/>
      <c r="BI1009" s="74"/>
    </row>
    <row r="1010" spans="4:61" x14ac:dyDescent="0.3">
      <c r="D1010" s="74"/>
      <c r="E1010" s="74"/>
      <c r="F1010" s="74"/>
      <c r="G1010" s="134"/>
      <c r="X1010" s="74"/>
      <c r="Y1010" s="74"/>
      <c r="Z1010" s="74"/>
      <c r="AA1010" s="74"/>
      <c r="AB1010" s="74"/>
      <c r="AC1010" s="74"/>
      <c r="AN1010" s="74"/>
      <c r="AO1010" s="74"/>
      <c r="AP1010" s="74"/>
      <c r="AQ1010" s="74"/>
      <c r="AR1010" s="74"/>
      <c r="AS1010" s="74"/>
      <c r="BD1010" s="74"/>
      <c r="BE1010" s="74"/>
      <c r="BF1010" s="74"/>
      <c r="BG1010" s="74"/>
      <c r="BH1010" s="74"/>
      <c r="BI1010" s="74"/>
    </row>
    <row r="1011" spans="4:61" x14ac:dyDescent="0.3">
      <c r="D1011" s="74"/>
      <c r="E1011" s="74"/>
      <c r="F1011" s="74"/>
      <c r="G1011" s="134"/>
      <c r="X1011" s="74"/>
      <c r="Y1011" s="74"/>
      <c r="Z1011" s="74"/>
      <c r="AA1011" s="74"/>
      <c r="AB1011" s="74"/>
      <c r="AC1011" s="74"/>
      <c r="AN1011" s="74"/>
      <c r="AO1011" s="74"/>
      <c r="AP1011" s="74"/>
      <c r="AQ1011" s="74"/>
      <c r="AR1011" s="74"/>
      <c r="AS1011" s="74"/>
      <c r="BD1011" s="74"/>
      <c r="BE1011" s="74"/>
      <c r="BF1011" s="74"/>
      <c r="BG1011" s="74"/>
      <c r="BH1011" s="74"/>
      <c r="BI1011" s="74"/>
    </row>
    <row r="1012" spans="4:61" x14ac:dyDescent="0.3">
      <c r="D1012" s="74"/>
      <c r="E1012" s="74"/>
      <c r="F1012" s="74"/>
      <c r="G1012" s="134"/>
      <c r="X1012" s="74"/>
      <c r="Y1012" s="74"/>
      <c r="Z1012" s="74"/>
      <c r="AA1012" s="74"/>
      <c r="AB1012" s="74"/>
      <c r="AC1012" s="74"/>
      <c r="AN1012" s="74"/>
      <c r="AO1012" s="74"/>
      <c r="AP1012" s="74"/>
      <c r="AQ1012" s="74"/>
      <c r="AR1012" s="74"/>
      <c r="AS1012" s="74"/>
      <c r="BD1012" s="74"/>
      <c r="BE1012" s="74"/>
      <c r="BF1012" s="74"/>
      <c r="BG1012" s="74"/>
      <c r="BH1012" s="74"/>
      <c r="BI1012" s="74"/>
    </row>
    <row r="1013" spans="4:61" x14ac:dyDescent="0.3">
      <c r="D1013" s="74"/>
      <c r="E1013" s="74"/>
      <c r="F1013" s="74"/>
      <c r="G1013" s="134"/>
      <c r="X1013" s="74"/>
      <c r="Y1013" s="74"/>
      <c r="Z1013" s="74"/>
      <c r="AA1013" s="74"/>
      <c r="AB1013" s="74"/>
      <c r="AC1013" s="74"/>
      <c r="AN1013" s="74"/>
      <c r="AO1013" s="74"/>
      <c r="AP1013" s="74"/>
      <c r="AQ1013" s="74"/>
      <c r="AR1013" s="74"/>
      <c r="AS1013" s="74"/>
      <c r="BD1013" s="74"/>
      <c r="BE1013" s="74"/>
      <c r="BF1013" s="74"/>
      <c r="BG1013" s="74"/>
      <c r="BH1013" s="74"/>
      <c r="BI1013" s="74"/>
    </row>
    <row r="1014" spans="4:61" x14ac:dyDescent="0.3">
      <c r="D1014" s="74"/>
      <c r="E1014" s="74"/>
      <c r="F1014" s="74"/>
      <c r="G1014" s="134"/>
      <c r="X1014" s="74"/>
      <c r="Y1014" s="74"/>
      <c r="Z1014" s="74"/>
      <c r="AA1014" s="74"/>
      <c r="AB1014" s="74"/>
      <c r="AC1014" s="74"/>
      <c r="AN1014" s="74"/>
      <c r="AO1014" s="74"/>
      <c r="AP1014" s="74"/>
      <c r="AQ1014" s="74"/>
      <c r="AR1014" s="74"/>
      <c r="AS1014" s="74"/>
      <c r="BD1014" s="74"/>
      <c r="BE1014" s="74"/>
      <c r="BF1014" s="74"/>
      <c r="BG1014" s="74"/>
      <c r="BH1014" s="74"/>
      <c r="BI1014" s="74"/>
    </row>
    <row r="1015" spans="4:61" x14ac:dyDescent="0.3">
      <c r="D1015" s="74"/>
      <c r="E1015" s="74"/>
      <c r="F1015" s="74"/>
      <c r="G1015" s="134"/>
      <c r="X1015" s="74"/>
      <c r="Y1015" s="74"/>
      <c r="Z1015" s="74"/>
      <c r="AA1015" s="74"/>
      <c r="AB1015" s="74"/>
      <c r="AC1015" s="74"/>
      <c r="AN1015" s="74"/>
      <c r="AO1015" s="74"/>
      <c r="AP1015" s="74"/>
      <c r="AQ1015" s="74"/>
      <c r="AR1015" s="74"/>
      <c r="AS1015" s="74"/>
      <c r="BD1015" s="74"/>
      <c r="BE1015" s="74"/>
      <c r="BF1015" s="74"/>
      <c r="BG1015" s="74"/>
      <c r="BH1015" s="74"/>
      <c r="BI1015" s="74"/>
    </row>
    <row r="1016" spans="4:61" x14ac:dyDescent="0.3">
      <c r="D1016" s="74"/>
      <c r="E1016" s="74"/>
      <c r="F1016" s="74"/>
      <c r="G1016" s="134"/>
      <c r="X1016" s="74"/>
      <c r="Y1016" s="74"/>
      <c r="Z1016" s="74"/>
      <c r="AA1016" s="74"/>
      <c r="AB1016" s="74"/>
      <c r="AC1016" s="74"/>
      <c r="AN1016" s="74"/>
      <c r="AO1016" s="74"/>
      <c r="AP1016" s="74"/>
      <c r="AQ1016" s="74"/>
      <c r="AR1016" s="74"/>
      <c r="AS1016" s="74"/>
      <c r="BD1016" s="74"/>
      <c r="BE1016" s="74"/>
      <c r="BF1016" s="74"/>
      <c r="BG1016" s="74"/>
      <c r="BH1016" s="74"/>
      <c r="BI1016" s="74"/>
    </row>
    <row r="1017" spans="4:61" x14ac:dyDescent="0.3">
      <c r="D1017" s="74"/>
      <c r="E1017" s="74"/>
      <c r="F1017" s="74"/>
      <c r="G1017" s="134"/>
      <c r="X1017" s="74"/>
      <c r="Y1017" s="74"/>
      <c r="Z1017" s="74"/>
      <c r="AA1017" s="74"/>
      <c r="AB1017" s="74"/>
      <c r="AC1017" s="74"/>
      <c r="AN1017" s="74"/>
      <c r="AO1017" s="74"/>
      <c r="AP1017" s="74"/>
      <c r="AQ1017" s="74"/>
      <c r="AR1017" s="74"/>
      <c r="AS1017" s="74"/>
      <c r="BD1017" s="74"/>
      <c r="BE1017" s="74"/>
      <c r="BF1017" s="74"/>
      <c r="BG1017" s="74"/>
      <c r="BH1017" s="74"/>
      <c r="BI1017" s="74"/>
    </row>
    <row r="1018" spans="4:61" x14ac:dyDescent="0.3">
      <c r="D1018" s="74"/>
      <c r="E1018" s="74"/>
      <c r="F1018" s="74"/>
      <c r="G1018" s="134"/>
      <c r="X1018" s="74"/>
      <c r="Y1018" s="74"/>
      <c r="Z1018" s="74"/>
      <c r="AA1018" s="74"/>
      <c r="AB1018" s="74"/>
      <c r="AC1018" s="74"/>
      <c r="AN1018" s="74"/>
      <c r="AO1018" s="74"/>
      <c r="AP1018" s="74"/>
      <c r="AQ1018" s="74"/>
      <c r="AR1018" s="74"/>
      <c r="AS1018" s="74"/>
      <c r="BD1018" s="74"/>
      <c r="BE1018" s="74"/>
      <c r="BF1018" s="74"/>
      <c r="BG1018" s="74"/>
      <c r="BH1018" s="74"/>
      <c r="BI1018" s="74"/>
    </row>
    <row r="1019" spans="4:61" x14ac:dyDescent="0.3">
      <c r="D1019" s="74"/>
      <c r="E1019" s="74"/>
      <c r="F1019" s="74"/>
      <c r="G1019" s="134"/>
      <c r="X1019" s="74"/>
      <c r="Y1019" s="74"/>
      <c r="Z1019" s="74"/>
      <c r="AA1019" s="74"/>
      <c r="AB1019" s="74"/>
      <c r="AC1019" s="74"/>
      <c r="AN1019" s="74"/>
      <c r="AO1019" s="74"/>
      <c r="AP1019" s="74"/>
      <c r="AQ1019" s="74"/>
      <c r="AR1019" s="74"/>
      <c r="AS1019" s="74"/>
      <c r="BD1019" s="74"/>
      <c r="BE1019" s="74"/>
      <c r="BF1019" s="74"/>
      <c r="BG1019" s="74"/>
      <c r="BH1019" s="74"/>
      <c r="BI1019" s="74"/>
    </row>
    <row r="1020" spans="4:61" x14ac:dyDescent="0.3">
      <c r="D1020" s="74"/>
      <c r="E1020" s="74"/>
      <c r="X1020" s="74"/>
      <c r="Y1020" s="74"/>
      <c r="Z1020" s="74"/>
      <c r="AA1020" s="74"/>
      <c r="AB1020" s="74"/>
      <c r="AC1020" s="74"/>
      <c r="AN1020" s="74"/>
      <c r="AO1020" s="74"/>
      <c r="AP1020" s="74"/>
      <c r="AQ1020" s="74"/>
      <c r="AR1020" s="74"/>
      <c r="AS1020" s="74"/>
      <c r="BD1020" s="74"/>
      <c r="BE1020" s="74"/>
      <c r="BF1020" s="74"/>
      <c r="BG1020" s="74"/>
      <c r="BH1020" s="74"/>
      <c r="BI1020" s="74"/>
    </row>
    <row r="1021" spans="4:61" x14ac:dyDescent="0.3">
      <c r="D1021" s="74"/>
      <c r="E1021" s="74"/>
      <c r="X1021" s="74"/>
      <c r="Y1021" s="74"/>
      <c r="Z1021" s="74"/>
      <c r="AA1021" s="74"/>
      <c r="AB1021" s="74"/>
      <c r="AC1021" s="74"/>
      <c r="AN1021" s="74"/>
      <c r="AO1021" s="74"/>
      <c r="AP1021" s="74"/>
      <c r="AQ1021" s="74"/>
      <c r="AR1021" s="74"/>
      <c r="AS1021" s="74"/>
      <c r="BD1021" s="74"/>
      <c r="BE1021" s="74"/>
      <c r="BF1021" s="74"/>
      <c r="BG1021" s="74"/>
      <c r="BH1021" s="74"/>
      <c r="BI1021" s="74"/>
    </row>
    <row r="1022" spans="4:61" x14ac:dyDescent="0.3">
      <c r="D1022" s="74"/>
      <c r="E1022" s="74"/>
      <c r="X1022" s="74"/>
      <c r="Y1022" s="74"/>
      <c r="Z1022" s="74"/>
      <c r="AA1022" s="74"/>
      <c r="AB1022" s="74"/>
      <c r="AC1022" s="74"/>
      <c r="AN1022" s="74"/>
      <c r="AO1022" s="74"/>
      <c r="AP1022" s="74"/>
      <c r="AQ1022" s="74"/>
      <c r="AR1022" s="74"/>
      <c r="AS1022" s="74"/>
      <c r="BD1022" s="74"/>
      <c r="BE1022" s="74"/>
      <c r="BF1022" s="74"/>
      <c r="BG1022" s="74"/>
      <c r="BH1022" s="74"/>
      <c r="BI1022" s="74"/>
    </row>
    <row r="1023" spans="4:61" x14ac:dyDescent="0.3">
      <c r="D1023" s="74"/>
      <c r="E1023" s="74"/>
      <c r="X1023" s="74"/>
      <c r="Y1023" s="74"/>
      <c r="Z1023" s="74"/>
      <c r="AA1023" s="74"/>
      <c r="AB1023" s="74"/>
      <c r="AC1023" s="74"/>
      <c r="AN1023" s="74"/>
      <c r="AO1023" s="74"/>
      <c r="AP1023" s="74"/>
      <c r="AQ1023" s="74"/>
      <c r="AR1023" s="74"/>
      <c r="AS1023" s="74"/>
      <c r="BD1023" s="74"/>
      <c r="BE1023" s="74"/>
      <c r="BF1023" s="74"/>
      <c r="BG1023" s="74"/>
      <c r="BH1023" s="74"/>
      <c r="BI1023" s="74"/>
    </row>
    <row r="1024" spans="4:61" x14ac:dyDescent="0.3">
      <c r="D1024" s="74"/>
      <c r="E1024" s="74"/>
      <c r="X1024" s="74"/>
      <c r="Y1024" s="74"/>
      <c r="Z1024" s="74"/>
      <c r="AA1024" s="74"/>
      <c r="AB1024" s="74"/>
      <c r="AC1024" s="74"/>
      <c r="AN1024" s="74"/>
      <c r="AO1024" s="74"/>
      <c r="AP1024" s="74"/>
      <c r="AQ1024" s="74"/>
      <c r="AR1024" s="74"/>
      <c r="AS1024" s="74"/>
      <c r="BD1024" s="74"/>
      <c r="BE1024" s="74"/>
      <c r="BF1024" s="74"/>
      <c r="BG1024" s="74"/>
      <c r="BH1024" s="74"/>
      <c r="BI1024" s="74"/>
    </row>
    <row r="1025" spans="4:61" x14ac:dyDescent="0.3">
      <c r="D1025" s="74"/>
      <c r="E1025" s="74"/>
      <c r="X1025" s="74"/>
      <c r="Y1025" s="74"/>
      <c r="Z1025" s="74"/>
      <c r="AA1025" s="74"/>
      <c r="AB1025" s="74"/>
      <c r="AC1025" s="74"/>
      <c r="AN1025" s="74"/>
      <c r="AO1025" s="74"/>
      <c r="AP1025" s="74"/>
      <c r="AQ1025" s="74"/>
      <c r="AR1025" s="74"/>
      <c r="AS1025" s="74"/>
      <c r="BD1025" s="74"/>
      <c r="BE1025" s="74"/>
      <c r="BF1025" s="74"/>
      <c r="BG1025" s="74"/>
      <c r="BH1025" s="74"/>
      <c r="BI1025" s="74"/>
    </row>
    <row r="1026" spans="4:61" x14ac:dyDescent="0.3">
      <c r="D1026" s="74"/>
      <c r="E1026" s="74"/>
      <c r="X1026" s="74"/>
      <c r="Y1026" s="74"/>
      <c r="Z1026" s="74"/>
      <c r="AA1026" s="74"/>
      <c r="AB1026" s="74"/>
      <c r="AC1026" s="74"/>
      <c r="AN1026" s="74"/>
      <c r="AO1026" s="74"/>
      <c r="AP1026" s="74"/>
      <c r="AQ1026" s="74"/>
      <c r="AR1026" s="74"/>
      <c r="AS1026" s="74"/>
      <c r="BD1026" s="74"/>
      <c r="BE1026" s="74"/>
      <c r="BF1026" s="74"/>
      <c r="BG1026" s="74"/>
      <c r="BH1026" s="74"/>
      <c r="BI1026" s="74"/>
    </row>
    <row r="1027" spans="4:61" x14ac:dyDescent="0.3">
      <c r="D1027" s="74"/>
      <c r="E1027" s="74"/>
      <c r="X1027" s="74"/>
      <c r="Y1027" s="74"/>
      <c r="Z1027" s="74"/>
      <c r="AA1027" s="74"/>
      <c r="AB1027" s="74"/>
      <c r="AC1027" s="74"/>
      <c r="AN1027" s="74"/>
      <c r="AO1027" s="74"/>
      <c r="AP1027" s="74"/>
      <c r="AQ1027" s="74"/>
      <c r="AR1027" s="74"/>
      <c r="AS1027" s="74"/>
      <c r="BD1027" s="74"/>
      <c r="BE1027" s="74"/>
      <c r="BF1027" s="74"/>
      <c r="BG1027" s="74"/>
      <c r="BH1027" s="74"/>
      <c r="BI1027" s="74"/>
    </row>
    <row r="1028" spans="4:61" x14ac:dyDescent="0.3">
      <c r="D1028" s="74"/>
      <c r="E1028" s="74"/>
      <c r="X1028" s="74"/>
      <c r="Y1028" s="74"/>
      <c r="Z1028" s="74"/>
      <c r="AA1028" s="74"/>
      <c r="AB1028" s="74"/>
      <c r="AC1028" s="74"/>
      <c r="AN1028" s="74"/>
      <c r="AO1028" s="74"/>
      <c r="AP1028" s="74"/>
      <c r="AQ1028" s="74"/>
      <c r="AR1028" s="74"/>
      <c r="AS1028" s="74"/>
      <c r="BD1028" s="74"/>
      <c r="BE1028" s="74"/>
      <c r="BF1028" s="74"/>
      <c r="BG1028" s="74"/>
      <c r="BH1028" s="74"/>
      <c r="BI1028" s="74"/>
    </row>
    <row r="1029" spans="4:61" x14ac:dyDescent="0.3">
      <c r="D1029" s="74"/>
      <c r="E1029" s="74"/>
      <c r="X1029" s="74"/>
      <c r="Y1029" s="74"/>
      <c r="Z1029" s="74"/>
      <c r="AA1029" s="74"/>
      <c r="AB1029" s="74"/>
      <c r="AC1029" s="74"/>
      <c r="AN1029" s="74"/>
      <c r="AO1029" s="74"/>
      <c r="AP1029" s="74"/>
      <c r="AQ1029" s="74"/>
      <c r="AR1029" s="74"/>
      <c r="AS1029" s="74"/>
      <c r="BD1029" s="74"/>
      <c r="BE1029" s="74"/>
      <c r="BF1029" s="74"/>
      <c r="BG1029" s="74"/>
      <c r="BH1029" s="74"/>
      <c r="BI1029" s="74"/>
    </row>
    <row r="1030" spans="4:61" x14ac:dyDescent="0.3">
      <c r="D1030" s="74"/>
      <c r="E1030" s="74"/>
      <c r="X1030" s="74"/>
      <c r="Y1030" s="74"/>
      <c r="Z1030" s="74"/>
      <c r="AA1030" s="74"/>
      <c r="AB1030" s="74"/>
      <c r="AC1030" s="74"/>
      <c r="AN1030" s="74"/>
      <c r="AO1030" s="74"/>
      <c r="AP1030" s="74"/>
      <c r="AQ1030" s="74"/>
      <c r="AR1030" s="74"/>
      <c r="AS1030" s="74"/>
      <c r="BD1030" s="74"/>
      <c r="BE1030" s="74"/>
      <c r="BF1030" s="74"/>
      <c r="BG1030" s="74"/>
      <c r="BH1030" s="74"/>
      <c r="BI1030" s="74"/>
    </row>
    <row r="1031" spans="4:61" x14ac:dyDescent="0.3">
      <c r="D1031" s="74"/>
      <c r="E1031" s="74"/>
      <c r="X1031" s="74"/>
      <c r="Y1031" s="74"/>
      <c r="Z1031" s="74"/>
      <c r="AA1031" s="74"/>
      <c r="AB1031" s="74"/>
      <c r="AC1031" s="74"/>
      <c r="AN1031" s="74"/>
      <c r="AO1031" s="74"/>
      <c r="AP1031" s="74"/>
      <c r="AQ1031" s="74"/>
      <c r="AR1031" s="74"/>
      <c r="AS1031" s="74"/>
      <c r="BD1031" s="74"/>
      <c r="BE1031" s="74"/>
      <c r="BF1031" s="74"/>
      <c r="BG1031" s="74"/>
      <c r="BH1031" s="74"/>
      <c r="BI1031" s="74"/>
    </row>
    <row r="1032" spans="4:61" x14ac:dyDescent="0.3">
      <c r="D1032" s="74"/>
      <c r="E1032" s="74"/>
      <c r="X1032" s="74"/>
      <c r="Y1032" s="74"/>
      <c r="Z1032" s="74"/>
      <c r="AA1032" s="74"/>
      <c r="AB1032" s="74"/>
      <c r="AC1032" s="74"/>
      <c r="AN1032" s="74"/>
      <c r="AO1032" s="74"/>
      <c r="AP1032" s="74"/>
      <c r="AQ1032" s="74"/>
      <c r="AR1032" s="74"/>
      <c r="AS1032" s="74"/>
      <c r="BD1032" s="74"/>
      <c r="BE1032" s="74"/>
      <c r="BF1032" s="74"/>
      <c r="BG1032" s="74"/>
      <c r="BH1032" s="74"/>
      <c r="BI1032" s="74"/>
    </row>
    <row r="1033" spans="4:61" x14ac:dyDescent="0.3">
      <c r="D1033" s="74"/>
      <c r="E1033" s="74"/>
      <c r="X1033" s="74"/>
      <c r="Y1033" s="74"/>
      <c r="Z1033" s="74"/>
      <c r="AA1033" s="74"/>
      <c r="AB1033" s="74"/>
      <c r="AC1033" s="74"/>
      <c r="AN1033" s="74"/>
      <c r="AO1033" s="74"/>
      <c r="AP1033" s="74"/>
      <c r="AQ1033" s="74"/>
      <c r="AR1033" s="74"/>
      <c r="AS1033" s="74"/>
      <c r="BD1033" s="74"/>
      <c r="BE1033" s="74"/>
      <c r="BF1033" s="74"/>
      <c r="BG1033" s="74"/>
      <c r="BH1033" s="74"/>
      <c r="BI1033" s="74"/>
    </row>
    <row r="1034" spans="4:61" x14ac:dyDescent="0.3">
      <c r="D1034" s="74"/>
      <c r="E1034" s="74"/>
      <c r="X1034" s="74"/>
      <c r="Y1034" s="74"/>
      <c r="Z1034" s="74"/>
      <c r="AA1034" s="74"/>
      <c r="AB1034" s="74"/>
      <c r="AC1034" s="74"/>
      <c r="AN1034" s="74"/>
      <c r="AO1034" s="74"/>
      <c r="AP1034" s="74"/>
      <c r="AQ1034" s="74"/>
      <c r="AR1034" s="74"/>
      <c r="AS1034" s="74"/>
      <c r="BD1034" s="74"/>
      <c r="BE1034" s="74"/>
      <c r="BF1034" s="74"/>
      <c r="BG1034" s="74"/>
      <c r="BH1034" s="74"/>
      <c r="BI1034" s="74"/>
    </row>
    <row r="1035" spans="4:61" x14ac:dyDescent="0.3">
      <c r="D1035" s="74"/>
      <c r="E1035" s="74"/>
      <c r="X1035" s="74"/>
      <c r="Y1035" s="74"/>
      <c r="Z1035" s="74"/>
      <c r="AA1035" s="74"/>
      <c r="AB1035" s="74"/>
      <c r="AC1035" s="74"/>
      <c r="AN1035" s="74"/>
      <c r="AO1035" s="74"/>
      <c r="AP1035" s="74"/>
      <c r="AQ1035" s="74"/>
      <c r="AR1035" s="74"/>
      <c r="AS1035" s="74"/>
      <c r="BD1035" s="74"/>
      <c r="BE1035" s="74"/>
      <c r="BF1035" s="74"/>
      <c r="BG1035" s="74"/>
      <c r="BH1035" s="74"/>
      <c r="BI1035" s="74"/>
    </row>
    <row r="1036" spans="4:61" x14ac:dyDescent="0.3">
      <c r="D1036" s="74"/>
      <c r="E1036" s="74"/>
      <c r="X1036" s="74"/>
      <c r="Y1036" s="74"/>
      <c r="Z1036" s="74"/>
      <c r="AA1036" s="74"/>
      <c r="AB1036" s="74"/>
      <c r="AC1036" s="74"/>
      <c r="AN1036" s="74"/>
      <c r="AO1036" s="74"/>
      <c r="AP1036" s="74"/>
      <c r="AQ1036" s="74"/>
      <c r="AR1036" s="74"/>
      <c r="AS1036" s="74"/>
      <c r="BD1036" s="74"/>
      <c r="BE1036" s="74"/>
      <c r="BF1036" s="74"/>
      <c r="BG1036" s="74"/>
      <c r="BH1036" s="74"/>
      <c r="BI1036" s="74"/>
    </row>
    <row r="1037" spans="4:61" x14ac:dyDescent="0.3">
      <c r="D1037" s="74"/>
      <c r="E1037" s="74"/>
      <c r="X1037" s="74"/>
      <c r="Y1037" s="74"/>
      <c r="Z1037" s="74"/>
      <c r="AA1037" s="74"/>
      <c r="AB1037" s="74"/>
      <c r="AC1037" s="74"/>
      <c r="AN1037" s="74"/>
      <c r="AO1037" s="74"/>
      <c r="AP1037" s="74"/>
      <c r="AQ1037" s="74"/>
      <c r="AR1037" s="74"/>
      <c r="AS1037" s="74"/>
      <c r="BD1037" s="74"/>
      <c r="BE1037" s="74"/>
      <c r="BF1037" s="74"/>
      <c r="BG1037" s="74"/>
      <c r="BH1037" s="74"/>
      <c r="BI1037" s="74"/>
    </row>
    <row r="1038" spans="4:61" x14ac:dyDescent="0.3">
      <c r="D1038" s="74"/>
      <c r="E1038" s="74"/>
      <c r="X1038" s="74"/>
      <c r="Y1038" s="74"/>
      <c r="Z1038" s="74"/>
      <c r="AA1038" s="74"/>
      <c r="AB1038" s="74"/>
      <c r="AC1038" s="74"/>
      <c r="AN1038" s="74"/>
      <c r="AO1038" s="74"/>
      <c r="AP1038" s="74"/>
      <c r="AQ1038" s="74"/>
      <c r="AR1038" s="74"/>
      <c r="AS1038" s="74"/>
      <c r="BD1038" s="74"/>
      <c r="BE1038" s="74"/>
      <c r="BF1038" s="74"/>
      <c r="BG1038" s="74"/>
      <c r="BH1038" s="74"/>
      <c r="BI1038" s="74"/>
    </row>
    <row r="1039" spans="4:61" x14ac:dyDescent="0.3">
      <c r="D1039" s="74"/>
      <c r="E1039" s="74"/>
      <c r="X1039" s="74"/>
      <c r="Y1039" s="74"/>
      <c r="Z1039" s="74"/>
      <c r="AA1039" s="74"/>
      <c r="AB1039" s="74"/>
      <c r="AC1039" s="74"/>
      <c r="AN1039" s="74"/>
      <c r="AO1039" s="74"/>
      <c r="AP1039" s="74"/>
      <c r="AQ1039" s="74"/>
      <c r="AR1039" s="74"/>
      <c r="AS1039" s="74"/>
      <c r="BD1039" s="74"/>
      <c r="BE1039" s="74"/>
      <c r="BF1039" s="74"/>
      <c r="BG1039" s="74"/>
      <c r="BH1039" s="74"/>
      <c r="BI1039" s="74"/>
    </row>
    <row r="1040" spans="4:61" x14ac:dyDescent="0.3">
      <c r="D1040" s="74"/>
      <c r="E1040" s="74"/>
      <c r="X1040" s="74"/>
      <c r="Y1040" s="74"/>
      <c r="Z1040" s="74"/>
      <c r="AA1040" s="74"/>
      <c r="AB1040" s="74"/>
      <c r="AC1040" s="74"/>
      <c r="AN1040" s="74"/>
      <c r="AO1040" s="74"/>
      <c r="AP1040" s="74"/>
      <c r="AQ1040" s="74"/>
      <c r="AR1040" s="74"/>
      <c r="AS1040" s="74"/>
      <c r="BD1040" s="74"/>
      <c r="BE1040" s="74"/>
      <c r="BF1040" s="74"/>
      <c r="BG1040" s="74"/>
      <c r="BH1040" s="74"/>
      <c r="BI1040" s="74"/>
    </row>
    <row r="1041" spans="4:61" x14ac:dyDescent="0.3">
      <c r="D1041" s="74"/>
      <c r="E1041" s="74"/>
      <c r="X1041" s="74"/>
      <c r="Y1041" s="74"/>
      <c r="Z1041" s="74"/>
      <c r="AA1041" s="74"/>
      <c r="AB1041" s="74"/>
      <c r="AC1041" s="74"/>
      <c r="AN1041" s="74"/>
      <c r="AO1041" s="74"/>
      <c r="AP1041" s="74"/>
      <c r="AQ1041" s="74"/>
      <c r="AR1041" s="74"/>
      <c r="AS1041" s="74"/>
      <c r="BD1041" s="74"/>
      <c r="BE1041" s="74"/>
      <c r="BF1041" s="74"/>
      <c r="BG1041" s="74"/>
      <c r="BH1041" s="74"/>
      <c r="BI1041" s="74"/>
    </row>
    <row r="1042" spans="4:61" x14ac:dyDescent="0.3">
      <c r="D1042" s="74"/>
      <c r="E1042" s="74"/>
      <c r="X1042" s="74"/>
      <c r="Y1042" s="74"/>
      <c r="Z1042" s="74"/>
      <c r="AA1042" s="74"/>
      <c r="AB1042" s="74"/>
      <c r="AC1042" s="74"/>
      <c r="AN1042" s="74"/>
      <c r="AO1042" s="74"/>
      <c r="AP1042" s="74"/>
      <c r="AQ1042" s="74"/>
      <c r="AR1042" s="74"/>
      <c r="AS1042" s="74"/>
      <c r="BD1042" s="74"/>
      <c r="BE1042" s="74"/>
      <c r="BF1042" s="74"/>
      <c r="BG1042" s="74"/>
      <c r="BH1042" s="74"/>
      <c r="BI1042" s="74"/>
    </row>
    <row r="1043" spans="4:61" x14ac:dyDescent="0.3">
      <c r="D1043" s="74"/>
      <c r="E1043" s="74"/>
      <c r="X1043" s="74"/>
      <c r="Y1043" s="74"/>
      <c r="Z1043" s="74"/>
      <c r="AA1043" s="74"/>
      <c r="AB1043" s="74"/>
      <c r="AC1043" s="74"/>
      <c r="AN1043" s="74"/>
      <c r="AO1043" s="74"/>
      <c r="AP1043" s="74"/>
      <c r="AQ1043" s="74"/>
      <c r="AR1043" s="74"/>
      <c r="AS1043" s="74"/>
      <c r="BD1043" s="74"/>
      <c r="BE1043" s="74"/>
      <c r="BF1043" s="74"/>
      <c r="BG1043" s="74"/>
      <c r="BH1043" s="74"/>
      <c r="BI1043" s="74"/>
    </row>
    <row r="1044" spans="4:61" x14ac:dyDescent="0.3">
      <c r="D1044" s="74"/>
      <c r="E1044" s="74"/>
      <c r="X1044" s="74"/>
      <c r="Y1044" s="74"/>
      <c r="Z1044" s="74"/>
      <c r="AA1044" s="74"/>
      <c r="AB1044" s="74"/>
      <c r="AC1044" s="74"/>
      <c r="AN1044" s="74"/>
      <c r="AO1044" s="74"/>
      <c r="AP1044" s="74"/>
      <c r="AQ1044" s="74"/>
      <c r="AR1044" s="74"/>
      <c r="AS1044" s="74"/>
      <c r="BD1044" s="74"/>
      <c r="BE1044" s="74"/>
      <c r="BF1044" s="74"/>
      <c r="BG1044" s="74"/>
      <c r="BH1044" s="74"/>
      <c r="BI1044" s="74"/>
    </row>
    <row r="1045" spans="4:61" x14ac:dyDescent="0.3">
      <c r="D1045" s="74"/>
      <c r="E1045" s="74"/>
      <c r="X1045" s="74"/>
      <c r="Y1045" s="74"/>
      <c r="Z1045" s="74"/>
      <c r="AA1045" s="74"/>
      <c r="AB1045" s="74"/>
      <c r="AC1045" s="74"/>
      <c r="AN1045" s="74"/>
      <c r="AO1045" s="74"/>
      <c r="AP1045" s="74"/>
      <c r="AQ1045" s="74"/>
      <c r="AR1045" s="74"/>
      <c r="AS1045" s="74"/>
      <c r="BD1045" s="74"/>
      <c r="BE1045" s="74"/>
      <c r="BF1045" s="74"/>
      <c r="BG1045" s="74"/>
      <c r="BH1045" s="74"/>
      <c r="BI1045" s="74"/>
    </row>
    <row r="1046" spans="4:61" x14ac:dyDescent="0.3">
      <c r="D1046" s="74"/>
      <c r="E1046" s="74"/>
      <c r="X1046" s="74"/>
      <c r="Y1046" s="74"/>
      <c r="Z1046" s="74"/>
      <c r="AA1046" s="74"/>
      <c r="AB1046" s="74"/>
      <c r="AC1046" s="74"/>
      <c r="AN1046" s="74"/>
      <c r="AO1046" s="74"/>
      <c r="AP1046" s="74"/>
      <c r="AQ1046" s="74"/>
      <c r="AR1046" s="74"/>
      <c r="AS1046" s="74"/>
      <c r="BD1046" s="74"/>
      <c r="BE1046" s="74"/>
      <c r="BF1046" s="74"/>
      <c r="BG1046" s="74"/>
      <c r="BH1046" s="74"/>
      <c r="BI1046" s="74"/>
    </row>
    <row r="1047" spans="4:61" x14ac:dyDescent="0.3">
      <c r="D1047" s="74"/>
      <c r="E1047" s="74"/>
      <c r="X1047" s="74"/>
      <c r="Y1047" s="74"/>
      <c r="Z1047" s="74"/>
      <c r="AA1047" s="74"/>
      <c r="AB1047" s="74"/>
      <c r="AC1047" s="74"/>
      <c r="AN1047" s="74"/>
      <c r="AO1047" s="74"/>
      <c r="AP1047" s="74"/>
      <c r="AQ1047" s="74"/>
      <c r="AR1047" s="74"/>
      <c r="AS1047" s="74"/>
      <c r="BD1047" s="74"/>
      <c r="BE1047" s="74"/>
      <c r="BF1047" s="74"/>
      <c r="BG1047" s="74"/>
      <c r="BH1047" s="74"/>
      <c r="BI1047" s="74"/>
    </row>
    <row r="1048" spans="4:61" x14ac:dyDescent="0.3">
      <c r="D1048" s="74"/>
      <c r="E1048" s="74"/>
      <c r="X1048" s="74"/>
      <c r="Y1048" s="74"/>
      <c r="Z1048" s="74"/>
      <c r="AA1048" s="74"/>
      <c r="AB1048" s="74"/>
      <c r="AC1048" s="74"/>
      <c r="AN1048" s="74"/>
      <c r="AO1048" s="74"/>
      <c r="AP1048" s="74"/>
      <c r="AQ1048" s="74"/>
      <c r="AR1048" s="74"/>
      <c r="AS1048" s="74"/>
      <c r="BD1048" s="74"/>
      <c r="BE1048" s="74"/>
      <c r="BF1048" s="74"/>
      <c r="BG1048" s="74"/>
      <c r="BH1048" s="74"/>
      <c r="BI1048" s="74"/>
    </row>
    <row r="1049" spans="4:61" x14ac:dyDescent="0.3">
      <c r="D1049" s="74"/>
      <c r="E1049" s="74"/>
      <c r="X1049" s="74"/>
      <c r="Y1049" s="74"/>
      <c r="Z1049" s="74"/>
      <c r="AA1049" s="74"/>
      <c r="AB1049" s="74"/>
      <c r="AC1049" s="74"/>
      <c r="AN1049" s="74"/>
      <c r="AO1049" s="74"/>
      <c r="AP1049" s="74"/>
      <c r="AQ1049" s="74"/>
      <c r="AR1049" s="74"/>
      <c r="AS1049" s="74"/>
      <c r="BD1049" s="74"/>
      <c r="BE1049" s="74"/>
      <c r="BF1049" s="74"/>
      <c r="BG1049" s="74"/>
      <c r="BH1049" s="74"/>
      <c r="BI1049" s="74"/>
    </row>
    <row r="1050" spans="4:61" x14ac:dyDescent="0.3">
      <c r="D1050" s="74"/>
      <c r="E1050" s="74"/>
      <c r="X1050" s="74"/>
      <c r="Y1050" s="74"/>
      <c r="Z1050" s="74"/>
      <c r="AA1050" s="74"/>
      <c r="AB1050" s="74"/>
      <c r="AC1050" s="74"/>
      <c r="AN1050" s="74"/>
      <c r="AO1050" s="74"/>
      <c r="AP1050" s="74"/>
      <c r="AQ1050" s="74"/>
      <c r="AR1050" s="74"/>
      <c r="AS1050" s="74"/>
      <c r="BD1050" s="74"/>
      <c r="BE1050" s="74"/>
      <c r="BF1050" s="74"/>
      <c r="BG1050" s="74"/>
      <c r="BH1050" s="74"/>
      <c r="BI1050" s="74"/>
    </row>
    <row r="1051" spans="4:61" x14ac:dyDescent="0.3">
      <c r="D1051" s="74"/>
      <c r="E1051" s="74"/>
      <c r="X1051" s="74"/>
      <c r="Y1051" s="74"/>
      <c r="Z1051" s="74"/>
      <c r="AA1051" s="74"/>
      <c r="AB1051" s="74"/>
      <c r="AC1051" s="74"/>
      <c r="AN1051" s="74"/>
      <c r="AO1051" s="74"/>
      <c r="AP1051" s="74"/>
      <c r="AQ1051" s="74"/>
      <c r="AR1051" s="74"/>
      <c r="AS1051" s="74"/>
      <c r="BD1051" s="74"/>
      <c r="BE1051" s="74"/>
      <c r="BF1051" s="74"/>
      <c r="BG1051" s="74"/>
      <c r="BH1051" s="74"/>
      <c r="BI1051" s="74"/>
    </row>
    <row r="1052" spans="4:61" x14ac:dyDescent="0.3">
      <c r="D1052" s="74"/>
      <c r="E1052" s="74"/>
      <c r="X1052" s="74"/>
      <c r="Y1052" s="74"/>
      <c r="Z1052" s="74"/>
      <c r="AA1052" s="74"/>
      <c r="AB1052" s="74"/>
      <c r="AC1052" s="74"/>
      <c r="AN1052" s="74"/>
      <c r="AO1052" s="74"/>
      <c r="AP1052" s="74"/>
      <c r="AQ1052" s="74"/>
      <c r="AR1052" s="74"/>
      <c r="AS1052" s="74"/>
      <c r="BD1052" s="74"/>
      <c r="BE1052" s="74"/>
      <c r="BF1052" s="74"/>
      <c r="BG1052" s="74"/>
      <c r="BH1052" s="74"/>
      <c r="BI1052" s="74"/>
    </row>
    <row r="1053" spans="4:61" x14ac:dyDescent="0.3">
      <c r="D1053" s="74"/>
      <c r="E1053" s="74"/>
      <c r="X1053" s="74"/>
      <c r="Y1053" s="74"/>
      <c r="Z1053" s="74"/>
      <c r="AA1053" s="74"/>
      <c r="AB1053" s="74"/>
      <c r="AC1053" s="74"/>
      <c r="AN1053" s="74"/>
      <c r="AO1053" s="74"/>
      <c r="AP1053" s="74"/>
      <c r="AQ1053" s="74"/>
      <c r="AR1053" s="74"/>
      <c r="AS1053" s="74"/>
      <c r="BD1053" s="74"/>
      <c r="BE1053" s="74"/>
      <c r="BF1053" s="74"/>
      <c r="BG1053" s="74"/>
      <c r="BH1053" s="74"/>
      <c r="BI1053" s="74"/>
    </row>
    <row r="1054" spans="4:61" x14ac:dyDescent="0.3">
      <c r="D1054" s="74"/>
      <c r="E1054" s="74"/>
      <c r="X1054" s="74"/>
      <c r="Y1054" s="74"/>
      <c r="Z1054" s="74"/>
      <c r="AA1054" s="74"/>
      <c r="AB1054" s="74"/>
      <c r="AC1054" s="74"/>
      <c r="AN1054" s="74"/>
      <c r="AO1054" s="74"/>
      <c r="AP1054" s="74"/>
      <c r="AQ1054" s="74"/>
      <c r="AR1054" s="74"/>
      <c r="AS1054" s="74"/>
      <c r="BD1054" s="74"/>
      <c r="BE1054" s="74"/>
      <c r="BF1054" s="74"/>
      <c r="BG1054" s="74"/>
      <c r="BH1054" s="74"/>
      <c r="BI1054" s="74"/>
    </row>
    <row r="1055" spans="4:61" x14ac:dyDescent="0.3">
      <c r="D1055" s="74"/>
      <c r="E1055" s="74"/>
      <c r="X1055" s="74"/>
      <c r="Y1055" s="74"/>
      <c r="Z1055" s="74"/>
      <c r="AA1055" s="74"/>
      <c r="AB1055" s="74"/>
      <c r="AC1055" s="74"/>
      <c r="AN1055" s="74"/>
      <c r="AO1055" s="74"/>
      <c r="AP1055" s="74"/>
      <c r="AQ1055" s="74"/>
      <c r="AR1055" s="74"/>
      <c r="AS1055" s="74"/>
      <c r="BD1055" s="74"/>
      <c r="BE1055" s="74"/>
      <c r="BF1055" s="74"/>
      <c r="BG1055" s="74"/>
      <c r="BH1055" s="74"/>
      <c r="BI1055" s="74"/>
    </row>
    <row r="1056" spans="4:61" x14ac:dyDescent="0.3">
      <c r="D1056" s="74"/>
      <c r="E1056" s="74"/>
      <c r="X1056" s="74"/>
      <c r="Y1056" s="74"/>
      <c r="Z1056" s="74"/>
      <c r="AA1056" s="74"/>
      <c r="AB1056" s="74"/>
      <c r="AC1056" s="74"/>
      <c r="AN1056" s="74"/>
      <c r="AO1056" s="74"/>
      <c r="AP1056" s="74"/>
      <c r="AQ1056" s="74"/>
      <c r="AR1056" s="74"/>
      <c r="AS1056" s="74"/>
      <c r="BD1056" s="74"/>
      <c r="BE1056" s="74"/>
      <c r="BF1056" s="74"/>
      <c r="BG1056" s="74"/>
      <c r="BH1056" s="74"/>
      <c r="BI1056" s="74"/>
    </row>
    <row r="1057" spans="4:61" x14ac:dyDescent="0.3">
      <c r="D1057" s="74"/>
      <c r="E1057" s="74"/>
      <c r="X1057" s="74"/>
      <c r="Y1057" s="74"/>
      <c r="Z1057" s="74"/>
      <c r="AA1057" s="74"/>
      <c r="AB1057" s="74"/>
      <c r="AC1057" s="74"/>
      <c r="AN1057" s="74"/>
      <c r="AO1057" s="74"/>
      <c r="AP1057" s="74"/>
      <c r="AQ1057" s="74"/>
      <c r="AR1057" s="74"/>
      <c r="AS1057" s="74"/>
      <c r="BD1057" s="74"/>
      <c r="BE1057" s="74"/>
      <c r="BF1057" s="74"/>
      <c r="BG1057" s="74"/>
      <c r="BH1057" s="74"/>
      <c r="BI1057" s="74"/>
    </row>
    <row r="1058" spans="4:61" x14ac:dyDescent="0.3">
      <c r="D1058" s="74"/>
      <c r="E1058" s="74"/>
      <c r="X1058" s="74"/>
      <c r="Y1058" s="74"/>
      <c r="Z1058" s="74"/>
      <c r="AA1058" s="74"/>
      <c r="AB1058" s="74"/>
      <c r="AC1058" s="74"/>
      <c r="AN1058" s="74"/>
      <c r="AO1058" s="74"/>
      <c r="AP1058" s="74"/>
      <c r="AQ1058" s="74"/>
      <c r="AR1058" s="74"/>
      <c r="AS1058" s="74"/>
      <c r="BD1058" s="74"/>
      <c r="BE1058" s="74"/>
      <c r="BF1058" s="74"/>
      <c r="BG1058" s="74"/>
      <c r="BH1058" s="74"/>
      <c r="BI1058" s="74"/>
    </row>
    <row r="1059" spans="4:61" x14ac:dyDescent="0.3">
      <c r="D1059" s="74"/>
      <c r="E1059" s="74"/>
      <c r="X1059" s="74"/>
      <c r="Y1059" s="74"/>
      <c r="Z1059" s="74"/>
      <c r="AA1059" s="74"/>
      <c r="AB1059" s="74"/>
      <c r="AC1059" s="74"/>
      <c r="AN1059" s="74"/>
      <c r="AO1059" s="74"/>
      <c r="AP1059" s="74"/>
      <c r="AQ1059" s="74"/>
      <c r="AR1059" s="74"/>
      <c r="AS1059" s="74"/>
      <c r="BD1059" s="74"/>
      <c r="BE1059" s="74"/>
      <c r="BF1059" s="74"/>
      <c r="BG1059" s="74"/>
      <c r="BH1059" s="74"/>
      <c r="BI1059" s="74"/>
    </row>
    <row r="1060" spans="4:61" x14ac:dyDescent="0.3">
      <c r="D1060" s="74"/>
      <c r="E1060" s="74"/>
      <c r="X1060" s="74"/>
      <c r="Y1060" s="74"/>
      <c r="Z1060" s="74"/>
      <c r="AA1060" s="74"/>
      <c r="AB1060" s="74"/>
      <c r="AC1060" s="74"/>
      <c r="AN1060" s="74"/>
      <c r="AO1060" s="74"/>
      <c r="AP1060" s="74"/>
      <c r="AQ1060" s="74"/>
      <c r="AR1060" s="74"/>
      <c r="AS1060" s="74"/>
      <c r="BD1060" s="74"/>
      <c r="BE1060" s="74"/>
      <c r="BF1060" s="74"/>
      <c r="BG1060" s="74"/>
      <c r="BH1060" s="74"/>
      <c r="BI1060" s="74"/>
    </row>
    <row r="1061" spans="4:61" x14ac:dyDescent="0.3">
      <c r="D1061" s="74"/>
      <c r="E1061" s="74"/>
      <c r="X1061" s="74"/>
      <c r="Y1061" s="74"/>
      <c r="Z1061" s="74"/>
      <c r="AA1061" s="74"/>
      <c r="AB1061" s="74"/>
      <c r="AC1061" s="74"/>
      <c r="AN1061" s="74"/>
      <c r="AO1061" s="74"/>
      <c r="AP1061" s="74"/>
      <c r="AQ1061" s="74"/>
      <c r="AR1061" s="74"/>
      <c r="AS1061" s="74"/>
      <c r="BD1061" s="74"/>
      <c r="BE1061" s="74"/>
      <c r="BF1061" s="74"/>
      <c r="BG1061" s="74"/>
      <c r="BH1061" s="74"/>
      <c r="BI1061" s="74"/>
    </row>
    <row r="1062" spans="4:61" x14ac:dyDescent="0.3">
      <c r="D1062" s="74"/>
      <c r="E1062" s="74"/>
      <c r="X1062" s="74"/>
      <c r="Y1062" s="74"/>
      <c r="Z1062" s="74"/>
      <c r="AA1062" s="74"/>
      <c r="AB1062" s="74"/>
      <c r="AC1062" s="74"/>
      <c r="AN1062" s="74"/>
      <c r="AO1062" s="74"/>
      <c r="AP1062" s="74"/>
      <c r="AQ1062" s="74"/>
      <c r="AR1062" s="74"/>
      <c r="AS1062" s="74"/>
      <c r="BD1062" s="74"/>
      <c r="BE1062" s="74"/>
      <c r="BF1062" s="74"/>
      <c r="BG1062" s="74"/>
      <c r="BH1062" s="74"/>
      <c r="BI1062" s="74"/>
    </row>
    <row r="1063" spans="4:61" x14ac:dyDescent="0.3">
      <c r="D1063" s="74"/>
      <c r="E1063" s="74"/>
      <c r="X1063" s="74"/>
      <c r="Y1063" s="74"/>
      <c r="Z1063" s="74"/>
      <c r="AA1063" s="74"/>
      <c r="AB1063" s="74"/>
      <c r="AC1063" s="74"/>
      <c r="AN1063" s="74"/>
      <c r="AO1063" s="74"/>
      <c r="AP1063" s="74"/>
      <c r="AQ1063" s="74"/>
      <c r="AR1063" s="74"/>
      <c r="AS1063" s="74"/>
      <c r="BD1063" s="74"/>
      <c r="BE1063" s="74"/>
      <c r="BF1063" s="74"/>
      <c r="BG1063" s="74"/>
      <c r="BH1063" s="74"/>
      <c r="BI1063" s="74"/>
    </row>
    <row r="1064" spans="4:61" x14ac:dyDescent="0.3">
      <c r="D1064" s="74"/>
      <c r="E1064" s="74"/>
      <c r="X1064" s="74"/>
      <c r="Y1064" s="74"/>
      <c r="Z1064" s="74"/>
      <c r="AA1064" s="74"/>
      <c r="AB1064" s="74"/>
      <c r="AC1064" s="74"/>
      <c r="AN1064" s="74"/>
      <c r="AO1064" s="74"/>
      <c r="AP1064" s="74"/>
      <c r="AQ1064" s="74"/>
      <c r="AR1064" s="74"/>
      <c r="AS1064" s="74"/>
      <c r="BD1064" s="74"/>
      <c r="BE1064" s="74"/>
      <c r="BF1064" s="74"/>
      <c r="BG1064" s="74"/>
      <c r="BH1064" s="74"/>
      <c r="BI1064" s="74"/>
    </row>
    <row r="1065" spans="4:61" x14ac:dyDescent="0.3">
      <c r="D1065" s="74"/>
      <c r="E1065" s="74"/>
      <c r="X1065" s="74"/>
      <c r="Y1065" s="74"/>
      <c r="Z1065" s="74"/>
      <c r="AA1065" s="74"/>
      <c r="AB1065" s="74"/>
      <c r="AC1065" s="74"/>
      <c r="AN1065" s="74"/>
      <c r="AO1065" s="74"/>
      <c r="AP1065" s="74"/>
      <c r="AQ1065" s="74"/>
      <c r="AR1065" s="74"/>
      <c r="AS1065" s="74"/>
      <c r="BD1065" s="74"/>
      <c r="BE1065" s="74"/>
      <c r="BF1065" s="74"/>
      <c r="BG1065" s="74"/>
      <c r="BH1065" s="74"/>
      <c r="BI1065" s="74"/>
    </row>
    <row r="1066" spans="4:61" x14ac:dyDescent="0.3">
      <c r="D1066" s="74"/>
      <c r="E1066" s="74"/>
      <c r="X1066" s="74"/>
      <c r="Y1066" s="74"/>
      <c r="Z1066" s="74"/>
      <c r="AA1066" s="74"/>
      <c r="AB1066" s="74"/>
      <c r="AC1066" s="74"/>
      <c r="AN1066" s="74"/>
      <c r="AO1066" s="74"/>
      <c r="AP1066" s="74"/>
      <c r="AQ1066" s="74"/>
      <c r="AR1066" s="74"/>
      <c r="AS1066" s="74"/>
      <c r="BD1066" s="74"/>
      <c r="BE1066" s="74"/>
      <c r="BF1066" s="74"/>
      <c r="BG1066" s="74"/>
      <c r="BH1066" s="74"/>
      <c r="BI1066" s="74"/>
    </row>
    <row r="1067" spans="4:61" x14ac:dyDescent="0.3">
      <c r="D1067" s="74"/>
      <c r="E1067" s="74"/>
      <c r="X1067" s="74"/>
      <c r="Y1067" s="74"/>
      <c r="Z1067" s="74"/>
      <c r="AA1067" s="74"/>
      <c r="AB1067" s="74"/>
      <c r="AC1067" s="74"/>
      <c r="AN1067" s="74"/>
      <c r="AO1067" s="74"/>
      <c r="AP1067" s="74"/>
      <c r="AQ1067" s="74"/>
      <c r="AR1067" s="74"/>
      <c r="AS1067" s="74"/>
      <c r="BD1067" s="74"/>
      <c r="BE1067" s="74"/>
      <c r="BF1067" s="74"/>
      <c r="BG1067" s="74"/>
      <c r="BH1067" s="74"/>
      <c r="BI1067" s="74"/>
    </row>
    <row r="1068" spans="4:61" x14ac:dyDescent="0.3">
      <c r="D1068" s="74"/>
      <c r="E1068" s="74"/>
      <c r="X1068" s="74"/>
      <c r="Y1068" s="74"/>
      <c r="Z1068" s="74"/>
      <c r="AA1068" s="74"/>
      <c r="AB1068" s="74"/>
      <c r="AC1068" s="74"/>
      <c r="AN1068" s="74"/>
      <c r="AO1068" s="74"/>
      <c r="AP1068" s="74"/>
      <c r="AQ1068" s="74"/>
      <c r="AR1068" s="74"/>
      <c r="AS1068" s="74"/>
      <c r="BD1068" s="74"/>
      <c r="BE1068" s="74"/>
      <c r="BF1068" s="74"/>
      <c r="BG1068" s="74"/>
      <c r="BH1068" s="74"/>
      <c r="BI1068" s="74"/>
    </row>
    <row r="1069" spans="4:61" x14ac:dyDescent="0.3">
      <c r="D1069" s="74"/>
      <c r="E1069" s="74"/>
      <c r="X1069" s="74"/>
      <c r="Y1069" s="74"/>
      <c r="Z1069" s="74"/>
      <c r="AA1069" s="74"/>
      <c r="AB1069" s="74"/>
      <c r="AC1069" s="74"/>
      <c r="AN1069" s="74"/>
      <c r="AO1069" s="74"/>
      <c r="AP1069" s="74"/>
      <c r="AQ1069" s="74"/>
      <c r="AR1069" s="74"/>
      <c r="AS1069" s="74"/>
      <c r="BD1069" s="74"/>
      <c r="BE1069" s="74"/>
      <c r="BF1069" s="74"/>
      <c r="BG1069" s="74"/>
      <c r="BH1069" s="74"/>
      <c r="BI1069" s="74"/>
    </row>
    <row r="1070" spans="4:61" x14ac:dyDescent="0.3">
      <c r="D1070" s="74"/>
      <c r="E1070" s="74"/>
      <c r="X1070" s="74"/>
      <c r="Y1070" s="74"/>
      <c r="Z1070" s="74"/>
      <c r="AA1070" s="74"/>
      <c r="AB1070" s="74"/>
      <c r="AC1070" s="74"/>
      <c r="AN1070" s="74"/>
      <c r="AO1070" s="74"/>
      <c r="AP1070" s="74"/>
      <c r="AQ1070" s="74"/>
      <c r="AR1070" s="74"/>
      <c r="AS1070" s="74"/>
      <c r="BD1070" s="74"/>
      <c r="BE1070" s="74"/>
      <c r="BF1070" s="74"/>
      <c r="BG1070" s="74"/>
      <c r="BH1070" s="74"/>
      <c r="BI1070" s="74"/>
    </row>
    <row r="1071" spans="4:61" x14ac:dyDescent="0.3">
      <c r="D1071" s="74"/>
      <c r="E1071" s="74"/>
      <c r="X1071" s="74"/>
      <c r="Y1071" s="74"/>
      <c r="Z1071" s="74"/>
      <c r="AA1071" s="74"/>
      <c r="AB1071" s="74"/>
      <c r="AC1071" s="74"/>
      <c r="AN1071" s="74"/>
      <c r="AO1071" s="74"/>
      <c r="AP1071" s="74"/>
      <c r="AQ1071" s="74"/>
      <c r="AR1071" s="74"/>
      <c r="AS1071" s="74"/>
      <c r="BD1071" s="74"/>
      <c r="BE1071" s="74"/>
      <c r="BF1071" s="74"/>
      <c r="BG1071" s="74"/>
      <c r="BH1071" s="74"/>
      <c r="BI1071" s="74"/>
    </row>
    <row r="1072" spans="4:61" x14ac:dyDescent="0.3">
      <c r="D1072" s="74"/>
      <c r="E1072" s="74"/>
      <c r="X1072" s="74"/>
      <c r="Y1072" s="74"/>
      <c r="Z1072" s="74"/>
      <c r="AA1072" s="74"/>
      <c r="AB1072" s="74"/>
      <c r="AC1072" s="74"/>
      <c r="AN1072" s="74"/>
      <c r="AO1072" s="74"/>
      <c r="AP1072" s="74"/>
      <c r="AQ1072" s="74"/>
      <c r="AR1072" s="74"/>
      <c r="AS1072" s="74"/>
      <c r="BD1072" s="74"/>
      <c r="BE1072" s="74"/>
      <c r="BF1072" s="74"/>
      <c r="BG1072" s="74"/>
      <c r="BH1072" s="74"/>
      <c r="BI1072" s="74"/>
    </row>
    <row r="1073" spans="4:61" x14ac:dyDescent="0.3">
      <c r="D1073" s="74"/>
      <c r="E1073" s="74"/>
      <c r="X1073" s="74"/>
      <c r="Y1073" s="74"/>
      <c r="Z1073" s="74"/>
      <c r="AA1073" s="74"/>
      <c r="AB1073" s="74"/>
      <c r="AC1073" s="74"/>
      <c r="AN1073" s="74"/>
      <c r="AO1073" s="74"/>
      <c r="AP1073" s="74"/>
      <c r="AQ1073" s="74"/>
      <c r="AR1073" s="74"/>
      <c r="AS1073" s="74"/>
      <c r="BD1073" s="74"/>
      <c r="BE1073" s="74"/>
      <c r="BF1073" s="74"/>
      <c r="BG1073" s="74"/>
      <c r="BH1073" s="74"/>
      <c r="BI1073" s="74"/>
    </row>
    <row r="1074" spans="4:61" x14ac:dyDescent="0.3">
      <c r="D1074" s="74"/>
      <c r="E1074" s="74"/>
      <c r="X1074" s="74"/>
      <c r="Y1074" s="74"/>
      <c r="Z1074" s="74"/>
      <c r="AA1074" s="74"/>
      <c r="AB1074" s="74"/>
      <c r="AC1074" s="74"/>
      <c r="AN1074" s="74"/>
      <c r="AO1074" s="74"/>
      <c r="AP1074" s="74"/>
      <c r="AQ1074" s="74"/>
      <c r="AR1074" s="74"/>
      <c r="AS1074" s="74"/>
      <c r="BD1074" s="74"/>
      <c r="BE1074" s="74"/>
      <c r="BF1074" s="74"/>
      <c r="BG1074" s="74"/>
      <c r="BH1074" s="74"/>
      <c r="BI1074" s="74"/>
    </row>
    <row r="1075" spans="4:61" x14ac:dyDescent="0.3">
      <c r="D1075" s="74"/>
      <c r="E1075" s="74"/>
      <c r="X1075" s="74"/>
      <c r="Y1075" s="74"/>
      <c r="Z1075" s="74"/>
      <c r="AA1075" s="74"/>
      <c r="AB1075" s="74"/>
      <c r="AC1075" s="74"/>
      <c r="AN1075" s="74"/>
      <c r="AO1075" s="74"/>
      <c r="AP1075" s="74"/>
      <c r="AQ1075" s="74"/>
      <c r="AR1075" s="74"/>
      <c r="AS1075" s="74"/>
      <c r="BD1075" s="74"/>
      <c r="BE1075" s="74"/>
      <c r="BF1075" s="74"/>
      <c r="BG1075" s="74"/>
      <c r="BH1075" s="74"/>
      <c r="BI1075" s="74"/>
    </row>
    <row r="1076" spans="4:61" x14ac:dyDescent="0.3">
      <c r="D1076" s="74"/>
      <c r="E1076" s="74"/>
      <c r="X1076" s="74"/>
      <c r="Y1076" s="74"/>
      <c r="Z1076" s="74"/>
      <c r="AA1076" s="74"/>
      <c r="AB1076" s="74"/>
      <c r="AC1076" s="74"/>
      <c r="AN1076" s="74"/>
      <c r="AO1076" s="74"/>
      <c r="AP1076" s="74"/>
      <c r="AQ1076" s="74"/>
      <c r="AR1076" s="74"/>
      <c r="AS1076" s="74"/>
      <c r="BD1076" s="74"/>
      <c r="BE1076" s="74"/>
      <c r="BF1076" s="74"/>
      <c r="BG1076" s="74"/>
      <c r="BH1076" s="74"/>
      <c r="BI1076" s="74"/>
    </row>
    <row r="1077" spans="4:61" x14ac:dyDescent="0.3">
      <c r="D1077" s="74"/>
      <c r="E1077" s="74"/>
      <c r="X1077" s="74"/>
      <c r="Y1077" s="74"/>
      <c r="Z1077" s="74"/>
      <c r="AA1077" s="74"/>
      <c r="AB1077" s="74"/>
      <c r="AC1077" s="74"/>
      <c r="AN1077" s="74"/>
      <c r="AO1077" s="74"/>
      <c r="AP1077" s="74"/>
      <c r="AQ1077" s="74"/>
      <c r="AR1077" s="74"/>
      <c r="AS1077" s="74"/>
      <c r="BD1077" s="74"/>
      <c r="BE1077" s="74"/>
      <c r="BF1077" s="74"/>
      <c r="BG1077" s="74"/>
      <c r="BH1077" s="74"/>
      <c r="BI1077" s="74"/>
    </row>
    <row r="1078" spans="4:61" x14ac:dyDescent="0.3">
      <c r="D1078" s="74"/>
      <c r="E1078" s="74"/>
      <c r="X1078" s="74"/>
      <c r="Y1078" s="74"/>
      <c r="Z1078" s="74"/>
      <c r="AA1078" s="74"/>
      <c r="AB1078" s="74"/>
      <c r="AC1078" s="74"/>
      <c r="AN1078" s="74"/>
      <c r="AO1078" s="74"/>
      <c r="AP1078" s="74"/>
      <c r="AQ1078" s="74"/>
      <c r="AR1078" s="74"/>
      <c r="AS1078" s="74"/>
      <c r="BD1078" s="74"/>
      <c r="BE1078" s="74"/>
      <c r="BF1078" s="74"/>
      <c r="BG1078" s="74"/>
      <c r="BH1078" s="74"/>
      <c r="BI1078" s="74"/>
    </row>
    <row r="1079" spans="4:61" x14ac:dyDescent="0.3">
      <c r="D1079" s="74"/>
      <c r="E1079" s="74"/>
      <c r="X1079" s="74"/>
      <c r="Y1079" s="74"/>
      <c r="Z1079" s="74"/>
      <c r="AA1079" s="74"/>
      <c r="AB1079" s="74"/>
      <c r="AC1079" s="74"/>
      <c r="AN1079" s="74"/>
      <c r="AO1079" s="74"/>
      <c r="AP1079" s="74"/>
      <c r="AQ1079" s="74"/>
      <c r="AR1079" s="74"/>
      <c r="AS1079" s="74"/>
      <c r="BD1079" s="74"/>
      <c r="BE1079" s="74"/>
      <c r="BF1079" s="74"/>
      <c r="BG1079" s="74"/>
      <c r="BH1079" s="74"/>
      <c r="BI1079" s="74"/>
    </row>
    <row r="1080" spans="4:61" x14ac:dyDescent="0.3">
      <c r="D1080" s="74"/>
      <c r="E1080" s="74"/>
      <c r="X1080" s="74"/>
      <c r="Y1080" s="74"/>
      <c r="Z1080" s="74"/>
      <c r="AA1080" s="74"/>
      <c r="AB1080" s="74"/>
      <c r="AC1080" s="74"/>
      <c r="AN1080" s="74"/>
      <c r="AO1080" s="74"/>
      <c r="AP1080" s="74"/>
      <c r="AQ1080" s="74"/>
      <c r="AR1080" s="74"/>
      <c r="AS1080" s="74"/>
      <c r="BD1080" s="74"/>
      <c r="BE1080" s="74"/>
      <c r="BF1080" s="74"/>
      <c r="BG1080" s="74"/>
      <c r="BH1080" s="74"/>
      <c r="BI1080" s="74"/>
    </row>
    <row r="1081" spans="4:61" x14ac:dyDescent="0.3">
      <c r="D1081" s="74"/>
      <c r="E1081" s="74"/>
      <c r="X1081" s="74"/>
      <c r="Y1081" s="74"/>
      <c r="Z1081" s="74"/>
      <c r="AA1081" s="74"/>
      <c r="AB1081" s="74"/>
      <c r="AC1081" s="74"/>
      <c r="AN1081" s="74"/>
      <c r="AO1081" s="74"/>
      <c r="AP1081" s="74"/>
      <c r="AQ1081" s="74"/>
      <c r="AR1081" s="74"/>
      <c r="AS1081" s="74"/>
      <c r="BD1081" s="74"/>
      <c r="BE1081" s="74"/>
      <c r="BF1081" s="74"/>
      <c r="BG1081" s="74"/>
      <c r="BH1081" s="74"/>
      <c r="BI1081" s="74"/>
    </row>
    <row r="1082" spans="4:61" x14ac:dyDescent="0.3">
      <c r="D1082" s="74"/>
      <c r="E1082" s="74"/>
      <c r="X1082" s="74"/>
      <c r="Y1082" s="74"/>
      <c r="Z1082" s="74"/>
      <c r="AA1082" s="74"/>
      <c r="AB1082" s="74"/>
      <c r="AC1082" s="74"/>
      <c r="AN1082" s="74"/>
      <c r="AO1082" s="74"/>
      <c r="AP1082" s="74"/>
      <c r="AQ1082" s="74"/>
      <c r="AR1082" s="74"/>
      <c r="AS1082" s="74"/>
      <c r="BD1082" s="74"/>
      <c r="BE1082" s="74"/>
      <c r="BF1082" s="74"/>
      <c r="BG1082" s="74"/>
      <c r="BH1082" s="74"/>
      <c r="BI1082" s="74"/>
    </row>
    <row r="1083" spans="4:61" x14ac:dyDescent="0.3">
      <c r="D1083" s="74"/>
      <c r="E1083" s="74"/>
      <c r="X1083" s="74"/>
      <c r="Y1083" s="74"/>
      <c r="Z1083" s="74"/>
      <c r="AA1083" s="74"/>
      <c r="AB1083" s="74"/>
      <c r="AC1083" s="74"/>
      <c r="AN1083" s="74"/>
      <c r="AO1083" s="74"/>
      <c r="AP1083" s="74"/>
      <c r="AQ1083" s="74"/>
      <c r="AR1083" s="74"/>
      <c r="AS1083" s="74"/>
      <c r="BD1083" s="74"/>
      <c r="BE1083" s="74"/>
      <c r="BF1083" s="74"/>
      <c r="BG1083" s="74"/>
      <c r="BH1083" s="74"/>
      <c r="BI1083" s="74"/>
    </row>
    <row r="1084" spans="4:61" x14ac:dyDescent="0.3">
      <c r="D1084" s="74"/>
      <c r="E1084" s="74"/>
      <c r="X1084" s="74"/>
      <c r="Y1084" s="74"/>
      <c r="Z1084" s="74"/>
      <c r="AA1084" s="74"/>
      <c r="AB1084" s="74"/>
      <c r="AC1084" s="74"/>
      <c r="AN1084" s="74"/>
      <c r="AO1084" s="74"/>
      <c r="AP1084" s="74"/>
      <c r="AQ1084" s="74"/>
      <c r="AR1084" s="74"/>
      <c r="AS1084" s="74"/>
      <c r="BD1084" s="74"/>
      <c r="BE1084" s="74"/>
      <c r="BF1084" s="74"/>
      <c r="BG1084" s="74"/>
      <c r="BH1084" s="74"/>
      <c r="BI1084" s="74"/>
    </row>
    <row r="1085" spans="4:61" x14ac:dyDescent="0.3">
      <c r="D1085" s="74"/>
      <c r="E1085" s="74"/>
      <c r="X1085" s="74"/>
      <c r="Y1085" s="74"/>
      <c r="Z1085" s="74"/>
      <c r="AA1085" s="74"/>
      <c r="AB1085" s="74"/>
      <c r="AC1085" s="74"/>
      <c r="AN1085" s="74"/>
      <c r="AO1085" s="74"/>
      <c r="AP1085" s="74"/>
      <c r="AQ1085" s="74"/>
      <c r="AR1085" s="74"/>
      <c r="AS1085" s="74"/>
      <c r="BD1085" s="74"/>
      <c r="BE1085" s="74"/>
      <c r="BF1085" s="74"/>
      <c r="BG1085" s="74"/>
      <c r="BH1085" s="74"/>
      <c r="BI1085" s="74"/>
    </row>
    <row r="1086" spans="4:61" x14ac:dyDescent="0.3">
      <c r="D1086" s="74"/>
      <c r="E1086" s="74"/>
      <c r="X1086" s="74"/>
      <c r="Y1086" s="74"/>
      <c r="Z1086" s="74"/>
      <c r="AA1086" s="74"/>
      <c r="AB1086" s="74"/>
      <c r="AC1086" s="74"/>
      <c r="AN1086" s="74"/>
      <c r="AO1086" s="74"/>
      <c r="AP1086" s="74"/>
      <c r="AQ1086" s="74"/>
      <c r="AR1086" s="74"/>
      <c r="AS1086" s="74"/>
      <c r="BD1086" s="74"/>
      <c r="BE1086" s="74"/>
      <c r="BF1086" s="74"/>
      <c r="BG1086" s="74"/>
      <c r="BH1086" s="74"/>
      <c r="BI1086" s="74"/>
    </row>
    <row r="1087" spans="4:61" x14ac:dyDescent="0.3">
      <c r="D1087" s="74"/>
      <c r="E1087" s="74"/>
      <c r="X1087" s="74"/>
      <c r="Y1087" s="74"/>
      <c r="Z1087" s="74"/>
      <c r="AA1087" s="74"/>
      <c r="AB1087" s="74"/>
      <c r="AC1087" s="74"/>
      <c r="AN1087" s="74"/>
      <c r="AO1087" s="74"/>
      <c r="AP1087" s="74"/>
      <c r="AQ1087" s="74"/>
      <c r="AR1087" s="74"/>
      <c r="AS1087" s="74"/>
      <c r="BD1087" s="74"/>
      <c r="BE1087" s="74"/>
      <c r="BF1087" s="74"/>
      <c r="BG1087" s="74"/>
      <c r="BH1087" s="74"/>
      <c r="BI1087" s="74"/>
    </row>
    <row r="1088" spans="4:61" x14ac:dyDescent="0.3">
      <c r="D1088" s="74"/>
      <c r="E1088" s="74"/>
      <c r="X1088" s="74"/>
      <c r="Y1088" s="74"/>
      <c r="Z1088" s="74"/>
      <c r="AA1088" s="74"/>
      <c r="AB1088" s="74"/>
      <c r="AC1088" s="74"/>
      <c r="AN1088" s="74"/>
      <c r="AO1088" s="74"/>
      <c r="AP1088" s="74"/>
      <c r="AQ1088" s="74"/>
      <c r="AR1088" s="74"/>
      <c r="AS1088" s="74"/>
      <c r="BD1088" s="74"/>
      <c r="BE1088" s="74"/>
      <c r="BF1088" s="74"/>
      <c r="BG1088" s="74"/>
      <c r="BH1088" s="74"/>
      <c r="BI1088" s="74"/>
    </row>
    <row r="1089" spans="4:61" x14ac:dyDescent="0.3">
      <c r="D1089" s="74"/>
      <c r="E1089" s="74"/>
      <c r="X1089" s="74"/>
      <c r="Y1089" s="74"/>
      <c r="Z1089" s="74"/>
      <c r="AA1089" s="74"/>
      <c r="AB1089" s="74"/>
      <c r="AC1089" s="74"/>
      <c r="AN1089" s="74"/>
      <c r="AO1089" s="74"/>
      <c r="AP1089" s="74"/>
      <c r="AQ1089" s="74"/>
      <c r="AR1089" s="74"/>
      <c r="AS1089" s="74"/>
      <c r="BD1089" s="74"/>
      <c r="BE1089" s="74"/>
      <c r="BF1089" s="74"/>
      <c r="BG1089" s="74"/>
      <c r="BH1089" s="74"/>
      <c r="BI1089" s="74"/>
    </row>
    <row r="1090" spans="4:61" x14ac:dyDescent="0.3">
      <c r="D1090" s="74"/>
      <c r="E1090" s="74"/>
      <c r="X1090" s="74"/>
      <c r="Y1090" s="74"/>
      <c r="Z1090" s="74"/>
      <c r="AA1090" s="74"/>
      <c r="AB1090" s="74"/>
      <c r="AC1090" s="74"/>
      <c r="AN1090" s="74"/>
      <c r="AO1090" s="74"/>
      <c r="AP1090" s="74"/>
      <c r="AQ1090" s="74"/>
      <c r="AR1090" s="74"/>
      <c r="AS1090" s="74"/>
      <c r="BD1090" s="74"/>
      <c r="BE1090" s="74"/>
      <c r="BF1090" s="74"/>
      <c r="BG1090" s="74"/>
      <c r="BH1090" s="74"/>
      <c r="BI1090" s="74"/>
    </row>
    <row r="1091" spans="4:61" x14ac:dyDescent="0.3">
      <c r="D1091" s="74"/>
      <c r="E1091" s="74"/>
      <c r="X1091" s="74"/>
      <c r="Y1091" s="74"/>
      <c r="Z1091" s="74"/>
      <c r="AA1091" s="74"/>
      <c r="AB1091" s="74"/>
      <c r="AC1091" s="74"/>
      <c r="AN1091" s="74"/>
      <c r="AO1091" s="74"/>
      <c r="AP1091" s="74"/>
      <c r="AQ1091" s="74"/>
      <c r="AR1091" s="74"/>
      <c r="AS1091" s="74"/>
      <c r="BD1091" s="74"/>
      <c r="BE1091" s="74"/>
      <c r="BF1091" s="74"/>
      <c r="BG1091" s="74"/>
      <c r="BH1091" s="74"/>
      <c r="BI1091" s="74"/>
    </row>
    <row r="1092" spans="4:61" x14ac:dyDescent="0.3">
      <c r="D1092" s="74"/>
      <c r="E1092" s="74"/>
      <c r="X1092" s="74"/>
      <c r="Y1092" s="74"/>
      <c r="Z1092" s="74"/>
      <c r="AA1092" s="74"/>
      <c r="AB1092" s="74"/>
      <c r="AC1092" s="74"/>
      <c r="AN1092" s="74"/>
      <c r="AO1092" s="74"/>
      <c r="AP1092" s="74"/>
      <c r="AQ1092" s="74"/>
      <c r="AR1092" s="74"/>
      <c r="AS1092" s="74"/>
      <c r="BD1092" s="74"/>
      <c r="BE1092" s="74"/>
      <c r="BF1092" s="74"/>
      <c r="BG1092" s="74"/>
      <c r="BH1092" s="74"/>
      <c r="BI1092" s="74"/>
    </row>
    <row r="1093" spans="4:61" x14ac:dyDescent="0.3">
      <c r="D1093" s="74"/>
      <c r="E1093" s="74"/>
      <c r="X1093" s="74"/>
      <c r="Y1093" s="74"/>
      <c r="Z1093" s="74"/>
      <c r="AA1093" s="74"/>
      <c r="AB1093" s="74"/>
      <c r="AC1093" s="74"/>
      <c r="AN1093" s="74"/>
      <c r="AO1093" s="74"/>
      <c r="AP1093" s="74"/>
      <c r="AQ1093" s="74"/>
      <c r="AR1093" s="74"/>
      <c r="AS1093" s="74"/>
      <c r="BD1093" s="74"/>
      <c r="BE1093" s="74"/>
      <c r="BF1093" s="74"/>
      <c r="BG1093" s="74"/>
      <c r="BH1093" s="74"/>
      <c r="BI1093" s="74"/>
    </row>
    <row r="1094" spans="4:61" x14ac:dyDescent="0.3">
      <c r="D1094" s="74"/>
      <c r="E1094" s="74"/>
      <c r="X1094" s="74"/>
      <c r="Y1094" s="74"/>
      <c r="Z1094" s="74"/>
      <c r="AA1094" s="74"/>
      <c r="AB1094" s="74"/>
      <c r="AC1094" s="74"/>
      <c r="AN1094" s="74"/>
      <c r="AO1094" s="74"/>
      <c r="AP1094" s="74"/>
      <c r="AQ1094" s="74"/>
      <c r="AR1094" s="74"/>
      <c r="AS1094" s="74"/>
      <c r="BD1094" s="74"/>
      <c r="BE1094" s="74"/>
      <c r="BF1094" s="74"/>
      <c r="BG1094" s="74"/>
      <c r="BH1094" s="74"/>
      <c r="BI1094" s="74"/>
    </row>
    <row r="1095" spans="4:61" x14ac:dyDescent="0.3">
      <c r="D1095" s="74"/>
      <c r="E1095" s="74"/>
      <c r="X1095" s="74"/>
      <c r="Y1095" s="74"/>
      <c r="Z1095" s="74"/>
      <c r="AA1095" s="74"/>
      <c r="AB1095" s="74"/>
      <c r="AC1095" s="74"/>
      <c r="AN1095" s="74"/>
      <c r="AO1095" s="74"/>
      <c r="AP1095" s="74"/>
      <c r="AQ1095" s="74"/>
      <c r="AR1095" s="74"/>
      <c r="AS1095" s="74"/>
      <c r="BD1095" s="74"/>
      <c r="BE1095" s="74"/>
      <c r="BF1095" s="74"/>
      <c r="BG1095" s="74"/>
      <c r="BH1095" s="74"/>
      <c r="BI1095" s="74"/>
    </row>
    <row r="1096" spans="4:61" x14ac:dyDescent="0.3">
      <c r="D1096" s="74"/>
      <c r="E1096" s="74"/>
      <c r="X1096" s="74"/>
      <c r="Y1096" s="74"/>
      <c r="Z1096" s="74"/>
      <c r="AA1096" s="74"/>
      <c r="AB1096" s="74"/>
      <c r="AC1096" s="74"/>
      <c r="AN1096" s="74"/>
      <c r="AO1096" s="74"/>
      <c r="AP1096" s="74"/>
      <c r="AQ1096" s="74"/>
      <c r="AR1096" s="74"/>
      <c r="AS1096" s="74"/>
      <c r="BD1096" s="74"/>
      <c r="BE1096" s="74"/>
      <c r="BF1096" s="74"/>
      <c r="BG1096" s="74"/>
      <c r="BH1096" s="74"/>
      <c r="BI1096" s="74"/>
    </row>
    <row r="1097" spans="4:61" x14ac:dyDescent="0.3">
      <c r="D1097" s="74"/>
      <c r="E1097" s="74"/>
      <c r="X1097" s="74"/>
      <c r="Y1097" s="74"/>
      <c r="Z1097" s="74"/>
      <c r="AA1097" s="74"/>
      <c r="AB1097" s="74"/>
      <c r="AC1097" s="74"/>
      <c r="AN1097" s="74"/>
      <c r="AO1097" s="74"/>
      <c r="AP1097" s="74"/>
      <c r="AQ1097" s="74"/>
      <c r="AR1097" s="74"/>
      <c r="AS1097" s="74"/>
      <c r="BD1097" s="74"/>
      <c r="BE1097" s="74"/>
      <c r="BF1097" s="74"/>
      <c r="BG1097" s="74"/>
      <c r="BH1097" s="74"/>
      <c r="BI1097" s="74"/>
    </row>
    <row r="1098" spans="4:61" x14ac:dyDescent="0.3">
      <c r="D1098" s="74"/>
      <c r="E1098" s="74"/>
      <c r="X1098" s="74"/>
      <c r="Y1098" s="74"/>
      <c r="Z1098" s="74"/>
      <c r="AA1098" s="74"/>
      <c r="AB1098" s="74"/>
      <c r="AC1098" s="74"/>
      <c r="AN1098" s="74"/>
      <c r="AO1098" s="74"/>
      <c r="AP1098" s="74"/>
      <c r="AQ1098" s="74"/>
      <c r="AR1098" s="74"/>
      <c r="AS1098" s="74"/>
      <c r="BD1098" s="74"/>
      <c r="BE1098" s="74"/>
      <c r="BF1098" s="74"/>
      <c r="BG1098" s="74"/>
      <c r="BH1098" s="74"/>
      <c r="BI1098" s="74"/>
    </row>
    <row r="1099" spans="4:61" x14ac:dyDescent="0.3">
      <c r="D1099" s="74"/>
      <c r="E1099" s="74"/>
      <c r="X1099" s="74"/>
      <c r="Y1099" s="74"/>
      <c r="Z1099" s="74"/>
      <c r="AA1099" s="74"/>
      <c r="AB1099" s="74"/>
      <c r="AC1099" s="74"/>
      <c r="AN1099" s="74"/>
      <c r="AO1099" s="74"/>
      <c r="AP1099" s="74"/>
      <c r="AQ1099" s="74"/>
      <c r="AR1099" s="74"/>
      <c r="AS1099" s="74"/>
      <c r="BD1099" s="74"/>
      <c r="BE1099" s="74"/>
      <c r="BF1099" s="74"/>
      <c r="BG1099" s="74"/>
      <c r="BH1099" s="74"/>
      <c r="BI1099" s="74"/>
    </row>
    <row r="1100" spans="4:61" x14ac:dyDescent="0.3">
      <c r="D1100" s="74"/>
      <c r="E1100" s="74"/>
      <c r="X1100" s="74"/>
      <c r="Y1100" s="74"/>
      <c r="Z1100" s="74"/>
      <c r="AA1100" s="74"/>
      <c r="AB1100" s="74"/>
      <c r="AC1100" s="74"/>
      <c r="AN1100" s="74"/>
      <c r="AO1100" s="74"/>
      <c r="AP1100" s="74"/>
      <c r="AQ1100" s="74"/>
      <c r="AR1100" s="74"/>
      <c r="AS1100" s="74"/>
      <c r="BD1100" s="74"/>
      <c r="BE1100" s="74"/>
      <c r="BF1100" s="74"/>
      <c r="BG1100" s="74"/>
      <c r="BH1100" s="74"/>
      <c r="BI1100" s="74"/>
    </row>
    <row r="1101" spans="4:61" x14ac:dyDescent="0.3">
      <c r="D1101" s="74"/>
      <c r="E1101" s="74"/>
      <c r="X1101" s="74"/>
      <c r="Y1101" s="74"/>
      <c r="Z1101" s="74"/>
      <c r="AA1101" s="74"/>
      <c r="AB1101" s="74"/>
      <c r="AC1101" s="74"/>
      <c r="AN1101" s="74"/>
      <c r="AO1101" s="74"/>
      <c r="AP1101" s="74"/>
      <c r="AQ1101" s="74"/>
      <c r="AR1101" s="74"/>
      <c r="AS1101" s="74"/>
      <c r="BD1101" s="74"/>
      <c r="BE1101" s="74"/>
      <c r="BF1101" s="74"/>
      <c r="BG1101" s="74"/>
      <c r="BH1101" s="74"/>
      <c r="BI1101" s="74"/>
    </row>
    <row r="1102" spans="4:61" x14ac:dyDescent="0.3">
      <c r="D1102" s="74"/>
      <c r="E1102" s="74"/>
      <c r="X1102" s="74"/>
      <c r="Y1102" s="74"/>
      <c r="Z1102" s="74"/>
      <c r="AA1102" s="74"/>
      <c r="AB1102" s="74"/>
      <c r="AC1102" s="74"/>
      <c r="AN1102" s="74"/>
      <c r="AO1102" s="74"/>
      <c r="AP1102" s="74"/>
      <c r="AQ1102" s="74"/>
      <c r="AR1102" s="74"/>
      <c r="AS1102" s="74"/>
      <c r="BD1102" s="74"/>
      <c r="BE1102" s="74"/>
      <c r="BF1102" s="74"/>
      <c r="BG1102" s="74"/>
      <c r="BH1102" s="74"/>
      <c r="BI1102" s="74"/>
    </row>
    <row r="1103" spans="4:61" x14ac:dyDescent="0.3">
      <c r="D1103" s="74"/>
      <c r="E1103" s="74"/>
      <c r="X1103" s="74"/>
      <c r="Y1103" s="74"/>
      <c r="Z1103" s="74"/>
      <c r="AA1103" s="74"/>
      <c r="AB1103" s="74"/>
      <c r="AC1103" s="74"/>
      <c r="AN1103" s="74"/>
      <c r="AO1103" s="74"/>
      <c r="AP1103" s="74"/>
      <c r="AQ1103" s="74"/>
      <c r="AR1103" s="74"/>
      <c r="AS1103" s="74"/>
      <c r="BD1103" s="74"/>
      <c r="BE1103" s="74"/>
      <c r="BF1103" s="74"/>
      <c r="BG1103" s="74"/>
      <c r="BH1103" s="74"/>
      <c r="BI1103" s="74"/>
    </row>
    <row r="1104" spans="4:61" x14ac:dyDescent="0.3">
      <c r="D1104" s="74"/>
      <c r="E1104" s="74"/>
      <c r="X1104" s="74"/>
      <c r="Y1104" s="74"/>
      <c r="Z1104" s="74"/>
      <c r="AA1104" s="74"/>
      <c r="AB1104" s="74"/>
      <c r="AC1104" s="74"/>
      <c r="AN1104" s="74"/>
      <c r="AO1104" s="74"/>
      <c r="AP1104" s="74"/>
      <c r="AQ1104" s="74"/>
      <c r="AR1104" s="74"/>
      <c r="AS1104" s="74"/>
      <c r="BD1104" s="74"/>
      <c r="BE1104" s="74"/>
      <c r="BF1104" s="74"/>
      <c r="BG1104" s="74"/>
      <c r="BH1104" s="74"/>
      <c r="BI1104" s="74"/>
    </row>
    <row r="1105" spans="4:61" x14ac:dyDescent="0.3">
      <c r="D1105" s="74"/>
      <c r="E1105" s="74"/>
      <c r="X1105" s="74"/>
      <c r="Y1105" s="74"/>
      <c r="Z1105" s="74"/>
      <c r="AA1105" s="74"/>
      <c r="AB1105" s="74"/>
      <c r="AC1105" s="74"/>
      <c r="AN1105" s="74"/>
      <c r="AO1105" s="74"/>
      <c r="AP1105" s="74"/>
      <c r="AQ1105" s="74"/>
      <c r="AR1105" s="74"/>
      <c r="AS1105" s="74"/>
      <c r="BD1105" s="74"/>
      <c r="BE1105" s="74"/>
      <c r="BF1105" s="74"/>
      <c r="BG1105" s="74"/>
      <c r="BH1105" s="74"/>
      <c r="BI1105" s="74"/>
    </row>
    <row r="1106" spans="4:61" x14ac:dyDescent="0.3">
      <c r="D1106" s="74"/>
      <c r="E1106" s="74"/>
      <c r="X1106" s="74"/>
      <c r="Y1106" s="74"/>
      <c r="Z1106" s="74"/>
      <c r="AA1106" s="74"/>
      <c r="AB1106" s="74"/>
      <c r="AC1106" s="74"/>
      <c r="AN1106" s="74"/>
      <c r="AO1106" s="74"/>
      <c r="AP1106" s="74"/>
      <c r="AQ1106" s="74"/>
      <c r="AR1106" s="74"/>
      <c r="AS1106" s="74"/>
      <c r="BD1106" s="74"/>
      <c r="BE1106" s="74"/>
      <c r="BF1106" s="74"/>
      <c r="BG1106" s="74"/>
      <c r="BH1106" s="74"/>
      <c r="BI1106" s="74"/>
    </row>
    <row r="1107" spans="4:61" x14ac:dyDescent="0.3">
      <c r="D1107" s="74"/>
      <c r="E1107" s="74"/>
      <c r="X1107" s="74"/>
      <c r="Y1107" s="74"/>
      <c r="Z1107" s="74"/>
      <c r="AA1107" s="74"/>
      <c r="AB1107" s="74"/>
      <c r="AC1107" s="74"/>
      <c r="AN1107" s="74"/>
      <c r="AO1107" s="74"/>
      <c r="AP1107" s="74"/>
      <c r="AQ1107" s="74"/>
      <c r="AR1107" s="74"/>
      <c r="AS1107" s="74"/>
      <c r="BD1107" s="74"/>
      <c r="BE1107" s="74"/>
      <c r="BF1107" s="74"/>
      <c r="BG1107" s="74"/>
      <c r="BH1107" s="74"/>
      <c r="BI1107" s="74"/>
    </row>
    <row r="1108" spans="4:61" x14ac:dyDescent="0.3">
      <c r="D1108" s="74"/>
      <c r="E1108" s="74"/>
      <c r="X1108" s="74"/>
      <c r="Y1108" s="74"/>
      <c r="Z1108" s="74"/>
      <c r="AA1108" s="74"/>
      <c r="AB1108" s="74"/>
      <c r="AC1108" s="74"/>
      <c r="AN1108" s="74"/>
      <c r="AO1108" s="74"/>
      <c r="AP1108" s="74"/>
      <c r="AQ1108" s="74"/>
      <c r="AR1108" s="74"/>
      <c r="AS1108" s="74"/>
      <c r="BD1108" s="74"/>
      <c r="BE1108" s="74"/>
      <c r="BF1108" s="74"/>
      <c r="BG1108" s="74"/>
      <c r="BH1108" s="74"/>
      <c r="BI1108" s="74"/>
    </row>
    <row r="1109" spans="4:61" x14ac:dyDescent="0.3">
      <c r="D1109" s="74"/>
      <c r="E1109" s="74"/>
      <c r="X1109" s="74"/>
      <c r="Y1109" s="74"/>
      <c r="Z1109" s="74"/>
      <c r="AA1109" s="74"/>
      <c r="AB1109" s="74"/>
      <c r="AC1109" s="74"/>
      <c r="AN1109" s="74"/>
      <c r="AO1109" s="74"/>
      <c r="AP1109" s="74"/>
      <c r="AQ1109" s="74"/>
      <c r="AR1109" s="74"/>
      <c r="AS1109" s="74"/>
      <c r="BD1109" s="74"/>
      <c r="BE1109" s="74"/>
      <c r="BF1109" s="74"/>
      <c r="BG1109" s="74"/>
      <c r="BH1109" s="74"/>
      <c r="BI1109" s="74"/>
    </row>
    <row r="1110" spans="4:61" x14ac:dyDescent="0.3">
      <c r="D1110" s="74"/>
      <c r="E1110" s="74"/>
      <c r="X1110" s="74"/>
      <c r="Y1110" s="74"/>
      <c r="Z1110" s="74"/>
      <c r="AA1110" s="74"/>
      <c r="AB1110" s="74"/>
      <c r="AC1110" s="74"/>
      <c r="AN1110" s="74"/>
      <c r="AO1110" s="74"/>
      <c r="AP1110" s="74"/>
      <c r="AQ1110" s="74"/>
      <c r="AR1110" s="74"/>
      <c r="AS1110" s="74"/>
      <c r="BD1110" s="74"/>
      <c r="BE1110" s="74"/>
      <c r="BF1110" s="74"/>
      <c r="BG1110" s="74"/>
      <c r="BH1110" s="74"/>
      <c r="BI1110" s="74"/>
    </row>
    <row r="1111" spans="4:61" x14ac:dyDescent="0.3">
      <c r="D1111" s="74"/>
      <c r="E1111" s="74"/>
      <c r="X1111" s="74"/>
      <c r="Y1111" s="74"/>
      <c r="Z1111" s="74"/>
      <c r="AA1111" s="74"/>
      <c r="AB1111" s="74"/>
      <c r="AC1111" s="74"/>
      <c r="AN1111" s="74"/>
      <c r="AO1111" s="74"/>
      <c r="AP1111" s="74"/>
      <c r="AQ1111" s="74"/>
      <c r="AR1111" s="74"/>
      <c r="AS1111" s="74"/>
      <c r="BD1111" s="74"/>
      <c r="BE1111" s="74"/>
      <c r="BF1111" s="74"/>
      <c r="BG1111" s="74"/>
      <c r="BH1111" s="74"/>
      <c r="BI1111" s="74"/>
    </row>
    <row r="1112" spans="4:61" x14ac:dyDescent="0.3">
      <c r="D1112" s="74"/>
      <c r="E1112" s="74"/>
      <c r="X1112" s="74"/>
      <c r="Y1112" s="74"/>
      <c r="Z1112" s="74"/>
      <c r="AA1112" s="74"/>
      <c r="AB1112" s="74"/>
      <c r="AC1112" s="74"/>
      <c r="AN1112" s="74"/>
      <c r="AO1112" s="74"/>
      <c r="AP1112" s="74"/>
      <c r="AQ1112" s="74"/>
      <c r="AR1112" s="74"/>
      <c r="AS1112" s="74"/>
      <c r="BD1112" s="74"/>
      <c r="BE1112" s="74"/>
      <c r="BF1112" s="74"/>
      <c r="BG1112" s="74"/>
      <c r="BH1112" s="74"/>
      <c r="BI1112" s="74"/>
    </row>
    <row r="1113" spans="4:61" x14ac:dyDescent="0.3">
      <c r="D1113" s="74"/>
      <c r="E1113" s="74"/>
      <c r="X1113" s="74"/>
      <c r="Y1113" s="74"/>
      <c r="Z1113" s="74"/>
      <c r="AA1113" s="74"/>
      <c r="AB1113" s="74"/>
      <c r="AC1113" s="74"/>
      <c r="AN1113" s="74"/>
      <c r="AO1113" s="74"/>
      <c r="AP1113" s="74"/>
      <c r="AQ1113" s="74"/>
      <c r="AR1113" s="74"/>
      <c r="AS1113" s="74"/>
      <c r="BD1113" s="74"/>
      <c r="BE1113" s="74"/>
      <c r="BF1113" s="74"/>
      <c r="BG1113" s="74"/>
      <c r="BH1113" s="74"/>
      <c r="BI1113" s="74"/>
    </row>
    <row r="1114" spans="4:61" x14ac:dyDescent="0.3">
      <c r="D1114" s="74"/>
      <c r="E1114" s="74"/>
      <c r="X1114" s="74"/>
      <c r="Y1114" s="74"/>
      <c r="Z1114" s="74"/>
      <c r="AA1114" s="74"/>
      <c r="AB1114" s="74"/>
      <c r="AC1114" s="74"/>
      <c r="AN1114" s="74"/>
      <c r="AO1114" s="74"/>
      <c r="AP1114" s="74"/>
      <c r="AQ1114" s="74"/>
      <c r="AR1114" s="74"/>
      <c r="AS1114" s="74"/>
      <c r="BD1114" s="74"/>
      <c r="BE1114" s="74"/>
      <c r="BF1114" s="74"/>
      <c r="BG1114" s="74"/>
      <c r="BH1114" s="74"/>
      <c r="BI1114" s="74"/>
    </row>
    <row r="1115" spans="4:61" x14ac:dyDescent="0.3">
      <c r="D1115" s="74"/>
      <c r="E1115" s="74"/>
      <c r="X1115" s="74"/>
      <c r="Y1115" s="74"/>
      <c r="Z1115" s="74"/>
      <c r="AA1115" s="74"/>
      <c r="AB1115" s="74"/>
      <c r="AC1115" s="74"/>
      <c r="AN1115" s="74"/>
      <c r="AO1115" s="74"/>
      <c r="AP1115" s="74"/>
      <c r="AQ1115" s="74"/>
      <c r="AR1115" s="74"/>
      <c r="AS1115" s="74"/>
      <c r="BD1115" s="74"/>
      <c r="BE1115" s="74"/>
      <c r="BF1115" s="74"/>
      <c r="BG1115" s="74"/>
      <c r="BH1115" s="74"/>
      <c r="BI1115" s="74"/>
    </row>
    <row r="1116" spans="4:61" x14ac:dyDescent="0.3">
      <c r="D1116" s="74"/>
      <c r="E1116" s="74"/>
      <c r="X1116" s="74"/>
      <c r="Y1116" s="74"/>
      <c r="Z1116" s="74"/>
      <c r="AA1116" s="74"/>
      <c r="AB1116" s="74"/>
      <c r="AC1116" s="74"/>
      <c r="AN1116" s="74"/>
      <c r="AO1116" s="74"/>
      <c r="AP1116" s="74"/>
      <c r="AQ1116" s="74"/>
      <c r="AR1116" s="74"/>
      <c r="AS1116" s="74"/>
      <c r="BD1116" s="74"/>
      <c r="BE1116" s="74"/>
      <c r="BF1116" s="74"/>
      <c r="BG1116" s="74"/>
      <c r="BH1116" s="74"/>
      <c r="BI1116" s="74"/>
    </row>
    <row r="1117" spans="4:61" x14ac:dyDescent="0.3">
      <c r="D1117" s="74"/>
      <c r="E1117" s="74"/>
      <c r="X1117" s="74"/>
      <c r="Y1117" s="74"/>
      <c r="Z1117" s="74"/>
      <c r="AA1117" s="74"/>
      <c r="AB1117" s="74"/>
      <c r="AC1117" s="74"/>
      <c r="AN1117" s="74"/>
      <c r="AO1117" s="74"/>
      <c r="AP1117" s="74"/>
      <c r="AQ1117" s="74"/>
      <c r="AR1117" s="74"/>
      <c r="AS1117" s="74"/>
      <c r="BD1117" s="74"/>
      <c r="BE1117" s="74"/>
      <c r="BF1117" s="74"/>
      <c r="BG1117" s="74"/>
      <c r="BH1117" s="74"/>
      <c r="BI1117" s="74"/>
    </row>
    <row r="1118" spans="4:61" x14ac:dyDescent="0.3">
      <c r="D1118" s="74"/>
      <c r="E1118" s="74"/>
      <c r="X1118" s="74"/>
      <c r="Y1118" s="74"/>
      <c r="Z1118" s="74"/>
      <c r="AA1118" s="74"/>
      <c r="AB1118" s="74"/>
      <c r="AC1118" s="74"/>
      <c r="AN1118" s="74"/>
      <c r="AO1118" s="74"/>
      <c r="AP1118" s="74"/>
      <c r="AQ1118" s="74"/>
      <c r="AR1118" s="74"/>
      <c r="AS1118" s="74"/>
      <c r="BD1118" s="74"/>
      <c r="BE1118" s="74"/>
      <c r="BF1118" s="74"/>
      <c r="BG1118" s="74"/>
      <c r="BH1118" s="74"/>
      <c r="BI1118" s="74"/>
    </row>
    <row r="1119" spans="4:61" x14ac:dyDescent="0.3">
      <c r="D1119" s="74"/>
      <c r="E1119" s="74"/>
      <c r="X1119" s="74"/>
      <c r="Y1119" s="74"/>
      <c r="Z1119" s="74"/>
      <c r="AA1119" s="74"/>
      <c r="AB1119" s="74"/>
      <c r="AC1119" s="74"/>
      <c r="AN1119" s="74"/>
      <c r="AO1119" s="74"/>
      <c r="AP1119" s="74"/>
      <c r="AQ1119" s="74"/>
      <c r="AR1119" s="74"/>
      <c r="AS1119" s="74"/>
      <c r="BD1119" s="74"/>
      <c r="BE1119" s="74"/>
      <c r="BF1119" s="74"/>
      <c r="BG1119" s="74"/>
      <c r="BH1119" s="74"/>
      <c r="BI1119" s="74"/>
    </row>
    <row r="1120" spans="4:61" x14ac:dyDescent="0.3">
      <c r="D1120" s="74"/>
      <c r="E1120" s="74"/>
      <c r="X1120" s="74"/>
      <c r="Y1120" s="74"/>
      <c r="Z1120" s="74"/>
      <c r="AA1120" s="74"/>
      <c r="AB1120" s="74"/>
      <c r="AC1120" s="74"/>
      <c r="AN1120" s="74"/>
      <c r="AO1120" s="74"/>
      <c r="AP1120" s="74"/>
      <c r="AQ1120" s="74"/>
      <c r="AR1120" s="74"/>
      <c r="AS1120" s="74"/>
      <c r="BD1120" s="74"/>
      <c r="BE1120" s="74"/>
      <c r="BF1120" s="74"/>
      <c r="BG1120" s="74"/>
      <c r="BH1120" s="74"/>
      <c r="BI1120" s="74"/>
    </row>
    <row r="1121" spans="4:61" x14ac:dyDescent="0.3">
      <c r="D1121" s="74"/>
      <c r="E1121" s="74"/>
      <c r="X1121" s="74"/>
      <c r="Y1121" s="74"/>
      <c r="Z1121" s="74"/>
      <c r="AA1121" s="74"/>
      <c r="AB1121" s="74"/>
      <c r="AC1121" s="74"/>
      <c r="AN1121" s="74"/>
      <c r="AO1121" s="74"/>
      <c r="AP1121" s="74"/>
      <c r="AQ1121" s="74"/>
      <c r="AR1121" s="74"/>
      <c r="AS1121" s="74"/>
      <c r="BD1121" s="74"/>
      <c r="BE1121" s="74"/>
      <c r="BF1121" s="74"/>
      <c r="BG1121" s="74"/>
      <c r="BH1121" s="74"/>
      <c r="BI1121" s="74"/>
    </row>
    <row r="1122" spans="4:61" x14ac:dyDescent="0.3">
      <c r="D1122" s="74"/>
      <c r="E1122" s="74"/>
      <c r="X1122" s="74"/>
      <c r="Y1122" s="74"/>
      <c r="Z1122" s="74"/>
      <c r="AA1122" s="74"/>
      <c r="AB1122" s="74"/>
      <c r="AC1122" s="74"/>
      <c r="AN1122" s="74"/>
      <c r="AO1122" s="74"/>
      <c r="AP1122" s="74"/>
      <c r="AQ1122" s="74"/>
      <c r="AR1122" s="74"/>
      <c r="AS1122" s="74"/>
      <c r="BD1122" s="74"/>
      <c r="BE1122" s="74"/>
      <c r="BF1122" s="74"/>
      <c r="BG1122" s="74"/>
      <c r="BH1122" s="74"/>
      <c r="BI1122" s="74"/>
    </row>
    <row r="1123" spans="4:61" x14ac:dyDescent="0.3">
      <c r="D1123" s="74"/>
      <c r="E1123" s="74"/>
      <c r="X1123" s="74"/>
      <c r="Y1123" s="74"/>
      <c r="Z1123" s="74"/>
      <c r="AA1123" s="74"/>
      <c r="AB1123" s="74"/>
      <c r="AC1123" s="74"/>
      <c r="AN1123" s="74"/>
      <c r="AO1123" s="74"/>
      <c r="AP1123" s="74"/>
      <c r="AQ1123" s="74"/>
      <c r="AR1123" s="74"/>
      <c r="AS1123" s="74"/>
      <c r="BD1123" s="74"/>
      <c r="BE1123" s="74"/>
      <c r="BF1123" s="74"/>
      <c r="BG1123" s="74"/>
      <c r="BH1123" s="74"/>
      <c r="BI1123" s="74"/>
    </row>
    <row r="1124" spans="4:61" x14ac:dyDescent="0.3">
      <c r="D1124" s="74"/>
      <c r="E1124" s="74"/>
      <c r="X1124" s="74"/>
      <c r="Y1124" s="74"/>
      <c r="Z1124" s="74"/>
      <c r="AA1124" s="74"/>
      <c r="AB1124" s="74"/>
      <c r="AC1124" s="74"/>
      <c r="AN1124" s="74"/>
      <c r="AO1124" s="74"/>
      <c r="AP1124" s="74"/>
      <c r="AQ1124" s="74"/>
      <c r="AR1124" s="74"/>
      <c r="AS1124" s="74"/>
      <c r="BD1124" s="74"/>
      <c r="BE1124" s="74"/>
      <c r="BF1124" s="74"/>
      <c r="BG1124" s="74"/>
      <c r="BH1124" s="74"/>
      <c r="BI1124" s="74"/>
    </row>
    <row r="1125" spans="4:61" x14ac:dyDescent="0.3">
      <c r="D1125" s="74"/>
      <c r="E1125" s="74"/>
      <c r="X1125" s="74"/>
      <c r="Y1125" s="74"/>
      <c r="Z1125" s="74"/>
      <c r="AA1125" s="74"/>
      <c r="AB1125" s="74"/>
      <c r="AC1125" s="74"/>
      <c r="AN1125" s="74"/>
      <c r="AO1125" s="74"/>
      <c r="AP1125" s="74"/>
      <c r="AQ1125" s="74"/>
      <c r="AR1125" s="74"/>
      <c r="AS1125" s="74"/>
      <c r="BD1125" s="74"/>
      <c r="BE1125" s="74"/>
      <c r="BF1125" s="74"/>
      <c r="BG1125" s="74"/>
      <c r="BH1125" s="74"/>
      <c r="BI1125" s="74"/>
    </row>
    <row r="1126" spans="4:61" x14ac:dyDescent="0.3">
      <c r="D1126" s="74"/>
      <c r="E1126" s="74"/>
      <c r="X1126" s="74"/>
      <c r="Y1126" s="74"/>
      <c r="Z1126" s="74"/>
      <c r="AA1126" s="74"/>
      <c r="AB1126" s="74"/>
      <c r="AC1126" s="74"/>
      <c r="AN1126" s="74"/>
      <c r="AO1126" s="74"/>
      <c r="AP1126" s="74"/>
      <c r="AQ1126" s="74"/>
      <c r="AR1126" s="74"/>
      <c r="AS1126" s="74"/>
      <c r="BD1126" s="74"/>
      <c r="BE1126" s="74"/>
      <c r="BF1126" s="74"/>
      <c r="BG1126" s="74"/>
      <c r="BH1126" s="74"/>
      <c r="BI1126" s="74"/>
    </row>
    <row r="1127" spans="4:61" x14ac:dyDescent="0.3">
      <c r="D1127" s="74"/>
      <c r="E1127" s="74"/>
      <c r="X1127" s="74"/>
      <c r="Y1127" s="74"/>
      <c r="Z1127" s="74"/>
      <c r="AA1127" s="74"/>
      <c r="AB1127" s="74"/>
      <c r="AC1127" s="74"/>
      <c r="AN1127" s="74"/>
      <c r="AO1127" s="74"/>
      <c r="AP1127" s="74"/>
      <c r="AQ1127" s="74"/>
      <c r="AR1127" s="74"/>
      <c r="AS1127" s="74"/>
      <c r="BD1127" s="74"/>
      <c r="BE1127" s="74"/>
      <c r="BF1127" s="74"/>
      <c r="BG1127" s="74"/>
      <c r="BH1127" s="74"/>
      <c r="BI1127" s="74"/>
    </row>
    <row r="1128" spans="4:61" x14ac:dyDescent="0.3">
      <c r="D1128" s="74"/>
      <c r="E1128" s="74"/>
      <c r="X1128" s="74"/>
      <c r="Y1128" s="74"/>
      <c r="Z1128" s="74"/>
      <c r="AA1128" s="74"/>
      <c r="AB1128" s="74"/>
      <c r="AC1128" s="74"/>
      <c r="AN1128" s="74"/>
      <c r="AO1128" s="74"/>
      <c r="AP1128" s="74"/>
      <c r="AQ1128" s="74"/>
      <c r="AR1128" s="74"/>
      <c r="AS1128" s="74"/>
      <c r="BD1128" s="74"/>
      <c r="BE1128" s="74"/>
      <c r="BF1128" s="74"/>
      <c r="BG1128" s="74"/>
      <c r="BH1128" s="74"/>
      <c r="BI1128" s="74"/>
    </row>
    <row r="1129" spans="4:61" x14ac:dyDescent="0.3">
      <c r="D1129" s="74"/>
      <c r="E1129" s="74"/>
      <c r="X1129" s="74"/>
      <c r="Y1129" s="74"/>
      <c r="Z1129" s="74"/>
      <c r="AA1129" s="74"/>
      <c r="AB1129" s="74"/>
      <c r="AC1129" s="74"/>
      <c r="AN1129" s="74"/>
      <c r="AO1129" s="74"/>
      <c r="AP1129" s="74"/>
      <c r="AQ1129" s="74"/>
      <c r="AR1129" s="74"/>
      <c r="AS1129" s="74"/>
      <c r="BD1129" s="74"/>
      <c r="BE1129" s="74"/>
      <c r="BF1129" s="74"/>
      <c r="BG1129" s="74"/>
      <c r="BH1129" s="74"/>
      <c r="BI1129" s="74"/>
    </row>
    <row r="1130" spans="4:61" x14ac:dyDescent="0.3">
      <c r="D1130" s="74"/>
      <c r="E1130" s="74"/>
      <c r="X1130" s="74"/>
      <c r="Y1130" s="74"/>
      <c r="Z1130" s="74"/>
      <c r="AA1130" s="74"/>
      <c r="AB1130" s="74"/>
      <c r="AC1130" s="74"/>
      <c r="AN1130" s="74"/>
      <c r="AO1130" s="74"/>
      <c r="AP1130" s="74"/>
      <c r="AQ1130" s="74"/>
      <c r="AR1130" s="74"/>
      <c r="AS1130" s="74"/>
      <c r="BD1130" s="74"/>
      <c r="BE1130" s="74"/>
      <c r="BF1130" s="74"/>
      <c r="BG1130" s="74"/>
      <c r="BH1130" s="74"/>
      <c r="BI1130" s="74"/>
    </row>
    <row r="1131" spans="4:61" x14ac:dyDescent="0.3">
      <c r="D1131" s="74"/>
      <c r="E1131" s="74"/>
      <c r="X1131" s="74"/>
      <c r="Y1131" s="74"/>
      <c r="Z1131" s="74"/>
      <c r="AA1131" s="74"/>
      <c r="AB1131" s="74"/>
      <c r="AC1131" s="74"/>
      <c r="AN1131" s="74"/>
      <c r="AO1131" s="74"/>
      <c r="AP1131" s="74"/>
      <c r="AQ1131" s="74"/>
      <c r="AR1131" s="74"/>
      <c r="AS1131" s="74"/>
      <c r="BD1131" s="74"/>
      <c r="BE1131" s="74"/>
      <c r="BF1131" s="74"/>
      <c r="BG1131" s="74"/>
      <c r="BH1131" s="74"/>
      <c r="BI1131" s="74"/>
    </row>
    <row r="1132" spans="4:61" x14ac:dyDescent="0.3">
      <c r="D1132" s="74"/>
      <c r="E1132" s="74"/>
      <c r="X1132" s="74"/>
      <c r="Y1132" s="74"/>
      <c r="Z1132" s="74"/>
      <c r="AA1132" s="74"/>
      <c r="AB1132" s="74"/>
      <c r="AC1132" s="74"/>
      <c r="AN1132" s="74"/>
      <c r="AO1132" s="74"/>
      <c r="AP1132" s="74"/>
      <c r="AQ1132" s="74"/>
      <c r="AR1132" s="74"/>
      <c r="AS1132" s="74"/>
      <c r="BD1132" s="74"/>
      <c r="BE1132" s="74"/>
      <c r="BF1132" s="74"/>
      <c r="BG1132" s="74"/>
      <c r="BH1132" s="74"/>
      <c r="BI1132" s="74"/>
    </row>
    <row r="1133" spans="4:61" x14ac:dyDescent="0.3">
      <c r="D1133" s="74"/>
      <c r="E1133" s="74"/>
      <c r="X1133" s="74"/>
      <c r="Y1133" s="74"/>
      <c r="Z1133" s="74"/>
      <c r="AA1133" s="74"/>
      <c r="AB1133" s="74"/>
      <c r="AC1133" s="74"/>
      <c r="AN1133" s="74"/>
      <c r="AO1133" s="74"/>
      <c r="AP1133" s="74"/>
      <c r="AQ1133" s="74"/>
      <c r="AR1133" s="74"/>
      <c r="AS1133" s="74"/>
      <c r="BD1133" s="74"/>
      <c r="BE1133" s="74"/>
      <c r="BF1133" s="74"/>
      <c r="BG1133" s="74"/>
      <c r="BH1133" s="74"/>
      <c r="BI1133" s="74"/>
    </row>
    <row r="1134" spans="4:61" x14ac:dyDescent="0.3">
      <c r="D1134" s="74"/>
      <c r="E1134" s="74"/>
      <c r="X1134" s="74"/>
      <c r="Y1134" s="74"/>
      <c r="Z1134" s="74"/>
      <c r="AA1134" s="74"/>
      <c r="AB1134" s="74"/>
      <c r="AC1134" s="74"/>
      <c r="AN1134" s="74"/>
      <c r="AO1134" s="74"/>
      <c r="AP1134" s="74"/>
      <c r="AQ1134" s="74"/>
      <c r="AR1134" s="74"/>
      <c r="AS1134" s="74"/>
      <c r="BD1134" s="74"/>
      <c r="BE1134" s="74"/>
      <c r="BF1134" s="74"/>
      <c r="BG1134" s="74"/>
      <c r="BH1134" s="74"/>
      <c r="BI1134" s="74"/>
    </row>
    <row r="1135" spans="4:61" x14ac:dyDescent="0.3">
      <c r="D1135" s="74"/>
      <c r="E1135" s="74"/>
      <c r="X1135" s="74"/>
      <c r="Y1135" s="74"/>
      <c r="Z1135" s="74"/>
      <c r="AA1135" s="74"/>
      <c r="AB1135" s="74"/>
      <c r="AC1135" s="74"/>
      <c r="AN1135" s="74"/>
      <c r="AO1135" s="74"/>
      <c r="AP1135" s="74"/>
      <c r="AQ1135" s="74"/>
      <c r="AR1135" s="74"/>
      <c r="AS1135" s="74"/>
      <c r="BD1135" s="74"/>
      <c r="BE1135" s="74"/>
      <c r="BF1135" s="74"/>
      <c r="BG1135" s="74"/>
      <c r="BH1135" s="74"/>
      <c r="BI1135" s="74"/>
    </row>
    <row r="1136" spans="4:61" x14ac:dyDescent="0.3">
      <c r="D1136" s="74"/>
      <c r="E1136" s="74"/>
      <c r="X1136" s="74"/>
      <c r="Y1136" s="74"/>
      <c r="Z1136" s="74"/>
      <c r="AA1136" s="74"/>
      <c r="AB1136" s="74"/>
      <c r="AC1136" s="74"/>
      <c r="AN1136" s="74"/>
      <c r="AO1136" s="74"/>
      <c r="AP1136" s="74"/>
      <c r="AQ1136" s="74"/>
      <c r="AR1136" s="74"/>
      <c r="AS1136" s="74"/>
      <c r="BD1136" s="74"/>
      <c r="BE1136" s="74"/>
      <c r="BF1136" s="74"/>
      <c r="BG1136" s="74"/>
      <c r="BH1136" s="74"/>
      <c r="BI1136" s="74"/>
    </row>
    <row r="1137" spans="4:61" x14ac:dyDescent="0.3">
      <c r="D1137" s="74"/>
      <c r="E1137" s="74"/>
      <c r="X1137" s="74"/>
      <c r="Y1137" s="74"/>
      <c r="Z1137" s="74"/>
      <c r="AA1137" s="74"/>
      <c r="AB1137" s="74"/>
      <c r="AC1137" s="74"/>
      <c r="AN1137" s="74"/>
      <c r="AO1137" s="74"/>
      <c r="AP1137" s="74"/>
      <c r="AQ1137" s="74"/>
      <c r="AR1137" s="74"/>
      <c r="AS1137" s="74"/>
      <c r="BD1137" s="74"/>
      <c r="BE1137" s="74"/>
      <c r="BF1137" s="74"/>
      <c r="BG1137" s="74"/>
      <c r="BH1137" s="74"/>
      <c r="BI1137" s="74"/>
    </row>
    <row r="1138" spans="4:61" x14ac:dyDescent="0.3">
      <c r="D1138" s="74"/>
      <c r="E1138" s="74"/>
      <c r="X1138" s="74"/>
      <c r="Y1138" s="74"/>
      <c r="Z1138" s="74"/>
      <c r="AA1138" s="74"/>
      <c r="AB1138" s="74"/>
      <c r="AC1138" s="74"/>
      <c r="AN1138" s="74"/>
      <c r="AO1138" s="74"/>
      <c r="AP1138" s="74"/>
      <c r="AQ1138" s="74"/>
      <c r="AR1138" s="74"/>
      <c r="AS1138" s="74"/>
      <c r="BD1138" s="74"/>
      <c r="BE1138" s="74"/>
      <c r="BF1138" s="74"/>
      <c r="BG1138" s="74"/>
      <c r="BH1138" s="74"/>
      <c r="BI1138" s="74"/>
    </row>
    <row r="1139" spans="4:61" x14ac:dyDescent="0.3">
      <c r="D1139" s="74"/>
      <c r="E1139" s="74"/>
      <c r="X1139" s="74"/>
      <c r="Y1139" s="74"/>
      <c r="Z1139" s="74"/>
      <c r="AA1139" s="74"/>
      <c r="AB1139" s="74"/>
      <c r="AC1139" s="74"/>
      <c r="AN1139" s="74"/>
      <c r="AO1139" s="74"/>
      <c r="AP1139" s="74"/>
      <c r="AQ1139" s="74"/>
      <c r="AR1139" s="74"/>
      <c r="AS1139" s="74"/>
      <c r="BD1139" s="74"/>
      <c r="BE1139" s="74"/>
      <c r="BF1139" s="74"/>
      <c r="BG1139" s="74"/>
      <c r="BH1139" s="74"/>
      <c r="BI1139" s="74"/>
    </row>
    <row r="1140" spans="4:61" x14ac:dyDescent="0.3">
      <c r="D1140" s="74"/>
      <c r="E1140" s="74"/>
      <c r="X1140" s="74"/>
      <c r="Y1140" s="74"/>
      <c r="Z1140" s="74"/>
      <c r="AA1140" s="74"/>
      <c r="AB1140" s="74"/>
      <c r="AC1140" s="74"/>
      <c r="AN1140" s="74"/>
      <c r="AO1140" s="74"/>
      <c r="AP1140" s="74"/>
      <c r="AQ1140" s="74"/>
      <c r="AR1140" s="74"/>
      <c r="AS1140" s="74"/>
      <c r="BD1140" s="74"/>
      <c r="BE1140" s="74"/>
      <c r="BF1140" s="74"/>
      <c r="BG1140" s="74"/>
      <c r="BH1140" s="74"/>
      <c r="BI1140" s="74"/>
    </row>
    <row r="1141" spans="4:61" x14ac:dyDescent="0.3">
      <c r="D1141" s="74"/>
      <c r="E1141" s="74"/>
      <c r="X1141" s="74"/>
      <c r="Y1141" s="74"/>
      <c r="Z1141" s="74"/>
      <c r="AA1141" s="74"/>
      <c r="AB1141" s="74"/>
      <c r="AC1141" s="74"/>
      <c r="AN1141" s="74"/>
      <c r="AO1141" s="74"/>
      <c r="AP1141" s="74"/>
      <c r="AQ1141" s="74"/>
      <c r="AR1141" s="74"/>
      <c r="AS1141" s="74"/>
      <c r="BD1141" s="74"/>
      <c r="BE1141" s="74"/>
      <c r="BF1141" s="74"/>
      <c r="BG1141" s="74"/>
      <c r="BH1141" s="74"/>
      <c r="BI1141" s="74"/>
    </row>
    <row r="1142" spans="4:61" x14ac:dyDescent="0.3">
      <c r="D1142" s="74"/>
      <c r="E1142" s="74"/>
      <c r="X1142" s="74"/>
      <c r="Y1142" s="74"/>
      <c r="Z1142" s="74"/>
      <c r="AA1142" s="74"/>
      <c r="AB1142" s="74"/>
      <c r="AC1142" s="74"/>
      <c r="AN1142" s="74"/>
      <c r="AO1142" s="74"/>
      <c r="AP1142" s="74"/>
      <c r="AQ1142" s="74"/>
      <c r="AR1142" s="74"/>
      <c r="AS1142" s="74"/>
      <c r="BD1142" s="74"/>
      <c r="BE1142" s="74"/>
      <c r="BF1142" s="74"/>
      <c r="BG1142" s="74"/>
      <c r="BH1142" s="74"/>
      <c r="BI1142" s="74"/>
    </row>
    <row r="1143" spans="4:61" x14ac:dyDescent="0.3">
      <c r="D1143" s="74"/>
      <c r="E1143" s="74"/>
      <c r="X1143" s="74"/>
      <c r="Y1143" s="74"/>
      <c r="Z1143" s="74"/>
      <c r="AA1143" s="74"/>
      <c r="AB1143" s="74"/>
      <c r="AC1143" s="74"/>
      <c r="AN1143" s="74"/>
      <c r="AO1143" s="74"/>
      <c r="AP1143" s="74"/>
      <c r="AQ1143" s="74"/>
      <c r="AR1143" s="74"/>
      <c r="AS1143" s="74"/>
      <c r="BD1143" s="74"/>
      <c r="BE1143" s="74"/>
      <c r="BF1143" s="74"/>
      <c r="BG1143" s="74"/>
      <c r="BH1143" s="74"/>
      <c r="BI1143" s="74"/>
    </row>
    <row r="1144" spans="4:61" x14ac:dyDescent="0.3">
      <c r="D1144" s="74"/>
      <c r="E1144" s="74"/>
      <c r="X1144" s="74"/>
      <c r="Y1144" s="74"/>
      <c r="Z1144" s="74"/>
      <c r="AA1144" s="74"/>
      <c r="AB1144" s="74"/>
      <c r="AC1144" s="74"/>
      <c r="AN1144" s="74"/>
      <c r="AO1144" s="74"/>
      <c r="AP1144" s="74"/>
      <c r="AQ1144" s="74"/>
      <c r="AR1144" s="74"/>
      <c r="AS1144" s="74"/>
      <c r="BD1144" s="74"/>
      <c r="BE1144" s="74"/>
      <c r="BF1144" s="74"/>
      <c r="BG1144" s="74"/>
      <c r="BH1144" s="74"/>
      <c r="BI1144" s="74"/>
    </row>
    <row r="1145" spans="4:61" x14ac:dyDescent="0.3">
      <c r="D1145" s="74"/>
      <c r="E1145" s="74"/>
      <c r="X1145" s="74"/>
      <c r="Y1145" s="74"/>
      <c r="Z1145" s="74"/>
      <c r="AA1145" s="74"/>
      <c r="AB1145" s="74"/>
      <c r="AC1145" s="74"/>
      <c r="AN1145" s="74"/>
      <c r="AO1145" s="74"/>
      <c r="AP1145" s="74"/>
      <c r="AQ1145" s="74"/>
      <c r="AR1145" s="74"/>
      <c r="AS1145" s="74"/>
      <c r="BD1145" s="74"/>
      <c r="BE1145" s="74"/>
      <c r="BF1145" s="74"/>
      <c r="BG1145" s="74"/>
      <c r="BH1145" s="74"/>
      <c r="BI1145" s="74"/>
    </row>
    <row r="1146" spans="4:61" x14ac:dyDescent="0.3">
      <c r="D1146" s="74"/>
      <c r="E1146" s="74"/>
      <c r="X1146" s="74"/>
      <c r="Y1146" s="74"/>
      <c r="Z1146" s="74"/>
      <c r="AA1146" s="74"/>
      <c r="AB1146" s="74"/>
      <c r="AC1146" s="74"/>
      <c r="AN1146" s="74"/>
      <c r="AO1146" s="74"/>
      <c r="AP1146" s="74"/>
      <c r="AQ1146" s="74"/>
      <c r="AR1146" s="74"/>
      <c r="AS1146" s="74"/>
      <c r="BD1146" s="74"/>
      <c r="BE1146" s="74"/>
      <c r="BF1146" s="74"/>
      <c r="BG1146" s="74"/>
      <c r="BH1146" s="74"/>
      <c r="BI1146" s="74"/>
    </row>
    <row r="1147" spans="4:61" x14ac:dyDescent="0.3">
      <c r="D1147" s="74"/>
      <c r="E1147" s="74"/>
      <c r="X1147" s="74"/>
      <c r="Y1147" s="74"/>
      <c r="Z1147" s="74"/>
      <c r="AA1147" s="74"/>
      <c r="AB1147" s="74"/>
      <c r="AC1147" s="74"/>
      <c r="AN1147" s="74"/>
      <c r="AO1147" s="74"/>
      <c r="AP1147" s="74"/>
      <c r="AQ1147" s="74"/>
      <c r="AR1147" s="74"/>
      <c r="AS1147" s="74"/>
      <c r="BD1147" s="74"/>
      <c r="BE1147" s="74"/>
      <c r="BF1147" s="74"/>
      <c r="BG1147" s="74"/>
      <c r="BH1147" s="74"/>
      <c r="BI1147" s="74"/>
    </row>
    <row r="1148" spans="4:61" x14ac:dyDescent="0.3">
      <c r="D1148" s="74"/>
      <c r="E1148" s="74"/>
      <c r="X1148" s="74"/>
      <c r="Y1148" s="74"/>
      <c r="Z1148" s="74"/>
      <c r="AA1148" s="74"/>
      <c r="AB1148" s="74"/>
      <c r="AC1148" s="74"/>
      <c r="AN1148" s="74"/>
      <c r="AO1148" s="74"/>
      <c r="AP1148" s="74"/>
      <c r="AQ1148" s="74"/>
      <c r="AR1148" s="74"/>
      <c r="AS1148" s="74"/>
      <c r="BD1148" s="74"/>
      <c r="BE1148" s="74"/>
      <c r="BF1148" s="74"/>
      <c r="BG1148" s="74"/>
      <c r="BH1148" s="74"/>
      <c r="BI1148" s="74"/>
    </row>
    <row r="1149" spans="4:61" x14ac:dyDescent="0.3">
      <c r="D1149" s="74"/>
      <c r="E1149" s="74"/>
      <c r="X1149" s="74"/>
      <c r="Y1149" s="74"/>
      <c r="Z1149" s="74"/>
      <c r="AA1149" s="74"/>
      <c r="AB1149" s="74"/>
      <c r="AC1149" s="74"/>
      <c r="AN1149" s="74"/>
      <c r="AO1149" s="74"/>
      <c r="AP1149" s="74"/>
      <c r="AQ1149" s="74"/>
      <c r="AR1149" s="74"/>
      <c r="AS1149" s="74"/>
      <c r="BD1149" s="74"/>
      <c r="BE1149" s="74"/>
      <c r="BF1149" s="74"/>
      <c r="BG1149" s="74"/>
      <c r="BH1149" s="74"/>
      <c r="BI1149" s="74"/>
    </row>
    <row r="1150" spans="4:61" x14ac:dyDescent="0.3">
      <c r="D1150" s="74"/>
      <c r="E1150" s="74"/>
      <c r="X1150" s="74"/>
      <c r="Y1150" s="74"/>
      <c r="Z1150" s="74"/>
      <c r="AA1150" s="74"/>
      <c r="AB1150" s="74"/>
      <c r="AC1150" s="74"/>
      <c r="AN1150" s="74"/>
      <c r="AO1150" s="74"/>
      <c r="AP1150" s="74"/>
      <c r="AQ1150" s="74"/>
      <c r="AR1150" s="74"/>
      <c r="AS1150" s="74"/>
      <c r="BD1150" s="74"/>
      <c r="BE1150" s="74"/>
      <c r="BF1150" s="74"/>
      <c r="BG1150" s="74"/>
      <c r="BH1150" s="74"/>
      <c r="BI1150" s="74"/>
    </row>
    <row r="1151" spans="4:61" x14ac:dyDescent="0.3">
      <c r="D1151" s="74"/>
      <c r="E1151" s="74"/>
      <c r="X1151" s="74"/>
      <c r="Y1151" s="74"/>
      <c r="Z1151" s="74"/>
      <c r="AA1151" s="74"/>
      <c r="AB1151" s="74"/>
      <c r="AC1151" s="74"/>
      <c r="AN1151" s="74"/>
      <c r="AO1151" s="74"/>
      <c r="AP1151" s="74"/>
      <c r="AQ1151" s="74"/>
      <c r="AR1151" s="74"/>
      <c r="AS1151" s="74"/>
      <c r="BD1151" s="74"/>
      <c r="BE1151" s="74"/>
      <c r="BF1151" s="74"/>
      <c r="BG1151" s="74"/>
      <c r="BH1151" s="74"/>
      <c r="BI1151" s="74"/>
    </row>
    <row r="1152" spans="4:61" x14ac:dyDescent="0.3">
      <c r="D1152" s="74"/>
      <c r="E1152" s="74"/>
      <c r="X1152" s="74"/>
      <c r="Y1152" s="74"/>
      <c r="Z1152" s="74"/>
      <c r="AA1152" s="74"/>
      <c r="AB1152" s="74"/>
      <c r="AC1152" s="74"/>
      <c r="AN1152" s="74"/>
      <c r="AO1152" s="74"/>
      <c r="AP1152" s="74"/>
      <c r="AQ1152" s="74"/>
      <c r="AR1152" s="74"/>
      <c r="AS1152" s="74"/>
      <c r="BD1152" s="74"/>
      <c r="BE1152" s="74"/>
      <c r="BF1152" s="74"/>
      <c r="BG1152" s="74"/>
      <c r="BH1152" s="74"/>
      <c r="BI1152" s="74"/>
    </row>
    <row r="1153" spans="4:61" x14ac:dyDescent="0.3">
      <c r="D1153" s="74"/>
      <c r="E1153" s="74"/>
      <c r="X1153" s="74"/>
      <c r="Y1153" s="74"/>
      <c r="Z1153" s="74"/>
      <c r="AA1153" s="74"/>
      <c r="AB1153" s="74"/>
      <c r="AC1153" s="74"/>
      <c r="AN1153" s="74"/>
      <c r="AO1153" s="74"/>
      <c r="AP1153" s="74"/>
      <c r="AQ1153" s="74"/>
      <c r="AR1153" s="74"/>
      <c r="AS1153" s="74"/>
      <c r="BD1153" s="74"/>
      <c r="BE1153" s="74"/>
      <c r="BF1153" s="74"/>
      <c r="BG1153" s="74"/>
      <c r="BH1153" s="74"/>
      <c r="BI1153" s="74"/>
    </row>
    <row r="1154" spans="4:61" x14ac:dyDescent="0.3">
      <c r="D1154" s="74"/>
      <c r="E1154" s="74"/>
      <c r="X1154" s="74"/>
      <c r="Y1154" s="74"/>
      <c r="Z1154" s="74"/>
      <c r="AA1154" s="74"/>
      <c r="AB1154" s="74"/>
      <c r="AC1154" s="74"/>
      <c r="AN1154" s="74"/>
      <c r="AO1154" s="74"/>
      <c r="AP1154" s="74"/>
      <c r="AQ1154" s="74"/>
      <c r="AR1154" s="74"/>
      <c r="AS1154" s="74"/>
      <c r="BD1154" s="74"/>
      <c r="BE1154" s="74"/>
      <c r="BF1154" s="74"/>
      <c r="BG1154" s="74"/>
      <c r="BH1154" s="74"/>
      <c r="BI1154" s="74"/>
    </row>
    <row r="1155" spans="4:61" x14ac:dyDescent="0.3">
      <c r="D1155" s="74"/>
      <c r="E1155" s="74"/>
      <c r="X1155" s="74"/>
      <c r="Y1155" s="74"/>
      <c r="Z1155" s="74"/>
      <c r="AA1155" s="74"/>
      <c r="AB1155" s="74"/>
      <c r="AC1155" s="74"/>
      <c r="AN1155" s="74"/>
      <c r="AO1155" s="74"/>
      <c r="AP1155" s="74"/>
      <c r="AQ1155" s="74"/>
      <c r="AR1155" s="74"/>
      <c r="AS1155" s="74"/>
      <c r="BD1155" s="74"/>
      <c r="BE1155" s="74"/>
      <c r="BF1155" s="74"/>
      <c r="BG1155" s="74"/>
      <c r="BH1155" s="74"/>
      <c r="BI1155" s="74"/>
    </row>
    <row r="1156" spans="4:61" x14ac:dyDescent="0.3">
      <c r="D1156" s="74"/>
      <c r="E1156" s="74"/>
      <c r="X1156" s="74"/>
      <c r="Y1156" s="74"/>
      <c r="Z1156" s="74"/>
      <c r="AA1156" s="74"/>
      <c r="AB1156" s="74"/>
      <c r="AC1156" s="74"/>
      <c r="AN1156" s="74"/>
      <c r="AO1156" s="74"/>
      <c r="AP1156" s="74"/>
      <c r="AQ1156" s="74"/>
      <c r="AR1156" s="74"/>
      <c r="AS1156" s="74"/>
      <c r="BD1156" s="74"/>
      <c r="BE1156" s="74"/>
      <c r="BF1156" s="74"/>
      <c r="BG1156" s="74"/>
      <c r="BH1156" s="74"/>
      <c r="BI1156" s="74"/>
    </row>
    <row r="1157" spans="4:61" x14ac:dyDescent="0.3">
      <c r="D1157" s="74"/>
      <c r="E1157" s="74"/>
      <c r="X1157" s="74"/>
      <c r="Y1157" s="74"/>
      <c r="Z1157" s="74"/>
      <c r="AA1157" s="74"/>
      <c r="AB1157" s="74"/>
      <c r="AC1157" s="74"/>
      <c r="AN1157" s="74"/>
      <c r="AO1157" s="74"/>
      <c r="AP1157" s="74"/>
      <c r="AQ1157" s="74"/>
      <c r="AR1157" s="74"/>
      <c r="AS1157" s="74"/>
      <c r="BD1157" s="74"/>
      <c r="BE1157" s="74"/>
      <c r="BF1157" s="74"/>
      <c r="BG1157" s="74"/>
      <c r="BH1157" s="74"/>
      <c r="BI1157" s="74"/>
    </row>
    <row r="1158" spans="4:61" x14ac:dyDescent="0.3">
      <c r="D1158" s="74"/>
      <c r="E1158" s="74"/>
      <c r="X1158" s="74"/>
      <c r="Y1158" s="74"/>
      <c r="Z1158" s="74"/>
      <c r="AA1158" s="74"/>
      <c r="AB1158" s="74"/>
      <c r="AC1158" s="74"/>
      <c r="AN1158" s="74"/>
      <c r="AO1158" s="74"/>
      <c r="AP1158" s="74"/>
      <c r="AQ1158" s="74"/>
      <c r="AR1158" s="74"/>
      <c r="AS1158" s="74"/>
      <c r="BD1158" s="74"/>
      <c r="BE1158" s="74"/>
      <c r="BF1158" s="74"/>
      <c r="BG1158" s="74"/>
      <c r="BH1158" s="74"/>
      <c r="BI1158" s="74"/>
    </row>
    <row r="1159" spans="4:61" x14ac:dyDescent="0.3">
      <c r="D1159" s="74"/>
      <c r="E1159" s="74"/>
      <c r="X1159" s="74"/>
      <c r="Y1159" s="74"/>
      <c r="Z1159" s="74"/>
      <c r="AA1159" s="74"/>
      <c r="AB1159" s="74"/>
      <c r="AC1159" s="74"/>
      <c r="AN1159" s="74"/>
      <c r="AO1159" s="74"/>
      <c r="AP1159" s="74"/>
      <c r="AQ1159" s="74"/>
      <c r="AR1159" s="74"/>
      <c r="AS1159" s="74"/>
      <c r="BD1159" s="74"/>
      <c r="BE1159" s="74"/>
      <c r="BF1159" s="74"/>
      <c r="BG1159" s="74"/>
      <c r="BH1159" s="74"/>
      <c r="BI1159" s="74"/>
    </row>
    <row r="1160" spans="4:61" x14ac:dyDescent="0.3">
      <c r="D1160" s="74"/>
      <c r="E1160" s="74"/>
      <c r="X1160" s="74"/>
      <c r="Y1160" s="74"/>
      <c r="Z1160" s="74"/>
      <c r="AA1160" s="74"/>
      <c r="AB1160" s="74"/>
      <c r="AC1160" s="74"/>
      <c r="AN1160" s="74"/>
      <c r="AO1160" s="74"/>
      <c r="AP1160" s="74"/>
      <c r="AQ1160" s="74"/>
      <c r="AR1160" s="74"/>
      <c r="AS1160" s="74"/>
      <c r="BD1160" s="74"/>
      <c r="BE1160" s="74"/>
      <c r="BF1160" s="74"/>
      <c r="BG1160" s="74"/>
      <c r="BH1160" s="74"/>
      <c r="BI1160" s="74"/>
    </row>
    <row r="1161" spans="4:61" x14ac:dyDescent="0.3">
      <c r="D1161" s="74"/>
      <c r="E1161" s="74"/>
      <c r="X1161" s="74"/>
      <c r="Y1161" s="74"/>
      <c r="Z1161" s="74"/>
      <c r="AA1161" s="74"/>
      <c r="AB1161" s="74"/>
      <c r="AC1161" s="74"/>
      <c r="AN1161" s="74"/>
      <c r="AO1161" s="74"/>
      <c r="AP1161" s="74"/>
      <c r="AQ1161" s="74"/>
      <c r="AR1161" s="74"/>
      <c r="AS1161" s="74"/>
      <c r="BD1161" s="74"/>
      <c r="BE1161" s="74"/>
      <c r="BF1161" s="74"/>
      <c r="BG1161" s="74"/>
      <c r="BH1161" s="74"/>
      <c r="BI1161" s="74"/>
    </row>
    <row r="1162" spans="4:61" x14ac:dyDescent="0.3">
      <c r="D1162" s="74"/>
      <c r="E1162" s="74"/>
      <c r="X1162" s="74"/>
      <c r="Y1162" s="74"/>
      <c r="Z1162" s="74"/>
      <c r="AA1162" s="74"/>
      <c r="AB1162" s="74"/>
      <c r="AC1162" s="74"/>
      <c r="AN1162" s="74"/>
      <c r="AO1162" s="74"/>
      <c r="AP1162" s="74"/>
      <c r="AQ1162" s="74"/>
      <c r="AR1162" s="74"/>
      <c r="AS1162" s="74"/>
      <c r="BD1162" s="74"/>
      <c r="BE1162" s="74"/>
      <c r="BF1162" s="74"/>
      <c r="BG1162" s="74"/>
      <c r="BH1162" s="74"/>
      <c r="BI1162" s="74"/>
    </row>
    <row r="1163" spans="4:61" x14ac:dyDescent="0.3">
      <c r="D1163" s="74"/>
      <c r="E1163" s="74"/>
      <c r="X1163" s="74"/>
      <c r="Y1163" s="74"/>
      <c r="Z1163" s="74"/>
      <c r="AA1163" s="74"/>
      <c r="AB1163" s="74"/>
      <c r="AC1163" s="74"/>
      <c r="AN1163" s="74"/>
      <c r="AO1163" s="74"/>
      <c r="AP1163" s="74"/>
      <c r="AQ1163" s="74"/>
      <c r="AR1163" s="74"/>
      <c r="AS1163" s="74"/>
      <c r="BD1163" s="74"/>
      <c r="BE1163" s="74"/>
      <c r="BF1163" s="74"/>
      <c r="BG1163" s="74"/>
      <c r="BH1163" s="74"/>
      <c r="BI1163" s="74"/>
    </row>
    <row r="1164" spans="4:61" x14ac:dyDescent="0.3">
      <c r="D1164" s="74"/>
      <c r="E1164" s="74"/>
      <c r="X1164" s="74"/>
      <c r="Y1164" s="74"/>
      <c r="Z1164" s="74"/>
      <c r="AA1164" s="74"/>
      <c r="AB1164" s="74"/>
      <c r="AC1164" s="74"/>
      <c r="AN1164" s="74"/>
      <c r="AO1164" s="74"/>
      <c r="AP1164" s="74"/>
      <c r="AQ1164" s="74"/>
      <c r="AR1164" s="74"/>
      <c r="AS1164" s="74"/>
      <c r="BD1164" s="74"/>
      <c r="BE1164" s="74"/>
      <c r="BF1164" s="74"/>
      <c r="BG1164" s="74"/>
      <c r="BH1164" s="74"/>
      <c r="BI1164" s="74"/>
    </row>
    <row r="1165" spans="4:61" x14ac:dyDescent="0.3">
      <c r="D1165" s="74"/>
      <c r="E1165" s="74"/>
      <c r="X1165" s="74"/>
      <c r="Y1165" s="74"/>
      <c r="Z1165" s="74"/>
      <c r="AA1165" s="74"/>
      <c r="AB1165" s="74"/>
      <c r="AC1165" s="74"/>
      <c r="AN1165" s="74"/>
      <c r="AO1165" s="74"/>
      <c r="AP1165" s="74"/>
      <c r="AQ1165" s="74"/>
      <c r="AR1165" s="74"/>
      <c r="AS1165" s="74"/>
      <c r="BD1165" s="74"/>
      <c r="BE1165" s="74"/>
      <c r="BF1165" s="74"/>
      <c r="BG1165" s="74"/>
      <c r="BH1165" s="74"/>
      <c r="BI1165" s="74"/>
    </row>
    <row r="1166" spans="4:61" x14ac:dyDescent="0.3">
      <c r="D1166" s="74"/>
      <c r="E1166" s="74"/>
      <c r="X1166" s="74"/>
      <c r="Y1166" s="74"/>
      <c r="Z1166" s="74"/>
      <c r="AA1166" s="74"/>
      <c r="AB1166" s="74"/>
      <c r="AC1166" s="74"/>
      <c r="AN1166" s="74"/>
      <c r="AO1166" s="74"/>
      <c r="AP1166" s="74"/>
      <c r="AQ1166" s="74"/>
      <c r="AR1166" s="74"/>
      <c r="AS1166" s="74"/>
      <c r="BD1166" s="74"/>
      <c r="BE1166" s="74"/>
      <c r="BF1166" s="74"/>
      <c r="BG1166" s="74"/>
      <c r="BH1166" s="74"/>
      <c r="BI1166" s="74"/>
    </row>
    <row r="1167" spans="4:61" x14ac:dyDescent="0.3">
      <c r="D1167" s="74"/>
      <c r="E1167" s="74"/>
      <c r="X1167" s="74"/>
      <c r="Y1167" s="74"/>
      <c r="Z1167" s="74"/>
      <c r="AA1167" s="74"/>
      <c r="AB1167" s="74"/>
      <c r="AC1167" s="74"/>
      <c r="AN1167" s="74"/>
      <c r="AO1167" s="74"/>
      <c r="AP1167" s="74"/>
      <c r="AQ1167" s="74"/>
      <c r="AR1167" s="74"/>
      <c r="AS1167" s="74"/>
      <c r="BD1167" s="74"/>
      <c r="BE1167" s="74"/>
      <c r="BF1167" s="74"/>
      <c r="BG1167" s="74"/>
      <c r="BH1167" s="74"/>
      <c r="BI1167" s="74"/>
    </row>
    <row r="1168" spans="4:61" x14ac:dyDescent="0.3">
      <c r="D1168" s="74"/>
      <c r="E1168" s="74"/>
      <c r="X1168" s="74"/>
      <c r="Y1168" s="74"/>
      <c r="Z1168" s="74"/>
      <c r="AA1168" s="74"/>
      <c r="AB1168" s="74"/>
      <c r="AC1168" s="74"/>
      <c r="AN1168" s="74"/>
      <c r="AO1168" s="74"/>
      <c r="AP1168" s="74"/>
      <c r="AQ1168" s="74"/>
      <c r="AR1168" s="74"/>
      <c r="AS1168" s="74"/>
      <c r="BD1168" s="74"/>
      <c r="BE1168" s="74"/>
      <c r="BF1168" s="74"/>
      <c r="BG1168" s="74"/>
      <c r="BH1168" s="74"/>
      <c r="BI1168" s="74"/>
    </row>
    <row r="1169" spans="4:61" x14ac:dyDescent="0.3">
      <c r="D1169" s="74"/>
      <c r="E1169" s="74"/>
      <c r="X1169" s="74"/>
      <c r="Y1169" s="74"/>
      <c r="Z1169" s="74"/>
      <c r="AA1169" s="74"/>
      <c r="AB1169" s="74"/>
      <c r="AC1169" s="74"/>
      <c r="AN1169" s="74"/>
      <c r="AO1169" s="74"/>
      <c r="AP1169" s="74"/>
      <c r="AQ1169" s="74"/>
      <c r="AR1169" s="74"/>
      <c r="AS1169" s="74"/>
      <c r="BD1169" s="74"/>
      <c r="BE1169" s="74"/>
      <c r="BF1169" s="74"/>
      <c r="BG1169" s="74"/>
      <c r="BH1169" s="74"/>
      <c r="BI1169" s="74"/>
    </row>
    <row r="1170" spans="4:61" x14ac:dyDescent="0.3">
      <c r="D1170" s="74"/>
      <c r="E1170" s="74"/>
      <c r="X1170" s="74"/>
      <c r="Y1170" s="74"/>
      <c r="Z1170" s="74"/>
      <c r="AA1170" s="74"/>
      <c r="AB1170" s="74"/>
      <c r="AC1170" s="74"/>
      <c r="AN1170" s="74"/>
      <c r="AO1170" s="74"/>
      <c r="AP1170" s="74"/>
      <c r="AQ1170" s="74"/>
      <c r="AR1170" s="74"/>
      <c r="AS1170" s="74"/>
      <c r="BD1170" s="74"/>
      <c r="BE1170" s="74"/>
      <c r="BF1170" s="74"/>
      <c r="BG1170" s="74"/>
      <c r="BH1170" s="74"/>
      <c r="BI1170" s="74"/>
    </row>
    <row r="1171" spans="4:61" x14ac:dyDescent="0.3">
      <c r="D1171" s="74"/>
      <c r="E1171" s="74"/>
      <c r="X1171" s="74"/>
      <c r="Y1171" s="74"/>
      <c r="Z1171" s="74"/>
      <c r="AA1171" s="74"/>
      <c r="AB1171" s="74"/>
      <c r="AC1171" s="74"/>
      <c r="AN1171" s="74"/>
      <c r="AO1171" s="74"/>
      <c r="AP1171" s="74"/>
      <c r="AQ1171" s="74"/>
      <c r="AR1171" s="74"/>
      <c r="AS1171" s="74"/>
      <c r="BD1171" s="74"/>
      <c r="BE1171" s="74"/>
      <c r="BF1171" s="74"/>
      <c r="BG1171" s="74"/>
      <c r="BH1171" s="74"/>
      <c r="BI1171" s="74"/>
    </row>
    <row r="1172" spans="4:61" x14ac:dyDescent="0.3">
      <c r="D1172" s="74"/>
      <c r="E1172" s="74"/>
      <c r="X1172" s="74"/>
      <c r="Y1172" s="74"/>
      <c r="Z1172" s="74"/>
      <c r="AA1172" s="74"/>
      <c r="AB1172" s="74"/>
      <c r="AC1172" s="74"/>
      <c r="AN1172" s="74"/>
      <c r="AO1172" s="74"/>
      <c r="AP1172" s="74"/>
      <c r="AQ1172" s="74"/>
      <c r="AR1172" s="74"/>
      <c r="AS1172" s="74"/>
      <c r="BD1172" s="74"/>
      <c r="BE1172" s="74"/>
      <c r="BF1172" s="74"/>
      <c r="BG1172" s="74"/>
      <c r="BH1172" s="74"/>
      <c r="BI1172" s="74"/>
    </row>
    <row r="1173" spans="4:61" x14ac:dyDescent="0.3">
      <c r="D1173" s="74"/>
      <c r="E1173" s="74"/>
      <c r="X1173" s="74"/>
      <c r="Y1173" s="74"/>
      <c r="Z1173" s="74"/>
      <c r="AA1173" s="74"/>
      <c r="AB1173" s="74"/>
      <c r="AC1173" s="74"/>
      <c r="AN1173" s="74"/>
      <c r="AO1173" s="74"/>
      <c r="AP1173" s="74"/>
      <c r="AQ1173" s="74"/>
      <c r="AR1173" s="74"/>
      <c r="AS1173" s="74"/>
      <c r="BD1173" s="74"/>
      <c r="BE1173" s="74"/>
      <c r="BF1173" s="74"/>
      <c r="BG1173" s="74"/>
      <c r="BH1173" s="74"/>
      <c r="BI1173" s="74"/>
    </row>
    <row r="1174" spans="4:61" x14ac:dyDescent="0.3">
      <c r="D1174" s="74"/>
      <c r="E1174" s="74"/>
      <c r="X1174" s="74"/>
      <c r="Y1174" s="74"/>
      <c r="Z1174" s="74"/>
      <c r="AA1174" s="74"/>
      <c r="AB1174" s="74"/>
      <c r="AC1174" s="74"/>
      <c r="AN1174" s="74"/>
      <c r="AO1174" s="74"/>
      <c r="AP1174" s="74"/>
      <c r="AQ1174" s="74"/>
      <c r="AR1174" s="74"/>
      <c r="AS1174" s="74"/>
      <c r="BD1174" s="74"/>
      <c r="BE1174" s="74"/>
      <c r="BF1174" s="74"/>
      <c r="BG1174" s="74"/>
      <c r="BH1174" s="74"/>
      <c r="BI1174" s="74"/>
    </row>
    <row r="1175" spans="4:61" x14ac:dyDescent="0.3">
      <c r="D1175" s="74"/>
      <c r="E1175" s="74"/>
      <c r="X1175" s="74"/>
      <c r="Y1175" s="74"/>
      <c r="Z1175" s="74"/>
      <c r="AA1175" s="74"/>
      <c r="AB1175" s="74"/>
      <c r="AC1175" s="74"/>
      <c r="AN1175" s="74"/>
      <c r="AO1175" s="74"/>
      <c r="AP1175" s="74"/>
      <c r="AQ1175" s="74"/>
      <c r="AR1175" s="74"/>
      <c r="AS1175" s="74"/>
      <c r="BD1175" s="74"/>
      <c r="BE1175" s="74"/>
      <c r="BF1175" s="74"/>
      <c r="BG1175" s="74"/>
      <c r="BH1175" s="74"/>
      <c r="BI1175" s="74"/>
    </row>
    <row r="1176" spans="4:61" x14ac:dyDescent="0.3">
      <c r="D1176" s="74"/>
      <c r="E1176" s="74"/>
      <c r="X1176" s="74"/>
      <c r="Y1176" s="74"/>
      <c r="Z1176" s="74"/>
      <c r="AA1176" s="74"/>
      <c r="AB1176" s="74"/>
      <c r="AC1176" s="74"/>
      <c r="AN1176" s="74"/>
      <c r="AO1176" s="74"/>
      <c r="AP1176" s="74"/>
      <c r="AQ1176" s="74"/>
      <c r="AR1176" s="74"/>
      <c r="AS1176" s="74"/>
      <c r="BD1176" s="74"/>
      <c r="BE1176" s="74"/>
      <c r="BF1176" s="74"/>
      <c r="BG1176" s="74"/>
      <c r="BH1176" s="74"/>
      <c r="BI1176" s="74"/>
    </row>
    <row r="1177" spans="4:61" x14ac:dyDescent="0.3">
      <c r="D1177" s="74"/>
      <c r="E1177" s="74"/>
      <c r="X1177" s="74"/>
      <c r="Y1177" s="74"/>
      <c r="Z1177" s="74"/>
      <c r="AA1177" s="74"/>
      <c r="AB1177" s="74"/>
      <c r="AC1177" s="74"/>
      <c r="AN1177" s="74"/>
      <c r="AO1177" s="74"/>
      <c r="AP1177" s="74"/>
      <c r="AQ1177" s="74"/>
      <c r="AR1177" s="74"/>
      <c r="AS1177" s="74"/>
      <c r="BD1177" s="74"/>
      <c r="BE1177" s="74"/>
      <c r="BF1177" s="74"/>
      <c r="BG1177" s="74"/>
      <c r="BH1177" s="74"/>
      <c r="BI1177" s="74"/>
    </row>
    <row r="1178" spans="4:61" x14ac:dyDescent="0.3">
      <c r="D1178" s="74"/>
      <c r="E1178" s="74"/>
      <c r="X1178" s="74"/>
      <c r="Y1178" s="74"/>
      <c r="Z1178" s="74"/>
      <c r="AA1178" s="74"/>
      <c r="AB1178" s="74"/>
      <c r="AC1178" s="74"/>
      <c r="AN1178" s="74"/>
      <c r="AO1178" s="74"/>
      <c r="AP1178" s="74"/>
      <c r="AQ1178" s="74"/>
      <c r="AR1178" s="74"/>
      <c r="AS1178" s="74"/>
      <c r="BD1178" s="74"/>
      <c r="BE1178" s="74"/>
      <c r="BF1178" s="74"/>
      <c r="BG1178" s="74"/>
      <c r="BH1178" s="74"/>
      <c r="BI1178" s="74"/>
    </row>
    <row r="1179" spans="4:61" x14ac:dyDescent="0.3">
      <c r="D1179" s="74"/>
      <c r="E1179" s="74"/>
      <c r="X1179" s="74"/>
      <c r="Y1179" s="74"/>
      <c r="Z1179" s="74"/>
      <c r="AA1179" s="74"/>
      <c r="AB1179" s="74"/>
      <c r="AC1179" s="74"/>
      <c r="AN1179" s="74"/>
      <c r="AO1179" s="74"/>
      <c r="AP1179" s="74"/>
      <c r="AQ1179" s="74"/>
      <c r="AR1179" s="74"/>
      <c r="AS1179" s="74"/>
      <c r="BD1179" s="74"/>
      <c r="BE1179" s="74"/>
      <c r="BF1179" s="74"/>
      <c r="BG1179" s="74"/>
      <c r="BH1179" s="74"/>
      <c r="BI1179" s="74"/>
    </row>
    <row r="1180" spans="4:61" x14ac:dyDescent="0.3">
      <c r="D1180" s="74"/>
      <c r="E1180" s="74"/>
      <c r="X1180" s="74"/>
      <c r="Y1180" s="74"/>
      <c r="Z1180" s="74"/>
      <c r="AA1180" s="74"/>
      <c r="AB1180" s="74"/>
      <c r="AC1180" s="74"/>
      <c r="AN1180" s="74"/>
      <c r="AO1180" s="74"/>
      <c r="AP1180" s="74"/>
      <c r="AQ1180" s="74"/>
      <c r="AR1180" s="74"/>
      <c r="AS1180" s="74"/>
      <c r="BD1180" s="74"/>
      <c r="BE1180" s="74"/>
      <c r="BF1180" s="74"/>
      <c r="BG1180" s="74"/>
      <c r="BH1180" s="74"/>
      <c r="BI1180" s="74"/>
    </row>
    <row r="1181" spans="4:61" x14ac:dyDescent="0.3">
      <c r="D1181" s="74"/>
      <c r="E1181" s="74"/>
      <c r="X1181" s="74"/>
      <c r="Y1181" s="74"/>
      <c r="Z1181" s="74"/>
      <c r="AA1181" s="74"/>
      <c r="AB1181" s="74"/>
      <c r="AC1181" s="74"/>
      <c r="AN1181" s="74"/>
      <c r="AO1181" s="74"/>
      <c r="AP1181" s="74"/>
      <c r="AQ1181" s="74"/>
      <c r="AR1181" s="74"/>
      <c r="AS1181" s="74"/>
      <c r="BD1181" s="74"/>
      <c r="BE1181" s="74"/>
      <c r="BF1181" s="74"/>
      <c r="BG1181" s="74"/>
      <c r="BH1181" s="74"/>
      <c r="BI1181" s="74"/>
    </row>
    <row r="1182" spans="4:61" x14ac:dyDescent="0.3">
      <c r="D1182" s="74"/>
      <c r="E1182" s="74"/>
      <c r="X1182" s="74"/>
      <c r="Y1182" s="74"/>
      <c r="Z1182" s="74"/>
      <c r="AA1182" s="74"/>
      <c r="AB1182" s="74"/>
      <c r="AC1182" s="74"/>
      <c r="AN1182" s="74"/>
      <c r="AO1182" s="74"/>
      <c r="AP1182" s="74"/>
      <c r="AQ1182" s="74"/>
      <c r="AR1182" s="74"/>
      <c r="AS1182" s="74"/>
      <c r="BD1182" s="74"/>
      <c r="BE1182" s="74"/>
      <c r="BF1182" s="74"/>
      <c r="BG1182" s="74"/>
      <c r="BH1182" s="74"/>
      <c r="BI1182" s="74"/>
    </row>
    <row r="1183" spans="4:61" x14ac:dyDescent="0.3">
      <c r="D1183" s="74"/>
      <c r="E1183" s="74"/>
      <c r="X1183" s="74"/>
      <c r="Y1183" s="74"/>
      <c r="Z1183" s="74"/>
      <c r="AA1183" s="74"/>
      <c r="AB1183" s="74"/>
      <c r="AC1183" s="74"/>
      <c r="AN1183" s="74"/>
      <c r="AO1183" s="74"/>
      <c r="AP1183" s="74"/>
      <c r="AQ1183" s="74"/>
      <c r="AR1183" s="74"/>
      <c r="AS1183" s="74"/>
      <c r="BD1183" s="74"/>
      <c r="BE1183" s="74"/>
      <c r="BF1183" s="74"/>
      <c r="BG1183" s="74"/>
      <c r="BH1183" s="74"/>
      <c r="BI1183" s="74"/>
    </row>
    <row r="1184" spans="4:61" x14ac:dyDescent="0.3">
      <c r="D1184" s="74"/>
      <c r="E1184" s="74"/>
      <c r="X1184" s="74"/>
      <c r="Y1184" s="74"/>
      <c r="Z1184" s="74"/>
      <c r="AA1184" s="74"/>
      <c r="AB1184" s="74"/>
      <c r="AC1184" s="74"/>
      <c r="AN1184" s="74"/>
      <c r="AO1184" s="74"/>
      <c r="AP1184" s="74"/>
      <c r="AQ1184" s="74"/>
      <c r="AR1184" s="74"/>
      <c r="AS1184" s="74"/>
      <c r="BD1184" s="74"/>
      <c r="BE1184" s="74"/>
      <c r="BF1184" s="74"/>
      <c r="BG1184" s="74"/>
      <c r="BH1184" s="74"/>
      <c r="BI1184" s="74"/>
    </row>
    <row r="1185" spans="4:61" x14ac:dyDescent="0.3">
      <c r="D1185" s="74"/>
      <c r="E1185" s="74"/>
      <c r="X1185" s="74"/>
      <c r="Y1185" s="74"/>
      <c r="Z1185" s="74"/>
      <c r="AA1185" s="74"/>
      <c r="AB1185" s="74"/>
      <c r="AC1185" s="74"/>
      <c r="AN1185" s="74"/>
      <c r="AO1185" s="74"/>
      <c r="AP1185" s="74"/>
      <c r="AQ1185" s="74"/>
      <c r="AR1185" s="74"/>
      <c r="AS1185" s="74"/>
      <c r="BD1185" s="74"/>
      <c r="BE1185" s="74"/>
      <c r="BF1185" s="74"/>
      <c r="BG1185" s="74"/>
      <c r="BH1185" s="74"/>
      <c r="BI1185" s="74"/>
    </row>
    <row r="1186" spans="4:61" x14ac:dyDescent="0.3">
      <c r="D1186" s="74"/>
      <c r="E1186" s="74"/>
      <c r="X1186" s="74"/>
      <c r="Y1186" s="74"/>
      <c r="Z1186" s="74"/>
      <c r="AA1186" s="74"/>
      <c r="AB1186" s="74"/>
      <c r="AC1186" s="74"/>
      <c r="AN1186" s="74"/>
      <c r="AO1186" s="74"/>
      <c r="AP1186" s="74"/>
      <c r="AQ1186" s="74"/>
      <c r="AR1186" s="74"/>
      <c r="AS1186" s="74"/>
      <c r="BD1186" s="74"/>
      <c r="BE1186" s="74"/>
      <c r="BF1186" s="74"/>
      <c r="BG1186" s="74"/>
      <c r="BH1186" s="74"/>
      <c r="BI1186" s="74"/>
    </row>
    <row r="1187" spans="4:61" x14ac:dyDescent="0.3">
      <c r="D1187" s="74"/>
      <c r="E1187" s="74"/>
      <c r="X1187" s="74"/>
      <c r="Y1187" s="74"/>
      <c r="Z1187" s="74"/>
      <c r="AA1187" s="74"/>
      <c r="AB1187" s="74"/>
      <c r="AC1187" s="74"/>
      <c r="AN1187" s="74"/>
      <c r="AO1187" s="74"/>
      <c r="AP1187" s="74"/>
      <c r="AQ1187" s="74"/>
      <c r="AR1187" s="74"/>
      <c r="AS1187" s="74"/>
      <c r="BD1187" s="74"/>
      <c r="BE1187" s="74"/>
      <c r="BF1187" s="74"/>
      <c r="BG1187" s="74"/>
      <c r="BH1187" s="74"/>
      <c r="BI1187" s="74"/>
    </row>
    <row r="1188" spans="4:61" x14ac:dyDescent="0.3">
      <c r="D1188" s="74"/>
      <c r="E1188" s="74"/>
      <c r="X1188" s="74"/>
      <c r="Y1188" s="74"/>
      <c r="Z1188" s="74"/>
      <c r="AA1188" s="74"/>
      <c r="AB1188" s="74"/>
      <c r="AC1188" s="74"/>
      <c r="AN1188" s="74"/>
      <c r="AO1188" s="74"/>
      <c r="AP1188" s="74"/>
      <c r="AQ1188" s="74"/>
      <c r="AR1188" s="74"/>
      <c r="AS1188" s="74"/>
      <c r="BD1188" s="74"/>
      <c r="BE1188" s="74"/>
      <c r="BF1188" s="74"/>
      <c r="BG1188" s="74"/>
      <c r="BH1188" s="74"/>
      <c r="BI1188" s="74"/>
    </row>
    <row r="1189" spans="4:61" x14ac:dyDescent="0.3">
      <c r="D1189" s="74"/>
      <c r="E1189" s="74"/>
      <c r="X1189" s="74"/>
      <c r="Y1189" s="74"/>
      <c r="Z1189" s="74"/>
      <c r="AA1189" s="74"/>
      <c r="AB1189" s="74"/>
      <c r="AC1189" s="74"/>
      <c r="AN1189" s="74"/>
      <c r="AO1189" s="74"/>
      <c r="AP1189" s="74"/>
      <c r="AQ1189" s="74"/>
      <c r="AR1189" s="74"/>
      <c r="AS1189" s="74"/>
      <c r="BD1189" s="74"/>
      <c r="BE1189" s="74"/>
      <c r="BF1189" s="74"/>
      <c r="BG1189" s="74"/>
      <c r="BH1189" s="74"/>
      <c r="BI1189" s="74"/>
    </row>
    <row r="1190" spans="4:61" x14ac:dyDescent="0.3">
      <c r="D1190" s="74"/>
      <c r="E1190" s="74"/>
      <c r="X1190" s="74"/>
      <c r="Y1190" s="74"/>
      <c r="Z1190" s="74"/>
      <c r="AA1190" s="74"/>
      <c r="AB1190" s="74"/>
      <c r="AC1190" s="74"/>
      <c r="AN1190" s="74"/>
      <c r="AO1190" s="74"/>
      <c r="AP1190" s="74"/>
      <c r="AQ1190" s="74"/>
      <c r="AR1190" s="74"/>
      <c r="AS1190" s="74"/>
      <c r="BD1190" s="74"/>
      <c r="BE1190" s="74"/>
      <c r="BF1190" s="74"/>
      <c r="BG1190" s="74"/>
      <c r="BH1190" s="74"/>
      <c r="BI1190" s="74"/>
    </row>
    <row r="1191" spans="4:61" x14ac:dyDescent="0.3">
      <c r="D1191" s="74"/>
      <c r="E1191" s="74"/>
      <c r="X1191" s="74"/>
      <c r="Y1191" s="74"/>
      <c r="Z1191" s="74"/>
      <c r="AA1191" s="74"/>
      <c r="AB1191" s="74"/>
      <c r="AC1191" s="74"/>
      <c r="AN1191" s="74"/>
      <c r="AO1191" s="74"/>
      <c r="AP1191" s="74"/>
      <c r="AQ1191" s="74"/>
      <c r="AR1191" s="74"/>
      <c r="AS1191" s="74"/>
      <c r="BD1191" s="74"/>
      <c r="BE1191" s="74"/>
      <c r="BF1191" s="74"/>
      <c r="BG1191" s="74"/>
      <c r="BH1191" s="74"/>
      <c r="BI1191" s="74"/>
    </row>
    <row r="1192" spans="4:61" x14ac:dyDescent="0.3">
      <c r="D1192" s="74"/>
      <c r="E1192" s="74"/>
      <c r="X1192" s="74"/>
      <c r="Y1192" s="74"/>
      <c r="Z1192" s="74"/>
      <c r="AA1192" s="74"/>
      <c r="AB1192" s="74"/>
      <c r="AC1192" s="74"/>
      <c r="AN1192" s="74"/>
      <c r="AO1192" s="74"/>
      <c r="AP1192" s="74"/>
      <c r="AQ1192" s="74"/>
      <c r="AR1192" s="74"/>
      <c r="AS1192" s="74"/>
      <c r="BD1192" s="74"/>
      <c r="BE1192" s="74"/>
      <c r="BF1192" s="74"/>
      <c r="BG1192" s="74"/>
      <c r="BH1192" s="74"/>
      <c r="BI1192" s="74"/>
    </row>
    <row r="1193" spans="4:61" x14ac:dyDescent="0.3">
      <c r="D1193" s="74"/>
      <c r="E1193" s="74"/>
      <c r="X1193" s="74"/>
      <c r="Y1193" s="74"/>
      <c r="Z1193" s="74"/>
      <c r="AA1193" s="74"/>
      <c r="AB1193" s="74"/>
      <c r="AC1193" s="74"/>
      <c r="AN1193" s="74"/>
      <c r="AO1193" s="74"/>
      <c r="AP1193" s="74"/>
      <c r="AQ1193" s="74"/>
      <c r="AR1193" s="74"/>
      <c r="AS1193" s="74"/>
      <c r="BD1193" s="74"/>
      <c r="BE1193" s="74"/>
      <c r="BF1193" s="74"/>
      <c r="BG1193" s="74"/>
      <c r="BH1193" s="74"/>
      <c r="BI1193" s="74"/>
    </row>
    <row r="1194" spans="4:61" x14ac:dyDescent="0.3">
      <c r="D1194" s="74"/>
      <c r="E1194" s="74"/>
      <c r="X1194" s="74"/>
      <c r="Y1194" s="74"/>
      <c r="Z1194" s="74"/>
      <c r="AA1194" s="74"/>
      <c r="AB1194" s="74"/>
      <c r="AC1194" s="74"/>
      <c r="AN1194" s="74"/>
      <c r="AO1194" s="74"/>
      <c r="AP1194" s="74"/>
      <c r="AQ1194" s="74"/>
      <c r="AR1194" s="74"/>
      <c r="AS1194" s="74"/>
      <c r="BD1194" s="74"/>
      <c r="BE1194" s="74"/>
      <c r="BF1194" s="74"/>
      <c r="BG1194" s="74"/>
      <c r="BH1194" s="74"/>
      <c r="BI1194" s="74"/>
    </row>
    <row r="1195" spans="4:61" x14ac:dyDescent="0.3">
      <c r="D1195" s="74"/>
      <c r="E1195" s="74"/>
      <c r="X1195" s="74"/>
      <c r="Y1195" s="74"/>
      <c r="Z1195" s="74"/>
      <c r="AA1195" s="74"/>
      <c r="AB1195" s="74"/>
      <c r="AC1195" s="74"/>
      <c r="AN1195" s="74"/>
      <c r="AO1195" s="74"/>
      <c r="AP1195" s="74"/>
      <c r="AQ1195" s="74"/>
      <c r="AR1195" s="74"/>
      <c r="AS1195" s="74"/>
      <c r="BD1195" s="74"/>
      <c r="BE1195" s="74"/>
      <c r="BF1195" s="74"/>
      <c r="BG1195" s="74"/>
      <c r="BH1195" s="74"/>
      <c r="BI1195" s="74"/>
    </row>
    <row r="1196" spans="4:61" x14ac:dyDescent="0.3">
      <c r="D1196" s="74"/>
      <c r="E1196" s="74"/>
      <c r="X1196" s="74"/>
      <c r="Y1196" s="74"/>
      <c r="Z1196" s="74"/>
      <c r="AA1196" s="74"/>
      <c r="AB1196" s="74"/>
      <c r="AC1196" s="74"/>
      <c r="AN1196" s="74"/>
      <c r="AO1196" s="74"/>
      <c r="AP1196" s="74"/>
      <c r="AQ1196" s="74"/>
      <c r="AR1196" s="74"/>
      <c r="AS1196" s="74"/>
      <c r="BD1196" s="74"/>
      <c r="BE1196" s="74"/>
      <c r="BF1196" s="74"/>
      <c r="BG1196" s="74"/>
      <c r="BH1196" s="74"/>
      <c r="BI1196" s="74"/>
    </row>
    <row r="1197" spans="4:61" x14ac:dyDescent="0.3">
      <c r="D1197" s="74"/>
      <c r="E1197" s="74"/>
      <c r="X1197" s="74"/>
      <c r="Y1197" s="74"/>
      <c r="Z1197" s="74"/>
      <c r="AA1197" s="74"/>
      <c r="AB1197" s="74"/>
      <c r="AC1197" s="74"/>
      <c r="AN1197" s="74"/>
      <c r="AO1197" s="74"/>
      <c r="AP1197" s="74"/>
      <c r="AQ1197" s="74"/>
      <c r="AR1197" s="74"/>
      <c r="AS1197" s="74"/>
      <c r="BD1197" s="74"/>
      <c r="BE1197" s="74"/>
      <c r="BF1197" s="74"/>
      <c r="BG1197" s="74"/>
      <c r="BH1197" s="74"/>
      <c r="BI1197" s="74"/>
    </row>
    <row r="1198" spans="4:61" x14ac:dyDescent="0.3">
      <c r="D1198" s="74"/>
      <c r="E1198" s="74"/>
      <c r="X1198" s="74"/>
      <c r="Y1198" s="74"/>
      <c r="Z1198" s="74"/>
      <c r="AA1198" s="74"/>
      <c r="AB1198" s="74"/>
      <c r="AC1198" s="74"/>
      <c r="AN1198" s="74"/>
      <c r="AO1198" s="74"/>
      <c r="AP1198" s="74"/>
      <c r="AQ1198" s="74"/>
      <c r="AR1198" s="74"/>
      <c r="AS1198" s="74"/>
      <c r="BD1198" s="74"/>
      <c r="BE1198" s="74"/>
      <c r="BF1198" s="74"/>
      <c r="BG1198" s="74"/>
      <c r="BH1198" s="74"/>
      <c r="BI1198" s="74"/>
    </row>
    <row r="1199" spans="4:61" x14ac:dyDescent="0.3">
      <c r="D1199" s="74"/>
      <c r="E1199" s="74"/>
      <c r="X1199" s="74"/>
      <c r="Y1199" s="74"/>
      <c r="Z1199" s="74"/>
      <c r="AA1199" s="74"/>
      <c r="AB1199" s="74"/>
      <c r="AC1199" s="74"/>
      <c r="AN1199" s="74"/>
      <c r="AO1199" s="74"/>
      <c r="AP1199" s="74"/>
      <c r="AQ1199" s="74"/>
      <c r="AR1199" s="74"/>
      <c r="AS1199" s="74"/>
      <c r="BD1199" s="74"/>
      <c r="BE1199" s="74"/>
      <c r="BF1199" s="74"/>
      <c r="BG1199" s="74"/>
      <c r="BH1199" s="74"/>
      <c r="BI1199" s="74"/>
    </row>
    <row r="1200" spans="4:61" x14ac:dyDescent="0.3">
      <c r="D1200" s="74"/>
      <c r="E1200" s="74"/>
      <c r="X1200" s="74"/>
      <c r="Y1200" s="74"/>
      <c r="Z1200" s="74"/>
      <c r="AA1200" s="74"/>
      <c r="AB1200" s="74"/>
      <c r="AC1200" s="74"/>
      <c r="AN1200" s="74"/>
      <c r="AO1200" s="74"/>
      <c r="AP1200" s="74"/>
      <c r="AQ1200" s="74"/>
      <c r="AR1200" s="74"/>
      <c r="AS1200" s="74"/>
      <c r="BD1200" s="74"/>
      <c r="BE1200" s="74"/>
      <c r="BF1200" s="74"/>
      <c r="BG1200" s="74"/>
      <c r="BH1200" s="74"/>
      <c r="BI1200" s="74"/>
    </row>
    <row r="1201" spans="4:61" x14ac:dyDescent="0.3">
      <c r="D1201" s="74"/>
      <c r="E1201" s="74"/>
      <c r="X1201" s="74"/>
      <c r="Y1201" s="74"/>
      <c r="Z1201" s="74"/>
      <c r="AA1201" s="74"/>
      <c r="AB1201" s="74"/>
      <c r="AC1201" s="74"/>
      <c r="AN1201" s="74"/>
      <c r="AO1201" s="74"/>
      <c r="AP1201" s="74"/>
      <c r="AQ1201" s="74"/>
      <c r="AR1201" s="74"/>
      <c r="AS1201" s="74"/>
      <c r="BD1201" s="74"/>
      <c r="BE1201" s="74"/>
      <c r="BF1201" s="74"/>
      <c r="BG1201" s="74"/>
      <c r="BH1201" s="74"/>
      <c r="BI1201" s="74"/>
    </row>
    <row r="1202" spans="4:61" x14ac:dyDescent="0.3">
      <c r="D1202" s="74"/>
      <c r="E1202" s="74"/>
      <c r="X1202" s="74"/>
      <c r="Y1202" s="74"/>
      <c r="Z1202" s="74"/>
      <c r="AA1202" s="74"/>
      <c r="AB1202" s="74"/>
      <c r="AC1202" s="74"/>
      <c r="AN1202" s="74"/>
      <c r="AO1202" s="74"/>
      <c r="AP1202" s="74"/>
      <c r="AQ1202" s="74"/>
      <c r="AR1202" s="74"/>
      <c r="AS1202" s="74"/>
      <c r="BD1202" s="74"/>
      <c r="BE1202" s="74"/>
      <c r="BF1202" s="74"/>
      <c r="BG1202" s="74"/>
      <c r="BH1202" s="74"/>
      <c r="BI1202" s="74"/>
    </row>
    <row r="1203" spans="4:61" x14ac:dyDescent="0.3">
      <c r="D1203" s="74"/>
      <c r="E1203" s="74"/>
      <c r="X1203" s="74"/>
      <c r="Y1203" s="74"/>
      <c r="Z1203" s="74"/>
      <c r="AA1203" s="74"/>
      <c r="AB1203" s="74"/>
      <c r="AC1203" s="74"/>
      <c r="AN1203" s="74"/>
      <c r="AO1203" s="74"/>
      <c r="AP1203" s="74"/>
      <c r="AQ1203" s="74"/>
      <c r="AR1203" s="74"/>
      <c r="AS1203" s="74"/>
      <c r="BD1203" s="74"/>
      <c r="BE1203" s="74"/>
      <c r="BF1203" s="74"/>
      <c r="BG1203" s="74"/>
      <c r="BH1203" s="74"/>
      <c r="BI1203" s="74"/>
    </row>
    <row r="1204" spans="4:61" x14ac:dyDescent="0.3">
      <c r="D1204" s="74"/>
      <c r="E1204" s="74"/>
      <c r="X1204" s="74"/>
      <c r="Y1204" s="74"/>
      <c r="Z1204" s="74"/>
      <c r="AA1204" s="74"/>
      <c r="AB1204" s="74"/>
      <c r="AC1204" s="74"/>
      <c r="AN1204" s="74"/>
      <c r="AO1204" s="74"/>
      <c r="AP1204" s="74"/>
      <c r="AQ1204" s="74"/>
      <c r="AR1204" s="74"/>
      <c r="AS1204" s="74"/>
      <c r="BD1204" s="74"/>
      <c r="BE1204" s="74"/>
      <c r="BF1204" s="74"/>
      <c r="BG1204" s="74"/>
      <c r="BH1204" s="74"/>
      <c r="BI1204" s="74"/>
    </row>
    <row r="1205" spans="4:61" x14ac:dyDescent="0.3">
      <c r="D1205" s="74"/>
      <c r="E1205" s="74"/>
      <c r="X1205" s="74"/>
      <c r="Y1205" s="74"/>
      <c r="Z1205" s="74"/>
      <c r="AA1205" s="74"/>
      <c r="AB1205" s="74"/>
      <c r="AC1205" s="74"/>
      <c r="AN1205" s="74"/>
      <c r="AO1205" s="74"/>
      <c r="AP1205" s="74"/>
      <c r="AQ1205" s="74"/>
      <c r="AR1205" s="74"/>
      <c r="AS1205" s="74"/>
      <c r="BD1205" s="74"/>
      <c r="BE1205" s="74"/>
      <c r="BF1205" s="74"/>
      <c r="BG1205" s="74"/>
      <c r="BH1205" s="74"/>
      <c r="BI1205" s="74"/>
    </row>
    <row r="1206" spans="4:61" x14ac:dyDescent="0.3">
      <c r="D1206" s="74"/>
      <c r="E1206" s="74"/>
      <c r="X1206" s="74"/>
      <c r="Y1206" s="74"/>
      <c r="Z1206" s="74"/>
      <c r="AA1206" s="74"/>
      <c r="AB1206" s="74"/>
      <c r="AC1206" s="74"/>
      <c r="AN1206" s="74"/>
      <c r="AO1206" s="74"/>
      <c r="AP1206" s="74"/>
      <c r="AQ1206" s="74"/>
      <c r="AR1206" s="74"/>
      <c r="AS1206" s="74"/>
      <c r="BD1206" s="74"/>
      <c r="BE1206" s="74"/>
      <c r="BF1206" s="74"/>
      <c r="BG1206" s="74"/>
      <c r="BH1206" s="74"/>
      <c r="BI1206" s="74"/>
    </row>
    <row r="1207" spans="4:61" x14ac:dyDescent="0.3">
      <c r="D1207" s="74"/>
      <c r="E1207" s="74"/>
      <c r="X1207" s="74"/>
      <c r="Y1207" s="74"/>
      <c r="Z1207" s="74"/>
      <c r="AA1207" s="74"/>
      <c r="AB1207" s="74"/>
      <c r="AC1207" s="74"/>
      <c r="AN1207" s="74"/>
      <c r="AO1207" s="74"/>
      <c r="AP1207" s="74"/>
      <c r="AQ1207" s="74"/>
      <c r="AR1207" s="74"/>
      <c r="AS1207" s="74"/>
      <c r="BD1207" s="74"/>
      <c r="BE1207" s="74"/>
      <c r="BF1207" s="74"/>
      <c r="BG1207" s="74"/>
      <c r="BH1207" s="74"/>
      <c r="BI1207" s="74"/>
    </row>
    <row r="1208" spans="4:61" x14ac:dyDescent="0.3">
      <c r="D1208" s="74"/>
      <c r="E1208" s="74"/>
      <c r="X1208" s="74"/>
      <c r="Y1208" s="74"/>
      <c r="Z1208" s="74"/>
      <c r="AA1208" s="74"/>
      <c r="AB1208" s="74"/>
      <c r="AC1208" s="74"/>
      <c r="AN1208" s="74"/>
      <c r="AO1208" s="74"/>
      <c r="AP1208" s="74"/>
      <c r="AQ1208" s="74"/>
      <c r="AR1208" s="74"/>
      <c r="AS1208" s="74"/>
      <c r="BD1208" s="74"/>
      <c r="BE1208" s="74"/>
      <c r="BF1208" s="74"/>
      <c r="BG1208" s="74"/>
      <c r="BH1208" s="74"/>
      <c r="BI1208" s="74"/>
    </row>
    <row r="1209" spans="4:61" x14ac:dyDescent="0.3">
      <c r="D1209" s="74"/>
      <c r="E1209" s="74"/>
      <c r="X1209" s="74"/>
      <c r="Y1209" s="74"/>
      <c r="Z1209" s="74"/>
      <c r="AA1209" s="74"/>
      <c r="AB1209" s="74"/>
      <c r="AC1209" s="74"/>
      <c r="AN1209" s="74"/>
      <c r="AO1209" s="74"/>
      <c r="AP1209" s="74"/>
      <c r="AQ1209" s="74"/>
      <c r="AR1209" s="74"/>
      <c r="AS1209" s="74"/>
      <c r="BD1209" s="74"/>
      <c r="BE1209" s="74"/>
      <c r="BF1209" s="74"/>
      <c r="BG1209" s="74"/>
      <c r="BH1209" s="74"/>
      <c r="BI1209" s="74"/>
    </row>
    <row r="1210" spans="4:61" x14ac:dyDescent="0.3">
      <c r="D1210" s="74"/>
      <c r="E1210" s="74"/>
      <c r="X1210" s="74"/>
      <c r="Y1210" s="74"/>
      <c r="Z1210" s="74"/>
      <c r="AA1210" s="74"/>
      <c r="AB1210" s="74"/>
      <c r="AC1210" s="74"/>
      <c r="AN1210" s="74"/>
      <c r="AO1210" s="74"/>
      <c r="AP1210" s="74"/>
      <c r="AQ1210" s="74"/>
      <c r="AR1210" s="74"/>
      <c r="AS1210" s="74"/>
      <c r="BD1210" s="74"/>
      <c r="BE1210" s="74"/>
      <c r="BF1210" s="74"/>
      <c r="BG1210" s="74"/>
      <c r="BH1210" s="74"/>
      <c r="BI1210" s="74"/>
    </row>
    <row r="1211" spans="4:61" x14ac:dyDescent="0.3">
      <c r="D1211" s="74"/>
      <c r="E1211" s="74"/>
      <c r="X1211" s="74"/>
      <c r="Y1211" s="74"/>
      <c r="Z1211" s="74"/>
      <c r="AA1211" s="74"/>
      <c r="AB1211" s="74"/>
      <c r="AC1211" s="74"/>
      <c r="AN1211" s="74"/>
      <c r="AO1211" s="74"/>
      <c r="AP1211" s="74"/>
      <c r="AQ1211" s="74"/>
      <c r="AR1211" s="74"/>
      <c r="AS1211" s="74"/>
      <c r="BD1211" s="74"/>
      <c r="BE1211" s="74"/>
      <c r="BF1211" s="74"/>
      <c r="BG1211" s="74"/>
      <c r="BH1211" s="74"/>
      <c r="BI1211" s="74"/>
    </row>
    <row r="1212" spans="4:61" x14ac:dyDescent="0.3">
      <c r="D1212" s="74"/>
      <c r="E1212" s="74"/>
      <c r="X1212" s="74"/>
      <c r="Y1212" s="74"/>
      <c r="Z1212" s="74"/>
      <c r="AA1212" s="74"/>
      <c r="AB1212" s="74"/>
      <c r="AC1212" s="74"/>
      <c r="AN1212" s="74"/>
      <c r="AO1212" s="74"/>
      <c r="AP1212" s="74"/>
      <c r="AQ1212" s="74"/>
      <c r="AR1212" s="74"/>
      <c r="AS1212" s="74"/>
      <c r="BD1212" s="74"/>
      <c r="BE1212" s="74"/>
      <c r="BF1212" s="74"/>
      <c r="BG1212" s="74"/>
      <c r="BH1212" s="74"/>
      <c r="BI1212" s="74"/>
    </row>
    <row r="1213" spans="4:61" x14ac:dyDescent="0.3">
      <c r="D1213" s="74"/>
      <c r="E1213" s="74"/>
      <c r="X1213" s="74"/>
      <c r="Y1213" s="74"/>
      <c r="Z1213" s="74"/>
      <c r="AA1213" s="74"/>
      <c r="AB1213" s="74"/>
      <c r="AC1213" s="74"/>
      <c r="AN1213" s="74"/>
      <c r="AO1213" s="74"/>
      <c r="AP1213" s="74"/>
      <c r="AQ1213" s="74"/>
      <c r="AR1213" s="74"/>
      <c r="AS1213" s="74"/>
      <c r="BD1213" s="74"/>
      <c r="BE1213" s="74"/>
      <c r="BF1213" s="74"/>
      <c r="BG1213" s="74"/>
      <c r="BH1213" s="74"/>
      <c r="BI1213" s="74"/>
    </row>
    <row r="1214" spans="4:61" x14ac:dyDescent="0.3">
      <c r="D1214" s="74"/>
      <c r="E1214" s="74"/>
      <c r="X1214" s="74"/>
      <c r="Y1214" s="74"/>
      <c r="Z1214" s="74"/>
      <c r="AA1214" s="74"/>
      <c r="AB1214" s="74"/>
      <c r="AC1214" s="74"/>
      <c r="AN1214" s="74"/>
      <c r="AO1214" s="74"/>
      <c r="AP1214" s="74"/>
      <c r="AQ1214" s="74"/>
      <c r="AR1214" s="74"/>
      <c r="AS1214" s="74"/>
      <c r="BD1214" s="74"/>
      <c r="BE1214" s="74"/>
      <c r="BF1214" s="74"/>
      <c r="BG1214" s="74"/>
      <c r="BH1214" s="74"/>
      <c r="BI1214" s="74"/>
    </row>
    <row r="1215" spans="4:61" x14ac:dyDescent="0.3">
      <c r="D1215" s="74"/>
      <c r="E1215" s="74"/>
      <c r="X1215" s="74"/>
      <c r="Y1215" s="74"/>
      <c r="Z1215" s="74"/>
      <c r="AA1215" s="74"/>
      <c r="AB1215" s="74"/>
      <c r="AC1215" s="74"/>
      <c r="AN1215" s="74"/>
      <c r="AO1215" s="74"/>
      <c r="AP1215" s="74"/>
      <c r="AQ1215" s="74"/>
      <c r="AR1215" s="74"/>
      <c r="AS1215" s="74"/>
      <c r="BD1215" s="74"/>
      <c r="BE1215" s="74"/>
      <c r="BF1215" s="74"/>
      <c r="BG1215" s="74"/>
      <c r="BH1215" s="74"/>
      <c r="BI1215" s="74"/>
    </row>
    <row r="1216" spans="4:61" x14ac:dyDescent="0.3">
      <c r="D1216" s="74"/>
      <c r="E1216" s="74"/>
      <c r="X1216" s="74"/>
      <c r="Y1216" s="74"/>
      <c r="Z1216" s="74"/>
      <c r="AA1216" s="74"/>
      <c r="AB1216" s="74"/>
      <c r="AC1216" s="74"/>
      <c r="AN1216" s="74"/>
      <c r="AO1216" s="74"/>
      <c r="AP1216" s="74"/>
      <c r="AQ1216" s="74"/>
      <c r="AR1216" s="74"/>
      <c r="AS1216" s="74"/>
      <c r="BD1216" s="74"/>
      <c r="BE1216" s="74"/>
      <c r="BF1216" s="74"/>
      <c r="BG1216" s="74"/>
      <c r="BH1216" s="74"/>
      <c r="BI1216" s="74"/>
    </row>
    <row r="1217" spans="4:61" x14ac:dyDescent="0.3">
      <c r="D1217" s="74"/>
      <c r="E1217" s="74"/>
      <c r="X1217" s="74"/>
      <c r="Y1217" s="74"/>
      <c r="Z1217" s="74"/>
      <c r="AA1217" s="74"/>
      <c r="AB1217" s="74"/>
      <c r="AC1217" s="74"/>
      <c r="AN1217" s="74"/>
      <c r="AO1217" s="74"/>
      <c r="AP1217" s="74"/>
      <c r="AQ1217" s="74"/>
      <c r="AR1217" s="74"/>
      <c r="AS1217" s="74"/>
      <c r="BD1217" s="74"/>
      <c r="BE1217" s="74"/>
      <c r="BF1217" s="74"/>
      <c r="BG1217" s="74"/>
      <c r="BH1217" s="74"/>
      <c r="BI1217" s="74"/>
    </row>
    <row r="1218" spans="4:61" x14ac:dyDescent="0.3">
      <c r="D1218" s="74"/>
      <c r="E1218" s="74"/>
      <c r="X1218" s="74"/>
      <c r="Y1218" s="74"/>
      <c r="Z1218" s="74"/>
      <c r="AA1218" s="74"/>
      <c r="AB1218" s="74"/>
      <c r="AC1218" s="74"/>
      <c r="AN1218" s="74"/>
      <c r="AO1218" s="74"/>
      <c r="AP1218" s="74"/>
      <c r="AQ1218" s="74"/>
      <c r="AR1218" s="74"/>
      <c r="AS1218" s="74"/>
      <c r="BD1218" s="74"/>
      <c r="BE1218" s="74"/>
      <c r="BF1218" s="74"/>
      <c r="BG1218" s="74"/>
      <c r="BH1218" s="74"/>
      <c r="BI1218" s="74"/>
    </row>
    <row r="1219" spans="4:61" x14ac:dyDescent="0.3">
      <c r="D1219" s="74"/>
      <c r="E1219" s="74"/>
      <c r="X1219" s="74"/>
      <c r="Y1219" s="74"/>
      <c r="Z1219" s="74"/>
      <c r="AA1219" s="74"/>
      <c r="AB1219" s="74"/>
      <c r="AC1219" s="74"/>
      <c r="AN1219" s="74"/>
      <c r="AO1219" s="74"/>
      <c r="AP1219" s="74"/>
      <c r="AQ1219" s="74"/>
      <c r="AR1219" s="74"/>
      <c r="AS1219" s="74"/>
      <c r="BD1219" s="74"/>
      <c r="BE1219" s="74"/>
      <c r="BF1219" s="74"/>
      <c r="BG1219" s="74"/>
      <c r="BH1219" s="74"/>
      <c r="BI1219" s="74"/>
    </row>
    <row r="1220" spans="4:61" x14ac:dyDescent="0.3">
      <c r="D1220" s="74"/>
      <c r="E1220" s="74"/>
      <c r="X1220" s="74"/>
      <c r="Y1220" s="74"/>
      <c r="Z1220" s="74"/>
      <c r="AA1220" s="74"/>
      <c r="AB1220" s="74"/>
      <c r="AC1220" s="74"/>
      <c r="AN1220" s="74"/>
      <c r="AO1220" s="74"/>
      <c r="AP1220" s="74"/>
      <c r="AQ1220" s="74"/>
      <c r="AR1220" s="74"/>
      <c r="AS1220" s="74"/>
      <c r="BD1220" s="74"/>
      <c r="BE1220" s="74"/>
      <c r="BF1220" s="74"/>
      <c r="BG1220" s="74"/>
      <c r="BH1220" s="74"/>
      <c r="BI1220" s="74"/>
    </row>
    <row r="1221" spans="4:61" x14ac:dyDescent="0.3">
      <c r="D1221" s="74"/>
      <c r="E1221" s="74"/>
      <c r="X1221" s="74"/>
      <c r="Y1221" s="74"/>
      <c r="Z1221" s="74"/>
      <c r="AA1221" s="74"/>
      <c r="AB1221" s="74"/>
      <c r="AC1221" s="74"/>
      <c r="AN1221" s="74"/>
      <c r="AO1221" s="74"/>
      <c r="AP1221" s="74"/>
      <c r="AQ1221" s="74"/>
      <c r="AR1221" s="74"/>
      <c r="AS1221" s="74"/>
      <c r="BD1221" s="74"/>
      <c r="BE1221" s="74"/>
      <c r="BF1221" s="74"/>
      <c r="BG1221" s="74"/>
      <c r="BH1221" s="74"/>
      <c r="BI1221" s="74"/>
    </row>
    <row r="1222" spans="4:61" x14ac:dyDescent="0.3">
      <c r="D1222" s="74"/>
      <c r="E1222" s="74"/>
      <c r="X1222" s="74"/>
      <c r="Y1222" s="74"/>
      <c r="Z1222" s="74"/>
      <c r="AA1222" s="74"/>
      <c r="AB1222" s="74"/>
      <c r="AC1222" s="74"/>
      <c r="AN1222" s="74"/>
      <c r="AO1222" s="74"/>
      <c r="AP1222" s="74"/>
      <c r="AQ1222" s="74"/>
      <c r="AR1222" s="74"/>
      <c r="AS1222" s="74"/>
      <c r="BD1222" s="74"/>
      <c r="BE1222" s="74"/>
      <c r="BF1222" s="74"/>
      <c r="BG1222" s="74"/>
      <c r="BH1222" s="74"/>
      <c r="BI1222" s="74"/>
    </row>
    <row r="1223" spans="4:61" x14ac:dyDescent="0.3">
      <c r="D1223" s="74"/>
      <c r="E1223" s="74"/>
      <c r="X1223" s="74"/>
      <c r="Y1223" s="74"/>
      <c r="Z1223" s="74"/>
      <c r="AA1223" s="74"/>
      <c r="AB1223" s="74"/>
      <c r="AC1223" s="74"/>
      <c r="AN1223" s="74"/>
      <c r="AO1223" s="74"/>
      <c r="AP1223" s="74"/>
      <c r="AQ1223" s="74"/>
      <c r="AR1223" s="74"/>
      <c r="AS1223" s="74"/>
      <c r="BD1223" s="74"/>
      <c r="BE1223" s="74"/>
      <c r="BF1223" s="74"/>
      <c r="BG1223" s="74"/>
      <c r="BH1223" s="74"/>
      <c r="BI1223" s="74"/>
    </row>
    <row r="1224" spans="4:61" x14ac:dyDescent="0.3">
      <c r="D1224" s="74"/>
      <c r="E1224" s="74"/>
      <c r="X1224" s="74"/>
      <c r="Y1224" s="74"/>
      <c r="Z1224" s="74"/>
      <c r="AA1224" s="74"/>
      <c r="AB1224" s="74"/>
      <c r="AC1224" s="74"/>
      <c r="AN1224" s="74"/>
      <c r="AO1224" s="74"/>
      <c r="AP1224" s="74"/>
      <c r="AQ1224" s="74"/>
      <c r="AR1224" s="74"/>
      <c r="AS1224" s="74"/>
      <c r="BD1224" s="74"/>
      <c r="BE1224" s="74"/>
      <c r="BF1224" s="74"/>
      <c r="BG1224" s="74"/>
      <c r="BH1224" s="74"/>
      <c r="BI1224" s="74"/>
    </row>
    <row r="1225" spans="4:61" x14ac:dyDescent="0.3">
      <c r="D1225" s="74"/>
      <c r="E1225" s="74"/>
      <c r="X1225" s="74"/>
      <c r="Y1225" s="74"/>
      <c r="Z1225" s="74"/>
      <c r="AA1225" s="74"/>
      <c r="AB1225" s="74"/>
      <c r="AC1225" s="74"/>
      <c r="AN1225" s="74"/>
      <c r="AO1225" s="74"/>
      <c r="AP1225" s="74"/>
      <c r="AQ1225" s="74"/>
      <c r="AR1225" s="74"/>
      <c r="AS1225" s="74"/>
      <c r="BD1225" s="74"/>
      <c r="BE1225" s="74"/>
      <c r="BF1225" s="74"/>
      <c r="BG1225" s="74"/>
      <c r="BH1225" s="74"/>
      <c r="BI1225" s="74"/>
    </row>
    <row r="1226" spans="4:61" x14ac:dyDescent="0.3">
      <c r="D1226" s="74"/>
      <c r="E1226" s="74"/>
      <c r="X1226" s="74"/>
      <c r="Y1226" s="74"/>
      <c r="Z1226" s="74"/>
      <c r="AA1226" s="74"/>
      <c r="AB1226" s="74"/>
      <c r="AC1226" s="74"/>
      <c r="AN1226" s="74"/>
      <c r="AO1226" s="74"/>
      <c r="AP1226" s="74"/>
      <c r="AQ1226" s="74"/>
      <c r="AR1226" s="74"/>
      <c r="AS1226" s="74"/>
      <c r="BD1226" s="74"/>
      <c r="BE1226" s="74"/>
      <c r="BF1226" s="74"/>
      <c r="BG1226" s="74"/>
      <c r="BH1226" s="74"/>
      <c r="BI1226" s="74"/>
    </row>
    <row r="1227" spans="4:61" x14ac:dyDescent="0.3">
      <c r="D1227" s="74"/>
      <c r="E1227" s="74"/>
      <c r="X1227" s="74"/>
      <c r="Y1227" s="74"/>
      <c r="Z1227" s="74"/>
      <c r="AA1227" s="74"/>
      <c r="AB1227" s="74"/>
      <c r="AC1227" s="74"/>
      <c r="AN1227" s="74"/>
      <c r="AO1227" s="74"/>
      <c r="AP1227" s="74"/>
      <c r="AQ1227" s="74"/>
      <c r="AR1227" s="74"/>
      <c r="AS1227" s="74"/>
      <c r="BD1227" s="74"/>
      <c r="BE1227" s="74"/>
      <c r="BF1227" s="74"/>
      <c r="BG1227" s="74"/>
      <c r="BH1227" s="74"/>
      <c r="BI1227" s="74"/>
    </row>
    <row r="1228" spans="4:61" x14ac:dyDescent="0.3">
      <c r="D1228" s="74"/>
      <c r="E1228" s="74"/>
      <c r="X1228" s="74"/>
      <c r="Y1228" s="74"/>
      <c r="Z1228" s="74"/>
      <c r="AA1228" s="74"/>
      <c r="AB1228" s="74"/>
      <c r="AC1228" s="74"/>
      <c r="AN1228" s="74"/>
      <c r="AO1228" s="74"/>
      <c r="AP1228" s="74"/>
      <c r="AQ1228" s="74"/>
      <c r="AR1228" s="74"/>
      <c r="AS1228" s="74"/>
      <c r="BD1228" s="74"/>
      <c r="BE1228" s="74"/>
      <c r="BF1228" s="74"/>
      <c r="BG1228" s="74"/>
      <c r="BH1228" s="74"/>
      <c r="BI1228" s="74"/>
    </row>
    <row r="1229" spans="4:61" x14ac:dyDescent="0.3">
      <c r="D1229" s="74"/>
      <c r="E1229" s="74"/>
      <c r="X1229" s="74"/>
      <c r="Y1229" s="74"/>
      <c r="Z1229" s="74"/>
      <c r="AA1229" s="74"/>
      <c r="AB1229" s="74"/>
      <c r="AC1229" s="74"/>
      <c r="AN1229" s="74"/>
      <c r="AO1229" s="74"/>
      <c r="AP1229" s="74"/>
      <c r="AQ1229" s="74"/>
      <c r="AR1229" s="74"/>
      <c r="AS1229" s="74"/>
      <c r="BD1229" s="74"/>
      <c r="BE1229" s="74"/>
      <c r="BF1229" s="74"/>
      <c r="BG1229" s="74"/>
      <c r="BH1229" s="74"/>
      <c r="BI1229" s="74"/>
    </row>
    <row r="1230" spans="4:61" x14ac:dyDescent="0.3">
      <c r="D1230" s="74"/>
      <c r="E1230" s="74"/>
      <c r="X1230" s="74"/>
      <c r="Y1230" s="74"/>
      <c r="Z1230" s="74"/>
      <c r="AA1230" s="74"/>
      <c r="AB1230" s="74"/>
      <c r="AC1230" s="74"/>
      <c r="AN1230" s="74"/>
      <c r="AO1230" s="74"/>
      <c r="AP1230" s="74"/>
      <c r="AQ1230" s="74"/>
      <c r="AR1230" s="74"/>
      <c r="AS1230" s="74"/>
      <c r="BD1230" s="74"/>
      <c r="BE1230" s="74"/>
      <c r="BF1230" s="74"/>
      <c r="BG1230" s="74"/>
      <c r="BH1230" s="74"/>
      <c r="BI1230" s="74"/>
    </row>
    <row r="1231" spans="4:61" x14ac:dyDescent="0.3">
      <c r="D1231" s="74"/>
      <c r="E1231" s="74"/>
      <c r="X1231" s="74"/>
      <c r="Y1231" s="74"/>
      <c r="Z1231" s="74"/>
      <c r="AA1231" s="74"/>
      <c r="AB1231" s="74"/>
      <c r="AC1231" s="74"/>
      <c r="AN1231" s="74"/>
      <c r="AO1231" s="74"/>
      <c r="AP1231" s="74"/>
      <c r="AQ1231" s="74"/>
      <c r="AR1231" s="74"/>
      <c r="AS1231" s="74"/>
      <c r="BD1231" s="74"/>
      <c r="BE1231" s="74"/>
      <c r="BF1231" s="74"/>
      <c r="BG1231" s="74"/>
      <c r="BH1231" s="74"/>
      <c r="BI1231" s="74"/>
    </row>
    <row r="1232" spans="4:61" x14ac:dyDescent="0.3">
      <c r="D1232" s="74"/>
      <c r="E1232" s="74"/>
      <c r="X1232" s="74"/>
      <c r="Y1232" s="74"/>
      <c r="Z1232" s="74"/>
      <c r="AA1232" s="74"/>
      <c r="AB1232" s="74"/>
      <c r="AC1232" s="74"/>
      <c r="AN1232" s="74"/>
      <c r="AO1232" s="74"/>
      <c r="AP1232" s="74"/>
      <c r="AQ1232" s="74"/>
      <c r="AR1232" s="74"/>
      <c r="AS1232" s="74"/>
      <c r="BD1232" s="74"/>
      <c r="BE1232" s="74"/>
      <c r="BF1232" s="74"/>
      <c r="BG1232" s="74"/>
      <c r="BH1232" s="74"/>
      <c r="BI1232" s="74"/>
    </row>
    <row r="1233" spans="4:61" x14ac:dyDescent="0.3">
      <c r="D1233" s="74"/>
      <c r="E1233" s="74"/>
      <c r="X1233" s="74"/>
      <c r="Y1233" s="74"/>
      <c r="Z1233" s="74"/>
      <c r="AA1233" s="74"/>
      <c r="AB1233" s="74"/>
      <c r="AC1233" s="74"/>
      <c r="AN1233" s="74"/>
      <c r="AO1233" s="74"/>
      <c r="AP1233" s="74"/>
      <c r="AQ1233" s="74"/>
      <c r="AR1233" s="74"/>
      <c r="AS1233" s="74"/>
      <c r="BD1233" s="74"/>
      <c r="BE1233" s="74"/>
      <c r="BF1233" s="74"/>
      <c r="BG1233" s="74"/>
      <c r="BH1233" s="74"/>
      <c r="BI1233" s="74"/>
    </row>
    <row r="1234" spans="4:61" x14ac:dyDescent="0.3">
      <c r="D1234" s="74"/>
      <c r="E1234" s="74"/>
      <c r="X1234" s="74"/>
      <c r="Y1234" s="74"/>
      <c r="Z1234" s="74"/>
      <c r="AA1234" s="74"/>
      <c r="AB1234" s="74"/>
      <c r="AC1234" s="74"/>
      <c r="AN1234" s="74"/>
      <c r="AO1234" s="74"/>
      <c r="AP1234" s="74"/>
      <c r="AQ1234" s="74"/>
      <c r="AR1234" s="74"/>
      <c r="AS1234" s="74"/>
      <c r="BD1234" s="74"/>
      <c r="BE1234" s="74"/>
      <c r="BF1234" s="74"/>
      <c r="BG1234" s="74"/>
      <c r="BH1234" s="74"/>
      <c r="BI1234" s="74"/>
    </row>
    <row r="1235" spans="4:61" x14ac:dyDescent="0.3">
      <c r="D1235" s="74"/>
      <c r="E1235" s="74"/>
      <c r="X1235" s="74"/>
      <c r="Y1235" s="74"/>
      <c r="Z1235" s="74"/>
      <c r="AA1235" s="74"/>
      <c r="AB1235" s="74"/>
      <c r="AC1235" s="74"/>
      <c r="AN1235" s="74"/>
      <c r="AO1235" s="74"/>
      <c r="AP1235" s="74"/>
      <c r="AQ1235" s="74"/>
      <c r="AR1235" s="74"/>
      <c r="AS1235" s="74"/>
      <c r="BD1235" s="74"/>
      <c r="BE1235" s="74"/>
      <c r="BF1235" s="74"/>
      <c r="BG1235" s="74"/>
      <c r="BH1235" s="74"/>
      <c r="BI1235" s="74"/>
    </row>
    <row r="1236" spans="4:61" x14ac:dyDescent="0.3">
      <c r="D1236" s="74"/>
      <c r="E1236" s="74"/>
      <c r="X1236" s="74"/>
      <c r="Y1236" s="74"/>
      <c r="Z1236" s="74"/>
      <c r="AA1236" s="74"/>
      <c r="AB1236" s="74"/>
      <c r="AC1236" s="74"/>
      <c r="AN1236" s="74"/>
      <c r="AO1236" s="74"/>
      <c r="AP1236" s="74"/>
      <c r="AQ1236" s="74"/>
      <c r="AR1236" s="74"/>
      <c r="AS1236" s="74"/>
      <c r="BD1236" s="74"/>
      <c r="BE1236" s="74"/>
      <c r="BF1236" s="74"/>
      <c r="BG1236" s="74"/>
      <c r="BH1236" s="74"/>
      <c r="BI1236" s="74"/>
    </row>
    <row r="1237" spans="4:61" x14ac:dyDescent="0.3">
      <c r="D1237" s="74"/>
      <c r="E1237" s="74"/>
      <c r="X1237" s="74"/>
      <c r="Y1237" s="74"/>
      <c r="Z1237" s="74"/>
      <c r="AA1237" s="74"/>
      <c r="AB1237" s="74"/>
      <c r="AC1237" s="74"/>
      <c r="AN1237" s="74"/>
      <c r="AO1237" s="74"/>
      <c r="AP1237" s="74"/>
      <c r="AQ1237" s="74"/>
      <c r="AR1237" s="74"/>
      <c r="AS1237" s="74"/>
      <c r="BD1237" s="74"/>
      <c r="BE1237" s="74"/>
      <c r="BF1237" s="74"/>
      <c r="BG1237" s="74"/>
      <c r="BH1237" s="74"/>
      <c r="BI1237" s="74"/>
    </row>
    <row r="1238" spans="4:61" x14ac:dyDescent="0.3">
      <c r="D1238" s="74"/>
      <c r="E1238" s="74"/>
      <c r="X1238" s="74"/>
      <c r="Y1238" s="74"/>
      <c r="Z1238" s="74"/>
      <c r="AA1238" s="74"/>
      <c r="AB1238" s="74"/>
      <c r="AC1238" s="74"/>
      <c r="AN1238" s="74"/>
      <c r="AO1238" s="74"/>
      <c r="AP1238" s="74"/>
      <c r="AQ1238" s="74"/>
      <c r="AR1238" s="74"/>
      <c r="AS1238" s="74"/>
      <c r="BD1238" s="74"/>
      <c r="BE1238" s="74"/>
      <c r="BF1238" s="74"/>
      <c r="BG1238" s="74"/>
      <c r="BH1238" s="74"/>
      <c r="BI1238" s="74"/>
    </row>
    <row r="1239" spans="4:61" x14ac:dyDescent="0.3">
      <c r="D1239" s="74"/>
      <c r="E1239" s="74"/>
      <c r="X1239" s="74"/>
      <c r="Y1239" s="74"/>
      <c r="Z1239" s="74"/>
      <c r="AA1239" s="74"/>
      <c r="AB1239" s="74"/>
      <c r="AC1239" s="74"/>
      <c r="AN1239" s="74"/>
      <c r="AO1239" s="74"/>
      <c r="AP1239" s="74"/>
      <c r="AQ1239" s="74"/>
      <c r="AR1239" s="74"/>
      <c r="AS1239" s="74"/>
      <c r="BD1239" s="74"/>
      <c r="BE1239" s="74"/>
      <c r="BF1239" s="74"/>
      <c r="BG1239" s="74"/>
      <c r="BH1239" s="74"/>
      <c r="BI1239" s="74"/>
    </row>
    <row r="1240" spans="4:61" x14ac:dyDescent="0.3">
      <c r="D1240" s="74"/>
      <c r="E1240" s="74"/>
      <c r="X1240" s="74"/>
      <c r="Y1240" s="74"/>
      <c r="Z1240" s="74"/>
      <c r="AA1240" s="74"/>
      <c r="AB1240" s="74"/>
      <c r="AC1240" s="74"/>
      <c r="AN1240" s="74"/>
      <c r="AO1240" s="74"/>
      <c r="AP1240" s="74"/>
      <c r="AQ1240" s="74"/>
      <c r="AR1240" s="74"/>
      <c r="AS1240" s="74"/>
      <c r="BD1240" s="74"/>
      <c r="BE1240" s="74"/>
      <c r="BF1240" s="74"/>
      <c r="BG1240" s="74"/>
      <c r="BH1240" s="74"/>
      <c r="BI1240" s="74"/>
    </row>
    <row r="1241" spans="4:61" x14ac:dyDescent="0.3">
      <c r="D1241" s="74"/>
      <c r="E1241" s="74"/>
      <c r="X1241" s="74"/>
      <c r="Y1241" s="74"/>
      <c r="Z1241" s="74"/>
      <c r="AA1241" s="74"/>
      <c r="AB1241" s="74"/>
      <c r="AC1241" s="74"/>
      <c r="AN1241" s="74"/>
      <c r="AO1241" s="74"/>
      <c r="AP1241" s="74"/>
      <c r="AQ1241" s="74"/>
      <c r="AR1241" s="74"/>
      <c r="AS1241" s="74"/>
      <c r="BD1241" s="74"/>
      <c r="BE1241" s="74"/>
      <c r="BF1241" s="74"/>
      <c r="BG1241" s="74"/>
      <c r="BH1241" s="74"/>
      <c r="BI1241" s="74"/>
    </row>
    <row r="1242" spans="4:61" x14ac:dyDescent="0.3">
      <c r="D1242" s="74"/>
      <c r="E1242" s="74"/>
      <c r="X1242" s="74"/>
      <c r="Y1242" s="74"/>
      <c r="Z1242" s="74"/>
      <c r="AA1242" s="74"/>
      <c r="AB1242" s="74"/>
      <c r="AC1242" s="74"/>
      <c r="AN1242" s="74"/>
      <c r="AO1242" s="74"/>
      <c r="AP1242" s="74"/>
      <c r="AQ1242" s="74"/>
      <c r="AR1242" s="74"/>
      <c r="AS1242" s="74"/>
      <c r="BD1242" s="74"/>
      <c r="BE1242" s="74"/>
      <c r="BF1242" s="74"/>
      <c r="BG1242" s="74"/>
      <c r="BH1242" s="74"/>
      <c r="BI1242" s="74"/>
    </row>
    <row r="1243" spans="4:61" x14ac:dyDescent="0.3">
      <c r="D1243" s="74"/>
      <c r="E1243" s="74"/>
      <c r="X1243" s="74"/>
      <c r="Y1243" s="74"/>
      <c r="Z1243" s="74"/>
      <c r="AA1243" s="74"/>
      <c r="AB1243" s="74"/>
      <c r="AC1243" s="74"/>
      <c r="AN1243" s="74"/>
      <c r="AO1243" s="74"/>
      <c r="AP1243" s="74"/>
      <c r="AQ1243" s="74"/>
      <c r="AR1243" s="74"/>
      <c r="AS1243" s="74"/>
      <c r="BD1243" s="74"/>
      <c r="BE1243" s="74"/>
      <c r="BF1243" s="74"/>
      <c r="BG1243" s="74"/>
      <c r="BH1243" s="74"/>
      <c r="BI1243" s="74"/>
    </row>
    <row r="1244" spans="4:61" x14ac:dyDescent="0.3">
      <c r="D1244" s="74"/>
      <c r="E1244" s="74"/>
      <c r="X1244" s="74"/>
      <c r="Y1244" s="74"/>
      <c r="Z1244" s="74"/>
      <c r="AA1244" s="74"/>
      <c r="AB1244" s="74"/>
      <c r="AC1244" s="74"/>
      <c r="AN1244" s="74"/>
      <c r="AO1244" s="74"/>
      <c r="AP1244" s="74"/>
      <c r="AQ1244" s="74"/>
      <c r="AR1244" s="74"/>
      <c r="AS1244" s="74"/>
      <c r="BD1244" s="74"/>
      <c r="BE1244" s="74"/>
      <c r="BF1244" s="74"/>
      <c r="BG1244" s="74"/>
      <c r="BH1244" s="74"/>
      <c r="BI1244" s="74"/>
    </row>
    <row r="1245" spans="4:61" x14ac:dyDescent="0.3">
      <c r="D1245" s="74"/>
      <c r="E1245" s="74"/>
      <c r="X1245" s="74"/>
      <c r="Y1245" s="74"/>
      <c r="Z1245" s="74"/>
      <c r="AA1245" s="74"/>
      <c r="AB1245" s="74"/>
      <c r="AC1245" s="74"/>
      <c r="AN1245" s="74"/>
      <c r="AO1245" s="74"/>
      <c r="AP1245" s="74"/>
      <c r="AQ1245" s="74"/>
      <c r="AR1245" s="74"/>
      <c r="AS1245" s="74"/>
      <c r="BD1245" s="74"/>
      <c r="BE1245" s="74"/>
      <c r="BF1245" s="74"/>
      <c r="BG1245" s="74"/>
      <c r="BH1245" s="74"/>
      <c r="BI1245" s="74"/>
    </row>
    <row r="1246" spans="4:61" x14ac:dyDescent="0.3">
      <c r="D1246" s="74"/>
      <c r="E1246" s="74"/>
      <c r="X1246" s="74"/>
      <c r="Y1246" s="74"/>
      <c r="Z1246" s="74"/>
      <c r="AA1246" s="74"/>
      <c r="AB1246" s="74"/>
      <c r="AC1246" s="74"/>
      <c r="AN1246" s="74"/>
      <c r="AO1246" s="74"/>
      <c r="AP1246" s="74"/>
      <c r="AQ1246" s="74"/>
      <c r="AR1246" s="74"/>
      <c r="AS1246" s="74"/>
      <c r="BD1246" s="74"/>
      <c r="BE1246" s="74"/>
      <c r="BF1246" s="74"/>
      <c r="BG1246" s="74"/>
      <c r="BH1246" s="74"/>
      <c r="BI1246" s="74"/>
    </row>
    <row r="1247" spans="4:61" x14ac:dyDescent="0.3">
      <c r="D1247" s="74"/>
      <c r="E1247" s="74"/>
      <c r="X1247" s="74"/>
      <c r="Y1247" s="74"/>
      <c r="Z1247" s="74"/>
      <c r="AA1247" s="74"/>
      <c r="AB1247" s="74"/>
      <c r="AC1247" s="74"/>
      <c r="AN1247" s="74"/>
      <c r="AO1247" s="74"/>
      <c r="AP1247" s="74"/>
      <c r="AQ1247" s="74"/>
      <c r="AR1247" s="74"/>
      <c r="AS1247" s="74"/>
      <c r="BD1247" s="74"/>
      <c r="BE1247" s="74"/>
      <c r="BF1247" s="74"/>
      <c r="BG1247" s="74"/>
      <c r="BH1247" s="74"/>
      <c r="BI1247" s="74"/>
    </row>
    <row r="1248" spans="4:61" x14ac:dyDescent="0.3">
      <c r="D1248" s="74"/>
      <c r="E1248" s="74"/>
      <c r="X1248" s="74"/>
      <c r="Y1248" s="74"/>
      <c r="Z1248" s="74"/>
      <c r="AA1248" s="74"/>
      <c r="AB1248" s="74"/>
      <c r="AC1248" s="74"/>
      <c r="AN1248" s="74"/>
      <c r="AO1248" s="74"/>
      <c r="AP1248" s="74"/>
      <c r="AQ1248" s="74"/>
      <c r="AR1248" s="74"/>
      <c r="AS1248" s="74"/>
      <c r="BD1248" s="74"/>
      <c r="BE1248" s="74"/>
      <c r="BF1248" s="74"/>
      <c r="BG1248" s="74"/>
      <c r="BH1248" s="74"/>
      <c r="BI1248" s="74"/>
    </row>
    <row r="1249" spans="4:61" x14ac:dyDescent="0.3">
      <c r="D1249" s="74"/>
      <c r="E1249" s="74"/>
      <c r="X1249" s="74"/>
      <c r="Y1249" s="74"/>
      <c r="Z1249" s="74"/>
      <c r="AA1249" s="74"/>
      <c r="AB1249" s="74"/>
      <c r="AC1249" s="74"/>
      <c r="AN1249" s="74"/>
      <c r="AO1249" s="74"/>
      <c r="AP1249" s="74"/>
      <c r="AQ1249" s="74"/>
      <c r="AR1249" s="74"/>
      <c r="AS1249" s="74"/>
      <c r="BD1249" s="74"/>
      <c r="BE1249" s="74"/>
      <c r="BF1249" s="74"/>
      <c r="BG1249" s="74"/>
      <c r="BH1249" s="74"/>
      <c r="BI1249" s="74"/>
    </row>
    <row r="1250" spans="4:61" x14ac:dyDescent="0.3">
      <c r="D1250" s="74"/>
      <c r="E1250" s="74"/>
      <c r="X1250" s="74"/>
      <c r="Y1250" s="74"/>
      <c r="Z1250" s="74"/>
      <c r="AA1250" s="74"/>
      <c r="AB1250" s="74"/>
      <c r="AC1250" s="74"/>
      <c r="AN1250" s="74"/>
      <c r="AO1250" s="74"/>
      <c r="AP1250" s="74"/>
      <c r="AQ1250" s="74"/>
      <c r="AR1250" s="74"/>
      <c r="AS1250" s="74"/>
      <c r="BD1250" s="74"/>
      <c r="BE1250" s="74"/>
      <c r="BF1250" s="74"/>
      <c r="BG1250" s="74"/>
      <c r="BH1250" s="74"/>
      <c r="BI1250" s="74"/>
    </row>
    <row r="1251" spans="4:61" x14ac:dyDescent="0.3">
      <c r="D1251" s="74"/>
      <c r="E1251" s="74"/>
      <c r="X1251" s="74"/>
      <c r="Y1251" s="74"/>
      <c r="Z1251" s="74"/>
      <c r="AA1251" s="74"/>
      <c r="AB1251" s="74"/>
      <c r="AC1251" s="74"/>
      <c r="AN1251" s="74"/>
      <c r="AO1251" s="74"/>
      <c r="AP1251" s="74"/>
      <c r="AQ1251" s="74"/>
      <c r="AR1251" s="74"/>
      <c r="AS1251" s="74"/>
      <c r="BD1251" s="74"/>
      <c r="BE1251" s="74"/>
      <c r="BF1251" s="74"/>
      <c r="BG1251" s="74"/>
      <c r="BH1251" s="74"/>
      <c r="BI1251" s="74"/>
    </row>
    <row r="1252" spans="4:61" x14ac:dyDescent="0.3">
      <c r="D1252" s="74"/>
      <c r="E1252" s="74"/>
      <c r="X1252" s="74"/>
      <c r="Y1252" s="74"/>
      <c r="Z1252" s="74"/>
      <c r="AA1252" s="74"/>
      <c r="AB1252" s="74"/>
      <c r="AC1252" s="74"/>
      <c r="AN1252" s="74"/>
      <c r="AO1252" s="74"/>
      <c r="AP1252" s="74"/>
      <c r="AQ1252" s="74"/>
      <c r="AR1252" s="74"/>
      <c r="AS1252" s="74"/>
      <c r="BD1252" s="74"/>
      <c r="BE1252" s="74"/>
      <c r="BF1252" s="74"/>
      <c r="BG1252" s="74"/>
      <c r="BH1252" s="74"/>
      <c r="BI1252" s="74"/>
    </row>
    <row r="1253" spans="4:61" x14ac:dyDescent="0.3">
      <c r="D1253" s="74"/>
      <c r="E1253" s="74"/>
      <c r="X1253" s="74"/>
      <c r="Y1253" s="74"/>
      <c r="Z1253" s="74"/>
      <c r="AA1253" s="74"/>
      <c r="AB1253" s="74"/>
      <c r="AC1253" s="74"/>
      <c r="AN1253" s="74"/>
      <c r="AO1253" s="74"/>
      <c r="AP1253" s="74"/>
      <c r="AQ1253" s="74"/>
      <c r="AR1253" s="74"/>
      <c r="AS1253" s="74"/>
      <c r="BD1253" s="74"/>
      <c r="BE1253" s="74"/>
      <c r="BF1253" s="74"/>
      <c r="BG1253" s="74"/>
      <c r="BH1253" s="74"/>
      <c r="BI1253" s="74"/>
    </row>
    <row r="1254" spans="4:61" x14ac:dyDescent="0.3">
      <c r="D1254" s="74"/>
      <c r="E1254" s="74"/>
      <c r="X1254" s="74"/>
      <c r="Y1254" s="74"/>
      <c r="Z1254" s="74"/>
      <c r="AA1254" s="74"/>
      <c r="AB1254" s="74"/>
      <c r="AC1254" s="74"/>
      <c r="AN1254" s="74"/>
      <c r="AO1254" s="74"/>
      <c r="AP1254" s="74"/>
      <c r="AQ1254" s="74"/>
      <c r="AR1254" s="74"/>
      <c r="AS1254" s="74"/>
      <c r="BD1254" s="74"/>
      <c r="BE1254" s="74"/>
      <c r="BF1254" s="74"/>
      <c r="BG1254" s="74"/>
      <c r="BH1254" s="74"/>
      <c r="BI1254" s="74"/>
    </row>
    <row r="1255" spans="4:61" x14ac:dyDescent="0.3">
      <c r="D1255" s="74"/>
      <c r="E1255" s="74"/>
      <c r="X1255" s="74"/>
      <c r="Y1255" s="74"/>
      <c r="Z1255" s="74"/>
      <c r="AA1255" s="74"/>
      <c r="AB1255" s="74"/>
      <c r="AC1255" s="74"/>
      <c r="AN1255" s="74"/>
      <c r="AO1255" s="74"/>
      <c r="AP1255" s="74"/>
      <c r="AQ1255" s="74"/>
      <c r="AR1255" s="74"/>
      <c r="AS1255" s="74"/>
      <c r="BD1255" s="74"/>
      <c r="BE1255" s="74"/>
      <c r="BF1255" s="74"/>
      <c r="BG1255" s="74"/>
      <c r="BH1255" s="74"/>
      <c r="BI1255" s="74"/>
    </row>
    <row r="1256" spans="4:61" x14ac:dyDescent="0.3">
      <c r="D1256" s="74"/>
      <c r="E1256" s="74"/>
      <c r="X1256" s="74"/>
      <c r="Y1256" s="74"/>
      <c r="Z1256" s="74"/>
      <c r="AA1256" s="74"/>
      <c r="AB1256" s="74"/>
      <c r="AC1256" s="74"/>
      <c r="AN1256" s="74"/>
      <c r="AO1256" s="74"/>
      <c r="AP1256" s="74"/>
      <c r="AQ1256" s="74"/>
      <c r="AR1256" s="74"/>
      <c r="AS1256" s="74"/>
      <c r="BD1256" s="74"/>
      <c r="BE1256" s="74"/>
      <c r="BF1256" s="74"/>
      <c r="BG1256" s="74"/>
      <c r="BH1256" s="74"/>
      <c r="BI1256" s="74"/>
    </row>
    <row r="1257" spans="4:61" x14ac:dyDescent="0.3">
      <c r="D1257" s="74"/>
      <c r="E1257" s="74"/>
      <c r="X1257" s="74"/>
      <c r="Y1257" s="74"/>
      <c r="Z1257" s="74"/>
      <c r="AA1257" s="74"/>
      <c r="AB1257" s="74"/>
      <c r="AC1257" s="74"/>
      <c r="AN1257" s="74"/>
      <c r="AO1257" s="74"/>
      <c r="AP1257" s="74"/>
      <c r="AQ1257" s="74"/>
      <c r="AR1257" s="74"/>
      <c r="AS1257" s="74"/>
      <c r="BD1257" s="74"/>
      <c r="BE1257" s="74"/>
      <c r="BF1257" s="74"/>
      <c r="BG1257" s="74"/>
      <c r="BH1257" s="74"/>
      <c r="BI1257" s="74"/>
    </row>
    <row r="1258" spans="4:61" x14ac:dyDescent="0.3">
      <c r="D1258" s="74"/>
      <c r="E1258" s="74"/>
      <c r="X1258" s="74"/>
      <c r="Y1258" s="74"/>
      <c r="Z1258" s="74"/>
      <c r="AA1258" s="74"/>
      <c r="AB1258" s="74"/>
      <c r="AC1258" s="74"/>
      <c r="AN1258" s="74"/>
      <c r="AO1258" s="74"/>
      <c r="AP1258" s="74"/>
      <c r="AQ1258" s="74"/>
      <c r="AR1258" s="74"/>
      <c r="AS1258" s="74"/>
      <c r="BD1258" s="74"/>
      <c r="BE1258" s="74"/>
      <c r="BF1258" s="74"/>
      <c r="BG1258" s="74"/>
      <c r="BH1258" s="74"/>
      <c r="BI1258" s="74"/>
    </row>
    <row r="1259" spans="4:61" x14ac:dyDescent="0.3">
      <c r="D1259" s="74"/>
      <c r="E1259" s="74"/>
      <c r="X1259" s="74"/>
      <c r="Y1259" s="74"/>
      <c r="Z1259" s="74"/>
      <c r="AA1259" s="74"/>
      <c r="AB1259" s="74"/>
      <c r="AC1259" s="74"/>
      <c r="AN1259" s="74"/>
      <c r="AO1259" s="74"/>
      <c r="AP1259" s="74"/>
      <c r="AQ1259" s="74"/>
      <c r="AR1259" s="74"/>
      <c r="AS1259" s="74"/>
      <c r="BD1259" s="74"/>
      <c r="BE1259" s="74"/>
      <c r="BF1259" s="74"/>
      <c r="BG1259" s="74"/>
      <c r="BH1259" s="74"/>
      <c r="BI1259" s="74"/>
    </row>
    <row r="1260" spans="4:61" x14ac:dyDescent="0.3">
      <c r="D1260" s="74"/>
      <c r="E1260" s="74"/>
      <c r="X1260" s="74"/>
      <c r="Y1260" s="74"/>
      <c r="Z1260" s="74"/>
      <c r="AA1260" s="74"/>
      <c r="AB1260" s="74"/>
      <c r="AC1260" s="74"/>
      <c r="AN1260" s="74"/>
      <c r="AO1260" s="74"/>
      <c r="AP1260" s="74"/>
      <c r="AQ1260" s="74"/>
      <c r="AR1260" s="74"/>
      <c r="AS1260" s="74"/>
      <c r="BD1260" s="74"/>
      <c r="BE1260" s="74"/>
      <c r="BF1260" s="74"/>
      <c r="BG1260" s="74"/>
      <c r="BH1260" s="74"/>
      <c r="BI1260" s="74"/>
    </row>
    <row r="1261" spans="4:61" x14ac:dyDescent="0.3">
      <c r="D1261" s="74"/>
      <c r="E1261" s="74"/>
      <c r="X1261" s="74"/>
      <c r="Y1261" s="74"/>
      <c r="Z1261" s="74"/>
      <c r="AA1261" s="74"/>
      <c r="AB1261" s="74"/>
      <c r="AC1261" s="74"/>
      <c r="AN1261" s="74"/>
      <c r="AO1261" s="74"/>
      <c r="AP1261" s="74"/>
      <c r="AQ1261" s="74"/>
      <c r="AR1261" s="74"/>
      <c r="AS1261" s="74"/>
      <c r="BD1261" s="74"/>
      <c r="BE1261" s="74"/>
      <c r="BF1261" s="74"/>
      <c r="BG1261" s="74"/>
      <c r="BH1261" s="74"/>
      <c r="BI1261" s="74"/>
    </row>
    <row r="1262" spans="4:61" x14ac:dyDescent="0.3">
      <c r="D1262" s="74"/>
      <c r="E1262" s="74"/>
      <c r="X1262" s="74"/>
      <c r="Y1262" s="74"/>
      <c r="Z1262" s="74"/>
      <c r="AA1262" s="74"/>
      <c r="AB1262" s="74"/>
      <c r="AC1262" s="74"/>
      <c r="AN1262" s="74"/>
      <c r="AO1262" s="74"/>
      <c r="AP1262" s="74"/>
      <c r="AQ1262" s="74"/>
      <c r="AR1262" s="74"/>
      <c r="AS1262" s="74"/>
      <c r="BD1262" s="74"/>
      <c r="BE1262" s="74"/>
      <c r="BF1262" s="74"/>
      <c r="BG1262" s="74"/>
      <c r="BH1262" s="74"/>
      <c r="BI1262" s="74"/>
    </row>
    <row r="1263" spans="4:61" x14ac:dyDescent="0.3">
      <c r="D1263" s="74"/>
      <c r="E1263" s="74"/>
      <c r="X1263" s="74"/>
      <c r="Y1263" s="74"/>
      <c r="Z1263" s="74"/>
      <c r="AA1263" s="74"/>
      <c r="AB1263" s="74"/>
      <c r="AC1263" s="74"/>
      <c r="AN1263" s="74"/>
      <c r="AO1263" s="74"/>
      <c r="AP1263" s="74"/>
      <c r="AQ1263" s="74"/>
      <c r="AR1263" s="74"/>
      <c r="AS1263" s="74"/>
      <c r="BD1263" s="74"/>
      <c r="BE1263" s="74"/>
      <c r="BF1263" s="74"/>
      <c r="BG1263" s="74"/>
      <c r="BH1263" s="74"/>
      <c r="BI1263" s="74"/>
    </row>
    <row r="1264" spans="4:61" x14ac:dyDescent="0.3">
      <c r="D1264" s="74"/>
      <c r="E1264" s="74"/>
      <c r="X1264" s="74"/>
      <c r="Y1264" s="74"/>
      <c r="Z1264" s="74"/>
      <c r="AA1264" s="74"/>
      <c r="AB1264" s="74"/>
      <c r="AC1264" s="74"/>
      <c r="AN1264" s="74"/>
      <c r="AO1264" s="74"/>
      <c r="AP1264" s="74"/>
      <c r="AQ1264" s="74"/>
      <c r="AR1264" s="74"/>
      <c r="AS1264" s="74"/>
      <c r="BD1264" s="74"/>
      <c r="BE1264" s="74"/>
      <c r="BF1264" s="74"/>
      <c r="BG1264" s="74"/>
      <c r="BH1264" s="74"/>
      <c r="BI1264" s="74"/>
    </row>
    <row r="1265" spans="4:61" x14ac:dyDescent="0.3">
      <c r="D1265" s="74"/>
      <c r="E1265" s="74"/>
      <c r="X1265" s="74"/>
      <c r="Y1265" s="74"/>
      <c r="Z1265" s="74"/>
      <c r="AA1265" s="74"/>
      <c r="AB1265" s="74"/>
      <c r="AC1265" s="74"/>
      <c r="AN1265" s="74"/>
      <c r="AO1265" s="74"/>
      <c r="AP1265" s="74"/>
      <c r="AQ1265" s="74"/>
      <c r="AR1265" s="74"/>
      <c r="AS1265" s="74"/>
      <c r="BD1265" s="74"/>
      <c r="BE1265" s="74"/>
      <c r="BF1265" s="74"/>
      <c r="BG1265" s="74"/>
      <c r="BH1265" s="74"/>
      <c r="BI1265" s="74"/>
    </row>
    <row r="1266" spans="4:61" x14ac:dyDescent="0.3">
      <c r="D1266" s="74"/>
      <c r="E1266" s="74"/>
      <c r="X1266" s="74"/>
      <c r="Y1266" s="74"/>
      <c r="Z1266" s="74"/>
      <c r="AA1266" s="74"/>
      <c r="AB1266" s="74"/>
      <c r="AC1266" s="74"/>
      <c r="AN1266" s="74"/>
      <c r="AO1266" s="74"/>
      <c r="AP1266" s="74"/>
      <c r="AQ1266" s="74"/>
      <c r="AR1266" s="74"/>
      <c r="AS1266" s="74"/>
      <c r="BD1266" s="74"/>
      <c r="BE1266" s="74"/>
      <c r="BF1266" s="74"/>
      <c r="BG1266" s="74"/>
      <c r="BH1266" s="74"/>
      <c r="BI1266" s="74"/>
    </row>
    <row r="1267" spans="4:61" x14ac:dyDescent="0.3">
      <c r="D1267" s="74"/>
      <c r="E1267" s="74"/>
      <c r="X1267" s="74"/>
      <c r="Y1267" s="74"/>
      <c r="Z1267" s="74"/>
      <c r="AA1267" s="74"/>
      <c r="AB1267" s="74"/>
      <c r="AC1267" s="74"/>
      <c r="AN1267" s="74"/>
      <c r="AO1267" s="74"/>
      <c r="AP1267" s="74"/>
      <c r="AQ1267" s="74"/>
      <c r="AR1267" s="74"/>
      <c r="AS1267" s="74"/>
      <c r="BD1267" s="74"/>
      <c r="BE1267" s="74"/>
      <c r="BF1267" s="74"/>
      <c r="BG1267" s="74"/>
      <c r="BH1267" s="74"/>
      <c r="BI1267" s="74"/>
    </row>
    <row r="1268" spans="4:61" x14ac:dyDescent="0.3">
      <c r="D1268" s="74"/>
      <c r="E1268" s="74"/>
      <c r="X1268" s="74"/>
      <c r="Y1268" s="74"/>
      <c r="Z1268" s="74"/>
      <c r="AA1268" s="74"/>
      <c r="AB1268" s="74"/>
      <c r="AC1268" s="74"/>
      <c r="AN1268" s="74"/>
      <c r="AO1268" s="74"/>
      <c r="AP1268" s="74"/>
      <c r="AQ1268" s="74"/>
      <c r="AR1268" s="74"/>
      <c r="AS1268" s="74"/>
      <c r="BD1268" s="74"/>
      <c r="BE1268" s="74"/>
      <c r="BF1268" s="74"/>
      <c r="BG1268" s="74"/>
      <c r="BH1268" s="74"/>
      <c r="BI1268" s="74"/>
    </row>
    <row r="1269" spans="4:61" x14ac:dyDescent="0.3">
      <c r="D1269" s="74"/>
      <c r="E1269" s="74"/>
      <c r="X1269" s="74"/>
      <c r="Y1269" s="74"/>
      <c r="Z1269" s="74"/>
      <c r="AA1269" s="74"/>
      <c r="AB1269" s="74"/>
      <c r="AC1269" s="74"/>
      <c r="AN1269" s="74"/>
      <c r="AO1269" s="74"/>
      <c r="AP1269" s="74"/>
      <c r="AQ1269" s="74"/>
      <c r="AR1269" s="74"/>
      <c r="AS1269" s="74"/>
      <c r="BD1269" s="74"/>
      <c r="BE1269" s="74"/>
      <c r="BF1269" s="74"/>
      <c r="BG1269" s="74"/>
      <c r="BH1269" s="74"/>
      <c r="BI1269" s="74"/>
    </row>
    <row r="1270" spans="4:61" x14ac:dyDescent="0.3">
      <c r="D1270" s="74"/>
      <c r="E1270" s="74"/>
      <c r="X1270" s="74"/>
      <c r="Y1270" s="74"/>
      <c r="Z1270" s="74"/>
      <c r="AA1270" s="74"/>
      <c r="AB1270" s="74"/>
      <c r="AC1270" s="74"/>
      <c r="AN1270" s="74"/>
      <c r="AO1270" s="74"/>
      <c r="AP1270" s="74"/>
      <c r="AQ1270" s="74"/>
      <c r="AR1270" s="74"/>
      <c r="AS1270" s="74"/>
      <c r="BD1270" s="74"/>
      <c r="BE1270" s="74"/>
      <c r="BF1270" s="74"/>
      <c r="BG1270" s="74"/>
      <c r="BH1270" s="74"/>
      <c r="BI1270" s="74"/>
    </row>
    <row r="1271" spans="4:61" x14ac:dyDescent="0.3">
      <c r="D1271" s="74"/>
      <c r="E1271" s="74"/>
      <c r="X1271" s="74"/>
      <c r="Y1271" s="74"/>
      <c r="Z1271" s="74"/>
      <c r="AA1271" s="74"/>
      <c r="AB1271" s="74"/>
      <c r="AC1271" s="74"/>
      <c r="AN1271" s="74"/>
      <c r="AO1271" s="74"/>
      <c r="AP1271" s="74"/>
      <c r="AQ1271" s="74"/>
      <c r="AR1271" s="74"/>
      <c r="AS1271" s="74"/>
      <c r="BD1271" s="74"/>
      <c r="BE1271" s="74"/>
      <c r="BF1271" s="74"/>
      <c r="BG1271" s="74"/>
      <c r="BH1271" s="74"/>
      <c r="BI1271" s="74"/>
    </row>
    <row r="1272" spans="4:61" x14ac:dyDescent="0.3">
      <c r="D1272" s="74"/>
      <c r="E1272" s="74"/>
      <c r="X1272" s="74"/>
      <c r="Y1272" s="74"/>
      <c r="Z1272" s="74"/>
      <c r="AA1272" s="74"/>
      <c r="AB1272" s="74"/>
      <c r="AC1272" s="74"/>
      <c r="AN1272" s="74"/>
      <c r="AO1272" s="74"/>
      <c r="AP1272" s="74"/>
      <c r="AQ1272" s="74"/>
      <c r="AR1272" s="74"/>
      <c r="AS1272" s="74"/>
      <c r="BD1272" s="74"/>
      <c r="BE1272" s="74"/>
      <c r="BF1272" s="74"/>
      <c r="BG1272" s="74"/>
      <c r="BH1272" s="74"/>
      <c r="BI1272" s="74"/>
    </row>
    <row r="1273" spans="4:61" x14ac:dyDescent="0.3">
      <c r="D1273" s="74"/>
      <c r="E1273" s="74"/>
      <c r="X1273" s="74"/>
      <c r="Y1273" s="74"/>
      <c r="Z1273" s="74"/>
      <c r="AA1273" s="74"/>
      <c r="AB1273" s="74"/>
      <c r="AC1273" s="74"/>
      <c r="AN1273" s="74"/>
      <c r="AO1273" s="74"/>
      <c r="AP1273" s="74"/>
      <c r="AQ1273" s="74"/>
      <c r="AR1273" s="74"/>
      <c r="AS1273" s="74"/>
      <c r="BD1273" s="74"/>
      <c r="BE1273" s="74"/>
      <c r="BF1273" s="74"/>
      <c r="BG1273" s="74"/>
      <c r="BH1273" s="74"/>
      <c r="BI1273" s="74"/>
    </row>
    <row r="1274" spans="4:61" x14ac:dyDescent="0.3">
      <c r="D1274" s="74"/>
      <c r="E1274" s="74"/>
      <c r="X1274" s="74"/>
      <c r="Y1274" s="74"/>
      <c r="Z1274" s="74"/>
      <c r="AA1274" s="74"/>
      <c r="AB1274" s="74"/>
      <c r="AC1274" s="74"/>
      <c r="AN1274" s="74"/>
      <c r="AO1274" s="74"/>
      <c r="AP1274" s="74"/>
      <c r="AQ1274" s="74"/>
      <c r="AR1274" s="74"/>
      <c r="AS1274" s="74"/>
      <c r="BD1274" s="74"/>
      <c r="BE1274" s="74"/>
      <c r="BF1274" s="74"/>
      <c r="BG1274" s="74"/>
      <c r="BH1274" s="74"/>
      <c r="BI1274" s="74"/>
    </row>
    <row r="1275" spans="4:61" x14ac:dyDescent="0.3">
      <c r="D1275" s="74"/>
      <c r="E1275" s="74"/>
      <c r="X1275" s="74"/>
      <c r="Y1275" s="74"/>
      <c r="Z1275" s="74"/>
      <c r="AA1275" s="74"/>
      <c r="AB1275" s="74"/>
      <c r="AC1275" s="74"/>
      <c r="AN1275" s="74"/>
      <c r="AO1275" s="74"/>
      <c r="AP1275" s="74"/>
      <c r="AQ1275" s="74"/>
      <c r="AR1275" s="74"/>
      <c r="AS1275" s="74"/>
      <c r="BD1275" s="74"/>
      <c r="BE1275" s="74"/>
      <c r="BF1275" s="74"/>
      <c r="BG1275" s="74"/>
      <c r="BH1275" s="74"/>
      <c r="BI1275" s="74"/>
    </row>
    <row r="1276" spans="4:61" x14ac:dyDescent="0.3">
      <c r="D1276" s="74"/>
      <c r="E1276" s="74"/>
      <c r="X1276" s="74"/>
      <c r="Y1276" s="74"/>
      <c r="Z1276" s="74"/>
      <c r="AA1276" s="74"/>
      <c r="AB1276" s="74"/>
      <c r="AC1276" s="74"/>
      <c r="AN1276" s="74"/>
      <c r="AO1276" s="74"/>
      <c r="AP1276" s="74"/>
      <c r="AQ1276" s="74"/>
      <c r="AR1276" s="74"/>
      <c r="AS1276" s="74"/>
      <c r="BD1276" s="74"/>
      <c r="BE1276" s="74"/>
      <c r="BF1276" s="74"/>
      <c r="BG1276" s="74"/>
      <c r="BH1276" s="74"/>
      <c r="BI1276" s="74"/>
    </row>
    <row r="1277" spans="4:61" x14ac:dyDescent="0.3">
      <c r="D1277" s="74"/>
      <c r="E1277" s="74"/>
      <c r="X1277" s="74"/>
      <c r="Y1277" s="74"/>
      <c r="Z1277" s="74"/>
      <c r="AA1277" s="74"/>
      <c r="AB1277" s="74"/>
      <c r="AC1277" s="74"/>
      <c r="AN1277" s="74"/>
      <c r="AO1277" s="74"/>
      <c r="AP1277" s="74"/>
      <c r="AQ1277" s="74"/>
      <c r="AR1277" s="74"/>
      <c r="AS1277" s="74"/>
      <c r="BD1277" s="74"/>
      <c r="BE1277" s="74"/>
      <c r="BF1277" s="74"/>
      <c r="BG1277" s="74"/>
      <c r="BH1277" s="74"/>
      <c r="BI1277" s="74"/>
    </row>
    <row r="1278" spans="4:61" x14ac:dyDescent="0.3">
      <c r="D1278" s="74"/>
      <c r="E1278" s="74"/>
      <c r="X1278" s="74"/>
      <c r="Y1278" s="74"/>
      <c r="Z1278" s="74"/>
      <c r="AA1278" s="74"/>
      <c r="AB1278" s="74"/>
      <c r="AC1278" s="74"/>
      <c r="AN1278" s="74"/>
      <c r="AO1278" s="74"/>
      <c r="AP1278" s="74"/>
      <c r="AQ1278" s="74"/>
      <c r="AR1278" s="74"/>
      <c r="AS1278" s="74"/>
      <c r="BD1278" s="74"/>
      <c r="BE1278" s="74"/>
      <c r="BF1278" s="74"/>
      <c r="BG1278" s="74"/>
      <c r="BH1278" s="74"/>
      <c r="BI1278" s="74"/>
    </row>
    <row r="1279" spans="4:61" x14ac:dyDescent="0.3">
      <c r="D1279" s="74"/>
      <c r="E1279" s="74"/>
      <c r="X1279" s="74"/>
      <c r="Y1279" s="74"/>
      <c r="Z1279" s="74"/>
      <c r="AA1279" s="74"/>
      <c r="AB1279" s="74"/>
      <c r="AC1279" s="74"/>
      <c r="AN1279" s="74"/>
      <c r="AO1279" s="74"/>
      <c r="AP1279" s="74"/>
      <c r="AQ1279" s="74"/>
      <c r="AR1279" s="74"/>
      <c r="AS1279" s="74"/>
      <c r="BD1279" s="74"/>
      <c r="BE1279" s="74"/>
      <c r="BF1279" s="74"/>
      <c r="BG1279" s="74"/>
      <c r="BH1279" s="74"/>
      <c r="BI1279" s="74"/>
    </row>
    <row r="1280" spans="4:61" x14ac:dyDescent="0.3">
      <c r="D1280" s="74"/>
      <c r="E1280" s="74"/>
      <c r="X1280" s="74"/>
      <c r="Y1280" s="74"/>
      <c r="Z1280" s="74"/>
      <c r="AA1280" s="74"/>
      <c r="AB1280" s="74"/>
      <c r="AC1280" s="74"/>
      <c r="AN1280" s="74"/>
      <c r="AO1280" s="74"/>
      <c r="AP1280" s="74"/>
      <c r="AQ1280" s="74"/>
      <c r="AR1280" s="74"/>
      <c r="AS1280" s="74"/>
      <c r="BD1280" s="74"/>
      <c r="BE1280" s="74"/>
      <c r="BF1280" s="74"/>
      <c r="BG1280" s="74"/>
      <c r="BH1280" s="74"/>
      <c r="BI1280" s="74"/>
    </row>
    <row r="1281" spans="4:61" x14ac:dyDescent="0.3">
      <c r="D1281" s="74"/>
      <c r="E1281" s="74"/>
      <c r="X1281" s="74"/>
      <c r="Y1281" s="74"/>
      <c r="Z1281" s="74"/>
      <c r="AA1281" s="74"/>
      <c r="AB1281" s="74"/>
      <c r="AC1281" s="74"/>
      <c r="AN1281" s="74"/>
      <c r="AO1281" s="74"/>
      <c r="AP1281" s="74"/>
      <c r="AQ1281" s="74"/>
      <c r="AR1281" s="74"/>
      <c r="AS1281" s="74"/>
      <c r="BD1281" s="74"/>
      <c r="BE1281" s="74"/>
      <c r="BF1281" s="74"/>
      <c r="BG1281" s="74"/>
      <c r="BH1281" s="74"/>
      <c r="BI1281" s="74"/>
    </row>
    <row r="1282" spans="4:61" x14ac:dyDescent="0.3">
      <c r="D1282" s="74"/>
      <c r="E1282" s="74"/>
      <c r="X1282" s="74"/>
      <c r="Y1282" s="74"/>
      <c r="Z1282" s="74"/>
      <c r="AA1282" s="74"/>
      <c r="AB1282" s="74"/>
      <c r="AC1282" s="74"/>
      <c r="AN1282" s="74"/>
      <c r="AO1282" s="74"/>
      <c r="AP1282" s="74"/>
      <c r="AQ1282" s="74"/>
      <c r="AR1282" s="74"/>
      <c r="AS1282" s="74"/>
      <c r="BD1282" s="74"/>
      <c r="BE1282" s="74"/>
      <c r="BF1282" s="74"/>
      <c r="BG1282" s="74"/>
      <c r="BH1282" s="74"/>
      <c r="BI1282" s="74"/>
    </row>
    <row r="1283" spans="4:61" x14ac:dyDescent="0.3">
      <c r="D1283" s="74"/>
      <c r="E1283" s="74"/>
      <c r="X1283" s="74"/>
      <c r="Y1283" s="74"/>
      <c r="Z1283" s="74"/>
      <c r="AA1283" s="74"/>
      <c r="AB1283" s="74"/>
      <c r="AC1283" s="74"/>
      <c r="AN1283" s="74"/>
      <c r="AO1283" s="74"/>
      <c r="AP1283" s="74"/>
      <c r="AQ1283" s="74"/>
      <c r="AR1283" s="74"/>
      <c r="AS1283" s="74"/>
      <c r="BD1283" s="74"/>
      <c r="BE1283" s="74"/>
      <c r="BF1283" s="74"/>
      <c r="BG1283" s="74"/>
      <c r="BH1283" s="74"/>
      <c r="BI1283" s="74"/>
    </row>
    <row r="1284" spans="4:61" x14ac:dyDescent="0.3">
      <c r="D1284" s="74"/>
      <c r="E1284" s="74"/>
      <c r="X1284" s="74"/>
      <c r="Y1284" s="74"/>
      <c r="Z1284" s="74"/>
      <c r="AA1284" s="74"/>
      <c r="AB1284" s="74"/>
      <c r="AC1284" s="74"/>
      <c r="AN1284" s="74"/>
      <c r="AO1284" s="74"/>
      <c r="AP1284" s="74"/>
      <c r="AQ1284" s="74"/>
      <c r="AR1284" s="74"/>
      <c r="AS1284" s="74"/>
      <c r="BD1284" s="74"/>
      <c r="BE1284" s="74"/>
      <c r="BF1284" s="74"/>
      <c r="BG1284" s="74"/>
      <c r="BH1284" s="74"/>
      <c r="BI1284" s="74"/>
    </row>
    <row r="1285" spans="4:61" x14ac:dyDescent="0.3">
      <c r="D1285" s="74"/>
      <c r="E1285" s="74"/>
      <c r="X1285" s="74"/>
      <c r="Y1285" s="74"/>
      <c r="Z1285" s="74"/>
      <c r="AA1285" s="74"/>
      <c r="AB1285" s="74"/>
      <c r="AC1285" s="74"/>
      <c r="AN1285" s="74"/>
      <c r="AO1285" s="74"/>
      <c r="AP1285" s="74"/>
      <c r="AQ1285" s="74"/>
      <c r="AR1285" s="74"/>
      <c r="AS1285" s="74"/>
      <c r="BD1285" s="74"/>
      <c r="BE1285" s="74"/>
      <c r="BF1285" s="74"/>
      <c r="BG1285" s="74"/>
      <c r="BH1285" s="74"/>
      <c r="BI1285" s="74"/>
    </row>
    <row r="1286" spans="4:61" x14ac:dyDescent="0.3">
      <c r="D1286" s="74"/>
      <c r="E1286" s="74"/>
      <c r="X1286" s="74"/>
      <c r="Y1286" s="74"/>
      <c r="Z1286" s="74"/>
      <c r="AA1286" s="74"/>
      <c r="AB1286" s="74"/>
      <c r="AC1286" s="74"/>
      <c r="AN1286" s="74"/>
      <c r="AO1286" s="74"/>
      <c r="AP1286" s="74"/>
      <c r="AQ1286" s="74"/>
      <c r="AR1286" s="74"/>
      <c r="AS1286" s="74"/>
      <c r="BD1286" s="74"/>
      <c r="BE1286" s="74"/>
      <c r="BF1286" s="74"/>
      <c r="BG1286" s="74"/>
      <c r="BH1286" s="74"/>
      <c r="BI1286" s="74"/>
    </row>
    <row r="1287" spans="4:61" x14ac:dyDescent="0.3">
      <c r="D1287" s="74"/>
      <c r="E1287" s="74"/>
      <c r="X1287" s="74"/>
      <c r="Y1287" s="74"/>
      <c r="Z1287" s="74"/>
      <c r="AA1287" s="74"/>
      <c r="AB1287" s="74"/>
      <c r="AC1287" s="74"/>
      <c r="AN1287" s="74"/>
      <c r="AO1287" s="74"/>
      <c r="AP1287" s="74"/>
      <c r="AQ1287" s="74"/>
      <c r="AR1287" s="74"/>
      <c r="AS1287" s="74"/>
      <c r="BD1287" s="74"/>
      <c r="BE1287" s="74"/>
      <c r="BF1287" s="74"/>
      <c r="BG1287" s="74"/>
      <c r="BH1287" s="74"/>
      <c r="BI1287" s="74"/>
    </row>
    <row r="1288" spans="4:61" x14ac:dyDescent="0.3">
      <c r="D1288" s="74"/>
      <c r="E1288" s="74"/>
      <c r="X1288" s="74"/>
      <c r="Y1288" s="74"/>
      <c r="Z1288" s="74"/>
      <c r="AA1288" s="74"/>
      <c r="AB1288" s="74"/>
      <c r="AC1288" s="74"/>
      <c r="AN1288" s="74"/>
      <c r="AO1288" s="74"/>
      <c r="AP1288" s="74"/>
      <c r="AQ1288" s="74"/>
      <c r="AR1288" s="74"/>
      <c r="AS1288" s="74"/>
      <c r="BD1288" s="74"/>
      <c r="BE1288" s="74"/>
      <c r="BF1288" s="74"/>
      <c r="BG1288" s="74"/>
      <c r="BH1288" s="74"/>
      <c r="BI1288" s="74"/>
    </row>
    <row r="1289" spans="4:61" x14ac:dyDescent="0.3">
      <c r="D1289" s="74"/>
      <c r="E1289" s="74"/>
      <c r="X1289" s="74"/>
      <c r="Y1289" s="74"/>
      <c r="Z1289" s="74"/>
      <c r="AA1289" s="74"/>
      <c r="AB1289" s="74"/>
      <c r="AC1289" s="74"/>
      <c r="AN1289" s="74"/>
      <c r="AO1289" s="74"/>
      <c r="AP1289" s="74"/>
      <c r="AQ1289" s="74"/>
      <c r="AR1289" s="74"/>
      <c r="AS1289" s="74"/>
      <c r="BD1289" s="74"/>
      <c r="BE1289" s="74"/>
      <c r="BF1289" s="74"/>
      <c r="BG1289" s="74"/>
      <c r="BH1289" s="74"/>
      <c r="BI1289" s="74"/>
    </row>
    <row r="1290" spans="4:61" x14ac:dyDescent="0.3">
      <c r="D1290" s="74"/>
      <c r="E1290" s="74"/>
      <c r="X1290" s="74"/>
      <c r="Y1290" s="74"/>
      <c r="Z1290" s="74"/>
      <c r="AA1290" s="74"/>
      <c r="AB1290" s="74"/>
      <c r="AC1290" s="74"/>
      <c r="AN1290" s="74"/>
      <c r="AO1290" s="74"/>
      <c r="AP1290" s="74"/>
      <c r="AQ1290" s="74"/>
      <c r="AR1290" s="74"/>
      <c r="AS1290" s="74"/>
      <c r="BD1290" s="74"/>
      <c r="BE1290" s="74"/>
      <c r="BF1290" s="74"/>
      <c r="BG1290" s="74"/>
      <c r="BH1290" s="74"/>
      <c r="BI1290" s="74"/>
    </row>
    <row r="1291" spans="4:61" x14ac:dyDescent="0.3">
      <c r="D1291" s="74"/>
      <c r="E1291" s="74"/>
      <c r="X1291" s="74"/>
      <c r="Y1291" s="74"/>
      <c r="Z1291" s="74"/>
      <c r="AA1291" s="74"/>
      <c r="AB1291" s="74"/>
      <c r="AC1291" s="74"/>
      <c r="AN1291" s="74"/>
      <c r="AO1291" s="74"/>
      <c r="AP1291" s="74"/>
      <c r="AQ1291" s="74"/>
      <c r="AR1291" s="74"/>
      <c r="AS1291" s="74"/>
      <c r="BD1291" s="74"/>
      <c r="BE1291" s="74"/>
      <c r="BF1291" s="74"/>
      <c r="BG1291" s="74"/>
      <c r="BH1291" s="74"/>
      <c r="BI1291" s="74"/>
    </row>
    <row r="1292" spans="4:61" x14ac:dyDescent="0.3">
      <c r="D1292" s="74"/>
      <c r="E1292" s="74"/>
      <c r="X1292" s="74"/>
      <c r="Y1292" s="74"/>
      <c r="Z1292" s="74"/>
      <c r="AA1292" s="74"/>
      <c r="AB1292" s="74"/>
      <c r="AC1292" s="74"/>
      <c r="AN1292" s="74"/>
      <c r="AO1292" s="74"/>
      <c r="AP1292" s="74"/>
      <c r="AQ1292" s="74"/>
      <c r="AR1292" s="74"/>
      <c r="AS1292" s="74"/>
      <c r="BD1292" s="74"/>
      <c r="BE1292" s="74"/>
      <c r="BF1292" s="74"/>
      <c r="BG1292" s="74"/>
      <c r="BH1292" s="74"/>
      <c r="BI1292" s="74"/>
    </row>
    <row r="1293" spans="4:61" x14ac:dyDescent="0.3">
      <c r="D1293" s="74"/>
      <c r="E1293" s="74"/>
      <c r="X1293" s="74"/>
      <c r="Y1293" s="74"/>
      <c r="Z1293" s="74"/>
      <c r="AA1293" s="74"/>
      <c r="AB1293" s="74"/>
      <c r="AC1293" s="74"/>
      <c r="AN1293" s="74"/>
      <c r="AO1293" s="74"/>
      <c r="AP1293" s="74"/>
      <c r="AQ1293" s="74"/>
      <c r="AR1293" s="74"/>
      <c r="AS1293" s="74"/>
      <c r="BD1293" s="74"/>
      <c r="BE1293" s="74"/>
      <c r="BF1293" s="74"/>
      <c r="BG1293" s="74"/>
      <c r="BH1293" s="74"/>
      <c r="BI1293" s="74"/>
    </row>
    <row r="1294" spans="4:61" x14ac:dyDescent="0.3">
      <c r="D1294" s="74"/>
      <c r="E1294" s="74"/>
      <c r="X1294" s="74"/>
      <c r="Y1294" s="74"/>
      <c r="Z1294" s="74"/>
      <c r="AA1294" s="74"/>
      <c r="AB1294" s="74"/>
      <c r="AC1294" s="74"/>
      <c r="AN1294" s="74"/>
      <c r="AO1294" s="74"/>
      <c r="AP1294" s="74"/>
      <c r="AQ1294" s="74"/>
      <c r="AR1294" s="74"/>
      <c r="AS1294" s="74"/>
      <c r="BD1294" s="74"/>
      <c r="BE1294" s="74"/>
      <c r="BF1294" s="74"/>
      <c r="BG1294" s="74"/>
      <c r="BH1294" s="74"/>
      <c r="BI1294" s="74"/>
    </row>
    <row r="1295" spans="4:61" x14ac:dyDescent="0.3">
      <c r="D1295" s="74"/>
      <c r="E1295" s="74"/>
      <c r="X1295" s="74"/>
      <c r="Y1295" s="74"/>
      <c r="Z1295" s="74"/>
      <c r="AA1295" s="74"/>
      <c r="AB1295" s="74"/>
      <c r="AC1295" s="74"/>
      <c r="AN1295" s="74"/>
      <c r="AO1295" s="74"/>
      <c r="AP1295" s="74"/>
      <c r="AQ1295" s="74"/>
      <c r="AR1295" s="74"/>
      <c r="AS1295" s="74"/>
      <c r="BD1295" s="74"/>
      <c r="BE1295" s="74"/>
      <c r="BF1295" s="74"/>
      <c r="BG1295" s="74"/>
      <c r="BH1295" s="74"/>
      <c r="BI1295" s="74"/>
    </row>
    <row r="1296" spans="4:61" x14ac:dyDescent="0.3">
      <c r="D1296" s="74"/>
      <c r="E1296" s="74"/>
      <c r="X1296" s="74"/>
      <c r="Y1296" s="74"/>
      <c r="Z1296" s="74"/>
      <c r="AA1296" s="74"/>
      <c r="AB1296" s="74"/>
      <c r="AC1296" s="74"/>
      <c r="AN1296" s="74"/>
      <c r="AO1296" s="74"/>
      <c r="AP1296" s="74"/>
      <c r="AQ1296" s="74"/>
      <c r="AR1296" s="74"/>
      <c r="AS1296" s="74"/>
      <c r="BD1296" s="74"/>
      <c r="BE1296" s="74"/>
      <c r="BF1296" s="74"/>
      <c r="BG1296" s="74"/>
      <c r="BH1296" s="74"/>
      <c r="BI1296" s="74"/>
    </row>
    <row r="1297" spans="4:61" x14ac:dyDescent="0.3">
      <c r="D1297" s="74"/>
      <c r="E1297" s="74"/>
      <c r="X1297" s="74"/>
      <c r="Y1297" s="74"/>
      <c r="Z1297" s="74"/>
      <c r="AA1297" s="74"/>
      <c r="AB1297" s="74"/>
      <c r="AC1297" s="74"/>
      <c r="AN1297" s="74"/>
      <c r="AO1297" s="74"/>
      <c r="AP1297" s="74"/>
      <c r="AQ1297" s="74"/>
      <c r="AR1297" s="74"/>
      <c r="AS1297" s="74"/>
      <c r="BD1297" s="74"/>
      <c r="BE1297" s="74"/>
      <c r="BF1297" s="74"/>
      <c r="BG1297" s="74"/>
      <c r="BH1297" s="74"/>
      <c r="BI1297" s="74"/>
    </row>
    <row r="1298" spans="4:61" x14ac:dyDescent="0.3">
      <c r="D1298" s="74"/>
      <c r="E1298" s="74"/>
      <c r="X1298" s="74"/>
      <c r="Y1298" s="74"/>
      <c r="Z1298" s="74"/>
      <c r="AA1298" s="74"/>
      <c r="AB1298" s="74"/>
      <c r="AC1298" s="74"/>
      <c r="AN1298" s="74"/>
      <c r="AO1298" s="74"/>
      <c r="AP1298" s="74"/>
      <c r="AQ1298" s="74"/>
      <c r="AR1298" s="74"/>
      <c r="AS1298" s="74"/>
      <c r="BD1298" s="74"/>
      <c r="BE1298" s="74"/>
      <c r="BF1298" s="74"/>
      <c r="BG1298" s="74"/>
      <c r="BH1298" s="74"/>
      <c r="BI1298" s="74"/>
    </row>
    <row r="1299" spans="4:61" x14ac:dyDescent="0.3">
      <c r="D1299" s="74"/>
      <c r="E1299" s="74"/>
      <c r="X1299" s="74"/>
      <c r="Y1299" s="74"/>
      <c r="Z1299" s="74"/>
      <c r="AA1299" s="74"/>
      <c r="AB1299" s="74"/>
      <c r="AC1299" s="74"/>
      <c r="AN1299" s="74"/>
      <c r="AO1299" s="74"/>
      <c r="AP1299" s="74"/>
      <c r="AQ1299" s="74"/>
      <c r="AR1299" s="74"/>
      <c r="AS1299" s="74"/>
      <c r="BD1299" s="74"/>
      <c r="BE1299" s="74"/>
      <c r="BF1299" s="74"/>
      <c r="BG1299" s="74"/>
      <c r="BH1299" s="74"/>
      <c r="BI1299" s="74"/>
    </row>
    <row r="1300" spans="4:61" x14ac:dyDescent="0.3">
      <c r="D1300" s="74"/>
      <c r="E1300" s="74"/>
      <c r="X1300" s="74"/>
      <c r="Y1300" s="74"/>
      <c r="Z1300" s="74"/>
      <c r="AA1300" s="74"/>
      <c r="AB1300" s="74"/>
      <c r="AC1300" s="74"/>
      <c r="AN1300" s="74"/>
      <c r="AO1300" s="74"/>
      <c r="AP1300" s="74"/>
      <c r="AQ1300" s="74"/>
      <c r="AR1300" s="74"/>
      <c r="AS1300" s="74"/>
      <c r="BD1300" s="74"/>
      <c r="BE1300" s="74"/>
      <c r="BF1300" s="74"/>
      <c r="BG1300" s="74"/>
      <c r="BH1300" s="74"/>
      <c r="BI1300" s="74"/>
    </row>
    <row r="1301" spans="4:61" x14ac:dyDescent="0.3">
      <c r="D1301" s="74"/>
      <c r="E1301" s="74"/>
      <c r="X1301" s="74"/>
      <c r="Y1301" s="74"/>
      <c r="Z1301" s="74"/>
      <c r="AA1301" s="74"/>
      <c r="AB1301" s="74"/>
      <c r="AC1301" s="74"/>
      <c r="AN1301" s="74"/>
      <c r="AO1301" s="74"/>
      <c r="AP1301" s="74"/>
      <c r="AQ1301" s="74"/>
      <c r="AR1301" s="74"/>
      <c r="AS1301" s="74"/>
      <c r="BD1301" s="74"/>
      <c r="BE1301" s="74"/>
      <c r="BF1301" s="74"/>
      <c r="BG1301" s="74"/>
      <c r="BH1301" s="74"/>
      <c r="BI1301" s="74"/>
    </row>
    <row r="1302" spans="4:61" x14ac:dyDescent="0.3">
      <c r="D1302" s="74"/>
      <c r="E1302" s="74"/>
      <c r="X1302" s="74"/>
      <c r="Y1302" s="74"/>
      <c r="Z1302" s="74"/>
      <c r="AA1302" s="74"/>
      <c r="AB1302" s="74"/>
      <c r="AC1302" s="74"/>
      <c r="AN1302" s="74"/>
      <c r="AO1302" s="74"/>
      <c r="AP1302" s="74"/>
      <c r="AQ1302" s="74"/>
      <c r="AR1302" s="74"/>
      <c r="AS1302" s="74"/>
      <c r="BD1302" s="74"/>
      <c r="BE1302" s="74"/>
      <c r="BF1302" s="74"/>
      <c r="BG1302" s="74"/>
      <c r="BH1302" s="74"/>
      <c r="BI1302" s="74"/>
    </row>
    <row r="1303" spans="4:61" x14ac:dyDescent="0.3">
      <c r="D1303" s="74"/>
      <c r="E1303" s="74"/>
      <c r="X1303" s="74"/>
      <c r="Y1303" s="74"/>
      <c r="Z1303" s="74"/>
      <c r="AA1303" s="74"/>
      <c r="AB1303" s="74"/>
      <c r="AC1303" s="74"/>
      <c r="AN1303" s="74"/>
      <c r="AO1303" s="74"/>
      <c r="AP1303" s="74"/>
      <c r="AQ1303" s="74"/>
      <c r="AR1303" s="74"/>
      <c r="AS1303" s="74"/>
      <c r="BD1303" s="74"/>
      <c r="BE1303" s="74"/>
      <c r="BF1303" s="74"/>
      <c r="BG1303" s="74"/>
      <c r="BH1303" s="74"/>
      <c r="BI1303" s="74"/>
    </row>
    <row r="1304" spans="4:61" x14ac:dyDescent="0.3">
      <c r="D1304" s="74"/>
      <c r="E1304" s="74"/>
      <c r="X1304" s="74"/>
      <c r="Y1304" s="74"/>
      <c r="Z1304" s="74"/>
      <c r="AA1304" s="74"/>
      <c r="AB1304" s="74"/>
      <c r="AC1304" s="74"/>
      <c r="AN1304" s="74"/>
      <c r="AO1304" s="74"/>
      <c r="AP1304" s="74"/>
      <c r="AQ1304" s="74"/>
      <c r="AR1304" s="74"/>
      <c r="AS1304" s="74"/>
      <c r="BD1304" s="74"/>
      <c r="BE1304" s="74"/>
      <c r="BF1304" s="74"/>
      <c r="BG1304" s="74"/>
      <c r="BH1304" s="74"/>
      <c r="BI1304" s="74"/>
    </row>
    <row r="1305" spans="4:61" x14ac:dyDescent="0.3">
      <c r="D1305" s="74"/>
      <c r="E1305" s="74"/>
      <c r="X1305" s="74"/>
      <c r="Y1305" s="74"/>
      <c r="Z1305" s="74"/>
      <c r="AA1305" s="74"/>
      <c r="AB1305" s="74"/>
      <c r="AC1305" s="74"/>
      <c r="AN1305" s="74"/>
      <c r="AO1305" s="74"/>
      <c r="AP1305" s="74"/>
      <c r="AQ1305" s="74"/>
      <c r="AR1305" s="74"/>
      <c r="AS1305" s="74"/>
      <c r="BD1305" s="74"/>
      <c r="BE1305" s="74"/>
      <c r="BF1305" s="74"/>
      <c r="BG1305" s="74"/>
      <c r="BH1305" s="74"/>
      <c r="BI1305" s="74"/>
    </row>
    <row r="1306" spans="4:61" x14ac:dyDescent="0.3">
      <c r="D1306" s="74"/>
      <c r="E1306" s="74"/>
      <c r="X1306" s="74"/>
      <c r="Y1306" s="74"/>
      <c r="Z1306" s="74"/>
      <c r="AA1306" s="74"/>
      <c r="AB1306" s="74"/>
      <c r="AC1306" s="74"/>
      <c r="AN1306" s="74"/>
      <c r="AO1306" s="74"/>
      <c r="AP1306" s="74"/>
      <c r="AQ1306" s="74"/>
      <c r="AR1306" s="74"/>
      <c r="AS1306" s="74"/>
      <c r="BD1306" s="74"/>
      <c r="BE1306" s="74"/>
      <c r="BF1306" s="74"/>
      <c r="BG1306" s="74"/>
      <c r="BH1306" s="74"/>
      <c r="BI1306" s="74"/>
    </row>
    <row r="1307" spans="4:61" x14ac:dyDescent="0.3">
      <c r="D1307" s="74"/>
      <c r="E1307" s="74"/>
      <c r="X1307" s="74"/>
      <c r="Y1307" s="74"/>
      <c r="Z1307" s="74"/>
      <c r="AA1307" s="74"/>
      <c r="AB1307" s="74"/>
      <c r="AC1307" s="74"/>
      <c r="AN1307" s="74"/>
      <c r="AO1307" s="74"/>
      <c r="AP1307" s="74"/>
      <c r="AQ1307" s="74"/>
      <c r="AR1307" s="74"/>
      <c r="AS1307" s="74"/>
      <c r="BD1307" s="74"/>
      <c r="BE1307" s="74"/>
      <c r="BF1307" s="74"/>
      <c r="BG1307" s="74"/>
      <c r="BH1307" s="74"/>
      <c r="BI1307" s="74"/>
    </row>
    <row r="1308" spans="4:61" x14ac:dyDescent="0.3">
      <c r="D1308" s="74"/>
      <c r="E1308" s="74"/>
      <c r="X1308" s="74"/>
      <c r="Y1308" s="74"/>
      <c r="Z1308" s="74"/>
      <c r="AA1308" s="74"/>
      <c r="AB1308" s="74"/>
      <c r="AC1308" s="74"/>
      <c r="AN1308" s="74"/>
      <c r="AO1308" s="74"/>
      <c r="AP1308" s="74"/>
      <c r="AQ1308" s="74"/>
      <c r="AR1308" s="74"/>
      <c r="AS1308" s="74"/>
      <c r="BD1308" s="74"/>
      <c r="BE1308" s="74"/>
      <c r="BF1308" s="74"/>
      <c r="BG1308" s="74"/>
      <c r="BH1308" s="74"/>
      <c r="BI1308" s="74"/>
    </row>
    <row r="1309" spans="4:61" x14ac:dyDescent="0.3">
      <c r="D1309" s="74"/>
      <c r="E1309" s="74"/>
      <c r="X1309" s="74"/>
      <c r="Y1309" s="74"/>
      <c r="Z1309" s="74"/>
      <c r="AA1309" s="74"/>
      <c r="AB1309" s="74"/>
      <c r="AC1309" s="74"/>
      <c r="AN1309" s="74"/>
      <c r="AO1309" s="74"/>
      <c r="AP1309" s="74"/>
      <c r="AQ1309" s="74"/>
      <c r="AR1309" s="74"/>
      <c r="AS1309" s="74"/>
      <c r="BD1309" s="74"/>
      <c r="BE1309" s="74"/>
      <c r="BF1309" s="74"/>
      <c r="BG1309" s="74"/>
      <c r="BH1309" s="74"/>
      <c r="BI1309" s="74"/>
    </row>
    <row r="1310" spans="4:61" x14ac:dyDescent="0.3">
      <c r="D1310" s="74"/>
      <c r="E1310" s="74"/>
      <c r="X1310" s="74"/>
      <c r="Y1310" s="74"/>
      <c r="Z1310" s="74"/>
      <c r="AA1310" s="74"/>
      <c r="AB1310" s="74"/>
      <c r="AC1310" s="74"/>
      <c r="AN1310" s="74"/>
      <c r="AO1310" s="74"/>
      <c r="AP1310" s="74"/>
      <c r="AQ1310" s="74"/>
      <c r="AR1310" s="74"/>
      <c r="AS1310" s="74"/>
      <c r="BD1310" s="74"/>
      <c r="BE1310" s="74"/>
      <c r="BF1310" s="74"/>
      <c r="BG1310" s="74"/>
      <c r="BH1310" s="74"/>
      <c r="BI1310" s="74"/>
    </row>
    <row r="1311" spans="4:61" x14ac:dyDescent="0.3">
      <c r="D1311" s="74"/>
      <c r="E1311" s="74"/>
      <c r="X1311" s="74"/>
      <c r="Y1311" s="74"/>
      <c r="Z1311" s="74"/>
      <c r="AA1311" s="74"/>
      <c r="AB1311" s="74"/>
      <c r="AC1311" s="74"/>
      <c r="AN1311" s="74"/>
      <c r="AO1311" s="74"/>
      <c r="AP1311" s="74"/>
      <c r="AQ1311" s="74"/>
      <c r="AR1311" s="74"/>
      <c r="AS1311" s="74"/>
      <c r="BD1311" s="74"/>
      <c r="BE1311" s="74"/>
      <c r="BF1311" s="74"/>
      <c r="BG1311" s="74"/>
      <c r="BH1311" s="74"/>
      <c r="BI1311" s="74"/>
    </row>
    <row r="1312" spans="4:61" x14ac:dyDescent="0.3">
      <c r="D1312" s="74"/>
      <c r="E1312" s="74"/>
      <c r="X1312" s="74"/>
      <c r="Y1312" s="74"/>
      <c r="Z1312" s="74"/>
      <c r="AA1312" s="74"/>
      <c r="AB1312" s="74"/>
      <c r="AC1312" s="74"/>
      <c r="AN1312" s="74"/>
      <c r="AO1312" s="74"/>
      <c r="AP1312" s="74"/>
      <c r="AQ1312" s="74"/>
      <c r="AR1312" s="74"/>
      <c r="AS1312" s="74"/>
      <c r="BD1312" s="74"/>
      <c r="BE1312" s="74"/>
      <c r="BF1312" s="74"/>
      <c r="BG1312" s="74"/>
      <c r="BH1312" s="74"/>
      <c r="BI1312" s="74"/>
    </row>
    <row r="1313" spans="4:61" x14ac:dyDescent="0.3">
      <c r="D1313" s="74"/>
      <c r="E1313" s="74"/>
      <c r="X1313" s="74"/>
      <c r="Y1313" s="74"/>
      <c r="Z1313" s="74"/>
      <c r="AA1313" s="74"/>
      <c r="AB1313" s="74"/>
      <c r="AC1313" s="74"/>
      <c r="AN1313" s="74"/>
      <c r="AO1313" s="74"/>
      <c r="AP1313" s="74"/>
      <c r="AQ1313" s="74"/>
      <c r="AR1313" s="74"/>
      <c r="AS1313" s="74"/>
      <c r="BD1313" s="74"/>
      <c r="BE1313" s="74"/>
      <c r="BF1313" s="74"/>
      <c r="BG1313" s="74"/>
      <c r="BH1313" s="74"/>
      <c r="BI1313" s="74"/>
    </row>
    <row r="1314" spans="4:61" x14ac:dyDescent="0.3">
      <c r="D1314" s="74"/>
      <c r="E1314" s="74"/>
      <c r="X1314" s="74"/>
      <c r="Y1314" s="74"/>
      <c r="Z1314" s="74"/>
      <c r="AA1314" s="74"/>
      <c r="AB1314" s="74"/>
      <c r="AC1314" s="74"/>
      <c r="AN1314" s="74"/>
      <c r="AO1314" s="74"/>
      <c r="AP1314" s="74"/>
      <c r="AQ1314" s="74"/>
      <c r="AR1314" s="74"/>
      <c r="AS1314" s="74"/>
      <c r="BD1314" s="74"/>
      <c r="BE1314" s="74"/>
      <c r="BF1314" s="74"/>
      <c r="BG1314" s="74"/>
      <c r="BH1314" s="74"/>
      <c r="BI1314" s="74"/>
    </row>
    <row r="1315" spans="4:61" x14ac:dyDescent="0.3">
      <c r="D1315" s="74"/>
      <c r="E1315" s="74"/>
      <c r="X1315" s="74"/>
      <c r="Y1315" s="74"/>
      <c r="Z1315" s="74"/>
      <c r="AA1315" s="74"/>
      <c r="AB1315" s="74"/>
      <c r="AC1315" s="74"/>
      <c r="AN1315" s="74"/>
      <c r="AO1315" s="74"/>
      <c r="AP1315" s="74"/>
      <c r="AQ1315" s="74"/>
      <c r="AR1315" s="74"/>
      <c r="AS1315" s="74"/>
      <c r="BD1315" s="74"/>
      <c r="BE1315" s="74"/>
      <c r="BF1315" s="74"/>
      <c r="BG1315" s="74"/>
      <c r="BH1315" s="74"/>
      <c r="BI1315" s="74"/>
    </row>
    <row r="1316" spans="4:61" x14ac:dyDescent="0.3">
      <c r="D1316" s="74"/>
      <c r="E1316" s="74"/>
      <c r="X1316" s="74"/>
      <c r="Y1316" s="74"/>
      <c r="Z1316" s="74"/>
      <c r="AA1316" s="74"/>
      <c r="AB1316" s="74"/>
      <c r="AC1316" s="74"/>
      <c r="AN1316" s="74"/>
      <c r="AO1316" s="74"/>
      <c r="AP1316" s="74"/>
      <c r="AQ1316" s="74"/>
      <c r="AR1316" s="74"/>
      <c r="AS1316" s="74"/>
      <c r="BD1316" s="74"/>
      <c r="BE1316" s="74"/>
      <c r="BF1316" s="74"/>
      <c r="BG1316" s="74"/>
      <c r="BH1316" s="74"/>
      <c r="BI1316" s="74"/>
    </row>
    <row r="1317" spans="4:61" x14ac:dyDescent="0.3">
      <c r="D1317" s="74"/>
      <c r="E1317" s="74"/>
      <c r="X1317" s="74"/>
      <c r="Y1317" s="74"/>
      <c r="Z1317" s="74"/>
      <c r="AA1317" s="74"/>
      <c r="AB1317" s="74"/>
      <c r="AC1317" s="74"/>
      <c r="AN1317" s="74"/>
      <c r="AO1317" s="74"/>
      <c r="AP1317" s="74"/>
      <c r="AQ1317" s="74"/>
      <c r="AR1317" s="74"/>
      <c r="AS1317" s="74"/>
      <c r="BD1317" s="74"/>
      <c r="BE1317" s="74"/>
      <c r="BF1317" s="74"/>
      <c r="BG1317" s="74"/>
      <c r="BH1317" s="74"/>
      <c r="BI1317" s="74"/>
    </row>
    <row r="1318" spans="4:61" x14ac:dyDescent="0.3">
      <c r="D1318" s="74"/>
      <c r="E1318" s="74"/>
      <c r="X1318" s="74"/>
      <c r="Y1318" s="74"/>
      <c r="Z1318" s="74"/>
      <c r="AA1318" s="74"/>
      <c r="AB1318" s="74"/>
      <c r="AC1318" s="74"/>
      <c r="AN1318" s="74"/>
      <c r="AO1318" s="74"/>
      <c r="AP1318" s="74"/>
      <c r="AQ1318" s="74"/>
      <c r="AR1318" s="74"/>
      <c r="AS1318" s="74"/>
      <c r="BD1318" s="74"/>
      <c r="BE1318" s="74"/>
      <c r="BF1318" s="74"/>
      <c r="BG1318" s="74"/>
      <c r="BH1318" s="74"/>
      <c r="BI1318" s="74"/>
    </row>
    <row r="1319" spans="4:61" x14ac:dyDescent="0.3">
      <c r="D1319" s="74"/>
      <c r="E1319" s="74"/>
      <c r="X1319" s="74"/>
      <c r="Y1319" s="74"/>
      <c r="Z1319" s="74"/>
      <c r="AA1319" s="74"/>
      <c r="AB1319" s="74"/>
      <c r="AC1319" s="74"/>
      <c r="AN1319" s="74"/>
      <c r="AO1319" s="74"/>
      <c r="AP1319" s="74"/>
      <c r="AQ1319" s="74"/>
      <c r="AR1319" s="74"/>
      <c r="AS1319" s="74"/>
      <c r="BD1319" s="74"/>
      <c r="BE1319" s="74"/>
      <c r="BF1319" s="74"/>
      <c r="BG1319" s="74"/>
      <c r="BH1319" s="74"/>
      <c r="BI1319" s="74"/>
    </row>
    <row r="1320" spans="4:61" x14ac:dyDescent="0.3">
      <c r="D1320" s="74"/>
      <c r="E1320" s="74"/>
      <c r="X1320" s="74"/>
      <c r="Y1320" s="74"/>
      <c r="Z1320" s="74"/>
      <c r="AA1320" s="74"/>
      <c r="AB1320" s="74"/>
      <c r="AC1320" s="74"/>
      <c r="AN1320" s="74"/>
      <c r="AO1320" s="74"/>
      <c r="AP1320" s="74"/>
      <c r="AQ1320" s="74"/>
      <c r="AR1320" s="74"/>
      <c r="AS1320" s="74"/>
      <c r="BD1320" s="74"/>
      <c r="BE1320" s="74"/>
      <c r="BF1320" s="74"/>
      <c r="BG1320" s="74"/>
      <c r="BH1320" s="74"/>
      <c r="BI1320" s="74"/>
    </row>
    <row r="1321" spans="4:61" x14ac:dyDescent="0.3">
      <c r="D1321" s="74"/>
      <c r="E1321" s="74"/>
      <c r="X1321" s="74"/>
      <c r="Y1321" s="74"/>
      <c r="Z1321" s="74"/>
      <c r="AA1321" s="74"/>
      <c r="AB1321" s="74"/>
      <c r="AC1321" s="74"/>
      <c r="AN1321" s="74"/>
      <c r="AO1321" s="74"/>
      <c r="AP1321" s="74"/>
      <c r="AQ1321" s="74"/>
      <c r="AR1321" s="74"/>
      <c r="AS1321" s="74"/>
      <c r="BD1321" s="74"/>
      <c r="BE1321" s="74"/>
      <c r="BF1321" s="74"/>
      <c r="BG1321" s="74"/>
      <c r="BH1321" s="74"/>
      <c r="BI1321" s="74"/>
    </row>
    <row r="1322" spans="4:61" x14ac:dyDescent="0.3">
      <c r="D1322" s="74"/>
      <c r="E1322" s="74"/>
      <c r="X1322" s="74"/>
      <c r="Y1322" s="74"/>
      <c r="Z1322" s="74"/>
      <c r="AA1322" s="74"/>
      <c r="AB1322" s="74"/>
      <c r="AC1322" s="74"/>
      <c r="AN1322" s="74"/>
      <c r="AO1322" s="74"/>
      <c r="AP1322" s="74"/>
      <c r="AQ1322" s="74"/>
      <c r="AR1322" s="74"/>
      <c r="AS1322" s="74"/>
      <c r="BD1322" s="74"/>
      <c r="BE1322" s="74"/>
      <c r="BF1322" s="74"/>
      <c r="BG1322" s="74"/>
      <c r="BH1322" s="74"/>
      <c r="BI1322" s="74"/>
    </row>
    <row r="1323" spans="4:61" x14ac:dyDescent="0.3">
      <c r="D1323" s="74"/>
      <c r="E1323" s="74"/>
      <c r="X1323" s="74"/>
      <c r="Y1323" s="74"/>
      <c r="Z1323" s="74"/>
      <c r="AA1323" s="74"/>
      <c r="AB1323" s="74"/>
      <c r="AC1323" s="74"/>
      <c r="AN1323" s="74"/>
      <c r="AO1323" s="74"/>
      <c r="AP1323" s="74"/>
      <c r="AQ1323" s="74"/>
      <c r="AR1323" s="74"/>
      <c r="AS1323" s="74"/>
      <c r="BD1323" s="74"/>
      <c r="BE1323" s="74"/>
      <c r="BF1323" s="74"/>
      <c r="BG1323" s="74"/>
      <c r="BH1323" s="74"/>
      <c r="BI1323" s="74"/>
    </row>
    <row r="1324" spans="4:61" x14ac:dyDescent="0.3">
      <c r="D1324" s="74"/>
      <c r="E1324" s="74"/>
      <c r="X1324" s="74"/>
      <c r="Y1324" s="74"/>
      <c r="Z1324" s="74"/>
      <c r="AA1324" s="74"/>
      <c r="AB1324" s="74"/>
      <c r="AC1324" s="74"/>
      <c r="AN1324" s="74"/>
      <c r="AO1324" s="74"/>
      <c r="AP1324" s="74"/>
      <c r="AQ1324" s="74"/>
      <c r="AR1324" s="74"/>
      <c r="AS1324" s="74"/>
      <c r="BD1324" s="74"/>
      <c r="BE1324" s="74"/>
      <c r="BF1324" s="74"/>
      <c r="BG1324" s="74"/>
      <c r="BH1324" s="74"/>
      <c r="BI1324" s="74"/>
    </row>
    <row r="1325" spans="4:61" x14ac:dyDescent="0.3">
      <c r="D1325" s="74"/>
      <c r="E1325" s="74"/>
      <c r="X1325" s="74"/>
      <c r="Y1325" s="74"/>
      <c r="Z1325" s="74"/>
      <c r="AA1325" s="74"/>
      <c r="AB1325" s="74"/>
      <c r="AC1325" s="74"/>
      <c r="AN1325" s="74"/>
      <c r="AO1325" s="74"/>
      <c r="AP1325" s="74"/>
      <c r="AQ1325" s="74"/>
      <c r="AR1325" s="74"/>
      <c r="AS1325" s="74"/>
      <c r="BD1325" s="74"/>
      <c r="BE1325" s="74"/>
      <c r="BF1325" s="74"/>
      <c r="BG1325" s="74"/>
      <c r="BH1325" s="74"/>
      <c r="BI1325" s="74"/>
    </row>
    <row r="1326" spans="4:61" x14ac:dyDescent="0.3">
      <c r="D1326" s="74"/>
      <c r="E1326" s="74"/>
      <c r="X1326" s="74"/>
      <c r="Y1326" s="74"/>
      <c r="Z1326" s="74"/>
      <c r="AA1326" s="74"/>
      <c r="AB1326" s="74"/>
      <c r="AC1326" s="74"/>
      <c r="AN1326" s="74"/>
      <c r="AO1326" s="74"/>
      <c r="AP1326" s="74"/>
      <c r="AQ1326" s="74"/>
      <c r="AR1326" s="74"/>
      <c r="AS1326" s="74"/>
      <c r="BD1326" s="74"/>
      <c r="BE1326" s="74"/>
      <c r="BF1326" s="74"/>
      <c r="BG1326" s="74"/>
      <c r="BH1326" s="74"/>
      <c r="BI1326" s="74"/>
    </row>
    <row r="1327" spans="4:61" x14ac:dyDescent="0.3">
      <c r="D1327" s="74"/>
      <c r="E1327" s="74"/>
      <c r="X1327" s="74"/>
      <c r="Y1327" s="74"/>
      <c r="Z1327" s="74"/>
      <c r="AA1327" s="74"/>
      <c r="AB1327" s="74"/>
      <c r="AC1327" s="74"/>
      <c r="AN1327" s="74"/>
      <c r="AO1327" s="74"/>
      <c r="AP1327" s="74"/>
      <c r="AQ1327" s="74"/>
      <c r="AR1327" s="74"/>
      <c r="AS1327" s="74"/>
      <c r="BD1327" s="74"/>
      <c r="BE1327" s="74"/>
      <c r="BF1327" s="74"/>
      <c r="BG1327" s="74"/>
      <c r="BH1327" s="74"/>
      <c r="BI1327" s="74"/>
    </row>
    <row r="1328" spans="4:61" x14ac:dyDescent="0.3">
      <c r="D1328" s="74"/>
      <c r="E1328" s="74"/>
      <c r="X1328" s="74"/>
      <c r="Y1328" s="74"/>
      <c r="Z1328" s="74"/>
      <c r="AA1328" s="74"/>
      <c r="AB1328" s="74"/>
      <c r="AC1328" s="74"/>
      <c r="AN1328" s="74"/>
      <c r="AO1328" s="74"/>
      <c r="AP1328" s="74"/>
      <c r="AQ1328" s="74"/>
      <c r="AR1328" s="74"/>
      <c r="AS1328" s="74"/>
      <c r="BD1328" s="74"/>
      <c r="BE1328" s="74"/>
      <c r="BF1328" s="74"/>
      <c r="BG1328" s="74"/>
      <c r="BH1328" s="74"/>
      <c r="BI1328" s="74"/>
    </row>
    <row r="1329" spans="4:61" x14ac:dyDescent="0.3">
      <c r="D1329" s="74"/>
      <c r="E1329" s="74"/>
      <c r="X1329" s="74"/>
      <c r="Y1329" s="74"/>
      <c r="Z1329" s="74"/>
      <c r="AA1329" s="74"/>
      <c r="AB1329" s="74"/>
      <c r="AC1329" s="74"/>
      <c r="AN1329" s="74"/>
      <c r="AO1329" s="74"/>
      <c r="AP1329" s="74"/>
      <c r="AQ1329" s="74"/>
      <c r="AR1329" s="74"/>
      <c r="AS1329" s="74"/>
      <c r="BD1329" s="74"/>
      <c r="BE1329" s="74"/>
      <c r="BF1329" s="74"/>
      <c r="BG1329" s="74"/>
      <c r="BH1329" s="74"/>
      <c r="BI1329" s="74"/>
    </row>
    <row r="1330" spans="4:61" x14ac:dyDescent="0.3">
      <c r="D1330" s="74"/>
      <c r="E1330" s="74"/>
      <c r="X1330" s="74"/>
      <c r="Y1330" s="74"/>
      <c r="Z1330" s="74"/>
      <c r="AA1330" s="74"/>
      <c r="AB1330" s="74"/>
      <c r="AC1330" s="74"/>
      <c r="AN1330" s="74"/>
      <c r="AO1330" s="74"/>
      <c r="AP1330" s="74"/>
      <c r="AQ1330" s="74"/>
      <c r="AR1330" s="74"/>
      <c r="AS1330" s="74"/>
      <c r="BD1330" s="74"/>
      <c r="BE1330" s="74"/>
      <c r="BF1330" s="74"/>
      <c r="BG1330" s="74"/>
      <c r="BH1330" s="74"/>
      <c r="BI1330" s="74"/>
    </row>
    <row r="1331" spans="4:61" x14ac:dyDescent="0.3">
      <c r="D1331" s="74"/>
      <c r="E1331" s="74"/>
      <c r="X1331" s="74"/>
      <c r="Y1331" s="74"/>
      <c r="Z1331" s="74"/>
      <c r="AA1331" s="74"/>
      <c r="AB1331" s="74"/>
      <c r="AC1331" s="74"/>
      <c r="AN1331" s="74"/>
      <c r="AO1331" s="74"/>
      <c r="AP1331" s="74"/>
      <c r="AQ1331" s="74"/>
      <c r="AR1331" s="74"/>
      <c r="AS1331" s="74"/>
      <c r="BD1331" s="74"/>
      <c r="BE1331" s="74"/>
      <c r="BF1331" s="74"/>
      <c r="BG1331" s="74"/>
      <c r="BH1331" s="74"/>
      <c r="BI1331" s="74"/>
    </row>
    <row r="1332" spans="4:61" x14ac:dyDescent="0.3">
      <c r="D1332" s="74"/>
      <c r="E1332" s="74"/>
      <c r="X1332" s="74"/>
      <c r="Y1332" s="74"/>
      <c r="Z1332" s="74"/>
      <c r="AA1332" s="74"/>
      <c r="AB1332" s="74"/>
      <c r="AC1332" s="74"/>
      <c r="AN1332" s="74"/>
      <c r="AO1332" s="74"/>
      <c r="AP1332" s="74"/>
      <c r="AQ1332" s="74"/>
      <c r="AR1332" s="74"/>
      <c r="AS1332" s="74"/>
      <c r="BD1332" s="74"/>
      <c r="BE1332" s="74"/>
      <c r="BF1332" s="74"/>
      <c r="BG1332" s="74"/>
      <c r="BH1332" s="74"/>
      <c r="BI1332" s="74"/>
    </row>
    <row r="1333" spans="4:61" x14ac:dyDescent="0.3">
      <c r="D1333" s="74"/>
      <c r="E1333" s="74"/>
      <c r="X1333" s="74"/>
      <c r="Y1333" s="74"/>
      <c r="Z1333" s="74"/>
      <c r="AA1333" s="74"/>
      <c r="AB1333" s="74"/>
      <c r="AC1333" s="74"/>
      <c r="AN1333" s="74"/>
      <c r="AO1333" s="74"/>
      <c r="AP1333" s="74"/>
      <c r="AQ1333" s="74"/>
      <c r="AR1333" s="74"/>
      <c r="AS1333" s="74"/>
      <c r="BD1333" s="74"/>
      <c r="BE1333" s="74"/>
      <c r="BF1333" s="74"/>
      <c r="BG1333" s="74"/>
      <c r="BH1333" s="74"/>
      <c r="BI1333" s="74"/>
    </row>
    <row r="1334" spans="4:61" x14ac:dyDescent="0.3">
      <c r="D1334" s="74"/>
      <c r="E1334" s="74"/>
      <c r="X1334" s="74"/>
      <c r="Y1334" s="74"/>
      <c r="Z1334" s="74"/>
      <c r="AA1334" s="74"/>
      <c r="AB1334" s="74"/>
      <c r="AC1334" s="74"/>
      <c r="AN1334" s="74"/>
      <c r="AO1334" s="74"/>
      <c r="AP1334" s="74"/>
      <c r="AQ1334" s="74"/>
      <c r="AR1334" s="74"/>
      <c r="AS1334" s="74"/>
      <c r="BD1334" s="74"/>
      <c r="BE1334" s="74"/>
      <c r="BF1334" s="74"/>
      <c r="BG1334" s="74"/>
      <c r="BH1334" s="74"/>
      <c r="BI1334" s="74"/>
    </row>
    <row r="1335" spans="4:61" x14ac:dyDescent="0.3">
      <c r="D1335" s="74"/>
      <c r="E1335" s="74"/>
      <c r="X1335" s="74"/>
      <c r="Y1335" s="74"/>
      <c r="Z1335" s="74"/>
      <c r="AA1335" s="74"/>
      <c r="AB1335" s="74"/>
      <c r="AC1335" s="74"/>
      <c r="AN1335" s="74"/>
      <c r="AO1335" s="74"/>
      <c r="AP1335" s="74"/>
      <c r="AQ1335" s="74"/>
      <c r="AR1335" s="74"/>
      <c r="AS1335" s="74"/>
      <c r="BD1335" s="74"/>
      <c r="BE1335" s="74"/>
      <c r="BF1335" s="74"/>
      <c r="BG1335" s="74"/>
      <c r="BH1335" s="74"/>
      <c r="BI1335" s="74"/>
    </row>
    <row r="1336" spans="4:61" x14ac:dyDescent="0.3">
      <c r="D1336" s="74"/>
      <c r="E1336" s="74"/>
      <c r="X1336" s="74"/>
      <c r="Y1336" s="74"/>
      <c r="Z1336" s="74"/>
      <c r="AA1336" s="74"/>
      <c r="AB1336" s="74"/>
      <c r="AC1336" s="74"/>
      <c r="AN1336" s="74"/>
      <c r="AO1336" s="74"/>
      <c r="AP1336" s="74"/>
      <c r="AQ1336" s="74"/>
      <c r="AR1336" s="74"/>
      <c r="AS1336" s="74"/>
      <c r="BD1336" s="74"/>
      <c r="BE1336" s="74"/>
      <c r="BF1336" s="74"/>
      <c r="BG1336" s="74"/>
      <c r="BH1336" s="74"/>
      <c r="BI1336" s="74"/>
    </row>
    <row r="1337" spans="4:61" x14ac:dyDescent="0.3">
      <c r="D1337" s="74"/>
      <c r="E1337" s="74"/>
      <c r="X1337" s="74"/>
      <c r="Y1337" s="74"/>
      <c r="Z1337" s="74"/>
      <c r="AA1337" s="74"/>
      <c r="AB1337" s="74"/>
      <c r="AC1337" s="74"/>
      <c r="AN1337" s="74"/>
      <c r="AO1337" s="74"/>
      <c r="AP1337" s="74"/>
      <c r="AQ1337" s="74"/>
      <c r="AR1337" s="74"/>
      <c r="AS1337" s="74"/>
      <c r="BD1337" s="74"/>
      <c r="BE1337" s="74"/>
      <c r="BF1337" s="74"/>
      <c r="BG1337" s="74"/>
      <c r="BH1337" s="74"/>
      <c r="BI1337" s="74"/>
    </row>
    <row r="1338" spans="4:61" x14ac:dyDescent="0.3">
      <c r="D1338" s="74"/>
      <c r="E1338" s="74"/>
      <c r="X1338" s="74"/>
      <c r="Y1338" s="74"/>
      <c r="Z1338" s="74"/>
      <c r="AA1338" s="74"/>
      <c r="AB1338" s="74"/>
      <c r="AC1338" s="74"/>
      <c r="AN1338" s="74"/>
      <c r="AO1338" s="74"/>
      <c r="AP1338" s="74"/>
      <c r="AQ1338" s="74"/>
      <c r="AR1338" s="74"/>
      <c r="AS1338" s="74"/>
      <c r="BD1338" s="74"/>
      <c r="BE1338" s="74"/>
      <c r="BF1338" s="74"/>
      <c r="BG1338" s="74"/>
      <c r="BH1338" s="74"/>
      <c r="BI1338" s="74"/>
    </row>
    <row r="1339" spans="4:61" x14ac:dyDescent="0.3">
      <c r="D1339" s="74"/>
      <c r="E1339" s="74"/>
      <c r="X1339" s="74"/>
      <c r="Y1339" s="74"/>
      <c r="Z1339" s="74"/>
      <c r="AA1339" s="74"/>
      <c r="AB1339" s="74"/>
      <c r="AC1339" s="74"/>
      <c r="AN1339" s="74"/>
      <c r="AO1339" s="74"/>
      <c r="AP1339" s="74"/>
      <c r="AQ1339" s="74"/>
      <c r="AR1339" s="74"/>
      <c r="AS1339" s="74"/>
      <c r="BD1339" s="74"/>
      <c r="BE1339" s="74"/>
      <c r="BF1339" s="74"/>
      <c r="BG1339" s="74"/>
      <c r="BH1339" s="74"/>
      <c r="BI1339" s="74"/>
    </row>
    <row r="1340" spans="4:61" x14ac:dyDescent="0.3">
      <c r="D1340" s="74"/>
      <c r="E1340" s="74"/>
      <c r="X1340" s="74"/>
      <c r="Y1340" s="74"/>
      <c r="Z1340" s="74"/>
      <c r="AA1340" s="74"/>
      <c r="AB1340" s="74"/>
      <c r="AC1340" s="74"/>
      <c r="AN1340" s="74"/>
      <c r="AO1340" s="74"/>
      <c r="AP1340" s="74"/>
      <c r="AQ1340" s="74"/>
      <c r="AR1340" s="74"/>
      <c r="AS1340" s="74"/>
      <c r="BD1340" s="74"/>
      <c r="BE1340" s="74"/>
      <c r="BF1340" s="74"/>
      <c r="BG1340" s="74"/>
      <c r="BH1340" s="74"/>
      <c r="BI1340" s="74"/>
    </row>
    <row r="1341" spans="4:61" x14ac:dyDescent="0.3">
      <c r="D1341" s="74"/>
      <c r="E1341" s="74"/>
      <c r="X1341" s="74"/>
      <c r="Y1341" s="74"/>
      <c r="Z1341" s="74"/>
      <c r="AA1341" s="74"/>
      <c r="AB1341" s="74"/>
      <c r="AC1341" s="74"/>
      <c r="AN1341" s="74"/>
      <c r="AO1341" s="74"/>
      <c r="AP1341" s="74"/>
      <c r="AQ1341" s="74"/>
      <c r="AR1341" s="74"/>
      <c r="AS1341" s="74"/>
      <c r="BD1341" s="74"/>
      <c r="BE1341" s="74"/>
      <c r="BF1341" s="74"/>
      <c r="BG1341" s="74"/>
      <c r="BH1341" s="74"/>
      <c r="BI1341" s="74"/>
    </row>
    <row r="1342" spans="4:61" x14ac:dyDescent="0.3">
      <c r="D1342" s="74"/>
      <c r="E1342" s="74"/>
      <c r="X1342" s="74"/>
      <c r="Y1342" s="74"/>
      <c r="Z1342" s="74"/>
      <c r="AA1342" s="74"/>
      <c r="AB1342" s="74"/>
      <c r="AC1342" s="74"/>
      <c r="AN1342" s="74"/>
      <c r="AO1342" s="74"/>
      <c r="AP1342" s="74"/>
      <c r="AQ1342" s="74"/>
      <c r="AR1342" s="74"/>
      <c r="AS1342" s="74"/>
      <c r="BD1342" s="74"/>
      <c r="BE1342" s="74"/>
      <c r="BF1342" s="74"/>
      <c r="BG1342" s="74"/>
      <c r="BH1342" s="74"/>
      <c r="BI1342" s="74"/>
    </row>
    <row r="1343" spans="4:61" x14ac:dyDescent="0.3">
      <c r="D1343" s="74"/>
      <c r="E1343" s="74"/>
      <c r="X1343" s="74"/>
      <c r="Y1343" s="74"/>
      <c r="Z1343" s="74"/>
      <c r="AA1343" s="74"/>
      <c r="AB1343" s="74"/>
      <c r="AC1343" s="74"/>
      <c r="AN1343" s="74"/>
      <c r="AO1343" s="74"/>
      <c r="AP1343" s="74"/>
      <c r="AQ1343" s="74"/>
      <c r="AR1343" s="74"/>
      <c r="AS1343" s="74"/>
      <c r="BD1343" s="74"/>
      <c r="BE1343" s="74"/>
      <c r="BF1343" s="74"/>
      <c r="BG1343" s="74"/>
      <c r="BH1343" s="74"/>
      <c r="BI1343" s="74"/>
    </row>
    <row r="1344" spans="4:61" x14ac:dyDescent="0.3">
      <c r="D1344" s="74"/>
      <c r="E1344" s="74"/>
      <c r="X1344" s="74"/>
      <c r="Y1344" s="74"/>
      <c r="Z1344" s="74"/>
      <c r="AA1344" s="74"/>
      <c r="AB1344" s="74"/>
      <c r="AC1344" s="74"/>
      <c r="AN1344" s="74"/>
      <c r="AO1344" s="74"/>
      <c r="AP1344" s="74"/>
      <c r="AQ1344" s="74"/>
      <c r="AR1344" s="74"/>
      <c r="AS1344" s="74"/>
      <c r="BD1344" s="74"/>
      <c r="BE1344" s="74"/>
      <c r="BF1344" s="74"/>
      <c r="BG1344" s="74"/>
      <c r="BH1344" s="74"/>
      <c r="BI1344" s="74"/>
    </row>
    <row r="1345" spans="4:61" x14ac:dyDescent="0.3">
      <c r="D1345" s="74"/>
      <c r="E1345" s="74"/>
      <c r="X1345" s="74"/>
      <c r="Y1345" s="74"/>
      <c r="Z1345" s="74"/>
      <c r="AA1345" s="74"/>
      <c r="AB1345" s="74"/>
      <c r="AC1345" s="74"/>
      <c r="AN1345" s="74"/>
      <c r="AO1345" s="74"/>
      <c r="AP1345" s="74"/>
      <c r="AQ1345" s="74"/>
      <c r="AR1345" s="74"/>
      <c r="AS1345" s="74"/>
      <c r="BD1345" s="74"/>
      <c r="BE1345" s="74"/>
      <c r="BF1345" s="74"/>
      <c r="BG1345" s="74"/>
      <c r="BH1345" s="74"/>
      <c r="BI1345" s="74"/>
    </row>
    <row r="1346" spans="4:61" x14ac:dyDescent="0.3">
      <c r="D1346" s="74"/>
      <c r="E1346" s="74"/>
      <c r="X1346" s="74"/>
      <c r="Y1346" s="74"/>
      <c r="Z1346" s="74"/>
      <c r="AA1346" s="74"/>
      <c r="AB1346" s="74"/>
      <c r="AC1346" s="74"/>
      <c r="AN1346" s="74"/>
      <c r="AO1346" s="74"/>
      <c r="AP1346" s="74"/>
      <c r="AQ1346" s="74"/>
      <c r="AR1346" s="74"/>
      <c r="AS1346" s="74"/>
      <c r="BD1346" s="74"/>
      <c r="BE1346" s="74"/>
      <c r="BF1346" s="74"/>
      <c r="BG1346" s="74"/>
      <c r="BH1346" s="74"/>
      <c r="BI1346" s="74"/>
    </row>
    <row r="1347" spans="4:61" x14ac:dyDescent="0.3">
      <c r="D1347" s="74"/>
      <c r="E1347" s="74"/>
      <c r="X1347" s="74"/>
      <c r="Y1347" s="74"/>
      <c r="Z1347" s="74"/>
      <c r="AA1347" s="74"/>
      <c r="AB1347" s="74"/>
      <c r="AC1347" s="74"/>
      <c r="AN1347" s="74"/>
      <c r="AO1347" s="74"/>
      <c r="AP1347" s="74"/>
      <c r="AQ1347" s="74"/>
      <c r="AR1347" s="74"/>
      <c r="AS1347" s="74"/>
      <c r="BD1347" s="74"/>
      <c r="BE1347" s="74"/>
      <c r="BF1347" s="74"/>
      <c r="BG1347" s="74"/>
      <c r="BH1347" s="74"/>
      <c r="BI1347" s="74"/>
    </row>
    <row r="1348" spans="4:61" x14ac:dyDescent="0.3">
      <c r="D1348" s="74"/>
      <c r="E1348" s="74"/>
      <c r="X1348" s="74"/>
      <c r="Y1348" s="74"/>
      <c r="Z1348" s="74"/>
      <c r="AA1348" s="74"/>
      <c r="AB1348" s="74"/>
      <c r="AC1348" s="74"/>
      <c r="AN1348" s="74"/>
      <c r="AO1348" s="74"/>
      <c r="AP1348" s="74"/>
      <c r="AQ1348" s="74"/>
      <c r="AR1348" s="74"/>
      <c r="AS1348" s="74"/>
      <c r="BD1348" s="74"/>
      <c r="BE1348" s="74"/>
      <c r="BF1348" s="74"/>
      <c r="BG1348" s="74"/>
      <c r="BH1348" s="74"/>
      <c r="BI1348" s="74"/>
    </row>
    <row r="1349" spans="4:61" x14ac:dyDescent="0.3">
      <c r="D1349" s="74"/>
      <c r="E1349" s="74"/>
      <c r="X1349" s="74"/>
      <c r="Y1349" s="74"/>
      <c r="Z1349" s="74"/>
      <c r="AA1349" s="74"/>
      <c r="AB1349" s="74"/>
      <c r="AC1349" s="74"/>
      <c r="AN1349" s="74"/>
      <c r="AO1349" s="74"/>
      <c r="AP1349" s="74"/>
      <c r="AQ1349" s="74"/>
      <c r="AR1349" s="74"/>
      <c r="AS1349" s="74"/>
      <c r="BD1349" s="74"/>
      <c r="BE1349" s="74"/>
      <c r="BF1349" s="74"/>
      <c r="BG1349" s="74"/>
      <c r="BH1349" s="74"/>
      <c r="BI1349" s="74"/>
    </row>
    <row r="1350" spans="4:61" x14ac:dyDescent="0.3">
      <c r="D1350" s="74"/>
      <c r="E1350" s="74"/>
      <c r="X1350" s="74"/>
      <c r="Y1350" s="74"/>
      <c r="Z1350" s="74"/>
      <c r="AA1350" s="74"/>
      <c r="AB1350" s="74"/>
      <c r="AC1350" s="74"/>
      <c r="AN1350" s="74"/>
      <c r="AO1350" s="74"/>
      <c r="AP1350" s="74"/>
      <c r="AQ1350" s="74"/>
      <c r="AR1350" s="74"/>
      <c r="AS1350" s="74"/>
      <c r="BD1350" s="74"/>
      <c r="BE1350" s="74"/>
      <c r="BF1350" s="74"/>
      <c r="BG1350" s="74"/>
      <c r="BH1350" s="74"/>
      <c r="BI1350" s="74"/>
    </row>
    <row r="1351" spans="4:61" x14ac:dyDescent="0.3">
      <c r="D1351" s="74"/>
      <c r="E1351" s="74"/>
      <c r="X1351" s="74"/>
      <c r="Y1351" s="74"/>
      <c r="Z1351" s="74"/>
      <c r="AA1351" s="74"/>
      <c r="AB1351" s="74"/>
      <c r="AC1351" s="74"/>
      <c r="AN1351" s="74"/>
      <c r="AO1351" s="74"/>
      <c r="AP1351" s="74"/>
      <c r="AQ1351" s="74"/>
      <c r="AR1351" s="74"/>
      <c r="AS1351" s="74"/>
      <c r="BD1351" s="74"/>
      <c r="BE1351" s="74"/>
      <c r="BF1351" s="74"/>
      <c r="BG1351" s="74"/>
      <c r="BH1351" s="74"/>
      <c r="BI1351" s="74"/>
    </row>
    <row r="1352" spans="4:61" x14ac:dyDescent="0.3">
      <c r="D1352" s="74"/>
      <c r="E1352" s="74"/>
      <c r="X1352" s="74"/>
      <c r="Y1352" s="74"/>
      <c r="Z1352" s="74"/>
      <c r="AA1352" s="74"/>
      <c r="AB1352" s="74"/>
      <c r="AC1352" s="74"/>
      <c r="AN1352" s="74"/>
      <c r="AO1352" s="74"/>
      <c r="AP1352" s="74"/>
      <c r="AQ1352" s="74"/>
      <c r="AR1352" s="74"/>
      <c r="AS1352" s="74"/>
      <c r="BD1352" s="74"/>
      <c r="BE1352" s="74"/>
      <c r="BF1352" s="74"/>
      <c r="BG1352" s="74"/>
      <c r="BH1352" s="74"/>
      <c r="BI1352" s="74"/>
    </row>
    <row r="1353" spans="4:61" x14ac:dyDescent="0.3">
      <c r="D1353" s="74"/>
      <c r="E1353" s="74"/>
      <c r="X1353" s="74"/>
      <c r="Y1353" s="74"/>
      <c r="Z1353" s="74"/>
      <c r="AA1353" s="74"/>
      <c r="AB1353" s="74"/>
      <c r="AC1353" s="74"/>
      <c r="AN1353" s="74"/>
      <c r="AO1353" s="74"/>
      <c r="AP1353" s="74"/>
      <c r="AQ1353" s="74"/>
      <c r="AR1353" s="74"/>
      <c r="AS1353" s="74"/>
      <c r="BD1353" s="74"/>
      <c r="BE1353" s="74"/>
      <c r="BF1353" s="74"/>
      <c r="BG1353" s="74"/>
      <c r="BH1353" s="74"/>
      <c r="BI1353" s="74"/>
    </row>
    <row r="1354" spans="4:61" x14ac:dyDescent="0.3">
      <c r="D1354" s="74"/>
      <c r="E1354" s="74"/>
      <c r="X1354" s="74"/>
      <c r="Y1354" s="74"/>
      <c r="Z1354" s="74"/>
      <c r="AA1354" s="74"/>
      <c r="AB1354" s="74"/>
      <c r="AC1354" s="74"/>
      <c r="AN1354" s="74"/>
      <c r="AO1354" s="74"/>
      <c r="AP1354" s="74"/>
      <c r="AQ1354" s="74"/>
      <c r="AR1354" s="74"/>
      <c r="AS1354" s="74"/>
      <c r="BD1354" s="74"/>
      <c r="BE1354" s="74"/>
      <c r="BF1354" s="74"/>
      <c r="BG1354" s="74"/>
      <c r="BH1354" s="74"/>
      <c r="BI1354" s="74"/>
    </row>
    <row r="1355" spans="4:61" x14ac:dyDescent="0.3">
      <c r="D1355" s="74"/>
      <c r="E1355" s="74"/>
      <c r="X1355" s="74"/>
      <c r="Y1355" s="74"/>
      <c r="Z1355" s="74"/>
      <c r="AA1355" s="74"/>
      <c r="AB1355" s="74"/>
      <c r="AC1355" s="74"/>
      <c r="AN1355" s="74"/>
      <c r="AO1355" s="74"/>
      <c r="AP1355" s="74"/>
      <c r="AQ1355" s="74"/>
      <c r="AR1355" s="74"/>
      <c r="AS1355" s="74"/>
      <c r="BD1355" s="74"/>
      <c r="BE1355" s="74"/>
      <c r="BF1355" s="74"/>
      <c r="BG1355" s="74"/>
      <c r="BH1355" s="74"/>
      <c r="BI1355" s="74"/>
    </row>
    <row r="1356" spans="4:61" x14ac:dyDescent="0.3">
      <c r="D1356" s="74"/>
      <c r="E1356" s="74"/>
      <c r="X1356" s="74"/>
      <c r="Y1356" s="74"/>
      <c r="Z1356" s="74"/>
      <c r="AA1356" s="74"/>
      <c r="AB1356" s="74"/>
      <c r="AC1356" s="74"/>
      <c r="AN1356" s="74"/>
      <c r="AO1356" s="74"/>
      <c r="AP1356" s="74"/>
      <c r="AQ1356" s="74"/>
      <c r="AR1356" s="74"/>
      <c r="AS1356" s="74"/>
      <c r="BD1356" s="74"/>
      <c r="BE1356" s="74"/>
      <c r="BF1356" s="74"/>
      <c r="BG1356" s="74"/>
      <c r="BH1356" s="74"/>
      <c r="BI1356" s="74"/>
    </row>
    <row r="1357" spans="4:61" x14ac:dyDescent="0.3">
      <c r="D1357" s="74"/>
      <c r="E1357" s="74"/>
      <c r="X1357" s="74"/>
      <c r="Y1357" s="74"/>
      <c r="Z1357" s="74"/>
      <c r="AA1357" s="74"/>
      <c r="AB1357" s="74"/>
      <c r="AC1357" s="74"/>
      <c r="AN1357" s="74"/>
      <c r="AO1357" s="74"/>
      <c r="AP1357" s="74"/>
      <c r="AQ1357" s="74"/>
      <c r="AR1357" s="74"/>
      <c r="AS1357" s="74"/>
      <c r="BD1357" s="74"/>
      <c r="BE1357" s="74"/>
      <c r="BF1357" s="74"/>
      <c r="BG1357" s="74"/>
      <c r="BH1357" s="74"/>
      <c r="BI1357" s="74"/>
    </row>
    <row r="1358" spans="4:61" x14ac:dyDescent="0.3">
      <c r="D1358" s="74"/>
      <c r="E1358" s="74"/>
      <c r="X1358" s="74"/>
      <c r="Y1358" s="74"/>
      <c r="Z1358" s="74"/>
      <c r="AA1358" s="74"/>
      <c r="AB1358" s="74"/>
      <c r="AC1358" s="74"/>
      <c r="AN1358" s="74"/>
      <c r="AO1358" s="74"/>
      <c r="AP1358" s="74"/>
      <c r="AQ1358" s="74"/>
      <c r="AR1358" s="74"/>
      <c r="AS1358" s="74"/>
      <c r="BD1358" s="74"/>
      <c r="BE1358" s="74"/>
      <c r="BF1358" s="74"/>
      <c r="BG1358" s="74"/>
      <c r="BH1358" s="74"/>
      <c r="BI1358" s="74"/>
    </row>
    <row r="1359" spans="4:61" x14ac:dyDescent="0.3">
      <c r="D1359" s="74"/>
      <c r="E1359" s="74"/>
      <c r="X1359" s="74"/>
      <c r="Y1359" s="74"/>
      <c r="Z1359" s="74"/>
      <c r="AA1359" s="74"/>
      <c r="AB1359" s="74"/>
      <c r="AC1359" s="74"/>
      <c r="AN1359" s="74"/>
      <c r="AO1359" s="74"/>
      <c r="AP1359" s="74"/>
      <c r="AQ1359" s="74"/>
      <c r="AR1359" s="74"/>
      <c r="AS1359" s="74"/>
      <c r="BD1359" s="74"/>
      <c r="BE1359" s="74"/>
      <c r="BF1359" s="74"/>
      <c r="BG1359" s="74"/>
      <c r="BH1359" s="74"/>
      <c r="BI1359" s="74"/>
    </row>
    <row r="1360" spans="4:61" x14ac:dyDescent="0.3">
      <c r="D1360" s="74"/>
      <c r="E1360" s="74"/>
      <c r="X1360" s="74"/>
      <c r="Y1360" s="74"/>
      <c r="Z1360" s="74"/>
      <c r="AA1360" s="74"/>
      <c r="AB1360" s="74"/>
      <c r="AC1360" s="74"/>
      <c r="AN1360" s="74"/>
      <c r="AO1360" s="74"/>
      <c r="AP1360" s="74"/>
      <c r="AQ1360" s="74"/>
      <c r="AR1360" s="74"/>
      <c r="AS1360" s="74"/>
      <c r="BD1360" s="74"/>
      <c r="BE1360" s="74"/>
      <c r="BF1360" s="74"/>
      <c r="BG1360" s="74"/>
      <c r="BH1360" s="74"/>
      <c r="BI1360" s="74"/>
    </row>
    <row r="1361" spans="4:61" x14ac:dyDescent="0.3">
      <c r="D1361" s="74"/>
      <c r="E1361" s="74"/>
      <c r="X1361" s="74"/>
      <c r="Y1361" s="74"/>
      <c r="Z1361" s="74"/>
      <c r="AA1361" s="74"/>
      <c r="AB1361" s="74"/>
      <c r="AC1361" s="74"/>
      <c r="AN1361" s="74"/>
      <c r="AO1361" s="74"/>
      <c r="AP1361" s="74"/>
      <c r="AQ1361" s="74"/>
      <c r="AR1361" s="74"/>
      <c r="AS1361" s="74"/>
      <c r="BD1361" s="74"/>
      <c r="BE1361" s="74"/>
      <c r="BF1361" s="74"/>
      <c r="BG1361" s="74"/>
      <c r="BH1361" s="74"/>
      <c r="BI1361" s="74"/>
    </row>
    <row r="1362" spans="4:61" x14ac:dyDescent="0.3">
      <c r="D1362" s="74"/>
      <c r="E1362" s="74"/>
      <c r="X1362" s="74"/>
      <c r="Y1362" s="74"/>
      <c r="Z1362" s="74"/>
      <c r="AA1362" s="74"/>
      <c r="AB1362" s="74"/>
      <c r="AC1362" s="74"/>
      <c r="AN1362" s="74"/>
      <c r="AO1362" s="74"/>
      <c r="AP1362" s="74"/>
      <c r="AQ1362" s="74"/>
      <c r="AR1362" s="74"/>
      <c r="AS1362" s="74"/>
      <c r="BD1362" s="74"/>
      <c r="BE1362" s="74"/>
      <c r="BF1362" s="74"/>
      <c r="BG1362" s="74"/>
      <c r="BH1362" s="74"/>
      <c r="BI1362" s="74"/>
    </row>
    <row r="1363" spans="4:61" x14ac:dyDescent="0.3">
      <c r="D1363" s="74"/>
      <c r="E1363" s="74"/>
      <c r="X1363" s="74"/>
      <c r="Y1363" s="74"/>
      <c r="Z1363" s="74"/>
      <c r="AA1363" s="74"/>
      <c r="AB1363" s="74"/>
      <c r="AC1363" s="74"/>
      <c r="AN1363" s="74"/>
      <c r="AO1363" s="74"/>
      <c r="AP1363" s="74"/>
      <c r="AQ1363" s="74"/>
      <c r="AR1363" s="74"/>
      <c r="AS1363" s="74"/>
      <c r="BD1363" s="74"/>
      <c r="BE1363" s="74"/>
      <c r="BF1363" s="74"/>
      <c r="BG1363" s="74"/>
      <c r="BH1363" s="74"/>
      <c r="BI1363" s="74"/>
    </row>
    <row r="1364" spans="4:61" x14ac:dyDescent="0.3">
      <c r="D1364" s="74"/>
      <c r="E1364" s="74"/>
      <c r="X1364" s="74"/>
      <c r="Y1364" s="74"/>
      <c r="Z1364" s="74"/>
      <c r="AA1364" s="74"/>
      <c r="AB1364" s="74"/>
      <c r="AC1364" s="74"/>
      <c r="AN1364" s="74"/>
      <c r="AO1364" s="74"/>
      <c r="AP1364" s="74"/>
      <c r="AQ1364" s="74"/>
      <c r="AR1364" s="74"/>
      <c r="AS1364" s="74"/>
      <c r="BD1364" s="74"/>
      <c r="BE1364" s="74"/>
      <c r="BF1364" s="74"/>
      <c r="BG1364" s="74"/>
      <c r="BH1364" s="74"/>
      <c r="BI1364" s="74"/>
    </row>
    <row r="1365" spans="4:61" x14ac:dyDescent="0.3">
      <c r="D1365" s="74"/>
      <c r="E1365" s="74"/>
      <c r="X1365" s="74"/>
      <c r="Y1365" s="74"/>
      <c r="Z1365" s="74"/>
      <c r="AA1365" s="74"/>
      <c r="AB1365" s="74"/>
      <c r="AC1365" s="74"/>
      <c r="AN1365" s="74"/>
      <c r="AO1365" s="74"/>
      <c r="AP1365" s="74"/>
      <c r="AQ1365" s="74"/>
      <c r="AR1365" s="74"/>
      <c r="AS1365" s="74"/>
      <c r="BD1365" s="74"/>
      <c r="BE1365" s="74"/>
      <c r="BF1365" s="74"/>
      <c r="BG1365" s="74"/>
      <c r="BH1365" s="74"/>
      <c r="BI1365" s="74"/>
    </row>
    <row r="1366" spans="4:61" x14ac:dyDescent="0.3">
      <c r="D1366" s="74"/>
      <c r="E1366" s="74"/>
      <c r="X1366" s="74"/>
      <c r="Y1366" s="74"/>
      <c r="Z1366" s="74"/>
      <c r="AA1366" s="74"/>
      <c r="AB1366" s="74"/>
      <c r="AC1366" s="74"/>
      <c r="AN1366" s="74"/>
      <c r="AO1366" s="74"/>
      <c r="AP1366" s="74"/>
      <c r="AQ1366" s="74"/>
      <c r="AR1366" s="74"/>
      <c r="AS1366" s="74"/>
      <c r="BD1366" s="74"/>
      <c r="BE1366" s="74"/>
      <c r="BF1366" s="74"/>
      <c r="BG1366" s="74"/>
      <c r="BH1366" s="74"/>
      <c r="BI1366" s="74"/>
    </row>
    <row r="1367" spans="4:61" x14ac:dyDescent="0.3">
      <c r="D1367" s="74"/>
      <c r="E1367" s="74"/>
      <c r="X1367" s="74"/>
      <c r="Y1367" s="74"/>
      <c r="Z1367" s="74"/>
      <c r="AA1367" s="74"/>
      <c r="AB1367" s="74"/>
      <c r="AC1367" s="74"/>
      <c r="AN1367" s="74"/>
      <c r="AO1367" s="74"/>
      <c r="AP1367" s="74"/>
      <c r="AQ1367" s="74"/>
      <c r="AR1367" s="74"/>
      <c r="AS1367" s="74"/>
      <c r="BD1367" s="74"/>
      <c r="BE1367" s="74"/>
      <c r="BF1367" s="74"/>
      <c r="BG1367" s="74"/>
      <c r="BH1367" s="74"/>
      <c r="BI1367" s="74"/>
    </row>
    <row r="1368" spans="4:61" x14ac:dyDescent="0.3">
      <c r="D1368" s="74"/>
      <c r="E1368" s="74"/>
      <c r="X1368" s="74"/>
      <c r="Y1368" s="74"/>
      <c r="Z1368" s="74"/>
      <c r="AA1368" s="74"/>
      <c r="AB1368" s="74"/>
      <c r="AC1368" s="74"/>
      <c r="AN1368" s="74"/>
      <c r="AO1368" s="74"/>
      <c r="AP1368" s="74"/>
      <c r="AQ1368" s="74"/>
      <c r="AR1368" s="74"/>
      <c r="AS1368" s="74"/>
      <c r="BD1368" s="74"/>
      <c r="BE1368" s="74"/>
      <c r="BF1368" s="74"/>
      <c r="BG1368" s="74"/>
      <c r="BH1368" s="74"/>
      <c r="BI1368" s="74"/>
    </row>
    <row r="1369" spans="4:61" x14ac:dyDescent="0.3">
      <c r="D1369" s="74"/>
      <c r="E1369" s="74"/>
      <c r="X1369" s="74"/>
      <c r="Y1369" s="74"/>
      <c r="Z1369" s="74"/>
      <c r="AA1369" s="74"/>
      <c r="AB1369" s="74"/>
      <c r="AC1369" s="74"/>
      <c r="AN1369" s="74"/>
      <c r="AO1369" s="74"/>
      <c r="AP1369" s="74"/>
      <c r="AQ1369" s="74"/>
      <c r="AR1369" s="74"/>
      <c r="AS1369" s="74"/>
      <c r="BD1369" s="74"/>
      <c r="BE1369" s="74"/>
      <c r="BF1369" s="74"/>
      <c r="BG1369" s="74"/>
      <c r="BH1369" s="74"/>
      <c r="BI1369" s="74"/>
    </row>
    <row r="1370" spans="4:61" x14ac:dyDescent="0.3">
      <c r="D1370" s="74"/>
      <c r="E1370" s="74"/>
      <c r="X1370" s="74"/>
      <c r="Y1370" s="74"/>
      <c r="Z1370" s="74"/>
      <c r="AA1370" s="74"/>
      <c r="AB1370" s="74"/>
      <c r="AC1370" s="74"/>
      <c r="AN1370" s="74"/>
      <c r="AO1370" s="74"/>
      <c r="AP1370" s="74"/>
      <c r="AQ1370" s="74"/>
      <c r="AR1370" s="74"/>
      <c r="AS1370" s="74"/>
      <c r="BD1370" s="74"/>
      <c r="BE1370" s="74"/>
      <c r="BF1370" s="74"/>
      <c r="BG1370" s="74"/>
      <c r="BH1370" s="74"/>
      <c r="BI1370" s="74"/>
    </row>
    <row r="1371" spans="4:61" x14ac:dyDescent="0.3">
      <c r="D1371" s="74"/>
      <c r="E1371" s="74"/>
      <c r="X1371" s="74"/>
      <c r="Y1371" s="74"/>
      <c r="Z1371" s="74"/>
      <c r="AA1371" s="74"/>
      <c r="AB1371" s="74"/>
      <c r="AC1371" s="74"/>
      <c r="AN1371" s="74"/>
      <c r="AO1371" s="74"/>
      <c r="AP1371" s="74"/>
      <c r="AQ1371" s="74"/>
      <c r="AR1371" s="74"/>
      <c r="AS1371" s="74"/>
      <c r="BD1371" s="74"/>
      <c r="BE1371" s="74"/>
      <c r="BF1371" s="74"/>
      <c r="BG1371" s="74"/>
      <c r="BH1371" s="74"/>
      <c r="BI1371" s="74"/>
    </row>
    <row r="1372" spans="4:61" x14ac:dyDescent="0.3">
      <c r="D1372" s="74"/>
      <c r="E1372" s="74"/>
      <c r="X1372" s="74"/>
      <c r="Y1372" s="74"/>
      <c r="Z1372" s="74"/>
      <c r="AA1372" s="74"/>
      <c r="AB1372" s="74"/>
      <c r="AC1372" s="74"/>
      <c r="AN1372" s="74"/>
      <c r="AO1372" s="74"/>
      <c r="AP1372" s="74"/>
      <c r="AQ1372" s="74"/>
      <c r="AR1372" s="74"/>
      <c r="AS1372" s="74"/>
      <c r="BD1372" s="74"/>
      <c r="BE1372" s="74"/>
      <c r="BF1372" s="74"/>
      <c r="BG1372" s="74"/>
      <c r="BH1372" s="74"/>
      <c r="BI1372" s="74"/>
    </row>
    <row r="1373" spans="4:61" x14ac:dyDescent="0.3">
      <c r="D1373" s="74"/>
      <c r="E1373" s="74"/>
      <c r="X1373" s="74"/>
      <c r="Y1373" s="74"/>
      <c r="Z1373" s="74"/>
      <c r="AA1373" s="74"/>
      <c r="AB1373" s="74"/>
      <c r="AC1373" s="74"/>
      <c r="AN1373" s="74"/>
      <c r="AO1373" s="74"/>
      <c r="AP1373" s="74"/>
      <c r="AQ1373" s="74"/>
      <c r="AR1373" s="74"/>
      <c r="AS1373" s="74"/>
      <c r="BD1373" s="74"/>
      <c r="BE1373" s="74"/>
      <c r="BF1373" s="74"/>
      <c r="BG1373" s="74"/>
      <c r="BH1373" s="74"/>
      <c r="BI1373" s="74"/>
    </row>
    <row r="1374" spans="4:61" x14ac:dyDescent="0.3">
      <c r="D1374" s="74"/>
      <c r="E1374" s="74"/>
      <c r="X1374" s="74"/>
      <c r="Y1374" s="74"/>
      <c r="Z1374" s="74"/>
      <c r="AA1374" s="74"/>
      <c r="AB1374" s="74"/>
      <c r="AC1374" s="74"/>
      <c r="AN1374" s="74"/>
      <c r="AO1374" s="74"/>
      <c r="AP1374" s="74"/>
      <c r="AQ1374" s="74"/>
      <c r="AR1374" s="74"/>
      <c r="AS1374" s="74"/>
      <c r="BD1374" s="74"/>
      <c r="BE1374" s="74"/>
      <c r="BF1374" s="74"/>
      <c r="BG1374" s="74"/>
      <c r="BH1374" s="74"/>
      <c r="BI1374" s="74"/>
    </row>
    <row r="1375" spans="4:61" x14ac:dyDescent="0.3">
      <c r="D1375" s="74"/>
      <c r="E1375" s="74"/>
      <c r="X1375" s="74"/>
      <c r="Y1375" s="74"/>
      <c r="Z1375" s="74"/>
      <c r="AA1375" s="74"/>
      <c r="AB1375" s="74"/>
      <c r="AC1375" s="74"/>
      <c r="AN1375" s="74"/>
      <c r="AO1375" s="74"/>
      <c r="AP1375" s="74"/>
      <c r="AQ1375" s="74"/>
      <c r="AR1375" s="74"/>
      <c r="AS1375" s="74"/>
      <c r="BD1375" s="74"/>
      <c r="BE1375" s="74"/>
      <c r="BF1375" s="74"/>
      <c r="BG1375" s="74"/>
      <c r="BH1375" s="74"/>
      <c r="BI1375" s="74"/>
    </row>
    <row r="1376" spans="4:61" x14ac:dyDescent="0.3">
      <c r="D1376" s="74"/>
      <c r="E1376" s="74"/>
      <c r="X1376" s="74"/>
      <c r="Y1376" s="74"/>
      <c r="Z1376" s="74"/>
      <c r="AA1376" s="74"/>
      <c r="AB1376" s="74"/>
      <c r="AC1376" s="74"/>
      <c r="AN1376" s="74"/>
      <c r="AO1376" s="74"/>
      <c r="AP1376" s="74"/>
      <c r="AQ1376" s="74"/>
      <c r="AR1376" s="74"/>
      <c r="AS1376" s="74"/>
      <c r="BD1376" s="74"/>
      <c r="BE1376" s="74"/>
      <c r="BF1376" s="74"/>
      <c r="BG1376" s="74"/>
      <c r="BH1376" s="74"/>
      <c r="BI1376" s="74"/>
    </row>
    <row r="1377" spans="4:61" x14ac:dyDescent="0.3">
      <c r="D1377" s="74"/>
      <c r="E1377" s="74"/>
      <c r="X1377" s="74"/>
      <c r="Y1377" s="74"/>
      <c r="Z1377" s="74"/>
      <c r="AA1377" s="74"/>
      <c r="AB1377" s="74"/>
      <c r="AC1377" s="74"/>
      <c r="AN1377" s="74"/>
      <c r="AO1377" s="74"/>
      <c r="AP1377" s="74"/>
      <c r="AQ1377" s="74"/>
      <c r="AR1377" s="74"/>
      <c r="AS1377" s="74"/>
      <c r="BD1377" s="74"/>
      <c r="BE1377" s="74"/>
      <c r="BF1377" s="74"/>
      <c r="BG1377" s="74"/>
      <c r="BH1377" s="74"/>
      <c r="BI1377" s="74"/>
    </row>
    <row r="1378" spans="4:61" x14ac:dyDescent="0.3">
      <c r="D1378" s="74"/>
      <c r="E1378" s="74"/>
      <c r="X1378" s="74"/>
      <c r="Y1378" s="74"/>
      <c r="Z1378" s="74"/>
      <c r="AA1378" s="74"/>
      <c r="AB1378" s="74"/>
      <c r="AC1378" s="74"/>
      <c r="AN1378" s="74"/>
      <c r="AO1378" s="74"/>
      <c r="AP1378" s="74"/>
      <c r="AQ1378" s="74"/>
      <c r="AR1378" s="74"/>
      <c r="AS1378" s="74"/>
      <c r="BD1378" s="74"/>
      <c r="BE1378" s="74"/>
      <c r="BF1378" s="74"/>
      <c r="BG1378" s="74"/>
      <c r="BH1378" s="74"/>
      <c r="BI1378" s="74"/>
    </row>
    <row r="1379" spans="4:61" x14ac:dyDescent="0.3">
      <c r="D1379" s="74"/>
      <c r="E1379" s="74"/>
      <c r="X1379" s="74"/>
      <c r="Y1379" s="74"/>
      <c r="Z1379" s="74"/>
      <c r="AA1379" s="74"/>
      <c r="AB1379" s="74"/>
      <c r="AC1379" s="74"/>
      <c r="AN1379" s="74"/>
      <c r="AO1379" s="74"/>
      <c r="AP1379" s="74"/>
      <c r="AQ1379" s="74"/>
      <c r="AR1379" s="74"/>
      <c r="AS1379" s="74"/>
      <c r="BD1379" s="74"/>
      <c r="BE1379" s="74"/>
      <c r="BF1379" s="74"/>
      <c r="BG1379" s="74"/>
      <c r="BH1379" s="74"/>
      <c r="BI1379" s="74"/>
    </row>
    <row r="1380" spans="4:61" x14ac:dyDescent="0.3">
      <c r="D1380" s="74"/>
      <c r="E1380" s="74"/>
      <c r="X1380" s="74"/>
      <c r="Y1380" s="74"/>
      <c r="Z1380" s="74"/>
      <c r="AA1380" s="74"/>
      <c r="AB1380" s="74"/>
      <c r="AC1380" s="74"/>
      <c r="AN1380" s="74"/>
      <c r="AO1380" s="74"/>
      <c r="AP1380" s="74"/>
      <c r="AQ1380" s="74"/>
      <c r="AR1380" s="74"/>
      <c r="AS1380" s="74"/>
      <c r="BD1380" s="74"/>
      <c r="BE1380" s="74"/>
      <c r="BF1380" s="74"/>
      <c r="BG1380" s="74"/>
      <c r="BH1380" s="74"/>
      <c r="BI1380" s="74"/>
    </row>
    <row r="1381" spans="4:61" x14ac:dyDescent="0.3">
      <c r="D1381" s="74"/>
      <c r="E1381" s="74"/>
      <c r="X1381" s="74"/>
      <c r="Y1381" s="74"/>
      <c r="Z1381" s="74"/>
      <c r="AA1381" s="74"/>
      <c r="AB1381" s="74"/>
      <c r="AC1381" s="74"/>
      <c r="AN1381" s="74"/>
      <c r="AO1381" s="74"/>
      <c r="AP1381" s="74"/>
      <c r="AQ1381" s="74"/>
      <c r="AR1381" s="74"/>
      <c r="AS1381" s="74"/>
      <c r="BD1381" s="74"/>
      <c r="BE1381" s="74"/>
      <c r="BF1381" s="74"/>
      <c r="BG1381" s="74"/>
      <c r="BH1381" s="74"/>
      <c r="BI1381" s="74"/>
    </row>
    <row r="1382" spans="4:61" x14ac:dyDescent="0.3">
      <c r="D1382" s="74"/>
      <c r="E1382" s="74"/>
      <c r="X1382" s="74"/>
      <c r="Y1382" s="74"/>
      <c r="Z1382" s="74"/>
      <c r="AA1382" s="74"/>
      <c r="AB1382" s="74"/>
      <c r="AC1382" s="74"/>
      <c r="AN1382" s="74"/>
      <c r="AO1382" s="74"/>
      <c r="AP1382" s="74"/>
      <c r="AQ1382" s="74"/>
      <c r="AR1382" s="74"/>
      <c r="AS1382" s="74"/>
      <c r="BD1382" s="74"/>
      <c r="BE1382" s="74"/>
      <c r="BF1382" s="74"/>
      <c r="BG1382" s="74"/>
      <c r="BH1382" s="74"/>
      <c r="BI1382" s="74"/>
    </row>
    <row r="1383" spans="4:61" x14ac:dyDescent="0.3">
      <c r="D1383" s="74"/>
      <c r="E1383" s="74"/>
      <c r="X1383" s="74"/>
      <c r="Y1383" s="74"/>
      <c r="Z1383" s="74"/>
      <c r="AA1383" s="74"/>
      <c r="AB1383" s="74"/>
      <c r="AC1383" s="74"/>
      <c r="AN1383" s="74"/>
      <c r="AO1383" s="74"/>
      <c r="AP1383" s="74"/>
      <c r="AQ1383" s="74"/>
      <c r="AR1383" s="74"/>
      <c r="AS1383" s="74"/>
      <c r="BD1383" s="74"/>
      <c r="BE1383" s="74"/>
      <c r="BF1383" s="74"/>
      <c r="BG1383" s="74"/>
      <c r="BH1383" s="74"/>
      <c r="BI1383" s="74"/>
    </row>
    <row r="1384" spans="4:61" x14ac:dyDescent="0.3">
      <c r="D1384" s="74"/>
      <c r="E1384" s="74"/>
      <c r="X1384" s="74"/>
      <c r="Y1384" s="74"/>
      <c r="Z1384" s="74"/>
      <c r="AA1384" s="74"/>
      <c r="AB1384" s="74"/>
      <c r="AC1384" s="74"/>
      <c r="AN1384" s="74"/>
      <c r="AO1384" s="74"/>
      <c r="AP1384" s="74"/>
      <c r="AQ1384" s="74"/>
      <c r="AR1384" s="74"/>
      <c r="AS1384" s="74"/>
      <c r="BD1384" s="74"/>
      <c r="BE1384" s="74"/>
      <c r="BF1384" s="74"/>
      <c r="BG1384" s="74"/>
      <c r="BH1384" s="74"/>
      <c r="BI1384" s="74"/>
    </row>
    <row r="1385" spans="4:61" x14ac:dyDescent="0.3">
      <c r="D1385" s="74"/>
      <c r="E1385" s="74"/>
      <c r="X1385" s="74"/>
      <c r="Y1385" s="74"/>
      <c r="Z1385" s="74"/>
      <c r="AA1385" s="74"/>
      <c r="AB1385" s="74"/>
      <c r="AC1385" s="74"/>
      <c r="AN1385" s="74"/>
      <c r="AO1385" s="74"/>
      <c r="AP1385" s="74"/>
      <c r="AQ1385" s="74"/>
      <c r="AR1385" s="74"/>
      <c r="AS1385" s="74"/>
      <c r="BD1385" s="74"/>
      <c r="BE1385" s="74"/>
      <c r="BF1385" s="74"/>
      <c r="BG1385" s="74"/>
      <c r="BH1385" s="74"/>
      <c r="BI1385" s="74"/>
    </row>
    <row r="1386" spans="4:61" x14ac:dyDescent="0.3">
      <c r="D1386" s="74"/>
      <c r="E1386" s="74"/>
      <c r="X1386" s="74"/>
      <c r="Y1386" s="74"/>
      <c r="Z1386" s="74"/>
      <c r="AA1386" s="74"/>
      <c r="AB1386" s="74"/>
      <c r="AC1386" s="74"/>
      <c r="AN1386" s="74"/>
      <c r="AO1386" s="74"/>
      <c r="AP1386" s="74"/>
      <c r="AQ1386" s="74"/>
      <c r="AR1386" s="74"/>
      <c r="AS1386" s="74"/>
      <c r="BD1386" s="74"/>
      <c r="BE1386" s="74"/>
      <c r="BF1386" s="74"/>
      <c r="BG1386" s="74"/>
      <c r="BH1386" s="74"/>
      <c r="BI1386" s="74"/>
    </row>
    <row r="1387" spans="4:61" x14ac:dyDescent="0.3">
      <c r="D1387" s="74"/>
      <c r="E1387" s="74"/>
      <c r="X1387" s="74"/>
      <c r="Y1387" s="74"/>
      <c r="Z1387" s="74"/>
      <c r="AA1387" s="74"/>
      <c r="AB1387" s="74"/>
      <c r="AC1387" s="74"/>
      <c r="AN1387" s="74"/>
      <c r="AO1387" s="74"/>
      <c r="AP1387" s="74"/>
      <c r="AQ1387" s="74"/>
      <c r="AR1387" s="74"/>
      <c r="AS1387" s="74"/>
      <c r="BD1387" s="74"/>
      <c r="BE1387" s="74"/>
      <c r="BF1387" s="74"/>
      <c r="BG1387" s="74"/>
      <c r="BH1387" s="74"/>
      <c r="BI1387" s="74"/>
    </row>
    <row r="1388" spans="4:61" x14ac:dyDescent="0.3">
      <c r="D1388" s="74"/>
      <c r="E1388" s="74"/>
      <c r="X1388" s="74"/>
      <c r="Y1388" s="74"/>
      <c r="Z1388" s="74"/>
      <c r="AA1388" s="74"/>
      <c r="AB1388" s="74"/>
      <c r="AC1388" s="74"/>
      <c r="AN1388" s="74"/>
      <c r="AO1388" s="74"/>
      <c r="AP1388" s="74"/>
      <c r="AQ1388" s="74"/>
      <c r="AR1388" s="74"/>
      <c r="AS1388" s="74"/>
      <c r="BD1388" s="74"/>
      <c r="BE1388" s="74"/>
      <c r="BF1388" s="74"/>
      <c r="BG1388" s="74"/>
      <c r="BH1388" s="74"/>
      <c r="BI1388" s="74"/>
    </row>
    <row r="1389" spans="4:61" x14ac:dyDescent="0.3">
      <c r="D1389" s="74"/>
      <c r="E1389" s="74"/>
      <c r="X1389" s="74"/>
      <c r="Y1389" s="74"/>
      <c r="Z1389" s="74"/>
      <c r="AA1389" s="74"/>
      <c r="AB1389" s="74"/>
      <c r="AC1389" s="74"/>
      <c r="AN1389" s="74"/>
      <c r="AO1389" s="74"/>
      <c r="AP1389" s="74"/>
      <c r="AQ1389" s="74"/>
      <c r="AR1389" s="74"/>
      <c r="AS1389" s="74"/>
      <c r="BD1389" s="74"/>
      <c r="BE1389" s="74"/>
      <c r="BF1389" s="74"/>
      <c r="BG1389" s="74"/>
      <c r="BH1389" s="74"/>
      <c r="BI1389" s="74"/>
    </row>
    <row r="1390" spans="4:61" x14ac:dyDescent="0.3">
      <c r="D1390" s="74"/>
      <c r="E1390" s="74"/>
      <c r="X1390" s="74"/>
      <c r="Y1390" s="74"/>
      <c r="Z1390" s="74"/>
      <c r="AA1390" s="74"/>
      <c r="AB1390" s="74"/>
      <c r="AC1390" s="74"/>
      <c r="AN1390" s="74"/>
      <c r="AO1390" s="74"/>
      <c r="AP1390" s="74"/>
      <c r="AQ1390" s="74"/>
      <c r="AR1390" s="74"/>
      <c r="AS1390" s="74"/>
      <c r="BD1390" s="74"/>
      <c r="BE1390" s="74"/>
      <c r="BF1390" s="74"/>
      <c r="BG1390" s="74"/>
      <c r="BH1390" s="74"/>
      <c r="BI1390" s="74"/>
    </row>
    <row r="1391" spans="4:61" x14ac:dyDescent="0.3">
      <c r="D1391" s="74"/>
      <c r="E1391" s="74"/>
      <c r="X1391" s="74"/>
      <c r="Y1391" s="74"/>
      <c r="Z1391" s="74"/>
      <c r="AA1391" s="74"/>
      <c r="AB1391" s="74"/>
      <c r="AC1391" s="74"/>
      <c r="AN1391" s="74"/>
      <c r="AO1391" s="74"/>
      <c r="AP1391" s="74"/>
      <c r="AQ1391" s="74"/>
      <c r="AR1391" s="74"/>
      <c r="AS1391" s="74"/>
      <c r="BD1391" s="74"/>
      <c r="BE1391" s="74"/>
      <c r="BF1391" s="74"/>
      <c r="BG1391" s="74"/>
      <c r="BH1391" s="74"/>
      <c r="BI1391" s="74"/>
    </row>
    <row r="1392" spans="4:61" x14ac:dyDescent="0.3">
      <c r="D1392" s="74"/>
      <c r="E1392" s="74"/>
      <c r="X1392" s="74"/>
      <c r="Y1392" s="74"/>
      <c r="Z1392" s="74"/>
      <c r="AA1392" s="74"/>
      <c r="AB1392" s="74"/>
      <c r="AC1392" s="74"/>
      <c r="AN1392" s="74"/>
      <c r="AO1392" s="74"/>
      <c r="AP1392" s="74"/>
      <c r="AQ1392" s="74"/>
      <c r="AR1392" s="74"/>
      <c r="AS1392" s="74"/>
      <c r="BD1392" s="74"/>
      <c r="BE1392" s="74"/>
      <c r="BF1392" s="74"/>
      <c r="BG1392" s="74"/>
      <c r="BH1392" s="74"/>
      <c r="BI1392" s="74"/>
    </row>
    <row r="1393" spans="4:61" x14ac:dyDescent="0.3">
      <c r="D1393" s="74"/>
      <c r="E1393" s="74"/>
      <c r="X1393" s="74"/>
      <c r="Y1393" s="74"/>
      <c r="Z1393" s="74"/>
      <c r="AA1393" s="74"/>
      <c r="AB1393" s="74"/>
      <c r="AC1393" s="74"/>
      <c r="AN1393" s="74"/>
      <c r="AO1393" s="74"/>
      <c r="AP1393" s="74"/>
      <c r="AQ1393" s="74"/>
      <c r="AR1393" s="74"/>
      <c r="AS1393" s="74"/>
      <c r="BD1393" s="74"/>
      <c r="BE1393" s="74"/>
      <c r="BF1393" s="74"/>
      <c r="BG1393" s="74"/>
      <c r="BH1393" s="74"/>
      <c r="BI1393" s="74"/>
    </row>
    <row r="1394" spans="4:61" x14ac:dyDescent="0.3">
      <c r="D1394" s="74"/>
      <c r="E1394" s="74"/>
      <c r="X1394" s="74"/>
      <c r="Y1394" s="74"/>
      <c r="Z1394" s="74"/>
      <c r="AA1394" s="74"/>
      <c r="AB1394" s="74"/>
      <c r="AC1394" s="74"/>
      <c r="AN1394" s="74"/>
      <c r="AO1394" s="74"/>
      <c r="AP1394" s="74"/>
      <c r="AQ1394" s="74"/>
      <c r="AR1394" s="74"/>
      <c r="AS1394" s="74"/>
      <c r="BD1394" s="74"/>
      <c r="BE1394" s="74"/>
      <c r="BF1394" s="74"/>
      <c r="BG1394" s="74"/>
      <c r="BH1394" s="74"/>
      <c r="BI1394" s="74"/>
    </row>
    <row r="1395" spans="4:61" x14ac:dyDescent="0.3">
      <c r="D1395" s="74"/>
      <c r="E1395" s="74"/>
      <c r="X1395" s="74"/>
      <c r="Y1395" s="74"/>
      <c r="Z1395" s="74"/>
      <c r="AA1395" s="74"/>
      <c r="AB1395" s="74"/>
      <c r="AC1395" s="74"/>
      <c r="AN1395" s="74"/>
      <c r="AO1395" s="74"/>
      <c r="AP1395" s="74"/>
      <c r="AQ1395" s="74"/>
      <c r="AR1395" s="74"/>
      <c r="AS1395" s="74"/>
      <c r="BD1395" s="74"/>
      <c r="BE1395" s="74"/>
      <c r="BF1395" s="74"/>
      <c r="BG1395" s="74"/>
      <c r="BH1395" s="74"/>
      <c r="BI1395" s="74"/>
    </row>
    <row r="1396" spans="4:61" x14ac:dyDescent="0.3">
      <c r="D1396" s="74"/>
      <c r="E1396" s="74"/>
      <c r="X1396" s="74"/>
      <c r="Y1396" s="74"/>
      <c r="Z1396" s="74"/>
      <c r="AA1396" s="74"/>
      <c r="AB1396" s="74"/>
      <c r="AC1396" s="74"/>
      <c r="AN1396" s="74"/>
      <c r="AO1396" s="74"/>
      <c r="AP1396" s="74"/>
      <c r="AQ1396" s="74"/>
      <c r="AR1396" s="74"/>
      <c r="AS1396" s="74"/>
      <c r="BD1396" s="74"/>
      <c r="BE1396" s="74"/>
      <c r="BF1396" s="74"/>
      <c r="BG1396" s="74"/>
      <c r="BH1396" s="74"/>
      <c r="BI1396" s="74"/>
    </row>
    <row r="1397" spans="4:61" x14ac:dyDescent="0.3">
      <c r="D1397" s="74"/>
      <c r="E1397" s="74"/>
      <c r="X1397" s="74"/>
      <c r="Y1397" s="74"/>
      <c r="Z1397" s="74"/>
      <c r="AA1397" s="74"/>
      <c r="AB1397" s="74"/>
      <c r="AC1397" s="74"/>
      <c r="AN1397" s="74"/>
      <c r="AO1397" s="74"/>
      <c r="AP1397" s="74"/>
      <c r="AQ1397" s="74"/>
      <c r="AR1397" s="74"/>
      <c r="AS1397" s="74"/>
      <c r="BD1397" s="74"/>
      <c r="BE1397" s="74"/>
      <c r="BF1397" s="74"/>
      <c r="BG1397" s="74"/>
      <c r="BH1397" s="74"/>
      <c r="BI1397" s="74"/>
    </row>
    <row r="1398" spans="4:61" x14ac:dyDescent="0.3">
      <c r="D1398" s="74"/>
      <c r="E1398" s="74"/>
      <c r="X1398" s="74"/>
      <c r="Y1398" s="74"/>
      <c r="Z1398" s="74"/>
      <c r="AA1398" s="74"/>
      <c r="AB1398" s="74"/>
      <c r="AC1398" s="74"/>
      <c r="AN1398" s="74"/>
      <c r="AO1398" s="74"/>
      <c r="AP1398" s="74"/>
      <c r="AQ1398" s="74"/>
      <c r="AR1398" s="74"/>
      <c r="AS1398" s="74"/>
      <c r="BD1398" s="74"/>
      <c r="BE1398" s="74"/>
      <c r="BF1398" s="74"/>
      <c r="BG1398" s="74"/>
      <c r="BH1398" s="74"/>
      <c r="BI1398" s="74"/>
    </row>
    <row r="1399" spans="4:61" x14ac:dyDescent="0.3">
      <c r="D1399" s="74"/>
      <c r="E1399" s="74"/>
      <c r="X1399" s="74"/>
      <c r="Y1399" s="74"/>
      <c r="Z1399" s="74"/>
      <c r="AA1399" s="74"/>
      <c r="AB1399" s="74"/>
      <c r="AC1399" s="74"/>
      <c r="AN1399" s="74"/>
      <c r="AO1399" s="74"/>
      <c r="AP1399" s="74"/>
      <c r="AQ1399" s="74"/>
      <c r="AR1399" s="74"/>
      <c r="AS1399" s="74"/>
      <c r="BD1399" s="74"/>
      <c r="BE1399" s="74"/>
      <c r="BF1399" s="74"/>
      <c r="BG1399" s="74"/>
      <c r="BH1399" s="74"/>
      <c r="BI1399" s="74"/>
    </row>
    <row r="1400" spans="4:61" x14ac:dyDescent="0.3">
      <c r="D1400" s="74"/>
      <c r="E1400" s="74"/>
      <c r="X1400" s="74"/>
      <c r="Y1400" s="74"/>
      <c r="Z1400" s="74"/>
      <c r="AA1400" s="74"/>
      <c r="AB1400" s="74"/>
      <c r="AC1400" s="74"/>
      <c r="AN1400" s="74"/>
      <c r="AO1400" s="74"/>
      <c r="AP1400" s="74"/>
      <c r="AQ1400" s="74"/>
      <c r="AR1400" s="74"/>
      <c r="AS1400" s="74"/>
      <c r="BD1400" s="74"/>
      <c r="BE1400" s="74"/>
      <c r="BF1400" s="74"/>
      <c r="BG1400" s="74"/>
      <c r="BH1400" s="74"/>
      <c r="BI1400" s="74"/>
    </row>
    <row r="1401" spans="4:61" x14ac:dyDescent="0.3">
      <c r="D1401" s="74"/>
      <c r="E1401" s="74"/>
      <c r="X1401" s="74"/>
      <c r="Y1401" s="74"/>
      <c r="Z1401" s="74"/>
      <c r="AA1401" s="74"/>
      <c r="AB1401" s="74"/>
      <c r="AC1401" s="74"/>
      <c r="AN1401" s="74"/>
      <c r="AO1401" s="74"/>
      <c r="AP1401" s="74"/>
      <c r="AQ1401" s="74"/>
      <c r="AR1401" s="74"/>
      <c r="AS1401" s="74"/>
      <c r="BD1401" s="74"/>
      <c r="BE1401" s="74"/>
      <c r="BF1401" s="74"/>
      <c r="BG1401" s="74"/>
      <c r="BH1401" s="74"/>
      <c r="BI1401" s="74"/>
    </row>
    <row r="1402" spans="4:61" x14ac:dyDescent="0.3">
      <c r="D1402" s="74"/>
      <c r="E1402" s="74"/>
      <c r="X1402" s="74"/>
      <c r="Y1402" s="74"/>
      <c r="Z1402" s="74"/>
      <c r="AA1402" s="74"/>
      <c r="AB1402" s="74"/>
      <c r="AC1402" s="74"/>
      <c r="AN1402" s="74"/>
      <c r="AO1402" s="74"/>
      <c r="AP1402" s="74"/>
      <c r="AQ1402" s="74"/>
      <c r="AR1402" s="74"/>
      <c r="AS1402" s="74"/>
      <c r="BD1402" s="74"/>
      <c r="BE1402" s="74"/>
      <c r="BF1402" s="74"/>
      <c r="BG1402" s="74"/>
      <c r="BH1402" s="74"/>
      <c r="BI1402" s="74"/>
    </row>
    <row r="1403" spans="4:61" x14ac:dyDescent="0.3">
      <c r="D1403" s="74"/>
      <c r="E1403" s="74"/>
      <c r="X1403" s="74"/>
      <c r="Y1403" s="74"/>
      <c r="Z1403" s="74"/>
      <c r="AA1403" s="74"/>
      <c r="AB1403" s="74"/>
      <c r="AC1403" s="74"/>
      <c r="AN1403" s="74"/>
      <c r="AO1403" s="74"/>
      <c r="AP1403" s="74"/>
      <c r="AQ1403" s="74"/>
      <c r="AR1403" s="74"/>
      <c r="AS1403" s="74"/>
      <c r="BD1403" s="74"/>
      <c r="BE1403" s="74"/>
      <c r="BF1403" s="74"/>
      <c r="BG1403" s="74"/>
      <c r="BH1403" s="74"/>
      <c r="BI1403" s="74"/>
    </row>
    <row r="1404" spans="4:61" x14ac:dyDescent="0.3">
      <c r="D1404" s="74"/>
      <c r="E1404" s="74"/>
      <c r="X1404" s="74"/>
      <c r="Y1404" s="74"/>
      <c r="Z1404" s="74"/>
      <c r="AA1404" s="74"/>
      <c r="AB1404" s="74"/>
      <c r="AC1404" s="74"/>
      <c r="AN1404" s="74"/>
      <c r="AO1404" s="74"/>
      <c r="AP1404" s="74"/>
      <c r="AQ1404" s="74"/>
      <c r="AR1404" s="74"/>
      <c r="AS1404" s="74"/>
      <c r="BD1404" s="74"/>
      <c r="BE1404" s="74"/>
      <c r="BF1404" s="74"/>
      <c r="BG1404" s="74"/>
      <c r="BH1404" s="74"/>
      <c r="BI1404" s="74"/>
    </row>
    <row r="1405" spans="4:61" x14ac:dyDescent="0.3">
      <c r="D1405" s="74"/>
      <c r="E1405" s="74"/>
      <c r="X1405" s="74"/>
      <c r="Y1405" s="74"/>
      <c r="Z1405" s="74"/>
      <c r="AA1405" s="74"/>
      <c r="AB1405" s="74"/>
      <c r="AC1405" s="74"/>
      <c r="AN1405" s="74"/>
      <c r="AO1405" s="74"/>
      <c r="AP1405" s="74"/>
      <c r="AQ1405" s="74"/>
      <c r="AR1405" s="74"/>
      <c r="AS1405" s="74"/>
      <c r="BD1405" s="74"/>
      <c r="BE1405" s="74"/>
      <c r="BF1405" s="74"/>
      <c r="BG1405" s="74"/>
      <c r="BH1405" s="74"/>
      <c r="BI1405" s="74"/>
    </row>
    <row r="1406" spans="4:61" x14ac:dyDescent="0.3">
      <c r="D1406" s="74"/>
      <c r="E1406" s="74"/>
      <c r="X1406" s="74"/>
      <c r="Y1406" s="74"/>
      <c r="Z1406" s="74"/>
      <c r="AA1406" s="74"/>
      <c r="AB1406" s="74"/>
      <c r="AC1406" s="74"/>
      <c r="AN1406" s="74"/>
      <c r="AO1406" s="74"/>
      <c r="AP1406" s="74"/>
      <c r="AQ1406" s="74"/>
      <c r="AR1406" s="74"/>
      <c r="AS1406" s="74"/>
      <c r="BD1406" s="74"/>
      <c r="BE1406" s="74"/>
      <c r="BF1406" s="74"/>
      <c r="BG1406" s="74"/>
      <c r="BH1406" s="74"/>
      <c r="BI1406" s="74"/>
    </row>
    <row r="1407" spans="4:61" x14ac:dyDescent="0.3">
      <c r="D1407" s="74"/>
      <c r="E1407" s="74"/>
      <c r="X1407" s="74"/>
      <c r="Y1407" s="74"/>
      <c r="Z1407" s="74"/>
      <c r="AA1407" s="74"/>
      <c r="AB1407" s="74"/>
      <c r="AC1407" s="74"/>
      <c r="AN1407" s="74"/>
      <c r="AO1407" s="74"/>
      <c r="AP1407" s="74"/>
      <c r="AQ1407" s="74"/>
      <c r="AR1407" s="74"/>
      <c r="AS1407" s="74"/>
      <c r="BD1407" s="74"/>
      <c r="BE1407" s="74"/>
      <c r="BF1407" s="74"/>
      <c r="BG1407" s="74"/>
      <c r="BH1407" s="74"/>
      <c r="BI1407" s="74"/>
    </row>
    <row r="1408" spans="4:61" x14ac:dyDescent="0.3">
      <c r="D1408" s="74"/>
      <c r="E1408" s="74"/>
      <c r="X1408" s="74"/>
      <c r="Y1408" s="74"/>
      <c r="Z1408" s="74"/>
      <c r="AA1408" s="74"/>
      <c r="AB1408" s="74"/>
      <c r="AC1408" s="74"/>
      <c r="AN1408" s="74"/>
      <c r="AO1408" s="74"/>
      <c r="AP1408" s="74"/>
      <c r="AQ1408" s="74"/>
      <c r="AR1408" s="74"/>
      <c r="AS1408" s="74"/>
      <c r="BD1408" s="74"/>
      <c r="BE1408" s="74"/>
      <c r="BF1408" s="74"/>
      <c r="BG1408" s="74"/>
      <c r="BH1408" s="74"/>
      <c r="BI1408" s="74"/>
    </row>
    <row r="1409" spans="4:61" x14ac:dyDescent="0.3">
      <c r="D1409" s="74"/>
      <c r="E1409" s="74"/>
      <c r="X1409" s="74"/>
      <c r="Y1409" s="74"/>
      <c r="Z1409" s="74"/>
      <c r="AA1409" s="74"/>
      <c r="AB1409" s="74"/>
      <c r="AC1409" s="74"/>
      <c r="AN1409" s="74"/>
      <c r="AO1409" s="74"/>
      <c r="AP1409" s="74"/>
      <c r="AQ1409" s="74"/>
      <c r="AR1409" s="74"/>
      <c r="AS1409" s="74"/>
      <c r="BD1409" s="74"/>
      <c r="BE1409" s="74"/>
      <c r="BF1409" s="74"/>
      <c r="BG1409" s="74"/>
      <c r="BH1409" s="74"/>
      <c r="BI1409" s="74"/>
    </row>
    <row r="1410" spans="4:61" x14ac:dyDescent="0.3">
      <c r="D1410" s="74"/>
      <c r="E1410" s="74"/>
      <c r="X1410" s="74"/>
      <c r="Y1410" s="74"/>
      <c r="Z1410" s="74"/>
      <c r="AA1410" s="74"/>
      <c r="AB1410" s="74"/>
      <c r="AC1410" s="74"/>
      <c r="AN1410" s="74"/>
      <c r="AO1410" s="74"/>
      <c r="AP1410" s="74"/>
      <c r="AQ1410" s="74"/>
      <c r="AR1410" s="74"/>
      <c r="AS1410" s="74"/>
      <c r="BD1410" s="74"/>
      <c r="BE1410" s="74"/>
      <c r="BF1410" s="74"/>
      <c r="BG1410" s="74"/>
      <c r="BH1410" s="74"/>
      <c r="BI1410" s="74"/>
    </row>
    <row r="1411" spans="4:61" x14ac:dyDescent="0.3">
      <c r="D1411" s="74"/>
      <c r="E1411" s="74"/>
      <c r="X1411" s="74"/>
      <c r="Y1411" s="74"/>
      <c r="Z1411" s="74"/>
      <c r="AA1411" s="74"/>
      <c r="AB1411" s="74"/>
      <c r="AC1411" s="74"/>
      <c r="AN1411" s="74"/>
      <c r="AO1411" s="74"/>
      <c r="AP1411" s="74"/>
      <c r="AQ1411" s="74"/>
      <c r="AR1411" s="74"/>
      <c r="AS1411" s="74"/>
      <c r="BD1411" s="74"/>
      <c r="BE1411" s="74"/>
      <c r="BF1411" s="74"/>
      <c r="BG1411" s="74"/>
      <c r="BH1411" s="74"/>
      <c r="BI1411" s="74"/>
    </row>
    <row r="1412" spans="4:61" x14ac:dyDescent="0.3">
      <c r="D1412" s="74"/>
      <c r="E1412" s="74"/>
      <c r="X1412" s="74"/>
      <c r="Y1412" s="74"/>
      <c r="Z1412" s="74"/>
      <c r="AA1412" s="74"/>
      <c r="AB1412" s="74"/>
      <c r="AC1412" s="74"/>
      <c r="AN1412" s="74"/>
      <c r="AO1412" s="74"/>
      <c r="AP1412" s="74"/>
      <c r="AQ1412" s="74"/>
      <c r="AR1412" s="74"/>
      <c r="AS1412" s="74"/>
      <c r="BD1412" s="74"/>
      <c r="BE1412" s="74"/>
      <c r="BF1412" s="74"/>
      <c r="BG1412" s="74"/>
      <c r="BH1412" s="74"/>
      <c r="BI1412" s="74"/>
    </row>
    <row r="1413" spans="4:61" x14ac:dyDescent="0.3">
      <c r="D1413" s="74"/>
      <c r="E1413" s="74"/>
      <c r="X1413" s="74"/>
      <c r="Y1413" s="74"/>
      <c r="Z1413" s="74"/>
      <c r="AA1413" s="74"/>
      <c r="AB1413" s="74"/>
      <c r="AC1413" s="74"/>
      <c r="AN1413" s="74"/>
      <c r="AO1413" s="74"/>
      <c r="AP1413" s="74"/>
      <c r="AQ1413" s="74"/>
      <c r="AR1413" s="74"/>
      <c r="AS1413" s="74"/>
      <c r="BD1413" s="74"/>
      <c r="BE1413" s="74"/>
      <c r="BF1413" s="74"/>
      <c r="BG1413" s="74"/>
      <c r="BH1413" s="74"/>
      <c r="BI1413" s="74"/>
    </row>
    <row r="1414" spans="4:61" x14ac:dyDescent="0.3">
      <c r="D1414" s="74"/>
      <c r="E1414" s="74"/>
      <c r="X1414" s="74"/>
      <c r="Y1414" s="74"/>
      <c r="Z1414" s="74"/>
      <c r="AA1414" s="74"/>
      <c r="AB1414" s="74"/>
      <c r="AC1414" s="74"/>
      <c r="AN1414" s="74"/>
      <c r="AO1414" s="74"/>
      <c r="AP1414" s="74"/>
      <c r="AQ1414" s="74"/>
      <c r="AR1414" s="74"/>
      <c r="AS1414" s="74"/>
      <c r="BD1414" s="74"/>
      <c r="BE1414" s="74"/>
      <c r="BF1414" s="74"/>
      <c r="BG1414" s="74"/>
      <c r="BH1414" s="74"/>
      <c r="BI1414" s="74"/>
    </row>
    <row r="1415" spans="4:61" x14ac:dyDescent="0.3">
      <c r="D1415" s="74"/>
      <c r="E1415" s="74"/>
      <c r="X1415" s="74"/>
      <c r="Y1415" s="74"/>
      <c r="Z1415" s="74"/>
      <c r="AA1415" s="74"/>
      <c r="AB1415" s="74"/>
      <c r="AC1415" s="74"/>
      <c r="AN1415" s="74"/>
      <c r="AO1415" s="74"/>
      <c r="AP1415" s="74"/>
      <c r="AQ1415" s="74"/>
      <c r="AR1415" s="74"/>
      <c r="AS1415" s="74"/>
      <c r="BD1415" s="74"/>
      <c r="BE1415" s="74"/>
      <c r="BF1415" s="74"/>
      <c r="BG1415" s="74"/>
      <c r="BH1415" s="74"/>
      <c r="BI1415" s="74"/>
    </row>
    <row r="1416" spans="4:61" x14ac:dyDescent="0.3">
      <c r="D1416" s="74"/>
      <c r="E1416" s="74"/>
      <c r="X1416" s="74"/>
      <c r="Y1416" s="74"/>
      <c r="Z1416" s="74"/>
      <c r="AA1416" s="74"/>
      <c r="AB1416" s="74"/>
      <c r="AC1416" s="74"/>
      <c r="AN1416" s="74"/>
      <c r="AO1416" s="74"/>
      <c r="AP1416" s="74"/>
      <c r="AQ1416" s="74"/>
      <c r="AR1416" s="74"/>
      <c r="AS1416" s="74"/>
      <c r="BD1416" s="74"/>
      <c r="BE1416" s="74"/>
      <c r="BF1416" s="74"/>
      <c r="BG1416" s="74"/>
      <c r="BH1416" s="74"/>
      <c r="BI1416" s="74"/>
    </row>
    <row r="1417" spans="4:61" x14ac:dyDescent="0.3">
      <c r="D1417" s="74"/>
      <c r="E1417" s="74"/>
      <c r="X1417" s="74"/>
      <c r="Y1417" s="74"/>
      <c r="Z1417" s="74"/>
      <c r="AA1417" s="74"/>
      <c r="AB1417" s="74"/>
      <c r="AC1417" s="74"/>
      <c r="AN1417" s="74"/>
      <c r="AO1417" s="74"/>
      <c r="AP1417" s="74"/>
      <c r="AQ1417" s="74"/>
      <c r="AR1417" s="74"/>
      <c r="AS1417" s="74"/>
      <c r="BD1417" s="74"/>
      <c r="BE1417" s="74"/>
      <c r="BF1417" s="74"/>
      <c r="BG1417" s="74"/>
      <c r="BH1417" s="74"/>
      <c r="BI1417" s="74"/>
    </row>
    <row r="1418" spans="4:61" x14ac:dyDescent="0.3">
      <c r="D1418" s="74"/>
      <c r="E1418" s="74"/>
      <c r="X1418" s="74"/>
      <c r="Y1418" s="74"/>
      <c r="Z1418" s="74"/>
      <c r="AA1418" s="74"/>
      <c r="AB1418" s="74"/>
      <c r="AC1418" s="74"/>
      <c r="AN1418" s="74"/>
      <c r="AO1418" s="74"/>
      <c r="AP1418" s="74"/>
      <c r="AQ1418" s="74"/>
      <c r="AR1418" s="74"/>
      <c r="AS1418" s="74"/>
      <c r="BD1418" s="74"/>
      <c r="BE1418" s="74"/>
      <c r="BF1418" s="74"/>
      <c r="BG1418" s="74"/>
      <c r="BH1418" s="74"/>
      <c r="BI1418" s="74"/>
    </row>
    <row r="1419" spans="4:61" x14ac:dyDescent="0.3">
      <c r="D1419" s="74"/>
      <c r="E1419" s="74"/>
      <c r="X1419" s="74"/>
      <c r="Y1419" s="74"/>
      <c r="Z1419" s="74"/>
      <c r="AA1419" s="74"/>
      <c r="AB1419" s="74"/>
      <c r="AC1419" s="74"/>
      <c r="AN1419" s="74"/>
      <c r="AO1419" s="74"/>
      <c r="AP1419" s="74"/>
      <c r="AQ1419" s="74"/>
      <c r="AR1419" s="74"/>
      <c r="AS1419" s="74"/>
      <c r="BD1419" s="74"/>
      <c r="BE1419" s="74"/>
      <c r="BF1419" s="74"/>
      <c r="BG1419" s="74"/>
      <c r="BH1419" s="74"/>
      <c r="BI1419" s="74"/>
    </row>
    <row r="1420" spans="4:61" x14ac:dyDescent="0.3">
      <c r="D1420" s="74"/>
      <c r="E1420" s="74"/>
      <c r="X1420" s="74"/>
      <c r="Y1420" s="74"/>
      <c r="Z1420" s="74"/>
      <c r="AA1420" s="74"/>
      <c r="AB1420" s="74"/>
      <c r="AC1420" s="74"/>
      <c r="AN1420" s="74"/>
      <c r="AO1420" s="74"/>
      <c r="AP1420" s="74"/>
      <c r="AQ1420" s="74"/>
      <c r="AR1420" s="74"/>
      <c r="AS1420" s="74"/>
      <c r="BD1420" s="74"/>
      <c r="BE1420" s="74"/>
      <c r="BF1420" s="74"/>
      <c r="BG1420" s="74"/>
      <c r="BH1420" s="74"/>
      <c r="BI1420" s="74"/>
    </row>
    <row r="1421" spans="4:61" x14ac:dyDescent="0.3">
      <c r="D1421" s="74"/>
      <c r="E1421" s="74"/>
      <c r="X1421" s="74"/>
      <c r="Y1421" s="74"/>
      <c r="Z1421" s="74"/>
      <c r="AA1421" s="74"/>
      <c r="AB1421" s="74"/>
      <c r="AC1421" s="74"/>
      <c r="AN1421" s="74"/>
      <c r="AO1421" s="74"/>
      <c r="AP1421" s="74"/>
      <c r="AQ1421" s="74"/>
      <c r="AR1421" s="74"/>
      <c r="AS1421" s="74"/>
      <c r="BD1421" s="74"/>
      <c r="BE1421" s="74"/>
      <c r="BF1421" s="74"/>
      <c r="BG1421" s="74"/>
      <c r="BH1421" s="74"/>
      <c r="BI1421" s="74"/>
    </row>
    <row r="1422" spans="4:61" x14ac:dyDescent="0.3">
      <c r="D1422" s="74"/>
      <c r="E1422" s="74"/>
      <c r="X1422" s="74"/>
      <c r="Y1422" s="74"/>
      <c r="Z1422" s="74"/>
      <c r="AA1422" s="74"/>
      <c r="AB1422" s="74"/>
      <c r="AC1422" s="74"/>
      <c r="AN1422" s="74"/>
      <c r="AO1422" s="74"/>
      <c r="AP1422" s="74"/>
      <c r="AQ1422" s="74"/>
      <c r="AR1422" s="74"/>
      <c r="AS1422" s="74"/>
      <c r="BD1422" s="74"/>
      <c r="BE1422" s="74"/>
      <c r="BF1422" s="74"/>
      <c r="BG1422" s="74"/>
      <c r="BH1422" s="74"/>
      <c r="BI1422" s="74"/>
    </row>
    <row r="1423" spans="4:61" x14ac:dyDescent="0.3">
      <c r="D1423" s="74"/>
      <c r="E1423" s="74"/>
      <c r="X1423" s="74"/>
      <c r="Y1423" s="74"/>
      <c r="Z1423" s="74"/>
      <c r="AA1423" s="74"/>
      <c r="AB1423" s="74"/>
      <c r="AC1423" s="74"/>
      <c r="AN1423" s="74"/>
      <c r="AO1423" s="74"/>
      <c r="AP1423" s="74"/>
      <c r="AQ1423" s="74"/>
      <c r="AR1423" s="74"/>
      <c r="AS1423" s="74"/>
      <c r="BD1423" s="74"/>
      <c r="BE1423" s="74"/>
      <c r="BF1423" s="74"/>
      <c r="BG1423" s="74"/>
      <c r="BH1423" s="74"/>
      <c r="BI1423" s="74"/>
    </row>
    <row r="1424" spans="4:61" x14ac:dyDescent="0.3">
      <c r="D1424" s="74"/>
      <c r="E1424" s="74"/>
      <c r="X1424" s="74"/>
      <c r="Y1424" s="74"/>
      <c r="Z1424" s="74"/>
      <c r="AA1424" s="74"/>
      <c r="AB1424" s="74"/>
      <c r="AC1424" s="74"/>
      <c r="AN1424" s="74"/>
      <c r="AO1424" s="74"/>
      <c r="AP1424" s="74"/>
      <c r="AQ1424" s="74"/>
      <c r="AR1424" s="74"/>
      <c r="AS1424" s="74"/>
      <c r="BD1424" s="74"/>
      <c r="BE1424" s="74"/>
      <c r="BF1424" s="74"/>
      <c r="BG1424" s="74"/>
      <c r="BH1424" s="74"/>
      <c r="BI1424" s="74"/>
    </row>
    <row r="1425" spans="4:61" x14ac:dyDescent="0.3">
      <c r="D1425" s="74"/>
      <c r="E1425" s="74"/>
      <c r="X1425" s="74"/>
      <c r="Y1425" s="74"/>
      <c r="Z1425" s="74"/>
      <c r="AA1425" s="74"/>
      <c r="AB1425" s="74"/>
      <c r="AC1425" s="74"/>
      <c r="AN1425" s="74"/>
      <c r="AO1425" s="74"/>
      <c r="AP1425" s="74"/>
      <c r="AQ1425" s="74"/>
      <c r="AR1425" s="74"/>
      <c r="AS1425" s="74"/>
      <c r="BD1425" s="74"/>
      <c r="BE1425" s="74"/>
      <c r="BF1425" s="74"/>
      <c r="BG1425" s="74"/>
      <c r="BH1425" s="74"/>
      <c r="BI1425" s="74"/>
    </row>
    <row r="1426" spans="4:61" x14ac:dyDescent="0.3">
      <c r="D1426" s="74"/>
      <c r="E1426" s="74"/>
      <c r="X1426" s="74"/>
      <c r="Y1426" s="74"/>
      <c r="Z1426" s="74"/>
      <c r="AA1426" s="74"/>
      <c r="AB1426" s="74"/>
      <c r="AC1426" s="74"/>
      <c r="AN1426" s="74"/>
      <c r="AO1426" s="74"/>
      <c r="AP1426" s="74"/>
      <c r="AQ1426" s="74"/>
      <c r="AR1426" s="74"/>
      <c r="AS1426" s="74"/>
      <c r="BD1426" s="74"/>
      <c r="BE1426" s="74"/>
      <c r="BF1426" s="74"/>
      <c r="BG1426" s="74"/>
      <c r="BH1426" s="74"/>
      <c r="BI1426" s="74"/>
    </row>
    <row r="1427" spans="4:61" x14ac:dyDescent="0.3">
      <c r="D1427" s="74"/>
      <c r="E1427" s="74"/>
      <c r="X1427" s="74"/>
      <c r="Y1427" s="74"/>
      <c r="Z1427" s="74"/>
      <c r="AA1427" s="74"/>
      <c r="AB1427" s="74"/>
      <c r="AC1427" s="74"/>
      <c r="AN1427" s="74"/>
      <c r="AO1427" s="74"/>
      <c r="AP1427" s="74"/>
      <c r="AQ1427" s="74"/>
      <c r="AR1427" s="74"/>
      <c r="AS1427" s="74"/>
      <c r="BD1427" s="74"/>
      <c r="BE1427" s="74"/>
      <c r="BF1427" s="74"/>
      <c r="BG1427" s="74"/>
      <c r="BH1427" s="74"/>
      <c r="BI1427" s="74"/>
    </row>
    <row r="1428" spans="4:61" x14ac:dyDescent="0.3">
      <c r="D1428" s="74"/>
      <c r="E1428" s="74"/>
      <c r="X1428" s="74"/>
      <c r="Y1428" s="74"/>
      <c r="Z1428" s="74"/>
      <c r="AA1428" s="74"/>
      <c r="AB1428" s="74"/>
      <c r="AC1428" s="74"/>
      <c r="AN1428" s="74"/>
      <c r="AO1428" s="74"/>
      <c r="AP1428" s="74"/>
      <c r="AQ1428" s="74"/>
      <c r="AR1428" s="74"/>
      <c r="AS1428" s="74"/>
      <c r="BD1428" s="74"/>
      <c r="BE1428" s="74"/>
      <c r="BF1428" s="74"/>
      <c r="BG1428" s="74"/>
      <c r="BH1428" s="74"/>
      <c r="BI1428" s="74"/>
    </row>
    <row r="1429" spans="4:61" x14ac:dyDescent="0.3">
      <c r="D1429" s="74"/>
      <c r="E1429" s="74"/>
      <c r="X1429" s="74"/>
      <c r="Y1429" s="74"/>
      <c r="Z1429" s="74"/>
      <c r="AA1429" s="74"/>
      <c r="AB1429" s="74"/>
      <c r="AC1429" s="74"/>
      <c r="AN1429" s="74"/>
      <c r="AO1429" s="74"/>
      <c r="AP1429" s="74"/>
      <c r="AQ1429" s="74"/>
      <c r="AR1429" s="74"/>
      <c r="AS1429" s="74"/>
      <c r="BD1429" s="74"/>
      <c r="BE1429" s="74"/>
      <c r="BF1429" s="74"/>
      <c r="BG1429" s="74"/>
      <c r="BH1429" s="74"/>
      <c r="BI1429" s="74"/>
    </row>
    <row r="1430" spans="4:61" x14ac:dyDescent="0.3">
      <c r="D1430" s="74"/>
      <c r="E1430" s="74"/>
      <c r="X1430" s="74"/>
      <c r="Y1430" s="74"/>
      <c r="Z1430" s="74"/>
      <c r="AA1430" s="74"/>
      <c r="AB1430" s="74"/>
      <c r="AC1430" s="74"/>
      <c r="AN1430" s="74"/>
      <c r="AO1430" s="74"/>
      <c r="AP1430" s="74"/>
      <c r="AQ1430" s="74"/>
      <c r="AR1430" s="74"/>
      <c r="AS1430" s="74"/>
      <c r="BD1430" s="74"/>
      <c r="BE1430" s="74"/>
      <c r="BF1430" s="74"/>
      <c r="BG1430" s="74"/>
      <c r="BH1430" s="74"/>
      <c r="BI1430" s="74"/>
    </row>
    <row r="1431" spans="4:61" x14ac:dyDescent="0.3">
      <c r="D1431" s="74"/>
      <c r="E1431" s="74"/>
      <c r="X1431" s="74"/>
      <c r="Y1431" s="74"/>
      <c r="Z1431" s="74"/>
      <c r="AA1431" s="74"/>
      <c r="AB1431" s="74"/>
      <c r="AC1431" s="74"/>
      <c r="AN1431" s="74"/>
      <c r="AO1431" s="74"/>
      <c r="AP1431" s="74"/>
      <c r="AQ1431" s="74"/>
      <c r="AR1431" s="74"/>
      <c r="AS1431" s="74"/>
      <c r="BD1431" s="74"/>
      <c r="BE1431" s="74"/>
      <c r="BF1431" s="74"/>
      <c r="BG1431" s="74"/>
      <c r="BH1431" s="74"/>
      <c r="BI1431" s="74"/>
    </row>
    <row r="1432" spans="4:61" x14ac:dyDescent="0.3">
      <c r="D1432" s="74"/>
      <c r="E1432" s="74"/>
      <c r="X1432" s="74"/>
      <c r="Y1432" s="74"/>
      <c r="Z1432" s="74"/>
      <c r="AA1432" s="74"/>
      <c r="AB1432" s="74"/>
      <c r="AC1432" s="74"/>
      <c r="AN1432" s="74"/>
      <c r="AO1432" s="74"/>
      <c r="AP1432" s="74"/>
      <c r="AQ1432" s="74"/>
      <c r="AR1432" s="74"/>
      <c r="AS1432" s="74"/>
      <c r="BD1432" s="74"/>
      <c r="BE1432" s="74"/>
      <c r="BF1432" s="74"/>
      <c r="BG1432" s="74"/>
      <c r="BH1432" s="74"/>
      <c r="BI1432" s="74"/>
    </row>
    <row r="1433" spans="4:61" x14ac:dyDescent="0.3">
      <c r="D1433" s="74"/>
      <c r="E1433" s="74"/>
      <c r="X1433" s="74"/>
      <c r="Y1433" s="74"/>
      <c r="Z1433" s="74"/>
      <c r="AA1433" s="74"/>
      <c r="AB1433" s="74"/>
      <c r="AC1433" s="74"/>
      <c r="AN1433" s="74"/>
      <c r="AO1433" s="74"/>
      <c r="AP1433" s="74"/>
      <c r="AQ1433" s="74"/>
      <c r="AR1433" s="74"/>
      <c r="AS1433" s="74"/>
      <c r="BD1433" s="74"/>
      <c r="BE1433" s="74"/>
      <c r="BF1433" s="74"/>
      <c r="BG1433" s="74"/>
      <c r="BH1433" s="74"/>
      <c r="BI1433" s="74"/>
    </row>
    <row r="1434" spans="4:61" x14ac:dyDescent="0.3">
      <c r="D1434" s="74"/>
      <c r="E1434" s="74"/>
      <c r="X1434" s="74"/>
      <c r="Y1434" s="74"/>
      <c r="Z1434" s="74"/>
      <c r="AA1434" s="74"/>
      <c r="AB1434" s="74"/>
      <c r="AC1434" s="74"/>
      <c r="AN1434" s="74"/>
      <c r="AO1434" s="74"/>
      <c r="AP1434" s="74"/>
      <c r="AQ1434" s="74"/>
      <c r="AR1434" s="74"/>
      <c r="AS1434" s="74"/>
      <c r="BD1434" s="74"/>
      <c r="BE1434" s="74"/>
      <c r="BF1434" s="74"/>
      <c r="BG1434" s="74"/>
      <c r="BH1434" s="74"/>
      <c r="BI1434" s="74"/>
    </row>
    <row r="1435" spans="4:61" x14ac:dyDescent="0.3">
      <c r="D1435" s="74"/>
      <c r="E1435" s="74"/>
      <c r="X1435" s="74"/>
      <c r="Y1435" s="74"/>
      <c r="Z1435" s="74"/>
      <c r="AA1435" s="74"/>
      <c r="AB1435" s="74"/>
      <c r="AC1435" s="74"/>
      <c r="AN1435" s="74"/>
      <c r="AO1435" s="74"/>
      <c r="AP1435" s="74"/>
      <c r="AQ1435" s="74"/>
      <c r="AR1435" s="74"/>
      <c r="AS1435" s="74"/>
      <c r="BD1435" s="74"/>
      <c r="BE1435" s="74"/>
      <c r="BF1435" s="74"/>
      <c r="BG1435" s="74"/>
      <c r="BH1435" s="74"/>
      <c r="BI1435" s="74"/>
    </row>
    <row r="1436" spans="4:61" x14ac:dyDescent="0.3">
      <c r="D1436" s="74"/>
      <c r="E1436" s="74"/>
      <c r="X1436" s="74"/>
      <c r="Y1436" s="74"/>
      <c r="Z1436" s="74"/>
      <c r="AA1436" s="74"/>
      <c r="AB1436" s="74"/>
      <c r="AC1436" s="74"/>
      <c r="AN1436" s="74"/>
      <c r="AO1436" s="74"/>
      <c r="AP1436" s="74"/>
      <c r="AQ1436" s="74"/>
      <c r="AR1436" s="74"/>
      <c r="AS1436" s="74"/>
      <c r="BD1436" s="74"/>
      <c r="BE1436" s="74"/>
      <c r="BF1436" s="74"/>
      <c r="BG1436" s="74"/>
      <c r="BH1436" s="74"/>
      <c r="BI1436" s="74"/>
    </row>
    <row r="1437" spans="4:61" x14ac:dyDescent="0.3">
      <c r="D1437" s="74"/>
      <c r="E1437" s="74"/>
      <c r="X1437" s="74"/>
      <c r="Y1437" s="74"/>
      <c r="Z1437" s="74"/>
      <c r="AA1437" s="74"/>
      <c r="AB1437" s="74"/>
      <c r="AC1437" s="74"/>
      <c r="AN1437" s="74"/>
      <c r="AO1437" s="74"/>
      <c r="AP1437" s="74"/>
      <c r="AQ1437" s="74"/>
      <c r="AR1437" s="74"/>
      <c r="AS1437" s="74"/>
      <c r="BD1437" s="74"/>
      <c r="BE1437" s="74"/>
      <c r="BF1437" s="74"/>
      <c r="BG1437" s="74"/>
      <c r="BH1437" s="74"/>
      <c r="BI1437" s="74"/>
    </row>
    <row r="1438" spans="4:61" x14ac:dyDescent="0.3">
      <c r="D1438" s="74"/>
      <c r="E1438" s="74"/>
      <c r="X1438" s="74"/>
      <c r="Y1438" s="74"/>
      <c r="Z1438" s="74"/>
      <c r="AA1438" s="74"/>
      <c r="AB1438" s="74"/>
      <c r="AC1438" s="74"/>
      <c r="AN1438" s="74"/>
      <c r="AO1438" s="74"/>
      <c r="AP1438" s="74"/>
      <c r="AQ1438" s="74"/>
      <c r="AR1438" s="74"/>
      <c r="AS1438" s="74"/>
      <c r="BD1438" s="74"/>
      <c r="BE1438" s="74"/>
      <c r="BF1438" s="74"/>
      <c r="BG1438" s="74"/>
      <c r="BH1438" s="74"/>
      <c r="BI1438" s="74"/>
    </row>
    <row r="1439" spans="4:61" x14ac:dyDescent="0.3">
      <c r="D1439" s="74"/>
      <c r="E1439" s="74"/>
      <c r="X1439" s="74"/>
      <c r="Y1439" s="74"/>
      <c r="Z1439" s="74"/>
      <c r="AA1439" s="74"/>
      <c r="AB1439" s="74"/>
      <c r="AC1439" s="74"/>
      <c r="AN1439" s="74"/>
      <c r="AO1439" s="74"/>
      <c r="AP1439" s="74"/>
      <c r="AQ1439" s="74"/>
      <c r="AR1439" s="74"/>
      <c r="AS1439" s="74"/>
      <c r="BD1439" s="74"/>
      <c r="BE1439" s="74"/>
      <c r="BF1439" s="74"/>
      <c r="BG1439" s="74"/>
      <c r="BH1439" s="74"/>
      <c r="BI1439" s="74"/>
    </row>
    <row r="1440" spans="4:61" x14ac:dyDescent="0.3">
      <c r="D1440" s="74"/>
      <c r="E1440" s="74"/>
      <c r="X1440" s="74"/>
      <c r="Y1440" s="74"/>
      <c r="Z1440" s="74"/>
      <c r="AA1440" s="74"/>
      <c r="AB1440" s="74"/>
      <c r="AC1440" s="74"/>
      <c r="AN1440" s="74"/>
      <c r="AO1440" s="74"/>
      <c r="AP1440" s="74"/>
      <c r="AQ1440" s="74"/>
      <c r="AR1440" s="74"/>
      <c r="AS1440" s="74"/>
      <c r="BD1440" s="74"/>
      <c r="BE1440" s="74"/>
      <c r="BF1440" s="74"/>
      <c r="BG1440" s="74"/>
      <c r="BH1440" s="74"/>
      <c r="BI1440" s="74"/>
    </row>
    <row r="1441" spans="4:61" x14ac:dyDescent="0.3">
      <c r="D1441" s="74"/>
      <c r="E1441" s="74"/>
      <c r="X1441" s="74"/>
      <c r="Y1441" s="74"/>
      <c r="Z1441" s="74"/>
      <c r="AA1441" s="74"/>
      <c r="AB1441" s="74"/>
      <c r="AC1441" s="74"/>
      <c r="AN1441" s="74"/>
      <c r="AO1441" s="74"/>
      <c r="AP1441" s="74"/>
      <c r="AQ1441" s="74"/>
      <c r="AR1441" s="74"/>
      <c r="AS1441" s="74"/>
      <c r="BD1441" s="74"/>
      <c r="BE1441" s="74"/>
      <c r="BF1441" s="74"/>
      <c r="BG1441" s="74"/>
      <c r="BH1441" s="74"/>
      <c r="BI1441" s="74"/>
    </row>
    <row r="1442" spans="4:61" x14ac:dyDescent="0.3">
      <c r="D1442" s="74"/>
      <c r="E1442" s="74"/>
      <c r="X1442" s="74"/>
      <c r="Y1442" s="74"/>
      <c r="Z1442" s="74"/>
      <c r="AA1442" s="74"/>
      <c r="AB1442" s="74"/>
      <c r="AC1442" s="74"/>
      <c r="AN1442" s="74"/>
      <c r="AO1442" s="74"/>
      <c r="AP1442" s="74"/>
      <c r="AQ1442" s="74"/>
      <c r="AR1442" s="74"/>
      <c r="AS1442" s="74"/>
      <c r="BD1442" s="74"/>
      <c r="BE1442" s="74"/>
      <c r="BF1442" s="74"/>
      <c r="BG1442" s="74"/>
      <c r="BH1442" s="74"/>
      <c r="BI1442" s="74"/>
    </row>
    <row r="1443" spans="4:61" x14ac:dyDescent="0.3">
      <c r="D1443" s="74"/>
      <c r="E1443" s="74"/>
      <c r="X1443" s="74"/>
      <c r="Y1443" s="74"/>
      <c r="Z1443" s="74"/>
      <c r="AA1443" s="74"/>
      <c r="AB1443" s="74"/>
      <c r="AC1443" s="74"/>
      <c r="AN1443" s="74"/>
      <c r="AO1443" s="74"/>
      <c r="AP1443" s="74"/>
      <c r="AQ1443" s="74"/>
      <c r="AR1443" s="74"/>
      <c r="AS1443" s="74"/>
      <c r="BD1443" s="74"/>
      <c r="BE1443" s="74"/>
      <c r="BF1443" s="74"/>
      <c r="BG1443" s="74"/>
      <c r="BH1443" s="74"/>
      <c r="BI1443" s="74"/>
    </row>
    <row r="1444" spans="4:61" x14ac:dyDescent="0.3">
      <c r="D1444" s="74"/>
      <c r="E1444" s="74"/>
      <c r="X1444" s="74"/>
      <c r="Y1444" s="74"/>
      <c r="Z1444" s="74"/>
      <c r="AA1444" s="74"/>
      <c r="AB1444" s="74"/>
      <c r="AC1444" s="74"/>
      <c r="AN1444" s="74"/>
      <c r="AO1444" s="74"/>
      <c r="AP1444" s="74"/>
      <c r="AQ1444" s="74"/>
      <c r="AR1444" s="74"/>
      <c r="AS1444" s="74"/>
      <c r="BD1444" s="74"/>
      <c r="BE1444" s="74"/>
      <c r="BF1444" s="74"/>
      <c r="BG1444" s="74"/>
      <c r="BH1444" s="74"/>
      <c r="BI1444" s="74"/>
    </row>
    <row r="1445" spans="4:61" x14ac:dyDescent="0.3">
      <c r="D1445" s="74"/>
      <c r="E1445" s="74"/>
      <c r="X1445" s="74"/>
      <c r="Y1445" s="74"/>
      <c r="Z1445" s="74"/>
      <c r="AA1445" s="74"/>
      <c r="AB1445" s="74"/>
      <c r="AC1445" s="74"/>
      <c r="AN1445" s="74"/>
      <c r="AO1445" s="74"/>
      <c r="AP1445" s="74"/>
      <c r="AQ1445" s="74"/>
      <c r="AR1445" s="74"/>
      <c r="AS1445" s="74"/>
      <c r="BD1445" s="74"/>
      <c r="BE1445" s="74"/>
      <c r="BF1445" s="74"/>
      <c r="BG1445" s="74"/>
      <c r="BH1445" s="74"/>
      <c r="BI1445" s="74"/>
    </row>
    <row r="1446" spans="4:61" x14ac:dyDescent="0.3">
      <c r="D1446" s="74"/>
      <c r="E1446" s="74"/>
      <c r="X1446" s="74"/>
      <c r="Y1446" s="74"/>
      <c r="Z1446" s="74"/>
      <c r="AA1446" s="74"/>
      <c r="AB1446" s="74"/>
      <c r="AC1446" s="74"/>
      <c r="AN1446" s="74"/>
      <c r="AO1446" s="74"/>
      <c r="AP1446" s="74"/>
      <c r="AQ1446" s="74"/>
      <c r="AR1446" s="74"/>
      <c r="AS1446" s="74"/>
      <c r="BD1446" s="74"/>
      <c r="BE1446" s="74"/>
      <c r="BF1446" s="74"/>
      <c r="BG1446" s="74"/>
      <c r="BH1446" s="74"/>
      <c r="BI1446" s="74"/>
    </row>
    <row r="1447" spans="4:61" x14ac:dyDescent="0.3">
      <c r="D1447" s="74"/>
      <c r="E1447" s="74"/>
      <c r="X1447" s="74"/>
      <c r="Y1447" s="74"/>
      <c r="Z1447" s="74"/>
      <c r="AA1447" s="74"/>
      <c r="AB1447" s="74"/>
      <c r="AC1447" s="74"/>
      <c r="AN1447" s="74"/>
      <c r="AO1447" s="74"/>
      <c r="AP1447" s="74"/>
      <c r="AQ1447" s="74"/>
      <c r="AR1447" s="74"/>
      <c r="AS1447" s="74"/>
      <c r="BD1447" s="74"/>
      <c r="BE1447" s="74"/>
      <c r="BF1447" s="74"/>
      <c r="BG1447" s="74"/>
      <c r="BH1447" s="74"/>
      <c r="BI1447" s="74"/>
    </row>
    <row r="1448" spans="4:61" x14ac:dyDescent="0.3">
      <c r="D1448" s="74"/>
      <c r="E1448" s="74"/>
      <c r="X1448" s="74"/>
      <c r="Y1448" s="74"/>
      <c r="Z1448" s="74"/>
      <c r="AA1448" s="74"/>
      <c r="AB1448" s="74"/>
      <c r="AC1448" s="74"/>
      <c r="AN1448" s="74"/>
      <c r="AO1448" s="74"/>
      <c r="AP1448" s="74"/>
      <c r="AQ1448" s="74"/>
      <c r="AR1448" s="74"/>
      <c r="AS1448" s="74"/>
      <c r="BD1448" s="74"/>
      <c r="BE1448" s="74"/>
      <c r="BF1448" s="74"/>
      <c r="BG1448" s="74"/>
      <c r="BH1448" s="74"/>
      <c r="BI1448" s="74"/>
    </row>
    <row r="1449" spans="4:61" x14ac:dyDescent="0.3">
      <c r="D1449" s="74"/>
      <c r="E1449" s="74"/>
      <c r="X1449" s="74"/>
      <c r="Y1449" s="74"/>
      <c r="Z1449" s="74"/>
      <c r="AA1449" s="74"/>
      <c r="AB1449" s="74"/>
      <c r="AC1449" s="74"/>
      <c r="AN1449" s="74"/>
      <c r="AO1449" s="74"/>
      <c r="AP1449" s="74"/>
      <c r="AQ1449" s="74"/>
      <c r="AR1449" s="74"/>
      <c r="AS1449" s="74"/>
      <c r="BD1449" s="74"/>
      <c r="BE1449" s="74"/>
      <c r="BF1449" s="74"/>
      <c r="BG1449" s="74"/>
      <c r="BH1449" s="74"/>
      <c r="BI1449" s="74"/>
    </row>
    <row r="1450" spans="4:61" x14ac:dyDescent="0.3">
      <c r="D1450" s="74"/>
      <c r="E1450" s="74"/>
      <c r="X1450" s="74"/>
      <c r="Y1450" s="74"/>
      <c r="Z1450" s="74"/>
      <c r="AA1450" s="74"/>
      <c r="AB1450" s="74"/>
      <c r="AC1450" s="74"/>
      <c r="AN1450" s="74"/>
      <c r="AO1450" s="74"/>
      <c r="AP1450" s="74"/>
      <c r="AQ1450" s="74"/>
      <c r="AR1450" s="74"/>
      <c r="AS1450" s="74"/>
      <c r="BD1450" s="74"/>
      <c r="BE1450" s="74"/>
      <c r="BF1450" s="74"/>
      <c r="BG1450" s="74"/>
      <c r="BH1450" s="74"/>
      <c r="BI1450" s="74"/>
    </row>
    <row r="1451" spans="4:61" x14ac:dyDescent="0.3">
      <c r="D1451" s="74"/>
      <c r="E1451" s="74"/>
      <c r="X1451" s="74"/>
      <c r="Y1451" s="74"/>
      <c r="Z1451" s="74"/>
      <c r="AA1451" s="74"/>
      <c r="AB1451" s="74"/>
      <c r="AC1451" s="74"/>
      <c r="AN1451" s="74"/>
      <c r="AO1451" s="74"/>
      <c r="AP1451" s="74"/>
      <c r="AQ1451" s="74"/>
      <c r="AR1451" s="74"/>
      <c r="AS1451" s="74"/>
      <c r="BD1451" s="74"/>
      <c r="BE1451" s="74"/>
      <c r="BF1451" s="74"/>
      <c r="BG1451" s="74"/>
      <c r="BH1451" s="74"/>
      <c r="BI1451" s="74"/>
    </row>
    <row r="1452" spans="4:61" x14ac:dyDescent="0.3">
      <c r="D1452" s="74"/>
      <c r="E1452" s="74"/>
      <c r="X1452" s="74"/>
      <c r="Y1452" s="74"/>
      <c r="Z1452" s="74"/>
      <c r="AA1452" s="74"/>
      <c r="AB1452" s="74"/>
      <c r="AC1452" s="74"/>
      <c r="AN1452" s="74"/>
      <c r="AO1452" s="74"/>
      <c r="AP1452" s="74"/>
      <c r="AQ1452" s="74"/>
      <c r="AR1452" s="74"/>
      <c r="AS1452" s="74"/>
      <c r="BD1452" s="74"/>
      <c r="BE1452" s="74"/>
      <c r="BF1452" s="74"/>
      <c r="BG1452" s="74"/>
      <c r="BH1452" s="74"/>
      <c r="BI1452" s="74"/>
    </row>
    <row r="1453" spans="4:61" x14ac:dyDescent="0.3">
      <c r="D1453" s="74"/>
      <c r="E1453" s="74"/>
      <c r="X1453" s="74"/>
      <c r="Y1453" s="74"/>
      <c r="Z1453" s="74"/>
      <c r="AA1453" s="74"/>
      <c r="AB1453" s="74"/>
      <c r="AC1453" s="74"/>
      <c r="AN1453" s="74"/>
      <c r="AO1453" s="74"/>
      <c r="AP1453" s="74"/>
      <c r="AQ1453" s="74"/>
      <c r="AR1453" s="74"/>
      <c r="AS1453" s="74"/>
      <c r="BD1453" s="74"/>
      <c r="BE1453" s="74"/>
      <c r="BF1453" s="74"/>
      <c r="BG1453" s="74"/>
      <c r="BH1453" s="74"/>
      <c r="BI1453" s="74"/>
    </row>
    <row r="1454" spans="4:61" x14ac:dyDescent="0.3">
      <c r="D1454" s="74"/>
      <c r="E1454" s="74"/>
      <c r="X1454" s="74"/>
      <c r="Y1454" s="74"/>
      <c r="Z1454" s="74"/>
      <c r="AA1454" s="74"/>
      <c r="AB1454" s="74"/>
      <c r="AC1454" s="74"/>
      <c r="AN1454" s="74"/>
      <c r="AO1454" s="74"/>
      <c r="AP1454" s="74"/>
      <c r="AQ1454" s="74"/>
      <c r="AR1454" s="74"/>
      <c r="AS1454" s="74"/>
      <c r="BD1454" s="74"/>
      <c r="BE1454" s="74"/>
      <c r="BF1454" s="74"/>
      <c r="BG1454" s="74"/>
      <c r="BH1454" s="74"/>
      <c r="BI1454" s="74"/>
    </row>
    <row r="1455" spans="4:61" x14ac:dyDescent="0.3">
      <c r="D1455" s="74"/>
      <c r="E1455" s="74"/>
      <c r="X1455" s="74"/>
      <c r="Y1455" s="74"/>
      <c r="Z1455" s="74"/>
      <c r="AA1455" s="74"/>
      <c r="AB1455" s="74"/>
      <c r="AC1455" s="74"/>
      <c r="AN1455" s="74"/>
      <c r="AO1455" s="74"/>
      <c r="AP1455" s="74"/>
      <c r="AQ1455" s="74"/>
      <c r="AR1455" s="74"/>
      <c r="AS1455" s="74"/>
      <c r="BD1455" s="74"/>
      <c r="BE1455" s="74"/>
      <c r="BF1455" s="74"/>
      <c r="BG1455" s="74"/>
      <c r="BH1455" s="74"/>
      <c r="BI1455" s="74"/>
    </row>
    <row r="1456" spans="4:61" x14ac:dyDescent="0.3">
      <c r="D1456" s="74"/>
      <c r="E1456" s="74"/>
      <c r="X1456" s="74"/>
      <c r="Y1456" s="74"/>
      <c r="Z1456" s="74"/>
      <c r="AA1456" s="74"/>
      <c r="AB1456" s="74"/>
      <c r="AC1456" s="74"/>
      <c r="AN1456" s="74"/>
      <c r="AO1456" s="74"/>
      <c r="AP1456" s="74"/>
      <c r="AQ1456" s="74"/>
      <c r="AR1456" s="74"/>
      <c r="AS1456" s="74"/>
      <c r="BD1456" s="74"/>
      <c r="BE1456" s="74"/>
      <c r="BF1456" s="74"/>
      <c r="BG1456" s="74"/>
      <c r="BH1456" s="74"/>
      <c r="BI1456" s="74"/>
    </row>
    <row r="1457" spans="4:61" x14ac:dyDescent="0.3">
      <c r="D1457" s="74"/>
      <c r="E1457" s="74"/>
      <c r="X1457" s="74"/>
      <c r="Y1457" s="74"/>
      <c r="Z1457" s="74"/>
      <c r="AA1457" s="74"/>
      <c r="AB1457" s="74"/>
      <c r="AC1457" s="74"/>
      <c r="AN1457" s="74"/>
      <c r="AO1457" s="74"/>
      <c r="AP1457" s="74"/>
      <c r="AQ1457" s="74"/>
      <c r="AR1457" s="74"/>
      <c r="AS1457" s="74"/>
      <c r="BD1457" s="74"/>
      <c r="BE1457" s="74"/>
      <c r="BF1457" s="74"/>
      <c r="BG1457" s="74"/>
      <c r="BH1457" s="74"/>
      <c r="BI1457" s="74"/>
    </row>
    <row r="1458" spans="4:61" x14ac:dyDescent="0.3">
      <c r="D1458" s="74"/>
      <c r="E1458" s="74"/>
      <c r="X1458" s="74"/>
      <c r="Y1458" s="74"/>
      <c r="Z1458" s="74"/>
      <c r="AA1458" s="74"/>
      <c r="AB1458" s="74"/>
      <c r="AC1458" s="74"/>
      <c r="AN1458" s="74"/>
      <c r="AO1458" s="74"/>
      <c r="AP1458" s="74"/>
      <c r="AQ1458" s="74"/>
      <c r="AR1458" s="74"/>
      <c r="AS1458" s="74"/>
      <c r="BD1458" s="74"/>
      <c r="BE1458" s="74"/>
      <c r="BF1458" s="74"/>
      <c r="BG1458" s="74"/>
      <c r="BH1458" s="74"/>
      <c r="BI1458" s="74"/>
    </row>
    <row r="1459" spans="4:61" x14ac:dyDescent="0.3">
      <c r="D1459" s="74"/>
      <c r="E1459" s="74"/>
      <c r="X1459" s="74"/>
      <c r="Y1459" s="74"/>
      <c r="Z1459" s="74"/>
      <c r="AA1459" s="74"/>
      <c r="AB1459" s="74"/>
      <c r="AC1459" s="74"/>
      <c r="AN1459" s="74"/>
      <c r="AO1459" s="74"/>
      <c r="AP1459" s="74"/>
      <c r="AQ1459" s="74"/>
      <c r="AR1459" s="74"/>
      <c r="AS1459" s="74"/>
      <c r="BD1459" s="74"/>
      <c r="BE1459" s="74"/>
      <c r="BF1459" s="74"/>
      <c r="BG1459" s="74"/>
      <c r="BH1459" s="74"/>
      <c r="BI1459" s="74"/>
    </row>
    <row r="1460" spans="4:61" x14ac:dyDescent="0.3">
      <c r="D1460" s="74"/>
      <c r="E1460" s="74"/>
      <c r="X1460" s="74"/>
      <c r="Y1460" s="74"/>
      <c r="Z1460" s="74"/>
      <c r="AA1460" s="74"/>
      <c r="AB1460" s="74"/>
      <c r="AC1460" s="74"/>
      <c r="AN1460" s="74"/>
      <c r="AO1460" s="74"/>
      <c r="AP1460" s="74"/>
      <c r="AQ1460" s="74"/>
      <c r="AR1460" s="74"/>
      <c r="AS1460" s="74"/>
      <c r="BD1460" s="74"/>
      <c r="BE1460" s="74"/>
      <c r="BF1460" s="74"/>
      <c r="BG1460" s="74"/>
      <c r="BH1460" s="74"/>
      <c r="BI1460" s="74"/>
    </row>
    <row r="1461" spans="4:61" x14ac:dyDescent="0.3">
      <c r="D1461" s="74"/>
      <c r="E1461" s="74"/>
      <c r="X1461" s="74"/>
      <c r="Y1461" s="74"/>
      <c r="Z1461" s="74"/>
      <c r="AA1461" s="74"/>
      <c r="AB1461" s="74"/>
      <c r="AC1461" s="74"/>
      <c r="AN1461" s="74"/>
      <c r="AO1461" s="74"/>
      <c r="AP1461" s="74"/>
      <c r="AQ1461" s="74"/>
      <c r="AR1461" s="74"/>
      <c r="AS1461" s="74"/>
      <c r="BD1461" s="74"/>
      <c r="BE1461" s="74"/>
      <c r="BF1461" s="74"/>
      <c r="BG1461" s="74"/>
      <c r="BH1461" s="74"/>
      <c r="BI1461" s="74"/>
    </row>
    <row r="1462" spans="4:61" x14ac:dyDescent="0.3">
      <c r="D1462" s="74"/>
      <c r="E1462" s="74"/>
      <c r="X1462" s="74"/>
      <c r="Y1462" s="74"/>
      <c r="Z1462" s="74"/>
      <c r="AA1462" s="74"/>
      <c r="AB1462" s="74"/>
      <c r="AC1462" s="74"/>
      <c r="AN1462" s="74"/>
      <c r="AO1462" s="74"/>
      <c r="AP1462" s="74"/>
      <c r="AQ1462" s="74"/>
      <c r="AR1462" s="74"/>
      <c r="AS1462" s="74"/>
      <c r="BD1462" s="74"/>
      <c r="BE1462" s="74"/>
      <c r="BF1462" s="74"/>
      <c r="BG1462" s="74"/>
      <c r="BH1462" s="74"/>
      <c r="BI1462" s="74"/>
    </row>
    <row r="1463" spans="4:61" x14ac:dyDescent="0.3">
      <c r="D1463" s="74"/>
      <c r="E1463" s="74"/>
      <c r="X1463" s="74"/>
      <c r="Y1463" s="74"/>
      <c r="Z1463" s="74"/>
      <c r="AA1463" s="74"/>
      <c r="AB1463" s="74"/>
      <c r="AC1463" s="74"/>
      <c r="AN1463" s="74"/>
      <c r="AO1463" s="74"/>
      <c r="AP1463" s="74"/>
      <c r="AQ1463" s="74"/>
      <c r="AR1463" s="74"/>
      <c r="AS1463" s="74"/>
      <c r="BD1463" s="74"/>
      <c r="BE1463" s="74"/>
      <c r="BF1463" s="74"/>
      <c r="BG1463" s="74"/>
      <c r="BH1463" s="74"/>
      <c r="BI1463" s="74"/>
    </row>
    <row r="1464" spans="4:61" x14ac:dyDescent="0.3">
      <c r="D1464" s="74"/>
      <c r="E1464" s="74"/>
      <c r="X1464" s="74"/>
      <c r="Y1464" s="74"/>
      <c r="Z1464" s="74"/>
      <c r="AA1464" s="74"/>
      <c r="AB1464" s="74"/>
      <c r="AC1464" s="74"/>
      <c r="AN1464" s="74"/>
      <c r="AO1464" s="74"/>
      <c r="AP1464" s="74"/>
      <c r="AQ1464" s="74"/>
      <c r="AR1464" s="74"/>
      <c r="AS1464" s="74"/>
      <c r="BD1464" s="74"/>
      <c r="BE1464" s="74"/>
      <c r="BF1464" s="74"/>
      <c r="BG1464" s="74"/>
      <c r="BH1464" s="74"/>
      <c r="BI1464" s="74"/>
    </row>
    <row r="1465" spans="4:61" x14ac:dyDescent="0.3">
      <c r="D1465" s="74"/>
      <c r="E1465" s="74"/>
      <c r="X1465" s="74"/>
      <c r="Y1465" s="74"/>
      <c r="Z1465" s="74"/>
      <c r="AA1465" s="74"/>
      <c r="AB1465" s="74"/>
      <c r="AC1465" s="74"/>
      <c r="AN1465" s="74"/>
      <c r="AO1465" s="74"/>
      <c r="AP1465" s="74"/>
      <c r="AQ1465" s="74"/>
      <c r="AR1465" s="74"/>
      <c r="AS1465" s="74"/>
      <c r="BD1465" s="74"/>
      <c r="BE1465" s="74"/>
      <c r="BF1465" s="74"/>
      <c r="BG1465" s="74"/>
      <c r="BH1465" s="74"/>
      <c r="BI1465" s="74"/>
    </row>
    <row r="1466" spans="4:61" x14ac:dyDescent="0.3">
      <c r="D1466" s="74"/>
      <c r="E1466" s="74"/>
      <c r="X1466" s="74"/>
      <c r="Y1466" s="74"/>
      <c r="Z1466" s="74"/>
      <c r="AA1466" s="74"/>
      <c r="AB1466" s="74"/>
      <c r="AC1466" s="74"/>
      <c r="AN1466" s="74"/>
      <c r="AO1466" s="74"/>
      <c r="AP1466" s="74"/>
      <c r="AQ1466" s="74"/>
      <c r="AR1466" s="74"/>
      <c r="AS1466" s="74"/>
      <c r="BD1466" s="74"/>
      <c r="BE1466" s="74"/>
      <c r="BF1466" s="74"/>
      <c r="BG1466" s="74"/>
      <c r="BH1466" s="74"/>
      <c r="BI1466" s="74"/>
    </row>
    <row r="1467" spans="4:61" x14ac:dyDescent="0.3">
      <c r="D1467" s="74"/>
      <c r="E1467" s="74"/>
      <c r="X1467" s="74"/>
      <c r="Y1467" s="74"/>
      <c r="Z1467" s="74"/>
      <c r="AA1467" s="74"/>
      <c r="AB1467" s="74"/>
      <c r="AC1467" s="74"/>
      <c r="AN1467" s="74"/>
      <c r="AO1467" s="74"/>
      <c r="AP1467" s="74"/>
      <c r="AQ1467" s="74"/>
      <c r="AR1467" s="74"/>
      <c r="AS1467" s="74"/>
      <c r="BD1467" s="74"/>
      <c r="BE1467" s="74"/>
      <c r="BF1467" s="74"/>
      <c r="BG1467" s="74"/>
      <c r="BH1467" s="74"/>
      <c r="BI1467" s="74"/>
    </row>
    <row r="1468" spans="4:61" x14ac:dyDescent="0.3">
      <c r="D1468" s="74"/>
      <c r="E1468" s="74"/>
      <c r="X1468" s="74"/>
      <c r="Y1468" s="74"/>
      <c r="Z1468" s="74"/>
      <c r="AA1468" s="74"/>
      <c r="AB1468" s="74"/>
      <c r="AC1468" s="74"/>
      <c r="AN1468" s="74"/>
      <c r="AO1468" s="74"/>
      <c r="AP1468" s="74"/>
      <c r="AQ1468" s="74"/>
      <c r="AR1468" s="74"/>
      <c r="AS1468" s="74"/>
      <c r="BD1468" s="74"/>
      <c r="BE1468" s="74"/>
      <c r="BF1468" s="74"/>
      <c r="BG1468" s="74"/>
      <c r="BH1468" s="74"/>
      <c r="BI1468" s="74"/>
    </row>
    <row r="1469" spans="4:61" x14ac:dyDescent="0.3">
      <c r="D1469" s="74"/>
      <c r="E1469" s="74"/>
      <c r="X1469" s="74"/>
      <c r="Y1469" s="74"/>
      <c r="Z1469" s="74"/>
      <c r="AA1469" s="74"/>
      <c r="AB1469" s="74"/>
      <c r="AC1469" s="74"/>
      <c r="AN1469" s="74"/>
      <c r="AO1469" s="74"/>
      <c r="AP1469" s="74"/>
      <c r="AQ1469" s="74"/>
      <c r="AR1469" s="74"/>
      <c r="AS1469" s="74"/>
      <c r="BD1469" s="74"/>
      <c r="BE1469" s="74"/>
      <c r="BF1469" s="74"/>
      <c r="BG1469" s="74"/>
      <c r="BH1469" s="74"/>
      <c r="BI1469" s="74"/>
    </row>
    <row r="1470" spans="4:61" x14ac:dyDescent="0.3">
      <c r="D1470" s="74"/>
      <c r="E1470" s="74"/>
      <c r="X1470" s="74"/>
      <c r="Y1470" s="74"/>
      <c r="Z1470" s="74"/>
      <c r="AA1470" s="74"/>
      <c r="AB1470" s="74"/>
      <c r="AC1470" s="74"/>
      <c r="AN1470" s="74"/>
      <c r="AO1470" s="74"/>
      <c r="AP1470" s="74"/>
      <c r="AQ1470" s="74"/>
      <c r="AR1470" s="74"/>
      <c r="AS1470" s="74"/>
      <c r="BD1470" s="74"/>
      <c r="BE1470" s="74"/>
      <c r="BF1470" s="74"/>
      <c r="BG1470" s="74"/>
      <c r="BH1470" s="74"/>
      <c r="BI1470" s="74"/>
    </row>
    <row r="1471" spans="4:61" x14ac:dyDescent="0.3">
      <c r="D1471" s="74"/>
      <c r="E1471" s="74"/>
      <c r="X1471" s="74"/>
      <c r="Y1471" s="74"/>
      <c r="Z1471" s="74"/>
      <c r="AA1471" s="74"/>
      <c r="AB1471" s="74"/>
      <c r="AC1471" s="74"/>
      <c r="AN1471" s="74"/>
      <c r="AO1471" s="74"/>
      <c r="AP1471" s="74"/>
      <c r="AQ1471" s="74"/>
      <c r="AR1471" s="74"/>
      <c r="AS1471" s="74"/>
      <c r="BD1471" s="74"/>
      <c r="BE1471" s="74"/>
      <c r="BF1471" s="74"/>
      <c r="BG1471" s="74"/>
      <c r="BH1471" s="74"/>
      <c r="BI1471" s="74"/>
    </row>
    <row r="1472" spans="4:61" x14ac:dyDescent="0.3">
      <c r="D1472" s="74"/>
      <c r="E1472" s="74"/>
      <c r="X1472" s="74"/>
      <c r="Y1472" s="74"/>
      <c r="Z1472" s="74"/>
      <c r="AA1472" s="74"/>
      <c r="AB1472" s="74"/>
      <c r="AC1472" s="74"/>
      <c r="AN1472" s="74"/>
      <c r="AO1472" s="74"/>
      <c r="AP1472" s="74"/>
      <c r="AQ1472" s="74"/>
      <c r="AR1472" s="74"/>
      <c r="AS1472" s="74"/>
      <c r="BD1472" s="74"/>
      <c r="BE1472" s="74"/>
      <c r="BF1472" s="74"/>
      <c r="BG1472" s="74"/>
      <c r="BH1472" s="74"/>
      <c r="BI1472" s="74"/>
    </row>
    <row r="1473" spans="4:61" x14ac:dyDescent="0.3">
      <c r="D1473" s="74"/>
      <c r="E1473" s="74"/>
      <c r="X1473" s="74"/>
      <c r="Y1473" s="74"/>
      <c r="Z1473" s="74"/>
      <c r="AA1473" s="74"/>
      <c r="AB1473" s="74"/>
      <c r="AC1473" s="74"/>
      <c r="AN1473" s="74"/>
      <c r="AO1473" s="74"/>
      <c r="AP1473" s="74"/>
      <c r="AQ1473" s="74"/>
      <c r="AR1473" s="74"/>
      <c r="AS1473" s="74"/>
      <c r="BD1473" s="74"/>
      <c r="BE1473" s="74"/>
      <c r="BF1473" s="74"/>
      <c r="BG1473" s="74"/>
      <c r="BH1473" s="74"/>
      <c r="BI1473" s="74"/>
    </row>
    <row r="1474" spans="4:61" x14ac:dyDescent="0.3">
      <c r="D1474" s="74"/>
      <c r="E1474" s="74"/>
      <c r="X1474" s="74"/>
      <c r="Y1474" s="74"/>
      <c r="Z1474" s="74"/>
      <c r="AA1474" s="74"/>
      <c r="AB1474" s="74"/>
      <c r="AC1474" s="74"/>
      <c r="AN1474" s="74"/>
      <c r="AO1474" s="74"/>
      <c r="AP1474" s="74"/>
      <c r="AQ1474" s="74"/>
      <c r="AR1474" s="74"/>
      <c r="AS1474" s="74"/>
      <c r="BD1474" s="74"/>
      <c r="BE1474" s="74"/>
      <c r="BF1474" s="74"/>
      <c r="BG1474" s="74"/>
      <c r="BH1474" s="74"/>
      <c r="BI1474" s="74"/>
    </row>
    <row r="1475" spans="4:61" x14ac:dyDescent="0.3">
      <c r="D1475" s="74"/>
      <c r="E1475" s="74"/>
      <c r="X1475" s="74"/>
      <c r="Y1475" s="74"/>
      <c r="Z1475" s="74"/>
      <c r="AA1475" s="74"/>
      <c r="AB1475" s="74"/>
      <c r="AC1475" s="74"/>
      <c r="AN1475" s="74"/>
      <c r="AO1475" s="74"/>
      <c r="AP1475" s="74"/>
      <c r="AQ1475" s="74"/>
      <c r="AR1475" s="74"/>
      <c r="AS1475" s="74"/>
      <c r="BD1475" s="74"/>
      <c r="BE1475" s="74"/>
      <c r="BF1475" s="74"/>
      <c r="BG1475" s="74"/>
      <c r="BH1475" s="74"/>
      <c r="BI1475" s="74"/>
    </row>
    <row r="1476" spans="4:61" x14ac:dyDescent="0.3">
      <c r="D1476" s="74"/>
      <c r="E1476" s="74"/>
      <c r="X1476" s="74"/>
      <c r="Y1476" s="74"/>
      <c r="Z1476" s="74"/>
      <c r="AA1476" s="74"/>
      <c r="AB1476" s="74"/>
      <c r="AC1476" s="74"/>
      <c r="AN1476" s="74"/>
      <c r="AO1476" s="74"/>
      <c r="AP1476" s="74"/>
      <c r="AQ1476" s="74"/>
      <c r="AR1476" s="74"/>
      <c r="AS1476" s="74"/>
      <c r="BD1476" s="74"/>
      <c r="BE1476" s="74"/>
      <c r="BF1476" s="74"/>
      <c r="BG1476" s="74"/>
      <c r="BH1476" s="74"/>
      <c r="BI1476" s="74"/>
    </row>
    <row r="1477" spans="4:61" x14ac:dyDescent="0.3">
      <c r="D1477" s="74"/>
      <c r="E1477" s="74"/>
      <c r="X1477" s="74"/>
      <c r="Y1477" s="74"/>
      <c r="Z1477" s="74"/>
      <c r="AA1477" s="74"/>
      <c r="AB1477" s="74"/>
      <c r="AC1477" s="74"/>
      <c r="AN1477" s="74"/>
      <c r="AO1477" s="74"/>
      <c r="AP1477" s="74"/>
      <c r="AQ1477" s="74"/>
      <c r="AR1477" s="74"/>
      <c r="AS1477" s="74"/>
      <c r="BD1477" s="74"/>
      <c r="BE1477" s="74"/>
      <c r="BF1477" s="74"/>
      <c r="BG1477" s="74"/>
      <c r="BH1477" s="74"/>
      <c r="BI1477" s="74"/>
    </row>
    <row r="1478" spans="4:61" x14ac:dyDescent="0.3">
      <c r="D1478" s="74"/>
      <c r="E1478" s="74"/>
      <c r="X1478" s="74"/>
      <c r="Y1478" s="74"/>
      <c r="Z1478" s="74"/>
      <c r="AA1478" s="74"/>
      <c r="AB1478" s="74"/>
      <c r="AC1478" s="74"/>
      <c r="AN1478" s="74"/>
      <c r="AO1478" s="74"/>
      <c r="AP1478" s="74"/>
      <c r="AQ1478" s="74"/>
      <c r="AR1478" s="74"/>
      <c r="AS1478" s="74"/>
      <c r="BD1478" s="74"/>
      <c r="BE1478" s="74"/>
      <c r="BF1478" s="74"/>
      <c r="BG1478" s="74"/>
      <c r="BH1478" s="74"/>
      <c r="BI1478" s="74"/>
    </row>
    <row r="1479" spans="4:61" x14ac:dyDescent="0.3">
      <c r="D1479" s="74"/>
      <c r="E1479" s="74"/>
      <c r="X1479" s="74"/>
      <c r="Y1479" s="74"/>
      <c r="Z1479" s="74"/>
      <c r="AA1479" s="74"/>
      <c r="AB1479" s="74"/>
      <c r="AC1479" s="74"/>
      <c r="AN1479" s="74"/>
      <c r="AO1479" s="74"/>
      <c r="AP1479" s="74"/>
      <c r="AQ1479" s="74"/>
      <c r="AR1479" s="74"/>
      <c r="AS1479" s="74"/>
      <c r="BD1479" s="74"/>
      <c r="BE1479" s="74"/>
      <c r="BF1479" s="74"/>
      <c r="BG1479" s="74"/>
      <c r="BH1479" s="74"/>
      <c r="BI1479" s="74"/>
    </row>
    <row r="1480" spans="4:61" x14ac:dyDescent="0.3">
      <c r="D1480" s="74"/>
      <c r="E1480" s="74"/>
      <c r="X1480" s="74"/>
      <c r="Y1480" s="74"/>
      <c r="Z1480" s="74"/>
      <c r="AA1480" s="74"/>
      <c r="AB1480" s="74"/>
      <c r="AC1480" s="74"/>
      <c r="AN1480" s="74"/>
      <c r="AO1480" s="74"/>
      <c r="AP1480" s="74"/>
      <c r="AQ1480" s="74"/>
      <c r="AR1480" s="74"/>
      <c r="AS1480" s="74"/>
      <c r="BD1480" s="74"/>
      <c r="BE1480" s="74"/>
      <c r="BF1480" s="74"/>
      <c r="BG1480" s="74"/>
      <c r="BH1480" s="74"/>
      <c r="BI1480" s="74"/>
    </row>
    <row r="1481" spans="4:61" x14ac:dyDescent="0.3">
      <c r="D1481" s="74"/>
      <c r="E1481" s="74"/>
      <c r="X1481" s="74"/>
      <c r="Y1481" s="74"/>
      <c r="Z1481" s="74"/>
      <c r="AA1481" s="74"/>
      <c r="AB1481" s="74"/>
      <c r="AC1481" s="74"/>
      <c r="AN1481" s="74"/>
      <c r="AO1481" s="74"/>
      <c r="AP1481" s="74"/>
      <c r="AQ1481" s="74"/>
      <c r="AR1481" s="74"/>
      <c r="AS1481" s="74"/>
      <c r="BD1481" s="74"/>
      <c r="BE1481" s="74"/>
      <c r="BF1481" s="74"/>
      <c r="BG1481" s="74"/>
      <c r="BH1481" s="74"/>
      <c r="BI1481" s="74"/>
    </row>
    <row r="1482" spans="4:61" x14ac:dyDescent="0.3">
      <c r="D1482" s="74"/>
      <c r="E1482" s="74"/>
      <c r="X1482" s="74"/>
      <c r="Y1482" s="74"/>
      <c r="Z1482" s="74"/>
      <c r="AA1482" s="74"/>
      <c r="AB1482" s="74"/>
      <c r="AC1482" s="74"/>
      <c r="AN1482" s="74"/>
      <c r="AO1482" s="74"/>
      <c r="AP1482" s="74"/>
      <c r="AQ1482" s="74"/>
      <c r="AR1482" s="74"/>
      <c r="AS1482" s="74"/>
      <c r="BD1482" s="74"/>
      <c r="BE1482" s="74"/>
      <c r="BF1482" s="74"/>
      <c r="BG1482" s="74"/>
      <c r="BH1482" s="74"/>
      <c r="BI1482" s="74"/>
    </row>
    <row r="1483" spans="4:61" x14ac:dyDescent="0.3">
      <c r="D1483" s="74"/>
      <c r="E1483" s="74"/>
      <c r="X1483" s="74"/>
      <c r="Y1483" s="74"/>
      <c r="Z1483" s="74"/>
      <c r="AA1483" s="74"/>
      <c r="AB1483" s="74"/>
      <c r="AC1483" s="74"/>
      <c r="AN1483" s="74"/>
      <c r="AO1483" s="74"/>
      <c r="AP1483" s="74"/>
      <c r="AQ1483" s="74"/>
      <c r="AR1483" s="74"/>
      <c r="AS1483" s="74"/>
      <c r="BD1483" s="74"/>
      <c r="BE1483" s="74"/>
      <c r="BF1483" s="74"/>
      <c r="BG1483" s="74"/>
      <c r="BH1483" s="74"/>
      <c r="BI1483" s="74"/>
    </row>
    <row r="1484" spans="4:61" x14ac:dyDescent="0.3">
      <c r="D1484" s="74"/>
      <c r="E1484" s="74"/>
      <c r="X1484" s="74"/>
      <c r="Y1484" s="74"/>
      <c r="Z1484" s="74"/>
      <c r="AA1484" s="74"/>
      <c r="AB1484" s="74"/>
      <c r="AC1484" s="74"/>
      <c r="AN1484" s="74"/>
      <c r="AO1484" s="74"/>
      <c r="AP1484" s="74"/>
      <c r="AQ1484" s="74"/>
      <c r="AR1484" s="74"/>
      <c r="AS1484" s="74"/>
      <c r="BD1484" s="74"/>
      <c r="BE1484" s="74"/>
      <c r="BF1484" s="74"/>
      <c r="BG1484" s="74"/>
      <c r="BH1484" s="74"/>
      <c r="BI1484" s="74"/>
    </row>
    <row r="1485" spans="4:61" x14ac:dyDescent="0.3">
      <c r="D1485" s="74"/>
      <c r="E1485" s="74"/>
      <c r="X1485" s="74"/>
      <c r="Y1485" s="74"/>
      <c r="Z1485" s="74"/>
      <c r="AA1485" s="74"/>
      <c r="AB1485" s="74"/>
      <c r="AC1485" s="74"/>
      <c r="AN1485" s="74"/>
      <c r="AO1485" s="74"/>
      <c r="AP1485" s="74"/>
      <c r="AQ1485" s="74"/>
      <c r="AR1485" s="74"/>
      <c r="AS1485" s="74"/>
      <c r="BD1485" s="74"/>
      <c r="BE1485" s="74"/>
      <c r="BF1485" s="74"/>
      <c r="BG1485" s="74"/>
      <c r="BH1485" s="74"/>
      <c r="BI1485" s="74"/>
    </row>
    <row r="1486" spans="4:61" x14ac:dyDescent="0.3">
      <c r="D1486" s="74"/>
      <c r="E1486" s="74"/>
      <c r="X1486" s="74"/>
      <c r="Y1486" s="74"/>
      <c r="Z1486" s="74"/>
      <c r="AA1486" s="74"/>
      <c r="AB1486" s="74"/>
      <c r="AC1486" s="74"/>
      <c r="AN1486" s="74"/>
      <c r="AO1486" s="74"/>
      <c r="AP1486" s="74"/>
      <c r="AQ1486" s="74"/>
      <c r="AR1486" s="74"/>
      <c r="AS1486" s="74"/>
      <c r="BD1486" s="74"/>
      <c r="BE1486" s="74"/>
      <c r="BF1486" s="74"/>
      <c r="BG1486" s="74"/>
      <c r="BH1486" s="74"/>
      <c r="BI1486" s="74"/>
    </row>
    <row r="1487" spans="4:61" x14ac:dyDescent="0.3">
      <c r="D1487" s="74"/>
      <c r="E1487" s="74"/>
      <c r="X1487" s="74"/>
      <c r="Y1487" s="74"/>
      <c r="Z1487" s="74"/>
      <c r="AA1487" s="74"/>
      <c r="AB1487" s="74"/>
      <c r="AC1487" s="74"/>
      <c r="AN1487" s="74"/>
      <c r="AO1487" s="74"/>
      <c r="AP1487" s="74"/>
      <c r="AQ1487" s="74"/>
      <c r="AR1487" s="74"/>
      <c r="AS1487" s="74"/>
      <c r="BD1487" s="74"/>
      <c r="BE1487" s="74"/>
      <c r="BF1487" s="74"/>
      <c r="BG1487" s="74"/>
      <c r="BH1487" s="74"/>
      <c r="BI1487" s="74"/>
    </row>
    <row r="1488" spans="4:61" x14ac:dyDescent="0.3">
      <c r="D1488" s="74"/>
      <c r="E1488" s="74"/>
      <c r="X1488" s="74"/>
      <c r="Y1488" s="74"/>
      <c r="Z1488" s="74"/>
      <c r="AA1488" s="74"/>
      <c r="AB1488" s="74"/>
      <c r="AC1488" s="74"/>
      <c r="AN1488" s="74"/>
      <c r="AO1488" s="74"/>
      <c r="AP1488" s="74"/>
      <c r="AQ1488" s="74"/>
      <c r="AR1488" s="74"/>
      <c r="AS1488" s="74"/>
      <c r="BD1488" s="74"/>
      <c r="BE1488" s="74"/>
      <c r="BF1488" s="74"/>
      <c r="BG1488" s="74"/>
      <c r="BH1488" s="74"/>
      <c r="BI1488" s="74"/>
    </row>
    <row r="1489" spans="4:61" x14ac:dyDescent="0.3">
      <c r="D1489" s="74"/>
      <c r="E1489" s="74"/>
      <c r="X1489" s="74"/>
      <c r="Y1489" s="74"/>
      <c r="Z1489" s="74"/>
      <c r="AA1489" s="74"/>
      <c r="AB1489" s="74"/>
      <c r="AC1489" s="74"/>
      <c r="AN1489" s="74"/>
      <c r="AO1489" s="74"/>
      <c r="AP1489" s="74"/>
      <c r="AQ1489" s="74"/>
      <c r="AR1489" s="74"/>
      <c r="AS1489" s="74"/>
      <c r="BD1489" s="74"/>
      <c r="BE1489" s="74"/>
      <c r="BF1489" s="74"/>
      <c r="BG1489" s="74"/>
      <c r="BH1489" s="74"/>
      <c r="BI1489" s="74"/>
    </row>
    <row r="1490" spans="4:61" x14ac:dyDescent="0.3">
      <c r="D1490" s="74"/>
      <c r="E1490" s="74"/>
      <c r="X1490" s="74"/>
      <c r="Y1490" s="74"/>
      <c r="Z1490" s="74"/>
      <c r="AA1490" s="74"/>
      <c r="AB1490" s="74"/>
      <c r="AC1490" s="74"/>
      <c r="AN1490" s="74"/>
      <c r="AO1490" s="74"/>
      <c r="AP1490" s="74"/>
      <c r="AQ1490" s="74"/>
      <c r="AR1490" s="74"/>
      <c r="AS1490" s="74"/>
      <c r="BD1490" s="74"/>
      <c r="BE1490" s="74"/>
      <c r="BF1490" s="74"/>
      <c r="BG1490" s="74"/>
      <c r="BH1490" s="74"/>
      <c r="BI1490" s="74"/>
    </row>
    <row r="1491" spans="4:61" x14ac:dyDescent="0.3">
      <c r="D1491" s="74"/>
      <c r="E1491" s="74"/>
      <c r="X1491" s="74"/>
      <c r="Y1491" s="74"/>
      <c r="Z1491" s="74"/>
      <c r="AA1491" s="74"/>
      <c r="AB1491" s="74"/>
      <c r="AC1491" s="74"/>
      <c r="AN1491" s="74"/>
      <c r="AO1491" s="74"/>
      <c r="AP1491" s="74"/>
      <c r="AQ1491" s="74"/>
      <c r="AR1491" s="74"/>
      <c r="AS1491" s="74"/>
      <c r="BD1491" s="74"/>
      <c r="BE1491" s="74"/>
      <c r="BF1491" s="74"/>
      <c r="BG1491" s="74"/>
      <c r="BH1491" s="74"/>
      <c r="BI1491" s="74"/>
    </row>
    <row r="1492" spans="4:61" x14ac:dyDescent="0.3">
      <c r="D1492" s="74"/>
      <c r="E1492" s="74"/>
      <c r="X1492" s="74"/>
      <c r="Y1492" s="74"/>
      <c r="Z1492" s="74"/>
      <c r="AA1492" s="74"/>
      <c r="AB1492" s="74"/>
      <c r="AC1492" s="74"/>
      <c r="AN1492" s="74"/>
      <c r="AO1492" s="74"/>
      <c r="AP1492" s="74"/>
      <c r="AQ1492" s="74"/>
      <c r="AR1492" s="74"/>
      <c r="AS1492" s="74"/>
      <c r="BD1492" s="74"/>
      <c r="BE1492" s="74"/>
      <c r="BF1492" s="74"/>
      <c r="BG1492" s="74"/>
      <c r="BH1492" s="74"/>
      <c r="BI1492" s="74"/>
    </row>
    <row r="1493" spans="4:61" x14ac:dyDescent="0.3">
      <c r="D1493" s="74"/>
      <c r="E1493" s="74"/>
      <c r="X1493" s="74"/>
      <c r="Y1493" s="74"/>
      <c r="Z1493" s="74"/>
      <c r="AA1493" s="74"/>
      <c r="AB1493" s="74"/>
      <c r="AC1493" s="74"/>
      <c r="AN1493" s="74"/>
      <c r="AO1493" s="74"/>
      <c r="AP1493" s="74"/>
      <c r="AQ1493" s="74"/>
      <c r="AR1493" s="74"/>
      <c r="AS1493" s="74"/>
      <c r="BD1493" s="74"/>
      <c r="BE1493" s="74"/>
      <c r="BF1493" s="74"/>
      <c r="BG1493" s="74"/>
      <c r="BH1493" s="74"/>
      <c r="BI1493" s="74"/>
    </row>
    <row r="1494" spans="4:61" x14ac:dyDescent="0.3">
      <c r="D1494" s="74"/>
      <c r="E1494" s="74"/>
      <c r="X1494" s="74"/>
      <c r="Y1494" s="74"/>
      <c r="Z1494" s="74"/>
      <c r="AA1494" s="74"/>
      <c r="AB1494" s="74"/>
      <c r="AC1494" s="74"/>
      <c r="AN1494" s="74"/>
      <c r="AO1494" s="74"/>
      <c r="AP1494" s="74"/>
      <c r="AQ1494" s="74"/>
      <c r="AR1494" s="74"/>
      <c r="AS1494" s="74"/>
      <c r="BD1494" s="74"/>
      <c r="BE1494" s="74"/>
      <c r="BF1494" s="74"/>
      <c r="BG1494" s="74"/>
      <c r="BH1494" s="74"/>
      <c r="BI1494" s="74"/>
    </row>
    <row r="1495" spans="4:61" x14ac:dyDescent="0.3">
      <c r="D1495" s="74"/>
      <c r="E1495" s="74"/>
      <c r="X1495" s="74"/>
      <c r="Y1495" s="74"/>
      <c r="Z1495" s="74"/>
      <c r="AA1495" s="74"/>
      <c r="AB1495" s="74"/>
      <c r="AC1495" s="74"/>
      <c r="AN1495" s="74"/>
      <c r="AO1495" s="74"/>
      <c r="AP1495" s="74"/>
      <c r="AQ1495" s="74"/>
      <c r="AR1495" s="74"/>
      <c r="AS1495" s="74"/>
      <c r="BD1495" s="74"/>
      <c r="BE1495" s="74"/>
      <c r="BF1495" s="74"/>
      <c r="BG1495" s="74"/>
      <c r="BH1495" s="74"/>
      <c r="BI1495" s="74"/>
    </row>
    <row r="1496" spans="4:61" x14ac:dyDescent="0.3">
      <c r="D1496" s="74"/>
      <c r="E1496" s="74"/>
      <c r="X1496" s="74"/>
      <c r="Y1496" s="74"/>
      <c r="Z1496" s="74"/>
      <c r="AA1496" s="74"/>
      <c r="AB1496" s="74"/>
      <c r="AC1496" s="74"/>
      <c r="AN1496" s="74"/>
      <c r="AO1496" s="74"/>
      <c r="AP1496" s="74"/>
      <c r="AQ1496" s="74"/>
      <c r="AR1496" s="74"/>
      <c r="AS1496" s="74"/>
      <c r="BD1496" s="74"/>
      <c r="BE1496" s="74"/>
      <c r="BF1496" s="74"/>
      <c r="BG1496" s="74"/>
      <c r="BH1496" s="74"/>
      <c r="BI1496" s="74"/>
    </row>
    <row r="1497" spans="4:61" x14ac:dyDescent="0.3">
      <c r="D1497" s="74"/>
      <c r="E1497" s="74"/>
      <c r="X1497" s="74"/>
      <c r="Y1497" s="74"/>
      <c r="Z1497" s="74"/>
      <c r="AA1497" s="74"/>
      <c r="AB1497" s="74"/>
      <c r="AC1497" s="74"/>
      <c r="AN1497" s="74"/>
      <c r="AO1497" s="74"/>
      <c r="AP1497" s="74"/>
      <c r="AQ1497" s="74"/>
      <c r="AR1497" s="74"/>
      <c r="AS1497" s="74"/>
      <c r="BD1497" s="74"/>
      <c r="BE1497" s="74"/>
      <c r="BF1497" s="74"/>
      <c r="BG1497" s="74"/>
      <c r="BH1497" s="74"/>
      <c r="BI1497" s="74"/>
    </row>
    <row r="1498" spans="4:61" x14ac:dyDescent="0.3">
      <c r="D1498" s="74"/>
      <c r="E1498" s="74"/>
      <c r="X1498" s="74"/>
      <c r="Y1498" s="74"/>
      <c r="Z1498" s="74"/>
      <c r="AA1498" s="74"/>
      <c r="AB1498" s="74"/>
      <c r="AC1498" s="74"/>
      <c r="AN1498" s="74"/>
      <c r="AO1498" s="74"/>
      <c r="AP1498" s="74"/>
      <c r="AQ1498" s="74"/>
      <c r="AR1498" s="74"/>
      <c r="AS1498" s="74"/>
      <c r="BD1498" s="74"/>
      <c r="BE1498" s="74"/>
      <c r="BF1498" s="74"/>
      <c r="BG1498" s="74"/>
      <c r="BH1498" s="74"/>
      <c r="BI1498" s="74"/>
    </row>
    <row r="1499" spans="4:61" x14ac:dyDescent="0.3">
      <c r="D1499" s="74"/>
      <c r="E1499" s="74"/>
      <c r="X1499" s="74"/>
      <c r="Y1499" s="74"/>
      <c r="Z1499" s="74"/>
      <c r="AA1499" s="74"/>
      <c r="AB1499" s="74"/>
      <c r="AC1499" s="74"/>
      <c r="AN1499" s="74"/>
      <c r="AO1499" s="74"/>
      <c r="AP1499" s="74"/>
      <c r="AQ1499" s="74"/>
      <c r="AR1499" s="74"/>
      <c r="AS1499" s="74"/>
      <c r="BD1499" s="74"/>
      <c r="BE1499" s="74"/>
      <c r="BF1499" s="74"/>
      <c r="BG1499" s="74"/>
      <c r="BH1499" s="74"/>
      <c r="BI1499" s="74"/>
    </row>
    <row r="1500" spans="4:61" x14ac:dyDescent="0.3">
      <c r="D1500" s="74"/>
      <c r="E1500" s="74"/>
      <c r="X1500" s="74"/>
      <c r="Y1500" s="74"/>
      <c r="Z1500" s="74"/>
      <c r="AA1500" s="74"/>
      <c r="AB1500" s="74"/>
      <c r="AC1500" s="74"/>
      <c r="AN1500" s="74"/>
      <c r="AO1500" s="74"/>
      <c r="AP1500" s="74"/>
      <c r="AQ1500" s="74"/>
      <c r="AR1500" s="74"/>
      <c r="AS1500" s="74"/>
      <c r="BD1500" s="74"/>
      <c r="BE1500" s="74"/>
      <c r="BF1500" s="74"/>
      <c r="BG1500" s="74"/>
      <c r="BH1500" s="74"/>
      <c r="BI1500" s="74"/>
    </row>
    <row r="1501" spans="4:61" x14ac:dyDescent="0.3">
      <c r="D1501" s="74"/>
      <c r="E1501" s="74"/>
      <c r="X1501" s="74"/>
      <c r="Y1501" s="74"/>
      <c r="Z1501" s="74"/>
      <c r="AA1501" s="74"/>
      <c r="AB1501" s="74"/>
      <c r="AC1501" s="74"/>
      <c r="AN1501" s="74"/>
      <c r="AO1501" s="74"/>
      <c r="AP1501" s="74"/>
      <c r="AQ1501" s="74"/>
      <c r="AR1501" s="74"/>
      <c r="AS1501" s="74"/>
      <c r="BD1501" s="74"/>
      <c r="BE1501" s="74"/>
      <c r="BF1501" s="74"/>
      <c r="BG1501" s="74"/>
      <c r="BH1501" s="74"/>
      <c r="BI1501" s="74"/>
    </row>
    <row r="1502" spans="4:61" x14ac:dyDescent="0.3">
      <c r="D1502" s="74"/>
      <c r="E1502" s="74"/>
      <c r="X1502" s="74"/>
      <c r="Y1502" s="74"/>
      <c r="Z1502" s="74"/>
      <c r="AA1502" s="74"/>
      <c r="AB1502" s="74"/>
      <c r="AC1502" s="74"/>
      <c r="AN1502" s="74"/>
      <c r="AO1502" s="74"/>
      <c r="AP1502" s="74"/>
      <c r="AQ1502" s="74"/>
      <c r="AR1502" s="74"/>
      <c r="AS1502" s="74"/>
      <c r="BD1502" s="74"/>
      <c r="BE1502" s="74"/>
      <c r="BF1502" s="74"/>
      <c r="BG1502" s="74"/>
      <c r="BH1502" s="74"/>
      <c r="BI1502" s="74"/>
    </row>
    <row r="1503" spans="4:61" x14ac:dyDescent="0.3">
      <c r="D1503" s="74"/>
      <c r="E1503" s="74"/>
      <c r="X1503" s="74"/>
      <c r="Y1503" s="74"/>
      <c r="Z1503" s="74"/>
      <c r="AA1503" s="74"/>
      <c r="AB1503" s="74"/>
      <c r="AC1503" s="74"/>
      <c r="AN1503" s="74"/>
      <c r="AO1503" s="74"/>
      <c r="AP1503" s="74"/>
      <c r="AQ1503" s="74"/>
      <c r="AR1503" s="74"/>
      <c r="AS1503" s="74"/>
      <c r="BD1503" s="74"/>
      <c r="BE1503" s="74"/>
      <c r="BF1503" s="74"/>
      <c r="BG1503" s="74"/>
      <c r="BH1503" s="74"/>
      <c r="BI1503" s="74"/>
    </row>
    <row r="1504" spans="4:61" x14ac:dyDescent="0.3">
      <c r="D1504" s="74"/>
      <c r="E1504" s="74"/>
      <c r="X1504" s="74"/>
      <c r="Y1504" s="74"/>
      <c r="Z1504" s="74"/>
      <c r="AA1504" s="74"/>
      <c r="AB1504" s="74"/>
      <c r="AC1504" s="74"/>
      <c r="AN1504" s="74"/>
      <c r="AO1504" s="74"/>
      <c r="AP1504" s="74"/>
      <c r="AQ1504" s="74"/>
      <c r="AR1504" s="74"/>
      <c r="AS1504" s="74"/>
      <c r="BD1504" s="74"/>
      <c r="BE1504" s="74"/>
      <c r="BF1504" s="74"/>
      <c r="BG1504" s="74"/>
      <c r="BH1504" s="74"/>
      <c r="BI1504" s="74"/>
    </row>
    <row r="1505" spans="4:61" x14ac:dyDescent="0.3">
      <c r="D1505" s="74"/>
      <c r="E1505" s="74"/>
      <c r="X1505" s="74"/>
      <c r="Y1505" s="74"/>
      <c r="Z1505" s="74"/>
      <c r="AA1505" s="74"/>
      <c r="AB1505" s="74"/>
      <c r="AC1505" s="74"/>
      <c r="AN1505" s="74"/>
      <c r="AO1505" s="74"/>
      <c r="AP1505" s="74"/>
      <c r="AQ1505" s="74"/>
      <c r="AR1505" s="74"/>
      <c r="AS1505" s="74"/>
      <c r="BD1505" s="74"/>
      <c r="BE1505" s="74"/>
      <c r="BF1505" s="74"/>
      <c r="BG1505" s="74"/>
      <c r="BH1505" s="74"/>
      <c r="BI1505" s="74"/>
    </row>
    <row r="1506" spans="4:61" x14ac:dyDescent="0.3">
      <c r="D1506" s="74"/>
      <c r="E1506" s="74"/>
      <c r="X1506" s="74"/>
      <c r="Y1506" s="74"/>
      <c r="Z1506" s="74"/>
      <c r="AA1506" s="74"/>
      <c r="AB1506" s="74"/>
      <c r="AC1506" s="74"/>
      <c r="AN1506" s="74"/>
      <c r="AO1506" s="74"/>
      <c r="AP1506" s="74"/>
      <c r="AQ1506" s="74"/>
      <c r="AR1506" s="74"/>
      <c r="AS1506" s="74"/>
      <c r="BD1506" s="74"/>
      <c r="BE1506" s="74"/>
      <c r="BF1506" s="74"/>
      <c r="BG1506" s="74"/>
      <c r="BH1506" s="74"/>
      <c r="BI1506" s="74"/>
    </row>
    <row r="1507" spans="4:61" x14ac:dyDescent="0.3">
      <c r="D1507" s="74"/>
      <c r="E1507" s="74"/>
      <c r="X1507" s="74"/>
      <c r="Y1507" s="74"/>
      <c r="Z1507" s="74"/>
      <c r="AA1507" s="74"/>
      <c r="AB1507" s="74"/>
      <c r="AC1507" s="74"/>
      <c r="AN1507" s="74"/>
      <c r="AO1507" s="74"/>
      <c r="AP1507" s="74"/>
      <c r="AQ1507" s="74"/>
      <c r="AR1507" s="74"/>
      <c r="AS1507" s="74"/>
      <c r="BD1507" s="74"/>
      <c r="BE1507" s="74"/>
      <c r="BF1507" s="74"/>
      <c r="BG1507" s="74"/>
      <c r="BH1507" s="74"/>
      <c r="BI1507" s="74"/>
    </row>
    <row r="1508" spans="4:61" x14ac:dyDescent="0.3">
      <c r="D1508" s="74"/>
      <c r="E1508" s="74"/>
      <c r="X1508" s="74"/>
      <c r="Y1508" s="74"/>
      <c r="Z1508" s="74"/>
      <c r="AA1508" s="74"/>
      <c r="AB1508" s="74"/>
      <c r="AC1508" s="74"/>
      <c r="AN1508" s="74"/>
      <c r="AO1508" s="74"/>
      <c r="AP1508" s="74"/>
      <c r="AQ1508" s="74"/>
      <c r="AR1508" s="74"/>
      <c r="AS1508" s="74"/>
      <c r="BD1508" s="74"/>
      <c r="BE1508" s="74"/>
      <c r="BF1508" s="74"/>
      <c r="BG1508" s="74"/>
      <c r="BH1508" s="74"/>
      <c r="BI1508" s="74"/>
    </row>
    <row r="1509" spans="4:61" x14ac:dyDescent="0.3">
      <c r="D1509" s="74"/>
      <c r="E1509" s="74"/>
      <c r="X1509" s="74"/>
      <c r="Y1509" s="74"/>
      <c r="Z1509" s="74"/>
      <c r="AA1509" s="74"/>
      <c r="AB1509" s="74"/>
      <c r="AC1509" s="74"/>
      <c r="AN1509" s="74"/>
      <c r="AO1509" s="74"/>
      <c r="AP1509" s="74"/>
      <c r="AQ1509" s="74"/>
      <c r="AR1509" s="74"/>
      <c r="AS1509" s="74"/>
      <c r="BD1509" s="74"/>
      <c r="BE1509" s="74"/>
      <c r="BF1509" s="74"/>
      <c r="BG1509" s="74"/>
      <c r="BH1509" s="74"/>
      <c r="BI1509" s="74"/>
    </row>
    <row r="1510" spans="4:61" x14ac:dyDescent="0.3">
      <c r="D1510" s="74"/>
      <c r="E1510" s="74"/>
      <c r="X1510" s="74"/>
      <c r="Y1510" s="74"/>
      <c r="Z1510" s="74"/>
      <c r="AA1510" s="74"/>
      <c r="AB1510" s="74"/>
      <c r="AC1510" s="74"/>
      <c r="AN1510" s="74"/>
      <c r="AO1510" s="74"/>
      <c r="AP1510" s="74"/>
      <c r="AQ1510" s="74"/>
      <c r="AR1510" s="74"/>
      <c r="AS1510" s="74"/>
      <c r="BD1510" s="74"/>
      <c r="BE1510" s="74"/>
      <c r="BF1510" s="74"/>
      <c r="BG1510" s="74"/>
      <c r="BH1510" s="74"/>
      <c r="BI1510" s="74"/>
    </row>
    <row r="1511" spans="4:61" x14ac:dyDescent="0.3">
      <c r="D1511" s="74"/>
      <c r="E1511" s="74"/>
      <c r="X1511" s="74"/>
      <c r="Y1511" s="74"/>
      <c r="Z1511" s="74"/>
      <c r="AA1511" s="74"/>
      <c r="AB1511" s="74"/>
      <c r="AC1511" s="74"/>
      <c r="AN1511" s="74"/>
      <c r="AO1511" s="74"/>
      <c r="AP1511" s="74"/>
      <c r="AQ1511" s="74"/>
      <c r="AR1511" s="74"/>
      <c r="AS1511" s="74"/>
      <c r="BD1511" s="74"/>
      <c r="BE1511" s="74"/>
      <c r="BF1511" s="74"/>
      <c r="BG1511" s="74"/>
      <c r="BH1511" s="74"/>
      <c r="BI1511" s="74"/>
    </row>
    <row r="1512" spans="4:61" x14ac:dyDescent="0.3">
      <c r="D1512" s="74"/>
      <c r="E1512" s="74"/>
      <c r="X1512" s="74"/>
      <c r="Y1512" s="74"/>
      <c r="Z1512" s="74"/>
      <c r="AA1512" s="74"/>
      <c r="AB1512" s="74"/>
      <c r="AC1512" s="74"/>
      <c r="AN1512" s="74"/>
      <c r="AO1512" s="74"/>
      <c r="AP1512" s="74"/>
      <c r="AQ1512" s="74"/>
      <c r="AR1512" s="74"/>
      <c r="AS1512" s="74"/>
      <c r="BD1512" s="74"/>
      <c r="BE1512" s="74"/>
      <c r="BF1512" s="74"/>
      <c r="BG1512" s="74"/>
      <c r="BH1512" s="74"/>
      <c r="BI1512" s="74"/>
    </row>
    <row r="1513" spans="4:61" x14ac:dyDescent="0.3">
      <c r="D1513" s="74"/>
      <c r="E1513" s="74"/>
      <c r="X1513" s="74"/>
      <c r="Y1513" s="74"/>
      <c r="Z1513" s="74"/>
      <c r="AA1513" s="74"/>
      <c r="AB1513" s="74"/>
      <c r="AC1513" s="74"/>
      <c r="AN1513" s="74"/>
      <c r="AO1513" s="74"/>
      <c r="AP1513" s="74"/>
      <c r="AQ1513" s="74"/>
      <c r="AR1513" s="74"/>
      <c r="AS1513" s="74"/>
      <c r="BD1513" s="74"/>
      <c r="BE1513" s="74"/>
      <c r="BF1513" s="74"/>
      <c r="BG1513" s="74"/>
      <c r="BH1513" s="74"/>
      <c r="BI1513" s="74"/>
    </row>
    <row r="1514" spans="4:61" x14ac:dyDescent="0.3">
      <c r="D1514" s="74"/>
      <c r="E1514" s="74"/>
      <c r="X1514" s="74"/>
      <c r="Y1514" s="74"/>
      <c r="Z1514" s="74"/>
      <c r="AA1514" s="74"/>
      <c r="AB1514" s="74"/>
      <c r="AC1514" s="74"/>
      <c r="AN1514" s="74"/>
      <c r="AO1514" s="74"/>
      <c r="AP1514" s="74"/>
      <c r="AQ1514" s="74"/>
      <c r="AR1514" s="74"/>
      <c r="AS1514" s="74"/>
      <c r="BD1514" s="74"/>
      <c r="BE1514" s="74"/>
      <c r="BF1514" s="74"/>
      <c r="BG1514" s="74"/>
      <c r="BH1514" s="74"/>
      <c r="BI1514" s="74"/>
    </row>
    <row r="1515" spans="4:61" x14ac:dyDescent="0.3">
      <c r="D1515" s="74"/>
      <c r="E1515" s="74"/>
      <c r="X1515" s="74"/>
      <c r="Y1515" s="74"/>
      <c r="Z1515" s="74"/>
      <c r="AA1515" s="74"/>
      <c r="AB1515" s="74"/>
      <c r="AC1515" s="74"/>
      <c r="AN1515" s="74"/>
      <c r="AO1515" s="74"/>
      <c r="AP1515" s="74"/>
      <c r="AQ1515" s="74"/>
      <c r="AR1515" s="74"/>
      <c r="AS1515" s="74"/>
      <c r="BD1515" s="74"/>
      <c r="BE1515" s="74"/>
      <c r="BF1515" s="74"/>
      <c r="BG1515" s="74"/>
      <c r="BH1515" s="74"/>
      <c r="BI1515" s="74"/>
    </row>
    <row r="1516" spans="4:61" x14ac:dyDescent="0.3">
      <c r="D1516" s="74"/>
      <c r="E1516" s="74"/>
      <c r="X1516" s="74"/>
      <c r="Y1516" s="74"/>
      <c r="Z1516" s="74"/>
      <c r="AA1516" s="74"/>
      <c r="AB1516" s="74"/>
      <c r="AC1516" s="74"/>
      <c r="AN1516" s="74"/>
      <c r="AO1516" s="74"/>
      <c r="AP1516" s="74"/>
      <c r="AQ1516" s="74"/>
      <c r="AR1516" s="74"/>
      <c r="AS1516" s="74"/>
      <c r="BD1516" s="74"/>
      <c r="BE1516" s="74"/>
      <c r="BF1516" s="74"/>
      <c r="BG1516" s="74"/>
      <c r="BH1516" s="74"/>
      <c r="BI1516" s="74"/>
    </row>
    <row r="1517" spans="4:61" x14ac:dyDescent="0.3">
      <c r="X1517" s="74"/>
      <c r="Y1517" s="74"/>
      <c r="Z1517" s="74"/>
      <c r="AA1517" s="74"/>
      <c r="AB1517" s="74"/>
      <c r="AC1517" s="74"/>
      <c r="AN1517" s="74"/>
      <c r="AO1517" s="74"/>
      <c r="AP1517" s="74"/>
      <c r="AQ1517" s="74"/>
      <c r="AR1517" s="74"/>
      <c r="AS1517" s="74"/>
      <c r="BD1517" s="74"/>
      <c r="BE1517" s="74"/>
      <c r="BF1517" s="74"/>
      <c r="BG1517" s="74"/>
      <c r="BH1517" s="74"/>
      <c r="BI1517" s="74"/>
    </row>
    <row r="1518" spans="4:61" x14ac:dyDescent="0.3">
      <c r="X1518" s="74"/>
      <c r="Y1518" s="74"/>
      <c r="Z1518" s="74"/>
      <c r="AA1518" s="74"/>
      <c r="AB1518" s="74"/>
      <c r="AC1518" s="74"/>
      <c r="AN1518" s="74"/>
      <c r="AO1518" s="74"/>
      <c r="AP1518" s="74"/>
      <c r="AQ1518" s="74"/>
      <c r="AR1518" s="74"/>
      <c r="AS1518" s="74"/>
      <c r="BD1518" s="74"/>
      <c r="BE1518" s="74"/>
      <c r="BF1518" s="74"/>
      <c r="BG1518" s="74"/>
      <c r="BH1518" s="74"/>
      <c r="BI1518" s="74"/>
    </row>
    <row r="1519" spans="4:61" x14ac:dyDescent="0.3">
      <c r="X1519" s="74"/>
      <c r="Y1519" s="74"/>
      <c r="Z1519" s="74"/>
      <c r="AA1519" s="74"/>
      <c r="AB1519" s="74"/>
      <c r="AC1519" s="74"/>
      <c r="AN1519" s="74"/>
      <c r="AO1519" s="74"/>
      <c r="AP1519" s="74"/>
      <c r="AQ1519" s="74"/>
      <c r="AR1519" s="74"/>
      <c r="AS1519" s="74"/>
      <c r="BD1519" s="74"/>
      <c r="BE1519" s="74"/>
      <c r="BF1519" s="74"/>
      <c r="BG1519" s="74"/>
      <c r="BH1519" s="74"/>
      <c r="BI1519" s="74"/>
    </row>
    <row r="1520" spans="4:61" x14ac:dyDescent="0.3">
      <c r="X1520" s="74"/>
      <c r="Y1520" s="74"/>
      <c r="Z1520" s="74"/>
      <c r="AA1520" s="74"/>
      <c r="AB1520" s="74"/>
      <c r="AC1520" s="74"/>
      <c r="AN1520" s="74"/>
      <c r="AO1520" s="74"/>
      <c r="AP1520" s="74"/>
      <c r="AQ1520" s="74"/>
      <c r="AR1520" s="74"/>
      <c r="AS1520" s="74"/>
      <c r="BD1520" s="74"/>
      <c r="BE1520" s="74"/>
      <c r="BF1520" s="74"/>
      <c r="BG1520" s="74"/>
      <c r="BH1520" s="74"/>
      <c r="BI1520" s="74"/>
    </row>
    <row r="1521" spans="24:61" x14ac:dyDescent="0.3">
      <c r="X1521" s="74"/>
      <c r="Y1521" s="74"/>
      <c r="Z1521" s="74"/>
      <c r="AA1521" s="74"/>
      <c r="AB1521" s="74"/>
      <c r="AC1521" s="74"/>
      <c r="AN1521" s="74"/>
      <c r="AO1521" s="74"/>
      <c r="AP1521" s="74"/>
      <c r="AQ1521" s="74"/>
      <c r="AR1521" s="74"/>
      <c r="AS1521" s="74"/>
      <c r="BD1521" s="74"/>
      <c r="BE1521" s="74"/>
      <c r="BF1521" s="74"/>
      <c r="BG1521" s="74"/>
      <c r="BH1521" s="74"/>
      <c r="BI1521" s="74"/>
    </row>
    <row r="1522" spans="24:61" x14ac:dyDescent="0.3">
      <c r="X1522" s="74"/>
      <c r="Y1522" s="74"/>
      <c r="Z1522" s="74"/>
      <c r="AA1522" s="74"/>
      <c r="AB1522" s="74"/>
      <c r="AC1522" s="74"/>
      <c r="AN1522" s="74"/>
      <c r="AO1522" s="74"/>
      <c r="AP1522" s="74"/>
      <c r="AQ1522" s="74"/>
      <c r="AR1522" s="74"/>
      <c r="AS1522" s="74"/>
      <c r="BD1522" s="74"/>
      <c r="BE1522" s="74"/>
      <c r="BF1522" s="74"/>
      <c r="BG1522" s="74"/>
      <c r="BH1522" s="74"/>
      <c r="BI1522" s="74"/>
    </row>
    <row r="1523" spans="24:61" x14ac:dyDescent="0.3">
      <c r="X1523" s="74"/>
      <c r="Y1523" s="74"/>
      <c r="Z1523" s="74"/>
      <c r="AA1523" s="74"/>
      <c r="AB1523" s="74"/>
      <c r="AC1523" s="74"/>
      <c r="AN1523" s="74"/>
      <c r="AO1523" s="74"/>
      <c r="AP1523" s="74"/>
      <c r="AQ1523" s="74"/>
      <c r="AR1523" s="74"/>
      <c r="AS1523" s="74"/>
      <c r="BD1523" s="74"/>
      <c r="BE1523" s="74"/>
      <c r="BF1523" s="74"/>
      <c r="BG1523" s="74"/>
      <c r="BH1523" s="74"/>
      <c r="BI1523" s="74"/>
    </row>
    <row r="1524" spans="24:61" x14ac:dyDescent="0.3">
      <c r="X1524" s="74"/>
      <c r="Y1524" s="74"/>
      <c r="Z1524" s="74"/>
      <c r="AA1524" s="74"/>
      <c r="AB1524" s="74"/>
      <c r="AC1524" s="74"/>
      <c r="AN1524" s="74"/>
      <c r="AO1524" s="74"/>
      <c r="AP1524" s="74"/>
      <c r="AQ1524" s="74"/>
      <c r="AR1524" s="74"/>
      <c r="AS1524" s="74"/>
      <c r="BD1524" s="74"/>
      <c r="BE1524" s="74"/>
      <c r="BF1524" s="74"/>
      <c r="BG1524" s="74"/>
      <c r="BH1524" s="74"/>
      <c r="BI1524" s="74"/>
    </row>
    <row r="1525" spans="24:61" x14ac:dyDescent="0.3">
      <c r="X1525" s="74"/>
      <c r="Y1525" s="74"/>
      <c r="Z1525" s="74"/>
      <c r="AA1525" s="74"/>
      <c r="AB1525" s="74"/>
      <c r="AC1525" s="74"/>
      <c r="AN1525" s="74"/>
      <c r="AO1525" s="74"/>
      <c r="AP1525" s="74"/>
      <c r="AQ1525" s="74"/>
      <c r="AR1525" s="74"/>
      <c r="AS1525" s="74"/>
      <c r="BD1525" s="74"/>
      <c r="BE1525" s="74"/>
      <c r="BF1525" s="74"/>
      <c r="BG1525" s="74"/>
      <c r="BH1525" s="74"/>
      <c r="BI1525" s="74"/>
    </row>
    <row r="1526" spans="24:61" x14ac:dyDescent="0.3">
      <c r="X1526" s="74"/>
      <c r="Y1526" s="74"/>
      <c r="Z1526" s="74"/>
      <c r="AA1526" s="74"/>
      <c r="AB1526" s="74"/>
      <c r="AC1526" s="74"/>
      <c r="AN1526" s="74"/>
      <c r="AO1526" s="74"/>
      <c r="AP1526" s="74"/>
      <c r="AQ1526" s="74"/>
      <c r="AR1526" s="74"/>
      <c r="AS1526" s="74"/>
      <c r="BD1526" s="74"/>
      <c r="BE1526" s="74"/>
      <c r="BF1526" s="74"/>
      <c r="BG1526" s="74"/>
      <c r="BH1526" s="74"/>
      <c r="BI1526" s="74"/>
    </row>
    <row r="1527" spans="24:61" x14ac:dyDescent="0.3">
      <c r="X1527" s="74"/>
      <c r="Y1527" s="74"/>
      <c r="Z1527" s="74"/>
      <c r="AA1527" s="74"/>
      <c r="AB1527" s="74"/>
      <c r="AC1527" s="74"/>
      <c r="AN1527" s="74"/>
      <c r="AO1527" s="74"/>
      <c r="AP1527" s="74"/>
      <c r="AQ1527" s="74"/>
      <c r="AR1527" s="74"/>
      <c r="AS1527" s="74"/>
      <c r="BD1527" s="74"/>
      <c r="BE1527" s="74"/>
      <c r="BF1527" s="74"/>
      <c r="BG1527" s="74"/>
      <c r="BH1527" s="74"/>
      <c r="BI1527" s="74"/>
    </row>
    <row r="1528" spans="24:61" x14ac:dyDescent="0.3">
      <c r="X1528" s="74"/>
      <c r="Y1528" s="74"/>
      <c r="Z1528" s="74"/>
      <c r="AA1528" s="74"/>
      <c r="AB1528" s="74"/>
      <c r="AC1528" s="74"/>
      <c r="AN1528" s="74"/>
      <c r="AO1528" s="74"/>
      <c r="AP1528" s="74"/>
      <c r="AQ1528" s="74"/>
      <c r="AR1528" s="74"/>
      <c r="AS1528" s="74"/>
      <c r="BD1528" s="74"/>
      <c r="BE1528" s="74"/>
      <c r="BF1528" s="74"/>
      <c r="BG1528" s="74"/>
      <c r="BH1528" s="74"/>
      <c r="BI1528" s="74"/>
    </row>
    <row r="1529" spans="24:61" x14ac:dyDescent="0.3">
      <c r="X1529" s="74"/>
      <c r="Y1529" s="74"/>
      <c r="Z1529" s="74"/>
      <c r="AA1529" s="74"/>
      <c r="AB1529" s="74"/>
      <c r="AC1529" s="74"/>
      <c r="AN1529" s="74"/>
      <c r="AO1529" s="74"/>
      <c r="AP1529" s="74"/>
      <c r="AQ1529" s="74"/>
      <c r="AR1529" s="74"/>
      <c r="AS1529" s="74"/>
      <c r="BD1529" s="74"/>
      <c r="BE1529" s="74"/>
      <c r="BF1529" s="74"/>
      <c r="BG1529" s="74"/>
      <c r="BH1529" s="74"/>
      <c r="BI1529" s="74"/>
    </row>
    <row r="1530" spans="24:61" x14ac:dyDescent="0.3">
      <c r="X1530" s="74"/>
      <c r="Y1530" s="74"/>
      <c r="Z1530" s="74"/>
      <c r="AA1530" s="74"/>
      <c r="AB1530" s="74"/>
      <c r="AC1530" s="74"/>
      <c r="AN1530" s="74"/>
      <c r="AO1530" s="74"/>
      <c r="AP1530" s="74"/>
      <c r="AQ1530" s="74"/>
      <c r="AR1530" s="74"/>
      <c r="AS1530" s="74"/>
      <c r="BD1530" s="74"/>
      <c r="BE1530" s="74"/>
      <c r="BF1530" s="74"/>
      <c r="BG1530" s="74"/>
      <c r="BH1530" s="74"/>
      <c r="BI1530" s="74"/>
    </row>
    <row r="1531" spans="24:61" x14ac:dyDescent="0.3">
      <c r="X1531" s="74"/>
      <c r="Y1531" s="74"/>
      <c r="Z1531" s="74"/>
      <c r="AA1531" s="74"/>
      <c r="AB1531" s="74"/>
      <c r="AC1531" s="74"/>
      <c r="AN1531" s="74"/>
      <c r="AO1531" s="74"/>
      <c r="AP1531" s="74"/>
      <c r="AQ1531" s="74"/>
      <c r="AR1531" s="74"/>
      <c r="AS1531" s="74"/>
      <c r="BD1531" s="74"/>
      <c r="BE1531" s="74"/>
      <c r="BF1531" s="74"/>
      <c r="BG1531" s="74"/>
      <c r="BH1531" s="74"/>
      <c r="BI1531" s="74"/>
    </row>
    <row r="1532" spans="24:61" x14ac:dyDescent="0.3">
      <c r="X1532" s="74"/>
      <c r="Y1532" s="74"/>
      <c r="Z1532" s="74"/>
      <c r="AA1532" s="74"/>
      <c r="AB1532" s="74"/>
      <c r="AC1532" s="74"/>
      <c r="AN1532" s="74"/>
      <c r="AO1532" s="74"/>
      <c r="AP1532" s="74"/>
      <c r="AQ1532" s="74"/>
      <c r="AR1532" s="74"/>
      <c r="AS1532" s="74"/>
      <c r="BD1532" s="74"/>
      <c r="BE1532" s="74"/>
      <c r="BF1532" s="74"/>
      <c r="BG1532" s="74"/>
      <c r="BH1532" s="74"/>
      <c r="BI1532" s="74"/>
    </row>
    <row r="1533" spans="24:61" x14ac:dyDescent="0.3">
      <c r="X1533" s="74"/>
      <c r="Y1533" s="74"/>
      <c r="Z1533" s="74"/>
      <c r="AA1533" s="74"/>
      <c r="AB1533" s="74"/>
      <c r="AC1533" s="74"/>
      <c r="AN1533" s="74"/>
      <c r="AO1533" s="74"/>
      <c r="AP1533" s="74"/>
      <c r="AQ1533" s="74"/>
      <c r="AR1533" s="74"/>
      <c r="AS1533" s="74"/>
      <c r="BD1533" s="74"/>
      <c r="BE1533" s="74"/>
      <c r="BF1533" s="74"/>
      <c r="BG1533" s="74"/>
      <c r="BH1533" s="74"/>
      <c r="BI1533" s="74"/>
    </row>
    <row r="1534" spans="24:61" x14ac:dyDescent="0.3">
      <c r="X1534" s="74"/>
      <c r="Y1534" s="74"/>
      <c r="Z1534" s="74"/>
      <c r="AA1534" s="74"/>
      <c r="AB1534" s="74"/>
      <c r="AC1534" s="74"/>
      <c r="AN1534" s="74"/>
      <c r="AO1534" s="74"/>
      <c r="AP1534" s="74"/>
      <c r="AQ1534" s="74"/>
      <c r="AR1534" s="74"/>
      <c r="AS1534" s="74"/>
      <c r="BD1534" s="74"/>
      <c r="BE1534" s="74"/>
      <c r="BF1534" s="74"/>
      <c r="BG1534" s="74"/>
      <c r="BH1534" s="74"/>
      <c r="BI1534" s="74"/>
    </row>
    <row r="1535" spans="24:61" x14ac:dyDescent="0.3">
      <c r="X1535" s="74"/>
      <c r="Y1535" s="74"/>
      <c r="Z1535" s="74"/>
      <c r="AA1535" s="74"/>
      <c r="AB1535" s="74"/>
      <c r="AC1535" s="74"/>
      <c r="AN1535" s="74"/>
      <c r="AO1535" s="74"/>
      <c r="AP1535" s="74"/>
      <c r="AQ1535" s="74"/>
      <c r="AR1535" s="74"/>
      <c r="AS1535" s="74"/>
      <c r="BD1535" s="74"/>
      <c r="BE1535" s="74"/>
      <c r="BF1535" s="74"/>
      <c r="BG1535" s="74"/>
      <c r="BH1535" s="74"/>
      <c r="BI1535" s="74"/>
    </row>
    <row r="1536" spans="24:61" x14ac:dyDescent="0.3">
      <c r="X1536" s="74"/>
      <c r="Y1536" s="74"/>
      <c r="Z1536" s="74"/>
      <c r="AA1536" s="74"/>
      <c r="AB1536" s="74"/>
      <c r="AC1536" s="74"/>
      <c r="AN1536" s="74"/>
      <c r="AO1536" s="74"/>
      <c r="AP1536" s="74"/>
      <c r="AQ1536" s="74"/>
      <c r="AR1536" s="74"/>
      <c r="AS1536" s="74"/>
      <c r="BD1536" s="74"/>
      <c r="BE1536" s="74"/>
      <c r="BF1536" s="74"/>
      <c r="BG1536" s="74"/>
      <c r="BH1536" s="74"/>
      <c r="BI1536" s="74"/>
    </row>
    <row r="1537" spans="24:61" x14ac:dyDescent="0.3">
      <c r="X1537" s="74"/>
      <c r="Y1537" s="74"/>
      <c r="Z1537" s="74"/>
      <c r="AA1537" s="74"/>
      <c r="AB1537" s="74"/>
      <c r="AC1537" s="74"/>
      <c r="AN1537" s="74"/>
      <c r="AO1537" s="74"/>
      <c r="AP1537" s="74"/>
      <c r="AQ1537" s="74"/>
      <c r="AR1537" s="74"/>
      <c r="AS1537" s="74"/>
      <c r="BD1537" s="74"/>
      <c r="BE1537" s="74"/>
      <c r="BF1537" s="74"/>
      <c r="BG1537" s="74"/>
      <c r="BH1537" s="74"/>
      <c r="BI1537" s="74"/>
    </row>
    <row r="1538" spans="24:61" x14ac:dyDescent="0.3">
      <c r="X1538" s="74"/>
      <c r="Y1538" s="74"/>
      <c r="Z1538" s="74"/>
      <c r="AA1538" s="74"/>
      <c r="AB1538" s="74"/>
      <c r="AC1538" s="74"/>
      <c r="AN1538" s="74"/>
      <c r="AO1538" s="74"/>
      <c r="AP1538" s="74"/>
      <c r="AQ1538" s="74"/>
      <c r="AR1538" s="74"/>
      <c r="AS1538" s="74"/>
      <c r="BD1538" s="74"/>
      <c r="BE1538" s="74"/>
      <c r="BF1538" s="74"/>
      <c r="BG1538" s="74"/>
      <c r="BH1538" s="74"/>
      <c r="BI1538" s="74"/>
    </row>
    <row r="1539" spans="24:61" x14ac:dyDescent="0.3">
      <c r="X1539" s="74"/>
      <c r="Y1539" s="74"/>
      <c r="Z1539" s="74"/>
      <c r="AA1539" s="74"/>
      <c r="AB1539" s="74"/>
      <c r="AC1539" s="74"/>
      <c r="AN1539" s="74"/>
      <c r="AO1539" s="74"/>
      <c r="AP1539" s="74"/>
      <c r="AQ1539" s="74"/>
      <c r="AR1539" s="74"/>
      <c r="AS1539" s="74"/>
      <c r="BD1539" s="74"/>
      <c r="BE1539" s="74"/>
      <c r="BF1539" s="74"/>
      <c r="BG1539" s="74"/>
      <c r="BH1539" s="74"/>
      <c r="BI1539" s="74"/>
    </row>
    <row r="1540" spans="24:61" x14ac:dyDescent="0.3">
      <c r="X1540" s="74"/>
      <c r="Y1540" s="74"/>
      <c r="Z1540" s="74"/>
      <c r="AA1540" s="74"/>
      <c r="AB1540" s="74"/>
      <c r="AC1540" s="74"/>
      <c r="AN1540" s="74"/>
      <c r="AO1540" s="74"/>
      <c r="AP1540" s="74"/>
      <c r="AQ1540" s="74"/>
      <c r="AR1540" s="74"/>
      <c r="AS1540" s="74"/>
      <c r="BD1540" s="74"/>
      <c r="BE1540" s="74"/>
      <c r="BF1540" s="74"/>
      <c r="BG1540" s="74"/>
      <c r="BH1540" s="74"/>
      <c r="BI1540" s="74"/>
    </row>
    <row r="1541" spans="24:61" x14ac:dyDescent="0.3">
      <c r="X1541" s="74"/>
      <c r="Y1541" s="74"/>
      <c r="Z1541" s="74"/>
      <c r="AA1541" s="74"/>
      <c r="AB1541" s="74"/>
      <c r="AC1541" s="74"/>
      <c r="AN1541" s="74"/>
      <c r="AO1541" s="74"/>
      <c r="AP1541" s="74"/>
      <c r="AQ1541" s="74"/>
      <c r="AR1541" s="74"/>
      <c r="AS1541" s="74"/>
      <c r="BD1541" s="74"/>
      <c r="BE1541" s="74"/>
      <c r="BF1541" s="74"/>
      <c r="BG1541" s="74"/>
      <c r="BH1541" s="74"/>
      <c r="BI1541" s="74"/>
    </row>
    <row r="1542" spans="24:61" x14ac:dyDescent="0.3">
      <c r="X1542" s="74"/>
      <c r="Y1542" s="74"/>
      <c r="Z1542" s="74"/>
      <c r="AA1542" s="74"/>
      <c r="AB1542" s="74"/>
      <c r="AC1542" s="74"/>
      <c r="AN1542" s="74"/>
      <c r="AO1542" s="74"/>
      <c r="AP1542" s="74"/>
      <c r="AQ1542" s="74"/>
      <c r="AR1542" s="74"/>
      <c r="AS1542" s="74"/>
      <c r="BD1542" s="74"/>
      <c r="BE1542" s="74"/>
      <c r="BF1542" s="74"/>
      <c r="BG1542" s="74"/>
      <c r="BH1542" s="74"/>
      <c r="BI1542" s="74"/>
    </row>
    <row r="1543" spans="24:61" x14ac:dyDescent="0.3">
      <c r="X1543" s="74"/>
      <c r="Y1543" s="74"/>
      <c r="Z1543" s="74"/>
      <c r="AA1543" s="74"/>
      <c r="AB1543" s="74"/>
      <c r="AC1543" s="74"/>
      <c r="AN1543" s="74"/>
      <c r="AO1543" s="74"/>
      <c r="AP1543" s="74"/>
      <c r="AQ1543" s="74"/>
      <c r="AR1543" s="74"/>
      <c r="AS1543" s="74"/>
      <c r="BD1543" s="74"/>
      <c r="BE1543" s="74"/>
      <c r="BF1543" s="74"/>
      <c r="BG1543" s="74"/>
      <c r="BH1543" s="74"/>
      <c r="BI1543" s="74"/>
    </row>
    <row r="1544" spans="24:61" x14ac:dyDescent="0.3">
      <c r="X1544" s="74"/>
      <c r="Y1544" s="74"/>
      <c r="Z1544" s="74"/>
      <c r="AA1544" s="74"/>
      <c r="AB1544" s="74"/>
      <c r="AC1544" s="74"/>
      <c r="AN1544" s="74"/>
      <c r="AO1544" s="74"/>
      <c r="AP1544" s="74"/>
      <c r="AQ1544" s="74"/>
      <c r="AR1544" s="74"/>
      <c r="AS1544" s="74"/>
      <c r="BD1544" s="74"/>
      <c r="BE1544" s="74"/>
      <c r="BF1544" s="74"/>
      <c r="BG1544" s="74"/>
      <c r="BH1544" s="74"/>
      <c r="BI1544" s="74"/>
    </row>
    <row r="1545" spans="24:61" x14ac:dyDescent="0.3">
      <c r="X1545" s="74"/>
      <c r="Y1545" s="74"/>
      <c r="Z1545" s="74"/>
      <c r="AA1545" s="74"/>
      <c r="AB1545" s="74"/>
      <c r="AC1545" s="74"/>
      <c r="AN1545" s="74"/>
      <c r="AO1545" s="74"/>
      <c r="AP1545" s="74"/>
      <c r="AQ1545" s="74"/>
      <c r="AR1545" s="74"/>
      <c r="AS1545" s="74"/>
      <c r="BD1545" s="74"/>
      <c r="BE1545" s="74"/>
      <c r="BF1545" s="74"/>
      <c r="BG1545" s="74"/>
      <c r="BH1545" s="74"/>
      <c r="BI1545" s="74"/>
    </row>
    <row r="1546" spans="24:61" x14ac:dyDescent="0.3">
      <c r="X1546" s="74"/>
      <c r="Y1546" s="74"/>
      <c r="Z1546" s="74"/>
      <c r="AA1546" s="74"/>
      <c r="AB1546" s="74"/>
      <c r="AC1546" s="74"/>
      <c r="AN1546" s="74"/>
      <c r="AO1546" s="74"/>
      <c r="AP1546" s="74"/>
      <c r="AQ1546" s="74"/>
      <c r="AR1546" s="74"/>
      <c r="AS1546" s="74"/>
      <c r="BD1546" s="74"/>
      <c r="BE1546" s="74"/>
      <c r="BF1546" s="74"/>
      <c r="BG1546" s="74"/>
      <c r="BH1546" s="74"/>
      <c r="BI1546" s="74"/>
    </row>
    <row r="1547" spans="24:61" x14ac:dyDescent="0.3">
      <c r="X1547" s="74"/>
      <c r="Y1547" s="74"/>
      <c r="Z1547" s="74"/>
      <c r="AA1547" s="74"/>
      <c r="AB1547" s="74"/>
      <c r="AC1547" s="74"/>
      <c r="AN1547" s="74"/>
      <c r="AO1547" s="74"/>
      <c r="AP1547" s="74"/>
      <c r="AQ1547" s="74"/>
      <c r="AR1547" s="74"/>
      <c r="AS1547" s="74"/>
      <c r="BD1547" s="74"/>
      <c r="BE1547" s="74"/>
      <c r="BF1547" s="74"/>
      <c r="BG1547" s="74"/>
      <c r="BH1547" s="74"/>
      <c r="BI1547" s="74"/>
    </row>
    <row r="1548" spans="24:61" x14ac:dyDescent="0.3">
      <c r="X1548" s="74"/>
      <c r="Y1548" s="74"/>
      <c r="Z1548" s="74"/>
      <c r="AA1548" s="74"/>
      <c r="AB1548" s="74"/>
      <c r="AC1548" s="74"/>
      <c r="AN1548" s="74"/>
      <c r="AO1548" s="74"/>
      <c r="AP1548" s="74"/>
      <c r="AQ1548" s="74"/>
      <c r="AR1548" s="74"/>
      <c r="AS1548" s="74"/>
      <c r="BD1548" s="74"/>
      <c r="BE1548" s="74"/>
      <c r="BF1548" s="74"/>
      <c r="BG1548" s="74"/>
      <c r="BH1548" s="74"/>
      <c r="BI1548" s="74"/>
    </row>
    <row r="1549" spans="24:61" x14ac:dyDescent="0.3">
      <c r="X1549" s="74"/>
      <c r="Y1549" s="74"/>
      <c r="Z1549" s="74"/>
      <c r="AA1549" s="74"/>
      <c r="AB1549" s="74"/>
      <c r="AC1549" s="74"/>
      <c r="AN1549" s="74"/>
      <c r="AO1549" s="74"/>
      <c r="AP1549" s="74"/>
      <c r="AQ1549" s="74"/>
      <c r="AR1549" s="74"/>
      <c r="AS1549" s="74"/>
      <c r="BD1549" s="74"/>
      <c r="BE1549" s="74"/>
      <c r="BF1549" s="74"/>
      <c r="BG1549" s="74"/>
      <c r="BH1549" s="74"/>
      <c r="BI1549" s="74"/>
    </row>
    <row r="1550" spans="24:61" x14ac:dyDescent="0.3">
      <c r="X1550" s="74"/>
      <c r="Y1550" s="74"/>
      <c r="Z1550" s="74"/>
      <c r="AA1550" s="74"/>
      <c r="AB1550" s="74"/>
      <c r="AC1550" s="74"/>
      <c r="AN1550" s="74"/>
      <c r="AO1550" s="74"/>
      <c r="AP1550" s="74"/>
      <c r="AQ1550" s="74"/>
      <c r="AR1550" s="74"/>
      <c r="AS1550" s="74"/>
      <c r="BD1550" s="74"/>
      <c r="BE1550" s="74"/>
      <c r="BF1550" s="74"/>
      <c r="BG1550" s="74"/>
      <c r="BH1550" s="74"/>
      <c r="BI1550" s="74"/>
    </row>
    <row r="1551" spans="24:61" x14ac:dyDescent="0.3">
      <c r="X1551" s="74"/>
      <c r="Y1551" s="74"/>
      <c r="Z1551" s="74"/>
      <c r="AA1551" s="74"/>
      <c r="AB1551" s="74"/>
      <c r="AC1551" s="74"/>
      <c r="AN1551" s="74"/>
      <c r="AO1551" s="74"/>
      <c r="AP1551" s="74"/>
      <c r="AQ1551" s="74"/>
      <c r="AR1551" s="74"/>
      <c r="AS1551" s="74"/>
      <c r="BD1551" s="74"/>
      <c r="BE1551" s="74"/>
      <c r="BF1551" s="74"/>
      <c r="BG1551" s="74"/>
      <c r="BH1551" s="74"/>
      <c r="BI1551" s="74"/>
    </row>
    <row r="1552" spans="24:61" x14ac:dyDescent="0.3">
      <c r="X1552" s="74"/>
      <c r="Y1552" s="74"/>
      <c r="Z1552" s="74"/>
      <c r="AA1552" s="74"/>
      <c r="AB1552" s="74"/>
      <c r="AC1552" s="74"/>
      <c r="AN1552" s="74"/>
      <c r="AO1552" s="74"/>
      <c r="AP1552" s="74"/>
      <c r="AQ1552" s="74"/>
      <c r="AR1552" s="74"/>
      <c r="AS1552" s="74"/>
      <c r="BD1552" s="74"/>
      <c r="BE1552" s="74"/>
      <c r="BF1552" s="74"/>
      <c r="BG1552" s="74"/>
      <c r="BH1552" s="74"/>
      <c r="BI1552" s="74"/>
    </row>
    <row r="1553" spans="24:61" x14ac:dyDescent="0.3">
      <c r="X1553" s="74"/>
      <c r="Y1553" s="74"/>
      <c r="Z1553" s="74"/>
      <c r="AA1553" s="74"/>
      <c r="AB1553" s="74"/>
      <c r="AC1553" s="74"/>
      <c r="AN1553" s="74"/>
      <c r="AO1553" s="74"/>
      <c r="AP1553" s="74"/>
      <c r="AQ1553" s="74"/>
      <c r="AR1553" s="74"/>
      <c r="AS1553" s="74"/>
      <c r="BD1553" s="74"/>
      <c r="BE1553" s="74"/>
      <c r="BF1553" s="74"/>
      <c r="BG1553" s="74"/>
      <c r="BH1553" s="74"/>
      <c r="BI1553" s="74"/>
    </row>
    <row r="1554" spans="24:61" x14ac:dyDescent="0.3">
      <c r="X1554" s="74"/>
      <c r="Y1554" s="74"/>
      <c r="Z1554" s="74"/>
      <c r="AA1554" s="74"/>
      <c r="AB1554" s="74"/>
      <c r="AC1554" s="74"/>
      <c r="AN1554" s="74"/>
      <c r="AO1554" s="74"/>
      <c r="AP1554" s="74"/>
      <c r="AQ1554" s="74"/>
      <c r="AR1554" s="74"/>
      <c r="AS1554" s="74"/>
      <c r="BD1554" s="74"/>
      <c r="BE1554" s="74"/>
      <c r="BF1554" s="74"/>
      <c r="BG1554" s="74"/>
      <c r="BH1554" s="74"/>
      <c r="BI1554" s="74"/>
    </row>
    <row r="1555" spans="24:61" x14ac:dyDescent="0.3">
      <c r="X1555" s="74"/>
      <c r="Y1555" s="74"/>
      <c r="Z1555" s="74"/>
      <c r="AA1555" s="74"/>
      <c r="AB1555" s="74"/>
      <c r="AC1555" s="74"/>
      <c r="AN1555" s="74"/>
      <c r="AO1555" s="74"/>
      <c r="AP1555" s="74"/>
      <c r="AQ1555" s="74"/>
      <c r="AR1555" s="74"/>
      <c r="AS1555" s="74"/>
      <c r="BD1555" s="74"/>
      <c r="BE1555" s="74"/>
      <c r="BF1555" s="74"/>
      <c r="BG1555" s="74"/>
      <c r="BH1555" s="74"/>
      <c r="BI1555" s="74"/>
    </row>
    <row r="1556" spans="24:61" x14ac:dyDescent="0.3">
      <c r="X1556" s="74"/>
      <c r="Y1556" s="74"/>
      <c r="Z1556" s="74"/>
      <c r="AA1556" s="74"/>
      <c r="AB1556" s="74"/>
      <c r="AC1556" s="74"/>
      <c r="AN1556" s="74"/>
      <c r="AO1556" s="74"/>
      <c r="AP1556" s="74"/>
      <c r="AQ1556" s="74"/>
      <c r="AR1556" s="74"/>
      <c r="AS1556" s="74"/>
      <c r="BD1556" s="74"/>
      <c r="BE1556" s="74"/>
      <c r="BF1556" s="74"/>
      <c r="BG1556" s="74"/>
      <c r="BH1556" s="74"/>
      <c r="BI1556" s="74"/>
    </row>
    <row r="1557" spans="24:61" x14ac:dyDescent="0.3">
      <c r="X1557" s="74"/>
      <c r="Y1557" s="74"/>
      <c r="Z1557" s="74"/>
      <c r="AA1557" s="74"/>
      <c r="AB1557" s="74"/>
      <c r="AC1557" s="74"/>
      <c r="AN1557" s="74"/>
      <c r="AO1557" s="74"/>
      <c r="AP1557" s="74"/>
      <c r="AQ1557" s="74"/>
      <c r="AR1557" s="74"/>
      <c r="AS1557" s="74"/>
      <c r="BD1557" s="74"/>
      <c r="BE1557" s="74"/>
      <c r="BF1557" s="74"/>
      <c r="BG1557" s="74"/>
      <c r="BH1557" s="74"/>
      <c r="BI1557" s="74"/>
    </row>
    <row r="1558" spans="24:61" x14ac:dyDescent="0.3">
      <c r="X1558" s="74"/>
      <c r="Y1558" s="74"/>
      <c r="Z1558" s="74"/>
      <c r="AA1558" s="74"/>
      <c r="AB1558" s="74"/>
      <c r="AC1558" s="74"/>
      <c r="AN1558" s="74"/>
      <c r="AO1558" s="74"/>
      <c r="AP1558" s="74"/>
      <c r="AQ1558" s="74"/>
      <c r="AR1558" s="74"/>
      <c r="AS1558" s="74"/>
      <c r="BD1558" s="74"/>
      <c r="BE1558" s="74"/>
      <c r="BF1558" s="74"/>
      <c r="BG1558" s="74"/>
      <c r="BH1558" s="74"/>
      <c r="BI1558" s="74"/>
    </row>
    <row r="1559" spans="24:61" x14ac:dyDescent="0.3">
      <c r="X1559" s="74"/>
      <c r="Y1559" s="74"/>
      <c r="Z1559" s="74"/>
      <c r="AA1559" s="74"/>
      <c r="AB1559" s="74"/>
      <c r="AC1559" s="74"/>
      <c r="AN1559" s="74"/>
      <c r="AO1559" s="74"/>
      <c r="AP1559" s="74"/>
      <c r="AQ1559" s="74"/>
      <c r="AR1559" s="74"/>
      <c r="AS1559" s="74"/>
      <c r="BD1559" s="74"/>
      <c r="BE1559" s="74"/>
      <c r="BF1559" s="74"/>
      <c r="BG1559" s="74"/>
      <c r="BH1559" s="74"/>
      <c r="BI1559" s="74"/>
    </row>
    <row r="1560" spans="24:61" x14ac:dyDescent="0.3">
      <c r="X1560" s="74"/>
      <c r="Y1560" s="74"/>
      <c r="Z1560" s="74"/>
      <c r="AA1560" s="74"/>
      <c r="AB1560" s="74"/>
      <c r="AC1560" s="74"/>
      <c r="AN1560" s="74"/>
      <c r="AO1560" s="74"/>
      <c r="AP1560" s="74"/>
      <c r="AQ1560" s="74"/>
      <c r="AR1560" s="74"/>
      <c r="AS1560" s="74"/>
      <c r="BD1560" s="74"/>
      <c r="BE1560" s="74"/>
      <c r="BF1560" s="74"/>
      <c r="BG1560" s="74"/>
      <c r="BH1560" s="74"/>
      <c r="BI1560" s="74"/>
    </row>
    <row r="1561" spans="24:61" x14ac:dyDescent="0.3">
      <c r="X1561" s="74"/>
      <c r="Y1561" s="74"/>
      <c r="Z1561" s="74"/>
      <c r="AA1561" s="74"/>
      <c r="AB1561" s="74"/>
      <c r="AC1561" s="74"/>
      <c r="AN1561" s="74"/>
      <c r="AO1561" s="74"/>
      <c r="AP1561" s="74"/>
      <c r="AQ1561" s="74"/>
      <c r="AR1561" s="74"/>
      <c r="AS1561" s="74"/>
      <c r="BD1561" s="74"/>
      <c r="BE1561" s="74"/>
      <c r="BF1561" s="74"/>
      <c r="BG1561" s="74"/>
      <c r="BH1561" s="74"/>
      <c r="BI1561" s="74"/>
    </row>
    <row r="1562" spans="24:61" x14ac:dyDescent="0.3">
      <c r="X1562" s="74"/>
      <c r="Y1562" s="74"/>
      <c r="Z1562" s="74"/>
      <c r="AA1562" s="74"/>
      <c r="AB1562" s="74"/>
      <c r="AC1562" s="74"/>
      <c r="AN1562" s="74"/>
      <c r="AO1562" s="74"/>
      <c r="AP1562" s="74"/>
      <c r="AQ1562" s="74"/>
      <c r="AR1562" s="74"/>
      <c r="AS1562" s="74"/>
      <c r="BD1562" s="74"/>
      <c r="BE1562" s="74"/>
      <c r="BF1562" s="74"/>
      <c r="BG1562" s="74"/>
      <c r="BH1562" s="74"/>
      <c r="BI1562" s="74"/>
    </row>
    <row r="1563" spans="24:61" x14ac:dyDescent="0.3">
      <c r="X1563" s="74"/>
      <c r="Y1563" s="74"/>
      <c r="Z1563" s="74"/>
      <c r="AA1563" s="74"/>
      <c r="AB1563" s="74"/>
      <c r="AC1563" s="74"/>
      <c r="AN1563" s="74"/>
      <c r="AO1563" s="74"/>
      <c r="AP1563" s="74"/>
      <c r="AQ1563" s="74"/>
      <c r="AR1563" s="74"/>
      <c r="AS1563" s="74"/>
      <c r="BD1563" s="74"/>
      <c r="BE1563" s="74"/>
      <c r="BF1563" s="74"/>
      <c r="BG1563" s="74"/>
      <c r="BH1563" s="74"/>
      <c r="BI1563" s="74"/>
    </row>
    <row r="1564" spans="24:61" x14ac:dyDescent="0.3">
      <c r="X1564" s="74"/>
      <c r="Y1564" s="74"/>
      <c r="Z1564" s="74"/>
      <c r="AA1564" s="74"/>
      <c r="AB1564" s="74"/>
      <c r="AC1564" s="74"/>
      <c r="AN1564" s="74"/>
      <c r="AO1564" s="74"/>
      <c r="AP1564" s="74"/>
      <c r="AQ1564" s="74"/>
      <c r="AR1564" s="74"/>
      <c r="AS1564" s="74"/>
      <c r="BD1564" s="74"/>
      <c r="BE1564" s="74"/>
      <c r="BF1564" s="74"/>
      <c r="BG1564" s="74"/>
      <c r="BH1564" s="74"/>
      <c r="BI1564" s="74"/>
    </row>
    <row r="1565" spans="24:61" x14ac:dyDescent="0.3">
      <c r="X1565" s="74"/>
      <c r="Y1565" s="74"/>
      <c r="Z1565" s="74"/>
      <c r="AA1565" s="74"/>
      <c r="AB1565" s="74"/>
      <c r="AC1565" s="74"/>
      <c r="AN1565" s="74"/>
      <c r="AO1565" s="74"/>
      <c r="AP1565" s="74"/>
      <c r="AQ1565" s="74"/>
      <c r="AR1565" s="74"/>
      <c r="AS1565" s="74"/>
      <c r="BD1565" s="74"/>
      <c r="BE1565" s="74"/>
      <c r="BF1565" s="74"/>
      <c r="BG1565" s="74"/>
      <c r="BH1565" s="74"/>
      <c r="BI1565" s="74"/>
    </row>
    <row r="1566" spans="24:61" x14ac:dyDescent="0.3">
      <c r="X1566" s="74"/>
      <c r="Y1566" s="74"/>
      <c r="Z1566" s="74"/>
      <c r="AA1566" s="74"/>
      <c r="AB1566" s="74"/>
      <c r="AC1566" s="74"/>
      <c r="AN1566" s="74"/>
      <c r="AO1566" s="74"/>
      <c r="AP1566" s="74"/>
      <c r="AQ1566" s="74"/>
      <c r="AR1566" s="74"/>
      <c r="AS1566" s="74"/>
      <c r="BD1566" s="74"/>
      <c r="BE1566" s="74"/>
      <c r="BF1566" s="74"/>
      <c r="BG1566" s="74"/>
      <c r="BH1566" s="74"/>
      <c r="BI1566" s="74"/>
    </row>
    <row r="1567" spans="24:61" x14ac:dyDescent="0.3">
      <c r="X1567" s="74"/>
      <c r="Y1567" s="74"/>
      <c r="Z1567" s="74"/>
      <c r="AA1567" s="74"/>
      <c r="AB1567" s="74"/>
      <c r="AC1567" s="74"/>
      <c r="AN1567" s="74"/>
      <c r="AO1567" s="74"/>
      <c r="AP1567" s="74"/>
      <c r="AQ1567" s="74"/>
      <c r="AR1567" s="74"/>
      <c r="AS1567" s="74"/>
      <c r="BD1567" s="74"/>
      <c r="BE1567" s="74"/>
      <c r="BF1567" s="74"/>
      <c r="BG1567" s="74"/>
      <c r="BH1567" s="74"/>
      <c r="BI1567" s="74"/>
    </row>
    <row r="1568" spans="24:61" x14ac:dyDescent="0.3">
      <c r="X1568" s="74"/>
      <c r="Y1568" s="74"/>
      <c r="Z1568" s="74"/>
      <c r="AA1568" s="74"/>
      <c r="AB1568" s="74"/>
      <c r="AC1568" s="74"/>
      <c r="AN1568" s="74"/>
      <c r="AO1568" s="74"/>
      <c r="AP1568" s="74"/>
      <c r="AQ1568" s="74"/>
      <c r="AR1568" s="74"/>
      <c r="AS1568" s="74"/>
      <c r="BD1568" s="74"/>
      <c r="BE1568" s="74"/>
      <c r="BF1568" s="74"/>
      <c r="BG1568" s="74"/>
      <c r="BH1568" s="74"/>
      <c r="BI1568" s="74"/>
    </row>
    <row r="1569" spans="24:61" x14ac:dyDescent="0.3">
      <c r="X1569" s="74"/>
      <c r="Y1569" s="74"/>
      <c r="Z1569" s="74"/>
      <c r="AA1569" s="74"/>
      <c r="AB1569" s="74"/>
      <c r="AC1569" s="74"/>
      <c r="AN1569" s="74"/>
      <c r="AO1569" s="74"/>
      <c r="AP1569" s="74"/>
      <c r="AQ1569" s="74"/>
      <c r="AR1569" s="74"/>
      <c r="AS1569" s="74"/>
      <c r="BD1569" s="74"/>
      <c r="BE1569" s="74"/>
      <c r="BF1569" s="74"/>
      <c r="BG1569" s="74"/>
      <c r="BH1569" s="74"/>
      <c r="BI1569" s="74"/>
    </row>
    <row r="1570" spans="24:61" x14ac:dyDescent="0.3">
      <c r="X1570" s="74"/>
      <c r="Y1570" s="74"/>
      <c r="Z1570" s="74"/>
      <c r="AA1570" s="74"/>
      <c r="AB1570" s="74"/>
      <c r="AC1570" s="74"/>
      <c r="AN1570" s="74"/>
      <c r="AO1570" s="74"/>
      <c r="AP1570" s="74"/>
      <c r="AQ1570" s="74"/>
      <c r="AR1570" s="74"/>
      <c r="AS1570" s="74"/>
      <c r="BD1570" s="74"/>
      <c r="BE1570" s="74"/>
      <c r="BF1570" s="74"/>
      <c r="BG1570" s="74"/>
      <c r="BH1570" s="74"/>
      <c r="BI1570" s="74"/>
    </row>
    <row r="1571" spans="24:61" x14ac:dyDescent="0.3">
      <c r="X1571" s="74"/>
      <c r="Y1571" s="74"/>
      <c r="Z1571" s="74"/>
      <c r="AA1571" s="74"/>
      <c r="AB1571" s="74"/>
      <c r="AC1571" s="74"/>
      <c r="AN1571" s="74"/>
      <c r="AO1571" s="74"/>
      <c r="AP1571" s="74"/>
      <c r="AQ1571" s="74"/>
      <c r="AR1571" s="74"/>
      <c r="AS1571" s="74"/>
      <c r="BD1571" s="74"/>
      <c r="BE1571" s="74"/>
      <c r="BF1571" s="74"/>
      <c r="BG1571" s="74"/>
      <c r="BH1571" s="74"/>
      <c r="BI1571" s="74"/>
    </row>
    <row r="1572" spans="24:61" x14ac:dyDescent="0.3">
      <c r="X1572" s="74"/>
      <c r="Y1572" s="74"/>
      <c r="Z1572" s="74"/>
      <c r="AA1572" s="74"/>
      <c r="AB1572" s="74"/>
      <c r="AC1572" s="74"/>
      <c r="AN1572" s="74"/>
      <c r="AO1572" s="74"/>
      <c r="AP1572" s="74"/>
      <c r="AQ1572" s="74"/>
      <c r="AR1572" s="74"/>
      <c r="AS1572" s="74"/>
      <c r="BD1572" s="74"/>
      <c r="BE1572" s="74"/>
      <c r="BF1572" s="74"/>
      <c r="BG1572" s="74"/>
      <c r="BH1572" s="74"/>
      <c r="BI1572" s="74"/>
    </row>
    <row r="1573" spans="24:61" x14ac:dyDescent="0.3">
      <c r="X1573" s="74"/>
      <c r="Y1573" s="74"/>
      <c r="Z1573" s="74"/>
      <c r="AA1573" s="74"/>
      <c r="AB1573" s="74"/>
      <c r="AC1573" s="74"/>
      <c r="AN1573" s="74"/>
      <c r="AO1573" s="74"/>
      <c r="AP1573" s="74"/>
      <c r="AQ1573" s="74"/>
      <c r="AR1573" s="74"/>
      <c r="AS1573" s="74"/>
      <c r="BD1573" s="74"/>
      <c r="BE1573" s="74"/>
      <c r="BF1573" s="74"/>
      <c r="BG1573" s="74"/>
      <c r="BH1573" s="74"/>
      <c r="BI1573" s="74"/>
    </row>
    <row r="1574" spans="24:61" x14ac:dyDescent="0.3">
      <c r="X1574" s="74"/>
      <c r="Y1574" s="74"/>
      <c r="Z1574" s="74"/>
      <c r="AA1574" s="74"/>
      <c r="AB1574" s="74"/>
      <c r="AC1574" s="74"/>
      <c r="AN1574" s="74"/>
      <c r="AO1574" s="74"/>
      <c r="AP1574" s="74"/>
      <c r="AQ1574" s="74"/>
      <c r="AR1574" s="74"/>
      <c r="AS1574" s="74"/>
      <c r="BD1574" s="74"/>
      <c r="BE1574" s="74"/>
      <c r="BF1574" s="74"/>
      <c r="BG1574" s="74"/>
      <c r="BH1574" s="74"/>
      <c r="BI1574" s="74"/>
    </row>
    <row r="1575" spans="24:61" x14ac:dyDescent="0.3">
      <c r="X1575" s="74"/>
      <c r="Y1575" s="74"/>
      <c r="Z1575" s="74"/>
      <c r="AA1575" s="74"/>
      <c r="AB1575" s="74"/>
      <c r="AC1575" s="74"/>
      <c r="AN1575" s="74"/>
      <c r="AO1575" s="74"/>
      <c r="AP1575" s="74"/>
      <c r="AQ1575" s="74"/>
      <c r="AR1575" s="74"/>
      <c r="AS1575" s="74"/>
      <c r="BD1575" s="74"/>
      <c r="BE1575" s="74"/>
      <c r="BF1575" s="74"/>
      <c r="BG1575" s="74"/>
      <c r="BH1575" s="74"/>
      <c r="BI1575" s="74"/>
    </row>
    <row r="1576" spans="24:61" x14ac:dyDescent="0.3">
      <c r="X1576" s="74"/>
      <c r="Y1576" s="74"/>
      <c r="Z1576" s="74"/>
      <c r="AA1576" s="74"/>
      <c r="AB1576" s="74"/>
      <c r="AC1576" s="74"/>
      <c r="AN1576" s="74"/>
      <c r="AO1576" s="74"/>
      <c r="AP1576" s="74"/>
      <c r="AQ1576" s="74"/>
      <c r="AR1576" s="74"/>
      <c r="AS1576" s="74"/>
      <c r="BD1576" s="74"/>
      <c r="BE1576" s="74"/>
      <c r="BF1576" s="74"/>
      <c r="BG1576" s="74"/>
      <c r="BH1576" s="74"/>
      <c r="BI1576" s="74"/>
    </row>
    <row r="1577" spans="24:61" x14ac:dyDescent="0.3">
      <c r="X1577" s="74"/>
      <c r="Y1577" s="74"/>
      <c r="Z1577" s="74"/>
      <c r="AA1577" s="74"/>
      <c r="AB1577" s="74"/>
      <c r="AC1577" s="74"/>
      <c r="AN1577" s="74"/>
      <c r="AO1577" s="74"/>
      <c r="AP1577" s="74"/>
      <c r="AQ1577" s="74"/>
      <c r="AR1577" s="74"/>
      <c r="AS1577" s="74"/>
      <c r="BD1577" s="74"/>
      <c r="BE1577" s="74"/>
      <c r="BF1577" s="74"/>
      <c r="BG1577" s="74"/>
      <c r="BH1577" s="74"/>
      <c r="BI1577" s="74"/>
    </row>
    <row r="1578" spans="24:61" x14ac:dyDescent="0.3">
      <c r="X1578" s="74"/>
      <c r="Y1578" s="74"/>
      <c r="Z1578" s="74"/>
      <c r="AA1578" s="74"/>
      <c r="AB1578" s="74"/>
      <c r="AC1578" s="74"/>
      <c r="AN1578" s="74"/>
      <c r="AO1578" s="74"/>
      <c r="AP1578" s="74"/>
      <c r="AQ1578" s="74"/>
      <c r="AR1578" s="74"/>
      <c r="AS1578" s="74"/>
      <c r="BD1578" s="74"/>
      <c r="BE1578" s="74"/>
      <c r="BF1578" s="74"/>
      <c r="BG1578" s="74"/>
      <c r="BH1578" s="74"/>
      <c r="BI1578" s="74"/>
    </row>
    <row r="1579" spans="24:61" x14ac:dyDescent="0.3">
      <c r="X1579" s="74"/>
      <c r="Y1579" s="74"/>
      <c r="Z1579" s="74"/>
      <c r="AA1579" s="74"/>
      <c r="AB1579" s="74"/>
      <c r="AC1579" s="74"/>
      <c r="AN1579" s="74"/>
      <c r="AO1579" s="74"/>
      <c r="AP1579" s="74"/>
      <c r="AQ1579" s="74"/>
      <c r="AR1579" s="74"/>
      <c r="AS1579" s="74"/>
      <c r="BD1579" s="74"/>
      <c r="BE1579" s="74"/>
      <c r="BF1579" s="74"/>
      <c r="BG1579" s="74"/>
      <c r="BH1579" s="74"/>
      <c r="BI1579" s="74"/>
    </row>
    <row r="1580" spans="24:61" x14ac:dyDescent="0.3">
      <c r="X1580" s="74"/>
      <c r="Y1580" s="74"/>
      <c r="Z1580" s="74"/>
      <c r="AA1580" s="74"/>
      <c r="AB1580" s="74"/>
      <c r="AC1580" s="74"/>
      <c r="AN1580" s="74"/>
      <c r="AO1580" s="74"/>
      <c r="AP1580" s="74"/>
      <c r="AQ1580" s="74"/>
      <c r="AR1580" s="74"/>
      <c r="AS1580" s="74"/>
      <c r="BD1580" s="74"/>
      <c r="BE1580" s="74"/>
      <c r="BF1580" s="74"/>
      <c r="BG1580" s="74"/>
      <c r="BH1580" s="74"/>
      <c r="BI1580" s="74"/>
    </row>
    <row r="1581" spans="24:61" x14ac:dyDescent="0.3">
      <c r="X1581" s="74"/>
      <c r="Y1581" s="74"/>
      <c r="Z1581" s="74"/>
      <c r="AA1581" s="74"/>
      <c r="AB1581" s="74"/>
      <c r="AC1581" s="74"/>
      <c r="AN1581" s="74"/>
      <c r="AO1581" s="74"/>
      <c r="AP1581" s="74"/>
      <c r="AQ1581" s="74"/>
      <c r="AR1581" s="74"/>
      <c r="AS1581" s="74"/>
      <c r="BD1581" s="74"/>
      <c r="BE1581" s="74"/>
      <c r="BF1581" s="74"/>
      <c r="BG1581" s="74"/>
      <c r="BH1581" s="74"/>
      <c r="BI1581" s="74"/>
    </row>
    <row r="1582" spans="24:61" x14ac:dyDescent="0.3">
      <c r="X1582" s="74"/>
      <c r="Y1582" s="74"/>
      <c r="Z1582" s="74"/>
      <c r="AA1582" s="74"/>
      <c r="AB1582" s="74"/>
      <c r="AC1582" s="74"/>
      <c r="AN1582" s="74"/>
      <c r="AO1582" s="74"/>
      <c r="AP1582" s="74"/>
      <c r="AQ1582" s="74"/>
      <c r="AR1582" s="74"/>
      <c r="AS1582" s="74"/>
      <c r="BD1582" s="74"/>
      <c r="BE1582" s="74"/>
      <c r="BF1582" s="74"/>
      <c r="BG1582" s="74"/>
      <c r="BH1582" s="74"/>
      <c r="BI1582" s="74"/>
    </row>
    <row r="1583" spans="24:61" x14ac:dyDescent="0.3">
      <c r="X1583" s="74"/>
      <c r="Y1583" s="74"/>
      <c r="Z1583" s="74"/>
      <c r="AA1583" s="74"/>
      <c r="AB1583" s="74"/>
      <c r="AC1583" s="74"/>
      <c r="AN1583" s="74"/>
      <c r="AO1583" s="74"/>
      <c r="AP1583" s="74"/>
      <c r="AQ1583" s="74"/>
      <c r="AR1583" s="74"/>
      <c r="AS1583" s="74"/>
      <c r="BD1583" s="74"/>
      <c r="BE1583" s="74"/>
      <c r="BF1583" s="74"/>
      <c r="BG1583" s="74"/>
      <c r="BH1583" s="74"/>
      <c r="BI1583" s="74"/>
    </row>
    <row r="1584" spans="24:61" x14ac:dyDescent="0.3">
      <c r="X1584" s="74"/>
      <c r="Y1584" s="74"/>
      <c r="Z1584" s="74"/>
      <c r="AA1584" s="74"/>
      <c r="AB1584" s="74"/>
      <c r="AC1584" s="74"/>
      <c r="AN1584" s="74"/>
      <c r="AO1584" s="74"/>
      <c r="AP1584" s="74"/>
      <c r="AQ1584" s="74"/>
      <c r="AR1584" s="74"/>
      <c r="AS1584" s="74"/>
      <c r="BD1584" s="74"/>
      <c r="BE1584" s="74"/>
      <c r="BF1584" s="74"/>
      <c r="BG1584" s="74"/>
      <c r="BH1584" s="74"/>
      <c r="BI1584" s="74"/>
    </row>
    <row r="1585" spans="24:61" x14ac:dyDescent="0.3">
      <c r="X1585" s="74"/>
      <c r="Y1585" s="74"/>
      <c r="Z1585" s="74"/>
      <c r="AA1585" s="74"/>
      <c r="AB1585" s="74"/>
      <c r="AC1585" s="74"/>
      <c r="AN1585" s="74"/>
      <c r="AO1585" s="74"/>
      <c r="AP1585" s="74"/>
      <c r="AQ1585" s="74"/>
      <c r="AR1585" s="74"/>
      <c r="AS1585" s="74"/>
      <c r="BD1585" s="74"/>
      <c r="BE1585" s="74"/>
      <c r="BF1585" s="74"/>
      <c r="BG1585" s="74"/>
      <c r="BH1585" s="74"/>
      <c r="BI1585" s="74"/>
    </row>
    <row r="1586" spans="24:61" x14ac:dyDescent="0.3">
      <c r="X1586" s="74"/>
      <c r="Y1586" s="74"/>
      <c r="Z1586" s="74"/>
      <c r="AA1586" s="74"/>
      <c r="AB1586" s="74"/>
      <c r="AC1586" s="74"/>
      <c r="AN1586" s="74"/>
      <c r="AO1586" s="74"/>
      <c r="AP1586" s="74"/>
      <c r="AQ1586" s="74"/>
      <c r="AR1586" s="74"/>
      <c r="AS1586" s="74"/>
      <c r="BD1586" s="74"/>
      <c r="BE1586" s="74"/>
      <c r="BF1586" s="74"/>
      <c r="BG1586" s="74"/>
      <c r="BH1586" s="74"/>
      <c r="BI1586" s="74"/>
    </row>
    <row r="1587" spans="24:61" x14ac:dyDescent="0.3">
      <c r="X1587" s="74"/>
      <c r="Y1587" s="74"/>
      <c r="Z1587" s="74"/>
      <c r="AA1587" s="74"/>
      <c r="AB1587" s="74"/>
      <c r="AC1587" s="74"/>
      <c r="AN1587" s="74"/>
      <c r="AO1587" s="74"/>
      <c r="AP1587" s="74"/>
      <c r="AQ1587" s="74"/>
      <c r="AR1587" s="74"/>
      <c r="AS1587" s="74"/>
      <c r="BD1587" s="74"/>
      <c r="BE1587" s="74"/>
      <c r="BF1587" s="74"/>
      <c r="BG1587" s="74"/>
      <c r="BH1587" s="74"/>
      <c r="BI1587" s="74"/>
    </row>
    <row r="1588" spans="24:61" x14ac:dyDescent="0.3">
      <c r="X1588" s="74"/>
      <c r="Y1588" s="74"/>
      <c r="Z1588" s="74"/>
      <c r="AA1588" s="74"/>
      <c r="AB1588" s="74"/>
      <c r="AC1588" s="74"/>
      <c r="AN1588" s="74"/>
      <c r="AO1588" s="74"/>
      <c r="AP1588" s="74"/>
      <c r="AQ1588" s="74"/>
      <c r="AR1588" s="74"/>
      <c r="AS1588" s="74"/>
      <c r="BD1588" s="74"/>
      <c r="BE1588" s="74"/>
      <c r="BF1588" s="74"/>
      <c r="BG1588" s="74"/>
      <c r="BH1588" s="74"/>
      <c r="BI1588" s="74"/>
    </row>
    <row r="1589" spans="24:61" x14ac:dyDescent="0.3">
      <c r="X1589" s="74"/>
      <c r="Y1589" s="74"/>
      <c r="Z1589" s="74"/>
      <c r="AA1589" s="74"/>
      <c r="AB1589" s="74"/>
      <c r="AC1589" s="74"/>
      <c r="AN1589" s="74"/>
      <c r="AO1589" s="74"/>
      <c r="AP1589" s="74"/>
      <c r="AQ1589" s="74"/>
      <c r="AR1589" s="74"/>
      <c r="AS1589" s="74"/>
      <c r="BD1589" s="74"/>
      <c r="BE1589" s="74"/>
      <c r="BF1589" s="74"/>
      <c r="BG1589" s="74"/>
      <c r="BH1589" s="74"/>
      <c r="BI1589" s="74"/>
    </row>
    <row r="1590" spans="24:61" x14ac:dyDescent="0.3">
      <c r="X1590" s="74"/>
      <c r="Y1590" s="74"/>
      <c r="Z1590" s="74"/>
      <c r="AA1590" s="74"/>
      <c r="AB1590" s="74"/>
      <c r="AC1590" s="74"/>
      <c r="AN1590" s="74"/>
      <c r="AO1590" s="74"/>
      <c r="AP1590" s="74"/>
      <c r="AQ1590" s="74"/>
      <c r="AR1590" s="74"/>
      <c r="AS1590" s="74"/>
      <c r="BD1590" s="74"/>
      <c r="BE1590" s="74"/>
      <c r="BF1590" s="74"/>
      <c r="BG1590" s="74"/>
      <c r="BH1590" s="74"/>
      <c r="BI1590" s="74"/>
    </row>
    <row r="1591" spans="24:61" x14ac:dyDescent="0.3">
      <c r="X1591" s="74"/>
      <c r="Y1591" s="74"/>
      <c r="Z1591" s="74"/>
      <c r="AA1591" s="74"/>
      <c r="AB1591" s="74"/>
      <c r="AC1591" s="74"/>
      <c r="AN1591" s="74"/>
      <c r="AO1591" s="74"/>
      <c r="AP1591" s="74"/>
      <c r="AQ1591" s="74"/>
      <c r="AR1591" s="74"/>
      <c r="AS1591" s="74"/>
      <c r="BD1591" s="74"/>
      <c r="BE1591" s="74"/>
      <c r="BF1591" s="74"/>
      <c r="BG1591" s="74"/>
      <c r="BH1591" s="74"/>
      <c r="BI1591" s="74"/>
    </row>
    <row r="1592" spans="24:61" x14ac:dyDescent="0.3">
      <c r="X1592" s="74"/>
      <c r="Y1592" s="74"/>
      <c r="Z1592" s="74"/>
      <c r="AA1592" s="74"/>
      <c r="AB1592" s="74"/>
      <c r="AC1592" s="74"/>
      <c r="AN1592" s="74"/>
      <c r="AO1592" s="74"/>
      <c r="AP1592" s="74"/>
      <c r="AQ1592" s="74"/>
      <c r="AR1592" s="74"/>
      <c r="AS1592" s="74"/>
      <c r="BD1592" s="74"/>
      <c r="BE1592" s="74"/>
      <c r="BF1592" s="74"/>
      <c r="BG1592" s="74"/>
      <c r="BH1592" s="74"/>
      <c r="BI1592" s="74"/>
    </row>
    <row r="1593" spans="24:61" x14ac:dyDescent="0.3">
      <c r="X1593" s="74"/>
      <c r="Y1593" s="74"/>
      <c r="Z1593" s="74"/>
      <c r="AA1593" s="74"/>
      <c r="AB1593" s="74"/>
      <c r="AC1593" s="74"/>
      <c r="AN1593" s="74"/>
      <c r="AO1593" s="74"/>
      <c r="AP1593" s="74"/>
      <c r="AQ1593" s="74"/>
      <c r="AR1593" s="74"/>
      <c r="AS1593" s="74"/>
      <c r="BD1593" s="74"/>
      <c r="BE1593" s="74"/>
      <c r="BF1593" s="74"/>
      <c r="BG1593" s="74"/>
      <c r="BH1593" s="74"/>
      <c r="BI1593" s="74"/>
    </row>
    <row r="1594" spans="24:61" x14ac:dyDescent="0.3">
      <c r="X1594" s="74"/>
      <c r="Y1594" s="74"/>
      <c r="Z1594" s="74"/>
      <c r="AA1594" s="74"/>
      <c r="AB1594" s="74"/>
      <c r="AC1594" s="74"/>
      <c r="AN1594" s="74"/>
      <c r="AO1594" s="74"/>
      <c r="AP1594" s="74"/>
      <c r="AQ1594" s="74"/>
      <c r="AR1594" s="74"/>
      <c r="AS1594" s="74"/>
      <c r="BD1594" s="74"/>
      <c r="BE1594" s="74"/>
      <c r="BF1594" s="74"/>
      <c r="BG1594" s="74"/>
      <c r="BH1594" s="74"/>
      <c r="BI1594" s="74"/>
    </row>
    <row r="1595" spans="24:61" x14ac:dyDescent="0.3">
      <c r="X1595" s="74"/>
      <c r="Y1595" s="74"/>
      <c r="Z1595" s="74"/>
      <c r="AA1595" s="74"/>
      <c r="AB1595" s="74"/>
      <c r="AC1595" s="74"/>
      <c r="AN1595" s="74"/>
      <c r="AO1595" s="74"/>
      <c r="AP1595" s="74"/>
      <c r="AQ1595" s="74"/>
      <c r="AR1595" s="74"/>
      <c r="AS1595" s="74"/>
      <c r="BD1595" s="74"/>
      <c r="BE1595" s="74"/>
      <c r="BF1595" s="74"/>
      <c r="BG1595" s="74"/>
      <c r="BH1595" s="74"/>
      <c r="BI1595" s="74"/>
    </row>
    <row r="1596" spans="24:61" x14ac:dyDescent="0.3">
      <c r="X1596" s="74"/>
      <c r="Y1596" s="74"/>
      <c r="Z1596" s="74"/>
      <c r="AA1596" s="74"/>
      <c r="AB1596" s="74"/>
      <c r="AC1596" s="74"/>
      <c r="AN1596" s="74"/>
      <c r="AO1596" s="74"/>
      <c r="AP1596" s="74"/>
      <c r="AQ1596" s="74"/>
      <c r="AR1596" s="74"/>
      <c r="AS1596" s="74"/>
      <c r="BD1596" s="74"/>
      <c r="BE1596" s="74"/>
      <c r="BF1596" s="74"/>
      <c r="BG1596" s="74"/>
      <c r="BH1596" s="74"/>
      <c r="BI1596" s="74"/>
    </row>
    <row r="1597" spans="24:61" x14ac:dyDescent="0.3">
      <c r="X1597" s="74"/>
      <c r="Y1597" s="74"/>
      <c r="Z1597" s="74"/>
      <c r="AA1597" s="74"/>
      <c r="AB1597" s="74"/>
      <c r="AC1597" s="74"/>
      <c r="AN1597" s="74"/>
      <c r="AO1597" s="74"/>
      <c r="AP1597" s="74"/>
      <c r="AQ1597" s="74"/>
      <c r="AR1597" s="74"/>
      <c r="AS1597" s="74"/>
      <c r="BD1597" s="74"/>
      <c r="BE1597" s="74"/>
      <c r="BF1597" s="74"/>
      <c r="BG1597" s="74"/>
      <c r="BH1597" s="74"/>
      <c r="BI1597" s="74"/>
    </row>
    <row r="1598" spans="24:61" x14ac:dyDescent="0.3">
      <c r="X1598" s="74"/>
      <c r="Y1598" s="74"/>
      <c r="Z1598" s="74"/>
      <c r="AA1598" s="74"/>
      <c r="AB1598" s="74"/>
      <c r="AC1598" s="74"/>
      <c r="AN1598" s="74"/>
      <c r="AO1598" s="74"/>
      <c r="AP1598" s="74"/>
      <c r="AQ1598" s="74"/>
      <c r="AR1598" s="74"/>
      <c r="AS1598" s="74"/>
      <c r="BD1598" s="74"/>
      <c r="BE1598" s="74"/>
      <c r="BF1598" s="74"/>
      <c r="BG1598" s="74"/>
      <c r="BH1598" s="74"/>
      <c r="BI1598" s="74"/>
    </row>
    <row r="1599" spans="24:61" x14ac:dyDescent="0.3">
      <c r="X1599" s="74"/>
      <c r="Y1599" s="74"/>
      <c r="Z1599" s="74"/>
      <c r="AA1599" s="74"/>
      <c r="AB1599" s="74"/>
      <c r="AC1599" s="74"/>
      <c r="AN1599" s="74"/>
      <c r="AO1599" s="74"/>
      <c r="AP1599" s="74"/>
      <c r="AQ1599" s="74"/>
      <c r="AR1599" s="74"/>
      <c r="AS1599" s="74"/>
      <c r="BD1599" s="74"/>
      <c r="BE1599" s="74"/>
      <c r="BF1599" s="74"/>
      <c r="BG1599" s="74"/>
      <c r="BH1599" s="74"/>
      <c r="BI1599" s="74"/>
    </row>
    <row r="1600" spans="24:61" x14ac:dyDescent="0.3">
      <c r="X1600" s="74"/>
      <c r="Y1600" s="74"/>
      <c r="Z1600" s="74"/>
      <c r="AA1600" s="74"/>
      <c r="AB1600" s="74"/>
      <c r="AC1600" s="74"/>
      <c r="AN1600" s="74"/>
      <c r="AO1600" s="74"/>
      <c r="AP1600" s="74"/>
      <c r="AQ1600" s="74"/>
      <c r="AR1600" s="74"/>
      <c r="AS1600" s="74"/>
      <c r="BD1600" s="74"/>
      <c r="BE1600" s="74"/>
      <c r="BF1600" s="74"/>
      <c r="BG1600" s="74"/>
      <c r="BH1600" s="74"/>
      <c r="BI1600" s="74"/>
    </row>
    <row r="1601" spans="24:61" x14ac:dyDescent="0.3">
      <c r="X1601" s="74"/>
      <c r="Y1601" s="74"/>
      <c r="Z1601" s="74"/>
      <c r="AA1601" s="74"/>
      <c r="AB1601" s="74"/>
      <c r="AC1601" s="74"/>
      <c r="AN1601" s="74"/>
      <c r="AO1601" s="74"/>
      <c r="AP1601" s="74"/>
      <c r="AQ1601" s="74"/>
      <c r="AR1601" s="74"/>
      <c r="AS1601" s="74"/>
      <c r="BD1601" s="74"/>
      <c r="BE1601" s="74"/>
      <c r="BF1601" s="74"/>
      <c r="BG1601" s="74"/>
      <c r="BH1601" s="74"/>
      <c r="BI1601" s="74"/>
    </row>
    <row r="1602" spans="24:61" x14ac:dyDescent="0.3">
      <c r="X1602" s="74"/>
      <c r="Y1602" s="74"/>
      <c r="Z1602" s="74"/>
      <c r="AA1602" s="74"/>
      <c r="AB1602" s="74"/>
      <c r="AC1602" s="74"/>
      <c r="AN1602" s="74"/>
      <c r="AO1602" s="74"/>
      <c r="AP1602" s="74"/>
      <c r="AQ1602" s="74"/>
      <c r="AR1602" s="74"/>
      <c r="AS1602" s="74"/>
      <c r="BD1602" s="74"/>
      <c r="BE1602" s="74"/>
      <c r="BF1602" s="74"/>
      <c r="BG1602" s="74"/>
      <c r="BH1602" s="74"/>
      <c r="BI1602" s="74"/>
    </row>
    <row r="1603" spans="24:61" x14ac:dyDescent="0.3">
      <c r="X1603" s="74"/>
      <c r="Y1603" s="74"/>
      <c r="Z1603" s="74"/>
      <c r="AA1603" s="74"/>
      <c r="AB1603" s="74"/>
      <c r="AC1603" s="74"/>
      <c r="AN1603" s="74"/>
      <c r="AO1603" s="74"/>
      <c r="AP1603" s="74"/>
      <c r="AQ1603" s="74"/>
      <c r="AR1603" s="74"/>
      <c r="AS1603" s="74"/>
      <c r="BD1603" s="74"/>
      <c r="BE1603" s="74"/>
      <c r="BF1603" s="74"/>
      <c r="BG1603" s="74"/>
      <c r="BH1603" s="74"/>
      <c r="BI1603" s="74"/>
    </row>
    <row r="1604" spans="24:61" x14ac:dyDescent="0.3">
      <c r="X1604" s="74"/>
      <c r="Y1604" s="74"/>
      <c r="Z1604" s="74"/>
      <c r="AA1604" s="74"/>
      <c r="AB1604" s="74"/>
      <c r="AC1604" s="74"/>
      <c r="AN1604" s="74"/>
      <c r="AO1604" s="74"/>
      <c r="AP1604" s="74"/>
      <c r="AQ1604" s="74"/>
      <c r="AR1604" s="74"/>
      <c r="AS1604" s="74"/>
      <c r="BD1604" s="74"/>
      <c r="BE1604" s="74"/>
      <c r="BF1604" s="74"/>
      <c r="BG1604" s="74"/>
      <c r="BH1604" s="74"/>
      <c r="BI1604" s="74"/>
    </row>
    <row r="1605" spans="24:61" x14ac:dyDescent="0.3">
      <c r="X1605" s="74"/>
      <c r="Y1605" s="74"/>
      <c r="Z1605" s="74"/>
      <c r="AA1605" s="74"/>
      <c r="AB1605" s="74"/>
      <c r="AC1605" s="74"/>
      <c r="AN1605" s="74"/>
      <c r="AO1605" s="74"/>
      <c r="AP1605" s="74"/>
      <c r="AQ1605" s="74"/>
      <c r="AR1605" s="74"/>
      <c r="AS1605" s="74"/>
      <c r="BD1605" s="74"/>
      <c r="BE1605" s="74"/>
      <c r="BF1605" s="74"/>
      <c r="BG1605" s="74"/>
      <c r="BH1605" s="74"/>
      <c r="BI1605" s="74"/>
    </row>
    <row r="1606" spans="24:61" x14ac:dyDescent="0.3">
      <c r="X1606" s="74"/>
      <c r="Y1606" s="74"/>
      <c r="Z1606" s="74"/>
      <c r="AA1606" s="74"/>
      <c r="AB1606" s="74"/>
      <c r="AC1606" s="74"/>
      <c r="AN1606" s="74"/>
      <c r="AO1606" s="74"/>
      <c r="AP1606" s="74"/>
      <c r="AQ1606" s="74"/>
      <c r="AR1606" s="74"/>
      <c r="AS1606" s="74"/>
      <c r="BD1606" s="74"/>
      <c r="BE1606" s="74"/>
      <c r="BF1606" s="74"/>
      <c r="BG1606" s="74"/>
      <c r="BH1606" s="74"/>
      <c r="BI1606" s="74"/>
    </row>
    <row r="1607" spans="24:61" x14ac:dyDescent="0.3">
      <c r="X1607" s="74"/>
      <c r="Y1607" s="74"/>
      <c r="Z1607" s="74"/>
      <c r="AA1607" s="74"/>
      <c r="AB1607" s="74"/>
      <c r="AC1607" s="74"/>
      <c r="AN1607" s="74"/>
      <c r="AO1607" s="74"/>
      <c r="AP1607" s="74"/>
      <c r="AQ1607" s="74"/>
      <c r="AR1607" s="74"/>
      <c r="AS1607" s="74"/>
      <c r="BD1607" s="74"/>
      <c r="BE1607" s="74"/>
      <c r="BF1607" s="74"/>
      <c r="BG1607" s="74"/>
      <c r="BH1607" s="74"/>
      <c r="BI1607" s="74"/>
    </row>
    <row r="1608" spans="24:61" x14ac:dyDescent="0.3">
      <c r="X1608" s="74"/>
      <c r="Y1608" s="74"/>
      <c r="Z1608" s="74"/>
      <c r="AA1608" s="74"/>
      <c r="AB1608" s="74"/>
      <c r="AC1608" s="74"/>
      <c r="AN1608" s="74"/>
      <c r="AO1608" s="74"/>
      <c r="AP1608" s="74"/>
      <c r="AQ1608" s="74"/>
      <c r="AR1608" s="74"/>
      <c r="AS1608" s="74"/>
      <c r="BD1608" s="74"/>
      <c r="BE1608" s="74"/>
      <c r="BF1608" s="74"/>
      <c r="BG1608" s="74"/>
      <c r="BH1608" s="74"/>
      <c r="BI1608" s="74"/>
    </row>
    <row r="1609" spans="24:61" x14ac:dyDescent="0.3">
      <c r="X1609" s="74"/>
      <c r="Y1609" s="74"/>
      <c r="Z1609" s="74"/>
      <c r="AA1609" s="74"/>
      <c r="AB1609" s="74"/>
      <c r="AC1609" s="74"/>
      <c r="AN1609" s="74"/>
      <c r="AO1609" s="74"/>
      <c r="AP1609" s="74"/>
      <c r="AQ1609" s="74"/>
      <c r="AR1609" s="74"/>
      <c r="AS1609" s="74"/>
      <c r="BD1609" s="74"/>
      <c r="BE1609" s="74"/>
      <c r="BF1609" s="74"/>
      <c r="BG1609" s="74"/>
      <c r="BH1609" s="74"/>
      <c r="BI1609" s="74"/>
    </row>
    <row r="1610" spans="24:61" x14ac:dyDescent="0.3">
      <c r="X1610" s="74"/>
      <c r="Y1610" s="74"/>
      <c r="Z1610" s="74"/>
      <c r="AA1610" s="74"/>
      <c r="AB1610" s="74"/>
      <c r="AC1610" s="74"/>
      <c r="AN1610" s="74"/>
      <c r="AO1610" s="74"/>
      <c r="AP1610" s="74"/>
      <c r="AQ1610" s="74"/>
      <c r="AR1610" s="74"/>
      <c r="AS1610" s="74"/>
      <c r="BD1610" s="74"/>
      <c r="BE1610" s="74"/>
      <c r="BF1610" s="74"/>
      <c r="BG1610" s="74"/>
      <c r="BH1610" s="74"/>
      <c r="BI1610" s="74"/>
    </row>
    <row r="1611" spans="24:61" x14ac:dyDescent="0.3">
      <c r="X1611" s="74"/>
      <c r="Y1611" s="74"/>
      <c r="Z1611" s="74"/>
      <c r="AA1611" s="74"/>
      <c r="AB1611" s="74"/>
      <c r="AC1611" s="74"/>
      <c r="AN1611" s="74"/>
      <c r="AO1611" s="74"/>
      <c r="AP1611" s="74"/>
      <c r="AQ1611" s="74"/>
      <c r="AR1611" s="74"/>
      <c r="AS1611" s="74"/>
      <c r="BD1611" s="74"/>
      <c r="BE1611" s="74"/>
      <c r="BF1611" s="74"/>
      <c r="BG1611" s="74"/>
      <c r="BH1611" s="74"/>
      <c r="BI1611" s="74"/>
    </row>
    <row r="1612" spans="24:61" x14ac:dyDescent="0.3">
      <c r="X1612" s="74"/>
      <c r="Y1612" s="74"/>
      <c r="Z1612" s="74"/>
      <c r="AA1612" s="74"/>
      <c r="AB1612" s="74"/>
      <c r="AC1612" s="74"/>
      <c r="AN1612" s="74"/>
      <c r="AO1612" s="74"/>
      <c r="AP1612" s="74"/>
      <c r="AQ1612" s="74"/>
      <c r="AR1612" s="74"/>
      <c r="AS1612" s="74"/>
      <c r="BD1612" s="74"/>
      <c r="BE1612" s="74"/>
      <c r="BF1612" s="74"/>
      <c r="BG1612" s="74"/>
      <c r="BH1612" s="74"/>
      <c r="BI1612" s="74"/>
    </row>
    <row r="1613" spans="24:61" x14ac:dyDescent="0.3">
      <c r="X1613" s="74"/>
      <c r="Y1613" s="74"/>
      <c r="Z1613" s="74"/>
      <c r="AA1613" s="74"/>
      <c r="AB1613" s="74"/>
      <c r="AC1613" s="74"/>
      <c r="AN1613" s="74"/>
      <c r="AO1613" s="74"/>
      <c r="AP1613" s="74"/>
      <c r="AQ1613" s="74"/>
      <c r="AR1613" s="74"/>
      <c r="AS1613" s="74"/>
      <c r="BD1613" s="74"/>
      <c r="BE1613" s="74"/>
      <c r="BF1613" s="74"/>
      <c r="BG1613" s="74"/>
      <c r="BH1613" s="74"/>
      <c r="BI1613" s="74"/>
    </row>
    <row r="1614" spans="24:61" x14ac:dyDescent="0.3">
      <c r="X1614" s="74"/>
      <c r="Y1614" s="74"/>
      <c r="Z1614" s="74"/>
      <c r="AA1614" s="74"/>
      <c r="AB1614" s="74"/>
      <c r="AC1614" s="74"/>
      <c r="AN1614" s="74"/>
      <c r="AO1614" s="74"/>
      <c r="AP1614" s="74"/>
      <c r="AQ1614" s="74"/>
      <c r="AR1614" s="74"/>
      <c r="AS1614" s="74"/>
      <c r="BD1614" s="74"/>
      <c r="BE1614" s="74"/>
      <c r="BF1614" s="74"/>
      <c r="BG1614" s="74"/>
      <c r="BH1614" s="74"/>
      <c r="BI1614" s="74"/>
    </row>
    <row r="1615" spans="24:61" x14ac:dyDescent="0.3">
      <c r="X1615" s="74"/>
      <c r="Y1615" s="74"/>
      <c r="Z1615" s="74"/>
      <c r="AA1615" s="74"/>
      <c r="AB1615" s="74"/>
      <c r="AC1615" s="74"/>
      <c r="AN1615" s="74"/>
      <c r="AO1615" s="74"/>
      <c r="AP1615" s="74"/>
      <c r="AQ1615" s="74"/>
      <c r="AR1615" s="74"/>
      <c r="AS1615" s="74"/>
      <c r="BD1615" s="74"/>
      <c r="BE1615" s="74"/>
      <c r="BF1615" s="74"/>
      <c r="BG1615" s="74"/>
      <c r="BH1615" s="74"/>
      <c r="BI1615" s="74"/>
    </row>
    <row r="1616" spans="24:61" x14ac:dyDescent="0.3">
      <c r="X1616" s="74"/>
      <c r="Y1616" s="74"/>
      <c r="Z1616" s="74"/>
      <c r="AA1616" s="74"/>
      <c r="AB1616" s="74"/>
      <c r="AC1616" s="74"/>
      <c r="AN1616" s="74"/>
      <c r="AO1616" s="74"/>
      <c r="AP1616" s="74"/>
      <c r="AQ1616" s="74"/>
      <c r="AR1616" s="74"/>
      <c r="AS1616" s="74"/>
      <c r="BD1616" s="74"/>
      <c r="BE1616" s="74"/>
      <c r="BF1616" s="74"/>
      <c r="BG1616" s="74"/>
      <c r="BH1616" s="74"/>
      <c r="BI1616" s="74"/>
    </row>
    <row r="1617" spans="24:61" x14ac:dyDescent="0.3">
      <c r="X1617" s="74"/>
      <c r="Y1617" s="74"/>
      <c r="Z1617" s="74"/>
      <c r="AA1617" s="74"/>
      <c r="AB1617" s="74"/>
      <c r="AC1617" s="74"/>
      <c r="AN1617" s="74"/>
      <c r="AO1617" s="74"/>
      <c r="AP1617" s="74"/>
      <c r="AQ1617" s="74"/>
      <c r="AR1617" s="74"/>
      <c r="AS1617" s="74"/>
      <c r="BD1617" s="74"/>
      <c r="BE1617" s="74"/>
      <c r="BF1617" s="74"/>
      <c r="BG1617" s="74"/>
      <c r="BH1617" s="74"/>
      <c r="BI1617" s="74"/>
    </row>
    <row r="1618" spans="24:61" x14ac:dyDescent="0.3">
      <c r="X1618" s="74"/>
      <c r="Y1618" s="74"/>
      <c r="Z1618" s="74"/>
      <c r="AA1618" s="74"/>
      <c r="AB1618" s="74"/>
      <c r="AC1618" s="74"/>
      <c r="AN1618" s="74"/>
      <c r="AO1618" s="74"/>
      <c r="AP1618" s="74"/>
      <c r="AQ1618" s="74"/>
      <c r="AR1618" s="74"/>
      <c r="AS1618" s="74"/>
      <c r="BD1618" s="74"/>
      <c r="BE1618" s="74"/>
      <c r="BF1618" s="74"/>
      <c r="BG1618" s="74"/>
      <c r="BH1618" s="74"/>
      <c r="BI1618" s="74"/>
    </row>
    <row r="1619" spans="24:61" x14ac:dyDescent="0.3">
      <c r="X1619" s="74"/>
      <c r="Y1619" s="74"/>
      <c r="Z1619" s="74"/>
      <c r="AA1619" s="74"/>
      <c r="AB1619" s="74"/>
      <c r="AC1619" s="74"/>
      <c r="AN1619" s="74"/>
      <c r="AO1619" s="74"/>
      <c r="AP1619" s="74"/>
      <c r="AQ1619" s="74"/>
      <c r="AR1619" s="74"/>
      <c r="AS1619" s="74"/>
      <c r="BD1619" s="74"/>
      <c r="BE1619" s="74"/>
      <c r="BF1619" s="74"/>
      <c r="BG1619" s="74"/>
      <c r="BH1619" s="74"/>
      <c r="BI1619" s="74"/>
    </row>
    <row r="1620" spans="24:61" x14ac:dyDescent="0.3">
      <c r="X1620" s="74"/>
      <c r="Y1620" s="74"/>
      <c r="Z1620" s="74"/>
      <c r="AA1620" s="74"/>
      <c r="AB1620" s="74"/>
      <c r="AC1620" s="74"/>
      <c r="AN1620" s="74"/>
      <c r="AO1620" s="74"/>
      <c r="AP1620" s="74"/>
      <c r="AQ1620" s="74"/>
      <c r="AR1620" s="74"/>
      <c r="AS1620" s="74"/>
      <c r="BD1620" s="74"/>
      <c r="BE1620" s="74"/>
      <c r="BF1620" s="74"/>
      <c r="BG1620" s="74"/>
      <c r="BH1620" s="74"/>
      <c r="BI1620" s="74"/>
    </row>
    <row r="1621" spans="24:61" x14ac:dyDescent="0.3">
      <c r="X1621" s="74"/>
      <c r="Y1621" s="74"/>
      <c r="Z1621" s="74"/>
      <c r="AA1621" s="74"/>
      <c r="AB1621" s="74"/>
      <c r="AC1621" s="74"/>
      <c r="AN1621" s="74"/>
      <c r="AO1621" s="74"/>
      <c r="AP1621" s="74"/>
      <c r="AQ1621" s="74"/>
      <c r="AR1621" s="74"/>
      <c r="AS1621" s="74"/>
      <c r="BD1621" s="74"/>
      <c r="BE1621" s="74"/>
      <c r="BF1621" s="74"/>
      <c r="BG1621" s="74"/>
      <c r="BH1621" s="74"/>
      <c r="BI1621" s="74"/>
    </row>
    <row r="1622" spans="24:61" x14ac:dyDescent="0.3">
      <c r="X1622" s="74"/>
      <c r="Y1622" s="74"/>
      <c r="Z1622" s="74"/>
      <c r="AA1622" s="74"/>
      <c r="AB1622" s="74"/>
      <c r="AC1622" s="74"/>
      <c r="AN1622" s="74"/>
      <c r="AO1622" s="74"/>
      <c r="AP1622" s="74"/>
      <c r="AQ1622" s="74"/>
      <c r="AR1622" s="74"/>
      <c r="AS1622" s="74"/>
      <c r="BD1622" s="74"/>
      <c r="BE1622" s="74"/>
      <c r="BF1622" s="74"/>
      <c r="BG1622" s="74"/>
      <c r="BH1622" s="74"/>
      <c r="BI1622" s="74"/>
    </row>
    <row r="1623" spans="24:61" x14ac:dyDescent="0.3">
      <c r="X1623" s="74"/>
      <c r="Y1623" s="74"/>
      <c r="Z1623" s="74"/>
      <c r="AA1623" s="74"/>
      <c r="AB1623" s="74"/>
      <c r="AC1623" s="74"/>
      <c r="AN1623" s="74"/>
      <c r="AO1623" s="74"/>
      <c r="AP1623" s="74"/>
      <c r="AQ1623" s="74"/>
      <c r="AR1623" s="74"/>
      <c r="AS1623" s="74"/>
      <c r="BD1623" s="74"/>
      <c r="BE1623" s="74"/>
      <c r="BF1623" s="74"/>
      <c r="BG1623" s="74"/>
      <c r="BH1623" s="74"/>
      <c r="BI1623" s="74"/>
    </row>
    <row r="1624" spans="24:61" x14ac:dyDescent="0.3">
      <c r="X1624" s="74"/>
      <c r="Y1624" s="74"/>
      <c r="Z1624" s="74"/>
      <c r="AA1624" s="74"/>
      <c r="AB1624" s="74"/>
      <c r="AC1624" s="74"/>
      <c r="AN1624" s="74"/>
      <c r="AO1624" s="74"/>
      <c r="AP1624" s="74"/>
      <c r="AQ1624" s="74"/>
      <c r="AR1624" s="74"/>
      <c r="AS1624" s="74"/>
      <c r="BD1624" s="74"/>
      <c r="BE1624" s="74"/>
      <c r="BF1624" s="74"/>
      <c r="BG1624" s="74"/>
      <c r="BH1624" s="74"/>
      <c r="BI1624" s="74"/>
    </row>
    <row r="1625" spans="24:61" x14ac:dyDescent="0.3">
      <c r="X1625" s="74"/>
      <c r="Y1625" s="74"/>
      <c r="Z1625" s="74"/>
      <c r="AA1625" s="74"/>
      <c r="AB1625" s="74"/>
      <c r="AC1625" s="74"/>
      <c r="AN1625" s="74"/>
      <c r="AO1625" s="74"/>
      <c r="AP1625" s="74"/>
      <c r="AQ1625" s="74"/>
      <c r="AR1625" s="74"/>
      <c r="AS1625" s="74"/>
      <c r="BD1625" s="74"/>
      <c r="BE1625" s="74"/>
      <c r="BF1625" s="74"/>
      <c r="BG1625" s="74"/>
      <c r="BH1625" s="74"/>
      <c r="BI1625" s="74"/>
    </row>
    <row r="1626" spans="24:61" x14ac:dyDescent="0.3">
      <c r="X1626" s="74"/>
      <c r="Y1626" s="74"/>
      <c r="Z1626" s="74"/>
      <c r="AA1626" s="74"/>
      <c r="AB1626" s="74"/>
      <c r="AC1626" s="74"/>
      <c r="AN1626" s="74"/>
      <c r="AO1626" s="74"/>
      <c r="AP1626" s="74"/>
      <c r="AQ1626" s="74"/>
      <c r="AR1626" s="74"/>
      <c r="AS1626" s="74"/>
      <c r="BD1626" s="74"/>
      <c r="BE1626" s="74"/>
      <c r="BF1626" s="74"/>
      <c r="BG1626" s="74"/>
      <c r="BH1626" s="74"/>
      <c r="BI1626" s="74"/>
    </row>
    <row r="1627" spans="24:61" x14ac:dyDescent="0.3">
      <c r="X1627" s="74"/>
      <c r="Y1627" s="74"/>
      <c r="Z1627" s="74"/>
      <c r="AA1627" s="74"/>
      <c r="AB1627" s="74"/>
      <c r="AC1627" s="74"/>
      <c r="AN1627" s="74"/>
      <c r="AO1627" s="74"/>
      <c r="AP1627" s="74"/>
      <c r="AQ1627" s="74"/>
      <c r="AR1627" s="74"/>
      <c r="AS1627" s="74"/>
      <c r="BD1627" s="74"/>
      <c r="BE1627" s="74"/>
      <c r="BF1627" s="74"/>
      <c r="BG1627" s="74"/>
      <c r="BH1627" s="74"/>
      <c r="BI1627" s="74"/>
    </row>
    <row r="1628" spans="24:61" x14ac:dyDescent="0.3">
      <c r="X1628" s="74"/>
      <c r="Y1628" s="74"/>
      <c r="Z1628" s="74"/>
      <c r="AA1628" s="74"/>
      <c r="AB1628" s="74"/>
      <c r="AC1628" s="74"/>
      <c r="AN1628" s="74"/>
      <c r="AO1628" s="74"/>
      <c r="AP1628" s="74"/>
      <c r="AQ1628" s="74"/>
      <c r="AR1628" s="74"/>
      <c r="AS1628" s="74"/>
      <c r="BD1628" s="74"/>
      <c r="BE1628" s="74"/>
      <c r="BF1628" s="74"/>
      <c r="BG1628" s="74"/>
      <c r="BH1628" s="74"/>
      <c r="BI1628" s="74"/>
    </row>
    <row r="1629" spans="24:61" x14ac:dyDescent="0.3">
      <c r="X1629" s="74"/>
      <c r="Y1629" s="74"/>
      <c r="Z1629" s="74"/>
      <c r="AA1629" s="74"/>
      <c r="AB1629" s="74"/>
      <c r="AC1629" s="74"/>
      <c r="AN1629" s="74"/>
      <c r="AO1629" s="74"/>
      <c r="AP1629" s="74"/>
      <c r="AQ1629" s="74"/>
      <c r="AR1629" s="74"/>
      <c r="AS1629" s="74"/>
      <c r="BD1629" s="74"/>
      <c r="BE1629" s="74"/>
      <c r="BF1629" s="74"/>
      <c r="BG1629" s="74"/>
      <c r="BH1629" s="74"/>
      <c r="BI1629" s="74"/>
    </row>
    <row r="1630" spans="24:61" x14ac:dyDescent="0.3">
      <c r="X1630" s="74"/>
      <c r="Y1630" s="74"/>
      <c r="Z1630" s="74"/>
      <c r="AA1630" s="74"/>
      <c r="AB1630" s="74"/>
      <c r="AC1630" s="74"/>
      <c r="AN1630" s="74"/>
      <c r="AO1630" s="74"/>
      <c r="AP1630" s="74"/>
      <c r="AQ1630" s="74"/>
      <c r="AR1630" s="74"/>
      <c r="AS1630" s="74"/>
      <c r="BD1630" s="74"/>
      <c r="BE1630" s="74"/>
      <c r="BF1630" s="74"/>
      <c r="BG1630" s="74"/>
      <c r="BH1630" s="74"/>
      <c r="BI1630" s="74"/>
    </row>
    <row r="1631" spans="24:61" x14ac:dyDescent="0.3">
      <c r="X1631" s="74"/>
      <c r="Y1631" s="74"/>
      <c r="Z1631" s="74"/>
      <c r="AA1631" s="74"/>
      <c r="AB1631" s="74"/>
      <c r="AC1631" s="74"/>
      <c r="AN1631" s="74"/>
      <c r="AO1631" s="74"/>
      <c r="AP1631" s="74"/>
      <c r="AQ1631" s="74"/>
      <c r="AR1631" s="74"/>
      <c r="AS1631" s="74"/>
      <c r="BD1631" s="74"/>
      <c r="BE1631" s="74"/>
      <c r="BF1631" s="74"/>
      <c r="BG1631" s="74"/>
      <c r="BH1631" s="74"/>
      <c r="BI1631" s="74"/>
    </row>
    <row r="1632" spans="24:61" x14ac:dyDescent="0.3">
      <c r="X1632" s="74"/>
      <c r="Y1632" s="74"/>
      <c r="Z1632" s="74"/>
      <c r="AA1632" s="74"/>
      <c r="AB1632" s="74"/>
      <c r="AC1632" s="74"/>
      <c r="AN1632" s="74"/>
      <c r="AO1632" s="74"/>
      <c r="AP1632" s="74"/>
      <c r="AQ1632" s="74"/>
      <c r="AR1632" s="74"/>
      <c r="AS1632" s="74"/>
      <c r="BD1632" s="74"/>
      <c r="BE1632" s="74"/>
      <c r="BF1632" s="74"/>
      <c r="BG1632" s="74"/>
      <c r="BH1632" s="74"/>
      <c r="BI1632" s="74"/>
    </row>
    <row r="1633" spans="24:61" x14ac:dyDescent="0.3">
      <c r="X1633" s="74"/>
      <c r="Y1633" s="74"/>
      <c r="Z1633" s="74"/>
      <c r="AA1633" s="74"/>
      <c r="AB1633" s="74"/>
      <c r="AC1633" s="74"/>
      <c r="AN1633" s="74"/>
      <c r="AO1633" s="74"/>
      <c r="AP1633" s="74"/>
      <c r="AQ1633" s="74"/>
      <c r="AR1633" s="74"/>
      <c r="AS1633" s="74"/>
      <c r="BD1633" s="74"/>
      <c r="BE1633" s="74"/>
      <c r="BF1633" s="74"/>
      <c r="BG1633" s="74"/>
      <c r="BH1633" s="74"/>
      <c r="BI1633" s="74"/>
    </row>
    <row r="1634" spans="24:61" x14ac:dyDescent="0.3">
      <c r="X1634" s="74"/>
      <c r="Y1634" s="74"/>
      <c r="Z1634" s="74"/>
      <c r="AA1634" s="74"/>
      <c r="AB1634" s="74"/>
      <c r="AC1634" s="74"/>
      <c r="AN1634" s="74"/>
      <c r="AO1634" s="74"/>
      <c r="AP1634" s="74"/>
      <c r="AQ1634" s="74"/>
      <c r="AR1634" s="74"/>
      <c r="AS1634" s="74"/>
      <c r="BD1634" s="74"/>
      <c r="BE1634" s="74"/>
      <c r="BF1634" s="74"/>
      <c r="BG1634" s="74"/>
      <c r="BH1634" s="74"/>
      <c r="BI1634" s="74"/>
    </row>
    <row r="1635" spans="24:61" x14ac:dyDescent="0.3">
      <c r="X1635" s="74"/>
      <c r="Y1635" s="74"/>
      <c r="Z1635" s="74"/>
      <c r="AA1635" s="74"/>
      <c r="AB1635" s="74"/>
      <c r="AC1635" s="74"/>
      <c r="AN1635" s="74"/>
      <c r="AO1635" s="74"/>
      <c r="AP1635" s="74"/>
      <c r="AQ1635" s="74"/>
      <c r="AR1635" s="74"/>
      <c r="AS1635" s="74"/>
      <c r="BD1635" s="74"/>
      <c r="BE1635" s="74"/>
      <c r="BF1635" s="74"/>
      <c r="BG1635" s="74"/>
      <c r="BH1635" s="74"/>
      <c r="BI1635" s="74"/>
    </row>
    <row r="1636" spans="24:61" x14ac:dyDescent="0.3">
      <c r="X1636" s="74"/>
      <c r="Y1636" s="74"/>
      <c r="Z1636" s="74"/>
      <c r="AA1636" s="74"/>
      <c r="AB1636" s="74"/>
      <c r="AC1636" s="74"/>
      <c r="AN1636" s="74"/>
      <c r="AO1636" s="74"/>
      <c r="AP1636" s="74"/>
      <c r="AQ1636" s="74"/>
      <c r="AR1636" s="74"/>
      <c r="AS1636" s="74"/>
      <c r="BD1636" s="74"/>
      <c r="BE1636" s="74"/>
      <c r="BF1636" s="74"/>
      <c r="BG1636" s="74"/>
      <c r="BH1636" s="74"/>
      <c r="BI1636" s="74"/>
    </row>
    <row r="1637" spans="24:61" x14ac:dyDescent="0.3">
      <c r="X1637" s="74"/>
      <c r="Y1637" s="74"/>
      <c r="Z1637" s="74"/>
      <c r="AA1637" s="74"/>
      <c r="AB1637" s="74"/>
      <c r="AC1637" s="74"/>
      <c r="AN1637" s="74"/>
      <c r="AO1637" s="74"/>
      <c r="AP1637" s="74"/>
      <c r="AQ1637" s="74"/>
      <c r="AR1637" s="74"/>
      <c r="AS1637" s="74"/>
      <c r="BD1637" s="74"/>
      <c r="BE1637" s="74"/>
      <c r="BF1637" s="74"/>
      <c r="BG1637" s="74"/>
      <c r="BH1637" s="74"/>
      <c r="BI1637" s="74"/>
    </row>
    <row r="1638" spans="24:61" x14ac:dyDescent="0.3">
      <c r="X1638" s="74"/>
      <c r="Y1638" s="74"/>
      <c r="Z1638" s="74"/>
      <c r="AA1638" s="74"/>
      <c r="AB1638" s="74"/>
      <c r="AC1638" s="74"/>
      <c r="AN1638" s="74"/>
      <c r="AO1638" s="74"/>
      <c r="AP1638" s="74"/>
      <c r="AQ1638" s="74"/>
      <c r="AR1638" s="74"/>
      <c r="AS1638" s="74"/>
      <c r="BD1638" s="74"/>
      <c r="BE1638" s="74"/>
      <c r="BF1638" s="74"/>
      <c r="BG1638" s="74"/>
      <c r="BH1638" s="74"/>
      <c r="BI1638" s="74"/>
    </row>
    <row r="1639" spans="24:61" x14ac:dyDescent="0.3">
      <c r="X1639" s="74"/>
      <c r="Y1639" s="74"/>
      <c r="Z1639" s="74"/>
      <c r="AA1639" s="74"/>
      <c r="AB1639" s="74"/>
      <c r="AC1639" s="74"/>
      <c r="AN1639" s="74"/>
      <c r="AO1639" s="74"/>
      <c r="AP1639" s="74"/>
      <c r="AQ1639" s="74"/>
      <c r="AR1639" s="74"/>
      <c r="AS1639" s="74"/>
      <c r="BD1639" s="74"/>
      <c r="BE1639" s="74"/>
      <c r="BF1639" s="74"/>
      <c r="BG1639" s="74"/>
      <c r="BH1639" s="74"/>
      <c r="BI1639" s="74"/>
    </row>
    <row r="1640" spans="24:61" x14ac:dyDescent="0.3">
      <c r="X1640" s="74"/>
      <c r="Y1640" s="74"/>
      <c r="Z1640" s="74"/>
      <c r="AA1640" s="74"/>
      <c r="AB1640" s="74"/>
      <c r="AC1640" s="74"/>
      <c r="AN1640" s="74"/>
      <c r="AO1640" s="74"/>
      <c r="AP1640" s="74"/>
      <c r="AQ1640" s="74"/>
      <c r="AR1640" s="74"/>
      <c r="AS1640" s="74"/>
      <c r="BD1640" s="74"/>
      <c r="BE1640" s="74"/>
      <c r="BF1640" s="74"/>
      <c r="BG1640" s="74"/>
      <c r="BH1640" s="74"/>
      <c r="BI1640" s="74"/>
    </row>
    <row r="1641" spans="24:61" x14ac:dyDescent="0.3">
      <c r="X1641" s="74"/>
      <c r="Y1641" s="74"/>
      <c r="Z1641" s="74"/>
      <c r="AA1641" s="74"/>
      <c r="AB1641" s="74"/>
      <c r="AC1641" s="74"/>
      <c r="AN1641" s="74"/>
      <c r="AO1641" s="74"/>
      <c r="AP1641" s="74"/>
      <c r="AQ1641" s="74"/>
      <c r="AR1641" s="74"/>
      <c r="AS1641" s="74"/>
      <c r="BD1641" s="74"/>
      <c r="BE1641" s="74"/>
      <c r="BF1641" s="74"/>
      <c r="BG1641" s="74"/>
      <c r="BH1641" s="74"/>
      <c r="BI1641" s="74"/>
    </row>
    <row r="1642" spans="24:61" x14ac:dyDescent="0.3">
      <c r="X1642" s="74"/>
      <c r="Y1642" s="74"/>
      <c r="Z1642" s="74"/>
      <c r="AA1642" s="74"/>
      <c r="AB1642" s="74"/>
      <c r="AC1642" s="74"/>
      <c r="AN1642" s="74"/>
      <c r="AO1642" s="74"/>
      <c r="AP1642" s="74"/>
      <c r="AQ1642" s="74"/>
      <c r="AR1642" s="74"/>
      <c r="AS1642" s="74"/>
      <c r="BD1642" s="74"/>
      <c r="BE1642" s="74"/>
      <c r="BF1642" s="74"/>
      <c r="BG1642" s="74"/>
      <c r="BH1642" s="74"/>
      <c r="BI1642" s="74"/>
    </row>
    <row r="1643" spans="24:61" x14ac:dyDescent="0.3">
      <c r="X1643" s="74"/>
      <c r="Y1643" s="74"/>
      <c r="Z1643" s="74"/>
      <c r="AA1643" s="74"/>
      <c r="AB1643" s="74"/>
      <c r="AC1643" s="74"/>
      <c r="AN1643" s="74"/>
      <c r="AO1643" s="74"/>
      <c r="AP1643" s="74"/>
      <c r="AQ1643" s="74"/>
      <c r="AR1643" s="74"/>
      <c r="AS1643" s="74"/>
      <c r="BD1643" s="74"/>
      <c r="BE1643" s="74"/>
      <c r="BF1643" s="74"/>
      <c r="BG1643" s="74"/>
      <c r="BH1643" s="74"/>
      <c r="BI1643" s="74"/>
    </row>
    <row r="1644" spans="24:61" x14ac:dyDescent="0.3">
      <c r="X1644" s="74"/>
      <c r="Y1644" s="74"/>
      <c r="Z1644" s="74"/>
      <c r="AA1644" s="74"/>
      <c r="AB1644" s="74"/>
      <c r="AC1644" s="74"/>
      <c r="AN1644" s="74"/>
      <c r="AO1644" s="74"/>
      <c r="AP1644" s="74"/>
      <c r="AQ1644" s="74"/>
      <c r="AR1644" s="74"/>
      <c r="AS1644" s="74"/>
      <c r="BD1644" s="74"/>
      <c r="BE1644" s="74"/>
      <c r="BF1644" s="74"/>
      <c r="BG1644" s="74"/>
      <c r="BH1644" s="74"/>
      <c r="BI1644" s="74"/>
    </row>
    <row r="1645" spans="24:61" x14ac:dyDescent="0.3">
      <c r="X1645" s="74"/>
      <c r="Y1645" s="74"/>
      <c r="Z1645" s="74"/>
      <c r="AA1645" s="74"/>
      <c r="AB1645" s="74"/>
      <c r="AC1645" s="74"/>
      <c r="AN1645" s="74"/>
      <c r="AO1645" s="74"/>
      <c r="AP1645" s="74"/>
      <c r="AQ1645" s="74"/>
      <c r="AR1645" s="74"/>
      <c r="AS1645" s="74"/>
      <c r="BD1645" s="74"/>
      <c r="BE1645" s="74"/>
      <c r="BF1645" s="74"/>
      <c r="BG1645" s="74"/>
      <c r="BH1645" s="74"/>
      <c r="BI1645" s="74"/>
    </row>
    <row r="1646" spans="24:61" x14ac:dyDescent="0.3">
      <c r="X1646" s="74"/>
      <c r="Y1646" s="74"/>
      <c r="Z1646" s="74"/>
      <c r="AA1646" s="74"/>
      <c r="AB1646" s="74"/>
      <c r="AC1646" s="74"/>
      <c r="AN1646" s="74"/>
      <c r="AO1646" s="74"/>
      <c r="AP1646" s="74"/>
      <c r="AQ1646" s="74"/>
      <c r="AR1646" s="74"/>
      <c r="AS1646" s="74"/>
      <c r="BD1646" s="74"/>
      <c r="BE1646" s="74"/>
      <c r="BF1646" s="74"/>
      <c r="BG1646" s="74"/>
      <c r="BH1646" s="74"/>
      <c r="BI1646" s="74"/>
    </row>
    <row r="1647" spans="24:61" x14ac:dyDescent="0.3">
      <c r="X1647" s="74"/>
      <c r="Y1647" s="74"/>
      <c r="Z1647" s="74"/>
      <c r="AA1647" s="74"/>
      <c r="AB1647" s="74"/>
      <c r="AC1647" s="74"/>
      <c r="AN1647" s="74"/>
      <c r="AO1647" s="74"/>
      <c r="AP1647" s="74"/>
      <c r="AQ1647" s="74"/>
      <c r="AR1647" s="74"/>
      <c r="AS1647" s="74"/>
      <c r="BD1647" s="74"/>
      <c r="BE1647" s="74"/>
      <c r="BF1647" s="74"/>
      <c r="BG1647" s="74"/>
      <c r="BH1647" s="74"/>
      <c r="BI1647" s="74"/>
    </row>
    <row r="1648" spans="24:61" x14ac:dyDescent="0.3">
      <c r="X1648" s="74"/>
      <c r="Y1648" s="74"/>
      <c r="Z1648" s="74"/>
      <c r="AA1648" s="74"/>
      <c r="AB1648" s="74"/>
      <c r="AC1648" s="74"/>
      <c r="AN1648" s="74"/>
      <c r="AO1648" s="74"/>
      <c r="AP1648" s="74"/>
      <c r="AQ1648" s="74"/>
      <c r="AR1648" s="74"/>
      <c r="AS1648" s="74"/>
      <c r="BD1648" s="74"/>
      <c r="BE1648" s="74"/>
      <c r="BF1648" s="74"/>
      <c r="BG1648" s="74"/>
      <c r="BH1648" s="74"/>
      <c r="BI1648" s="74"/>
    </row>
    <row r="1649" spans="24:61" x14ac:dyDescent="0.3">
      <c r="X1649" s="74"/>
      <c r="Y1649" s="74"/>
      <c r="Z1649" s="74"/>
      <c r="AA1649" s="74"/>
      <c r="AB1649" s="74"/>
      <c r="AC1649" s="74"/>
      <c r="AN1649" s="74"/>
      <c r="AO1649" s="74"/>
      <c r="AP1649" s="74"/>
      <c r="AQ1649" s="74"/>
      <c r="AR1649" s="74"/>
      <c r="AS1649" s="74"/>
      <c r="BD1649" s="74"/>
      <c r="BE1649" s="74"/>
      <c r="BF1649" s="74"/>
      <c r="BG1649" s="74"/>
      <c r="BH1649" s="74"/>
      <c r="BI1649" s="74"/>
    </row>
    <row r="1650" spans="24:61" x14ac:dyDescent="0.3">
      <c r="X1650" s="74"/>
      <c r="Y1650" s="74"/>
      <c r="Z1650" s="74"/>
      <c r="AA1650" s="74"/>
      <c r="AB1650" s="74"/>
      <c r="AC1650" s="74"/>
      <c r="AN1650" s="74"/>
      <c r="AO1650" s="74"/>
      <c r="AP1650" s="74"/>
      <c r="AQ1650" s="74"/>
      <c r="AR1650" s="74"/>
      <c r="AS1650" s="74"/>
      <c r="BD1650" s="74"/>
      <c r="BE1650" s="74"/>
      <c r="BF1650" s="74"/>
      <c r="BG1650" s="74"/>
      <c r="BH1650" s="74"/>
      <c r="BI1650" s="74"/>
    </row>
    <row r="1651" spans="24:61" x14ac:dyDescent="0.3">
      <c r="X1651" s="74"/>
      <c r="Y1651" s="74"/>
      <c r="Z1651" s="74"/>
      <c r="AA1651" s="74"/>
      <c r="AB1651" s="74"/>
      <c r="AC1651" s="74"/>
      <c r="AN1651" s="74"/>
      <c r="AO1651" s="74"/>
      <c r="AP1651" s="74"/>
      <c r="AQ1651" s="74"/>
      <c r="AR1651" s="74"/>
      <c r="AS1651" s="74"/>
      <c r="BD1651" s="74"/>
      <c r="BE1651" s="74"/>
      <c r="BF1651" s="74"/>
      <c r="BG1651" s="74"/>
      <c r="BH1651" s="74"/>
      <c r="BI1651" s="74"/>
    </row>
    <row r="1652" spans="24:61" x14ac:dyDescent="0.3">
      <c r="X1652" s="74"/>
      <c r="Y1652" s="74"/>
      <c r="Z1652" s="74"/>
      <c r="AA1652" s="74"/>
      <c r="AB1652" s="74"/>
      <c r="AC1652" s="74"/>
      <c r="AN1652" s="74"/>
      <c r="AO1652" s="74"/>
      <c r="AP1652" s="74"/>
      <c r="AQ1652" s="74"/>
      <c r="AR1652" s="74"/>
      <c r="AS1652" s="74"/>
      <c r="BD1652" s="74"/>
      <c r="BE1652" s="74"/>
      <c r="BF1652" s="74"/>
      <c r="BG1652" s="74"/>
      <c r="BH1652" s="74"/>
      <c r="BI1652" s="74"/>
    </row>
    <row r="1653" spans="24:61" x14ac:dyDescent="0.3">
      <c r="X1653" s="74"/>
      <c r="Y1653" s="74"/>
      <c r="Z1653" s="74"/>
      <c r="AA1653" s="74"/>
      <c r="AB1653" s="74"/>
      <c r="AC1653" s="74"/>
      <c r="AN1653" s="74"/>
      <c r="AO1653" s="74"/>
      <c r="AP1653" s="74"/>
      <c r="AQ1653" s="74"/>
      <c r="AR1653" s="74"/>
      <c r="AS1653" s="74"/>
      <c r="BD1653" s="74"/>
      <c r="BE1653" s="74"/>
      <c r="BF1653" s="74"/>
      <c r="BG1653" s="74"/>
      <c r="BH1653" s="74"/>
      <c r="BI1653" s="74"/>
    </row>
    <row r="1654" spans="24:61" x14ac:dyDescent="0.3">
      <c r="X1654" s="74"/>
      <c r="Y1654" s="74"/>
      <c r="Z1654" s="74"/>
      <c r="AA1654" s="74"/>
      <c r="AB1654" s="74"/>
      <c r="AC1654" s="74"/>
      <c r="AN1654" s="74"/>
      <c r="AO1654" s="74"/>
      <c r="AP1654" s="74"/>
      <c r="AQ1654" s="74"/>
      <c r="AR1654" s="74"/>
      <c r="AS1654" s="74"/>
      <c r="BD1654" s="74"/>
      <c r="BE1654" s="74"/>
      <c r="BF1654" s="74"/>
      <c r="BG1654" s="74"/>
      <c r="BH1654" s="74"/>
      <c r="BI1654" s="74"/>
    </row>
    <row r="1655" spans="24:61" x14ac:dyDescent="0.3">
      <c r="X1655" s="74"/>
      <c r="Y1655" s="74"/>
      <c r="Z1655" s="74"/>
      <c r="AA1655" s="74"/>
      <c r="AB1655" s="74"/>
      <c r="AC1655" s="74"/>
      <c r="AN1655" s="74"/>
      <c r="AO1655" s="74"/>
      <c r="AP1655" s="74"/>
      <c r="AQ1655" s="74"/>
      <c r="AR1655" s="74"/>
      <c r="AS1655" s="74"/>
      <c r="BD1655" s="74"/>
      <c r="BE1655" s="74"/>
      <c r="BF1655" s="74"/>
      <c r="BG1655" s="74"/>
      <c r="BH1655" s="74"/>
      <c r="BI1655" s="74"/>
    </row>
    <row r="1656" spans="24:61" x14ac:dyDescent="0.3">
      <c r="X1656" s="74"/>
      <c r="Y1656" s="74"/>
      <c r="Z1656" s="74"/>
      <c r="AA1656" s="74"/>
      <c r="AB1656" s="74"/>
      <c r="AC1656" s="74"/>
      <c r="AN1656" s="74"/>
      <c r="AO1656" s="74"/>
      <c r="AP1656" s="74"/>
      <c r="AQ1656" s="74"/>
      <c r="AR1656" s="74"/>
      <c r="AS1656" s="74"/>
      <c r="BD1656" s="74"/>
      <c r="BE1656" s="74"/>
      <c r="BF1656" s="74"/>
      <c r="BG1656" s="74"/>
      <c r="BH1656" s="74"/>
      <c r="BI1656" s="74"/>
    </row>
    <row r="1657" spans="24:61" x14ac:dyDescent="0.3">
      <c r="X1657" s="74"/>
      <c r="Y1657" s="74"/>
      <c r="Z1657" s="74"/>
      <c r="AA1657" s="74"/>
      <c r="AB1657" s="74"/>
      <c r="AC1657" s="74"/>
      <c r="AN1657" s="74"/>
      <c r="AO1657" s="74"/>
      <c r="AP1657" s="74"/>
      <c r="AQ1657" s="74"/>
      <c r="AR1657" s="74"/>
      <c r="AS1657" s="74"/>
      <c r="BD1657" s="74"/>
      <c r="BE1657" s="74"/>
      <c r="BF1657" s="74"/>
      <c r="BG1657" s="74"/>
      <c r="BH1657" s="74"/>
      <c r="BI1657" s="74"/>
    </row>
    <row r="1658" spans="24:61" x14ac:dyDescent="0.3">
      <c r="X1658" s="74"/>
      <c r="Y1658" s="74"/>
      <c r="Z1658" s="74"/>
      <c r="AA1658" s="74"/>
      <c r="AB1658" s="74"/>
      <c r="AC1658" s="74"/>
      <c r="AN1658" s="74"/>
      <c r="AO1658" s="74"/>
      <c r="AP1658" s="74"/>
      <c r="AQ1658" s="74"/>
      <c r="AR1658" s="74"/>
      <c r="AS1658" s="74"/>
      <c r="BD1658" s="74"/>
      <c r="BE1658" s="74"/>
      <c r="BF1658" s="74"/>
      <c r="BG1658" s="74"/>
      <c r="BH1658" s="74"/>
      <c r="BI1658" s="74"/>
    </row>
    <row r="1659" spans="24:61" x14ac:dyDescent="0.3">
      <c r="X1659" s="74"/>
      <c r="Y1659" s="74"/>
      <c r="Z1659" s="74"/>
      <c r="AA1659" s="74"/>
      <c r="AB1659" s="74"/>
      <c r="AC1659" s="74"/>
      <c r="AN1659" s="74"/>
      <c r="AO1659" s="74"/>
      <c r="AP1659" s="74"/>
      <c r="AQ1659" s="74"/>
      <c r="AR1659" s="74"/>
      <c r="AS1659" s="74"/>
      <c r="BD1659" s="74"/>
      <c r="BE1659" s="74"/>
      <c r="BF1659" s="74"/>
      <c r="BG1659" s="74"/>
      <c r="BH1659" s="74"/>
      <c r="BI1659" s="74"/>
    </row>
    <row r="1660" spans="24:61" x14ac:dyDescent="0.3">
      <c r="X1660" s="74"/>
      <c r="Y1660" s="74"/>
      <c r="Z1660" s="74"/>
      <c r="AA1660" s="74"/>
      <c r="AB1660" s="74"/>
      <c r="AC1660" s="74"/>
      <c r="AN1660" s="74"/>
      <c r="AO1660" s="74"/>
      <c r="AP1660" s="74"/>
      <c r="AQ1660" s="74"/>
      <c r="AR1660" s="74"/>
      <c r="AS1660" s="74"/>
      <c r="BD1660" s="74"/>
      <c r="BE1660" s="74"/>
      <c r="BF1660" s="74"/>
      <c r="BG1660" s="74"/>
      <c r="BH1660" s="74"/>
      <c r="BI1660" s="74"/>
    </row>
    <row r="1661" spans="24:61" x14ac:dyDescent="0.3">
      <c r="X1661" s="74"/>
      <c r="Y1661" s="74"/>
      <c r="Z1661" s="74"/>
      <c r="AA1661" s="74"/>
      <c r="AB1661" s="74"/>
      <c r="AC1661" s="74"/>
      <c r="AN1661" s="74"/>
      <c r="AO1661" s="74"/>
      <c r="AP1661" s="74"/>
      <c r="AQ1661" s="74"/>
      <c r="AR1661" s="74"/>
      <c r="AS1661" s="74"/>
      <c r="BD1661" s="74"/>
      <c r="BE1661" s="74"/>
      <c r="BF1661" s="74"/>
      <c r="BG1661" s="74"/>
      <c r="BH1661" s="74"/>
      <c r="BI1661" s="74"/>
    </row>
    <row r="1662" spans="24:61" x14ac:dyDescent="0.3">
      <c r="X1662" s="74"/>
      <c r="Y1662" s="74"/>
      <c r="Z1662" s="74"/>
      <c r="AA1662" s="74"/>
      <c r="AB1662" s="74"/>
      <c r="AC1662" s="74"/>
      <c r="AN1662" s="74"/>
      <c r="AO1662" s="74"/>
      <c r="AP1662" s="74"/>
      <c r="AQ1662" s="74"/>
      <c r="AR1662" s="74"/>
      <c r="AS1662" s="74"/>
      <c r="BD1662" s="74"/>
      <c r="BE1662" s="74"/>
      <c r="BF1662" s="74"/>
      <c r="BG1662" s="74"/>
      <c r="BH1662" s="74"/>
      <c r="BI1662" s="74"/>
    </row>
    <row r="1663" spans="24:61" x14ac:dyDescent="0.3">
      <c r="X1663" s="74"/>
      <c r="Y1663" s="74"/>
      <c r="Z1663" s="74"/>
      <c r="AA1663" s="74"/>
      <c r="AB1663" s="74"/>
      <c r="AC1663" s="74"/>
      <c r="AN1663" s="74"/>
      <c r="AO1663" s="74"/>
      <c r="AP1663" s="74"/>
      <c r="AQ1663" s="74"/>
      <c r="AR1663" s="74"/>
      <c r="AS1663" s="74"/>
      <c r="BD1663" s="74"/>
      <c r="BE1663" s="74"/>
      <c r="BF1663" s="74"/>
      <c r="BG1663" s="74"/>
      <c r="BH1663" s="74"/>
      <c r="BI1663" s="74"/>
    </row>
    <row r="1664" spans="24:61" x14ac:dyDescent="0.3">
      <c r="X1664" s="74"/>
      <c r="Y1664" s="74"/>
      <c r="Z1664" s="74"/>
      <c r="AA1664" s="74"/>
      <c r="AB1664" s="74"/>
      <c r="AC1664" s="74"/>
      <c r="AN1664" s="74"/>
      <c r="AO1664" s="74"/>
      <c r="AP1664" s="74"/>
      <c r="AQ1664" s="74"/>
      <c r="AR1664" s="74"/>
      <c r="AS1664" s="74"/>
      <c r="BD1664" s="74"/>
      <c r="BE1664" s="74"/>
      <c r="BF1664" s="74"/>
      <c r="BG1664" s="74"/>
      <c r="BH1664" s="74"/>
      <c r="BI1664" s="74"/>
    </row>
    <row r="1665" spans="24:61" x14ac:dyDescent="0.3">
      <c r="X1665" s="74"/>
      <c r="Y1665" s="74"/>
      <c r="Z1665" s="74"/>
      <c r="AA1665" s="74"/>
      <c r="AB1665" s="74"/>
      <c r="AC1665" s="74"/>
      <c r="AN1665" s="74"/>
      <c r="AO1665" s="74"/>
      <c r="AP1665" s="74"/>
      <c r="AQ1665" s="74"/>
      <c r="AR1665" s="74"/>
      <c r="AS1665" s="74"/>
      <c r="BD1665" s="74"/>
      <c r="BE1665" s="74"/>
      <c r="BF1665" s="74"/>
      <c r="BG1665" s="74"/>
      <c r="BH1665" s="74"/>
      <c r="BI1665" s="74"/>
    </row>
    <row r="1666" spans="24:61" x14ac:dyDescent="0.3">
      <c r="X1666" s="74"/>
      <c r="Y1666" s="74"/>
      <c r="Z1666" s="74"/>
      <c r="AA1666" s="74"/>
      <c r="AB1666" s="74"/>
      <c r="AC1666" s="74"/>
      <c r="AN1666" s="74"/>
      <c r="AO1666" s="74"/>
      <c r="AP1666" s="74"/>
      <c r="AQ1666" s="74"/>
      <c r="AR1666" s="74"/>
      <c r="AS1666" s="74"/>
      <c r="BD1666" s="74"/>
      <c r="BE1666" s="74"/>
      <c r="BF1666" s="74"/>
      <c r="BG1666" s="74"/>
      <c r="BH1666" s="74"/>
      <c r="BI1666" s="74"/>
    </row>
    <row r="1667" spans="24:61" x14ac:dyDescent="0.3">
      <c r="X1667" s="74"/>
      <c r="Y1667" s="74"/>
      <c r="Z1667" s="74"/>
      <c r="AA1667" s="74"/>
      <c r="AB1667" s="74"/>
      <c r="AC1667" s="74"/>
      <c r="AN1667" s="74"/>
      <c r="AO1667" s="74"/>
      <c r="AP1667" s="74"/>
      <c r="AQ1667" s="74"/>
      <c r="AR1667" s="74"/>
      <c r="AS1667" s="74"/>
      <c r="BD1667" s="74"/>
      <c r="BE1667" s="74"/>
      <c r="BF1667" s="74"/>
      <c r="BG1667" s="74"/>
      <c r="BH1667" s="74"/>
      <c r="BI1667" s="74"/>
    </row>
    <row r="1668" spans="24:61" x14ac:dyDescent="0.3">
      <c r="X1668" s="74"/>
      <c r="Y1668" s="74"/>
      <c r="Z1668" s="74"/>
      <c r="AA1668" s="74"/>
      <c r="AB1668" s="74"/>
      <c r="AC1668" s="74"/>
      <c r="AN1668" s="74"/>
      <c r="AO1668" s="74"/>
      <c r="AP1668" s="74"/>
      <c r="AQ1668" s="74"/>
      <c r="AR1668" s="74"/>
      <c r="AS1668" s="74"/>
      <c r="BD1668" s="74"/>
      <c r="BE1668" s="74"/>
      <c r="BF1668" s="74"/>
      <c r="BG1668" s="74"/>
      <c r="BH1668" s="74"/>
      <c r="BI1668" s="74"/>
    </row>
    <row r="1669" spans="24:61" x14ac:dyDescent="0.3">
      <c r="X1669" s="74"/>
      <c r="Y1669" s="74"/>
      <c r="Z1669" s="74"/>
      <c r="AA1669" s="74"/>
      <c r="AB1669" s="74"/>
      <c r="AC1669" s="74"/>
      <c r="AN1669" s="74"/>
      <c r="AO1669" s="74"/>
      <c r="AP1669" s="74"/>
      <c r="AQ1669" s="74"/>
      <c r="AR1669" s="74"/>
      <c r="AS1669" s="74"/>
      <c r="BD1669" s="74"/>
      <c r="BE1669" s="74"/>
      <c r="BF1669" s="74"/>
      <c r="BG1669" s="74"/>
      <c r="BH1669" s="74"/>
      <c r="BI1669" s="74"/>
    </row>
    <row r="1670" spans="24:61" x14ac:dyDescent="0.3">
      <c r="X1670" s="74"/>
      <c r="Y1670" s="74"/>
      <c r="Z1670" s="74"/>
      <c r="AA1670" s="74"/>
      <c r="AB1670" s="74"/>
      <c r="AC1670" s="74"/>
      <c r="AN1670" s="74"/>
      <c r="AO1670" s="74"/>
      <c r="AP1670" s="74"/>
      <c r="AQ1670" s="74"/>
      <c r="AR1670" s="74"/>
      <c r="AS1670" s="74"/>
      <c r="BD1670" s="74"/>
      <c r="BE1670" s="74"/>
      <c r="BF1670" s="74"/>
      <c r="BG1670" s="74"/>
      <c r="BH1670" s="74"/>
      <c r="BI1670" s="74"/>
    </row>
    <row r="1671" spans="24:61" x14ac:dyDescent="0.3">
      <c r="X1671" s="74"/>
      <c r="Y1671" s="74"/>
      <c r="Z1671" s="74"/>
      <c r="AA1671" s="74"/>
      <c r="AB1671" s="74"/>
      <c r="AC1671" s="74"/>
      <c r="AN1671" s="74"/>
      <c r="AO1671" s="74"/>
      <c r="AP1671" s="74"/>
      <c r="AQ1671" s="74"/>
      <c r="AR1671" s="74"/>
      <c r="AS1671" s="74"/>
      <c r="BD1671" s="74"/>
      <c r="BE1671" s="74"/>
      <c r="BF1671" s="74"/>
      <c r="BG1671" s="74"/>
      <c r="BH1671" s="74"/>
      <c r="BI1671" s="74"/>
    </row>
    <row r="1672" spans="24:61" x14ac:dyDescent="0.3">
      <c r="X1672" s="74"/>
      <c r="Y1672" s="74"/>
      <c r="Z1672" s="74"/>
      <c r="AA1672" s="74"/>
      <c r="AB1672" s="74"/>
      <c r="AC1672" s="74"/>
      <c r="AN1672" s="74"/>
      <c r="AO1672" s="74"/>
      <c r="AP1672" s="74"/>
      <c r="AQ1672" s="74"/>
      <c r="AR1672" s="74"/>
      <c r="AS1672" s="74"/>
      <c r="BD1672" s="74"/>
      <c r="BE1672" s="74"/>
      <c r="BF1672" s="74"/>
      <c r="BG1672" s="74"/>
      <c r="BH1672" s="74"/>
      <c r="BI1672" s="74"/>
    </row>
    <row r="1673" spans="24:61" x14ac:dyDescent="0.3">
      <c r="X1673" s="74"/>
      <c r="Y1673" s="74"/>
      <c r="Z1673" s="74"/>
      <c r="AA1673" s="74"/>
      <c r="AB1673" s="74"/>
      <c r="AC1673" s="74"/>
      <c r="AN1673" s="74"/>
      <c r="AO1673" s="74"/>
      <c r="AP1673" s="74"/>
      <c r="AQ1673" s="74"/>
      <c r="AR1673" s="74"/>
      <c r="AS1673" s="74"/>
      <c r="BD1673" s="74"/>
      <c r="BE1673" s="74"/>
      <c r="BF1673" s="74"/>
      <c r="BG1673" s="74"/>
      <c r="BH1673" s="74"/>
      <c r="BI1673" s="74"/>
    </row>
    <row r="1674" spans="24:61" x14ac:dyDescent="0.3">
      <c r="X1674" s="74"/>
      <c r="Y1674" s="74"/>
      <c r="Z1674" s="74"/>
      <c r="AA1674" s="74"/>
      <c r="AB1674" s="74"/>
      <c r="AC1674" s="74"/>
      <c r="AN1674" s="74"/>
      <c r="AO1674" s="74"/>
      <c r="AP1674" s="74"/>
      <c r="AQ1674" s="74"/>
      <c r="AR1674" s="74"/>
      <c r="AS1674" s="74"/>
      <c r="BD1674" s="74"/>
      <c r="BE1674" s="74"/>
      <c r="BF1674" s="74"/>
      <c r="BG1674" s="74"/>
      <c r="BH1674" s="74"/>
      <c r="BI1674" s="74"/>
    </row>
    <row r="1675" spans="24:61" x14ac:dyDescent="0.3">
      <c r="X1675" s="74"/>
      <c r="Y1675" s="74"/>
      <c r="Z1675" s="74"/>
      <c r="AA1675" s="74"/>
      <c r="AB1675" s="74"/>
      <c r="AC1675" s="74"/>
      <c r="AN1675" s="74"/>
      <c r="AO1675" s="74"/>
      <c r="AP1675" s="74"/>
      <c r="AQ1675" s="74"/>
      <c r="AR1675" s="74"/>
      <c r="AS1675" s="74"/>
      <c r="BD1675" s="74"/>
      <c r="BE1675" s="74"/>
      <c r="BF1675" s="74"/>
      <c r="BG1675" s="74"/>
      <c r="BH1675" s="74"/>
      <c r="BI1675" s="74"/>
    </row>
    <row r="1676" spans="24:61" x14ac:dyDescent="0.3">
      <c r="X1676" s="74"/>
      <c r="Y1676" s="74"/>
      <c r="Z1676" s="74"/>
      <c r="AA1676" s="74"/>
      <c r="AB1676" s="74"/>
      <c r="AC1676" s="74"/>
      <c r="AN1676" s="74"/>
      <c r="AO1676" s="74"/>
      <c r="AP1676" s="74"/>
      <c r="AQ1676" s="74"/>
      <c r="AR1676" s="74"/>
      <c r="AS1676" s="74"/>
      <c r="BD1676" s="74"/>
      <c r="BE1676" s="74"/>
      <c r="BF1676" s="74"/>
      <c r="BG1676" s="74"/>
      <c r="BH1676" s="74"/>
      <c r="BI1676" s="74"/>
    </row>
    <row r="1677" spans="24:61" x14ac:dyDescent="0.3">
      <c r="X1677" s="74"/>
      <c r="Y1677" s="74"/>
      <c r="Z1677" s="74"/>
      <c r="AA1677" s="74"/>
      <c r="AB1677" s="74"/>
      <c r="AC1677" s="74"/>
      <c r="AN1677" s="74"/>
      <c r="AO1677" s="74"/>
      <c r="AP1677" s="74"/>
      <c r="AQ1677" s="74"/>
      <c r="AR1677" s="74"/>
      <c r="AS1677" s="74"/>
      <c r="BD1677" s="74"/>
      <c r="BE1677" s="74"/>
      <c r="BF1677" s="74"/>
      <c r="BG1677" s="74"/>
      <c r="BH1677" s="74"/>
      <c r="BI1677" s="74"/>
    </row>
    <row r="1678" spans="24:61" x14ac:dyDescent="0.3">
      <c r="X1678" s="74"/>
      <c r="Y1678" s="74"/>
      <c r="Z1678" s="74"/>
      <c r="AA1678" s="74"/>
      <c r="AB1678" s="74"/>
      <c r="AC1678" s="74"/>
      <c r="AN1678" s="74"/>
      <c r="AO1678" s="74"/>
      <c r="AP1678" s="74"/>
      <c r="AQ1678" s="74"/>
      <c r="AR1678" s="74"/>
      <c r="AS1678" s="74"/>
      <c r="BD1678" s="74"/>
      <c r="BE1678" s="74"/>
      <c r="BF1678" s="74"/>
      <c r="BG1678" s="74"/>
      <c r="BH1678" s="74"/>
      <c r="BI1678" s="74"/>
    </row>
    <row r="1679" spans="24:61" x14ac:dyDescent="0.3">
      <c r="X1679" s="74"/>
      <c r="Y1679" s="74"/>
      <c r="Z1679" s="74"/>
      <c r="AA1679" s="74"/>
      <c r="AB1679" s="74"/>
      <c r="AC1679" s="74"/>
      <c r="AN1679" s="74"/>
      <c r="AO1679" s="74"/>
      <c r="AP1679" s="74"/>
      <c r="AQ1679" s="74"/>
      <c r="AR1679" s="74"/>
      <c r="AS1679" s="74"/>
      <c r="BD1679" s="74"/>
      <c r="BE1679" s="74"/>
      <c r="BF1679" s="74"/>
      <c r="BG1679" s="74"/>
      <c r="BH1679" s="74"/>
      <c r="BI1679" s="74"/>
    </row>
    <row r="1680" spans="24:61" x14ac:dyDescent="0.3">
      <c r="X1680" s="74"/>
      <c r="Y1680" s="74"/>
      <c r="Z1680" s="74"/>
      <c r="AA1680" s="74"/>
      <c r="AB1680" s="74"/>
      <c r="AC1680" s="74"/>
      <c r="AN1680" s="74"/>
      <c r="AO1680" s="74"/>
      <c r="AP1680" s="74"/>
      <c r="AQ1680" s="74"/>
      <c r="AR1680" s="74"/>
      <c r="AS1680" s="74"/>
      <c r="BD1680" s="74"/>
      <c r="BE1680" s="74"/>
      <c r="BF1680" s="74"/>
      <c r="BG1680" s="74"/>
      <c r="BH1680" s="74"/>
      <c r="BI1680" s="74"/>
    </row>
    <row r="1681" spans="24:61" x14ac:dyDescent="0.3">
      <c r="X1681" s="74"/>
      <c r="Y1681" s="74"/>
      <c r="Z1681" s="74"/>
      <c r="AA1681" s="74"/>
      <c r="AB1681" s="74"/>
      <c r="AC1681" s="74"/>
      <c r="AN1681" s="74"/>
      <c r="AO1681" s="74"/>
      <c r="AP1681" s="74"/>
      <c r="AQ1681" s="74"/>
      <c r="AR1681" s="74"/>
      <c r="AS1681" s="74"/>
      <c r="BD1681" s="74"/>
      <c r="BE1681" s="74"/>
      <c r="BF1681" s="74"/>
      <c r="BG1681" s="74"/>
      <c r="BH1681" s="74"/>
      <c r="BI1681" s="74"/>
    </row>
    <row r="1682" spans="24:61" x14ac:dyDescent="0.3">
      <c r="X1682" s="74"/>
      <c r="Y1682" s="74"/>
      <c r="Z1682" s="74"/>
      <c r="AA1682" s="74"/>
      <c r="AB1682" s="74"/>
      <c r="AC1682" s="74"/>
      <c r="AN1682" s="74"/>
      <c r="AO1682" s="74"/>
      <c r="AP1682" s="74"/>
      <c r="AQ1682" s="74"/>
      <c r="AR1682" s="74"/>
      <c r="AS1682" s="74"/>
      <c r="BD1682" s="74"/>
      <c r="BE1682" s="74"/>
      <c r="BF1682" s="74"/>
      <c r="BG1682" s="74"/>
      <c r="BH1682" s="74"/>
      <c r="BI1682" s="74"/>
    </row>
    <row r="1683" spans="24:61" x14ac:dyDescent="0.3">
      <c r="X1683" s="74"/>
      <c r="Y1683" s="74"/>
      <c r="Z1683" s="74"/>
      <c r="AA1683" s="74"/>
      <c r="AB1683" s="74"/>
      <c r="AC1683" s="74"/>
      <c r="AN1683" s="74"/>
      <c r="AO1683" s="74"/>
      <c r="AP1683" s="74"/>
      <c r="AQ1683" s="74"/>
      <c r="AR1683" s="74"/>
      <c r="AS1683" s="74"/>
      <c r="BD1683" s="74"/>
      <c r="BE1683" s="74"/>
      <c r="BF1683" s="74"/>
      <c r="BG1683" s="74"/>
      <c r="BH1683" s="74"/>
      <c r="BI1683" s="74"/>
    </row>
    <row r="1684" spans="24:61" x14ac:dyDescent="0.3">
      <c r="X1684" s="74"/>
      <c r="Y1684" s="74"/>
      <c r="Z1684" s="74"/>
      <c r="AA1684" s="74"/>
      <c r="AB1684" s="74"/>
      <c r="AC1684" s="74"/>
      <c r="AN1684" s="74"/>
      <c r="AO1684" s="74"/>
      <c r="AP1684" s="74"/>
      <c r="AQ1684" s="74"/>
      <c r="AR1684" s="74"/>
      <c r="AS1684" s="74"/>
      <c r="BD1684" s="74"/>
      <c r="BE1684" s="74"/>
      <c r="BF1684" s="74"/>
      <c r="BG1684" s="74"/>
      <c r="BH1684" s="74"/>
      <c r="BI1684" s="74"/>
    </row>
    <row r="1685" spans="24:61" x14ac:dyDescent="0.3">
      <c r="X1685" s="74"/>
      <c r="Y1685" s="74"/>
      <c r="Z1685" s="74"/>
      <c r="AA1685" s="74"/>
      <c r="AB1685" s="74"/>
      <c r="AC1685" s="74"/>
      <c r="AN1685" s="74"/>
      <c r="AO1685" s="74"/>
      <c r="AP1685" s="74"/>
      <c r="AQ1685" s="74"/>
      <c r="AR1685" s="74"/>
      <c r="AS1685" s="74"/>
      <c r="BD1685" s="74"/>
      <c r="BE1685" s="74"/>
      <c r="BF1685" s="74"/>
      <c r="BG1685" s="74"/>
      <c r="BH1685" s="74"/>
      <c r="BI1685" s="74"/>
    </row>
    <row r="1686" spans="24:61" x14ac:dyDescent="0.3">
      <c r="X1686" s="74"/>
      <c r="Y1686" s="74"/>
      <c r="Z1686" s="74"/>
      <c r="AA1686" s="74"/>
      <c r="AB1686" s="74"/>
      <c r="AC1686" s="74"/>
      <c r="AN1686" s="74"/>
      <c r="AO1686" s="74"/>
      <c r="AP1686" s="74"/>
      <c r="AQ1686" s="74"/>
      <c r="AR1686" s="74"/>
      <c r="AS1686" s="74"/>
      <c r="BD1686" s="74"/>
      <c r="BE1686" s="74"/>
      <c r="BF1686" s="74"/>
      <c r="BG1686" s="74"/>
      <c r="BH1686" s="74"/>
      <c r="BI1686" s="74"/>
    </row>
    <row r="1687" spans="24:61" x14ac:dyDescent="0.3">
      <c r="X1687" s="74"/>
      <c r="Y1687" s="74"/>
      <c r="Z1687" s="74"/>
      <c r="AA1687" s="74"/>
      <c r="AB1687" s="74"/>
      <c r="AC1687" s="74"/>
      <c r="AN1687" s="74"/>
      <c r="AO1687" s="74"/>
      <c r="AP1687" s="74"/>
      <c r="AQ1687" s="74"/>
      <c r="AR1687" s="74"/>
      <c r="AS1687" s="74"/>
      <c r="BD1687" s="74"/>
      <c r="BE1687" s="74"/>
      <c r="BF1687" s="74"/>
      <c r="BG1687" s="74"/>
      <c r="BH1687" s="74"/>
      <c r="BI1687" s="74"/>
    </row>
    <row r="1688" spans="24:61" x14ac:dyDescent="0.3">
      <c r="X1688" s="74"/>
      <c r="Y1688" s="74"/>
      <c r="Z1688" s="74"/>
      <c r="AA1688" s="74"/>
      <c r="AB1688" s="74"/>
      <c r="AC1688" s="74"/>
      <c r="AN1688" s="74"/>
      <c r="AO1688" s="74"/>
      <c r="AP1688" s="74"/>
      <c r="AQ1688" s="74"/>
      <c r="AR1688" s="74"/>
      <c r="AS1688" s="74"/>
      <c r="BD1688" s="74"/>
      <c r="BE1688" s="74"/>
      <c r="BF1688" s="74"/>
      <c r="BG1688" s="74"/>
      <c r="BH1688" s="74"/>
      <c r="BI1688" s="74"/>
    </row>
    <row r="1689" spans="24:61" x14ac:dyDescent="0.3">
      <c r="X1689" s="74"/>
      <c r="Y1689" s="74"/>
      <c r="Z1689" s="74"/>
      <c r="AA1689" s="74"/>
      <c r="AB1689" s="74"/>
      <c r="AC1689" s="74"/>
      <c r="AN1689" s="74"/>
      <c r="AO1689" s="74"/>
      <c r="AP1689" s="74"/>
      <c r="AQ1689" s="74"/>
      <c r="AR1689" s="74"/>
      <c r="AS1689" s="74"/>
      <c r="BD1689" s="74"/>
      <c r="BE1689" s="74"/>
      <c r="BF1689" s="74"/>
      <c r="BG1689" s="74"/>
      <c r="BH1689" s="74"/>
      <c r="BI1689" s="74"/>
    </row>
    <row r="1690" spans="24:61" x14ac:dyDescent="0.3">
      <c r="X1690" s="74"/>
      <c r="Y1690" s="74"/>
      <c r="Z1690" s="74"/>
      <c r="AA1690" s="74"/>
      <c r="AB1690" s="74"/>
      <c r="AC1690" s="74"/>
      <c r="AN1690" s="74"/>
      <c r="AO1690" s="74"/>
      <c r="AP1690" s="74"/>
      <c r="AQ1690" s="74"/>
      <c r="AR1690" s="74"/>
      <c r="AS1690" s="74"/>
      <c r="BD1690" s="74"/>
      <c r="BE1690" s="74"/>
      <c r="BF1690" s="74"/>
      <c r="BG1690" s="74"/>
      <c r="BH1690" s="74"/>
      <c r="BI1690" s="74"/>
    </row>
    <row r="1691" spans="24:61" x14ac:dyDescent="0.3">
      <c r="X1691" s="74"/>
      <c r="Y1691" s="74"/>
      <c r="Z1691" s="74"/>
      <c r="AA1691" s="74"/>
      <c r="AB1691" s="74"/>
      <c r="AC1691" s="74"/>
      <c r="AN1691" s="74"/>
      <c r="AO1691" s="74"/>
      <c r="AP1691" s="74"/>
      <c r="AQ1691" s="74"/>
      <c r="AR1691" s="74"/>
      <c r="AS1691" s="74"/>
      <c r="BD1691" s="74"/>
      <c r="BE1691" s="74"/>
      <c r="BF1691" s="74"/>
      <c r="BG1691" s="74"/>
      <c r="BH1691" s="74"/>
      <c r="BI1691" s="74"/>
    </row>
    <row r="1692" spans="24:61" x14ac:dyDescent="0.3">
      <c r="X1692" s="74"/>
      <c r="Y1692" s="74"/>
      <c r="Z1692" s="74"/>
      <c r="AA1692" s="74"/>
      <c r="AB1692" s="74"/>
      <c r="AC1692" s="74"/>
      <c r="AN1692" s="74"/>
      <c r="AO1692" s="74"/>
      <c r="AP1692" s="74"/>
      <c r="AQ1692" s="74"/>
      <c r="AR1692" s="74"/>
      <c r="AS1692" s="74"/>
      <c r="BD1692" s="74"/>
      <c r="BE1692" s="74"/>
      <c r="BF1692" s="74"/>
      <c r="BG1692" s="74"/>
      <c r="BH1692" s="74"/>
      <c r="BI1692" s="74"/>
    </row>
    <row r="1693" spans="24:61" x14ac:dyDescent="0.3">
      <c r="X1693" s="74"/>
      <c r="Y1693" s="74"/>
      <c r="Z1693" s="74"/>
      <c r="AA1693" s="74"/>
      <c r="AB1693" s="74"/>
      <c r="AC1693" s="74"/>
      <c r="AN1693" s="74"/>
      <c r="AO1693" s="74"/>
      <c r="AP1693" s="74"/>
      <c r="AQ1693" s="74"/>
      <c r="AR1693" s="74"/>
      <c r="AS1693" s="74"/>
      <c r="BD1693" s="74"/>
      <c r="BE1693" s="74"/>
      <c r="BF1693" s="74"/>
      <c r="BG1693" s="74"/>
      <c r="BH1693" s="74"/>
      <c r="BI1693" s="74"/>
    </row>
    <row r="1694" spans="24:61" x14ac:dyDescent="0.3">
      <c r="X1694" s="74"/>
      <c r="Y1694" s="74"/>
      <c r="Z1694" s="74"/>
      <c r="AA1694" s="74"/>
      <c r="AB1694" s="74"/>
      <c r="AC1694" s="74"/>
      <c r="AN1694" s="74"/>
      <c r="AO1694" s="74"/>
      <c r="AP1694" s="74"/>
      <c r="AQ1694" s="74"/>
      <c r="AR1694" s="74"/>
      <c r="AS1694" s="74"/>
      <c r="BD1694" s="74"/>
      <c r="BE1694" s="74"/>
      <c r="BF1694" s="74"/>
      <c r="BG1694" s="74"/>
      <c r="BH1694" s="74"/>
      <c r="BI1694" s="74"/>
    </row>
    <row r="1695" spans="24:61" x14ac:dyDescent="0.3">
      <c r="X1695" s="74"/>
      <c r="Y1695" s="74"/>
      <c r="Z1695" s="74"/>
      <c r="AA1695" s="74"/>
      <c r="AB1695" s="74"/>
      <c r="AC1695" s="74"/>
      <c r="AN1695" s="74"/>
      <c r="AO1695" s="74"/>
      <c r="AP1695" s="74"/>
      <c r="AQ1695" s="74"/>
      <c r="AR1695" s="74"/>
      <c r="AS1695" s="74"/>
      <c r="BD1695" s="74"/>
      <c r="BE1695" s="74"/>
      <c r="BF1695" s="74"/>
      <c r="BG1695" s="74"/>
      <c r="BH1695" s="74"/>
      <c r="BI1695" s="74"/>
    </row>
    <row r="1696" spans="24:61" x14ac:dyDescent="0.3">
      <c r="X1696" s="74"/>
      <c r="Y1696" s="74"/>
      <c r="Z1696" s="74"/>
      <c r="AA1696" s="74"/>
      <c r="AB1696" s="74"/>
      <c r="AC1696" s="74"/>
      <c r="AN1696" s="74"/>
      <c r="AO1696" s="74"/>
      <c r="AP1696" s="74"/>
      <c r="AQ1696" s="74"/>
      <c r="AR1696" s="74"/>
      <c r="AS1696" s="74"/>
      <c r="BD1696" s="74"/>
      <c r="BE1696" s="74"/>
      <c r="BF1696" s="74"/>
      <c r="BG1696" s="74"/>
      <c r="BH1696" s="74"/>
      <c r="BI1696" s="74"/>
    </row>
    <row r="1697" spans="24:61" x14ac:dyDescent="0.3">
      <c r="X1697" s="74"/>
      <c r="Y1697" s="74"/>
      <c r="Z1697" s="74"/>
      <c r="AA1697" s="74"/>
      <c r="AB1697" s="74"/>
      <c r="AC1697" s="74"/>
      <c r="AN1697" s="74"/>
      <c r="AO1697" s="74"/>
      <c r="AP1697" s="74"/>
      <c r="AQ1697" s="74"/>
      <c r="AR1697" s="74"/>
      <c r="AS1697" s="74"/>
      <c r="BD1697" s="74"/>
      <c r="BE1697" s="74"/>
      <c r="BF1697" s="74"/>
      <c r="BG1697" s="74"/>
      <c r="BH1697" s="74"/>
      <c r="BI1697" s="74"/>
    </row>
    <row r="1698" spans="24:61" x14ac:dyDescent="0.3">
      <c r="X1698" s="74"/>
      <c r="Y1698" s="74"/>
      <c r="Z1698" s="74"/>
      <c r="AA1698" s="74"/>
      <c r="AB1698" s="74"/>
      <c r="AC1698" s="74"/>
      <c r="AN1698" s="74"/>
      <c r="AO1698" s="74"/>
      <c r="AP1698" s="74"/>
      <c r="AQ1698" s="74"/>
      <c r="AR1698" s="74"/>
      <c r="AS1698" s="74"/>
      <c r="BD1698" s="74"/>
      <c r="BE1698" s="74"/>
      <c r="BF1698" s="74"/>
      <c r="BG1698" s="74"/>
      <c r="BH1698" s="74"/>
      <c r="BI1698" s="74"/>
    </row>
    <row r="1699" spans="24:61" x14ac:dyDescent="0.3">
      <c r="X1699" s="74"/>
      <c r="Y1699" s="74"/>
      <c r="Z1699" s="74"/>
      <c r="AA1699" s="74"/>
      <c r="AB1699" s="74"/>
      <c r="AC1699" s="74"/>
      <c r="AN1699" s="74"/>
      <c r="AO1699" s="74"/>
      <c r="AP1699" s="74"/>
      <c r="AQ1699" s="74"/>
      <c r="AR1699" s="74"/>
      <c r="AS1699" s="74"/>
      <c r="BD1699" s="74"/>
      <c r="BE1699" s="74"/>
      <c r="BF1699" s="74"/>
      <c r="BG1699" s="74"/>
      <c r="BH1699" s="74"/>
      <c r="BI1699" s="74"/>
    </row>
    <row r="1700" spans="24:61" x14ac:dyDescent="0.3">
      <c r="X1700" s="74"/>
      <c r="Y1700" s="74"/>
      <c r="Z1700" s="74"/>
      <c r="AA1700" s="74"/>
      <c r="AB1700" s="74"/>
      <c r="AC1700" s="74"/>
      <c r="AN1700" s="74"/>
      <c r="AO1700" s="74"/>
      <c r="AP1700" s="74"/>
      <c r="AQ1700" s="74"/>
      <c r="AR1700" s="74"/>
      <c r="AS1700" s="74"/>
      <c r="BD1700" s="74"/>
      <c r="BE1700" s="74"/>
      <c r="BF1700" s="74"/>
      <c r="BG1700" s="74"/>
      <c r="BH1700" s="74"/>
      <c r="BI1700" s="74"/>
    </row>
    <row r="1701" spans="24:61" x14ac:dyDescent="0.3">
      <c r="X1701" s="74"/>
      <c r="Y1701" s="74"/>
      <c r="Z1701" s="74"/>
      <c r="AA1701" s="74"/>
      <c r="AB1701" s="74"/>
      <c r="AC1701" s="74"/>
      <c r="AN1701" s="74"/>
      <c r="AO1701" s="74"/>
      <c r="AP1701" s="74"/>
      <c r="AQ1701" s="74"/>
      <c r="AR1701" s="74"/>
      <c r="AS1701" s="74"/>
      <c r="BD1701" s="74"/>
      <c r="BE1701" s="74"/>
      <c r="BF1701" s="74"/>
      <c r="BG1701" s="74"/>
      <c r="BH1701" s="74"/>
      <c r="BI1701" s="74"/>
    </row>
    <row r="1702" spans="24:61" x14ac:dyDescent="0.3">
      <c r="X1702" s="74"/>
      <c r="Y1702" s="74"/>
      <c r="Z1702" s="74"/>
      <c r="AA1702" s="74"/>
      <c r="AB1702" s="74"/>
      <c r="AC1702" s="74"/>
      <c r="AN1702" s="74"/>
      <c r="AO1702" s="74"/>
      <c r="AP1702" s="74"/>
      <c r="AQ1702" s="74"/>
      <c r="AR1702" s="74"/>
      <c r="AS1702" s="74"/>
      <c r="BD1702" s="74"/>
      <c r="BE1702" s="74"/>
      <c r="BF1702" s="74"/>
      <c r="BG1702" s="74"/>
      <c r="BH1702" s="74"/>
      <c r="BI1702" s="74"/>
    </row>
    <row r="1703" spans="24:61" x14ac:dyDescent="0.3">
      <c r="X1703" s="74"/>
      <c r="Y1703" s="74"/>
      <c r="Z1703" s="74"/>
      <c r="AA1703" s="74"/>
      <c r="AB1703" s="74"/>
      <c r="AC1703" s="74"/>
      <c r="AN1703" s="74"/>
      <c r="AO1703" s="74"/>
      <c r="AP1703" s="74"/>
      <c r="AQ1703" s="74"/>
      <c r="AR1703" s="74"/>
      <c r="AS1703" s="74"/>
      <c r="BD1703" s="74"/>
      <c r="BE1703" s="74"/>
      <c r="BF1703" s="74"/>
      <c r="BG1703" s="74"/>
      <c r="BH1703" s="74"/>
      <c r="BI1703" s="74"/>
    </row>
    <row r="1704" spans="24:61" x14ac:dyDescent="0.3">
      <c r="X1704" s="74"/>
      <c r="Y1704" s="74"/>
      <c r="Z1704" s="74"/>
      <c r="AA1704" s="74"/>
      <c r="AB1704" s="74"/>
      <c r="AC1704" s="74"/>
      <c r="AN1704" s="74"/>
      <c r="AO1704" s="74"/>
      <c r="AP1704" s="74"/>
      <c r="AQ1704" s="74"/>
      <c r="AR1704" s="74"/>
      <c r="AS1704" s="74"/>
      <c r="BD1704" s="74"/>
      <c r="BE1704" s="74"/>
      <c r="BF1704" s="74"/>
      <c r="BG1704" s="74"/>
      <c r="BH1704" s="74"/>
      <c r="BI1704" s="74"/>
    </row>
    <row r="1705" spans="24:61" x14ac:dyDescent="0.3">
      <c r="X1705" s="74"/>
      <c r="Y1705" s="74"/>
      <c r="Z1705" s="74"/>
      <c r="AA1705" s="74"/>
      <c r="AB1705" s="74"/>
      <c r="AC1705" s="74"/>
      <c r="AN1705" s="74"/>
      <c r="AO1705" s="74"/>
      <c r="AP1705" s="74"/>
      <c r="AQ1705" s="74"/>
      <c r="AR1705" s="74"/>
      <c r="AS1705" s="74"/>
      <c r="BD1705" s="74"/>
      <c r="BE1705" s="74"/>
      <c r="BF1705" s="74"/>
      <c r="BG1705" s="74"/>
      <c r="BH1705" s="74"/>
      <c r="BI1705" s="74"/>
    </row>
    <row r="1706" spans="24:61" x14ac:dyDescent="0.3">
      <c r="X1706" s="74"/>
      <c r="Y1706" s="74"/>
      <c r="Z1706" s="74"/>
      <c r="AA1706" s="74"/>
      <c r="AB1706" s="74"/>
      <c r="AC1706" s="74"/>
      <c r="AN1706" s="74"/>
      <c r="AO1706" s="74"/>
      <c r="AP1706" s="74"/>
      <c r="AQ1706" s="74"/>
      <c r="AR1706" s="74"/>
      <c r="AS1706" s="74"/>
      <c r="BD1706" s="74"/>
      <c r="BE1706" s="74"/>
      <c r="BF1706" s="74"/>
      <c r="BG1706" s="74"/>
      <c r="BH1706" s="74"/>
      <c r="BI1706" s="74"/>
    </row>
    <row r="1707" spans="24:61" x14ac:dyDescent="0.3">
      <c r="X1707" s="74"/>
      <c r="Y1707" s="74"/>
      <c r="Z1707" s="74"/>
      <c r="AA1707" s="74"/>
      <c r="AB1707" s="74"/>
      <c r="AC1707" s="74"/>
      <c r="AN1707" s="74"/>
      <c r="AO1707" s="74"/>
      <c r="AP1707" s="74"/>
      <c r="AQ1707" s="74"/>
      <c r="AR1707" s="74"/>
      <c r="AS1707" s="74"/>
      <c r="BD1707" s="74"/>
      <c r="BE1707" s="74"/>
      <c r="BF1707" s="74"/>
      <c r="BG1707" s="74"/>
      <c r="BH1707" s="74"/>
      <c r="BI1707" s="74"/>
    </row>
    <row r="1708" spans="24:61" x14ac:dyDescent="0.3">
      <c r="X1708" s="74"/>
      <c r="Y1708" s="74"/>
      <c r="Z1708" s="74"/>
      <c r="AA1708" s="74"/>
      <c r="AB1708" s="74"/>
      <c r="AC1708" s="74"/>
      <c r="AN1708" s="74"/>
      <c r="AO1708" s="74"/>
      <c r="AP1708" s="74"/>
      <c r="AQ1708" s="74"/>
      <c r="AR1708" s="74"/>
      <c r="AS1708" s="74"/>
      <c r="BD1708" s="74"/>
      <c r="BE1708" s="74"/>
      <c r="BF1708" s="74"/>
      <c r="BG1708" s="74"/>
      <c r="BH1708" s="74"/>
      <c r="BI1708" s="74"/>
    </row>
    <row r="1709" spans="24:61" x14ac:dyDescent="0.3">
      <c r="X1709" s="74"/>
      <c r="Y1709" s="74"/>
      <c r="Z1709" s="74"/>
      <c r="AA1709" s="74"/>
      <c r="AB1709" s="74"/>
      <c r="AC1709" s="74"/>
      <c r="AN1709" s="74"/>
      <c r="AO1709" s="74"/>
      <c r="AP1709" s="74"/>
      <c r="AQ1709" s="74"/>
      <c r="AR1709" s="74"/>
      <c r="AS1709" s="74"/>
      <c r="BD1709" s="74"/>
      <c r="BE1709" s="74"/>
      <c r="BF1709" s="74"/>
      <c r="BG1709" s="74"/>
      <c r="BH1709" s="74"/>
      <c r="BI1709" s="74"/>
    </row>
    <row r="1710" spans="24:61" x14ac:dyDescent="0.3">
      <c r="X1710" s="74"/>
      <c r="Y1710" s="74"/>
      <c r="Z1710" s="74"/>
      <c r="AA1710" s="74"/>
      <c r="AB1710" s="74"/>
      <c r="AC1710" s="74"/>
      <c r="AN1710" s="74"/>
      <c r="AO1710" s="74"/>
      <c r="AP1710" s="74"/>
      <c r="AQ1710" s="74"/>
      <c r="AR1710" s="74"/>
      <c r="AS1710" s="74"/>
      <c r="BD1710" s="74"/>
      <c r="BE1710" s="74"/>
      <c r="BF1710" s="74"/>
      <c r="BG1710" s="74"/>
      <c r="BH1710" s="74"/>
      <c r="BI1710" s="74"/>
    </row>
    <row r="1711" spans="24:61" x14ac:dyDescent="0.3">
      <c r="X1711" s="74"/>
      <c r="Y1711" s="74"/>
      <c r="Z1711" s="74"/>
      <c r="AA1711" s="74"/>
      <c r="AB1711" s="74"/>
      <c r="AC1711" s="74"/>
      <c r="AN1711" s="74"/>
      <c r="AO1711" s="74"/>
      <c r="AP1711" s="74"/>
      <c r="AQ1711" s="74"/>
      <c r="AR1711" s="74"/>
      <c r="AS1711" s="74"/>
      <c r="BD1711" s="74"/>
      <c r="BE1711" s="74"/>
      <c r="BF1711" s="74"/>
      <c r="BG1711" s="74"/>
      <c r="BH1711" s="74"/>
      <c r="BI1711" s="74"/>
    </row>
    <row r="1712" spans="24:61" x14ac:dyDescent="0.3">
      <c r="X1712" s="74"/>
      <c r="Y1712" s="74"/>
      <c r="Z1712" s="74"/>
      <c r="AA1712" s="74"/>
      <c r="AB1712" s="74"/>
      <c r="AC1712" s="74"/>
      <c r="AN1712" s="74"/>
      <c r="AO1712" s="74"/>
      <c r="AP1712" s="74"/>
      <c r="AQ1712" s="74"/>
      <c r="AR1712" s="74"/>
      <c r="AS1712" s="74"/>
      <c r="BD1712" s="74"/>
      <c r="BE1712" s="74"/>
      <c r="BF1712" s="74"/>
      <c r="BG1712" s="74"/>
      <c r="BH1712" s="74"/>
      <c r="BI1712" s="74"/>
    </row>
    <row r="1713" spans="24:61" x14ac:dyDescent="0.3">
      <c r="X1713" s="74"/>
      <c r="Y1713" s="74"/>
      <c r="Z1713" s="74"/>
      <c r="AA1713" s="74"/>
      <c r="AB1713" s="74"/>
      <c r="AC1713" s="74"/>
      <c r="AN1713" s="74"/>
      <c r="AO1713" s="74"/>
      <c r="AP1713" s="74"/>
      <c r="AQ1713" s="74"/>
      <c r="AR1713" s="74"/>
      <c r="AS1713" s="74"/>
      <c r="BD1713" s="74"/>
      <c r="BE1713" s="74"/>
      <c r="BF1713" s="74"/>
      <c r="BG1713" s="74"/>
      <c r="BH1713" s="74"/>
      <c r="BI1713" s="74"/>
    </row>
    <row r="1714" spans="24:61" x14ac:dyDescent="0.3">
      <c r="X1714" s="74"/>
      <c r="Y1714" s="74"/>
      <c r="Z1714" s="74"/>
      <c r="AA1714" s="74"/>
      <c r="AB1714" s="74"/>
      <c r="AC1714" s="74"/>
      <c r="AN1714" s="74"/>
      <c r="AO1714" s="74"/>
      <c r="AP1714" s="74"/>
      <c r="AQ1714" s="74"/>
      <c r="AR1714" s="74"/>
      <c r="AS1714" s="74"/>
      <c r="BD1714" s="74"/>
      <c r="BE1714" s="74"/>
      <c r="BF1714" s="74"/>
      <c r="BG1714" s="74"/>
      <c r="BH1714" s="74"/>
      <c r="BI1714" s="74"/>
    </row>
    <row r="1715" spans="24:61" x14ac:dyDescent="0.3">
      <c r="X1715" s="74"/>
      <c r="Y1715" s="74"/>
      <c r="Z1715" s="74"/>
      <c r="AA1715" s="74"/>
      <c r="AB1715" s="74"/>
      <c r="AC1715" s="74"/>
      <c r="AN1715" s="74"/>
      <c r="AO1715" s="74"/>
      <c r="AP1715" s="74"/>
      <c r="AQ1715" s="74"/>
      <c r="AR1715" s="74"/>
      <c r="AS1715" s="74"/>
      <c r="BD1715" s="74"/>
      <c r="BE1715" s="74"/>
      <c r="BF1715" s="74"/>
      <c r="BG1715" s="74"/>
      <c r="BH1715" s="74"/>
      <c r="BI1715" s="74"/>
    </row>
    <row r="1716" spans="24:61" x14ac:dyDescent="0.3">
      <c r="X1716" s="74"/>
      <c r="Y1716" s="74"/>
      <c r="Z1716" s="74"/>
      <c r="AA1716" s="74"/>
      <c r="AB1716" s="74"/>
      <c r="AC1716" s="74"/>
      <c r="AN1716" s="74"/>
      <c r="AO1716" s="74"/>
      <c r="AP1716" s="74"/>
      <c r="AQ1716" s="74"/>
      <c r="AR1716" s="74"/>
      <c r="AS1716" s="74"/>
      <c r="BD1716" s="74"/>
      <c r="BE1716" s="74"/>
      <c r="BF1716" s="74"/>
      <c r="BG1716" s="74"/>
      <c r="BH1716" s="74"/>
      <c r="BI1716" s="74"/>
    </row>
    <row r="1717" spans="24:61" x14ac:dyDescent="0.3">
      <c r="X1717" s="74"/>
      <c r="Y1717" s="74"/>
      <c r="Z1717" s="74"/>
      <c r="AA1717" s="74"/>
      <c r="AB1717" s="74"/>
      <c r="AC1717" s="74"/>
      <c r="AN1717" s="74"/>
      <c r="AO1717" s="74"/>
      <c r="AP1717" s="74"/>
      <c r="AQ1717" s="74"/>
      <c r="AR1717" s="74"/>
      <c r="AS1717" s="74"/>
      <c r="BD1717" s="74"/>
      <c r="BE1717" s="74"/>
      <c r="BF1717" s="74"/>
      <c r="BG1717" s="74"/>
      <c r="BH1717" s="74"/>
      <c r="BI1717" s="74"/>
    </row>
    <row r="1718" spans="24:61" x14ac:dyDescent="0.3">
      <c r="X1718" s="74"/>
      <c r="Y1718" s="74"/>
      <c r="Z1718" s="74"/>
      <c r="AA1718" s="74"/>
      <c r="AB1718" s="74"/>
      <c r="AC1718" s="74"/>
      <c r="AN1718" s="74"/>
      <c r="AO1718" s="74"/>
      <c r="AP1718" s="74"/>
      <c r="AQ1718" s="74"/>
      <c r="AR1718" s="74"/>
      <c r="AS1718" s="74"/>
      <c r="BD1718" s="74"/>
      <c r="BE1718" s="74"/>
      <c r="BF1718" s="74"/>
      <c r="BG1718" s="74"/>
      <c r="BH1718" s="74"/>
      <c r="BI1718" s="74"/>
    </row>
    <row r="1719" spans="24:61" x14ac:dyDescent="0.3">
      <c r="X1719" s="74"/>
      <c r="Y1719" s="74"/>
      <c r="Z1719" s="74"/>
      <c r="AA1719" s="74"/>
      <c r="AB1719" s="74"/>
      <c r="AC1719" s="74"/>
      <c r="AN1719" s="74"/>
      <c r="AO1719" s="74"/>
      <c r="AP1719" s="74"/>
      <c r="AQ1719" s="74"/>
      <c r="AR1719" s="74"/>
      <c r="AS1719" s="74"/>
      <c r="BD1719" s="74"/>
      <c r="BE1719" s="74"/>
      <c r="BF1719" s="74"/>
      <c r="BG1719" s="74"/>
      <c r="BH1719" s="74"/>
      <c r="BI1719" s="74"/>
    </row>
    <row r="1720" spans="24:61" x14ac:dyDescent="0.3">
      <c r="X1720" s="74"/>
      <c r="Y1720" s="74"/>
      <c r="Z1720" s="74"/>
      <c r="AA1720" s="74"/>
      <c r="AB1720" s="74"/>
      <c r="AC1720" s="74"/>
      <c r="AN1720" s="74"/>
      <c r="AO1720" s="74"/>
      <c r="AP1720" s="74"/>
      <c r="AQ1720" s="74"/>
      <c r="AR1720" s="74"/>
      <c r="AS1720" s="74"/>
      <c r="BD1720" s="74"/>
      <c r="BE1720" s="74"/>
      <c r="BF1720" s="74"/>
      <c r="BG1720" s="74"/>
      <c r="BH1720" s="74"/>
      <c r="BI1720" s="74"/>
    </row>
    <row r="1721" spans="24:61" x14ac:dyDescent="0.3">
      <c r="X1721" s="74"/>
      <c r="Y1721" s="74"/>
      <c r="Z1721" s="74"/>
      <c r="AA1721" s="74"/>
      <c r="AB1721" s="74"/>
      <c r="AC1721" s="74"/>
      <c r="AN1721" s="74"/>
      <c r="AO1721" s="74"/>
      <c r="AP1721" s="74"/>
      <c r="AQ1721" s="74"/>
      <c r="AR1721" s="74"/>
      <c r="AS1721" s="74"/>
      <c r="BD1721" s="74"/>
      <c r="BE1721" s="74"/>
      <c r="BF1721" s="74"/>
      <c r="BG1721" s="74"/>
      <c r="BH1721" s="74"/>
      <c r="BI1721" s="74"/>
    </row>
    <row r="1722" spans="24:61" x14ac:dyDescent="0.3">
      <c r="X1722" s="74"/>
      <c r="Y1722" s="74"/>
      <c r="Z1722" s="74"/>
      <c r="AA1722" s="74"/>
      <c r="AB1722" s="74"/>
      <c r="AC1722" s="74"/>
      <c r="AN1722" s="74"/>
      <c r="AO1722" s="74"/>
      <c r="AP1722" s="74"/>
      <c r="AQ1722" s="74"/>
      <c r="AR1722" s="74"/>
      <c r="AS1722" s="74"/>
      <c r="BD1722" s="74"/>
      <c r="BE1722" s="74"/>
      <c r="BF1722" s="74"/>
      <c r="BG1722" s="74"/>
      <c r="BH1722" s="74"/>
      <c r="BI1722" s="74"/>
    </row>
    <row r="1723" spans="24:61" x14ac:dyDescent="0.3">
      <c r="X1723" s="74"/>
      <c r="Y1723" s="74"/>
      <c r="Z1723" s="74"/>
      <c r="AA1723" s="74"/>
      <c r="AB1723" s="74"/>
      <c r="AC1723" s="74"/>
      <c r="AN1723" s="74"/>
      <c r="AO1723" s="74"/>
      <c r="AP1723" s="74"/>
      <c r="AQ1723" s="74"/>
      <c r="AR1723" s="74"/>
      <c r="AS1723" s="74"/>
      <c r="BD1723" s="74"/>
      <c r="BE1723" s="74"/>
      <c r="BF1723" s="74"/>
      <c r="BG1723" s="74"/>
      <c r="BH1723" s="74"/>
      <c r="BI1723" s="74"/>
    </row>
    <row r="1724" spans="24:61" x14ac:dyDescent="0.3">
      <c r="X1724" s="74"/>
      <c r="Y1724" s="74"/>
      <c r="Z1724" s="74"/>
      <c r="AA1724" s="74"/>
      <c r="AB1724" s="74"/>
      <c r="AC1724" s="74"/>
      <c r="AN1724" s="74"/>
      <c r="AO1724" s="74"/>
      <c r="AP1724" s="74"/>
      <c r="AQ1724" s="74"/>
      <c r="AR1724" s="74"/>
      <c r="AS1724" s="74"/>
      <c r="BD1724" s="74"/>
      <c r="BE1724" s="74"/>
      <c r="BF1724" s="74"/>
      <c r="BG1724" s="74"/>
      <c r="BH1724" s="74"/>
      <c r="BI1724" s="74"/>
    </row>
    <row r="1725" spans="24:61" x14ac:dyDescent="0.3">
      <c r="X1725" s="74"/>
      <c r="Y1725" s="74"/>
      <c r="Z1725" s="74"/>
      <c r="AA1725" s="74"/>
      <c r="AB1725" s="74"/>
      <c r="AC1725" s="74"/>
      <c r="AN1725" s="74"/>
      <c r="AO1725" s="74"/>
      <c r="AP1725" s="74"/>
      <c r="AQ1725" s="74"/>
      <c r="AR1725" s="74"/>
      <c r="AS1725" s="74"/>
      <c r="BD1725" s="74"/>
      <c r="BE1725" s="74"/>
      <c r="BF1725" s="74"/>
      <c r="BG1725" s="74"/>
      <c r="BH1725" s="74"/>
      <c r="BI1725" s="74"/>
    </row>
    <row r="1726" spans="24:61" x14ac:dyDescent="0.3">
      <c r="X1726" s="74"/>
      <c r="Y1726" s="74"/>
      <c r="Z1726" s="74"/>
      <c r="AA1726" s="74"/>
      <c r="AB1726" s="74"/>
      <c r="AC1726" s="74"/>
      <c r="AN1726" s="74"/>
      <c r="AO1726" s="74"/>
      <c r="AP1726" s="74"/>
      <c r="AQ1726" s="74"/>
      <c r="AR1726" s="74"/>
      <c r="AS1726" s="74"/>
      <c r="BD1726" s="74"/>
      <c r="BE1726" s="74"/>
      <c r="BF1726" s="74"/>
      <c r="BG1726" s="74"/>
      <c r="BH1726" s="74"/>
      <c r="BI1726" s="74"/>
    </row>
    <row r="1727" spans="24:61" x14ac:dyDescent="0.3">
      <c r="X1727" s="74"/>
      <c r="Y1727" s="74"/>
      <c r="Z1727" s="74"/>
      <c r="AA1727" s="74"/>
      <c r="AB1727" s="74"/>
      <c r="AC1727" s="74"/>
      <c r="AN1727" s="74"/>
      <c r="AO1727" s="74"/>
      <c r="AP1727" s="74"/>
      <c r="AQ1727" s="74"/>
      <c r="AR1727" s="74"/>
      <c r="AS1727" s="74"/>
      <c r="BD1727" s="74"/>
      <c r="BE1727" s="74"/>
      <c r="BF1727" s="74"/>
      <c r="BG1727" s="74"/>
      <c r="BH1727" s="74"/>
      <c r="BI1727" s="74"/>
    </row>
    <row r="1728" spans="24:61" x14ac:dyDescent="0.3">
      <c r="X1728" s="74"/>
      <c r="Y1728" s="74"/>
      <c r="Z1728" s="74"/>
      <c r="AA1728" s="74"/>
      <c r="AB1728" s="74"/>
      <c r="AC1728" s="74"/>
      <c r="AN1728" s="74"/>
      <c r="AO1728" s="74"/>
      <c r="AP1728" s="74"/>
      <c r="AQ1728" s="74"/>
      <c r="AR1728" s="74"/>
      <c r="AS1728" s="74"/>
      <c r="BD1728" s="74"/>
      <c r="BE1728" s="74"/>
      <c r="BF1728" s="74"/>
      <c r="BG1728" s="74"/>
      <c r="BH1728" s="74"/>
      <c r="BI1728" s="74"/>
    </row>
    <row r="1729" spans="24:61" x14ac:dyDescent="0.3">
      <c r="X1729" s="74"/>
      <c r="Y1729" s="74"/>
      <c r="Z1729" s="74"/>
      <c r="AA1729" s="74"/>
      <c r="AB1729" s="74"/>
      <c r="AC1729" s="74"/>
      <c r="AN1729" s="74"/>
      <c r="AO1729" s="74"/>
      <c r="AP1729" s="74"/>
      <c r="AQ1729" s="74"/>
      <c r="AR1729" s="74"/>
      <c r="AS1729" s="74"/>
      <c r="BD1729" s="74"/>
      <c r="BE1729" s="74"/>
      <c r="BF1729" s="74"/>
      <c r="BG1729" s="74"/>
      <c r="BH1729" s="74"/>
      <c r="BI1729" s="74"/>
    </row>
    <row r="1730" spans="24:61" x14ac:dyDescent="0.3">
      <c r="X1730" s="74"/>
      <c r="Y1730" s="74"/>
      <c r="Z1730" s="74"/>
      <c r="AA1730" s="74"/>
      <c r="AB1730" s="74"/>
      <c r="AC1730" s="74"/>
      <c r="AN1730" s="74"/>
      <c r="AO1730" s="74"/>
      <c r="AP1730" s="74"/>
      <c r="AQ1730" s="74"/>
      <c r="AR1730" s="74"/>
      <c r="AS1730" s="74"/>
      <c r="BD1730" s="74"/>
      <c r="BE1730" s="74"/>
      <c r="BF1730" s="74"/>
      <c r="BG1730" s="74"/>
      <c r="BH1730" s="74"/>
      <c r="BI1730" s="74"/>
    </row>
    <row r="1731" spans="24:61" x14ac:dyDescent="0.3">
      <c r="X1731" s="74"/>
      <c r="Y1731" s="74"/>
      <c r="Z1731" s="74"/>
      <c r="AA1731" s="74"/>
      <c r="AB1731" s="74"/>
      <c r="AC1731" s="74"/>
      <c r="AN1731" s="74"/>
      <c r="AO1731" s="74"/>
      <c r="AP1731" s="74"/>
      <c r="AQ1731" s="74"/>
      <c r="AR1731" s="74"/>
      <c r="AS1731" s="74"/>
      <c r="BD1731" s="74"/>
      <c r="BE1731" s="74"/>
      <c r="BF1731" s="74"/>
      <c r="BG1731" s="74"/>
      <c r="BH1731" s="74"/>
      <c r="BI1731" s="74"/>
    </row>
    <row r="1732" spans="24:61" x14ac:dyDescent="0.3">
      <c r="X1732" s="74"/>
      <c r="Y1732" s="74"/>
      <c r="Z1732" s="74"/>
      <c r="AA1732" s="74"/>
      <c r="AB1732" s="74"/>
      <c r="AC1732" s="74"/>
      <c r="AN1732" s="74"/>
      <c r="AO1732" s="74"/>
      <c r="AP1732" s="74"/>
      <c r="AQ1732" s="74"/>
      <c r="AR1732" s="74"/>
      <c r="AS1732" s="74"/>
      <c r="BD1732" s="74"/>
      <c r="BE1732" s="74"/>
      <c r="BF1732" s="74"/>
      <c r="BG1732" s="74"/>
      <c r="BH1732" s="74"/>
      <c r="BI1732" s="74"/>
    </row>
    <row r="1733" spans="24:61" x14ac:dyDescent="0.3">
      <c r="X1733" s="74"/>
      <c r="Y1733" s="74"/>
      <c r="Z1733" s="74"/>
      <c r="AA1733" s="74"/>
      <c r="AB1733" s="74"/>
      <c r="AC1733" s="74"/>
      <c r="AN1733" s="74"/>
      <c r="AO1733" s="74"/>
      <c r="AP1733" s="74"/>
      <c r="AQ1733" s="74"/>
      <c r="AR1733" s="74"/>
      <c r="AS1733" s="74"/>
      <c r="BD1733" s="74"/>
      <c r="BE1733" s="74"/>
      <c r="BF1733" s="74"/>
      <c r="BG1733" s="74"/>
      <c r="BH1733" s="74"/>
      <c r="BI1733" s="74"/>
    </row>
    <row r="1734" spans="24:61" x14ac:dyDescent="0.3">
      <c r="X1734" s="74"/>
      <c r="Y1734" s="74"/>
      <c r="Z1734" s="74"/>
      <c r="AA1734" s="74"/>
      <c r="AB1734" s="74"/>
      <c r="AC1734" s="74"/>
      <c r="AN1734" s="74"/>
      <c r="AO1734" s="74"/>
      <c r="AP1734" s="74"/>
      <c r="AQ1734" s="74"/>
      <c r="AR1734" s="74"/>
      <c r="AS1734" s="74"/>
      <c r="BD1734" s="74"/>
      <c r="BE1734" s="74"/>
      <c r="BF1734" s="74"/>
      <c r="BG1734" s="74"/>
      <c r="BH1734" s="74"/>
      <c r="BI1734" s="74"/>
    </row>
    <row r="1735" spans="24:61" x14ac:dyDescent="0.3">
      <c r="X1735" s="74"/>
      <c r="Y1735" s="74"/>
      <c r="Z1735" s="74"/>
      <c r="AA1735" s="74"/>
      <c r="AB1735" s="74"/>
      <c r="AC1735" s="74"/>
      <c r="AN1735" s="74"/>
      <c r="AO1735" s="74"/>
      <c r="AP1735" s="74"/>
      <c r="AQ1735" s="74"/>
      <c r="AR1735" s="74"/>
      <c r="AS1735" s="74"/>
      <c r="BD1735" s="74"/>
      <c r="BE1735" s="74"/>
      <c r="BF1735" s="74"/>
      <c r="BG1735" s="74"/>
      <c r="BH1735" s="74"/>
      <c r="BI1735" s="74"/>
    </row>
    <row r="1736" spans="24:61" x14ac:dyDescent="0.3">
      <c r="X1736" s="74"/>
      <c r="Y1736" s="74"/>
      <c r="Z1736" s="74"/>
      <c r="AA1736" s="74"/>
      <c r="AB1736" s="74"/>
      <c r="AC1736" s="74"/>
      <c r="AN1736" s="74"/>
      <c r="AO1736" s="74"/>
      <c r="AP1736" s="74"/>
      <c r="AQ1736" s="74"/>
      <c r="AR1736" s="74"/>
      <c r="AS1736" s="74"/>
      <c r="BD1736" s="74"/>
      <c r="BE1736" s="74"/>
      <c r="BF1736" s="74"/>
      <c r="BG1736" s="74"/>
      <c r="BH1736" s="74"/>
      <c r="BI1736" s="74"/>
    </row>
    <row r="1737" spans="24:61" x14ac:dyDescent="0.3">
      <c r="X1737" s="74"/>
      <c r="Y1737" s="74"/>
      <c r="Z1737" s="74"/>
      <c r="AA1737" s="74"/>
      <c r="AB1737" s="74"/>
      <c r="AC1737" s="74"/>
      <c r="AN1737" s="74"/>
      <c r="AO1737" s="74"/>
      <c r="AP1737" s="74"/>
      <c r="AQ1737" s="74"/>
      <c r="AR1737" s="74"/>
      <c r="AS1737" s="74"/>
      <c r="BD1737" s="74"/>
      <c r="BE1737" s="74"/>
      <c r="BF1737" s="74"/>
      <c r="BG1737" s="74"/>
      <c r="BH1737" s="74"/>
      <c r="BI1737" s="74"/>
    </row>
    <row r="1738" spans="24:61" x14ac:dyDescent="0.3">
      <c r="X1738" s="74"/>
      <c r="Y1738" s="74"/>
      <c r="Z1738" s="74"/>
      <c r="AA1738" s="74"/>
      <c r="AB1738" s="74"/>
      <c r="AC1738" s="74"/>
      <c r="AN1738" s="74"/>
      <c r="AO1738" s="74"/>
      <c r="AP1738" s="74"/>
      <c r="AQ1738" s="74"/>
      <c r="AR1738" s="74"/>
      <c r="AS1738" s="74"/>
      <c r="BD1738" s="74"/>
      <c r="BE1738" s="74"/>
      <c r="BF1738" s="74"/>
      <c r="BG1738" s="74"/>
      <c r="BH1738" s="74"/>
      <c r="BI1738" s="74"/>
    </row>
    <row r="1739" spans="24:61" x14ac:dyDescent="0.3">
      <c r="X1739" s="74"/>
      <c r="Y1739" s="74"/>
      <c r="Z1739" s="74"/>
      <c r="AA1739" s="74"/>
      <c r="AB1739" s="74"/>
      <c r="AC1739" s="74"/>
      <c r="AN1739" s="74"/>
      <c r="AO1739" s="74"/>
      <c r="AP1739" s="74"/>
      <c r="AQ1739" s="74"/>
      <c r="AR1739" s="74"/>
      <c r="AS1739" s="74"/>
      <c r="BD1739" s="74"/>
      <c r="BE1739" s="74"/>
      <c r="BF1739" s="74"/>
      <c r="BG1739" s="74"/>
      <c r="BH1739" s="74"/>
      <c r="BI1739" s="74"/>
    </row>
    <row r="1740" spans="24:61" x14ac:dyDescent="0.3">
      <c r="X1740" s="74"/>
      <c r="Y1740" s="74"/>
      <c r="Z1740" s="74"/>
      <c r="AA1740" s="74"/>
      <c r="AB1740" s="74"/>
      <c r="AC1740" s="74"/>
      <c r="AN1740" s="74"/>
      <c r="AO1740" s="74"/>
      <c r="AP1740" s="74"/>
      <c r="AQ1740" s="74"/>
      <c r="AR1740" s="74"/>
      <c r="AS1740" s="74"/>
      <c r="BD1740" s="74"/>
      <c r="BE1740" s="74"/>
      <c r="BF1740" s="74"/>
      <c r="BG1740" s="74"/>
      <c r="BH1740" s="74"/>
      <c r="BI1740" s="74"/>
    </row>
    <row r="1741" spans="24:61" x14ac:dyDescent="0.3">
      <c r="X1741" s="74"/>
      <c r="Y1741" s="74"/>
      <c r="Z1741" s="74"/>
      <c r="AA1741" s="74"/>
      <c r="AB1741" s="74"/>
      <c r="AC1741" s="74"/>
      <c r="AN1741" s="74"/>
      <c r="AO1741" s="74"/>
      <c r="AP1741" s="74"/>
      <c r="AQ1741" s="74"/>
      <c r="AR1741" s="74"/>
      <c r="AS1741" s="74"/>
      <c r="BD1741" s="74"/>
      <c r="BE1741" s="74"/>
      <c r="BF1741" s="74"/>
      <c r="BG1741" s="74"/>
      <c r="BH1741" s="74"/>
      <c r="BI1741" s="74"/>
    </row>
    <row r="1742" spans="24:61" x14ac:dyDescent="0.3">
      <c r="X1742" s="74"/>
      <c r="Y1742" s="74"/>
      <c r="Z1742" s="74"/>
      <c r="AA1742" s="74"/>
      <c r="AB1742" s="74"/>
      <c r="AC1742" s="74"/>
      <c r="AN1742" s="74"/>
      <c r="AO1742" s="74"/>
      <c r="AP1742" s="74"/>
      <c r="AQ1742" s="74"/>
      <c r="AR1742" s="74"/>
      <c r="AS1742" s="74"/>
      <c r="BD1742" s="74"/>
      <c r="BE1742" s="74"/>
      <c r="BF1742" s="74"/>
      <c r="BG1742" s="74"/>
      <c r="BH1742" s="74"/>
      <c r="BI1742" s="74"/>
    </row>
    <row r="1743" spans="24:61" x14ac:dyDescent="0.3">
      <c r="X1743" s="74"/>
      <c r="Y1743" s="74"/>
      <c r="Z1743" s="74"/>
      <c r="AA1743" s="74"/>
      <c r="AB1743" s="74"/>
      <c r="AC1743" s="74"/>
      <c r="AN1743" s="74"/>
      <c r="AO1743" s="74"/>
      <c r="AP1743" s="74"/>
      <c r="AQ1743" s="74"/>
      <c r="AR1743" s="74"/>
      <c r="AS1743" s="74"/>
      <c r="BD1743" s="74"/>
      <c r="BE1743" s="74"/>
      <c r="BF1743" s="74"/>
      <c r="BG1743" s="74"/>
      <c r="BH1743" s="74"/>
      <c r="BI1743" s="74"/>
    </row>
    <row r="1744" spans="24:61" x14ac:dyDescent="0.3">
      <c r="X1744" s="74"/>
      <c r="Y1744" s="74"/>
      <c r="Z1744" s="74"/>
      <c r="AA1744" s="74"/>
      <c r="AB1744" s="74"/>
      <c r="AC1744" s="74"/>
      <c r="AN1744" s="74"/>
      <c r="AO1744" s="74"/>
      <c r="AP1744" s="74"/>
      <c r="AQ1744" s="74"/>
      <c r="AR1744" s="74"/>
      <c r="AS1744" s="74"/>
      <c r="BD1744" s="74"/>
      <c r="BE1744" s="74"/>
      <c r="BF1744" s="74"/>
      <c r="BG1744" s="74"/>
      <c r="BH1744" s="74"/>
      <c r="BI1744" s="74"/>
    </row>
    <row r="1745" spans="24:61" x14ac:dyDescent="0.3">
      <c r="X1745" s="74"/>
      <c r="Y1745" s="74"/>
      <c r="Z1745" s="74"/>
      <c r="AA1745" s="74"/>
      <c r="AB1745" s="74"/>
      <c r="AC1745" s="74"/>
      <c r="AN1745" s="74"/>
      <c r="AO1745" s="74"/>
      <c r="AP1745" s="74"/>
      <c r="AQ1745" s="74"/>
      <c r="AR1745" s="74"/>
      <c r="AS1745" s="74"/>
      <c r="BD1745" s="74"/>
      <c r="BE1745" s="74"/>
      <c r="BF1745" s="74"/>
      <c r="BG1745" s="74"/>
      <c r="BH1745" s="74"/>
      <c r="BI1745" s="74"/>
    </row>
    <row r="1746" spans="24:61" x14ac:dyDescent="0.3">
      <c r="X1746" s="74"/>
      <c r="Y1746" s="74"/>
      <c r="Z1746" s="74"/>
      <c r="AA1746" s="74"/>
      <c r="AB1746" s="74"/>
      <c r="AC1746" s="74"/>
      <c r="AN1746" s="74"/>
      <c r="AO1746" s="74"/>
      <c r="AP1746" s="74"/>
      <c r="AQ1746" s="74"/>
      <c r="AR1746" s="74"/>
      <c r="AS1746" s="74"/>
      <c r="BD1746" s="74"/>
      <c r="BE1746" s="74"/>
      <c r="BF1746" s="74"/>
      <c r="BG1746" s="74"/>
      <c r="BH1746" s="74"/>
      <c r="BI1746" s="74"/>
    </row>
    <row r="1747" spans="24:61" x14ac:dyDescent="0.3">
      <c r="X1747" s="74"/>
      <c r="Y1747" s="74"/>
      <c r="Z1747" s="74"/>
      <c r="AA1747" s="74"/>
      <c r="AB1747" s="74"/>
      <c r="AC1747" s="74"/>
      <c r="AN1747" s="74"/>
      <c r="AO1747" s="74"/>
      <c r="AP1747" s="74"/>
      <c r="AQ1747" s="74"/>
      <c r="AR1747" s="74"/>
      <c r="AS1747" s="74"/>
      <c r="BD1747" s="74"/>
      <c r="BE1747" s="74"/>
      <c r="BF1747" s="74"/>
      <c r="BG1747" s="74"/>
      <c r="BH1747" s="74"/>
      <c r="BI1747" s="74"/>
    </row>
    <row r="1748" spans="24:61" x14ac:dyDescent="0.3">
      <c r="X1748" s="74"/>
      <c r="Y1748" s="74"/>
      <c r="Z1748" s="74"/>
      <c r="AA1748" s="74"/>
      <c r="AB1748" s="74"/>
      <c r="AC1748" s="74"/>
      <c r="AN1748" s="74"/>
      <c r="AO1748" s="74"/>
      <c r="AP1748" s="74"/>
      <c r="AQ1748" s="74"/>
      <c r="AR1748" s="74"/>
      <c r="AS1748" s="74"/>
      <c r="BD1748" s="74"/>
      <c r="BE1748" s="74"/>
      <c r="BF1748" s="74"/>
      <c r="BG1748" s="74"/>
      <c r="BH1748" s="74"/>
      <c r="BI1748" s="74"/>
    </row>
    <row r="1749" spans="24:61" x14ac:dyDescent="0.3">
      <c r="X1749" s="74"/>
      <c r="Y1749" s="74"/>
      <c r="Z1749" s="74"/>
      <c r="AA1749" s="74"/>
      <c r="AB1749" s="74"/>
      <c r="AC1749" s="74"/>
      <c r="AN1749" s="74"/>
      <c r="AO1749" s="74"/>
      <c r="AP1749" s="74"/>
      <c r="AQ1749" s="74"/>
      <c r="AR1749" s="74"/>
      <c r="AS1749" s="74"/>
      <c r="BD1749" s="74"/>
      <c r="BE1749" s="74"/>
      <c r="BF1749" s="74"/>
      <c r="BG1749" s="74"/>
      <c r="BH1749" s="74"/>
      <c r="BI1749" s="74"/>
    </row>
    <row r="1750" spans="24:61" x14ac:dyDescent="0.3">
      <c r="X1750" s="74"/>
      <c r="Y1750" s="74"/>
      <c r="Z1750" s="74"/>
      <c r="AA1750" s="74"/>
      <c r="AB1750" s="74"/>
      <c r="AC1750" s="74"/>
      <c r="AN1750" s="74"/>
      <c r="AO1750" s="74"/>
      <c r="AP1750" s="74"/>
      <c r="AQ1750" s="74"/>
      <c r="AR1750" s="74"/>
      <c r="AS1750" s="74"/>
      <c r="BD1750" s="74"/>
      <c r="BE1750" s="74"/>
      <c r="BF1750" s="74"/>
      <c r="BG1750" s="74"/>
      <c r="BH1750" s="74"/>
      <c r="BI1750" s="74"/>
    </row>
    <row r="1751" spans="24:61" x14ac:dyDescent="0.3">
      <c r="X1751" s="74"/>
      <c r="Y1751" s="74"/>
      <c r="Z1751" s="74"/>
      <c r="AA1751" s="74"/>
      <c r="AB1751" s="74"/>
      <c r="AC1751" s="74"/>
      <c r="AN1751" s="74"/>
      <c r="AO1751" s="74"/>
      <c r="AP1751" s="74"/>
      <c r="AQ1751" s="74"/>
      <c r="AR1751" s="74"/>
      <c r="AS1751" s="74"/>
      <c r="BD1751" s="74"/>
      <c r="BE1751" s="74"/>
      <c r="BF1751" s="74"/>
      <c r="BG1751" s="74"/>
      <c r="BH1751" s="74"/>
      <c r="BI1751" s="74"/>
    </row>
    <row r="1752" spans="24:61" x14ac:dyDescent="0.3">
      <c r="X1752" s="74"/>
      <c r="Y1752" s="74"/>
      <c r="Z1752" s="74"/>
      <c r="AA1752" s="74"/>
      <c r="AB1752" s="74"/>
      <c r="AC1752" s="74"/>
      <c r="AN1752" s="74"/>
      <c r="AO1752" s="74"/>
      <c r="AP1752" s="74"/>
      <c r="AQ1752" s="74"/>
      <c r="AR1752" s="74"/>
      <c r="AS1752" s="74"/>
      <c r="BD1752" s="74"/>
      <c r="BE1752" s="74"/>
      <c r="BF1752" s="74"/>
      <c r="BG1752" s="74"/>
      <c r="BH1752" s="74"/>
      <c r="BI1752" s="74"/>
    </row>
    <row r="1753" spans="24:61" x14ac:dyDescent="0.3">
      <c r="X1753" s="74"/>
      <c r="Y1753" s="74"/>
      <c r="Z1753" s="74"/>
      <c r="AA1753" s="74"/>
      <c r="AB1753" s="74"/>
      <c r="AC1753" s="74"/>
      <c r="AN1753" s="74"/>
      <c r="AO1753" s="74"/>
      <c r="AP1753" s="74"/>
      <c r="AQ1753" s="74"/>
      <c r="AR1753" s="74"/>
      <c r="AS1753" s="74"/>
      <c r="BD1753" s="74"/>
      <c r="BE1753" s="74"/>
      <c r="BF1753" s="74"/>
      <c r="BG1753" s="74"/>
      <c r="BH1753" s="74"/>
      <c r="BI1753" s="74"/>
    </row>
    <row r="1754" spans="24:61" x14ac:dyDescent="0.3">
      <c r="X1754" s="74"/>
      <c r="Y1754" s="74"/>
      <c r="Z1754" s="74"/>
      <c r="AA1754" s="74"/>
      <c r="AB1754" s="74"/>
      <c r="AC1754" s="74"/>
      <c r="AN1754" s="74"/>
      <c r="AO1754" s="74"/>
      <c r="AP1754" s="74"/>
      <c r="AQ1754" s="74"/>
      <c r="AR1754" s="74"/>
      <c r="AS1754" s="74"/>
      <c r="BD1754" s="74"/>
      <c r="BE1754" s="74"/>
      <c r="BF1754" s="74"/>
      <c r="BG1754" s="74"/>
      <c r="BH1754" s="74"/>
      <c r="BI1754" s="74"/>
    </row>
    <row r="1755" spans="24:61" x14ac:dyDescent="0.3">
      <c r="X1755" s="74"/>
      <c r="Y1755" s="74"/>
      <c r="Z1755" s="74"/>
      <c r="AA1755" s="74"/>
      <c r="AB1755" s="74"/>
      <c r="AC1755" s="74"/>
      <c r="AN1755" s="74"/>
      <c r="AO1755" s="74"/>
      <c r="AP1755" s="74"/>
      <c r="AQ1755" s="74"/>
      <c r="AR1755" s="74"/>
      <c r="AS1755" s="74"/>
      <c r="BD1755" s="74"/>
      <c r="BE1755" s="74"/>
      <c r="BF1755" s="74"/>
      <c r="BG1755" s="74"/>
      <c r="BH1755" s="74"/>
      <c r="BI1755" s="74"/>
    </row>
    <row r="1756" spans="24:61" x14ac:dyDescent="0.3">
      <c r="X1756" s="74"/>
      <c r="Y1756" s="74"/>
      <c r="Z1756" s="74"/>
      <c r="AA1756" s="74"/>
      <c r="AB1756" s="74"/>
      <c r="AC1756" s="74"/>
      <c r="AN1756" s="74"/>
      <c r="AO1756" s="74"/>
      <c r="AP1756" s="74"/>
      <c r="AQ1756" s="74"/>
      <c r="AR1756" s="74"/>
      <c r="AS1756" s="74"/>
      <c r="BD1756" s="74"/>
      <c r="BE1756" s="74"/>
      <c r="BF1756" s="74"/>
      <c r="BG1756" s="74"/>
      <c r="BH1756" s="74"/>
      <c r="BI1756" s="74"/>
    </row>
    <row r="1757" spans="24:61" x14ac:dyDescent="0.3">
      <c r="X1757" s="74"/>
      <c r="Y1757" s="74"/>
      <c r="Z1757" s="74"/>
      <c r="AA1757" s="74"/>
      <c r="AB1757" s="74"/>
      <c r="AC1757" s="74"/>
      <c r="AN1757" s="74"/>
      <c r="AO1757" s="74"/>
      <c r="AP1757" s="74"/>
      <c r="AQ1757" s="74"/>
      <c r="AR1757" s="74"/>
      <c r="AS1757" s="74"/>
      <c r="BD1757" s="74"/>
      <c r="BE1757" s="74"/>
      <c r="BF1757" s="74"/>
      <c r="BG1757" s="74"/>
      <c r="BH1757" s="74"/>
      <c r="BI1757" s="74"/>
    </row>
    <row r="1758" spans="24:61" x14ac:dyDescent="0.3">
      <c r="X1758" s="74"/>
      <c r="Y1758" s="74"/>
      <c r="Z1758" s="74"/>
      <c r="AA1758" s="74"/>
      <c r="AB1758" s="74"/>
      <c r="AC1758" s="74"/>
      <c r="AN1758" s="74"/>
      <c r="AO1758" s="74"/>
      <c r="AP1758" s="74"/>
      <c r="AQ1758" s="74"/>
      <c r="AR1758" s="74"/>
      <c r="AS1758" s="74"/>
      <c r="BD1758" s="74"/>
      <c r="BE1758" s="74"/>
      <c r="BF1758" s="74"/>
      <c r="BG1758" s="74"/>
      <c r="BH1758" s="74"/>
      <c r="BI1758" s="74"/>
    </row>
    <row r="1759" spans="24:61" x14ac:dyDescent="0.3">
      <c r="X1759" s="74"/>
      <c r="Y1759" s="74"/>
      <c r="Z1759" s="74"/>
      <c r="AA1759" s="74"/>
      <c r="AB1759" s="74"/>
      <c r="AC1759" s="74"/>
      <c r="AN1759" s="74"/>
      <c r="AO1759" s="74"/>
      <c r="AP1759" s="74"/>
      <c r="AQ1759" s="74"/>
      <c r="AR1759" s="74"/>
      <c r="AS1759" s="74"/>
      <c r="BD1759" s="74"/>
      <c r="BE1759" s="74"/>
      <c r="BF1759" s="74"/>
      <c r="BG1759" s="74"/>
      <c r="BH1759" s="74"/>
      <c r="BI1759" s="74"/>
    </row>
    <row r="1760" spans="24:61" x14ac:dyDescent="0.3">
      <c r="X1760" s="74"/>
      <c r="Y1760" s="74"/>
      <c r="Z1760" s="74"/>
      <c r="AA1760" s="74"/>
      <c r="AB1760" s="74"/>
      <c r="AC1760" s="74"/>
      <c r="AN1760" s="74"/>
      <c r="AO1760" s="74"/>
      <c r="AP1760" s="74"/>
      <c r="AQ1760" s="74"/>
      <c r="AR1760" s="74"/>
      <c r="AS1760" s="74"/>
      <c r="BD1760" s="74"/>
      <c r="BE1760" s="74"/>
      <c r="BF1760" s="74"/>
      <c r="BG1760" s="74"/>
      <c r="BH1760" s="74"/>
      <c r="BI1760" s="74"/>
    </row>
    <row r="1761" spans="24:61" x14ac:dyDescent="0.3">
      <c r="X1761" s="74"/>
      <c r="Y1761" s="74"/>
      <c r="Z1761" s="74"/>
      <c r="AA1761" s="74"/>
      <c r="AB1761" s="74"/>
      <c r="AC1761" s="74"/>
      <c r="AN1761" s="74"/>
      <c r="AO1761" s="74"/>
      <c r="AP1761" s="74"/>
      <c r="AQ1761" s="74"/>
      <c r="AR1761" s="74"/>
      <c r="AS1761" s="74"/>
      <c r="BD1761" s="74"/>
      <c r="BE1761" s="74"/>
      <c r="BF1761" s="74"/>
      <c r="BG1761" s="74"/>
      <c r="BH1761" s="74"/>
      <c r="BI1761" s="74"/>
    </row>
    <row r="1762" spans="24:61" x14ac:dyDescent="0.3">
      <c r="X1762" s="74"/>
      <c r="Y1762" s="74"/>
      <c r="Z1762" s="74"/>
      <c r="AA1762" s="74"/>
      <c r="AB1762" s="74"/>
      <c r="AC1762" s="74"/>
      <c r="AN1762" s="74"/>
      <c r="AO1762" s="74"/>
      <c r="AP1762" s="74"/>
      <c r="AQ1762" s="74"/>
      <c r="AR1762" s="74"/>
      <c r="AS1762" s="74"/>
      <c r="BD1762" s="74"/>
      <c r="BE1762" s="74"/>
      <c r="BF1762" s="74"/>
      <c r="BG1762" s="74"/>
      <c r="BH1762" s="74"/>
      <c r="BI1762" s="74"/>
    </row>
    <row r="1763" spans="24:61" x14ac:dyDescent="0.3">
      <c r="X1763" s="74"/>
      <c r="Y1763" s="74"/>
      <c r="Z1763" s="74"/>
      <c r="AA1763" s="74"/>
      <c r="AB1763" s="74"/>
      <c r="AC1763" s="74"/>
      <c r="AN1763" s="74"/>
      <c r="AO1763" s="74"/>
      <c r="AP1763" s="74"/>
      <c r="AQ1763" s="74"/>
      <c r="AR1763" s="74"/>
      <c r="AS1763" s="74"/>
      <c r="BD1763" s="74"/>
      <c r="BE1763" s="74"/>
      <c r="BF1763" s="74"/>
      <c r="BG1763" s="74"/>
      <c r="BH1763" s="74"/>
      <c r="BI1763" s="74"/>
    </row>
    <row r="1764" spans="24:61" x14ac:dyDescent="0.3">
      <c r="X1764" s="74"/>
      <c r="Y1764" s="74"/>
      <c r="Z1764" s="74"/>
      <c r="AA1764" s="74"/>
      <c r="AB1764" s="74"/>
      <c r="AC1764" s="74"/>
      <c r="AN1764" s="74"/>
      <c r="AO1764" s="74"/>
      <c r="AP1764" s="74"/>
      <c r="AQ1764" s="74"/>
      <c r="AR1764" s="74"/>
      <c r="AS1764" s="74"/>
      <c r="BD1764" s="74"/>
      <c r="BE1764" s="74"/>
      <c r="BF1764" s="74"/>
      <c r="BG1764" s="74"/>
      <c r="BH1764" s="74"/>
      <c r="BI1764" s="74"/>
    </row>
    <row r="1765" spans="24:61" x14ac:dyDescent="0.3">
      <c r="X1765" s="74"/>
      <c r="Y1765" s="74"/>
      <c r="Z1765" s="74"/>
      <c r="AA1765" s="74"/>
      <c r="AB1765" s="74"/>
      <c r="AC1765" s="74"/>
      <c r="AN1765" s="74"/>
      <c r="AO1765" s="74"/>
      <c r="AP1765" s="74"/>
      <c r="AQ1765" s="74"/>
      <c r="AR1765" s="74"/>
      <c r="AS1765" s="74"/>
      <c r="BD1765" s="74"/>
      <c r="BE1765" s="74"/>
      <c r="BF1765" s="74"/>
      <c r="BG1765" s="74"/>
      <c r="BH1765" s="74"/>
      <c r="BI1765" s="74"/>
    </row>
    <row r="1766" spans="24:61" x14ac:dyDescent="0.3">
      <c r="X1766" s="74"/>
      <c r="Y1766" s="74"/>
      <c r="Z1766" s="74"/>
      <c r="AA1766" s="74"/>
      <c r="AB1766" s="74"/>
      <c r="AC1766" s="74"/>
      <c r="AN1766" s="74"/>
      <c r="AO1766" s="74"/>
      <c r="AP1766" s="74"/>
      <c r="AQ1766" s="74"/>
      <c r="AR1766" s="74"/>
      <c r="AS1766" s="74"/>
      <c r="BD1766" s="74"/>
      <c r="BE1766" s="74"/>
      <c r="BF1766" s="74"/>
      <c r="BG1766" s="74"/>
      <c r="BH1766" s="74"/>
      <c r="BI1766" s="74"/>
    </row>
    <row r="1767" spans="24:61" x14ac:dyDescent="0.3">
      <c r="X1767" s="74"/>
      <c r="Y1767" s="74"/>
      <c r="Z1767" s="74"/>
      <c r="AA1767" s="74"/>
      <c r="AB1767" s="74"/>
      <c r="AC1767" s="74"/>
      <c r="AN1767" s="74"/>
      <c r="AO1767" s="74"/>
      <c r="AP1767" s="74"/>
      <c r="AQ1767" s="74"/>
      <c r="AR1767" s="74"/>
      <c r="AS1767" s="74"/>
      <c r="BD1767" s="74"/>
      <c r="BE1767" s="74"/>
      <c r="BF1767" s="74"/>
      <c r="BG1767" s="74"/>
      <c r="BH1767" s="74"/>
      <c r="BI1767" s="74"/>
    </row>
    <row r="1768" spans="24:61" x14ac:dyDescent="0.3">
      <c r="X1768" s="74"/>
      <c r="Y1768" s="74"/>
      <c r="Z1768" s="74"/>
      <c r="AA1768" s="74"/>
      <c r="AB1768" s="74"/>
      <c r="AC1768" s="74"/>
      <c r="AN1768" s="74"/>
      <c r="AO1768" s="74"/>
      <c r="AP1768" s="74"/>
      <c r="AQ1768" s="74"/>
      <c r="AR1768" s="74"/>
      <c r="AS1768" s="74"/>
      <c r="BD1768" s="74"/>
      <c r="BE1768" s="74"/>
      <c r="BF1768" s="74"/>
      <c r="BG1768" s="74"/>
      <c r="BH1768" s="74"/>
      <c r="BI1768" s="74"/>
    </row>
    <row r="1769" spans="24:61" x14ac:dyDescent="0.3">
      <c r="X1769" s="74"/>
      <c r="Y1769" s="74"/>
      <c r="Z1769" s="74"/>
      <c r="AA1769" s="74"/>
      <c r="AB1769" s="74"/>
      <c r="AC1769" s="74"/>
      <c r="AN1769" s="74"/>
      <c r="AO1769" s="74"/>
      <c r="AP1769" s="74"/>
      <c r="AQ1769" s="74"/>
      <c r="AR1769" s="74"/>
      <c r="AS1769" s="74"/>
      <c r="BD1769" s="74"/>
      <c r="BE1769" s="74"/>
      <c r="BF1769" s="74"/>
      <c r="BG1769" s="74"/>
      <c r="BH1769" s="74"/>
      <c r="BI1769" s="74"/>
    </row>
    <row r="1770" spans="24:61" x14ac:dyDescent="0.3">
      <c r="X1770" s="74"/>
      <c r="Y1770" s="74"/>
      <c r="Z1770" s="74"/>
      <c r="AA1770" s="74"/>
      <c r="AB1770" s="74"/>
      <c r="AC1770" s="74"/>
      <c r="AN1770" s="74"/>
      <c r="AO1770" s="74"/>
      <c r="AP1770" s="74"/>
      <c r="AQ1770" s="74"/>
      <c r="AR1770" s="74"/>
      <c r="AS1770" s="74"/>
      <c r="BD1770" s="74"/>
      <c r="BE1770" s="74"/>
      <c r="BF1770" s="74"/>
      <c r="BG1770" s="74"/>
      <c r="BH1770" s="74"/>
      <c r="BI1770" s="74"/>
    </row>
    <row r="1771" spans="24:61" x14ac:dyDescent="0.3">
      <c r="X1771" s="74"/>
      <c r="Y1771" s="74"/>
      <c r="Z1771" s="74"/>
      <c r="AA1771" s="74"/>
      <c r="AB1771" s="74"/>
      <c r="AC1771" s="74"/>
      <c r="AN1771" s="74"/>
      <c r="AO1771" s="74"/>
      <c r="AP1771" s="74"/>
      <c r="AQ1771" s="74"/>
      <c r="AR1771" s="74"/>
      <c r="AS1771" s="74"/>
      <c r="BD1771" s="74"/>
      <c r="BE1771" s="74"/>
      <c r="BF1771" s="74"/>
      <c r="BG1771" s="74"/>
      <c r="BH1771" s="74"/>
      <c r="BI1771" s="74"/>
    </row>
    <row r="1772" spans="24:61" x14ac:dyDescent="0.3">
      <c r="X1772" s="74"/>
      <c r="Y1772" s="74"/>
      <c r="Z1772" s="74"/>
      <c r="AA1772" s="74"/>
      <c r="AB1772" s="74"/>
      <c r="AC1772" s="74"/>
      <c r="AN1772" s="74"/>
      <c r="AO1772" s="74"/>
      <c r="AP1772" s="74"/>
      <c r="AQ1772" s="74"/>
      <c r="AR1772" s="74"/>
      <c r="AS1772" s="74"/>
      <c r="BD1772" s="74"/>
      <c r="BE1772" s="74"/>
      <c r="BF1772" s="74"/>
      <c r="BG1772" s="74"/>
      <c r="BH1772" s="74"/>
      <c r="BI1772" s="74"/>
    </row>
    <row r="1773" spans="24:61" x14ac:dyDescent="0.3">
      <c r="X1773" s="74"/>
      <c r="Y1773" s="74"/>
      <c r="Z1773" s="74"/>
      <c r="AA1773" s="74"/>
      <c r="AB1773" s="74"/>
      <c r="AC1773" s="74"/>
      <c r="AN1773" s="74"/>
      <c r="AO1773" s="74"/>
      <c r="AP1773" s="74"/>
      <c r="AQ1773" s="74"/>
      <c r="AR1773" s="74"/>
      <c r="AS1773" s="74"/>
      <c r="BD1773" s="74"/>
      <c r="BE1773" s="74"/>
      <c r="BF1773" s="74"/>
      <c r="BG1773" s="74"/>
      <c r="BH1773" s="74"/>
      <c r="BI1773" s="74"/>
    </row>
    <row r="1774" spans="24:61" x14ac:dyDescent="0.3">
      <c r="X1774" s="74"/>
      <c r="Y1774" s="74"/>
      <c r="Z1774" s="74"/>
      <c r="AA1774" s="74"/>
      <c r="AB1774" s="74"/>
      <c r="AC1774" s="74"/>
      <c r="AN1774" s="74"/>
      <c r="AO1774" s="74"/>
      <c r="AP1774" s="74"/>
      <c r="AQ1774" s="74"/>
      <c r="AR1774" s="74"/>
      <c r="AS1774" s="74"/>
      <c r="BD1774" s="74"/>
      <c r="BE1774" s="74"/>
      <c r="BF1774" s="74"/>
      <c r="BG1774" s="74"/>
      <c r="BH1774" s="74"/>
      <c r="BI1774" s="74"/>
    </row>
    <row r="1775" spans="24:61" x14ac:dyDescent="0.3">
      <c r="X1775" s="74"/>
      <c r="Y1775" s="74"/>
      <c r="Z1775" s="74"/>
      <c r="AA1775" s="74"/>
      <c r="AB1775" s="74"/>
      <c r="AC1775" s="74"/>
      <c r="AN1775" s="74"/>
      <c r="AO1775" s="74"/>
      <c r="AP1775" s="74"/>
      <c r="AQ1775" s="74"/>
      <c r="AR1775" s="74"/>
      <c r="AS1775" s="74"/>
      <c r="BD1775" s="74"/>
      <c r="BE1775" s="74"/>
      <c r="BF1775" s="74"/>
      <c r="BG1775" s="74"/>
      <c r="BH1775" s="74"/>
      <c r="BI1775" s="74"/>
    </row>
    <row r="1776" spans="24:61" x14ac:dyDescent="0.3">
      <c r="X1776" s="74"/>
      <c r="Y1776" s="74"/>
      <c r="Z1776" s="74"/>
      <c r="AA1776" s="74"/>
      <c r="AB1776" s="74"/>
      <c r="AC1776" s="74"/>
      <c r="AN1776" s="74"/>
      <c r="AO1776" s="74"/>
      <c r="AP1776" s="74"/>
      <c r="AQ1776" s="74"/>
      <c r="AR1776" s="74"/>
      <c r="AS1776" s="74"/>
      <c r="BD1776" s="74"/>
      <c r="BE1776" s="74"/>
      <c r="BF1776" s="74"/>
      <c r="BG1776" s="74"/>
      <c r="BH1776" s="74"/>
      <c r="BI1776" s="74"/>
    </row>
    <row r="1777" spans="24:61" x14ac:dyDescent="0.3">
      <c r="X1777" s="74"/>
      <c r="Y1777" s="74"/>
      <c r="Z1777" s="74"/>
      <c r="AA1777" s="74"/>
      <c r="AB1777" s="74"/>
      <c r="AC1777" s="74"/>
      <c r="AN1777" s="74"/>
      <c r="AO1777" s="74"/>
      <c r="AP1777" s="74"/>
      <c r="AQ1777" s="74"/>
      <c r="AR1777" s="74"/>
      <c r="AS1777" s="74"/>
      <c r="BD1777" s="74"/>
      <c r="BE1777" s="74"/>
      <c r="BF1777" s="74"/>
      <c r="BG1777" s="74"/>
      <c r="BH1777" s="74"/>
      <c r="BI1777" s="74"/>
    </row>
    <row r="1778" spans="24:61" x14ac:dyDescent="0.3">
      <c r="X1778" s="74"/>
      <c r="Y1778" s="74"/>
      <c r="Z1778" s="74"/>
      <c r="AA1778" s="74"/>
      <c r="AB1778" s="74"/>
      <c r="AC1778" s="74"/>
      <c r="AN1778" s="74"/>
      <c r="AO1778" s="74"/>
      <c r="AP1778" s="74"/>
      <c r="AQ1778" s="74"/>
      <c r="AR1778" s="74"/>
      <c r="AS1778" s="74"/>
      <c r="BD1778" s="74"/>
      <c r="BE1778" s="74"/>
      <c r="BF1778" s="74"/>
      <c r="BG1778" s="74"/>
      <c r="BH1778" s="74"/>
      <c r="BI1778" s="74"/>
    </row>
    <row r="1779" spans="24:61" x14ac:dyDescent="0.3">
      <c r="X1779" s="74"/>
      <c r="Y1779" s="74"/>
      <c r="Z1779" s="74"/>
      <c r="AA1779" s="74"/>
      <c r="AB1779" s="74"/>
      <c r="AC1779" s="74"/>
      <c r="AN1779" s="74"/>
      <c r="AO1779" s="74"/>
      <c r="AP1779" s="74"/>
      <c r="AQ1779" s="74"/>
      <c r="AR1779" s="74"/>
      <c r="AS1779" s="74"/>
      <c r="BD1779" s="74"/>
      <c r="BE1779" s="74"/>
      <c r="BF1779" s="74"/>
      <c r="BG1779" s="74"/>
      <c r="BH1779" s="74"/>
      <c r="BI1779" s="74"/>
    </row>
    <row r="1780" spans="24:61" x14ac:dyDescent="0.3">
      <c r="X1780" s="74"/>
      <c r="Y1780" s="74"/>
      <c r="Z1780" s="74"/>
      <c r="AA1780" s="74"/>
      <c r="AB1780" s="74"/>
      <c r="AC1780" s="74"/>
      <c r="AN1780" s="74"/>
      <c r="AO1780" s="74"/>
      <c r="AP1780" s="74"/>
      <c r="AQ1780" s="74"/>
      <c r="AR1780" s="74"/>
      <c r="AS1780" s="74"/>
      <c r="BD1780" s="74"/>
      <c r="BE1780" s="74"/>
      <c r="BF1780" s="74"/>
      <c r="BG1780" s="74"/>
      <c r="BH1780" s="74"/>
      <c r="BI1780" s="74"/>
    </row>
    <row r="1781" spans="24:61" x14ac:dyDescent="0.3">
      <c r="X1781" s="74"/>
      <c r="Y1781" s="74"/>
      <c r="Z1781" s="74"/>
      <c r="AA1781" s="74"/>
      <c r="AB1781" s="74"/>
      <c r="AC1781" s="74"/>
      <c r="AN1781" s="74"/>
      <c r="AO1781" s="74"/>
      <c r="AP1781" s="74"/>
      <c r="AQ1781" s="74"/>
      <c r="AR1781" s="74"/>
      <c r="AS1781" s="74"/>
      <c r="BD1781" s="74"/>
      <c r="BE1781" s="74"/>
      <c r="BF1781" s="74"/>
      <c r="BG1781" s="74"/>
      <c r="BH1781" s="74"/>
      <c r="BI1781" s="74"/>
    </row>
    <row r="1782" spans="24:61" x14ac:dyDescent="0.3">
      <c r="X1782" s="74"/>
      <c r="Y1782" s="74"/>
      <c r="Z1782" s="74"/>
      <c r="AA1782" s="74"/>
      <c r="AB1782" s="74"/>
      <c r="AC1782" s="74"/>
      <c r="AN1782" s="74"/>
      <c r="AO1782" s="74"/>
      <c r="AP1782" s="74"/>
      <c r="AQ1782" s="74"/>
      <c r="AR1782" s="74"/>
      <c r="AS1782" s="74"/>
      <c r="BD1782" s="74"/>
      <c r="BE1782" s="74"/>
      <c r="BF1782" s="74"/>
      <c r="BG1782" s="74"/>
      <c r="BH1782" s="74"/>
      <c r="BI1782" s="74"/>
    </row>
    <row r="1783" spans="24:61" x14ac:dyDescent="0.3">
      <c r="X1783" s="74"/>
      <c r="Y1783" s="74"/>
      <c r="Z1783" s="74"/>
      <c r="AA1783" s="74"/>
      <c r="AB1783" s="74"/>
      <c r="AC1783" s="74"/>
      <c r="AN1783" s="74"/>
      <c r="AO1783" s="74"/>
      <c r="AP1783" s="74"/>
      <c r="AQ1783" s="74"/>
      <c r="AR1783" s="74"/>
      <c r="AS1783" s="74"/>
      <c r="BD1783" s="74"/>
      <c r="BE1783" s="74"/>
      <c r="BF1783" s="74"/>
      <c r="BG1783" s="74"/>
      <c r="BH1783" s="74"/>
      <c r="BI1783" s="74"/>
    </row>
    <row r="1784" spans="24:61" x14ac:dyDescent="0.3">
      <c r="X1784" s="74"/>
      <c r="Y1784" s="74"/>
      <c r="Z1784" s="74"/>
      <c r="AA1784" s="74"/>
      <c r="AB1784" s="74"/>
      <c r="AC1784" s="74"/>
      <c r="AN1784" s="74"/>
      <c r="AO1784" s="74"/>
      <c r="AP1784" s="74"/>
      <c r="AQ1784" s="74"/>
      <c r="AR1784" s="74"/>
      <c r="AS1784" s="74"/>
      <c r="BD1784" s="74"/>
      <c r="BE1784" s="74"/>
      <c r="BF1784" s="74"/>
      <c r="BG1784" s="74"/>
      <c r="BH1784" s="74"/>
      <c r="BI1784" s="74"/>
    </row>
    <row r="1785" spans="24:61" x14ac:dyDescent="0.3">
      <c r="X1785" s="74"/>
      <c r="Y1785" s="74"/>
      <c r="Z1785" s="74"/>
      <c r="AA1785" s="74"/>
      <c r="AB1785" s="74"/>
      <c r="AC1785" s="74"/>
      <c r="AN1785" s="74"/>
      <c r="AO1785" s="74"/>
      <c r="AP1785" s="74"/>
      <c r="AQ1785" s="74"/>
      <c r="AR1785" s="74"/>
      <c r="AS1785" s="74"/>
      <c r="BD1785" s="74"/>
      <c r="BE1785" s="74"/>
      <c r="BF1785" s="74"/>
      <c r="BG1785" s="74"/>
      <c r="BH1785" s="74"/>
      <c r="BI1785" s="74"/>
    </row>
    <row r="1786" spans="24:61" x14ac:dyDescent="0.3">
      <c r="X1786" s="74"/>
      <c r="Y1786" s="74"/>
      <c r="Z1786" s="74"/>
      <c r="AA1786" s="74"/>
      <c r="AB1786" s="74"/>
      <c r="AC1786" s="74"/>
      <c r="AN1786" s="74"/>
      <c r="AO1786" s="74"/>
      <c r="AP1786" s="74"/>
      <c r="AQ1786" s="74"/>
      <c r="AR1786" s="74"/>
      <c r="AS1786" s="74"/>
      <c r="BD1786" s="74"/>
      <c r="BE1786" s="74"/>
      <c r="BF1786" s="74"/>
      <c r="BG1786" s="74"/>
      <c r="BH1786" s="74"/>
      <c r="BI1786" s="74"/>
    </row>
    <row r="1787" spans="24:61" x14ac:dyDescent="0.3">
      <c r="X1787" s="74"/>
      <c r="Y1787" s="74"/>
      <c r="Z1787" s="74"/>
      <c r="AA1787" s="74"/>
      <c r="AB1787" s="74"/>
      <c r="AC1787" s="74"/>
      <c r="AN1787" s="74"/>
      <c r="AO1787" s="74"/>
      <c r="AP1787" s="74"/>
      <c r="AQ1787" s="74"/>
      <c r="AR1787" s="74"/>
      <c r="AS1787" s="74"/>
      <c r="BD1787" s="74"/>
      <c r="BE1787" s="74"/>
      <c r="BF1787" s="74"/>
      <c r="BG1787" s="74"/>
      <c r="BH1787" s="74"/>
      <c r="BI1787" s="74"/>
    </row>
    <row r="1788" spans="24:61" x14ac:dyDescent="0.3">
      <c r="X1788" s="74"/>
      <c r="Y1788" s="74"/>
      <c r="Z1788" s="74"/>
      <c r="AA1788" s="74"/>
      <c r="AB1788" s="74"/>
      <c r="AC1788" s="74"/>
      <c r="AN1788" s="74"/>
      <c r="AO1788" s="74"/>
      <c r="AP1788" s="74"/>
      <c r="AQ1788" s="74"/>
      <c r="AR1788" s="74"/>
      <c r="AS1788" s="74"/>
      <c r="BD1788" s="74"/>
      <c r="BE1788" s="74"/>
      <c r="BF1788" s="74"/>
      <c r="BG1788" s="74"/>
      <c r="BH1788" s="74"/>
      <c r="BI1788" s="74"/>
    </row>
    <row r="1789" spans="24:61" x14ac:dyDescent="0.3">
      <c r="X1789" s="74"/>
      <c r="Y1789" s="74"/>
      <c r="Z1789" s="74"/>
      <c r="AA1789" s="74"/>
      <c r="AB1789" s="74"/>
      <c r="AC1789" s="74"/>
      <c r="AN1789" s="74"/>
      <c r="AO1789" s="74"/>
      <c r="AP1789" s="74"/>
      <c r="AQ1789" s="74"/>
      <c r="AR1789" s="74"/>
      <c r="AS1789" s="74"/>
      <c r="BD1789" s="74"/>
      <c r="BE1789" s="74"/>
      <c r="BF1789" s="74"/>
      <c r="BG1789" s="74"/>
      <c r="BH1789" s="74"/>
      <c r="BI1789" s="74"/>
    </row>
    <row r="1790" spans="24:61" x14ac:dyDescent="0.3">
      <c r="X1790" s="74"/>
      <c r="Y1790" s="74"/>
      <c r="Z1790" s="74"/>
      <c r="AA1790" s="74"/>
      <c r="AB1790" s="74"/>
      <c r="AC1790" s="74"/>
      <c r="AN1790" s="74"/>
      <c r="AO1790" s="74"/>
      <c r="AP1790" s="74"/>
      <c r="AQ1790" s="74"/>
      <c r="AR1790" s="74"/>
      <c r="AS1790" s="74"/>
      <c r="BD1790" s="74"/>
      <c r="BE1790" s="74"/>
      <c r="BF1790" s="74"/>
      <c r="BG1790" s="74"/>
      <c r="BH1790" s="74"/>
      <c r="BI1790" s="74"/>
    </row>
    <row r="1791" spans="24:61" x14ac:dyDescent="0.3">
      <c r="X1791" s="74"/>
      <c r="Y1791" s="74"/>
      <c r="Z1791" s="74"/>
      <c r="AA1791" s="74"/>
      <c r="AB1791" s="74"/>
      <c r="AC1791" s="74"/>
      <c r="AN1791" s="74"/>
      <c r="AO1791" s="74"/>
      <c r="AP1791" s="74"/>
      <c r="AQ1791" s="74"/>
      <c r="AR1791" s="74"/>
      <c r="AS1791" s="74"/>
      <c r="BD1791" s="74"/>
      <c r="BE1791" s="74"/>
      <c r="BF1791" s="74"/>
      <c r="BG1791" s="74"/>
      <c r="BH1791" s="74"/>
      <c r="BI1791" s="74"/>
    </row>
    <row r="1792" spans="24:61" x14ac:dyDescent="0.3">
      <c r="X1792" s="74"/>
      <c r="Y1792" s="74"/>
      <c r="Z1792" s="74"/>
      <c r="AA1792" s="74"/>
      <c r="AB1792" s="74"/>
      <c r="AC1792" s="74"/>
      <c r="AN1792" s="74"/>
      <c r="AO1792" s="74"/>
      <c r="AP1792" s="74"/>
      <c r="AQ1792" s="74"/>
      <c r="AR1792" s="74"/>
      <c r="AS1792" s="74"/>
      <c r="BD1792" s="74"/>
      <c r="BE1792" s="74"/>
      <c r="BF1792" s="74"/>
      <c r="BG1792" s="74"/>
      <c r="BH1792" s="74"/>
      <c r="BI1792" s="74"/>
    </row>
    <row r="1793" spans="24:61" x14ac:dyDescent="0.3">
      <c r="X1793" s="74"/>
      <c r="Y1793" s="74"/>
      <c r="Z1793" s="74"/>
      <c r="AA1793" s="74"/>
      <c r="AB1793" s="74"/>
      <c r="AC1793" s="74"/>
      <c r="AN1793" s="74"/>
      <c r="AO1793" s="74"/>
      <c r="AP1793" s="74"/>
      <c r="AQ1793" s="74"/>
      <c r="AR1793" s="74"/>
      <c r="AS1793" s="74"/>
      <c r="BD1793" s="74"/>
      <c r="BE1793" s="74"/>
      <c r="BF1793" s="74"/>
      <c r="BG1793" s="74"/>
      <c r="BH1793" s="74"/>
      <c r="BI1793" s="74"/>
    </row>
    <row r="1794" spans="24:61" x14ac:dyDescent="0.3">
      <c r="X1794" s="74"/>
      <c r="Y1794" s="74"/>
      <c r="Z1794" s="74"/>
      <c r="AA1794" s="74"/>
      <c r="AB1794" s="74"/>
      <c r="AC1794" s="74"/>
      <c r="AN1794" s="74"/>
      <c r="AO1794" s="74"/>
      <c r="AP1794" s="74"/>
      <c r="AQ1794" s="74"/>
      <c r="AR1794" s="74"/>
      <c r="AS1794" s="74"/>
      <c r="BD1794" s="74"/>
      <c r="BE1794" s="74"/>
      <c r="BF1794" s="74"/>
      <c r="BG1794" s="74"/>
      <c r="BH1794" s="74"/>
      <c r="BI1794" s="74"/>
    </row>
    <row r="1795" spans="24:61" x14ac:dyDescent="0.3">
      <c r="X1795" s="74"/>
      <c r="Y1795" s="74"/>
      <c r="Z1795" s="74"/>
      <c r="AA1795" s="74"/>
      <c r="AB1795" s="74"/>
      <c r="AC1795" s="74"/>
      <c r="AN1795" s="74"/>
      <c r="AO1795" s="74"/>
      <c r="AP1795" s="74"/>
      <c r="AQ1795" s="74"/>
      <c r="AR1795" s="74"/>
      <c r="AS1795" s="74"/>
      <c r="BD1795" s="74"/>
      <c r="BE1795" s="74"/>
      <c r="BF1795" s="74"/>
      <c r="BG1795" s="74"/>
      <c r="BH1795" s="74"/>
      <c r="BI1795" s="74"/>
    </row>
    <row r="1796" spans="24:61" x14ac:dyDescent="0.3">
      <c r="X1796" s="74"/>
      <c r="Y1796" s="74"/>
      <c r="Z1796" s="74"/>
      <c r="AA1796" s="74"/>
      <c r="AB1796" s="74"/>
      <c r="AC1796" s="74"/>
      <c r="AN1796" s="74"/>
      <c r="AO1796" s="74"/>
      <c r="AP1796" s="74"/>
      <c r="AQ1796" s="74"/>
      <c r="AR1796" s="74"/>
      <c r="AS1796" s="74"/>
      <c r="BD1796" s="74"/>
      <c r="BE1796" s="74"/>
      <c r="BF1796" s="74"/>
      <c r="BG1796" s="74"/>
      <c r="BH1796" s="74"/>
      <c r="BI1796" s="74"/>
    </row>
    <row r="1797" spans="24:61" x14ac:dyDescent="0.3">
      <c r="X1797" s="74"/>
      <c r="Y1797" s="74"/>
      <c r="Z1797" s="74"/>
      <c r="AA1797" s="74"/>
      <c r="AB1797" s="74"/>
      <c r="AC1797" s="74"/>
      <c r="AN1797" s="74"/>
      <c r="AO1797" s="74"/>
      <c r="AP1797" s="74"/>
      <c r="AQ1797" s="74"/>
      <c r="AR1797" s="74"/>
      <c r="AS1797" s="74"/>
      <c r="BD1797" s="74"/>
      <c r="BE1797" s="74"/>
      <c r="BF1797" s="74"/>
      <c r="BG1797" s="74"/>
      <c r="BH1797" s="74"/>
      <c r="BI1797" s="74"/>
    </row>
    <row r="1798" spans="24:61" x14ac:dyDescent="0.3">
      <c r="X1798" s="74"/>
      <c r="Y1798" s="74"/>
      <c r="Z1798" s="74"/>
      <c r="AA1798" s="74"/>
      <c r="AB1798" s="74"/>
      <c r="AC1798" s="74"/>
      <c r="AN1798" s="74"/>
      <c r="AO1798" s="74"/>
      <c r="AP1798" s="74"/>
      <c r="AQ1798" s="74"/>
      <c r="AR1798" s="74"/>
      <c r="AS1798" s="74"/>
      <c r="BD1798" s="74"/>
      <c r="BE1798" s="74"/>
      <c r="BF1798" s="74"/>
      <c r="BG1798" s="74"/>
      <c r="BH1798" s="74"/>
      <c r="BI1798" s="74"/>
    </row>
    <row r="1799" spans="24:61" x14ac:dyDescent="0.3">
      <c r="X1799" s="74"/>
      <c r="Y1799" s="74"/>
      <c r="Z1799" s="74"/>
      <c r="AA1799" s="74"/>
      <c r="AB1799" s="74"/>
      <c r="AC1799" s="74"/>
      <c r="AN1799" s="74"/>
      <c r="AO1799" s="74"/>
      <c r="AP1799" s="74"/>
      <c r="AQ1799" s="74"/>
      <c r="AR1799" s="74"/>
      <c r="AS1799" s="74"/>
      <c r="BD1799" s="74"/>
      <c r="BE1799" s="74"/>
      <c r="BF1799" s="74"/>
      <c r="BG1799" s="74"/>
      <c r="BH1799" s="74"/>
      <c r="BI1799" s="74"/>
    </row>
    <row r="1800" spans="24:61" x14ac:dyDescent="0.3">
      <c r="X1800" s="74"/>
      <c r="Y1800" s="74"/>
      <c r="Z1800" s="74"/>
      <c r="AA1800" s="74"/>
      <c r="AB1800" s="74"/>
      <c r="AC1800" s="74"/>
      <c r="AN1800" s="74"/>
      <c r="AO1800" s="74"/>
      <c r="AP1800" s="74"/>
      <c r="AQ1800" s="74"/>
      <c r="AR1800" s="74"/>
      <c r="AS1800" s="74"/>
      <c r="BD1800" s="74"/>
      <c r="BE1800" s="74"/>
      <c r="BF1800" s="74"/>
      <c r="BG1800" s="74"/>
      <c r="BH1800" s="74"/>
      <c r="BI1800" s="74"/>
    </row>
    <row r="1801" spans="24:61" x14ac:dyDescent="0.3">
      <c r="X1801" s="74"/>
      <c r="Y1801" s="74"/>
      <c r="Z1801" s="74"/>
      <c r="AA1801" s="74"/>
      <c r="AB1801" s="74"/>
      <c r="AC1801" s="74"/>
      <c r="AN1801" s="74"/>
      <c r="AO1801" s="74"/>
      <c r="AP1801" s="74"/>
      <c r="AQ1801" s="74"/>
      <c r="AR1801" s="74"/>
      <c r="AS1801" s="74"/>
      <c r="BD1801" s="74"/>
      <c r="BE1801" s="74"/>
      <c r="BF1801" s="74"/>
      <c r="BG1801" s="74"/>
      <c r="BH1801" s="74"/>
      <c r="BI1801" s="74"/>
    </row>
    <row r="1802" spans="24:61" x14ac:dyDescent="0.3">
      <c r="X1802" s="74"/>
      <c r="Y1802" s="74"/>
      <c r="Z1802" s="74"/>
      <c r="AA1802" s="74"/>
      <c r="AB1802" s="74"/>
      <c r="AC1802" s="74"/>
      <c r="AN1802" s="74"/>
      <c r="AO1802" s="74"/>
      <c r="AP1802" s="74"/>
      <c r="AQ1802" s="74"/>
      <c r="AR1802" s="74"/>
      <c r="AS1802" s="74"/>
      <c r="BD1802" s="74"/>
      <c r="BE1802" s="74"/>
      <c r="BF1802" s="74"/>
      <c r="BG1802" s="74"/>
      <c r="BH1802" s="74"/>
      <c r="BI1802" s="74"/>
    </row>
    <row r="1803" spans="24:61" x14ac:dyDescent="0.3">
      <c r="X1803" s="74"/>
      <c r="Y1803" s="74"/>
      <c r="Z1803" s="74"/>
      <c r="AA1803" s="74"/>
      <c r="AB1803" s="74"/>
      <c r="AC1803" s="74"/>
      <c r="AN1803" s="74"/>
      <c r="AO1803" s="74"/>
      <c r="AP1803" s="74"/>
      <c r="AQ1803" s="74"/>
      <c r="AR1803" s="74"/>
      <c r="AS1803" s="74"/>
      <c r="BD1803" s="74"/>
      <c r="BE1803" s="74"/>
      <c r="BF1803" s="74"/>
      <c r="BG1803" s="74"/>
      <c r="BH1803" s="74"/>
      <c r="BI1803" s="74"/>
    </row>
    <row r="1804" spans="24:61" x14ac:dyDescent="0.3">
      <c r="X1804" s="74"/>
      <c r="Y1804" s="74"/>
      <c r="Z1804" s="74"/>
      <c r="AA1804" s="74"/>
      <c r="AB1804" s="74"/>
      <c r="AC1804" s="74"/>
      <c r="AN1804" s="74"/>
      <c r="AO1804" s="74"/>
      <c r="AP1804" s="74"/>
      <c r="AQ1804" s="74"/>
      <c r="AR1804" s="74"/>
      <c r="AS1804" s="74"/>
      <c r="BD1804" s="74"/>
      <c r="BE1804" s="74"/>
      <c r="BF1804" s="74"/>
      <c r="BG1804" s="74"/>
      <c r="BH1804" s="74"/>
      <c r="BI1804" s="74"/>
    </row>
    <row r="1805" spans="24:61" x14ac:dyDescent="0.3">
      <c r="X1805" s="74"/>
      <c r="Y1805" s="74"/>
      <c r="Z1805" s="74"/>
      <c r="AA1805" s="74"/>
      <c r="AB1805" s="74"/>
      <c r="AC1805" s="74"/>
      <c r="AN1805" s="74"/>
      <c r="AO1805" s="74"/>
      <c r="AP1805" s="74"/>
      <c r="AQ1805" s="74"/>
      <c r="AR1805" s="74"/>
      <c r="AS1805" s="74"/>
      <c r="BD1805" s="74"/>
      <c r="BE1805" s="74"/>
      <c r="BF1805" s="74"/>
      <c r="BG1805" s="74"/>
      <c r="BH1805" s="74"/>
      <c r="BI1805" s="74"/>
    </row>
    <row r="1806" spans="24:61" x14ac:dyDescent="0.3">
      <c r="X1806" s="74"/>
      <c r="Y1806" s="74"/>
      <c r="Z1806" s="74"/>
      <c r="AA1806" s="74"/>
      <c r="AB1806" s="74"/>
      <c r="AC1806" s="74"/>
      <c r="AN1806" s="74"/>
      <c r="AO1806" s="74"/>
      <c r="AP1806" s="74"/>
      <c r="AQ1806" s="74"/>
      <c r="AR1806" s="74"/>
      <c r="AS1806" s="74"/>
      <c r="BD1806" s="74"/>
      <c r="BE1806" s="74"/>
      <c r="BF1806" s="74"/>
      <c r="BG1806" s="74"/>
      <c r="BH1806" s="74"/>
      <c r="BI1806" s="74"/>
    </row>
    <row r="1807" spans="24:61" x14ac:dyDescent="0.3">
      <c r="X1807" s="74"/>
      <c r="Y1807" s="74"/>
      <c r="Z1807" s="74"/>
      <c r="AA1807" s="74"/>
      <c r="AB1807" s="74"/>
      <c r="AC1807" s="74"/>
      <c r="AN1807" s="74"/>
      <c r="AO1807" s="74"/>
      <c r="AP1807" s="74"/>
      <c r="AQ1807" s="74"/>
      <c r="AR1807" s="74"/>
      <c r="AS1807" s="74"/>
      <c r="BD1807" s="74"/>
      <c r="BE1807" s="74"/>
      <c r="BF1807" s="74"/>
      <c r="BG1807" s="74"/>
      <c r="BH1807" s="74"/>
      <c r="BI1807" s="74"/>
    </row>
    <row r="1808" spans="24:61" x14ac:dyDescent="0.3">
      <c r="X1808" s="74"/>
      <c r="Y1808" s="74"/>
      <c r="Z1808" s="74"/>
      <c r="AA1808" s="74"/>
      <c r="AB1808" s="74"/>
      <c r="AC1808" s="74"/>
      <c r="AN1808" s="74"/>
      <c r="AO1808" s="74"/>
      <c r="AP1808" s="74"/>
      <c r="AQ1808" s="74"/>
      <c r="AR1808" s="74"/>
      <c r="AS1808" s="74"/>
      <c r="BD1808" s="74"/>
      <c r="BE1808" s="74"/>
      <c r="BF1808" s="74"/>
      <c r="BG1808" s="74"/>
      <c r="BH1808" s="74"/>
      <c r="BI1808" s="74"/>
    </row>
    <row r="1809" spans="24:61" x14ac:dyDescent="0.3">
      <c r="X1809" s="74"/>
      <c r="Y1809" s="74"/>
      <c r="Z1809" s="74"/>
      <c r="AA1809" s="74"/>
      <c r="AB1809" s="74"/>
      <c r="AC1809" s="74"/>
      <c r="AN1809" s="74"/>
      <c r="AO1809" s="74"/>
      <c r="AP1809" s="74"/>
      <c r="AQ1809" s="74"/>
      <c r="AR1809" s="74"/>
      <c r="AS1809" s="74"/>
      <c r="BD1809" s="74"/>
      <c r="BE1809" s="74"/>
      <c r="BF1809" s="74"/>
      <c r="BG1809" s="74"/>
      <c r="BH1809" s="74"/>
      <c r="BI1809" s="74"/>
    </row>
    <row r="1810" spans="24:61" x14ac:dyDescent="0.3">
      <c r="X1810" s="74"/>
      <c r="Y1810" s="74"/>
      <c r="Z1810" s="74"/>
      <c r="AA1810" s="74"/>
      <c r="AB1810" s="74"/>
      <c r="AC1810" s="74"/>
      <c r="AN1810" s="74"/>
      <c r="AO1810" s="74"/>
      <c r="AP1810" s="74"/>
      <c r="AQ1810" s="74"/>
      <c r="AR1810" s="74"/>
      <c r="AS1810" s="74"/>
      <c r="BD1810" s="74"/>
      <c r="BE1810" s="74"/>
      <c r="BF1810" s="74"/>
      <c r="BG1810" s="74"/>
      <c r="BH1810" s="74"/>
      <c r="BI1810" s="74"/>
    </row>
    <row r="1811" spans="24:61" x14ac:dyDescent="0.3">
      <c r="X1811" s="74"/>
      <c r="Y1811" s="74"/>
      <c r="Z1811" s="74"/>
      <c r="AA1811" s="74"/>
      <c r="AB1811" s="74"/>
      <c r="AC1811" s="74"/>
      <c r="AN1811" s="74"/>
      <c r="AO1811" s="74"/>
      <c r="AP1811" s="74"/>
      <c r="AQ1811" s="74"/>
      <c r="AR1811" s="74"/>
      <c r="AS1811" s="74"/>
      <c r="BD1811" s="74"/>
      <c r="BE1811" s="74"/>
      <c r="BF1811" s="74"/>
      <c r="BG1811" s="74"/>
      <c r="BH1811" s="74"/>
      <c r="BI1811" s="74"/>
    </row>
    <row r="1812" spans="24:61" x14ac:dyDescent="0.3">
      <c r="X1812" s="74"/>
      <c r="Y1812" s="74"/>
      <c r="Z1812" s="74"/>
      <c r="AA1812" s="74"/>
      <c r="AB1812" s="74"/>
      <c r="AC1812" s="74"/>
      <c r="AN1812" s="74"/>
      <c r="AO1812" s="74"/>
      <c r="AP1812" s="74"/>
      <c r="AQ1812" s="74"/>
      <c r="AR1812" s="74"/>
      <c r="AS1812" s="74"/>
      <c r="BD1812" s="74"/>
      <c r="BE1812" s="74"/>
      <c r="BF1812" s="74"/>
      <c r="BG1812" s="74"/>
      <c r="BH1812" s="74"/>
      <c r="BI1812" s="74"/>
    </row>
    <row r="1813" spans="24:61" x14ac:dyDescent="0.3">
      <c r="X1813" s="74"/>
      <c r="Y1813" s="74"/>
      <c r="Z1813" s="74"/>
      <c r="AA1813" s="74"/>
      <c r="AB1813" s="74"/>
      <c r="AC1813" s="74"/>
      <c r="AN1813" s="74"/>
      <c r="AO1813" s="74"/>
      <c r="AP1813" s="74"/>
      <c r="AQ1813" s="74"/>
      <c r="AR1813" s="74"/>
      <c r="AS1813" s="74"/>
      <c r="BD1813" s="74"/>
      <c r="BE1813" s="74"/>
      <c r="BF1813" s="74"/>
      <c r="BG1813" s="74"/>
      <c r="BH1813" s="74"/>
      <c r="BI1813" s="74"/>
    </row>
    <row r="1814" spans="24:61" x14ac:dyDescent="0.3">
      <c r="X1814" s="74"/>
      <c r="Y1814" s="74"/>
      <c r="Z1814" s="74"/>
      <c r="AA1814" s="74"/>
      <c r="AB1814" s="74"/>
      <c r="AC1814" s="74"/>
      <c r="AN1814" s="74"/>
      <c r="AO1814" s="74"/>
      <c r="AP1814" s="74"/>
      <c r="AQ1814" s="74"/>
      <c r="AR1814" s="74"/>
      <c r="AS1814" s="74"/>
      <c r="BD1814" s="74"/>
      <c r="BE1814" s="74"/>
      <c r="BF1814" s="74"/>
      <c r="BG1814" s="74"/>
      <c r="BH1814" s="74"/>
      <c r="BI1814" s="74"/>
    </row>
    <row r="1815" spans="24:61" x14ac:dyDescent="0.3">
      <c r="X1815" s="74"/>
      <c r="Y1815" s="74"/>
      <c r="Z1815" s="74"/>
      <c r="AA1815" s="74"/>
      <c r="AB1815" s="74"/>
      <c r="AC1815" s="74"/>
      <c r="AN1815" s="74"/>
      <c r="AO1815" s="74"/>
      <c r="AP1815" s="74"/>
      <c r="AQ1815" s="74"/>
      <c r="AR1815" s="74"/>
      <c r="AS1815" s="74"/>
      <c r="BD1815" s="74"/>
      <c r="BE1815" s="74"/>
      <c r="BF1815" s="74"/>
      <c r="BG1815" s="74"/>
      <c r="BH1815" s="74"/>
      <c r="BI1815" s="74"/>
    </row>
    <row r="1816" spans="24:61" x14ac:dyDescent="0.3">
      <c r="X1816" s="74"/>
      <c r="Y1816" s="74"/>
      <c r="Z1816" s="74"/>
      <c r="AA1816" s="74"/>
      <c r="AB1816" s="74"/>
      <c r="AC1816" s="74"/>
      <c r="AN1816" s="74"/>
      <c r="AO1816" s="74"/>
      <c r="AP1816" s="74"/>
      <c r="AQ1816" s="74"/>
      <c r="AR1816" s="74"/>
      <c r="AS1816" s="74"/>
      <c r="BD1816" s="74"/>
      <c r="BE1816" s="74"/>
      <c r="BF1816" s="74"/>
      <c r="BG1816" s="74"/>
      <c r="BH1816" s="74"/>
      <c r="BI1816" s="74"/>
    </row>
    <row r="1817" spans="24:61" x14ac:dyDescent="0.3">
      <c r="X1817" s="74"/>
      <c r="Y1817" s="74"/>
      <c r="Z1817" s="74"/>
      <c r="AA1817" s="74"/>
      <c r="AB1817" s="74"/>
      <c r="AC1817" s="74"/>
      <c r="AN1817" s="74"/>
      <c r="AO1817" s="74"/>
      <c r="AP1817" s="74"/>
      <c r="AQ1817" s="74"/>
      <c r="AR1817" s="74"/>
      <c r="AS1817" s="74"/>
      <c r="BD1817" s="74"/>
      <c r="BE1817" s="74"/>
      <c r="BF1817" s="74"/>
      <c r="BG1817" s="74"/>
      <c r="BH1817" s="74"/>
      <c r="BI1817" s="74"/>
    </row>
    <row r="1818" spans="24:61" x14ac:dyDescent="0.3">
      <c r="X1818" s="74"/>
      <c r="Y1818" s="74"/>
      <c r="Z1818" s="74"/>
      <c r="AA1818" s="74"/>
      <c r="AB1818" s="74"/>
      <c r="AC1818" s="74"/>
      <c r="AN1818" s="74"/>
      <c r="AO1818" s="74"/>
      <c r="AP1818" s="74"/>
      <c r="AQ1818" s="74"/>
      <c r="AR1818" s="74"/>
      <c r="AS1818" s="74"/>
      <c r="BD1818" s="74"/>
      <c r="BE1818" s="74"/>
      <c r="BF1818" s="74"/>
      <c r="BG1818" s="74"/>
      <c r="BH1818" s="74"/>
      <c r="BI1818" s="74"/>
    </row>
    <row r="1819" spans="24:61" x14ac:dyDescent="0.3">
      <c r="X1819" s="74"/>
      <c r="Y1819" s="74"/>
      <c r="Z1819" s="74"/>
      <c r="AA1819" s="74"/>
      <c r="AB1819" s="74"/>
      <c r="AC1819" s="74"/>
      <c r="AN1819" s="74"/>
      <c r="AO1819" s="74"/>
      <c r="AP1819" s="74"/>
      <c r="AQ1819" s="74"/>
      <c r="AR1819" s="74"/>
      <c r="AS1819" s="74"/>
      <c r="BD1819" s="74"/>
      <c r="BE1819" s="74"/>
      <c r="BF1819" s="74"/>
      <c r="BG1819" s="74"/>
      <c r="BH1819" s="74"/>
      <c r="BI1819" s="74"/>
    </row>
    <row r="1820" spans="24:61" x14ac:dyDescent="0.3">
      <c r="X1820" s="74"/>
      <c r="Y1820" s="74"/>
      <c r="Z1820" s="74"/>
      <c r="AA1820" s="74"/>
      <c r="AB1820" s="74"/>
      <c r="AC1820" s="74"/>
      <c r="AN1820" s="74"/>
      <c r="AO1820" s="74"/>
      <c r="AP1820" s="74"/>
      <c r="AQ1820" s="74"/>
      <c r="AR1820" s="74"/>
      <c r="AS1820" s="74"/>
      <c r="BD1820" s="74"/>
      <c r="BE1820" s="74"/>
      <c r="BF1820" s="74"/>
      <c r="BG1820" s="74"/>
      <c r="BH1820" s="74"/>
      <c r="BI1820" s="74"/>
    </row>
    <row r="1821" spans="24:61" x14ac:dyDescent="0.3">
      <c r="X1821" s="74"/>
      <c r="Y1821" s="74"/>
      <c r="Z1821" s="74"/>
      <c r="AA1821" s="74"/>
      <c r="AB1821" s="74"/>
      <c r="AC1821" s="74"/>
      <c r="AN1821" s="74"/>
      <c r="AO1821" s="74"/>
      <c r="AP1821" s="74"/>
      <c r="AQ1821" s="74"/>
      <c r="AR1821" s="74"/>
      <c r="AS1821" s="74"/>
      <c r="BD1821" s="74"/>
      <c r="BE1821" s="74"/>
      <c r="BF1821" s="74"/>
      <c r="BG1821" s="74"/>
      <c r="BH1821" s="74"/>
      <c r="BI1821" s="74"/>
    </row>
    <row r="1822" spans="24:61" x14ac:dyDescent="0.3">
      <c r="X1822" s="74"/>
      <c r="Y1822" s="74"/>
      <c r="Z1822" s="74"/>
      <c r="AA1822" s="74"/>
      <c r="AB1822" s="74"/>
      <c r="AC1822" s="74"/>
      <c r="AN1822" s="74"/>
      <c r="AO1822" s="74"/>
      <c r="AP1822" s="74"/>
      <c r="AQ1822" s="74"/>
      <c r="AR1822" s="74"/>
      <c r="AS1822" s="74"/>
      <c r="BD1822" s="74"/>
      <c r="BE1822" s="74"/>
      <c r="BF1822" s="74"/>
      <c r="BG1822" s="74"/>
      <c r="BH1822" s="74"/>
      <c r="BI1822" s="74"/>
    </row>
    <row r="1823" spans="24:61" x14ac:dyDescent="0.3">
      <c r="X1823" s="74"/>
      <c r="Y1823" s="74"/>
      <c r="Z1823" s="74"/>
      <c r="AA1823" s="74"/>
      <c r="AB1823" s="74"/>
      <c r="AC1823" s="74"/>
      <c r="AN1823" s="74"/>
      <c r="AO1823" s="74"/>
      <c r="AP1823" s="74"/>
      <c r="AQ1823" s="74"/>
      <c r="AR1823" s="74"/>
      <c r="AS1823" s="74"/>
      <c r="BD1823" s="74"/>
      <c r="BE1823" s="74"/>
      <c r="BF1823" s="74"/>
      <c r="BG1823" s="74"/>
      <c r="BH1823" s="74"/>
      <c r="BI1823" s="74"/>
    </row>
    <row r="1824" spans="24:61" x14ac:dyDescent="0.3">
      <c r="X1824" s="74"/>
      <c r="Y1824" s="74"/>
      <c r="Z1824" s="74"/>
      <c r="AA1824" s="74"/>
      <c r="AB1824" s="74"/>
      <c r="AC1824" s="74"/>
      <c r="AN1824" s="74"/>
      <c r="AO1824" s="74"/>
      <c r="AP1824" s="74"/>
      <c r="AQ1824" s="74"/>
      <c r="AR1824" s="74"/>
      <c r="AS1824" s="74"/>
      <c r="BD1824" s="74"/>
      <c r="BE1824" s="74"/>
      <c r="BF1824" s="74"/>
      <c r="BG1824" s="74"/>
      <c r="BH1824" s="74"/>
      <c r="BI1824" s="74"/>
    </row>
    <row r="1825" spans="24:61" x14ac:dyDescent="0.3">
      <c r="X1825" s="74"/>
      <c r="Y1825" s="74"/>
      <c r="Z1825" s="74"/>
      <c r="AA1825" s="74"/>
      <c r="AB1825" s="74"/>
      <c r="AC1825" s="74"/>
      <c r="AN1825" s="74"/>
      <c r="AO1825" s="74"/>
      <c r="AP1825" s="74"/>
      <c r="AQ1825" s="74"/>
      <c r="AR1825" s="74"/>
      <c r="AS1825" s="74"/>
      <c r="BD1825" s="74"/>
      <c r="BE1825" s="74"/>
      <c r="BF1825" s="74"/>
      <c r="BG1825" s="74"/>
      <c r="BH1825" s="74"/>
      <c r="BI1825" s="74"/>
    </row>
    <row r="1826" spans="24:61" x14ac:dyDescent="0.3">
      <c r="X1826" s="74"/>
      <c r="Y1826" s="74"/>
      <c r="Z1826" s="74"/>
      <c r="AA1826" s="74"/>
      <c r="AB1826" s="74"/>
      <c r="AC1826" s="74"/>
      <c r="AN1826" s="74"/>
      <c r="AO1826" s="74"/>
      <c r="AP1826" s="74"/>
      <c r="AQ1826" s="74"/>
      <c r="AR1826" s="74"/>
      <c r="AS1826" s="74"/>
      <c r="BD1826" s="74"/>
      <c r="BE1826" s="74"/>
      <c r="BF1826" s="74"/>
      <c r="BG1826" s="74"/>
      <c r="BH1826" s="74"/>
      <c r="BI1826" s="74"/>
    </row>
    <row r="1827" spans="24:61" x14ac:dyDescent="0.3">
      <c r="X1827" s="74"/>
      <c r="Y1827" s="74"/>
      <c r="Z1827" s="74"/>
      <c r="AA1827" s="74"/>
      <c r="AB1827" s="74"/>
      <c r="AC1827" s="74"/>
      <c r="AN1827" s="74"/>
      <c r="AO1827" s="74"/>
      <c r="AP1827" s="74"/>
      <c r="AQ1827" s="74"/>
      <c r="AR1827" s="74"/>
      <c r="AS1827" s="74"/>
      <c r="BD1827" s="74"/>
      <c r="BE1827" s="74"/>
      <c r="BF1827" s="74"/>
      <c r="BG1827" s="74"/>
      <c r="BH1827" s="74"/>
      <c r="BI1827" s="74"/>
    </row>
    <row r="1828" spans="24:61" x14ac:dyDescent="0.3">
      <c r="X1828" s="74"/>
      <c r="Y1828" s="74"/>
      <c r="Z1828" s="74"/>
      <c r="AA1828" s="74"/>
      <c r="AB1828" s="74"/>
      <c r="AC1828" s="74"/>
      <c r="AN1828" s="74"/>
      <c r="AO1828" s="74"/>
      <c r="AP1828" s="74"/>
      <c r="AQ1828" s="74"/>
      <c r="AR1828" s="74"/>
      <c r="AS1828" s="74"/>
      <c r="BD1828" s="74"/>
      <c r="BE1828" s="74"/>
      <c r="BF1828" s="74"/>
      <c r="BG1828" s="74"/>
      <c r="BH1828" s="74"/>
      <c r="BI1828" s="74"/>
    </row>
    <row r="1829" spans="24:61" x14ac:dyDescent="0.3">
      <c r="X1829" s="74"/>
      <c r="Y1829" s="74"/>
      <c r="Z1829" s="74"/>
      <c r="AA1829" s="74"/>
      <c r="AB1829" s="74"/>
      <c r="AC1829" s="74"/>
      <c r="AN1829" s="74"/>
      <c r="AO1829" s="74"/>
      <c r="AP1829" s="74"/>
      <c r="AQ1829" s="74"/>
      <c r="AR1829" s="74"/>
      <c r="AS1829" s="74"/>
      <c r="BD1829" s="74"/>
      <c r="BE1829" s="74"/>
      <c r="BF1829" s="74"/>
      <c r="BG1829" s="74"/>
      <c r="BH1829" s="74"/>
      <c r="BI1829" s="74"/>
    </row>
    <row r="1830" spans="24:61" x14ac:dyDescent="0.3">
      <c r="X1830" s="74"/>
      <c r="Y1830" s="74"/>
      <c r="Z1830" s="74"/>
      <c r="AA1830" s="74"/>
      <c r="AB1830" s="74"/>
      <c r="AC1830" s="74"/>
      <c r="AN1830" s="74"/>
      <c r="AO1830" s="74"/>
      <c r="AP1830" s="74"/>
      <c r="AQ1830" s="74"/>
      <c r="AR1830" s="74"/>
      <c r="AS1830" s="74"/>
      <c r="BD1830" s="74"/>
      <c r="BE1830" s="74"/>
      <c r="BF1830" s="74"/>
      <c r="BG1830" s="74"/>
      <c r="BH1830" s="74"/>
      <c r="BI1830" s="74"/>
    </row>
    <row r="1831" spans="24:61" x14ac:dyDescent="0.3">
      <c r="X1831" s="74"/>
      <c r="Y1831" s="74"/>
      <c r="Z1831" s="74"/>
      <c r="AA1831" s="74"/>
      <c r="AB1831" s="74"/>
      <c r="AC1831" s="74"/>
      <c r="AN1831" s="74"/>
      <c r="AO1831" s="74"/>
      <c r="AP1831" s="74"/>
      <c r="AQ1831" s="74"/>
      <c r="AR1831" s="74"/>
      <c r="AS1831" s="74"/>
      <c r="BD1831" s="74"/>
      <c r="BE1831" s="74"/>
      <c r="BF1831" s="74"/>
      <c r="BG1831" s="74"/>
      <c r="BH1831" s="74"/>
      <c r="BI1831" s="74"/>
    </row>
    <row r="1832" spans="24:61" x14ac:dyDescent="0.3">
      <c r="X1832" s="74"/>
      <c r="Y1832" s="74"/>
      <c r="Z1832" s="74"/>
      <c r="AA1832" s="74"/>
      <c r="AB1832" s="74"/>
      <c r="AC1832" s="74"/>
      <c r="AN1832" s="74"/>
      <c r="AO1832" s="74"/>
      <c r="AP1832" s="74"/>
      <c r="AQ1832" s="74"/>
      <c r="AR1832" s="74"/>
      <c r="AS1832" s="74"/>
      <c r="BD1832" s="74"/>
      <c r="BE1832" s="74"/>
      <c r="BF1832" s="74"/>
      <c r="BG1832" s="74"/>
      <c r="BH1832" s="74"/>
      <c r="BI1832" s="74"/>
    </row>
    <row r="1833" spans="24:61" x14ac:dyDescent="0.3">
      <c r="X1833" s="74"/>
      <c r="Y1833" s="74"/>
      <c r="Z1833" s="74"/>
      <c r="AA1833" s="74"/>
      <c r="AB1833" s="74"/>
      <c r="AC1833" s="74"/>
      <c r="AN1833" s="74"/>
      <c r="AO1833" s="74"/>
      <c r="AP1833" s="74"/>
      <c r="AQ1833" s="74"/>
      <c r="AR1833" s="74"/>
      <c r="AS1833" s="74"/>
      <c r="BD1833" s="74"/>
      <c r="BE1833" s="74"/>
      <c r="BF1833" s="74"/>
      <c r="BG1833" s="74"/>
      <c r="BH1833" s="74"/>
      <c r="BI1833" s="74"/>
    </row>
    <row r="1834" spans="24:61" x14ac:dyDescent="0.3">
      <c r="X1834" s="74"/>
      <c r="Y1834" s="74"/>
      <c r="Z1834" s="74"/>
      <c r="AA1834" s="74"/>
      <c r="AB1834" s="74"/>
      <c r="AC1834" s="74"/>
      <c r="AN1834" s="74"/>
      <c r="AO1834" s="74"/>
      <c r="AP1834" s="74"/>
      <c r="AQ1834" s="74"/>
      <c r="AR1834" s="74"/>
      <c r="AS1834" s="74"/>
      <c r="BD1834" s="74"/>
      <c r="BE1834" s="74"/>
      <c r="BF1834" s="74"/>
      <c r="BG1834" s="74"/>
      <c r="BH1834" s="74"/>
      <c r="BI1834" s="74"/>
    </row>
    <row r="1835" spans="24:61" x14ac:dyDescent="0.3">
      <c r="X1835" s="74"/>
      <c r="Y1835" s="74"/>
      <c r="Z1835" s="74"/>
      <c r="AA1835" s="74"/>
      <c r="AB1835" s="74"/>
      <c r="AC1835" s="74"/>
      <c r="AN1835" s="74"/>
      <c r="AO1835" s="74"/>
      <c r="AP1835" s="74"/>
      <c r="AQ1835" s="74"/>
      <c r="AR1835" s="74"/>
      <c r="AS1835" s="74"/>
      <c r="BD1835" s="74"/>
      <c r="BE1835" s="74"/>
      <c r="BF1835" s="74"/>
      <c r="BG1835" s="74"/>
      <c r="BH1835" s="74"/>
      <c r="BI1835" s="74"/>
    </row>
    <row r="1836" spans="24:61" x14ac:dyDescent="0.3">
      <c r="X1836" s="74"/>
      <c r="Y1836" s="74"/>
      <c r="Z1836" s="74"/>
      <c r="AA1836" s="74"/>
      <c r="AB1836" s="74"/>
      <c r="AC1836" s="74"/>
      <c r="AN1836" s="74"/>
      <c r="AO1836" s="74"/>
      <c r="AP1836" s="74"/>
      <c r="AQ1836" s="74"/>
      <c r="AR1836" s="74"/>
      <c r="AS1836" s="74"/>
      <c r="BD1836" s="74"/>
      <c r="BE1836" s="74"/>
      <c r="BF1836" s="74"/>
      <c r="BG1836" s="74"/>
      <c r="BH1836" s="74"/>
      <c r="BI1836" s="74"/>
    </row>
    <row r="1837" spans="24:61" x14ac:dyDescent="0.3">
      <c r="X1837" s="74"/>
      <c r="Y1837" s="74"/>
      <c r="Z1837" s="74"/>
      <c r="AA1837" s="74"/>
      <c r="AB1837" s="74"/>
      <c r="AC1837" s="74"/>
      <c r="AN1837" s="74"/>
      <c r="AO1837" s="74"/>
      <c r="AP1837" s="74"/>
      <c r="AQ1837" s="74"/>
      <c r="AR1837" s="74"/>
      <c r="AS1837" s="74"/>
      <c r="BD1837" s="74"/>
      <c r="BE1837" s="74"/>
      <c r="BF1837" s="74"/>
      <c r="BG1837" s="74"/>
      <c r="BH1837" s="74"/>
      <c r="BI1837" s="74"/>
    </row>
    <row r="1838" spans="24:61" x14ac:dyDescent="0.3">
      <c r="X1838" s="74"/>
      <c r="Y1838" s="74"/>
      <c r="Z1838" s="74"/>
      <c r="AA1838" s="74"/>
      <c r="AB1838" s="74"/>
      <c r="AC1838" s="74"/>
      <c r="AN1838" s="74"/>
      <c r="AO1838" s="74"/>
      <c r="AP1838" s="74"/>
      <c r="AQ1838" s="74"/>
      <c r="AR1838" s="74"/>
      <c r="AS1838" s="74"/>
      <c r="BD1838" s="74"/>
      <c r="BE1838" s="74"/>
      <c r="BF1838" s="74"/>
      <c r="BG1838" s="74"/>
      <c r="BH1838" s="74"/>
      <c r="BI1838" s="74"/>
    </row>
    <row r="1839" spans="24:61" x14ac:dyDescent="0.3">
      <c r="X1839" s="74"/>
      <c r="Y1839" s="74"/>
      <c r="Z1839" s="74"/>
      <c r="AA1839" s="74"/>
      <c r="AB1839" s="74"/>
      <c r="AC1839" s="74"/>
      <c r="AN1839" s="74"/>
      <c r="AO1839" s="74"/>
      <c r="AP1839" s="74"/>
      <c r="AQ1839" s="74"/>
      <c r="AR1839" s="74"/>
      <c r="AS1839" s="74"/>
      <c r="BD1839" s="74"/>
      <c r="BE1839" s="74"/>
      <c r="BF1839" s="74"/>
      <c r="BG1839" s="74"/>
      <c r="BH1839" s="74"/>
      <c r="BI1839" s="74"/>
    </row>
    <row r="1840" spans="24:61" x14ac:dyDescent="0.3">
      <c r="X1840" s="74"/>
      <c r="Y1840" s="74"/>
      <c r="Z1840" s="74"/>
      <c r="AA1840" s="74"/>
      <c r="AB1840" s="74"/>
      <c r="AC1840" s="74"/>
      <c r="AN1840" s="74"/>
      <c r="AO1840" s="74"/>
      <c r="AP1840" s="74"/>
      <c r="AQ1840" s="74"/>
      <c r="AR1840" s="74"/>
      <c r="AS1840" s="74"/>
      <c r="BD1840" s="74"/>
      <c r="BE1840" s="74"/>
      <c r="BF1840" s="74"/>
      <c r="BG1840" s="74"/>
      <c r="BH1840" s="74"/>
      <c r="BI1840" s="74"/>
    </row>
    <row r="1841" spans="24:61" x14ac:dyDescent="0.3">
      <c r="X1841" s="74"/>
      <c r="Y1841" s="74"/>
      <c r="Z1841" s="74"/>
      <c r="AA1841" s="74"/>
      <c r="AB1841" s="74"/>
      <c r="AC1841" s="74"/>
      <c r="AN1841" s="74"/>
      <c r="AO1841" s="74"/>
      <c r="AP1841" s="74"/>
      <c r="AQ1841" s="74"/>
      <c r="AR1841" s="74"/>
      <c r="AS1841" s="74"/>
      <c r="BD1841" s="74"/>
      <c r="BE1841" s="74"/>
      <c r="BF1841" s="74"/>
      <c r="BG1841" s="74"/>
      <c r="BH1841" s="74"/>
      <c r="BI1841" s="74"/>
    </row>
    <row r="1842" spans="24:61" x14ac:dyDescent="0.3">
      <c r="X1842" s="74"/>
      <c r="Y1842" s="74"/>
      <c r="Z1842" s="74"/>
      <c r="AA1842" s="74"/>
      <c r="AB1842" s="74"/>
      <c r="AC1842" s="74"/>
      <c r="AN1842" s="74"/>
      <c r="AO1842" s="74"/>
      <c r="AP1842" s="74"/>
      <c r="AQ1842" s="74"/>
      <c r="AR1842" s="74"/>
      <c r="AS1842" s="74"/>
      <c r="BD1842" s="74"/>
      <c r="BE1842" s="74"/>
      <c r="BF1842" s="74"/>
      <c r="BG1842" s="74"/>
      <c r="BH1842" s="74"/>
      <c r="BI1842" s="74"/>
    </row>
    <row r="1843" spans="24:61" x14ac:dyDescent="0.3">
      <c r="X1843" s="74"/>
      <c r="Y1843" s="74"/>
      <c r="Z1843" s="74"/>
      <c r="AA1843" s="74"/>
      <c r="AB1843" s="74"/>
      <c r="AC1843" s="74"/>
      <c r="AN1843" s="74"/>
      <c r="AO1843" s="74"/>
      <c r="AP1843" s="74"/>
      <c r="AQ1843" s="74"/>
      <c r="AR1843" s="74"/>
      <c r="AS1843" s="74"/>
      <c r="BD1843" s="74"/>
      <c r="BE1843" s="74"/>
      <c r="BF1843" s="74"/>
      <c r="BG1843" s="74"/>
      <c r="BH1843" s="74"/>
      <c r="BI1843" s="74"/>
    </row>
    <row r="1844" spans="24:61" x14ac:dyDescent="0.3">
      <c r="X1844" s="74"/>
      <c r="Y1844" s="74"/>
      <c r="Z1844" s="74"/>
      <c r="AA1844" s="74"/>
      <c r="AB1844" s="74"/>
      <c r="AC1844" s="74"/>
      <c r="AN1844" s="74"/>
      <c r="AO1844" s="74"/>
      <c r="AP1844" s="74"/>
      <c r="AQ1844" s="74"/>
      <c r="AR1844" s="74"/>
      <c r="AS1844" s="74"/>
      <c r="BD1844" s="74"/>
      <c r="BE1844" s="74"/>
      <c r="BF1844" s="74"/>
      <c r="BG1844" s="74"/>
      <c r="BH1844" s="74"/>
      <c r="BI1844" s="74"/>
    </row>
    <row r="1845" spans="24:61" x14ac:dyDescent="0.3">
      <c r="X1845" s="74"/>
      <c r="Y1845" s="74"/>
      <c r="Z1845" s="74"/>
      <c r="AA1845" s="74"/>
      <c r="AB1845" s="74"/>
      <c r="AC1845" s="74"/>
      <c r="AN1845" s="74"/>
      <c r="AO1845" s="74"/>
      <c r="AP1845" s="74"/>
      <c r="AQ1845" s="74"/>
      <c r="AR1845" s="74"/>
      <c r="AS1845" s="74"/>
      <c r="BD1845" s="74"/>
      <c r="BE1845" s="74"/>
      <c r="BF1845" s="74"/>
      <c r="BG1845" s="74"/>
      <c r="BH1845" s="74"/>
      <c r="BI1845" s="74"/>
    </row>
    <row r="1846" spans="24:61" x14ac:dyDescent="0.3">
      <c r="X1846" s="74"/>
      <c r="Y1846" s="74"/>
      <c r="Z1846" s="74"/>
      <c r="AA1846" s="74"/>
      <c r="AB1846" s="74"/>
      <c r="AC1846" s="74"/>
      <c r="AN1846" s="74"/>
      <c r="AO1846" s="74"/>
      <c r="AP1846" s="74"/>
      <c r="AQ1846" s="74"/>
      <c r="AR1846" s="74"/>
      <c r="AS1846" s="74"/>
      <c r="BD1846" s="74"/>
      <c r="BE1846" s="74"/>
      <c r="BF1846" s="74"/>
      <c r="BG1846" s="74"/>
      <c r="BH1846" s="74"/>
      <c r="BI1846" s="74"/>
    </row>
    <row r="1847" spans="24:61" x14ac:dyDescent="0.3">
      <c r="X1847" s="74"/>
      <c r="Y1847" s="74"/>
      <c r="Z1847" s="74"/>
      <c r="AA1847" s="74"/>
      <c r="AB1847" s="74"/>
      <c r="AC1847" s="74"/>
      <c r="AN1847" s="74"/>
      <c r="AO1847" s="74"/>
      <c r="AP1847" s="74"/>
      <c r="AQ1847" s="74"/>
      <c r="AR1847" s="74"/>
      <c r="AS1847" s="74"/>
      <c r="BD1847" s="74"/>
      <c r="BE1847" s="74"/>
      <c r="BF1847" s="74"/>
      <c r="BG1847" s="74"/>
      <c r="BH1847" s="74"/>
      <c r="BI1847" s="74"/>
    </row>
    <row r="1848" spans="24:61" x14ac:dyDescent="0.3">
      <c r="X1848" s="74"/>
      <c r="Y1848" s="74"/>
      <c r="Z1848" s="74"/>
      <c r="AA1848" s="74"/>
      <c r="AB1848" s="74"/>
      <c r="AC1848" s="74"/>
      <c r="AN1848" s="74"/>
      <c r="AO1848" s="74"/>
      <c r="AP1848" s="74"/>
      <c r="AQ1848" s="74"/>
      <c r="AR1848" s="74"/>
      <c r="AS1848" s="74"/>
      <c r="BD1848" s="74"/>
      <c r="BE1848" s="74"/>
      <c r="BF1848" s="74"/>
      <c r="BG1848" s="74"/>
      <c r="BH1848" s="74"/>
      <c r="BI1848" s="74"/>
    </row>
    <row r="1849" spans="24:61" x14ac:dyDescent="0.3">
      <c r="X1849" s="74"/>
      <c r="Y1849" s="74"/>
      <c r="Z1849" s="74"/>
      <c r="AA1849" s="74"/>
      <c r="AB1849" s="74"/>
      <c r="AC1849" s="74"/>
      <c r="AN1849" s="74"/>
      <c r="AO1849" s="74"/>
      <c r="AP1849" s="74"/>
      <c r="AQ1849" s="74"/>
      <c r="AR1849" s="74"/>
      <c r="AS1849" s="74"/>
      <c r="BD1849" s="74"/>
      <c r="BE1849" s="74"/>
      <c r="BF1849" s="74"/>
      <c r="BG1849" s="74"/>
      <c r="BH1849" s="74"/>
      <c r="BI1849" s="74"/>
    </row>
    <row r="1850" spans="24:61" x14ac:dyDescent="0.3">
      <c r="X1850" s="74"/>
      <c r="Y1850" s="74"/>
      <c r="Z1850" s="74"/>
      <c r="AA1850" s="74"/>
      <c r="AB1850" s="74"/>
      <c r="AC1850" s="74"/>
      <c r="AN1850" s="74"/>
      <c r="AO1850" s="74"/>
      <c r="AP1850" s="74"/>
      <c r="AQ1850" s="74"/>
      <c r="AR1850" s="74"/>
      <c r="AS1850" s="74"/>
      <c r="BD1850" s="74"/>
      <c r="BE1850" s="74"/>
      <c r="BF1850" s="74"/>
      <c r="BG1850" s="74"/>
      <c r="BH1850" s="74"/>
      <c r="BI1850" s="74"/>
    </row>
    <row r="1851" spans="24:61" x14ac:dyDescent="0.3">
      <c r="X1851" s="74"/>
      <c r="Y1851" s="74"/>
      <c r="Z1851" s="74"/>
      <c r="AA1851" s="74"/>
      <c r="AB1851" s="74"/>
      <c r="AC1851" s="74"/>
      <c r="AN1851" s="74"/>
      <c r="AO1851" s="74"/>
      <c r="AP1851" s="74"/>
      <c r="AQ1851" s="74"/>
      <c r="AR1851" s="74"/>
      <c r="AS1851" s="74"/>
      <c r="BD1851" s="74"/>
      <c r="BE1851" s="74"/>
      <c r="BF1851" s="74"/>
      <c r="BG1851" s="74"/>
      <c r="BH1851" s="74"/>
      <c r="BI1851" s="74"/>
    </row>
    <row r="1852" spans="24:61" x14ac:dyDescent="0.3">
      <c r="X1852" s="74"/>
      <c r="Y1852" s="74"/>
      <c r="Z1852" s="74"/>
      <c r="AA1852" s="74"/>
      <c r="AB1852" s="74"/>
      <c r="AC1852" s="74"/>
      <c r="AN1852" s="74"/>
      <c r="AO1852" s="74"/>
      <c r="AP1852" s="74"/>
      <c r="AQ1852" s="74"/>
      <c r="AR1852" s="74"/>
      <c r="AS1852" s="74"/>
      <c r="BD1852" s="74"/>
      <c r="BE1852" s="74"/>
      <c r="BF1852" s="74"/>
      <c r="BG1852" s="74"/>
      <c r="BH1852" s="74"/>
      <c r="BI1852" s="74"/>
    </row>
    <row r="1853" spans="24:61" x14ac:dyDescent="0.3">
      <c r="X1853" s="74"/>
      <c r="Y1853" s="74"/>
      <c r="Z1853" s="74"/>
      <c r="AA1853" s="74"/>
      <c r="AB1853" s="74"/>
      <c r="AC1853" s="74"/>
      <c r="AN1853" s="74"/>
      <c r="AO1853" s="74"/>
      <c r="AP1853" s="74"/>
      <c r="AQ1853" s="74"/>
      <c r="AR1853" s="74"/>
      <c r="AS1853" s="74"/>
      <c r="BD1853" s="74"/>
      <c r="BE1853" s="74"/>
      <c r="BF1853" s="74"/>
      <c r="BG1853" s="74"/>
      <c r="BH1853" s="74"/>
      <c r="BI1853" s="74"/>
    </row>
    <row r="1854" spans="24:61" x14ac:dyDescent="0.3">
      <c r="X1854" s="74"/>
      <c r="Y1854" s="74"/>
      <c r="Z1854" s="74"/>
      <c r="AA1854" s="74"/>
      <c r="AB1854" s="74"/>
      <c r="AC1854" s="74"/>
      <c r="AN1854" s="74"/>
      <c r="AO1854" s="74"/>
      <c r="AP1854" s="74"/>
      <c r="AQ1854" s="74"/>
      <c r="AR1854" s="74"/>
      <c r="AS1854" s="74"/>
      <c r="BD1854" s="74"/>
      <c r="BE1854" s="74"/>
      <c r="BF1854" s="74"/>
      <c r="BG1854" s="74"/>
      <c r="BH1854" s="74"/>
      <c r="BI1854" s="74"/>
    </row>
    <row r="1855" spans="24:61" x14ac:dyDescent="0.3">
      <c r="X1855" s="74"/>
      <c r="Y1855" s="74"/>
      <c r="Z1855" s="74"/>
      <c r="AA1855" s="74"/>
      <c r="AB1855" s="74"/>
      <c r="AC1855" s="74"/>
      <c r="AN1855" s="74"/>
      <c r="AO1855" s="74"/>
      <c r="AP1855" s="74"/>
      <c r="AQ1855" s="74"/>
      <c r="AR1855" s="74"/>
      <c r="AS1855" s="74"/>
      <c r="BD1855" s="74"/>
      <c r="BE1855" s="74"/>
      <c r="BF1855" s="74"/>
      <c r="BG1855" s="74"/>
      <c r="BH1855" s="74"/>
      <c r="BI1855" s="74"/>
    </row>
    <row r="1856" spans="24:61" x14ac:dyDescent="0.3">
      <c r="X1856" s="74"/>
      <c r="Y1856" s="74"/>
      <c r="Z1856" s="74"/>
      <c r="AA1856" s="74"/>
      <c r="AB1856" s="74"/>
      <c r="AC1856" s="74"/>
      <c r="AN1856" s="74"/>
      <c r="AO1856" s="74"/>
      <c r="AP1856" s="74"/>
      <c r="AQ1856" s="74"/>
      <c r="AR1856" s="74"/>
      <c r="AS1856" s="74"/>
      <c r="BD1856" s="74"/>
      <c r="BE1856" s="74"/>
      <c r="BF1856" s="74"/>
      <c r="BG1856" s="74"/>
      <c r="BH1856" s="74"/>
      <c r="BI1856" s="74"/>
    </row>
    <row r="1857" spans="24:61" x14ac:dyDescent="0.3">
      <c r="X1857" s="74"/>
      <c r="Y1857" s="74"/>
      <c r="Z1857" s="74"/>
      <c r="AA1857" s="74"/>
      <c r="AB1857" s="74"/>
      <c r="AC1857" s="74"/>
      <c r="AN1857" s="74"/>
      <c r="AO1857" s="74"/>
      <c r="AP1857" s="74"/>
      <c r="AQ1857" s="74"/>
      <c r="AR1857" s="74"/>
      <c r="AS1857" s="74"/>
      <c r="BD1857" s="74"/>
      <c r="BE1857" s="74"/>
      <c r="BF1857" s="74"/>
      <c r="BG1857" s="74"/>
      <c r="BH1857" s="74"/>
      <c r="BI1857" s="74"/>
    </row>
    <row r="1858" spans="24:61" x14ac:dyDescent="0.3">
      <c r="X1858" s="74"/>
      <c r="Y1858" s="74"/>
      <c r="Z1858" s="74"/>
      <c r="AA1858" s="74"/>
      <c r="AB1858" s="74"/>
      <c r="AC1858" s="74"/>
      <c r="AN1858" s="74"/>
      <c r="AO1858" s="74"/>
      <c r="AP1858" s="74"/>
      <c r="AQ1858" s="74"/>
      <c r="AR1858" s="74"/>
      <c r="AS1858" s="74"/>
      <c r="BD1858" s="74"/>
      <c r="BE1858" s="74"/>
      <c r="BF1858" s="74"/>
      <c r="BG1858" s="74"/>
      <c r="BH1858" s="74"/>
      <c r="BI1858" s="74"/>
    </row>
    <row r="1859" spans="24:61" x14ac:dyDescent="0.3">
      <c r="X1859" s="74"/>
      <c r="Y1859" s="74"/>
      <c r="Z1859" s="74"/>
      <c r="AA1859" s="74"/>
      <c r="AB1859" s="74"/>
      <c r="AC1859" s="74"/>
      <c r="AN1859" s="74"/>
      <c r="AO1859" s="74"/>
      <c r="AP1859" s="74"/>
      <c r="AQ1859" s="74"/>
      <c r="AR1859" s="74"/>
      <c r="AS1859" s="74"/>
      <c r="BD1859" s="74"/>
      <c r="BE1859" s="74"/>
      <c r="BF1859" s="74"/>
      <c r="BG1859" s="74"/>
      <c r="BH1859" s="74"/>
      <c r="BI1859" s="74"/>
    </row>
    <row r="1860" spans="24:61" x14ac:dyDescent="0.3">
      <c r="X1860" s="74"/>
      <c r="Y1860" s="74"/>
      <c r="Z1860" s="74"/>
      <c r="AA1860" s="74"/>
      <c r="AB1860" s="74"/>
      <c r="AC1860" s="74"/>
      <c r="AN1860" s="74"/>
      <c r="AO1860" s="74"/>
      <c r="AP1860" s="74"/>
      <c r="AQ1860" s="74"/>
      <c r="AR1860" s="74"/>
      <c r="AS1860" s="74"/>
      <c r="BD1860" s="74"/>
      <c r="BE1860" s="74"/>
      <c r="BF1860" s="74"/>
      <c r="BG1860" s="74"/>
      <c r="BH1860" s="74"/>
      <c r="BI1860" s="74"/>
    </row>
    <row r="1861" spans="24:61" x14ac:dyDescent="0.3">
      <c r="X1861" s="74"/>
      <c r="Y1861" s="74"/>
      <c r="Z1861" s="74"/>
      <c r="AA1861" s="74"/>
      <c r="AB1861" s="74"/>
      <c r="AC1861" s="74"/>
      <c r="AN1861" s="74"/>
      <c r="AO1861" s="74"/>
      <c r="AP1861" s="74"/>
      <c r="AQ1861" s="74"/>
      <c r="AR1861" s="74"/>
      <c r="AS1861" s="74"/>
      <c r="BD1861" s="74"/>
      <c r="BE1861" s="74"/>
      <c r="BF1861" s="74"/>
      <c r="BG1861" s="74"/>
      <c r="BH1861" s="74"/>
      <c r="BI1861" s="74"/>
    </row>
    <row r="1862" spans="24:61" x14ac:dyDescent="0.3">
      <c r="X1862" s="74"/>
      <c r="Y1862" s="74"/>
      <c r="Z1862" s="74"/>
      <c r="AA1862" s="74"/>
      <c r="AB1862" s="74"/>
      <c r="AC1862" s="74"/>
      <c r="AN1862" s="74"/>
      <c r="AO1862" s="74"/>
      <c r="AP1862" s="74"/>
      <c r="AQ1862" s="74"/>
      <c r="AR1862" s="74"/>
      <c r="AS1862" s="74"/>
      <c r="BD1862" s="74"/>
      <c r="BE1862" s="74"/>
      <c r="BF1862" s="74"/>
      <c r="BG1862" s="74"/>
      <c r="BH1862" s="74"/>
      <c r="BI1862" s="74"/>
    </row>
    <row r="1863" spans="24:61" x14ac:dyDescent="0.3">
      <c r="X1863" s="74"/>
      <c r="Y1863" s="74"/>
      <c r="Z1863" s="74"/>
      <c r="AA1863" s="74"/>
      <c r="AB1863" s="74"/>
      <c r="AC1863" s="74"/>
      <c r="AN1863" s="74"/>
      <c r="AO1863" s="74"/>
      <c r="AP1863" s="74"/>
      <c r="AQ1863" s="74"/>
      <c r="AR1863" s="74"/>
      <c r="AS1863" s="74"/>
      <c r="BD1863" s="74"/>
      <c r="BE1863" s="74"/>
      <c r="BF1863" s="74"/>
      <c r="BG1863" s="74"/>
      <c r="BH1863" s="74"/>
      <c r="BI1863" s="74"/>
    </row>
    <row r="1864" spans="24:61" x14ac:dyDescent="0.3">
      <c r="X1864" s="74"/>
      <c r="Y1864" s="74"/>
      <c r="Z1864" s="74"/>
      <c r="AA1864" s="74"/>
      <c r="AB1864" s="74"/>
      <c r="AC1864" s="74"/>
      <c r="AN1864" s="74"/>
      <c r="AO1864" s="74"/>
      <c r="AP1864" s="74"/>
      <c r="AQ1864" s="74"/>
      <c r="AR1864" s="74"/>
      <c r="AS1864" s="74"/>
      <c r="BD1864" s="74"/>
      <c r="BE1864" s="74"/>
      <c r="BF1864" s="74"/>
      <c r="BG1864" s="74"/>
      <c r="BH1864" s="74"/>
      <c r="BI1864" s="74"/>
    </row>
    <row r="1865" spans="24:61" x14ac:dyDescent="0.3">
      <c r="X1865" s="74"/>
      <c r="Y1865" s="74"/>
      <c r="Z1865" s="74"/>
      <c r="AA1865" s="74"/>
      <c r="AB1865" s="74"/>
      <c r="AC1865" s="74"/>
      <c r="AN1865" s="74"/>
      <c r="AO1865" s="74"/>
      <c r="AP1865" s="74"/>
      <c r="AQ1865" s="74"/>
      <c r="AR1865" s="74"/>
      <c r="AS1865" s="74"/>
      <c r="BD1865" s="74"/>
      <c r="BE1865" s="74"/>
      <c r="BF1865" s="74"/>
      <c r="BG1865" s="74"/>
      <c r="BH1865" s="74"/>
      <c r="BI1865" s="74"/>
    </row>
    <row r="1866" spans="24:61" x14ac:dyDescent="0.3">
      <c r="X1866" s="74"/>
      <c r="Y1866" s="74"/>
      <c r="Z1866" s="74"/>
      <c r="AA1866" s="74"/>
      <c r="AB1866" s="74"/>
      <c r="AC1866" s="74"/>
      <c r="AN1866" s="74"/>
      <c r="AO1866" s="74"/>
      <c r="AP1866" s="74"/>
      <c r="AQ1866" s="74"/>
      <c r="AR1866" s="74"/>
      <c r="AS1866" s="74"/>
      <c r="BD1866" s="74"/>
      <c r="BE1866" s="74"/>
      <c r="BF1866" s="74"/>
      <c r="BG1866" s="74"/>
      <c r="BH1866" s="74"/>
      <c r="BI1866" s="74"/>
    </row>
    <row r="1867" spans="24:61" x14ac:dyDescent="0.3">
      <c r="X1867" s="74"/>
      <c r="Y1867" s="74"/>
      <c r="Z1867" s="74"/>
      <c r="AA1867" s="74"/>
      <c r="AB1867" s="74"/>
      <c r="AC1867" s="74"/>
      <c r="AN1867" s="74"/>
      <c r="AO1867" s="74"/>
      <c r="AP1867" s="74"/>
      <c r="AQ1867" s="74"/>
      <c r="AR1867" s="74"/>
      <c r="AS1867" s="74"/>
      <c r="BD1867" s="74"/>
      <c r="BE1867" s="74"/>
      <c r="BF1867" s="74"/>
      <c r="BG1867" s="74"/>
      <c r="BH1867" s="74"/>
      <c r="BI1867" s="74"/>
    </row>
    <row r="1868" spans="24:61" x14ac:dyDescent="0.3">
      <c r="X1868" s="74"/>
      <c r="Y1868" s="74"/>
      <c r="Z1868" s="74"/>
      <c r="AA1868" s="74"/>
      <c r="AB1868" s="74"/>
      <c r="AC1868" s="74"/>
      <c r="AN1868" s="74"/>
      <c r="AO1868" s="74"/>
      <c r="AP1868" s="74"/>
      <c r="AQ1868" s="74"/>
      <c r="AR1868" s="74"/>
      <c r="AS1868" s="74"/>
      <c r="BD1868" s="74"/>
      <c r="BE1868" s="74"/>
      <c r="BF1868" s="74"/>
      <c r="BG1868" s="74"/>
      <c r="BH1868" s="74"/>
      <c r="BI1868" s="74"/>
    </row>
    <row r="1869" spans="24:61" x14ac:dyDescent="0.3">
      <c r="X1869" s="74"/>
      <c r="Y1869" s="74"/>
      <c r="Z1869" s="74"/>
      <c r="AA1869" s="74"/>
      <c r="AB1869" s="74"/>
      <c r="AC1869" s="74"/>
      <c r="AN1869" s="74"/>
      <c r="AO1869" s="74"/>
      <c r="AP1869" s="74"/>
      <c r="AQ1869" s="74"/>
      <c r="AR1869" s="74"/>
      <c r="AS1869" s="74"/>
      <c r="BD1869" s="74"/>
      <c r="BE1869" s="74"/>
      <c r="BF1869" s="74"/>
      <c r="BG1869" s="74"/>
      <c r="BH1869" s="74"/>
      <c r="BI1869" s="74"/>
    </row>
    <row r="1870" spans="24:61" x14ac:dyDescent="0.3">
      <c r="X1870" s="74"/>
      <c r="Y1870" s="74"/>
      <c r="Z1870" s="74"/>
      <c r="AA1870" s="74"/>
      <c r="AB1870" s="74"/>
      <c r="AC1870" s="74"/>
      <c r="AN1870" s="74"/>
      <c r="AO1870" s="74"/>
      <c r="AP1870" s="74"/>
      <c r="AQ1870" s="74"/>
      <c r="AR1870" s="74"/>
      <c r="AS1870" s="74"/>
      <c r="BD1870" s="74"/>
      <c r="BE1870" s="74"/>
      <c r="BF1870" s="74"/>
      <c r="BG1870" s="74"/>
      <c r="BH1870" s="74"/>
      <c r="BI1870" s="74"/>
    </row>
    <row r="1871" spans="24:61" x14ac:dyDescent="0.3">
      <c r="X1871" s="74"/>
      <c r="Y1871" s="74"/>
      <c r="Z1871" s="74"/>
      <c r="AA1871" s="74"/>
      <c r="AB1871" s="74"/>
      <c r="AC1871" s="74"/>
      <c r="AN1871" s="74"/>
      <c r="AO1871" s="74"/>
      <c r="AP1871" s="74"/>
      <c r="AQ1871" s="74"/>
      <c r="AR1871" s="74"/>
      <c r="AS1871" s="74"/>
      <c r="BD1871" s="74"/>
      <c r="BE1871" s="74"/>
      <c r="BF1871" s="74"/>
      <c r="BG1871" s="74"/>
      <c r="BH1871" s="74"/>
      <c r="BI1871" s="74"/>
    </row>
    <row r="1872" spans="24:61" x14ac:dyDescent="0.3">
      <c r="X1872" s="74"/>
      <c r="Y1872" s="74"/>
      <c r="Z1872" s="74"/>
      <c r="AA1872" s="74"/>
      <c r="AB1872" s="74"/>
      <c r="AC1872" s="74"/>
      <c r="AN1872" s="74"/>
      <c r="AO1872" s="74"/>
      <c r="AP1872" s="74"/>
      <c r="AQ1872" s="74"/>
      <c r="AR1872" s="74"/>
      <c r="AS1872" s="74"/>
      <c r="BD1872" s="74"/>
      <c r="BE1872" s="74"/>
      <c r="BF1872" s="74"/>
      <c r="BG1872" s="74"/>
      <c r="BH1872" s="74"/>
      <c r="BI1872" s="74"/>
    </row>
    <row r="1873" spans="24:61" x14ac:dyDescent="0.3">
      <c r="X1873" s="74"/>
      <c r="Y1873" s="74"/>
      <c r="Z1873" s="74"/>
      <c r="AA1873" s="74"/>
      <c r="AB1873" s="74"/>
      <c r="AC1873" s="74"/>
      <c r="AN1873" s="74"/>
      <c r="AO1873" s="74"/>
      <c r="AP1873" s="74"/>
      <c r="AQ1873" s="74"/>
      <c r="AR1873" s="74"/>
      <c r="AS1873" s="74"/>
      <c r="BD1873" s="74"/>
      <c r="BE1873" s="74"/>
      <c r="BF1873" s="74"/>
      <c r="BG1873" s="74"/>
      <c r="BH1873" s="74"/>
      <c r="BI1873" s="74"/>
    </row>
    <row r="1874" spans="24:61" x14ac:dyDescent="0.3">
      <c r="X1874" s="74"/>
      <c r="Y1874" s="74"/>
      <c r="Z1874" s="74"/>
      <c r="AA1874" s="74"/>
      <c r="AB1874" s="74"/>
      <c r="AC1874" s="74"/>
      <c r="AN1874" s="74"/>
      <c r="AO1874" s="74"/>
      <c r="AP1874" s="74"/>
      <c r="AQ1874" s="74"/>
      <c r="AR1874" s="74"/>
      <c r="AS1874" s="74"/>
      <c r="BD1874" s="74"/>
      <c r="BE1874" s="74"/>
      <c r="BF1874" s="74"/>
      <c r="BG1874" s="74"/>
      <c r="BH1874" s="74"/>
      <c r="BI1874" s="74"/>
    </row>
    <row r="1875" spans="24:61" x14ac:dyDescent="0.3">
      <c r="X1875" s="74"/>
      <c r="Y1875" s="74"/>
      <c r="Z1875" s="74"/>
      <c r="AA1875" s="74"/>
      <c r="AB1875" s="74"/>
      <c r="AC1875" s="74"/>
      <c r="AN1875" s="74"/>
      <c r="AO1875" s="74"/>
      <c r="AP1875" s="74"/>
      <c r="AQ1875" s="74"/>
      <c r="AR1875" s="74"/>
      <c r="AS1875" s="74"/>
      <c r="BD1875" s="74"/>
      <c r="BE1875" s="74"/>
      <c r="BF1875" s="74"/>
      <c r="BG1875" s="74"/>
      <c r="BH1875" s="74"/>
      <c r="BI1875" s="74"/>
    </row>
    <row r="1876" spans="24:61" x14ac:dyDescent="0.3">
      <c r="X1876" s="74"/>
      <c r="Y1876" s="74"/>
      <c r="Z1876" s="74"/>
      <c r="AA1876" s="74"/>
      <c r="AB1876" s="74"/>
      <c r="AC1876" s="74"/>
      <c r="AN1876" s="74"/>
      <c r="AO1876" s="74"/>
      <c r="AP1876" s="74"/>
      <c r="AQ1876" s="74"/>
      <c r="AR1876" s="74"/>
      <c r="AS1876" s="74"/>
      <c r="BD1876" s="74"/>
      <c r="BE1876" s="74"/>
      <c r="BF1876" s="74"/>
      <c r="BG1876" s="74"/>
      <c r="BH1876" s="74"/>
      <c r="BI1876" s="74"/>
    </row>
    <row r="1877" spans="24:61" x14ac:dyDescent="0.3">
      <c r="X1877" s="74"/>
      <c r="Y1877" s="74"/>
      <c r="Z1877" s="74"/>
      <c r="AA1877" s="74"/>
      <c r="AB1877" s="74"/>
      <c r="AC1877" s="74"/>
      <c r="AN1877" s="74"/>
      <c r="AO1877" s="74"/>
      <c r="AP1877" s="74"/>
      <c r="AQ1877" s="74"/>
      <c r="AR1877" s="74"/>
      <c r="AS1877" s="74"/>
      <c r="BD1877" s="74"/>
      <c r="BE1877" s="74"/>
      <c r="BF1877" s="74"/>
      <c r="BG1877" s="74"/>
      <c r="BH1877" s="74"/>
      <c r="BI1877" s="74"/>
    </row>
    <row r="1878" spans="24:61" x14ac:dyDescent="0.3">
      <c r="X1878" s="74"/>
      <c r="Y1878" s="74"/>
      <c r="Z1878" s="74"/>
      <c r="AA1878" s="74"/>
      <c r="AB1878" s="74"/>
      <c r="AC1878" s="74"/>
      <c r="AN1878" s="74"/>
      <c r="AO1878" s="74"/>
      <c r="AP1878" s="74"/>
      <c r="AQ1878" s="74"/>
      <c r="AR1878" s="74"/>
      <c r="AS1878" s="74"/>
      <c r="BD1878" s="74"/>
      <c r="BE1878" s="74"/>
      <c r="BF1878" s="74"/>
      <c r="BG1878" s="74"/>
      <c r="BH1878" s="74"/>
      <c r="BI1878" s="74"/>
    </row>
    <row r="1879" spans="24:61" x14ac:dyDescent="0.3">
      <c r="X1879" s="74"/>
      <c r="Y1879" s="74"/>
      <c r="Z1879" s="74"/>
      <c r="AA1879" s="74"/>
      <c r="AB1879" s="74"/>
      <c r="AC1879" s="74"/>
      <c r="AN1879" s="74"/>
      <c r="AO1879" s="74"/>
      <c r="AP1879" s="74"/>
      <c r="AQ1879" s="74"/>
      <c r="AR1879" s="74"/>
      <c r="AS1879" s="74"/>
      <c r="BD1879" s="74"/>
      <c r="BE1879" s="74"/>
      <c r="BF1879" s="74"/>
      <c r="BG1879" s="74"/>
      <c r="BH1879" s="74"/>
      <c r="BI1879" s="74"/>
    </row>
    <row r="1880" spans="24:61" x14ac:dyDescent="0.3">
      <c r="X1880" s="74"/>
      <c r="Y1880" s="74"/>
      <c r="Z1880" s="74"/>
      <c r="AA1880" s="74"/>
      <c r="AB1880" s="74"/>
      <c r="AC1880" s="74"/>
      <c r="AN1880" s="74"/>
      <c r="AO1880" s="74"/>
      <c r="AP1880" s="74"/>
      <c r="AQ1880" s="74"/>
      <c r="AR1880" s="74"/>
      <c r="AS1880" s="74"/>
      <c r="BD1880" s="74"/>
      <c r="BE1880" s="74"/>
      <c r="BF1880" s="74"/>
      <c r="BG1880" s="74"/>
      <c r="BH1880" s="74"/>
      <c r="BI1880" s="74"/>
    </row>
    <row r="1881" spans="24:61" x14ac:dyDescent="0.3">
      <c r="X1881" s="74"/>
      <c r="Y1881" s="74"/>
      <c r="Z1881" s="74"/>
      <c r="AA1881" s="74"/>
      <c r="AB1881" s="74"/>
      <c r="AC1881" s="74"/>
      <c r="AN1881" s="74"/>
      <c r="AO1881" s="74"/>
      <c r="AP1881" s="74"/>
      <c r="AQ1881" s="74"/>
      <c r="AR1881" s="74"/>
      <c r="AS1881" s="74"/>
      <c r="BD1881" s="74"/>
      <c r="BE1881" s="74"/>
      <c r="BF1881" s="74"/>
      <c r="BG1881" s="74"/>
      <c r="BH1881" s="74"/>
      <c r="BI1881" s="74"/>
    </row>
    <row r="1882" spans="24:61" x14ac:dyDescent="0.3">
      <c r="X1882" s="74"/>
      <c r="Y1882" s="74"/>
      <c r="Z1882" s="74"/>
      <c r="AA1882" s="74"/>
      <c r="AB1882" s="74"/>
      <c r="AC1882" s="74"/>
      <c r="AN1882" s="74"/>
      <c r="AO1882" s="74"/>
      <c r="AP1882" s="74"/>
      <c r="AQ1882" s="74"/>
      <c r="AR1882" s="74"/>
      <c r="AS1882" s="74"/>
      <c r="BD1882" s="74"/>
      <c r="BE1882" s="74"/>
      <c r="BF1882" s="74"/>
      <c r="BG1882" s="74"/>
      <c r="BH1882" s="74"/>
      <c r="BI1882" s="74"/>
    </row>
    <row r="1883" spans="24:61" x14ac:dyDescent="0.3">
      <c r="X1883" s="74"/>
      <c r="Y1883" s="74"/>
      <c r="Z1883" s="74"/>
      <c r="AA1883" s="74"/>
      <c r="AB1883" s="74"/>
      <c r="AC1883" s="74"/>
      <c r="AN1883" s="74"/>
      <c r="AO1883" s="74"/>
      <c r="AP1883" s="74"/>
      <c r="AQ1883" s="74"/>
      <c r="AR1883" s="74"/>
      <c r="AS1883" s="74"/>
      <c r="BD1883" s="74"/>
      <c r="BE1883" s="74"/>
      <c r="BF1883" s="74"/>
      <c r="BG1883" s="74"/>
      <c r="BH1883" s="74"/>
      <c r="BI1883" s="74"/>
    </row>
    <row r="1884" spans="24:61" x14ac:dyDescent="0.3">
      <c r="X1884" s="74"/>
      <c r="Y1884" s="74"/>
      <c r="Z1884" s="74"/>
      <c r="AA1884" s="74"/>
      <c r="AB1884" s="74"/>
      <c r="AC1884" s="74"/>
      <c r="AN1884" s="74"/>
      <c r="AO1884" s="74"/>
      <c r="AP1884" s="74"/>
      <c r="AQ1884" s="74"/>
      <c r="AR1884" s="74"/>
      <c r="AS1884" s="74"/>
      <c r="BD1884" s="74"/>
      <c r="BE1884" s="74"/>
      <c r="BF1884" s="74"/>
      <c r="BG1884" s="74"/>
      <c r="BH1884" s="74"/>
      <c r="BI1884" s="74"/>
    </row>
    <row r="1885" spans="24:61" x14ac:dyDescent="0.3">
      <c r="X1885" s="74"/>
      <c r="Y1885" s="74"/>
      <c r="Z1885" s="74"/>
      <c r="AA1885" s="74"/>
      <c r="AB1885" s="74"/>
      <c r="AC1885" s="74"/>
      <c r="AN1885" s="74"/>
      <c r="AO1885" s="74"/>
      <c r="AP1885" s="74"/>
      <c r="AQ1885" s="74"/>
      <c r="AR1885" s="74"/>
      <c r="AS1885" s="74"/>
      <c r="BD1885" s="74"/>
      <c r="BE1885" s="74"/>
      <c r="BF1885" s="74"/>
      <c r="BG1885" s="74"/>
      <c r="BH1885" s="74"/>
      <c r="BI1885" s="74"/>
    </row>
    <row r="1886" spans="24:61" x14ac:dyDescent="0.3">
      <c r="X1886" s="74"/>
      <c r="Y1886" s="74"/>
      <c r="Z1886" s="74"/>
      <c r="AA1886" s="74"/>
      <c r="AB1886" s="74"/>
      <c r="AC1886" s="74"/>
      <c r="AN1886" s="74"/>
      <c r="AO1886" s="74"/>
      <c r="AP1886" s="74"/>
      <c r="AQ1886" s="74"/>
      <c r="AR1886" s="74"/>
      <c r="AS1886" s="74"/>
      <c r="BD1886" s="74"/>
      <c r="BE1886" s="74"/>
      <c r="BF1886" s="74"/>
      <c r="BG1886" s="74"/>
      <c r="BH1886" s="74"/>
      <c r="BI1886" s="74"/>
    </row>
    <row r="1887" spans="24:61" x14ac:dyDescent="0.3">
      <c r="X1887" s="74"/>
      <c r="Y1887" s="74"/>
      <c r="Z1887" s="74"/>
      <c r="AA1887" s="74"/>
      <c r="AB1887" s="74"/>
      <c r="AC1887" s="74"/>
      <c r="AN1887" s="74"/>
      <c r="AO1887" s="74"/>
      <c r="AP1887" s="74"/>
      <c r="AQ1887" s="74"/>
      <c r="AR1887" s="74"/>
      <c r="AS1887" s="74"/>
      <c r="BD1887" s="74"/>
      <c r="BE1887" s="74"/>
      <c r="BF1887" s="74"/>
      <c r="BG1887" s="74"/>
      <c r="BH1887" s="74"/>
      <c r="BI1887" s="74"/>
    </row>
    <row r="1888" spans="24:61" x14ac:dyDescent="0.3">
      <c r="X1888" s="74"/>
      <c r="Y1888" s="74"/>
      <c r="Z1888" s="74"/>
      <c r="AA1888" s="74"/>
      <c r="AB1888" s="74"/>
      <c r="AC1888" s="74"/>
      <c r="AN1888" s="74"/>
      <c r="AO1888" s="74"/>
      <c r="AP1888" s="74"/>
      <c r="AQ1888" s="74"/>
      <c r="AR1888" s="74"/>
      <c r="AS1888" s="74"/>
      <c r="BD1888" s="74"/>
      <c r="BE1888" s="74"/>
      <c r="BF1888" s="74"/>
      <c r="BG1888" s="74"/>
      <c r="BH1888" s="74"/>
      <c r="BI1888" s="74"/>
    </row>
    <row r="1889" spans="24:61" x14ac:dyDescent="0.3">
      <c r="X1889" s="74"/>
      <c r="Y1889" s="74"/>
      <c r="Z1889" s="74"/>
      <c r="AA1889" s="74"/>
      <c r="AB1889" s="74"/>
      <c r="AC1889" s="74"/>
      <c r="AN1889" s="74"/>
      <c r="AO1889" s="74"/>
      <c r="AP1889" s="74"/>
      <c r="AQ1889" s="74"/>
      <c r="AR1889" s="74"/>
      <c r="AS1889" s="74"/>
      <c r="BD1889" s="74"/>
      <c r="BE1889" s="74"/>
      <c r="BF1889" s="74"/>
      <c r="BG1889" s="74"/>
      <c r="BH1889" s="74"/>
      <c r="BI1889" s="74"/>
    </row>
    <row r="1890" spans="24:61" x14ac:dyDescent="0.3">
      <c r="X1890" s="74"/>
      <c r="Y1890" s="74"/>
      <c r="Z1890" s="74"/>
      <c r="AA1890" s="74"/>
      <c r="AB1890" s="74"/>
      <c r="AC1890" s="74"/>
      <c r="AN1890" s="74"/>
      <c r="AO1890" s="74"/>
      <c r="AP1890" s="74"/>
      <c r="AQ1890" s="74"/>
      <c r="AR1890" s="74"/>
      <c r="AS1890" s="74"/>
      <c r="BD1890" s="74"/>
      <c r="BE1890" s="74"/>
      <c r="BF1890" s="74"/>
      <c r="BG1890" s="74"/>
      <c r="BH1890" s="74"/>
      <c r="BI1890" s="74"/>
    </row>
    <row r="1891" spans="24:61" x14ac:dyDescent="0.3">
      <c r="X1891" s="74"/>
      <c r="Y1891" s="74"/>
      <c r="Z1891" s="74"/>
      <c r="AA1891" s="74"/>
      <c r="AB1891" s="74"/>
      <c r="AC1891" s="74"/>
      <c r="AN1891" s="74"/>
      <c r="AO1891" s="74"/>
      <c r="AP1891" s="74"/>
      <c r="AQ1891" s="74"/>
      <c r="AR1891" s="74"/>
      <c r="AS1891" s="74"/>
      <c r="BD1891" s="74"/>
      <c r="BE1891" s="74"/>
      <c r="BF1891" s="74"/>
      <c r="BG1891" s="74"/>
      <c r="BH1891" s="74"/>
      <c r="BI1891" s="74"/>
    </row>
    <row r="1892" spans="24:61" x14ac:dyDescent="0.3">
      <c r="X1892" s="74"/>
      <c r="Y1892" s="74"/>
      <c r="Z1892" s="74"/>
      <c r="AA1892" s="74"/>
      <c r="AB1892" s="74"/>
      <c r="AC1892" s="74"/>
      <c r="AN1892" s="74"/>
      <c r="AO1892" s="74"/>
      <c r="AP1892" s="74"/>
      <c r="AQ1892" s="74"/>
      <c r="AR1892" s="74"/>
      <c r="AS1892" s="74"/>
      <c r="BD1892" s="74"/>
      <c r="BE1892" s="74"/>
      <c r="BF1892" s="74"/>
      <c r="BG1892" s="74"/>
      <c r="BH1892" s="74"/>
      <c r="BI1892" s="74"/>
    </row>
    <row r="1893" spans="24:61" x14ac:dyDescent="0.3">
      <c r="X1893" s="74"/>
      <c r="Y1893" s="74"/>
      <c r="Z1893" s="74"/>
      <c r="AA1893" s="74"/>
      <c r="AB1893" s="74"/>
      <c r="AC1893" s="74"/>
      <c r="AN1893" s="74"/>
      <c r="AO1893" s="74"/>
      <c r="AP1893" s="74"/>
      <c r="AQ1893" s="74"/>
      <c r="AR1893" s="74"/>
      <c r="AS1893" s="74"/>
      <c r="BD1893" s="74"/>
      <c r="BE1893" s="74"/>
      <c r="BF1893" s="74"/>
      <c r="BG1893" s="74"/>
      <c r="BH1893" s="74"/>
      <c r="BI1893" s="74"/>
    </row>
    <row r="1894" spans="24:61" x14ac:dyDescent="0.3">
      <c r="X1894" s="74"/>
      <c r="Y1894" s="74"/>
      <c r="Z1894" s="74"/>
      <c r="AA1894" s="74"/>
      <c r="AB1894" s="74"/>
      <c r="AC1894" s="74"/>
      <c r="AN1894" s="74"/>
      <c r="AO1894" s="74"/>
      <c r="AP1894" s="74"/>
      <c r="AQ1894" s="74"/>
      <c r="AR1894" s="74"/>
      <c r="AS1894" s="74"/>
      <c r="BD1894" s="74"/>
      <c r="BE1894" s="74"/>
      <c r="BF1894" s="74"/>
      <c r="BG1894" s="74"/>
      <c r="BH1894" s="74"/>
      <c r="BI1894" s="74"/>
    </row>
    <row r="1895" spans="24:61" x14ac:dyDescent="0.3">
      <c r="X1895" s="74"/>
      <c r="Y1895" s="74"/>
      <c r="Z1895" s="74"/>
      <c r="AA1895" s="74"/>
      <c r="AB1895" s="74"/>
      <c r="AC1895" s="74"/>
      <c r="AN1895" s="74"/>
      <c r="AO1895" s="74"/>
      <c r="AP1895" s="74"/>
      <c r="AQ1895" s="74"/>
      <c r="AR1895" s="74"/>
      <c r="AS1895" s="74"/>
      <c r="BD1895" s="74"/>
      <c r="BE1895" s="74"/>
      <c r="BF1895" s="74"/>
      <c r="BG1895" s="74"/>
      <c r="BH1895" s="74"/>
      <c r="BI1895" s="74"/>
    </row>
    <row r="1896" spans="24:61" x14ac:dyDescent="0.3">
      <c r="X1896" s="74"/>
      <c r="Y1896" s="74"/>
      <c r="Z1896" s="74"/>
      <c r="AA1896" s="74"/>
      <c r="AB1896" s="74"/>
      <c r="AC1896" s="74"/>
      <c r="AN1896" s="74"/>
      <c r="AO1896" s="74"/>
      <c r="AP1896" s="74"/>
      <c r="AQ1896" s="74"/>
      <c r="AR1896" s="74"/>
      <c r="AS1896" s="74"/>
      <c r="BD1896" s="74"/>
      <c r="BE1896" s="74"/>
      <c r="BF1896" s="74"/>
      <c r="BG1896" s="74"/>
      <c r="BH1896" s="74"/>
      <c r="BI1896" s="74"/>
    </row>
    <row r="1897" spans="24:61" x14ac:dyDescent="0.3">
      <c r="X1897" s="74"/>
      <c r="Y1897" s="74"/>
      <c r="Z1897" s="74"/>
      <c r="AA1897" s="74"/>
      <c r="AB1897" s="74"/>
      <c r="AC1897" s="74"/>
      <c r="AN1897" s="74"/>
      <c r="AO1897" s="74"/>
      <c r="AP1897" s="74"/>
      <c r="AQ1897" s="74"/>
      <c r="AR1897" s="74"/>
      <c r="AS1897" s="74"/>
      <c r="BD1897" s="74"/>
      <c r="BE1897" s="74"/>
      <c r="BF1897" s="74"/>
      <c r="BG1897" s="74"/>
      <c r="BH1897" s="74"/>
      <c r="BI1897" s="74"/>
    </row>
    <row r="1898" spans="24:61" x14ac:dyDescent="0.3">
      <c r="X1898" s="74"/>
      <c r="Y1898" s="74"/>
      <c r="Z1898" s="74"/>
      <c r="AA1898" s="74"/>
      <c r="AB1898" s="74"/>
      <c r="AC1898" s="74"/>
      <c r="AN1898" s="74"/>
      <c r="AO1898" s="74"/>
      <c r="AP1898" s="74"/>
      <c r="AQ1898" s="74"/>
      <c r="AR1898" s="74"/>
      <c r="AS1898" s="74"/>
      <c r="BD1898" s="74"/>
      <c r="BE1898" s="74"/>
      <c r="BF1898" s="74"/>
      <c r="BG1898" s="74"/>
      <c r="BH1898" s="74"/>
      <c r="BI1898" s="74"/>
    </row>
    <row r="1899" spans="24:61" x14ac:dyDescent="0.3">
      <c r="X1899" s="74"/>
      <c r="Y1899" s="74"/>
      <c r="Z1899" s="74"/>
      <c r="AA1899" s="74"/>
      <c r="AB1899" s="74"/>
      <c r="AC1899" s="74"/>
      <c r="AN1899" s="74"/>
      <c r="AO1899" s="74"/>
      <c r="AP1899" s="74"/>
      <c r="AQ1899" s="74"/>
      <c r="AR1899" s="74"/>
      <c r="AS1899" s="74"/>
      <c r="BD1899" s="74"/>
      <c r="BE1899" s="74"/>
      <c r="BF1899" s="74"/>
      <c r="BG1899" s="74"/>
      <c r="BH1899" s="74"/>
      <c r="BI1899" s="74"/>
    </row>
    <row r="1900" spans="24:61" x14ac:dyDescent="0.3">
      <c r="X1900" s="74"/>
      <c r="Y1900" s="74"/>
      <c r="Z1900" s="74"/>
      <c r="AA1900" s="74"/>
      <c r="AB1900" s="74"/>
      <c r="AC1900" s="74"/>
      <c r="AN1900" s="74"/>
      <c r="AO1900" s="74"/>
      <c r="AP1900" s="74"/>
      <c r="AQ1900" s="74"/>
      <c r="AR1900" s="74"/>
      <c r="AS1900" s="74"/>
      <c r="BD1900" s="74"/>
      <c r="BE1900" s="74"/>
      <c r="BF1900" s="74"/>
      <c r="BG1900" s="74"/>
      <c r="BH1900" s="74"/>
      <c r="BI1900" s="74"/>
    </row>
    <row r="1901" spans="24:61" x14ac:dyDescent="0.3">
      <c r="X1901" s="74"/>
      <c r="Y1901" s="74"/>
      <c r="Z1901" s="74"/>
      <c r="AA1901" s="74"/>
      <c r="AB1901" s="74"/>
      <c r="AC1901" s="74"/>
      <c r="AN1901" s="74"/>
      <c r="AO1901" s="74"/>
      <c r="AP1901" s="74"/>
      <c r="AQ1901" s="74"/>
      <c r="AR1901" s="74"/>
      <c r="AS1901" s="74"/>
      <c r="BD1901" s="74"/>
      <c r="BE1901" s="74"/>
      <c r="BF1901" s="74"/>
      <c r="BG1901" s="74"/>
      <c r="BH1901" s="74"/>
      <c r="BI1901" s="74"/>
    </row>
    <row r="1902" spans="24:61" x14ac:dyDescent="0.3">
      <c r="X1902" s="74"/>
      <c r="Y1902" s="74"/>
      <c r="Z1902" s="74"/>
      <c r="AA1902" s="74"/>
      <c r="AB1902" s="74"/>
      <c r="AC1902" s="74"/>
      <c r="AN1902" s="74"/>
      <c r="AO1902" s="74"/>
      <c r="AP1902" s="74"/>
      <c r="AQ1902" s="74"/>
      <c r="AR1902" s="74"/>
      <c r="AS1902" s="74"/>
      <c r="BD1902" s="74"/>
      <c r="BE1902" s="74"/>
      <c r="BF1902" s="74"/>
      <c r="BG1902" s="74"/>
      <c r="BH1902" s="74"/>
      <c r="BI1902" s="74"/>
    </row>
    <row r="1903" spans="24:61" x14ac:dyDescent="0.3">
      <c r="X1903" s="74"/>
      <c r="Y1903" s="74"/>
      <c r="Z1903" s="74"/>
      <c r="AA1903" s="74"/>
      <c r="AB1903" s="74"/>
      <c r="AC1903" s="74"/>
      <c r="AN1903" s="74"/>
      <c r="AO1903" s="74"/>
      <c r="AP1903" s="74"/>
      <c r="AQ1903" s="74"/>
      <c r="AR1903" s="74"/>
      <c r="AS1903" s="74"/>
      <c r="BD1903" s="74"/>
      <c r="BE1903" s="74"/>
      <c r="BF1903" s="74"/>
      <c r="BG1903" s="74"/>
      <c r="BH1903" s="74"/>
      <c r="BI1903" s="74"/>
    </row>
    <row r="1904" spans="24:61" x14ac:dyDescent="0.3">
      <c r="X1904" s="74"/>
      <c r="Y1904" s="74"/>
      <c r="Z1904" s="74"/>
      <c r="AA1904" s="74"/>
      <c r="AB1904" s="74"/>
      <c r="AC1904" s="74"/>
      <c r="AN1904" s="74"/>
      <c r="AO1904" s="74"/>
      <c r="AP1904" s="74"/>
      <c r="AQ1904" s="74"/>
      <c r="AR1904" s="74"/>
      <c r="AS1904" s="74"/>
      <c r="BD1904" s="74"/>
      <c r="BE1904" s="74"/>
      <c r="BF1904" s="74"/>
      <c r="BG1904" s="74"/>
      <c r="BH1904" s="74"/>
      <c r="BI1904" s="74"/>
    </row>
    <row r="1905" spans="24:61" x14ac:dyDescent="0.3">
      <c r="X1905" s="74"/>
      <c r="Y1905" s="74"/>
      <c r="Z1905" s="74"/>
      <c r="AA1905" s="74"/>
      <c r="AB1905" s="74"/>
      <c r="AC1905" s="74"/>
      <c r="AN1905" s="74"/>
      <c r="AO1905" s="74"/>
      <c r="AP1905" s="74"/>
      <c r="AQ1905" s="74"/>
      <c r="AR1905" s="74"/>
      <c r="AS1905" s="74"/>
      <c r="BD1905" s="74"/>
      <c r="BE1905" s="74"/>
      <c r="BF1905" s="74"/>
      <c r="BG1905" s="74"/>
      <c r="BH1905" s="74"/>
      <c r="BI1905" s="74"/>
    </row>
    <row r="1906" spans="24:61" x14ac:dyDescent="0.3">
      <c r="X1906" s="74"/>
      <c r="Y1906" s="74"/>
      <c r="Z1906" s="74"/>
      <c r="AA1906" s="74"/>
      <c r="AB1906" s="74"/>
      <c r="AC1906" s="74"/>
      <c r="AN1906" s="74"/>
      <c r="AO1906" s="74"/>
      <c r="AP1906" s="74"/>
      <c r="AQ1906" s="74"/>
      <c r="AR1906" s="74"/>
      <c r="AS1906" s="74"/>
      <c r="BD1906" s="74"/>
      <c r="BE1906" s="74"/>
      <c r="BF1906" s="74"/>
      <c r="BG1906" s="74"/>
      <c r="BH1906" s="74"/>
      <c r="BI1906" s="74"/>
    </row>
    <row r="1907" spans="24:61" x14ac:dyDescent="0.3">
      <c r="X1907" s="74"/>
      <c r="Y1907" s="74"/>
      <c r="Z1907" s="74"/>
      <c r="AA1907" s="74"/>
      <c r="AB1907" s="74"/>
      <c r="AC1907" s="74"/>
      <c r="AN1907" s="74"/>
      <c r="AO1907" s="74"/>
      <c r="AP1907" s="74"/>
      <c r="AQ1907" s="74"/>
      <c r="AR1907" s="74"/>
      <c r="AS1907" s="74"/>
      <c r="BD1907" s="74"/>
      <c r="BE1907" s="74"/>
      <c r="BF1907" s="74"/>
      <c r="BG1907" s="74"/>
      <c r="BH1907" s="74"/>
      <c r="BI1907" s="74"/>
    </row>
    <row r="1908" spans="24:61" x14ac:dyDescent="0.3">
      <c r="X1908" s="74"/>
      <c r="Y1908" s="74"/>
      <c r="Z1908" s="74"/>
      <c r="AA1908" s="74"/>
      <c r="AB1908" s="74"/>
      <c r="AC1908" s="74"/>
      <c r="AN1908" s="74"/>
      <c r="AO1908" s="74"/>
      <c r="AP1908" s="74"/>
      <c r="AQ1908" s="74"/>
      <c r="AR1908" s="74"/>
      <c r="AS1908" s="74"/>
      <c r="BD1908" s="74"/>
      <c r="BE1908" s="74"/>
      <c r="BF1908" s="74"/>
      <c r="BG1908" s="74"/>
      <c r="BH1908" s="74"/>
      <c r="BI1908" s="74"/>
    </row>
    <row r="1909" spans="24:61" x14ac:dyDescent="0.3">
      <c r="X1909" s="74"/>
      <c r="Y1909" s="74"/>
      <c r="Z1909" s="74"/>
      <c r="AA1909" s="74"/>
      <c r="AB1909" s="74"/>
      <c r="AC1909" s="74"/>
      <c r="AN1909" s="74"/>
      <c r="AO1909" s="74"/>
      <c r="AP1909" s="74"/>
      <c r="AQ1909" s="74"/>
      <c r="AR1909" s="74"/>
      <c r="AS1909" s="74"/>
      <c r="BD1909" s="74"/>
      <c r="BE1909" s="74"/>
      <c r="BF1909" s="74"/>
      <c r="BG1909" s="74"/>
      <c r="BH1909" s="74"/>
      <c r="BI1909" s="74"/>
    </row>
    <row r="1910" spans="24:61" x14ac:dyDescent="0.3">
      <c r="X1910" s="74"/>
      <c r="Y1910" s="74"/>
      <c r="Z1910" s="74"/>
      <c r="AA1910" s="74"/>
      <c r="AB1910" s="74"/>
      <c r="AC1910" s="74"/>
      <c r="AN1910" s="74"/>
      <c r="AO1910" s="74"/>
      <c r="AP1910" s="74"/>
      <c r="AQ1910" s="74"/>
      <c r="AR1910" s="74"/>
      <c r="AS1910" s="74"/>
      <c r="BD1910" s="74"/>
      <c r="BE1910" s="74"/>
      <c r="BF1910" s="74"/>
      <c r="BG1910" s="74"/>
      <c r="BH1910" s="74"/>
      <c r="BI1910" s="74"/>
    </row>
    <row r="1911" spans="24:61" x14ac:dyDescent="0.3">
      <c r="X1911" s="74"/>
      <c r="Y1911" s="74"/>
      <c r="Z1911" s="74"/>
      <c r="AA1911" s="74"/>
      <c r="AB1911" s="74"/>
      <c r="AC1911" s="74"/>
      <c r="AN1911" s="74"/>
      <c r="AO1911" s="74"/>
      <c r="AP1911" s="74"/>
      <c r="AQ1911" s="74"/>
      <c r="AR1911" s="74"/>
      <c r="AS1911" s="74"/>
      <c r="BD1911" s="74"/>
      <c r="BE1911" s="74"/>
      <c r="BF1911" s="74"/>
      <c r="BG1911" s="74"/>
      <c r="BH1911" s="74"/>
      <c r="BI1911" s="74"/>
    </row>
    <row r="1912" spans="24:61" x14ac:dyDescent="0.3">
      <c r="X1912" s="74"/>
      <c r="Y1912" s="74"/>
      <c r="Z1912" s="74"/>
      <c r="AA1912" s="74"/>
      <c r="AB1912" s="74"/>
      <c r="AC1912" s="74"/>
      <c r="AN1912" s="74"/>
      <c r="AO1912" s="74"/>
      <c r="AP1912" s="74"/>
      <c r="AQ1912" s="74"/>
      <c r="AR1912" s="74"/>
      <c r="AS1912" s="74"/>
      <c r="BD1912" s="74"/>
      <c r="BE1912" s="74"/>
      <c r="BF1912" s="74"/>
      <c r="BG1912" s="74"/>
      <c r="BH1912" s="74"/>
      <c r="BI1912" s="74"/>
    </row>
    <row r="1913" spans="24:61" x14ac:dyDescent="0.3">
      <c r="X1913" s="74"/>
      <c r="Y1913" s="74"/>
      <c r="Z1913" s="74"/>
      <c r="AA1913" s="74"/>
      <c r="AB1913" s="74"/>
      <c r="AC1913" s="74"/>
      <c r="AN1913" s="74"/>
      <c r="AO1913" s="74"/>
      <c r="AP1913" s="74"/>
      <c r="AQ1913" s="74"/>
      <c r="AR1913" s="74"/>
      <c r="AS1913" s="74"/>
      <c r="BD1913" s="74"/>
      <c r="BE1913" s="74"/>
      <c r="BF1913" s="74"/>
      <c r="BG1913" s="74"/>
      <c r="BH1913" s="74"/>
      <c r="BI1913" s="74"/>
    </row>
    <row r="1914" spans="24:61" x14ac:dyDescent="0.3">
      <c r="X1914" s="74"/>
      <c r="Y1914" s="74"/>
      <c r="Z1914" s="74"/>
      <c r="AA1914" s="74"/>
      <c r="AB1914" s="74"/>
      <c r="AC1914" s="74"/>
      <c r="AN1914" s="74"/>
      <c r="AO1914" s="74"/>
      <c r="AP1914" s="74"/>
      <c r="AQ1914" s="74"/>
      <c r="AR1914" s="74"/>
      <c r="AS1914" s="74"/>
      <c r="BD1914" s="74"/>
      <c r="BE1914" s="74"/>
      <c r="BF1914" s="74"/>
      <c r="BG1914" s="74"/>
      <c r="BH1914" s="74"/>
      <c r="BI1914" s="74"/>
    </row>
    <row r="1915" spans="24:61" x14ac:dyDescent="0.3">
      <c r="X1915" s="74"/>
      <c r="Y1915" s="74"/>
      <c r="Z1915" s="74"/>
      <c r="AA1915" s="74"/>
      <c r="AB1915" s="74"/>
      <c r="AC1915" s="74"/>
      <c r="AN1915" s="74"/>
      <c r="AO1915" s="74"/>
      <c r="AP1915" s="74"/>
      <c r="AQ1915" s="74"/>
      <c r="AR1915" s="74"/>
      <c r="AS1915" s="74"/>
      <c r="BD1915" s="74"/>
      <c r="BE1915" s="74"/>
      <c r="BF1915" s="74"/>
      <c r="BG1915" s="74"/>
      <c r="BH1915" s="74"/>
      <c r="BI1915" s="74"/>
    </row>
    <row r="1916" spans="24:61" x14ac:dyDescent="0.3">
      <c r="X1916" s="74"/>
      <c r="Y1916" s="74"/>
      <c r="Z1916" s="74"/>
      <c r="AA1916" s="74"/>
      <c r="AB1916" s="74"/>
      <c r="AC1916" s="74"/>
      <c r="AN1916" s="74"/>
      <c r="AO1916" s="74"/>
      <c r="AP1916" s="74"/>
      <c r="AQ1916" s="74"/>
      <c r="AR1916" s="74"/>
      <c r="AS1916" s="74"/>
      <c r="BD1916" s="74"/>
      <c r="BE1916" s="74"/>
      <c r="BF1916" s="74"/>
      <c r="BG1916" s="74"/>
      <c r="BH1916" s="74"/>
      <c r="BI1916" s="74"/>
    </row>
    <row r="1917" spans="24:61" x14ac:dyDescent="0.3">
      <c r="X1917" s="74"/>
      <c r="Y1917" s="74"/>
      <c r="Z1917" s="74"/>
      <c r="AA1917" s="74"/>
      <c r="AB1917" s="74"/>
      <c r="AC1917" s="74"/>
      <c r="AN1917" s="74"/>
      <c r="AO1917" s="74"/>
      <c r="AP1917" s="74"/>
      <c r="AQ1917" s="74"/>
      <c r="AR1917" s="74"/>
      <c r="AS1917" s="74"/>
      <c r="BD1917" s="74"/>
      <c r="BE1917" s="74"/>
      <c r="BF1917" s="74"/>
      <c r="BG1917" s="74"/>
      <c r="BH1917" s="74"/>
      <c r="BI1917" s="74"/>
    </row>
    <row r="1918" spans="24:61" x14ac:dyDescent="0.3">
      <c r="X1918" s="74"/>
      <c r="Y1918" s="74"/>
      <c r="Z1918" s="74"/>
      <c r="AA1918" s="74"/>
      <c r="AB1918" s="74"/>
      <c r="AC1918" s="74"/>
      <c r="AN1918" s="74"/>
      <c r="AO1918" s="74"/>
      <c r="AP1918" s="74"/>
      <c r="AQ1918" s="74"/>
      <c r="AR1918" s="74"/>
      <c r="AS1918" s="74"/>
      <c r="BD1918" s="74"/>
      <c r="BE1918" s="74"/>
      <c r="BF1918" s="74"/>
      <c r="BG1918" s="74"/>
      <c r="BH1918" s="74"/>
      <c r="BI1918" s="74"/>
    </row>
    <row r="1919" spans="24:61" x14ac:dyDescent="0.3">
      <c r="X1919" s="74"/>
      <c r="Y1919" s="74"/>
      <c r="Z1919" s="74"/>
      <c r="AA1919" s="74"/>
      <c r="AB1919" s="74"/>
      <c r="AC1919" s="74"/>
      <c r="AN1919" s="74"/>
      <c r="AO1919" s="74"/>
      <c r="AP1919" s="74"/>
      <c r="AQ1919" s="74"/>
      <c r="AR1919" s="74"/>
      <c r="AS1919" s="74"/>
      <c r="BD1919" s="74"/>
      <c r="BE1919" s="74"/>
      <c r="BF1919" s="74"/>
      <c r="BG1919" s="74"/>
      <c r="BH1919" s="74"/>
      <c r="BI1919" s="74"/>
    </row>
    <row r="1920" spans="24:61" x14ac:dyDescent="0.3">
      <c r="X1920" s="74"/>
      <c r="Y1920" s="74"/>
      <c r="Z1920" s="74"/>
      <c r="AA1920" s="74"/>
      <c r="AB1920" s="74"/>
      <c r="AC1920" s="74"/>
      <c r="AN1920" s="74"/>
      <c r="AO1920" s="74"/>
      <c r="AP1920" s="74"/>
      <c r="AQ1920" s="74"/>
      <c r="AR1920" s="74"/>
      <c r="AS1920" s="74"/>
      <c r="BD1920" s="74"/>
      <c r="BE1920" s="74"/>
      <c r="BF1920" s="74"/>
      <c r="BG1920" s="74"/>
      <c r="BH1920" s="74"/>
      <c r="BI1920" s="74"/>
    </row>
    <row r="1921" spans="24:61" x14ac:dyDescent="0.3">
      <c r="X1921" s="74"/>
      <c r="Y1921" s="74"/>
      <c r="Z1921" s="74"/>
      <c r="AA1921" s="74"/>
      <c r="AB1921" s="74"/>
      <c r="AC1921" s="74"/>
      <c r="AN1921" s="74"/>
      <c r="AO1921" s="74"/>
      <c r="AP1921" s="74"/>
      <c r="AQ1921" s="74"/>
      <c r="AR1921" s="74"/>
      <c r="AS1921" s="74"/>
      <c r="BD1921" s="74"/>
      <c r="BE1921" s="74"/>
      <c r="BF1921" s="74"/>
      <c r="BG1921" s="74"/>
      <c r="BH1921" s="74"/>
      <c r="BI1921" s="74"/>
    </row>
    <row r="1922" spans="24:61" x14ac:dyDescent="0.3">
      <c r="X1922" s="74"/>
      <c r="Y1922" s="74"/>
      <c r="Z1922" s="74"/>
      <c r="AA1922" s="74"/>
      <c r="AB1922" s="74"/>
      <c r="AC1922" s="74"/>
      <c r="AN1922" s="74"/>
      <c r="AO1922" s="74"/>
      <c r="AP1922" s="74"/>
      <c r="AQ1922" s="74"/>
      <c r="AR1922" s="74"/>
      <c r="AS1922" s="74"/>
      <c r="BD1922" s="74"/>
      <c r="BE1922" s="74"/>
      <c r="BF1922" s="74"/>
      <c r="BG1922" s="74"/>
      <c r="BH1922" s="74"/>
      <c r="BI1922" s="74"/>
    </row>
    <row r="1923" spans="24:61" x14ac:dyDescent="0.3">
      <c r="X1923" s="74"/>
      <c r="Y1923" s="74"/>
      <c r="Z1923" s="74"/>
      <c r="AA1923" s="74"/>
      <c r="AB1923" s="74"/>
      <c r="AC1923" s="74"/>
      <c r="AN1923" s="74"/>
      <c r="AO1923" s="74"/>
      <c r="AP1923" s="74"/>
      <c r="AQ1923" s="74"/>
      <c r="AR1923" s="74"/>
      <c r="AS1923" s="74"/>
      <c r="BD1923" s="74"/>
      <c r="BE1923" s="74"/>
      <c r="BF1923" s="74"/>
      <c r="BG1923" s="74"/>
      <c r="BH1923" s="74"/>
      <c r="BI1923" s="74"/>
    </row>
    <row r="1924" spans="24:61" x14ac:dyDescent="0.3">
      <c r="X1924" s="74"/>
      <c r="Y1924" s="74"/>
      <c r="Z1924" s="74"/>
      <c r="AA1924" s="74"/>
      <c r="AB1924" s="74"/>
      <c r="AC1924" s="74"/>
      <c r="AN1924" s="74"/>
      <c r="AO1924" s="74"/>
      <c r="AP1924" s="74"/>
      <c r="AQ1924" s="74"/>
      <c r="AR1924" s="74"/>
      <c r="AS1924" s="74"/>
      <c r="BD1924" s="74"/>
      <c r="BE1924" s="74"/>
      <c r="BF1924" s="74"/>
      <c r="BG1924" s="74"/>
      <c r="BH1924" s="74"/>
      <c r="BI1924" s="74"/>
    </row>
    <row r="1925" spans="24:61" x14ac:dyDescent="0.3">
      <c r="X1925" s="74"/>
      <c r="Y1925" s="74"/>
      <c r="Z1925" s="74"/>
      <c r="AA1925" s="74"/>
      <c r="AB1925" s="74"/>
      <c r="AC1925" s="74"/>
      <c r="AN1925" s="74"/>
      <c r="AO1925" s="74"/>
      <c r="AP1925" s="74"/>
      <c r="AQ1925" s="74"/>
      <c r="AR1925" s="74"/>
      <c r="AS1925" s="74"/>
      <c r="BD1925" s="74"/>
      <c r="BE1925" s="74"/>
      <c r="BF1925" s="74"/>
      <c r="BG1925" s="74"/>
      <c r="BH1925" s="74"/>
      <c r="BI1925" s="74"/>
    </row>
    <row r="1926" spans="24:61" x14ac:dyDescent="0.3">
      <c r="X1926" s="74"/>
      <c r="Y1926" s="74"/>
      <c r="Z1926" s="74"/>
      <c r="AA1926" s="74"/>
      <c r="AB1926" s="74"/>
      <c r="AC1926" s="74"/>
      <c r="AN1926" s="74"/>
      <c r="AO1926" s="74"/>
      <c r="AP1926" s="74"/>
      <c r="AQ1926" s="74"/>
      <c r="AR1926" s="74"/>
      <c r="AS1926" s="74"/>
      <c r="BD1926" s="74"/>
      <c r="BE1926" s="74"/>
      <c r="BF1926" s="74"/>
      <c r="BG1926" s="74"/>
      <c r="BH1926" s="74"/>
      <c r="BI1926" s="74"/>
    </row>
    <row r="1927" spans="24:61" x14ac:dyDescent="0.3">
      <c r="X1927" s="74"/>
      <c r="Y1927" s="74"/>
      <c r="Z1927" s="74"/>
      <c r="AA1927" s="74"/>
      <c r="AB1927" s="74"/>
      <c r="AC1927" s="74"/>
      <c r="AN1927" s="74"/>
      <c r="AO1927" s="74"/>
      <c r="AP1927" s="74"/>
      <c r="AQ1927" s="74"/>
      <c r="AR1927" s="74"/>
      <c r="AS1927" s="74"/>
      <c r="BD1927" s="74"/>
      <c r="BE1927" s="74"/>
      <c r="BF1927" s="74"/>
      <c r="BG1927" s="74"/>
      <c r="BH1927" s="74"/>
      <c r="BI1927" s="74"/>
    </row>
    <row r="1928" spans="24:61" x14ac:dyDescent="0.3">
      <c r="X1928" s="74"/>
      <c r="Y1928" s="74"/>
      <c r="Z1928" s="74"/>
      <c r="AA1928" s="74"/>
      <c r="AB1928" s="74"/>
      <c r="AC1928" s="74"/>
      <c r="AN1928" s="74"/>
      <c r="AO1928" s="74"/>
      <c r="AP1928" s="74"/>
      <c r="AQ1928" s="74"/>
      <c r="AR1928" s="74"/>
      <c r="AS1928" s="74"/>
      <c r="BD1928" s="74"/>
      <c r="BE1928" s="74"/>
      <c r="BF1928" s="74"/>
      <c r="BG1928" s="74"/>
      <c r="BH1928" s="74"/>
      <c r="BI1928" s="74"/>
    </row>
    <row r="1929" spans="24:61" x14ac:dyDescent="0.3">
      <c r="X1929" s="74"/>
      <c r="Y1929" s="74"/>
      <c r="Z1929" s="74"/>
      <c r="AA1929" s="74"/>
      <c r="AB1929" s="74"/>
      <c r="AC1929" s="74"/>
      <c r="AN1929" s="74"/>
      <c r="AO1929" s="74"/>
      <c r="AP1929" s="74"/>
      <c r="AQ1929" s="74"/>
      <c r="AR1929" s="74"/>
      <c r="AS1929" s="74"/>
      <c r="BD1929" s="74"/>
      <c r="BE1929" s="74"/>
      <c r="BF1929" s="74"/>
      <c r="BG1929" s="74"/>
      <c r="BH1929" s="74"/>
      <c r="BI1929" s="74"/>
    </row>
    <row r="1930" spans="24:61" x14ac:dyDescent="0.3">
      <c r="X1930" s="74"/>
      <c r="Y1930" s="74"/>
      <c r="Z1930" s="74"/>
      <c r="AA1930" s="74"/>
      <c r="AB1930" s="74"/>
      <c r="AC1930" s="74"/>
      <c r="AN1930" s="74"/>
      <c r="AO1930" s="74"/>
      <c r="AP1930" s="74"/>
      <c r="AQ1930" s="74"/>
      <c r="AR1930" s="74"/>
      <c r="AS1930" s="74"/>
      <c r="BD1930" s="74"/>
      <c r="BE1930" s="74"/>
      <c r="BF1930" s="74"/>
      <c r="BG1930" s="74"/>
      <c r="BH1930" s="74"/>
      <c r="BI1930" s="74"/>
    </row>
    <row r="1931" spans="24:61" x14ac:dyDescent="0.3">
      <c r="X1931" s="74"/>
      <c r="Y1931" s="74"/>
      <c r="Z1931" s="74"/>
      <c r="AA1931" s="74"/>
      <c r="AB1931" s="74"/>
      <c r="AC1931" s="74"/>
      <c r="AN1931" s="74"/>
      <c r="AO1931" s="74"/>
      <c r="AP1931" s="74"/>
      <c r="AQ1931" s="74"/>
      <c r="AR1931" s="74"/>
      <c r="AS1931" s="74"/>
      <c r="BD1931" s="74"/>
      <c r="BE1931" s="74"/>
      <c r="BF1931" s="74"/>
      <c r="BG1931" s="74"/>
      <c r="BH1931" s="74"/>
      <c r="BI1931" s="74"/>
    </row>
    <row r="1932" spans="24:61" x14ac:dyDescent="0.3">
      <c r="X1932" s="74"/>
      <c r="Y1932" s="74"/>
      <c r="Z1932" s="74"/>
      <c r="AA1932" s="74"/>
      <c r="AB1932" s="74"/>
      <c r="AC1932" s="74"/>
      <c r="AN1932" s="74"/>
      <c r="AO1932" s="74"/>
      <c r="AP1932" s="74"/>
      <c r="AQ1932" s="74"/>
      <c r="AR1932" s="74"/>
      <c r="AS1932" s="74"/>
      <c r="BD1932" s="74"/>
      <c r="BE1932" s="74"/>
      <c r="BF1932" s="74"/>
      <c r="BG1932" s="74"/>
      <c r="BH1932" s="74"/>
      <c r="BI1932" s="74"/>
    </row>
    <row r="1933" spans="24:61" x14ac:dyDescent="0.3">
      <c r="X1933" s="74"/>
      <c r="Y1933" s="74"/>
      <c r="Z1933" s="74"/>
      <c r="AA1933" s="74"/>
      <c r="AB1933" s="74"/>
      <c r="AC1933" s="74"/>
      <c r="AN1933" s="74"/>
      <c r="AO1933" s="74"/>
      <c r="AP1933" s="74"/>
      <c r="AQ1933" s="74"/>
      <c r="AR1933" s="74"/>
      <c r="AS1933" s="74"/>
      <c r="BD1933" s="74"/>
      <c r="BE1933" s="74"/>
      <c r="BF1933" s="74"/>
      <c r="BG1933" s="74"/>
      <c r="BH1933" s="74"/>
      <c r="BI1933" s="74"/>
    </row>
    <row r="1934" spans="24:61" x14ac:dyDescent="0.3">
      <c r="X1934" s="74"/>
      <c r="Y1934" s="74"/>
      <c r="Z1934" s="74"/>
      <c r="AA1934" s="74"/>
      <c r="AB1934" s="74"/>
      <c r="AC1934" s="74"/>
      <c r="AN1934" s="74"/>
      <c r="AO1934" s="74"/>
      <c r="AP1934" s="74"/>
      <c r="AQ1934" s="74"/>
      <c r="AR1934" s="74"/>
      <c r="AS1934" s="74"/>
      <c r="BD1934" s="74"/>
      <c r="BE1934" s="74"/>
      <c r="BF1934" s="74"/>
      <c r="BG1934" s="74"/>
      <c r="BH1934" s="74"/>
      <c r="BI1934" s="74"/>
    </row>
    <row r="1935" spans="24:61" x14ac:dyDescent="0.3">
      <c r="X1935" s="74"/>
      <c r="Y1935" s="74"/>
      <c r="Z1935" s="74"/>
      <c r="AA1935" s="74"/>
      <c r="AB1935" s="74"/>
      <c r="AC1935" s="74"/>
      <c r="AN1935" s="74"/>
      <c r="AO1935" s="74"/>
      <c r="AP1935" s="74"/>
      <c r="AQ1935" s="74"/>
      <c r="AR1935" s="74"/>
      <c r="AS1935" s="74"/>
      <c r="BD1935" s="74"/>
      <c r="BE1935" s="74"/>
      <c r="BF1935" s="74"/>
      <c r="BG1935" s="74"/>
      <c r="BH1935" s="74"/>
      <c r="BI1935" s="74"/>
    </row>
    <row r="1936" spans="24:61" x14ac:dyDescent="0.3">
      <c r="X1936" s="74"/>
      <c r="Y1936" s="74"/>
      <c r="Z1936" s="74"/>
      <c r="AA1936" s="74"/>
      <c r="AB1936" s="74"/>
      <c r="AC1936" s="74"/>
      <c r="AN1936" s="74"/>
      <c r="AO1936" s="74"/>
      <c r="AP1936" s="74"/>
      <c r="AQ1936" s="74"/>
      <c r="AR1936" s="74"/>
      <c r="AS1936" s="74"/>
      <c r="BD1936" s="74"/>
      <c r="BE1936" s="74"/>
      <c r="BF1936" s="74"/>
      <c r="BG1936" s="74"/>
      <c r="BH1936" s="74"/>
      <c r="BI1936" s="74"/>
    </row>
    <row r="1937" spans="24:61" x14ac:dyDescent="0.3">
      <c r="X1937" s="74"/>
      <c r="Y1937" s="74"/>
      <c r="Z1937" s="74"/>
      <c r="AA1937" s="74"/>
      <c r="AB1937" s="74"/>
      <c r="AC1937" s="74"/>
      <c r="AN1937" s="74"/>
      <c r="AO1937" s="74"/>
      <c r="AP1937" s="74"/>
      <c r="AQ1937" s="74"/>
      <c r="AR1937" s="74"/>
      <c r="AS1937" s="74"/>
      <c r="BD1937" s="74"/>
      <c r="BE1937" s="74"/>
      <c r="BF1937" s="74"/>
      <c r="BG1937" s="74"/>
      <c r="BH1937" s="74"/>
      <c r="BI1937" s="74"/>
    </row>
    <row r="1938" spans="24:61" x14ac:dyDescent="0.3">
      <c r="X1938" s="74"/>
      <c r="Y1938" s="74"/>
      <c r="Z1938" s="74"/>
      <c r="AA1938" s="74"/>
      <c r="AB1938" s="74"/>
      <c r="AC1938" s="74"/>
      <c r="AN1938" s="74"/>
      <c r="AO1938" s="74"/>
      <c r="AP1938" s="74"/>
      <c r="AQ1938" s="74"/>
      <c r="AR1938" s="74"/>
      <c r="AS1938" s="74"/>
      <c r="BD1938" s="74"/>
      <c r="BE1938" s="74"/>
      <c r="BF1938" s="74"/>
      <c r="BG1938" s="74"/>
      <c r="BH1938" s="74"/>
      <c r="BI1938" s="74"/>
    </row>
    <row r="1939" spans="24:61" x14ac:dyDescent="0.3">
      <c r="X1939" s="74"/>
      <c r="Y1939" s="74"/>
      <c r="Z1939" s="74"/>
      <c r="AA1939" s="74"/>
      <c r="AB1939" s="74"/>
      <c r="AC1939" s="74"/>
      <c r="AN1939" s="74"/>
      <c r="AO1939" s="74"/>
      <c r="AP1939" s="74"/>
      <c r="AQ1939" s="74"/>
      <c r="AR1939" s="74"/>
      <c r="AS1939" s="74"/>
      <c r="BD1939" s="74"/>
      <c r="BE1939" s="74"/>
      <c r="BF1939" s="74"/>
      <c r="BG1939" s="74"/>
      <c r="BH1939" s="74"/>
      <c r="BI1939" s="74"/>
    </row>
    <row r="1940" spans="24:61" x14ac:dyDescent="0.3">
      <c r="X1940" s="74"/>
      <c r="Y1940" s="74"/>
      <c r="Z1940" s="74"/>
      <c r="AA1940" s="74"/>
      <c r="AB1940" s="74"/>
      <c r="AC1940" s="74"/>
      <c r="AN1940" s="74"/>
      <c r="AO1940" s="74"/>
      <c r="AP1940" s="74"/>
      <c r="AQ1940" s="74"/>
      <c r="AR1940" s="74"/>
      <c r="AS1940" s="74"/>
      <c r="BD1940" s="74"/>
      <c r="BE1940" s="74"/>
      <c r="BF1940" s="74"/>
      <c r="BG1940" s="74"/>
      <c r="BH1940" s="74"/>
      <c r="BI1940" s="74"/>
    </row>
    <row r="1941" spans="24:61" x14ac:dyDescent="0.3">
      <c r="X1941" s="74"/>
      <c r="Y1941" s="74"/>
      <c r="Z1941" s="74"/>
      <c r="AA1941" s="74"/>
      <c r="AB1941" s="74"/>
      <c r="AC1941" s="74"/>
      <c r="AN1941" s="74"/>
      <c r="AO1941" s="74"/>
      <c r="AP1941" s="74"/>
      <c r="AQ1941" s="74"/>
      <c r="AR1941" s="74"/>
      <c r="AS1941" s="74"/>
      <c r="BD1941" s="74"/>
      <c r="BE1941" s="74"/>
      <c r="BF1941" s="74"/>
      <c r="BG1941" s="74"/>
      <c r="BH1941" s="74"/>
      <c r="BI1941" s="74"/>
    </row>
    <row r="1942" spans="24:61" x14ac:dyDescent="0.3">
      <c r="X1942" s="74"/>
      <c r="Y1942" s="74"/>
      <c r="Z1942" s="74"/>
      <c r="AA1942" s="74"/>
      <c r="AB1942" s="74"/>
      <c r="AC1942" s="74"/>
      <c r="AN1942" s="74"/>
      <c r="AO1942" s="74"/>
      <c r="AP1942" s="74"/>
      <c r="AQ1942" s="74"/>
      <c r="AR1942" s="74"/>
      <c r="AS1942" s="74"/>
      <c r="BD1942" s="74"/>
      <c r="BE1942" s="74"/>
      <c r="BF1942" s="74"/>
      <c r="BG1942" s="74"/>
      <c r="BH1942" s="74"/>
      <c r="BI1942" s="74"/>
    </row>
    <row r="1943" spans="24:61" x14ac:dyDescent="0.3">
      <c r="X1943" s="74"/>
      <c r="Y1943" s="74"/>
      <c r="Z1943" s="74"/>
      <c r="AA1943" s="74"/>
      <c r="AB1943" s="74"/>
      <c r="AC1943" s="74"/>
      <c r="AN1943" s="74"/>
      <c r="AO1943" s="74"/>
      <c r="AP1943" s="74"/>
      <c r="AQ1943" s="74"/>
      <c r="AR1943" s="74"/>
      <c r="AS1943" s="74"/>
      <c r="BD1943" s="74"/>
      <c r="BE1943" s="74"/>
      <c r="BF1943" s="74"/>
      <c r="BG1943" s="74"/>
      <c r="BH1943" s="74"/>
      <c r="BI1943" s="74"/>
    </row>
    <row r="1944" spans="24:61" x14ac:dyDescent="0.3">
      <c r="X1944" s="74"/>
      <c r="Y1944" s="74"/>
      <c r="Z1944" s="74"/>
      <c r="AA1944" s="74"/>
      <c r="AB1944" s="74"/>
      <c r="AC1944" s="74"/>
      <c r="AN1944" s="74"/>
      <c r="AO1944" s="74"/>
      <c r="AP1944" s="74"/>
      <c r="AQ1944" s="74"/>
      <c r="AR1944" s="74"/>
      <c r="AS1944" s="74"/>
      <c r="BD1944" s="74"/>
      <c r="BE1944" s="74"/>
      <c r="BF1944" s="74"/>
      <c r="BG1944" s="74"/>
      <c r="BH1944" s="74"/>
      <c r="BI1944" s="74"/>
    </row>
    <row r="1945" spans="24:61" x14ac:dyDescent="0.3">
      <c r="X1945" s="74"/>
      <c r="Y1945" s="74"/>
      <c r="Z1945" s="74"/>
      <c r="AA1945" s="74"/>
      <c r="AB1945" s="74"/>
      <c r="AC1945" s="74"/>
      <c r="AN1945" s="74"/>
      <c r="AO1945" s="74"/>
      <c r="AP1945" s="74"/>
      <c r="AQ1945" s="74"/>
      <c r="AR1945" s="74"/>
      <c r="AS1945" s="74"/>
      <c r="BD1945" s="74"/>
      <c r="BE1945" s="74"/>
      <c r="BF1945" s="74"/>
      <c r="BG1945" s="74"/>
      <c r="BH1945" s="74"/>
      <c r="BI1945" s="74"/>
    </row>
    <row r="1946" spans="24:61" x14ac:dyDescent="0.3">
      <c r="X1946" s="74"/>
      <c r="Y1946" s="74"/>
      <c r="Z1946" s="74"/>
      <c r="AA1946" s="74"/>
      <c r="AB1946" s="74"/>
      <c r="AC1946" s="74"/>
      <c r="AN1946" s="74"/>
      <c r="AO1946" s="74"/>
      <c r="AP1946" s="74"/>
      <c r="AQ1946" s="74"/>
      <c r="AR1946" s="74"/>
      <c r="AS1946" s="74"/>
      <c r="BD1946" s="74"/>
      <c r="BE1946" s="74"/>
      <c r="BF1946" s="74"/>
      <c r="BG1946" s="74"/>
      <c r="BH1946" s="74"/>
      <c r="BI1946" s="74"/>
    </row>
    <row r="1947" spans="24:61" x14ac:dyDescent="0.3">
      <c r="X1947" s="74"/>
      <c r="Y1947" s="74"/>
      <c r="Z1947" s="74"/>
      <c r="AA1947" s="74"/>
      <c r="AB1947" s="74"/>
      <c r="AC1947" s="74"/>
      <c r="AN1947" s="74"/>
      <c r="AO1947" s="74"/>
      <c r="AP1947" s="74"/>
      <c r="AQ1947" s="74"/>
      <c r="AR1947" s="74"/>
      <c r="AS1947" s="74"/>
      <c r="BD1947" s="74"/>
      <c r="BE1947" s="74"/>
      <c r="BF1947" s="74"/>
      <c r="BG1947" s="74"/>
      <c r="BH1947" s="74"/>
      <c r="BI1947" s="74"/>
    </row>
    <row r="1948" spans="24:61" x14ac:dyDescent="0.3">
      <c r="X1948" s="74"/>
      <c r="Y1948" s="74"/>
      <c r="Z1948" s="74"/>
      <c r="AA1948" s="74"/>
      <c r="AB1948" s="74"/>
      <c r="AC1948" s="74"/>
      <c r="AN1948" s="74"/>
      <c r="AO1948" s="74"/>
      <c r="AP1948" s="74"/>
      <c r="AQ1948" s="74"/>
      <c r="AR1948" s="74"/>
      <c r="AS1948" s="74"/>
      <c r="BD1948" s="74"/>
      <c r="BE1948" s="74"/>
      <c r="BF1948" s="74"/>
      <c r="BG1948" s="74"/>
      <c r="BH1948" s="74"/>
      <c r="BI1948" s="74"/>
    </row>
    <row r="1949" spans="24:61" x14ac:dyDescent="0.3">
      <c r="X1949" s="74"/>
      <c r="Y1949" s="74"/>
      <c r="Z1949" s="74"/>
      <c r="AA1949" s="74"/>
      <c r="AB1949" s="74"/>
      <c r="AC1949" s="74"/>
      <c r="AN1949" s="74"/>
      <c r="AO1949" s="74"/>
      <c r="AP1949" s="74"/>
      <c r="AQ1949" s="74"/>
      <c r="AR1949" s="74"/>
      <c r="AS1949" s="74"/>
      <c r="BD1949" s="74"/>
      <c r="BE1949" s="74"/>
      <c r="BF1949" s="74"/>
      <c r="BG1949" s="74"/>
      <c r="BH1949" s="74"/>
      <c r="BI1949" s="74"/>
    </row>
    <row r="1950" spans="24:61" x14ac:dyDescent="0.3">
      <c r="X1950" s="74"/>
      <c r="Y1950" s="74"/>
      <c r="Z1950" s="74"/>
      <c r="AA1950" s="74"/>
      <c r="AB1950" s="74"/>
      <c r="AC1950" s="74"/>
      <c r="AN1950" s="74"/>
      <c r="AO1950" s="74"/>
      <c r="AP1950" s="74"/>
      <c r="AQ1950" s="74"/>
      <c r="AR1950" s="74"/>
      <c r="AS1950" s="74"/>
      <c r="BD1950" s="74"/>
      <c r="BE1950" s="74"/>
      <c r="BF1950" s="74"/>
      <c r="BG1950" s="74"/>
      <c r="BH1950" s="74"/>
      <c r="BI1950" s="74"/>
    </row>
    <row r="1951" spans="24:61" x14ac:dyDescent="0.3">
      <c r="X1951" s="74"/>
      <c r="Y1951" s="74"/>
      <c r="Z1951" s="74"/>
      <c r="AA1951" s="74"/>
      <c r="AB1951" s="74"/>
      <c r="AC1951" s="74"/>
      <c r="AN1951" s="74"/>
      <c r="AO1951" s="74"/>
      <c r="AP1951" s="74"/>
      <c r="AQ1951" s="74"/>
      <c r="AR1951" s="74"/>
      <c r="AS1951" s="74"/>
      <c r="BD1951" s="74"/>
      <c r="BE1951" s="74"/>
      <c r="BF1951" s="74"/>
      <c r="BG1951" s="74"/>
      <c r="BH1951" s="74"/>
      <c r="BI1951" s="74"/>
    </row>
    <row r="1952" spans="24:61" x14ac:dyDescent="0.3">
      <c r="X1952" s="74"/>
      <c r="Y1952" s="74"/>
      <c r="Z1952" s="74"/>
      <c r="AA1952" s="74"/>
      <c r="AB1952" s="74"/>
      <c r="AC1952" s="74"/>
      <c r="AN1952" s="74"/>
      <c r="AO1952" s="74"/>
      <c r="AP1952" s="74"/>
      <c r="AQ1952" s="74"/>
      <c r="AR1952" s="74"/>
      <c r="AS1952" s="74"/>
      <c r="BD1952" s="74"/>
      <c r="BE1952" s="74"/>
      <c r="BF1952" s="74"/>
      <c r="BG1952" s="74"/>
      <c r="BH1952" s="74"/>
      <c r="BI1952" s="74"/>
    </row>
    <row r="1953" spans="24:61" x14ac:dyDescent="0.3">
      <c r="X1953" s="74"/>
      <c r="Y1953" s="74"/>
      <c r="Z1953" s="74"/>
      <c r="AA1953" s="74"/>
      <c r="AB1953" s="74"/>
      <c r="AC1953" s="74"/>
      <c r="AN1953" s="74"/>
      <c r="AO1953" s="74"/>
      <c r="AP1953" s="74"/>
      <c r="AQ1953" s="74"/>
      <c r="AR1953" s="74"/>
      <c r="AS1953" s="74"/>
      <c r="BD1953" s="74"/>
      <c r="BE1953" s="74"/>
      <c r="BF1953" s="74"/>
      <c r="BG1953" s="74"/>
      <c r="BH1953" s="74"/>
      <c r="BI1953" s="74"/>
    </row>
    <row r="1954" spans="24:61" x14ac:dyDescent="0.3">
      <c r="X1954" s="74"/>
      <c r="Y1954" s="74"/>
      <c r="Z1954" s="74"/>
      <c r="AA1954" s="74"/>
      <c r="AB1954" s="74"/>
      <c r="AC1954" s="74"/>
      <c r="AN1954" s="74"/>
      <c r="AO1954" s="74"/>
      <c r="AP1954" s="74"/>
      <c r="AQ1954" s="74"/>
      <c r="AR1954" s="74"/>
      <c r="AS1954" s="74"/>
      <c r="BD1954" s="74"/>
      <c r="BE1954" s="74"/>
      <c r="BF1954" s="74"/>
      <c r="BG1954" s="74"/>
      <c r="BH1954" s="74"/>
      <c r="BI1954" s="74"/>
    </row>
    <row r="1955" spans="24:61" x14ac:dyDescent="0.3">
      <c r="X1955" s="74"/>
      <c r="Y1955" s="74"/>
      <c r="Z1955" s="74"/>
      <c r="AA1955" s="74"/>
      <c r="AB1955" s="74"/>
      <c r="AC1955" s="74"/>
      <c r="AN1955" s="74"/>
      <c r="AO1955" s="74"/>
      <c r="AP1955" s="74"/>
      <c r="AQ1955" s="74"/>
      <c r="AR1955" s="74"/>
      <c r="AS1955" s="74"/>
      <c r="BD1955" s="74"/>
      <c r="BE1955" s="74"/>
      <c r="BF1955" s="74"/>
      <c r="BG1955" s="74"/>
      <c r="BH1955" s="74"/>
      <c r="BI1955" s="74"/>
    </row>
    <row r="1956" spans="24:61" x14ac:dyDescent="0.3">
      <c r="X1956" s="74"/>
      <c r="Y1956" s="74"/>
      <c r="Z1956" s="74"/>
      <c r="AA1956" s="74"/>
      <c r="AB1956" s="74"/>
      <c r="AC1956" s="74"/>
      <c r="AN1956" s="74"/>
      <c r="AO1956" s="74"/>
      <c r="AP1956" s="74"/>
      <c r="AQ1956" s="74"/>
      <c r="AR1956" s="74"/>
      <c r="AS1956" s="74"/>
      <c r="BD1956" s="74"/>
      <c r="BE1956" s="74"/>
      <c r="BF1956" s="74"/>
      <c r="BG1956" s="74"/>
      <c r="BH1956" s="74"/>
      <c r="BI1956" s="74"/>
    </row>
    <row r="1957" spans="24:61" x14ac:dyDescent="0.3">
      <c r="X1957" s="74"/>
      <c r="Y1957" s="74"/>
      <c r="Z1957" s="74"/>
      <c r="AA1957" s="74"/>
      <c r="AB1957" s="74"/>
      <c r="AC1957" s="74"/>
      <c r="AN1957" s="74"/>
      <c r="AO1957" s="74"/>
      <c r="AP1957" s="74"/>
      <c r="AQ1957" s="74"/>
      <c r="AR1957" s="74"/>
      <c r="AS1957" s="74"/>
      <c r="BD1957" s="74"/>
      <c r="BE1957" s="74"/>
      <c r="BF1957" s="74"/>
      <c r="BG1957" s="74"/>
      <c r="BH1957" s="74"/>
      <c r="BI1957" s="74"/>
    </row>
    <row r="1958" spans="24:61" x14ac:dyDescent="0.3">
      <c r="X1958" s="74"/>
      <c r="Y1958" s="74"/>
      <c r="Z1958" s="74"/>
      <c r="AA1958" s="74"/>
      <c r="AB1958" s="74"/>
      <c r="AC1958" s="74"/>
      <c r="AN1958" s="74"/>
      <c r="AO1958" s="74"/>
      <c r="AP1958" s="74"/>
      <c r="AQ1958" s="74"/>
      <c r="AR1958" s="74"/>
      <c r="AS1958" s="74"/>
      <c r="BD1958" s="74"/>
      <c r="BE1958" s="74"/>
      <c r="BF1958" s="74"/>
      <c r="BG1958" s="74"/>
      <c r="BH1958" s="74"/>
      <c r="BI1958" s="74"/>
    </row>
    <row r="1959" spans="24:61" x14ac:dyDescent="0.3">
      <c r="X1959" s="74"/>
      <c r="Y1959" s="74"/>
      <c r="Z1959" s="74"/>
      <c r="AA1959" s="74"/>
      <c r="AB1959" s="74"/>
      <c r="AC1959" s="74"/>
      <c r="AN1959" s="74"/>
      <c r="AO1959" s="74"/>
      <c r="AP1959" s="74"/>
      <c r="AQ1959" s="74"/>
      <c r="AR1959" s="74"/>
      <c r="AS1959" s="74"/>
      <c r="BD1959" s="74"/>
      <c r="BE1959" s="74"/>
      <c r="BF1959" s="74"/>
      <c r="BG1959" s="74"/>
      <c r="BH1959" s="74"/>
      <c r="BI1959" s="74"/>
    </row>
    <row r="1960" spans="24:61" x14ac:dyDescent="0.3">
      <c r="X1960" s="74"/>
      <c r="Y1960" s="74"/>
      <c r="Z1960" s="74"/>
      <c r="AA1960" s="74"/>
      <c r="AB1960" s="74"/>
      <c r="AC1960" s="74"/>
      <c r="AN1960" s="74"/>
      <c r="AO1960" s="74"/>
      <c r="AP1960" s="74"/>
      <c r="AQ1960" s="74"/>
      <c r="AR1960" s="74"/>
      <c r="AS1960" s="74"/>
      <c r="BD1960" s="74"/>
      <c r="BE1960" s="74"/>
      <c r="BF1960" s="74"/>
      <c r="BG1960" s="74"/>
      <c r="BH1960" s="74"/>
      <c r="BI1960" s="74"/>
    </row>
    <row r="1961" spans="24:61" x14ac:dyDescent="0.3">
      <c r="X1961" s="74"/>
      <c r="Y1961" s="74"/>
      <c r="Z1961" s="74"/>
      <c r="AA1961" s="74"/>
      <c r="AB1961" s="74"/>
      <c r="AC1961" s="74"/>
      <c r="AN1961" s="74"/>
      <c r="AO1961" s="74"/>
      <c r="AP1961" s="74"/>
      <c r="AQ1961" s="74"/>
      <c r="AR1961" s="74"/>
      <c r="AS1961" s="74"/>
      <c r="BD1961" s="74"/>
      <c r="BE1961" s="74"/>
      <c r="BF1961" s="74"/>
      <c r="BG1961" s="74"/>
      <c r="BH1961" s="74"/>
      <c r="BI1961" s="74"/>
    </row>
    <row r="1962" spans="24:61" x14ac:dyDescent="0.3">
      <c r="X1962" s="74"/>
      <c r="Y1962" s="74"/>
      <c r="Z1962" s="74"/>
      <c r="AA1962" s="74"/>
      <c r="AB1962" s="74"/>
      <c r="AC1962" s="74"/>
      <c r="AN1962" s="74"/>
      <c r="AO1962" s="74"/>
      <c r="AP1962" s="74"/>
      <c r="AQ1962" s="74"/>
      <c r="AR1962" s="74"/>
      <c r="AS1962" s="74"/>
      <c r="BD1962" s="74"/>
      <c r="BE1962" s="74"/>
      <c r="BF1962" s="74"/>
      <c r="BG1962" s="74"/>
      <c r="BH1962" s="74"/>
      <c r="BI1962" s="74"/>
    </row>
    <row r="1963" spans="24:61" x14ac:dyDescent="0.3">
      <c r="X1963" s="74"/>
      <c r="Y1963" s="74"/>
      <c r="Z1963" s="74"/>
      <c r="AA1963" s="74"/>
      <c r="AB1963" s="74"/>
      <c r="AC1963" s="74"/>
      <c r="AN1963" s="74"/>
      <c r="AO1963" s="74"/>
      <c r="AP1963" s="74"/>
      <c r="AQ1963" s="74"/>
      <c r="AR1963" s="74"/>
      <c r="AS1963" s="74"/>
      <c r="BD1963" s="74"/>
      <c r="BE1963" s="74"/>
      <c r="BF1963" s="74"/>
      <c r="BG1963" s="74"/>
      <c r="BH1963" s="74"/>
      <c r="BI1963" s="74"/>
    </row>
    <row r="1964" spans="24:61" x14ac:dyDescent="0.3">
      <c r="X1964" s="74"/>
      <c r="Y1964" s="74"/>
      <c r="Z1964" s="74"/>
      <c r="AA1964" s="74"/>
      <c r="AB1964" s="74"/>
      <c r="AC1964" s="74"/>
      <c r="AN1964" s="74"/>
      <c r="AO1964" s="74"/>
      <c r="AP1964" s="74"/>
      <c r="AQ1964" s="74"/>
      <c r="AR1964" s="74"/>
      <c r="AS1964" s="74"/>
      <c r="BD1964" s="74"/>
      <c r="BE1964" s="74"/>
      <c r="BF1964" s="74"/>
      <c r="BG1964" s="74"/>
      <c r="BH1964" s="74"/>
      <c r="BI1964" s="74"/>
    </row>
    <row r="1965" spans="24:61" x14ac:dyDescent="0.3">
      <c r="X1965" s="74"/>
      <c r="Y1965" s="74"/>
      <c r="Z1965" s="74"/>
      <c r="AA1965" s="74"/>
      <c r="AB1965" s="74"/>
      <c r="AC1965" s="74"/>
      <c r="AN1965" s="74"/>
      <c r="AO1965" s="74"/>
      <c r="AP1965" s="74"/>
      <c r="AQ1965" s="74"/>
      <c r="AR1965" s="74"/>
      <c r="AS1965" s="74"/>
      <c r="BD1965" s="74"/>
      <c r="BE1965" s="74"/>
      <c r="BF1965" s="74"/>
      <c r="BG1965" s="74"/>
      <c r="BH1965" s="74"/>
      <c r="BI1965" s="74"/>
    </row>
    <row r="1966" spans="24:61" x14ac:dyDescent="0.3">
      <c r="X1966" s="74"/>
      <c r="Y1966" s="74"/>
      <c r="Z1966" s="74"/>
      <c r="AA1966" s="74"/>
      <c r="AB1966" s="74"/>
      <c r="AC1966" s="74"/>
      <c r="AN1966" s="74"/>
      <c r="AO1966" s="74"/>
      <c r="AP1966" s="74"/>
      <c r="AQ1966" s="74"/>
      <c r="AR1966" s="74"/>
      <c r="AS1966" s="74"/>
      <c r="BD1966" s="74"/>
      <c r="BE1966" s="74"/>
      <c r="BF1966" s="74"/>
      <c r="BG1966" s="74"/>
      <c r="BH1966" s="74"/>
      <c r="BI1966" s="74"/>
    </row>
    <row r="1967" spans="24:61" x14ac:dyDescent="0.3">
      <c r="X1967" s="74"/>
      <c r="Y1967" s="74"/>
      <c r="Z1967" s="74"/>
      <c r="AA1967" s="74"/>
      <c r="AB1967" s="74"/>
      <c r="AC1967" s="74"/>
      <c r="AN1967" s="74"/>
      <c r="AO1967" s="74"/>
      <c r="AP1967" s="74"/>
      <c r="AQ1967" s="74"/>
      <c r="AR1967" s="74"/>
      <c r="AS1967" s="74"/>
      <c r="BD1967" s="74"/>
      <c r="BE1967" s="74"/>
      <c r="BF1967" s="74"/>
      <c r="BG1967" s="74"/>
      <c r="BH1967" s="74"/>
      <c r="BI1967" s="74"/>
    </row>
    <row r="1968" spans="24:61" x14ac:dyDescent="0.3">
      <c r="X1968" s="74"/>
      <c r="Y1968" s="74"/>
      <c r="Z1968" s="74"/>
      <c r="AA1968" s="74"/>
      <c r="AB1968" s="74"/>
      <c r="AC1968" s="74"/>
      <c r="AN1968" s="74"/>
      <c r="AO1968" s="74"/>
      <c r="AP1968" s="74"/>
      <c r="AQ1968" s="74"/>
      <c r="AR1968" s="74"/>
      <c r="AS1968" s="74"/>
      <c r="BD1968" s="74"/>
      <c r="BE1968" s="74"/>
      <c r="BF1968" s="74"/>
      <c r="BG1968" s="74"/>
      <c r="BH1968" s="74"/>
      <c r="BI1968" s="74"/>
    </row>
    <row r="1969" spans="24:61" x14ac:dyDescent="0.3">
      <c r="X1969" s="74"/>
      <c r="Y1969" s="74"/>
      <c r="Z1969" s="74"/>
      <c r="AA1969" s="74"/>
      <c r="AB1969" s="74"/>
      <c r="AC1969" s="74"/>
      <c r="AN1969" s="74"/>
      <c r="AO1969" s="74"/>
      <c r="AP1969" s="74"/>
      <c r="AQ1969" s="74"/>
      <c r="AR1969" s="74"/>
      <c r="AS1969" s="74"/>
      <c r="BD1969" s="74"/>
      <c r="BE1969" s="74"/>
      <c r="BF1969" s="74"/>
      <c r="BG1969" s="74"/>
      <c r="BH1969" s="74"/>
      <c r="BI1969" s="74"/>
    </row>
    <row r="1970" spans="24:61" x14ac:dyDescent="0.3">
      <c r="X1970" s="74"/>
      <c r="Y1970" s="74"/>
      <c r="Z1970" s="74"/>
      <c r="AA1970" s="74"/>
      <c r="AB1970" s="74"/>
      <c r="AC1970" s="74"/>
      <c r="AN1970" s="74"/>
      <c r="AO1970" s="74"/>
      <c r="AP1970" s="74"/>
      <c r="AQ1970" s="74"/>
      <c r="AR1970" s="74"/>
      <c r="AS1970" s="74"/>
      <c r="BD1970" s="74"/>
      <c r="BE1970" s="74"/>
      <c r="BF1970" s="74"/>
      <c r="BG1970" s="74"/>
      <c r="BH1970" s="74"/>
      <c r="BI1970" s="74"/>
    </row>
    <row r="1971" spans="24:61" x14ac:dyDescent="0.3">
      <c r="X1971" s="74"/>
      <c r="Y1971" s="74"/>
      <c r="Z1971" s="74"/>
      <c r="AA1971" s="74"/>
      <c r="AB1971" s="74"/>
      <c r="AC1971" s="74"/>
      <c r="AN1971" s="74"/>
      <c r="AO1971" s="74"/>
      <c r="AP1971" s="74"/>
      <c r="AQ1971" s="74"/>
      <c r="AR1971" s="74"/>
      <c r="AS1971" s="74"/>
      <c r="BD1971" s="74"/>
      <c r="BE1971" s="74"/>
      <c r="BF1971" s="74"/>
      <c r="BG1971" s="74"/>
      <c r="BH1971" s="74"/>
      <c r="BI1971" s="74"/>
    </row>
    <row r="1972" spans="24:61" x14ac:dyDescent="0.3">
      <c r="X1972" s="74"/>
      <c r="Y1972" s="74"/>
      <c r="Z1972" s="74"/>
      <c r="AA1972" s="74"/>
      <c r="AB1972" s="74"/>
      <c r="AC1972" s="74"/>
      <c r="AN1972" s="74"/>
      <c r="AO1972" s="74"/>
      <c r="AP1972" s="74"/>
      <c r="AQ1972" s="74"/>
      <c r="AR1972" s="74"/>
      <c r="AS1972" s="74"/>
      <c r="BD1972" s="74"/>
      <c r="BE1972" s="74"/>
      <c r="BF1972" s="74"/>
      <c r="BG1972" s="74"/>
      <c r="BH1972" s="74"/>
      <c r="BI1972" s="74"/>
    </row>
    <row r="1973" spans="24:61" x14ac:dyDescent="0.3">
      <c r="X1973" s="74"/>
      <c r="Y1973" s="74"/>
      <c r="Z1973" s="74"/>
      <c r="AA1973" s="74"/>
      <c r="AB1973" s="74"/>
      <c r="AC1973" s="74"/>
      <c r="AN1973" s="74"/>
      <c r="AO1973" s="74"/>
      <c r="AP1973" s="74"/>
      <c r="AQ1973" s="74"/>
      <c r="AR1973" s="74"/>
      <c r="AS1973" s="74"/>
      <c r="BD1973" s="74"/>
      <c r="BE1973" s="74"/>
      <c r="BF1973" s="74"/>
      <c r="BG1973" s="74"/>
      <c r="BH1973" s="74"/>
      <c r="BI1973" s="74"/>
    </row>
    <row r="1974" spans="24:61" x14ac:dyDescent="0.3">
      <c r="X1974" s="74"/>
      <c r="Y1974" s="74"/>
      <c r="Z1974" s="74"/>
      <c r="AA1974" s="74"/>
      <c r="AB1974" s="74"/>
      <c r="AC1974" s="74"/>
      <c r="AN1974" s="74"/>
      <c r="AO1974" s="74"/>
      <c r="AP1974" s="74"/>
      <c r="AQ1974" s="74"/>
      <c r="AR1974" s="74"/>
      <c r="AS1974" s="74"/>
      <c r="BD1974" s="74"/>
      <c r="BE1974" s="74"/>
      <c r="BF1974" s="74"/>
      <c r="BG1974" s="74"/>
      <c r="BH1974" s="74"/>
      <c r="BI1974" s="74"/>
    </row>
    <row r="1975" spans="24:61" x14ac:dyDescent="0.3">
      <c r="X1975" s="74"/>
      <c r="Y1975" s="74"/>
      <c r="Z1975" s="74"/>
      <c r="AA1975" s="74"/>
      <c r="AB1975" s="74"/>
      <c r="AC1975" s="74"/>
      <c r="AN1975" s="74"/>
      <c r="AO1975" s="74"/>
      <c r="AP1975" s="74"/>
      <c r="AQ1975" s="74"/>
      <c r="AR1975" s="74"/>
      <c r="AS1975" s="74"/>
      <c r="BD1975" s="74"/>
      <c r="BE1975" s="74"/>
      <c r="BF1975" s="74"/>
      <c r="BG1975" s="74"/>
      <c r="BH1975" s="74"/>
      <c r="BI1975" s="74"/>
    </row>
    <row r="1976" spans="24:61" x14ac:dyDescent="0.3">
      <c r="X1976" s="74"/>
      <c r="Y1976" s="74"/>
      <c r="Z1976" s="74"/>
      <c r="AA1976" s="74"/>
      <c r="AB1976" s="74"/>
      <c r="AC1976" s="74"/>
      <c r="AN1976" s="74"/>
      <c r="AO1976" s="74"/>
      <c r="AP1976" s="74"/>
      <c r="AQ1976" s="74"/>
      <c r="AR1976" s="74"/>
      <c r="AS1976" s="74"/>
      <c r="BD1976" s="74"/>
      <c r="BE1976" s="74"/>
      <c r="BF1976" s="74"/>
      <c r="BG1976" s="74"/>
      <c r="BH1976" s="74"/>
      <c r="BI1976" s="74"/>
    </row>
    <row r="1977" spans="24:61" x14ac:dyDescent="0.3">
      <c r="X1977" s="74"/>
      <c r="Y1977" s="74"/>
      <c r="Z1977" s="74"/>
      <c r="AA1977" s="74"/>
      <c r="AB1977" s="74"/>
      <c r="AC1977" s="74"/>
      <c r="AN1977" s="74"/>
      <c r="AO1977" s="74"/>
      <c r="AP1977" s="74"/>
      <c r="AQ1977" s="74"/>
      <c r="AR1977" s="74"/>
      <c r="AS1977" s="74"/>
      <c r="BD1977" s="74"/>
      <c r="BE1977" s="74"/>
      <c r="BF1977" s="74"/>
      <c r="BG1977" s="74"/>
      <c r="BH1977" s="74"/>
      <c r="BI1977" s="74"/>
    </row>
    <row r="1978" spans="24:61" x14ac:dyDescent="0.3">
      <c r="X1978" s="74"/>
      <c r="Y1978" s="74"/>
      <c r="Z1978" s="74"/>
      <c r="AA1978" s="74"/>
      <c r="AB1978" s="74"/>
      <c r="AC1978" s="74"/>
      <c r="AN1978" s="74"/>
      <c r="AO1978" s="74"/>
      <c r="AP1978" s="74"/>
      <c r="AQ1978" s="74"/>
      <c r="AR1978" s="74"/>
      <c r="AS1978" s="74"/>
      <c r="BD1978" s="74"/>
      <c r="BE1978" s="74"/>
      <c r="BF1978" s="74"/>
      <c r="BG1978" s="74"/>
      <c r="BH1978" s="74"/>
      <c r="BI1978" s="74"/>
    </row>
    <row r="1979" spans="24:61" x14ac:dyDescent="0.3">
      <c r="X1979" s="74"/>
      <c r="Y1979" s="74"/>
      <c r="Z1979" s="74"/>
      <c r="AA1979" s="74"/>
      <c r="AB1979" s="74"/>
      <c r="AC1979" s="74"/>
      <c r="AN1979" s="74"/>
      <c r="AO1979" s="74"/>
      <c r="AP1979" s="74"/>
      <c r="AQ1979" s="74"/>
      <c r="AR1979" s="74"/>
      <c r="AS1979" s="74"/>
      <c r="BD1979" s="74"/>
      <c r="BE1979" s="74"/>
      <c r="BF1979" s="74"/>
      <c r="BG1979" s="74"/>
      <c r="BH1979" s="74"/>
      <c r="BI1979" s="74"/>
    </row>
    <row r="1980" spans="24:61" x14ac:dyDescent="0.3">
      <c r="X1980" s="74"/>
      <c r="Y1980" s="74"/>
      <c r="Z1980" s="74"/>
      <c r="AA1980" s="74"/>
      <c r="AB1980" s="74"/>
      <c r="AC1980" s="74"/>
      <c r="AN1980" s="74"/>
      <c r="AO1980" s="74"/>
      <c r="AP1980" s="74"/>
      <c r="AQ1980" s="74"/>
      <c r="AR1980" s="74"/>
      <c r="AS1980" s="74"/>
      <c r="BD1980" s="74"/>
      <c r="BE1980" s="74"/>
      <c r="BF1980" s="74"/>
      <c r="BG1980" s="74"/>
      <c r="BH1980" s="74"/>
      <c r="BI1980" s="74"/>
    </row>
    <row r="1981" spans="24:61" x14ac:dyDescent="0.3">
      <c r="X1981" s="74"/>
      <c r="Y1981" s="74"/>
      <c r="Z1981" s="74"/>
      <c r="AA1981" s="74"/>
      <c r="AB1981" s="74"/>
      <c r="AC1981" s="74"/>
      <c r="AN1981" s="74"/>
      <c r="AO1981" s="74"/>
      <c r="AP1981" s="74"/>
      <c r="AQ1981" s="74"/>
      <c r="AR1981" s="74"/>
      <c r="AS1981" s="74"/>
      <c r="BD1981" s="74"/>
      <c r="BE1981" s="74"/>
      <c r="BF1981" s="74"/>
      <c r="BG1981" s="74"/>
      <c r="BH1981" s="74"/>
      <c r="BI1981" s="74"/>
    </row>
    <row r="1982" spans="24:61" x14ac:dyDescent="0.3">
      <c r="X1982" s="74"/>
      <c r="Y1982" s="74"/>
      <c r="Z1982" s="74"/>
      <c r="AA1982" s="74"/>
      <c r="AB1982" s="74"/>
      <c r="AC1982" s="74"/>
      <c r="AN1982" s="74"/>
      <c r="AO1982" s="74"/>
      <c r="AP1982" s="74"/>
      <c r="AQ1982" s="74"/>
      <c r="AR1982" s="74"/>
      <c r="AS1982" s="74"/>
      <c r="BD1982" s="74"/>
      <c r="BE1982" s="74"/>
      <c r="BF1982" s="74"/>
      <c r="BG1982" s="74"/>
      <c r="BH1982" s="74"/>
      <c r="BI1982" s="74"/>
    </row>
    <row r="1983" spans="24:61" x14ac:dyDescent="0.3">
      <c r="X1983" s="74"/>
      <c r="Y1983" s="74"/>
      <c r="Z1983" s="74"/>
      <c r="AA1983" s="74"/>
      <c r="AB1983" s="74"/>
      <c r="AC1983" s="74"/>
      <c r="AN1983" s="74"/>
      <c r="AO1983" s="74"/>
      <c r="AP1983" s="74"/>
      <c r="AQ1983" s="74"/>
      <c r="AR1983" s="74"/>
      <c r="AS1983" s="74"/>
      <c r="BD1983" s="74"/>
      <c r="BE1983" s="74"/>
      <c r="BF1983" s="74"/>
      <c r="BG1983" s="74"/>
      <c r="BH1983" s="74"/>
      <c r="BI1983" s="74"/>
    </row>
    <row r="1984" spans="24:61" x14ac:dyDescent="0.3">
      <c r="X1984" s="74"/>
      <c r="Y1984" s="74"/>
      <c r="Z1984" s="74"/>
      <c r="AA1984" s="74"/>
      <c r="AB1984" s="74"/>
      <c r="AC1984" s="74"/>
      <c r="AN1984" s="74"/>
      <c r="AO1984" s="74"/>
      <c r="AP1984" s="74"/>
      <c r="AQ1984" s="74"/>
      <c r="AR1984" s="74"/>
      <c r="AS1984" s="74"/>
      <c r="BD1984" s="74"/>
      <c r="BE1984" s="74"/>
      <c r="BF1984" s="74"/>
      <c r="BG1984" s="74"/>
      <c r="BH1984" s="74"/>
      <c r="BI1984" s="74"/>
    </row>
    <row r="1985" spans="24:61" x14ac:dyDescent="0.3">
      <c r="X1985" s="74"/>
      <c r="Y1985" s="74"/>
      <c r="Z1985" s="74"/>
      <c r="AA1985" s="74"/>
      <c r="AB1985" s="74"/>
      <c r="AC1985" s="74"/>
      <c r="AN1985" s="74"/>
      <c r="AO1985" s="74"/>
      <c r="AP1985" s="74"/>
      <c r="AQ1985" s="74"/>
      <c r="AR1985" s="74"/>
      <c r="AS1985" s="74"/>
      <c r="BD1985" s="74"/>
      <c r="BE1985" s="74"/>
      <c r="BF1985" s="74"/>
      <c r="BG1985" s="74"/>
      <c r="BH1985" s="74"/>
      <c r="BI1985" s="74"/>
    </row>
    <row r="1986" spans="24:61" x14ac:dyDescent="0.3">
      <c r="X1986" s="74"/>
      <c r="Y1986" s="74"/>
      <c r="Z1986" s="74"/>
      <c r="AA1986" s="74"/>
      <c r="AB1986" s="74"/>
      <c r="AC1986" s="74"/>
      <c r="AN1986" s="74"/>
      <c r="AO1986" s="74"/>
      <c r="AP1986" s="74"/>
      <c r="AQ1986" s="74"/>
      <c r="AR1986" s="74"/>
      <c r="AS1986" s="74"/>
      <c r="BD1986" s="74"/>
      <c r="BE1986" s="74"/>
      <c r="BF1986" s="74"/>
      <c r="BG1986" s="74"/>
      <c r="BH1986" s="74"/>
      <c r="BI1986" s="74"/>
    </row>
    <row r="1987" spans="24:61" x14ac:dyDescent="0.3">
      <c r="X1987" s="74"/>
      <c r="Y1987" s="74"/>
      <c r="Z1987" s="74"/>
      <c r="AA1987" s="74"/>
      <c r="AB1987" s="74"/>
      <c r="AC1987" s="74"/>
      <c r="AN1987" s="74"/>
      <c r="AO1987" s="74"/>
      <c r="AP1987" s="74"/>
      <c r="AQ1987" s="74"/>
      <c r="AR1987" s="74"/>
      <c r="AS1987" s="74"/>
      <c r="BD1987" s="74"/>
      <c r="BE1987" s="74"/>
      <c r="BF1987" s="74"/>
      <c r="BG1987" s="74"/>
      <c r="BH1987" s="74"/>
      <c r="BI1987" s="74"/>
    </row>
    <row r="1988" spans="24:61" x14ac:dyDescent="0.3">
      <c r="X1988" s="74"/>
      <c r="Y1988" s="74"/>
      <c r="Z1988" s="74"/>
      <c r="AA1988" s="74"/>
      <c r="AB1988" s="74"/>
      <c r="AC1988" s="74"/>
      <c r="AN1988" s="74"/>
      <c r="AO1988" s="74"/>
      <c r="AP1988" s="74"/>
      <c r="AQ1988" s="74"/>
      <c r="AR1988" s="74"/>
      <c r="AS1988" s="74"/>
      <c r="BD1988" s="74"/>
      <c r="BE1988" s="74"/>
      <c r="BF1988" s="74"/>
      <c r="BG1988" s="74"/>
      <c r="BH1988" s="74"/>
      <c r="BI1988" s="74"/>
    </row>
    <row r="1989" spans="24:61" x14ac:dyDescent="0.3">
      <c r="X1989" s="74"/>
      <c r="Y1989" s="74"/>
      <c r="Z1989" s="74"/>
      <c r="AA1989" s="74"/>
      <c r="AB1989" s="74"/>
      <c r="AC1989" s="74"/>
      <c r="AN1989" s="74"/>
      <c r="AO1989" s="74"/>
      <c r="AP1989" s="74"/>
      <c r="AQ1989" s="74"/>
      <c r="AR1989" s="74"/>
      <c r="AS1989" s="74"/>
      <c r="BD1989" s="74"/>
      <c r="BE1989" s="74"/>
      <c r="BF1989" s="74"/>
      <c r="BG1989" s="74"/>
      <c r="BH1989" s="74"/>
      <c r="BI1989" s="74"/>
    </row>
    <row r="1990" spans="24:61" x14ac:dyDescent="0.3">
      <c r="X1990" s="74"/>
      <c r="Y1990" s="74"/>
      <c r="Z1990" s="74"/>
      <c r="AA1990" s="74"/>
      <c r="AB1990" s="74"/>
      <c r="AC1990" s="74"/>
      <c r="AN1990" s="74"/>
      <c r="AO1990" s="74"/>
      <c r="AP1990" s="74"/>
      <c r="AQ1990" s="74"/>
      <c r="AR1990" s="74"/>
      <c r="AS1990" s="74"/>
      <c r="BD1990" s="74"/>
      <c r="BE1990" s="74"/>
      <c r="BF1990" s="74"/>
      <c r="BG1990" s="74"/>
      <c r="BH1990" s="74"/>
      <c r="BI1990" s="74"/>
    </row>
    <row r="1991" spans="24:61" x14ac:dyDescent="0.3">
      <c r="X1991" s="74"/>
      <c r="Y1991" s="74"/>
      <c r="Z1991" s="74"/>
      <c r="AA1991" s="74"/>
      <c r="AB1991" s="74"/>
      <c r="AC1991" s="74"/>
      <c r="AN1991" s="74"/>
      <c r="AO1991" s="74"/>
      <c r="AP1991" s="74"/>
      <c r="AQ1991" s="74"/>
      <c r="AR1991" s="74"/>
      <c r="AS1991" s="74"/>
      <c r="BD1991" s="74"/>
      <c r="BE1991" s="74"/>
      <c r="BF1991" s="74"/>
      <c r="BG1991" s="74"/>
      <c r="BH1991" s="74"/>
      <c r="BI1991" s="74"/>
    </row>
    <row r="1992" spans="24:61" x14ac:dyDescent="0.3">
      <c r="X1992" s="74"/>
      <c r="Y1992" s="74"/>
      <c r="Z1992" s="74"/>
      <c r="AA1992" s="74"/>
      <c r="AB1992" s="74"/>
      <c r="AC1992" s="74"/>
      <c r="AN1992" s="74"/>
      <c r="AO1992" s="74"/>
      <c r="AP1992" s="74"/>
      <c r="AQ1992" s="74"/>
      <c r="AR1992" s="74"/>
      <c r="AS1992" s="74"/>
      <c r="BD1992" s="74"/>
      <c r="BE1992" s="74"/>
      <c r="BF1992" s="74"/>
      <c r="BG1992" s="74"/>
      <c r="BH1992" s="74"/>
      <c r="BI1992" s="74"/>
    </row>
    <row r="1993" spans="24:61" x14ac:dyDescent="0.3">
      <c r="X1993" s="74"/>
      <c r="Y1993" s="74"/>
      <c r="Z1993" s="74"/>
      <c r="AA1993" s="74"/>
      <c r="AB1993" s="74"/>
      <c r="AC1993" s="74"/>
      <c r="AN1993" s="74"/>
      <c r="AO1993" s="74"/>
      <c r="AP1993" s="74"/>
      <c r="AQ1993" s="74"/>
      <c r="AR1993" s="74"/>
      <c r="AS1993" s="74"/>
      <c r="BD1993" s="74"/>
      <c r="BE1993" s="74"/>
      <c r="BF1993" s="74"/>
      <c r="BG1993" s="74"/>
      <c r="BH1993" s="74"/>
      <c r="BI1993" s="74"/>
    </row>
    <row r="1994" spans="24:61" x14ac:dyDescent="0.3">
      <c r="X1994" s="74"/>
      <c r="Y1994" s="74"/>
      <c r="Z1994" s="74"/>
      <c r="AA1994" s="74"/>
      <c r="AB1994" s="74"/>
      <c r="AC1994" s="74"/>
      <c r="AN1994" s="74"/>
      <c r="AO1994" s="74"/>
      <c r="AP1994" s="74"/>
      <c r="AQ1994" s="74"/>
      <c r="AR1994" s="74"/>
      <c r="AS1994" s="74"/>
      <c r="BD1994" s="74"/>
      <c r="BE1994" s="74"/>
      <c r="BF1994" s="74"/>
      <c r="BG1994" s="74"/>
      <c r="BH1994" s="74"/>
      <c r="BI1994" s="74"/>
    </row>
    <row r="1995" spans="24:61" x14ac:dyDescent="0.3">
      <c r="X1995" s="74"/>
      <c r="Y1995" s="74"/>
      <c r="Z1995" s="74"/>
      <c r="AA1995" s="74"/>
      <c r="AB1995" s="74"/>
      <c r="AC1995" s="74"/>
      <c r="AN1995" s="74"/>
      <c r="AO1995" s="74"/>
      <c r="AP1995" s="74"/>
      <c r="AQ1995" s="74"/>
      <c r="AR1995" s="74"/>
      <c r="AS1995" s="74"/>
      <c r="BD1995" s="74"/>
      <c r="BE1995" s="74"/>
      <c r="BF1995" s="74"/>
      <c r="BG1995" s="74"/>
      <c r="BH1995" s="74"/>
      <c r="BI1995" s="74"/>
    </row>
    <row r="1996" spans="24:61" x14ac:dyDescent="0.3">
      <c r="X1996" s="74"/>
      <c r="Y1996" s="74"/>
      <c r="Z1996" s="74"/>
      <c r="AA1996" s="74"/>
      <c r="AB1996" s="74"/>
      <c r="AC1996" s="74"/>
      <c r="AN1996" s="74"/>
      <c r="AO1996" s="74"/>
      <c r="AP1996" s="74"/>
      <c r="AQ1996" s="74"/>
      <c r="AR1996" s="74"/>
      <c r="AS1996" s="74"/>
      <c r="BD1996" s="74"/>
      <c r="BE1996" s="74"/>
      <c r="BF1996" s="74"/>
      <c r="BG1996" s="74"/>
      <c r="BH1996" s="74"/>
      <c r="BI1996" s="74"/>
    </row>
    <row r="1997" spans="24:61" x14ac:dyDescent="0.3">
      <c r="X1997" s="74"/>
      <c r="Y1997" s="74"/>
      <c r="Z1997" s="74"/>
      <c r="AA1997" s="74"/>
      <c r="AB1997" s="74"/>
      <c r="AC1997" s="74"/>
      <c r="AN1997" s="74"/>
      <c r="AO1997" s="74"/>
      <c r="AP1997" s="74"/>
      <c r="AQ1997" s="74"/>
      <c r="AR1997" s="74"/>
      <c r="AS1997" s="74"/>
      <c r="BD1997" s="74"/>
      <c r="BE1997" s="74"/>
      <c r="BF1997" s="74"/>
      <c r="BG1997" s="74"/>
      <c r="BH1997" s="74"/>
      <c r="BI1997" s="74"/>
    </row>
    <row r="1998" spans="24:61" x14ac:dyDescent="0.3">
      <c r="X1998" s="74"/>
      <c r="Y1998" s="74"/>
      <c r="Z1998" s="74"/>
      <c r="AA1998" s="74"/>
      <c r="AB1998" s="74"/>
      <c r="AC1998" s="74"/>
      <c r="AN1998" s="74"/>
      <c r="AO1998" s="74"/>
      <c r="AP1998" s="74"/>
      <c r="AQ1998" s="74"/>
      <c r="AR1998" s="74"/>
      <c r="AS1998" s="74"/>
      <c r="BD1998" s="74"/>
      <c r="BE1998" s="74"/>
      <c r="BF1998" s="74"/>
      <c r="BG1998" s="74"/>
      <c r="BH1998" s="74"/>
      <c r="BI1998" s="74"/>
    </row>
    <row r="1999" spans="24:61" x14ac:dyDescent="0.3">
      <c r="X1999" s="74"/>
      <c r="Y1999" s="74"/>
      <c r="Z1999" s="74"/>
      <c r="AA1999" s="74"/>
      <c r="AB1999" s="74"/>
      <c r="AC1999" s="74"/>
      <c r="AN1999" s="74"/>
      <c r="AO1999" s="74"/>
      <c r="AP1999" s="74"/>
      <c r="AQ1999" s="74"/>
      <c r="AR1999" s="74"/>
      <c r="AS1999" s="74"/>
      <c r="BD1999" s="74"/>
      <c r="BE1999" s="74"/>
      <c r="BF1999" s="74"/>
      <c r="BG1999" s="74"/>
      <c r="BH1999" s="74"/>
      <c r="BI1999" s="74"/>
    </row>
    <row r="2000" spans="24:61" x14ac:dyDescent="0.3">
      <c r="X2000" s="74"/>
      <c r="Y2000" s="74"/>
      <c r="Z2000" s="74"/>
      <c r="AA2000" s="74"/>
      <c r="AB2000" s="74"/>
      <c r="AC2000" s="74"/>
      <c r="AN2000" s="74"/>
      <c r="AO2000" s="74"/>
      <c r="AP2000" s="74"/>
      <c r="AQ2000" s="74"/>
      <c r="AR2000" s="74"/>
      <c r="AS2000" s="74"/>
      <c r="BD2000" s="74"/>
      <c r="BE2000" s="74"/>
      <c r="BF2000" s="74"/>
      <c r="BG2000" s="74"/>
      <c r="BH2000" s="74"/>
      <c r="BI2000" s="74"/>
    </row>
    <row r="2001" spans="24:61" x14ac:dyDescent="0.3">
      <c r="X2001" s="74"/>
      <c r="Y2001" s="74"/>
      <c r="Z2001" s="74"/>
      <c r="AA2001" s="74"/>
      <c r="AB2001" s="74"/>
      <c r="AC2001" s="74"/>
      <c r="AN2001" s="74"/>
      <c r="AO2001" s="74"/>
      <c r="AP2001" s="74"/>
      <c r="AQ2001" s="74"/>
      <c r="AR2001" s="74"/>
      <c r="AS2001" s="74"/>
      <c r="BD2001" s="74"/>
      <c r="BE2001" s="74"/>
      <c r="BF2001" s="74"/>
      <c r="BG2001" s="74"/>
      <c r="BH2001" s="74"/>
      <c r="BI2001" s="74"/>
    </row>
    <row r="2002" spans="24:61" x14ac:dyDescent="0.3">
      <c r="X2002" s="74"/>
      <c r="Y2002" s="74"/>
      <c r="Z2002" s="74"/>
      <c r="AA2002" s="74"/>
      <c r="AB2002" s="74"/>
      <c r="AC2002" s="74"/>
      <c r="AN2002" s="74"/>
      <c r="AO2002" s="74"/>
      <c r="AP2002" s="74"/>
      <c r="AQ2002" s="74"/>
      <c r="AR2002" s="74"/>
      <c r="AS2002" s="74"/>
      <c r="BD2002" s="74"/>
      <c r="BE2002" s="74"/>
      <c r="BF2002" s="74"/>
      <c r="BG2002" s="74"/>
      <c r="BH2002" s="74"/>
      <c r="BI2002" s="74"/>
    </row>
    <row r="2003" spans="24:61" x14ac:dyDescent="0.3">
      <c r="X2003" s="74"/>
      <c r="Y2003" s="74"/>
      <c r="Z2003" s="74"/>
      <c r="AA2003" s="74"/>
      <c r="AB2003" s="74"/>
      <c r="AC2003" s="74"/>
      <c r="AN2003" s="74"/>
      <c r="AO2003" s="74"/>
      <c r="AP2003" s="74"/>
      <c r="AQ2003" s="74"/>
      <c r="AR2003" s="74"/>
      <c r="AS2003" s="74"/>
      <c r="BD2003" s="74"/>
      <c r="BE2003" s="74"/>
      <c r="BF2003" s="74"/>
      <c r="BG2003" s="74"/>
      <c r="BH2003" s="74"/>
      <c r="BI2003" s="74"/>
    </row>
    <row r="2004" spans="24:61" x14ac:dyDescent="0.3">
      <c r="X2004" s="74"/>
      <c r="Y2004" s="74"/>
      <c r="Z2004" s="74"/>
      <c r="AA2004" s="74"/>
      <c r="AB2004" s="74"/>
      <c r="AC2004" s="74"/>
      <c r="AN2004" s="74"/>
      <c r="AO2004" s="74"/>
      <c r="AP2004" s="74"/>
      <c r="AQ2004" s="74"/>
      <c r="AR2004" s="74"/>
      <c r="AS2004" s="74"/>
      <c r="BD2004" s="74"/>
      <c r="BE2004" s="74"/>
      <c r="BF2004" s="74"/>
      <c r="BG2004" s="74"/>
      <c r="BH2004" s="74"/>
      <c r="BI2004" s="74"/>
    </row>
    <row r="2005" spans="24:61" x14ac:dyDescent="0.3">
      <c r="X2005" s="74"/>
      <c r="Y2005" s="74"/>
      <c r="Z2005" s="74"/>
      <c r="AA2005" s="74"/>
      <c r="AB2005" s="74"/>
      <c r="AC2005" s="74"/>
      <c r="AN2005" s="74"/>
      <c r="AO2005" s="74"/>
      <c r="AP2005" s="74"/>
      <c r="AQ2005" s="74"/>
      <c r="AR2005" s="74"/>
      <c r="AS2005" s="74"/>
      <c r="BD2005" s="74"/>
      <c r="BE2005" s="74"/>
      <c r="BF2005" s="74"/>
      <c r="BG2005" s="74"/>
      <c r="BH2005" s="74"/>
      <c r="BI2005" s="74"/>
    </row>
    <row r="2006" spans="24:61" x14ac:dyDescent="0.3">
      <c r="X2006" s="74"/>
      <c r="Y2006" s="74"/>
      <c r="Z2006" s="74"/>
      <c r="AA2006" s="74"/>
      <c r="AB2006" s="74"/>
      <c r="AC2006" s="74"/>
      <c r="AN2006" s="74"/>
      <c r="AO2006" s="74"/>
      <c r="AP2006" s="74"/>
      <c r="AQ2006" s="74"/>
      <c r="AR2006" s="74"/>
      <c r="AS2006" s="74"/>
      <c r="BD2006" s="74"/>
      <c r="BE2006" s="74"/>
      <c r="BF2006" s="74"/>
      <c r="BG2006" s="74"/>
      <c r="BH2006" s="74"/>
      <c r="BI2006" s="74"/>
    </row>
    <row r="2007" spans="24:61" x14ac:dyDescent="0.3">
      <c r="X2007" s="74"/>
      <c r="Y2007" s="74"/>
      <c r="Z2007" s="74"/>
      <c r="AA2007" s="74"/>
      <c r="AB2007" s="74"/>
      <c r="AC2007" s="74"/>
      <c r="AN2007" s="74"/>
      <c r="AO2007" s="74"/>
      <c r="AP2007" s="74"/>
      <c r="AQ2007" s="74"/>
      <c r="AR2007" s="74"/>
      <c r="AS2007" s="74"/>
      <c r="BD2007" s="74"/>
      <c r="BE2007" s="74"/>
      <c r="BF2007" s="74"/>
      <c r="BG2007" s="74"/>
      <c r="BH2007" s="74"/>
      <c r="BI2007" s="74"/>
    </row>
    <row r="2008" spans="24:61" x14ac:dyDescent="0.3">
      <c r="X2008" s="74"/>
      <c r="Y2008" s="74"/>
      <c r="Z2008" s="74"/>
      <c r="AA2008" s="74"/>
      <c r="AB2008" s="74"/>
      <c r="AC2008" s="74"/>
      <c r="AN2008" s="74"/>
      <c r="AO2008" s="74"/>
      <c r="AP2008" s="74"/>
      <c r="AQ2008" s="74"/>
      <c r="AR2008" s="74"/>
      <c r="AS2008" s="74"/>
      <c r="BD2008" s="74"/>
      <c r="BE2008" s="74"/>
      <c r="BF2008" s="74"/>
      <c r="BG2008" s="74"/>
      <c r="BH2008" s="74"/>
      <c r="BI2008" s="74"/>
    </row>
    <row r="2009" spans="24:61" x14ac:dyDescent="0.3">
      <c r="X2009" s="74"/>
      <c r="Y2009" s="74"/>
      <c r="Z2009" s="74"/>
      <c r="AA2009" s="74"/>
      <c r="AB2009" s="74"/>
      <c r="AC2009" s="74"/>
      <c r="AN2009" s="74"/>
      <c r="AO2009" s="74"/>
      <c r="AP2009" s="74"/>
      <c r="AQ2009" s="74"/>
      <c r="AR2009" s="74"/>
      <c r="AS2009" s="74"/>
      <c r="BD2009" s="74"/>
      <c r="BE2009" s="74"/>
      <c r="BF2009" s="74"/>
      <c r="BG2009" s="74"/>
      <c r="BH2009" s="74"/>
      <c r="BI2009" s="74"/>
    </row>
    <row r="2010" spans="24:61" x14ac:dyDescent="0.3">
      <c r="X2010" s="74"/>
      <c r="Y2010" s="74"/>
      <c r="Z2010" s="74"/>
      <c r="AA2010" s="74"/>
      <c r="AB2010" s="74"/>
      <c r="AC2010" s="74"/>
      <c r="AN2010" s="74"/>
      <c r="AO2010" s="74"/>
      <c r="AP2010" s="74"/>
      <c r="AQ2010" s="74"/>
      <c r="AR2010" s="74"/>
      <c r="AS2010" s="74"/>
      <c r="BD2010" s="74"/>
      <c r="BE2010" s="74"/>
      <c r="BF2010" s="74"/>
      <c r="BG2010" s="74"/>
      <c r="BH2010" s="74"/>
      <c r="BI2010" s="74"/>
    </row>
    <row r="2011" spans="24:61" x14ac:dyDescent="0.3">
      <c r="X2011" s="74"/>
      <c r="Y2011" s="74"/>
      <c r="Z2011" s="74"/>
      <c r="AA2011" s="74"/>
      <c r="AB2011" s="74"/>
      <c r="AC2011" s="74"/>
      <c r="AN2011" s="74"/>
      <c r="AO2011" s="74"/>
      <c r="AP2011" s="74"/>
      <c r="AQ2011" s="74"/>
      <c r="AR2011" s="74"/>
      <c r="AS2011" s="74"/>
      <c r="BD2011" s="74"/>
      <c r="BE2011" s="74"/>
      <c r="BF2011" s="74"/>
      <c r="BG2011" s="74"/>
      <c r="BH2011" s="74"/>
      <c r="BI2011" s="74"/>
    </row>
    <row r="2012" spans="24:61" x14ac:dyDescent="0.3">
      <c r="X2012" s="74"/>
      <c r="Y2012" s="74"/>
      <c r="Z2012" s="74"/>
      <c r="AA2012" s="74"/>
      <c r="AB2012" s="74"/>
      <c r="AC2012" s="74"/>
      <c r="AN2012" s="74"/>
      <c r="AO2012" s="74"/>
      <c r="AP2012" s="74"/>
      <c r="AQ2012" s="74"/>
      <c r="AR2012" s="74"/>
      <c r="AS2012" s="74"/>
      <c r="BD2012" s="74"/>
      <c r="BE2012" s="74"/>
      <c r="BF2012" s="74"/>
      <c r="BG2012" s="74"/>
      <c r="BH2012" s="74"/>
      <c r="BI2012" s="74"/>
    </row>
    <row r="2013" spans="24:61" x14ac:dyDescent="0.3">
      <c r="X2013" s="74"/>
      <c r="Y2013" s="74"/>
      <c r="Z2013" s="74"/>
      <c r="AA2013" s="74"/>
      <c r="AB2013" s="74"/>
      <c r="AC2013" s="74"/>
      <c r="AN2013" s="74"/>
      <c r="AO2013" s="74"/>
      <c r="AP2013" s="74"/>
      <c r="AQ2013" s="74"/>
      <c r="AR2013" s="74"/>
      <c r="AS2013" s="74"/>
      <c r="BD2013" s="74"/>
      <c r="BE2013" s="74"/>
      <c r="BF2013" s="74"/>
      <c r="BG2013" s="74"/>
      <c r="BH2013" s="74"/>
      <c r="BI2013" s="74"/>
    </row>
    <row r="2014" spans="24:61" x14ac:dyDescent="0.3">
      <c r="X2014" s="74"/>
      <c r="Y2014" s="74"/>
      <c r="Z2014" s="74"/>
      <c r="AA2014" s="74"/>
      <c r="AB2014" s="74"/>
      <c r="AC2014" s="74"/>
      <c r="AN2014" s="74"/>
      <c r="AO2014" s="74"/>
      <c r="AP2014" s="74"/>
      <c r="AQ2014" s="74"/>
      <c r="AR2014" s="74"/>
      <c r="AS2014" s="74"/>
      <c r="BD2014" s="74"/>
      <c r="BE2014" s="74"/>
      <c r="BF2014" s="74"/>
      <c r="BG2014" s="74"/>
      <c r="BH2014" s="74"/>
      <c r="BI2014" s="74"/>
    </row>
    <row r="2015" spans="24:61" x14ac:dyDescent="0.3">
      <c r="X2015" s="74"/>
      <c r="Y2015" s="74"/>
      <c r="Z2015" s="74"/>
      <c r="AA2015" s="74"/>
      <c r="AB2015" s="74"/>
      <c r="AC2015" s="74"/>
      <c r="AN2015" s="74"/>
      <c r="AO2015" s="74"/>
      <c r="AP2015" s="74"/>
      <c r="AQ2015" s="74"/>
      <c r="AR2015" s="74"/>
      <c r="AS2015" s="74"/>
      <c r="BD2015" s="74"/>
      <c r="BE2015" s="74"/>
      <c r="BF2015" s="74"/>
      <c r="BG2015" s="74"/>
      <c r="BH2015" s="74"/>
      <c r="BI2015" s="74"/>
    </row>
    <row r="2016" spans="24:61" x14ac:dyDescent="0.3">
      <c r="X2016" s="74"/>
      <c r="Y2016" s="74"/>
      <c r="Z2016" s="74"/>
      <c r="AA2016" s="74"/>
      <c r="AB2016" s="74"/>
      <c r="AC2016" s="74"/>
      <c r="AN2016" s="74"/>
      <c r="AO2016" s="74"/>
      <c r="AP2016" s="74"/>
      <c r="AQ2016" s="74"/>
      <c r="AR2016" s="74"/>
      <c r="AS2016" s="74"/>
      <c r="BD2016" s="74"/>
      <c r="BE2016" s="74"/>
      <c r="BF2016" s="74"/>
      <c r="BG2016" s="74"/>
      <c r="BH2016" s="74"/>
      <c r="BI2016" s="74"/>
    </row>
  </sheetData>
  <mergeCells count="3">
    <mergeCell ref="K45:L45"/>
    <mergeCell ref="M45:N45"/>
    <mergeCell ref="S4:T4"/>
  </mergeCells>
  <conditionalFormatting sqref="R6:R18">
    <cfRule type="cellIs" dxfId="18" priority="2" operator="lessThan">
      <formula>0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'Help Page'!$M$2:$M$5</xm:f>
          </x14:formula1>
          <xm:sqref>B27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>
    <tabColor rgb="FF002060"/>
  </sheetPr>
  <dimension ref="A1:Y112"/>
  <sheetViews>
    <sheetView showGridLines="0" tabSelected="1" zoomScaleNormal="100" workbookViewId="0">
      <selection activeCell="I21" sqref="I21"/>
    </sheetView>
  </sheetViews>
  <sheetFormatPr defaultRowHeight="14.4" x14ac:dyDescent="0.3"/>
  <cols>
    <col min="1" max="1" width="29.5546875" customWidth="1"/>
    <col min="2" max="2" width="19" customWidth="1"/>
    <col min="3" max="3" width="14.5546875" customWidth="1"/>
    <col min="4" max="4" width="14.88671875" customWidth="1"/>
    <col min="6" max="6" width="8.5546875" customWidth="1"/>
    <col min="7" max="8" width="8.88671875" style="2"/>
    <col min="9" max="9" width="10" style="2" bestFit="1" customWidth="1"/>
    <col min="10" max="12" width="8.88671875" style="2"/>
    <col min="13" max="13" width="8.88671875" style="2" customWidth="1"/>
    <col min="14" max="18" width="8.88671875" style="2"/>
    <col min="22" max="25" width="9.109375" style="193"/>
  </cols>
  <sheetData>
    <row r="1" spans="1:25" x14ac:dyDescent="0.3">
      <c r="A1" s="203" t="str">
        <f>Calculation!K36</f>
        <v>Металлоинвест, 001P-02</v>
      </c>
      <c r="B1" s="203"/>
      <c r="C1" s="34"/>
      <c r="D1" s="35"/>
      <c r="E1" s="35"/>
      <c r="F1" s="35"/>
      <c r="V1" s="189" t="s">
        <v>2136</v>
      </c>
      <c r="W1" s="190">
        <f>B80</f>
        <v>1.8582000000000001E-2</v>
      </c>
      <c r="X1" s="191">
        <f>F80</f>
        <v>7.400000000000001E-2</v>
      </c>
      <c r="Y1" s="191">
        <f>B46/100</f>
        <v>6.0468882619138992E-2</v>
      </c>
    </row>
    <row r="2" spans="1:25" x14ac:dyDescent="0.3">
      <c r="A2" s="36" t="s">
        <v>1</v>
      </c>
      <c r="B2" s="204" t="str">
        <f>Calculation!B1</f>
        <v>RU000A1057D4</v>
      </c>
      <c r="C2" s="204"/>
      <c r="D2" s="204"/>
      <c r="E2" s="37"/>
      <c r="F2" s="37"/>
      <c r="I2" s="2" t="s">
        <v>1061</v>
      </c>
      <c r="V2" s="189"/>
      <c r="W2" s="190"/>
      <c r="X2" s="191"/>
      <c r="Y2" s="191"/>
    </row>
    <row r="3" spans="1:25" ht="28.5" customHeight="1" x14ac:dyDescent="0.3">
      <c r="A3" s="38" t="s">
        <v>2</v>
      </c>
      <c r="B3" s="205" t="str">
        <f>Calculation!P2</f>
        <v>"Холдинговая компания "Металлоинвест", АО</v>
      </c>
      <c r="C3" s="205"/>
      <c r="D3" s="205"/>
      <c r="E3" s="39"/>
      <c r="F3" s="39"/>
      <c r="I3" s="77" t="s">
        <v>1274</v>
      </c>
      <c r="J3" s="77"/>
      <c r="K3" s="77"/>
      <c r="L3" s="89"/>
      <c r="M3" s="89"/>
      <c r="N3" s="89"/>
      <c r="O3" s="89"/>
      <c r="P3" s="89"/>
      <c r="Q3" s="89"/>
      <c r="V3" s="189"/>
      <c r="W3" s="190"/>
      <c r="X3" s="191"/>
      <c r="Y3" s="191"/>
    </row>
    <row r="4" spans="1:25" x14ac:dyDescent="0.3">
      <c r="A4" s="38" t="s">
        <v>25</v>
      </c>
      <c r="B4" s="207" t="str">
        <f>Calculation!K2</f>
        <v>Россия</v>
      </c>
      <c r="C4" s="207"/>
      <c r="D4" s="207"/>
      <c r="E4" s="102"/>
      <c r="F4" s="39"/>
      <c r="I4" s="77" t="s">
        <v>2058</v>
      </c>
      <c r="J4" s="77"/>
      <c r="K4" s="77"/>
      <c r="L4" s="77"/>
      <c r="M4" s="89"/>
      <c r="N4" s="89"/>
      <c r="O4" s="89"/>
      <c r="V4" s="189" t="s">
        <v>31</v>
      </c>
      <c r="W4" s="189">
        <v>0.85</v>
      </c>
      <c r="X4" s="189">
        <v>0.85</v>
      </c>
      <c r="Y4" s="189">
        <v>0.85</v>
      </c>
    </row>
    <row r="5" spans="1:25" x14ac:dyDescent="0.3">
      <c r="A5" s="40" t="s">
        <v>4</v>
      </c>
      <c r="B5" s="207" t="str">
        <f>Calculation!Q2</f>
        <v>Корпоративный</v>
      </c>
      <c r="C5" s="207"/>
      <c r="D5" s="207"/>
      <c r="E5" s="40"/>
      <c r="F5" s="40"/>
      <c r="I5" s="77" t="s">
        <v>1289</v>
      </c>
      <c r="J5" s="77"/>
      <c r="K5" s="77"/>
      <c r="L5" s="77"/>
      <c r="M5" s="77"/>
      <c r="N5" s="89"/>
      <c r="O5" s="89"/>
      <c r="V5" s="192"/>
      <c r="W5" s="192"/>
      <c r="X5" s="192"/>
      <c r="Y5" s="192"/>
    </row>
    <row r="6" spans="1:25" x14ac:dyDescent="0.3">
      <c r="A6" s="40" t="s">
        <v>366</v>
      </c>
      <c r="B6" s="206" t="str">
        <f>Calculation!L2</f>
        <v>Черная металлургия</v>
      </c>
      <c r="C6" s="206"/>
      <c r="D6" s="206"/>
      <c r="E6" s="40"/>
      <c r="F6" s="40"/>
      <c r="I6" s="77" t="s">
        <v>1415</v>
      </c>
      <c r="J6" s="77"/>
      <c r="K6" s="89"/>
      <c r="L6" s="89"/>
      <c r="M6" s="89"/>
      <c r="N6" s="89"/>
      <c r="O6" s="89"/>
    </row>
    <row r="7" spans="1:25" ht="27.6" x14ac:dyDescent="0.3">
      <c r="A7" s="41" t="s">
        <v>26</v>
      </c>
      <c r="B7" s="202">
        <f>Calculation!CM7</f>
        <v>13</v>
      </c>
      <c r="C7" s="202"/>
      <c r="D7" s="202"/>
      <c r="E7" s="42"/>
      <c r="F7" s="42"/>
      <c r="I7" s="77" t="s">
        <v>1416</v>
      </c>
      <c r="J7" s="77"/>
      <c r="K7" s="77"/>
      <c r="L7" s="77"/>
      <c r="M7" s="89"/>
      <c r="N7" s="89"/>
      <c r="O7" s="89"/>
    </row>
    <row r="8" spans="1:25" ht="15.6" x14ac:dyDescent="0.3">
      <c r="A8" s="44" t="s">
        <v>27</v>
      </c>
      <c r="B8" s="44"/>
      <c r="C8" s="44"/>
      <c r="D8" s="44"/>
      <c r="E8" s="44"/>
      <c r="F8" s="44"/>
      <c r="I8" s="77" t="s">
        <v>1417</v>
      </c>
      <c r="J8" s="77"/>
      <c r="K8" s="77"/>
      <c r="L8" s="77"/>
      <c r="M8" s="77"/>
      <c r="N8" s="111"/>
      <c r="O8" s="89"/>
      <c r="P8" s="89"/>
    </row>
    <row r="9" spans="1:25" ht="15.6" x14ac:dyDescent="0.3">
      <c r="A9" s="43" t="str">
        <f>IFERROR(Calculation!BW7,"")</f>
        <v>Эксперт РА</v>
      </c>
      <c r="B9" s="43" t="str">
        <f>IFERROR(Calculation!BU7,"")</f>
        <v/>
      </c>
      <c r="C9" s="78" t="str">
        <f>IFERROR(Calculation!BV7,"")</f>
        <v/>
      </c>
      <c r="D9" s="44"/>
      <c r="E9" s="44"/>
      <c r="F9" s="44"/>
    </row>
    <row r="10" spans="1:25" ht="15.6" x14ac:dyDescent="0.3">
      <c r="A10" s="43" t="str">
        <f>IFERROR(Calculation!BW8,"")</f>
        <v>АКРА</v>
      </c>
      <c r="B10" s="43" t="str">
        <f>IFERROR(Calculation!BU8,"")</f>
        <v>AA+(RU)</v>
      </c>
      <c r="C10" s="78">
        <f>IFERROR(Calculation!BV8,"")</f>
        <v>45791</v>
      </c>
      <c r="D10" s="70"/>
      <c r="E10" s="70"/>
      <c r="F10" s="70"/>
    </row>
    <row r="11" spans="1:25" ht="15.6" x14ac:dyDescent="0.3">
      <c r="A11" s="43" t="str">
        <f>IFERROR(Calculation!BW9,"")</f>
        <v>НКР</v>
      </c>
      <c r="B11" s="43" t="str">
        <f>IFERROR(Calculation!BU9,"")</f>
        <v>AAA.ru</v>
      </c>
      <c r="C11" s="78">
        <f>IFERROR(Calculation!BV9,"")</f>
        <v>45776</v>
      </c>
      <c r="D11" s="87"/>
      <c r="E11" s="87"/>
      <c r="F11" s="87"/>
      <c r="I11" s="2" t="s">
        <v>1248</v>
      </c>
    </row>
    <row r="12" spans="1:25" ht="15.6" x14ac:dyDescent="0.3">
      <c r="A12" s="43" t="str">
        <f>IFERROR(Calculation!BW10,"")</f>
        <v>RAEX-Europe</v>
      </c>
      <c r="B12" s="43" t="str">
        <f>IFERROR(Calculation!BU10,"")</f>
        <v/>
      </c>
      <c r="C12" s="78" t="str">
        <f>IFERROR(Calculation!BV10,"")</f>
        <v/>
      </c>
      <c r="D12" s="87"/>
      <c r="E12" s="87"/>
      <c r="F12" s="87"/>
      <c r="J12" s="2" t="str">
        <f>IF(COUNTIF(Calculation!M6:O18, "") &gt; 0,"ВНИМАНИЕ: в выгрузке присутствуют пустые значения", "Пустых значений в выгрузке нет")</f>
        <v>Пустых значений в выгрузке нет</v>
      </c>
    </row>
    <row r="13" spans="1:25" ht="15.6" x14ac:dyDescent="0.3">
      <c r="A13" s="44" t="s">
        <v>1243</v>
      </c>
      <c r="B13" s="43"/>
      <c r="C13" s="78"/>
      <c r="D13" s="87"/>
      <c r="E13" s="87"/>
      <c r="F13" s="87"/>
      <c r="J13" s="2" t="str">
        <f>IF(B34 = "рынок не активный","ВНИМАНИЕ: рынок по данной бумаге неактивный, требуется ручная проверка данных", "Рынок по данной бумаге активный")</f>
        <v>Рынок по данной бумаге активный</v>
      </c>
    </row>
    <row r="14" spans="1:25" ht="15.6" x14ac:dyDescent="0.3">
      <c r="A14" s="43" t="str">
        <f>IFERROR(Calculation!BW15,"")</f>
        <v>Эксперт РА</v>
      </c>
      <c r="B14" s="43" t="str">
        <f>IFERROR(Calculation!BU15,"")</f>
        <v/>
      </c>
      <c r="C14" s="78" t="str">
        <f>IFERROR(Calculation!BV15,"")</f>
        <v/>
      </c>
      <c r="D14" s="87"/>
      <c r="E14" s="87"/>
      <c r="F14" s="87"/>
      <c r="J14" s="2" t="str">
        <f>IF(COUNTIF('Double test'!E6:E19,"Ок")/COUNTA('Double test'!E6:E19) &lt;&gt; 1,"ВНИМАНИЕ: данные выгрузки не сходятся с выгрузкой с cbonds", "Выгрузка произведена корректно")</f>
        <v>ВНИМАНИЕ: данные выгрузки не сходятся с выгрузкой с cbonds</v>
      </c>
    </row>
    <row r="15" spans="1:25" ht="15.6" x14ac:dyDescent="0.3">
      <c r="A15" s="43" t="str">
        <f>IFERROR(Calculation!BW16,"")</f>
        <v>АКРА</v>
      </c>
      <c r="B15" s="43" t="str">
        <f>IFERROR(Calculation!BU16,"")</f>
        <v>aa+(ru)/Стабильный</v>
      </c>
      <c r="C15" s="78">
        <f>IFERROR(Calculation!BV16,"")</f>
        <v>45791</v>
      </c>
      <c r="D15" s="87"/>
      <c r="E15" s="87"/>
      <c r="F15" s="87"/>
    </row>
    <row r="16" spans="1:25" ht="15.6" x14ac:dyDescent="0.3">
      <c r="A16" s="43" t="str">
        <f>IFERROR(Calculation!BW17,"")</f>
        <v>НКР</v>
      </c>
      <c r="B16" s="43" t="str">
        <f>IFERROR(Calculation!BU17,"")</f>
        <v>aaa.ru/Стабильный</v>
      </c>
      <c r="C16" s="78">
        <f>IFERROR(Calculation!BV17,"")</f>
        <v>45776</v>
      </c>
      <c r="D16" s="87"/>
      <c r="E16" s="87"/>
      <c r="F16" s="87"/>
    </row>
    <row r="17" spans="1:25" ht="15.6" x14ac:dyDescent="0.3">
      <c r="A17" s="43" t="str">
        <f>IFERROR(Calculation!BW18,"")</f>
        <v>RAEX-Europe</v>
      </c>
      <c r="B17" s="43" t="str">
        <f>IFERROR(Calculation!BU18,"")</f>
        <v/>
      </c>
      <c r="C17" s="78" t="str">
        <f>IFERROR(Calculation!BV18,"")</f>
        <v/>
      </c>
      <c r="D17" s="87"/>
      <c r="E17" s="87"/>
      <c r="F17" s="87"/>
    </row>
    <row r="18" spans="1:25" ht="15.6" x14ac:dyDescent="0.3">
      <c r="A18" s="44" t="s">
        <v>1244</v>
      </c>
      <c r="B18" s="43"/>
      <c r="C18" s="78"/>
      <c r="D18" s="88"/>
      <c r="E18" s="88"/>
      <c r="F18" s="88"/>
    </row>
    <row r="19" spans="1:25" ht="15.6" x14ac:dyDescent="0.3">
      <c r="A19" s="43" t="str">
        <f>IFERROR(Calculation!BW23,"")</f>
        <v>Эксперт РА</v>
      </c>
      <c r="B19" s="43" t="str">
        <f>IFERROR(Calculation!BU23,"")</f>
        <v/>
      </c>
      <c r="C19" s="78" t="str">
        <f>IFERROR(Calculation!BV23,"")</f>
        <v/>
      </c>
      <c r="D19" s="88"/>
      <c r="E19" s="88"/>
      <c r="F19" s="88"/>
    </row>
    <row r="20" spans="1:25" ht="15.6" x14ac:dyDescent="0.3">
      <c r="A20" s="43" t="str">
        <f>IFERROR(Calculation!BW24,"")</f>
        <v>АКРА</v>
      </c>
      <c r="B20" s="43" t="str">
        <f>IFERROR(Calculation!BU24,"")</f>
        <v/>
      </c>
      <c r="C20" s="78" t="str">
        <f>IFERROR(Calculation!BV24,"")</f>
        <v/>
      </c>
      <c r="D20" s="88"/>
      <c r="E20" s="88"/>
      <c r="F20" s="88"/>
    </row>
    <row r="21" spans="1:25" ht="15.6" x14ac:dyDescent="0.3">
      <c r="A21" s="43" t="str">
        <f>IFERROR(Calculation!BW25,"")</f>
        <v>НКР</v>
      </c>
      <c r="B21" s="43" t="str">
        <f>IFERROR(Calculation!BU25,"")</f>
        <v/>
      </c>
      <c r="C21" s="78" t="str">
        <f>IFERROR(Calculation!BV25,"")</f>
        <v/>
      </c>
      <c r="D21" s="88"/>
      <c r="E21" s="88"/>
      <c r="F21" s="88"/>
    </row>
    <row r="22" spans="1:25" ht="15.6" x14ac:dyDescent="0.3">
      <c r="A22" s="43" t="str">
        <f>IFERROR(Calculation!BW26,"")</f>
        <v>RAEX-Europe</v>
      </c>
      <c r="B22" s="43" t="str">
        <f>IFERROR(Calculation!BU26,"")</f>
        <v/>
      </c>
      <c r="C22" s="78" t="str">
        <f>IFERROR(Calculation!BV26,"")</f>
        <v/>
      </c>
      <c r="D22" s="88"/>
      <c r="E22" s="88"/>
      <c r="F22" s="88"/>
    </row>
    <row r="23" spans="1:25" ht="15.6" x14ac:dyDescent="0.3">
      <c r="A23" s="209" t="s">
        <v>29</v>
      </c>
      <c r="B23" s="209"/>
      <c r="C23" s="209"/>
      <c r="D23" s="209"/>
      <c r="E23" s="209"/>
      <c r="F23" s="209"/>
    </row>
    <row r="24" spans="1:25" x14ac:dyDescent="0.3">
      <c r="A24" s="46" t="s">
        <v>30</v>
      </c>
      <c r="B24" s="86">
        <f>Calculation!B7</f>
        <v>44820</v>
      </c>
      <c r="C24" s="47"/>
      <c r="D24" s="45"/>
      <c r="E24" s="45"/>
      <c r="F24" s="45"/>
    </row>
    <row r="25" spans="1:25" x14ac:dyDescent="0.3">
      <c r="A25" s="46" t="str">
        <f>"Объем в обращении,"&amp;" "&amp;Calculation!B17</f>
        <v>Объем в обращении, CNY</v>
      </c>
      <c r="B25" s="99">
        <f>Calculation!B8</f>
        <v>1000000000</v>
      </c>
      <c r="C25" s="47"/>
      <c r="D25" s="45"/>
      <c r="E25" s="45"/>
      <c r="F25" s="45"/>
    </row>
    <row r="26" spans="1:25" s="2" customFormat="1" x14ac:dyDescent="0.3">
      <c r="A26" s="46" t="str">
        <f>IF(Calculation!B23 = "Put", "Дата оферты (put)", IF(Calculation!B23 = "Call", "Дата оферты (call)", "Без оферты"))</f>
        <v>Без оферты</v>
      </c>
      <c r="B26" s="86" t="str">
        <f>IFERROR(Calculation!B25, "")</f>
        <v/>
      </c>
      <c r="C26" s="47"/>
      <c r="D26" s="45"/>
      <c r="S26"/>
      <c r="T26"/>
      <c r="U26"/>
      <c r="V26" s="193"/>
      <c r="W26" s="193"/>
      <c r="X26" s="193"/>
      <c r="Y26" s="193"/>
    </row>
    <row r="27" spans="1:25" s="2" customFormat="1" x14ac:dyDescent="0.3">
      <c r="A27" s="46" t="s">
        <v>32</v>
      </c>
      <c r="B27" s="86">
        <f>Calculation!B9</f>
        <v>46640</v>
      </c>
      <c r="C27" s="47"/>
      <c r="D27" s="45"/>
      <c r="E27" s="45"/>
      <c r="F27" s="45"/>
      <c r="S27"/>
      <c r="T27"/>
      <c r="U27"/>
      <c r="V27" s="193"/>
      <c r="W27" s="193"/>
      <c r="X27" s="193"/>
      <c r="Y27" s="193"/>
    </row>
    <row r="28" spans="1:25" s="2" customFormat="1" x14ac:dyDescent="0.3">
      <c r="A28" s="46" t="s">
        <v>2060</v>
      </c>
      <c r="B28" s="86" t="str">
        <f>Calculation!B17</f>
        <v>CNY</v>
      </c>
      <c r="C28" s="47"/>
      <c r="D28" s="45"/>
      <c r="E28" s="45"/>
      <c r="F28" s="45"/>
      <c r="S28"/>
      <c r="T28"/>
      <c r="U28"/>
      <c r="V28" s="193"/>
      <c r="W28" s="193"/>
      <c r="X28" s="193"/>
      <c r="Y28" s="193"/>
    </row>
    <row r="29" spans="1:25" s="2" customFormat="1" x14ac:dyDescent="0.3">
      <c r="A29" s="46" t="s">
        <v>33</v>
      </c>
      <c r="B29" s="49">
        <f>Calculation!B11/100</f>
        <v>3.7000000000000005E-2</v>
      </c>
      <c r="C29" s="47"/>
      <c r="D29" s="45"/>
      <c r="E29" s="45"/>
      <c r="F29" s="45"/>
      <c r="S29"/>
      <c r="T29"/>
      <c r="U29"/>
      <c r="V29" s="193"/>
      <c r="W29" s="193"/>
      <c r="X29" s="193"/>
      <c r="Y29" s="193"/>
    </row>
    <row r="30" spans="1:25" s="2" customFormat="1" x14ac:dyDescent="0.3">
      <c r="A30" s="46" t="str">
        <f>"Номинал,"&amp;" "&amp;Calculation!B17</f>
        <v>Номинал, CNY</v>
      </c>
      <c r="B30" s="48">
        <f>Calculation!B12</f>
        <v>1000</v>
      </c>
      <c r="C30" s="47"/>
      <c r="D30" s="45"/>
      <c r="E30" s="45"/>
      <c r="F30" s="45"/>
      <c r="S30"/>
      <c r="T30"/>
      <c r="U30"/>
      <c r="V30" s="193"/>
      <c r="W30" s="193"/>
      <c r="X30" s="193"/>
      <c r="Y30" s="193"/>
    </row>
    <row r="31" spans="1:25" s="2" customFormat="1" ht="12.75" customHeight="1" x14ac:dyDescent="0.3">
      <c r="A31" s="50" t="s">
        <v>34</v>
      </c>
      <c r="B31" s="51">
        <f>Calculation!B13</f>
        <v>4</v>
      </c>
      <c r="C31" s="52"/>
      <c r="D31" s="53"/>
      <c r="E31" s="53"/>
      <c r="F31" s="53"/>
      <c r="S31"/>
      <c r="T31"/>
      <c r="U31"/>
      <c r="V31" s="193"/>
      <c r="W31" s="193"/>
      <c r="X31" s="193"/>
      <c r="Y31" s="193"/>
    </row>
    <row r="32" spans="1:25" s="2" customFormat="1" x14ac:dyDescent="0.3">
      <c r="A32" s="45"/>
      <c r="B32" s="54" t="s">
        <v>35</v>
      </c>
      <c r="C32" s="54" t="s">
        <v>36</v>
      </c>
      <c r="D32" s="40"/>
      <c r="E32" s="40"/>
      <c r="F32" s="40"/>
      <c r="S32"/>
      <c r="T32"/>
      <c r="U32"/>
      <c r="V32" s="193"/>
      <c r="W32" s="193"/>
      <c r="X32" s="193"/>
      <c r="Y32" s="193"/>
    </row>
    <row r="33" spans="1:25" s="2" customFormat="1" x14ac:dyDescent="0.3">
      <c r="A33" s="46" t="s">
        <v>37</v>
      </c>
      <c r="B33" s="67">
        <f>Calculation!K7</f>
        <v>45992</v>
      </c>
      <c r="C33" s="67">
        <f>Calculation!K6</f>
        <v>46023</v>
      </c>
      <c r="D33" s="40"/>
      <c r="E33" s="40"/>
      <c r="F33" s="40"/>
      <c r="S33"/>
      <c r="T33"/>
      <c r="U33"/>
      <c r="V33" s="193"/>
      <c r="W33" s="193"/>
      <c r="X33" s="193"/>
      <c r="Y33" s="193"/>
    </row>
    <row r="34" spans="1:25" s="2" customFormat="1" x14ac:dyDescent="0.3">
      <c r="A34" s="46" t="s">
        <v>38</v>
      </c>
      <c r="B34" s="210" t="str">
        <f>IF(OR(B36="нарушен",B37="нарушен",B38="нарушен"),"рынок не активный","активный")</f>
        <v>активный</v>
      </c>
      <c r="C34" s="210"/>
      <c r="D34" s="40"/>
      <c r="E34" s="40"/>
      <c r="F34" s="40"/>
      <c r="S34"/>
      <c r="T34"/>
      <c r="U34"/>
      <c r="V34" s="193"/>
      <c r="W34" s="193"/>
      <c r="X34" s="193"/>
      <c r="Y34" s="193"/>
    </row>
    <row r="35" spans="1:25" s="2" customFormat="1" ht="15.6" x14ac:dyDescent="0.3">
      <c r="A35" s="215" t="s">
        <v>2068</v>
      </c>
      <c r="B35" s="215"/>
      <c r="C35" s="216" t="s">
        <v>39</v>
      </c>
      <c r="D35" s="216" t="s">
        <v>40</v>
      </c>
      <c r="E35" s="216"/>
      <c r="F35" s="216"/>
      <c r="S35"/>
      <c r="T35"/>
      <c r="U35"/>
      <c r="V35" s="193"/>
      <c r="W35" s="193"/>
      <c r="X35" s="193"/>
      <c r="Y35" s="193"/>
    </row>
    <row r="36" spans="1:25" x14ac:dyDescent="0.3">
      <c r="A36" s="55" t="s">
        <v>41</v>
      </c>
      <c r="B36" s="3" t="str">
        <f>IF(C36&lt;5,"нарушен","выполняется")</f>
        <v>выполняется</v>
      </c>
      <c r="C36" s="108">
        <f>Calculation!K22</f>
        <v>21</v>
      </c>
      <c r="D36" s="211">
        <v>5</v>
      </c>
      <c r="E36" s="211"/>
      <c r="F36" s="211"/>
    </row>
    <row r="37" spans="1:25" ht="14.25" customHeight="1" x14ac:dyDescent="0.3">
      <c r="A37" s="55" t="s">
        <v>42</v>
      </c>
      <c r="B37" s="4" t="str">
        <f>IF(C37&lt;10,"нарушен","выполняется")</f>
        <v>выполняется</v>
      </c>
      <c r="C37" s="5">
        <f>Calculation!J22</f>
        <v>2016</v>
      </c>
      <c r="D37" s="212">
        <v>10</v>
      </c>
      <c r="E37" s="212"/>
      <c r="F37" s="212"/>
    </row>
    <row r="38" spans="1:25" ht="24.75" customHeight="1" x14ac:dyDescent="0.3">
      <c r="A38" s="55" t="s">
        <v>43</v>
      </c>
      <c r="B38" s="4" t="str">
        <f>IF(C38&lt;0.001,"нарушен","выполняется")</f>
        <v>выполняется</v>
      </c>
      <c r="C38" s="56">
        <f>Calculation!N22</f>
        <v>1.6832967525992344E-2</v>
      </c>
      <c r="D38" s="213">
        <v>1E-3</v>
      </c>
      <c r="E38" s="213"/>
      <c r="F38" s="213"/>
    </row>
    <row r="39" spans="1:25" ht="27.6" x14ac:dyDescent="0.3">
      <c r="A39" s="50" t="s">
        <v>44</v>
      </c>
      <c r="B39" s="6" t="s">
        <v>45</v>
      </c>
      <c r="C39" s="7" t="s">
        <v>46</v>
      </c>
      <c r="D39" s="214"/>
      <c r="E39" s="214"/>
      <c r="F39" s="214"/>
    </row>
    <row r="40" spans="1:25" x14ac:dyDescent="0.3">
      <c r="A40" s="46" t="s">
        <v>38</v>
      </c>
      <c r="B40" s="210" t="str">
        <f>IF(AND(B42  = "выполняется",B43  = "выполняется"),"активный","не активный")</f>
        <v>активный</v>
      </c>
      <c r="C40" s="210"/>
      <c r="D40" s="139"/>
      <c r="E40" s="139"/>
      <c r="F40" s="139"/>
    </row>
    <row r="41" spans="1:25" ht="15.6" x14ac:dyDescent="0.3">
      <c r="A41" s="215" t="s">
        <v>2067</v>
      </c>
      <c r="B41" s="215"/>
      <c r="C41" s="216" t="s">
        <v>39</v>
      </c>
      <c r="D41" s="216" t="s">
        <v>40</v>
      </c>
      <c r="E41" s="216"/>
      <c r="F41" s="216"/>
    </row>
    <row r="42" spans="1:25" ht="41.4" x14ac:dyDescent="0.3">
      <c r="A42" s="137" t="s">
        <v>2065</v>
      </c>
      <c r="B42" s="140" t="str">
        <f>IF(C42&lt;D42,"не выполняется","выполняется")</f>
        <v>выполняется</v>
      </c>
      <c r="C42" s="108">
        <v>6</v>
      </c>
      <c r="D42" s="211">
        <v>3</v>
      </c>
      <c r="E42" s="211"/>
      <c r="F42" s="211"/>
    </row>
    <row r="43" spans="1:25" ht="82.8" x14ac:dyDescent="0.3">
      <c r="A43" s="50" t="s">
        <v>2066</v>
      </c>
      <c r="B43" s="141" t="str">
        <f>IF(C43&gt;D43,"не выполняется","выполняется")</f>
        <v>выполняется</v>
      </c>
      <c r="C43" s="142">
        <v>2.7109999999999999E-2</v>
      </c>
      <c r="D43" s="217">
        <v>0.2</v>
      </c>
      <c r="E43" s="217"/>
      <c r="F43" s="217"/>
    </row>
    <row r="44" spans="1:25" s="2" customFormat="1" x14ac:dyDescent="0.3">
      <c r="A44" s="55" t="s">
        <v>47</v>
      </c>
      <c r="B44" s="57" t="s">
        <v>356</v>
      </c>
      <c r="C44"/>
      <c r="D44"/>
      <c r="E44"/>
      <c r="F44"/>
      <c r="S44"/>
      <c r="T44"/>
      <c r="U44"/>
      <c r="V44" s="193"/>
      <c r="W44" s="193"/>
      <c r="X44" s="193"/>
      <c r="Y44" s="193"/>
    </row>
    <row r="45" spans="1:25" s="2" customFormat="1" ht="27.6" x14ac:dyDescent="0.3">
      <c r="A45" s="55" t="s">
        <v>48</v>
      </c>
      <c r="B45" s="185">
        <f>Calculation!M6</f>
        <v>96.448099999999997</v>
      </c>
      <c r="C45"/>
      <c r="D45"/>
      <c r="E45"/>
      <c r="F45"/>
      <c r="S45"/>
      <c r="T45"/>
      <c r="U45"/>
      <c r="V45" s="193"/>
      <c r="W45" s="193"/>
      <c r="X45" s="193"/>
      <c r="Y45" s="193"/>
    </row>
    <row r="46" spans="1:25" s="2" customFormat="1" x14ac:dyDescent="0.3">
      <c r="A46" s="55" t="str">
        <f>IF(Calculation!B10 = "", "Доходность к погашению, % "&amp;Calculation!B17, "Доходность к пут оферте, % "&amp;Calculation!B17)</f>
        <v>Доходность к погашению, % CNY</v>
      </c>
      <c r="B46" s="119">
        <f>Calculation!S6</f>
        <v>6.0468882619138995</v>
      </c>
      <c r="C46"/>
      <c r="D46"/>
      <c r="E46"/>
      <c r="F46"/>
      <c r="S46"/>
      <c r="T46"/>
      <c r="U46"/>
      <c r="V46" s="193"/>
      <c r="W46" s="193"/>
      <c r="X46" s="193"/>
      <c r="Y46" s="193"/>
    </row>
    <row r="47" spans="1:25" s="2" customFormat="1" ht="14.25" customHeight="1" x14ac:dyDescent="0.3">
      <c r="A47" s="50" t="str">
        <f>IF(Calculation!B10 = "", "Дюрация к погашению, лет", "Дюрация к пут оферте, лет")</f>
        <v>Дюрация к погашению, лет</v>
      </c>
      <c r="B47" s="144">
        <f>Calculation!P6</f>
        <v>1.6476962249989042</v>
      </c>
      <c r="C47" s="145"/>
      <c r="D47" s="146"/>
      <c r="E47" s="146"/>
      <c r="F47" s="146"/>
      <c r="S47"/>
      <c r="T47"/>
      <c r="U47"/>
      <c r="V47" s="193"/>
      <c r="W47" s="193"/>
      <c r="X47" s="193"/>
      <c r="Y47" s="193"/>
    </row>
    <row r="61" spans="1:25" s="2" customFormat="1" ht="15.6" x14ac:dyDescent="0.3">
      <c r="A61" s="215" t="s">
        <v>49</v>
      </c>
      <c r="B61" s="215"/>
      <c r="C61" s="215"/>
      <c r="D61" s="215"/>
      <c r="E61" s="215"/>
      <c r="F61" s="215"/>
      <c r="S61"/>
      <c r="T61"/>
      <c r="U61"/>
      <c r="V61" s="193"/>
      <c r="W61" s="193"/>
      <c r="X61" s="193"/>
      <c r="Y61" s="193"/>
    </row>
    <row r="62" spans="1:25" s="2" customFormat="1" x14ac:dyDescent="0.3">
      <c r="A62" s="46" t="str">
        <f>IF(Calculation!B10 = "", "Мод. дюрация (к погашению)", "Мод. дюрация (к оферте)")</f>
        <v>Мод. дюрация (к погашению)</v>
      </c>
      <c r="B62" s="58">
        <f>Calculation!B15</f>
        <v>1.5556599099999999</v>
      </c>
      <c r="C62" s="59"/>
      <c r="D62" s="208"/>
      <c r="E62" s="208"/>
      <c r="F62" s="60"/>
      <c r="S62"/>
      <c r="T62"/>
      <c r="U62"/>
      <c r="V62" s="193"/>
      <c r="W62" s="193"/>
      <c r="X62" s="193"/>
      <c r="Y62" s="193"/>
    </row>
    <row r="63" spans="1:25" s="2" customFormat="1" x14ac:dyDescent="0.3">
      <c r="A63" s="46" t="str">
        <f>IF(Calculation!B10 = "", "Выпуклость (к погашению)", "Выпуклость (к оферте)")</f>
        <v>Выпуклость (к погашению)</v>
      </c>
      <c r="B63" s="58">
        <f>Calculation!B14</f>
        <v>3.9334143799999999</v>
      </c>
      <c r="C63" s="11"/>
      <c r="D63" s="208"/>
      <c r="E63" s="208"/>
      <c r="F63" s="60"/>
      <c r="S63"/>
      <c r="T63"/>
      <c r="U63"/>
      <c r="V63" s="193"/>
      <c r="W63" s="193"/>
      <c r="X63" s="193"/>
      <c r="Y63" s="193"/>
    </row>
    <row r="64" spans="1:25" s="2" customFormat="1" x14ac:dyDescent="0.3">
      <c r="A64" s="55" t="s">
        <v>50</v>
      </c>
      <c r="B64" s="61">
        <f>ABS(1000000*((-B62*0.0001)+(0.5*B63*0.0001*0.0001)))</f>
        <v>155.54632392810001</v>
      </c>
      <c r="C64" s="62"/>
      <c r="D64" s="63"/>
      <c r="E64" s="63"/>
      <c r="F64" s="60"/>
      <c r="S64"/>
      <c r="T64"/>
      <c r="U64"/>
      <c r="V64" s="193"/>
      <c r="W64" s="193"/>
      <c r="X64" s="193"/>
      <c r="Y64" s="193"/>
    </row>
    <row r="65" spans="1:25" s="2" customFormat="1" ht="15.6" x14ac:dyDescent="0.3">
      <c r="A65" s="215" t="s">
        <v>2070</v>
      </c>
      <c r="B65" s="215"/>
      <c r="C65" s="215"/>
      <c r="D65" s="215"/>
      <c r="E65" s="215"/>
      <c r="F65" s="215"/>
      <c r="S65"/>
      <c r="T65"/>
      <c r="U65"/>
      <c r="V65" s="193"/>
      <c r="W65" s="193"/>
      <c r="X65" s="193"/>
      <c r="Y65" s="193"/>
    </row>
    <row r="77" spans="1:25" ht="21" customHeight="1" x14ac:dyDescent="0.3"/>
    <row r="78" spans="1:25" ht="11.25" customHeight="1" x14ac:dyDescent="0.3"/>
    <row r="79" spans="1:25" ht="21" customHeight="1" x14ac:dyDescent="0.3">
      <c r="A79" s="215" t="s">
        <v>2135</v>
      </c>
      <c r="B79" s="215"/>
      <c r="C79" s="215"/>
      <c r="D79" s="215"/>
      <c r="E79" s="215"/>
      <c r="F79" s="215"/>
    </row>
    <row r="80" spans="1:25" ht="57.75" customHeight="1" x14ac:dyDescent="0.3">
      <c r="A80" s="55" t="str">
        <f>IF($B$28 = "USD","UST Zero-Coupon Yield Curve 10Y",IF($B$28 = "EUR","Eurozone Par Yield AAA Rated 10Y",IF($B$28 = "CNY","ChinaBond Government Bond Yield Curve 10Y")))</f>
        <v>ChinaBond Government Bond Yield Curve 10Y</v>
      </c>
      <c r="B80" s="187">
        <f>IF($B$28 = "USD",Calculation!CD22/100,IF($B$28 = "EUR",Calculation!CD27/100,IF($B$28 = "CNY",Calculation!CD29/100)))</f>
        <v>1.8582000000000001E-2</v>
      </c>
      <c r="C80" s="221" t="str">
        <f>IF($B$28 = "USD","Cbonds Индекс замещающих облигаций (YTM)",IF($B$28 = "EUR","Eurozone Par Yield All Issuers 10Y",IF($B$28 = "CNY","Cbonds Russia Corporate CNY YTM Index")))</f>
        <v>Cbonds Russia Corporate CNY YTM Index</v>
      </c>
      <c r="D80" s="221"/>
      <c r="E80" s="221"/>
      <c r="F80" s="187">
        <f>IF($B$28 = "USD",Calculation!CD23/100,IF($B$28 = "EUR",Calculation!CD28/100,IF($B$28 = "CNY",Calculation!CD30/100)))</f>
        <v>7.400000000000001E-2</v>
      </c>
      <c r="G80" s="188"/>
    </row>
    <row r="81" spans="1:25" ht="21" customHeight="1" x14ac:dyDescent="0.3"/>
    <row r="82" spans="1:25" ht="21" customHeight="1" x14ac:dyDescent="0.3"/>
    <row r="83" spans="1:25" ht="21" customHeight="1" x14ac:dyDescent="0.3"/>
    <row r="84" spans="1:25" ht="21" customHeight="1" x14ac:dyDescent="0.3"/>
    <row r="85" spans="1:25" s="2" customFormat="1" ht="15.6" x14ac:dyDescent="0.3">
      <c r="A85" s="215" t="s">
        <v>51</v>
      </c>
      <c r="B85" s="215"/>
      <c r="C85" s="215"/>
      <c r="D85" s="215"/>
      <c r="E85" s="215"/>
      <c r="F85" s="215"/>
      <c r="S85"/>
      <c r="T85"/>
      <c r="U85"/>
      <c r="V85" s="193"/>
      <c r="W85" s="193"/>
      <c r="X85" s="193"/>
      <c r="Y85" s="193"/>
    </row>
    <row r="99" spans="1:25" s="2" customFormat="1" ht="18" customHeight="1" x14ac:dyDescent="0.3">
      <c r="A99" s="215" t="str">
        <f>"Корпоративные события"</f>
        <v>Корпоративные события</v>
      </c>
      <c r="B99" s="215"/>
      <c r="C99" s="215"/>
      <c r="D99" s="215"/>
      <c r="E99" s="215"/>
      <c r="F99" s="215"/>
      <c r="S99"/>
      <c r="T99"/>
      <c r="U99"/>
      <c r="V99" s="193"/>
      <c r="W99" s="193"/>
      <c r="X99" s="193"/>
      <c r="Y99" s="193"/>
    </row>
    <row r="100" spans="1:25" ht="54" customHeight="1" x14ac:dyDescent="0.3">
      <c r="A100" s="80" t="s">
        <v>2047</v>
      </c>
      <c r="B100" s="220" t="s">
        <v>1064</v>
      </c>
      <c r="C100" s="220"/>
      <c r="D100" s="220"/>
      <c r="E100" s="220"/>
      <c r="F100" s="220"/>
    </row>
    <row r="101" spans="1:25" ht="52.5" customHeight="1" x14ac:dyDescent="0.3">
      <c r="A101" s="80" t="s">
        <v>2046</v>
      </c>
      <c r="B101" s="219" t="s">
        <v>1064</v>
      </c>
      <c r="C101" s="219"/>
      <c r="D101" s="219"/>
      <c r="E101" s="219"/>
      <c r="F101" s="219"/>
    </row>
    <row r="102" spans="1:25" ht="34.5" customHeight="1" x14ac:dyDescent="0.3">
      <c r="A102" s="68"/>
      <c r="B102" s="218"/>
      <c r="C102" s="218"/>
      <c r="D102" s="218"/>
      <c r="E102" s="218"/>
      <c r="F102" s="218"/>
    </row>
    <row r="103" spans="1:25" ht="34.5" customHeight="1" x14ac:dyDescent="0.3">
      <c r="A103" s="68"/>
      <c r="B103" s="218"/>
      <c r="C103" s="218"/>
      <c r="D103" s="218"/>
      <c r="E103" s="218"/>
      <c r="F103" s="218"/>
    </row>
    <row r="104" spans="1:25" ht="34.5" customHeight="1" x14ac:dyDescent="0.3">
      <c r="A104" s="64"/>
      <c r="B104" s="218"/>
      <c r="C104" s="218"/>
      <c r="D104" s="218"/>
      <c r="E104" s="218"/>
      <c r="F104" s="218"/>
    </row>
    <row r="105" spans="1:25" ht="34.5" customHeight="1" x14ac:dyDescent="0.3">
      <c r="A105" s="64"/>
      <c r="B105" s="218"/>
      <c r="C105" s="218"/>
      <c r="D105" s="218"/>
      <c r="E105" s="218"/>
      <c r="F105" s="218"/>
    </row>
    <row r="106" spans="1:25" ht="48" customHeight="1" x14ac:dyDescent="0.3">
      <c r="A106" s="64"/>
      <c r="B106" s="218"/>
      <c r="C106" s="218"/>
      <c r="D106" s="218"/>
      <c r="E106" s="218"/>
      <c r="F106" s="218"/>
    </row>
    <row r="107" spans="1:25" ht="26.4" customHeight="1" x14ac:dyDescent="0.3">
      <c r="A107" s="64"/>
      <c r="B107" s="218"/>
      <c r="C107" s="218"/>
      <c r="D107" s="218"/>
      <c r="E107" s="218"/>
      <c r="F107" s="218"/>
    </row>
    <row r="108" spans="1:25" ht="34.5" customHeight="1" x14ac:dyDescent="0.3">
      <c r="A108" s="64"/>
      <c r="B108" s="222"/>
      <c r="C108" s="222"/>
      <c r="D108" s="222"/>
      <c r="E108" s="222"/>
      <c r="F108" s="222"/>
    </row>
    <row r="109" spans="1:25" ht="34.5" customHeight="1" x14ac:dyDescent="0.3">
      <c r="A109" s="64"/>
      <c r="B109" s="222"/>
      <c r="C109" s="222"/>
      <c r="D109" s="222"/>
      <c r="E109" s="222"/>
      <c r="F109" s="222"/>
    </row>
    <row r="110" spans="1:25" ht="34.5" customHeight="1" x14ac:dyDescent="0.3">
      <c r="A110" s="64"/>
      <c r="B110" s="222"/>
      <c r="C110" s="222"/>
      <c r="D110" s="222"/>
      <c r="E110" s="222"/>
      <c r="F110" s="222"/>
    </row>
    <row r="111" spans="1:25" ht="34.5" customHeight="1" x14ac:dyDescent="0.3">
      <c r="A111" s="64"/>
      <c r="B111" s="222"/>
      <c r="C111" s="222"/>
      <c r="D111" s="222"/>
      <c r="E111" s="222"/>
      <c r="F111" s="222"/>
    </row>
    <row r="112" spans="1:25" ht="49.5" customHeight="1" x14ac:dyDescent="0.3">
      <c r="A112" s="64"/>
      <c r="B112" s="218"/>
      <c r="C112" s="218"/>
      <c r="D112" s="218"/>
      <c r="E112" s="218"/>
      <c r="F112" s="218"/>
    </row>
  </sheetData>
  <mergeCells count="39">
    <mergeCell ref="B111:F111"/>
    <mergeCell ref="B112:F112"/>
    <mergeCell ref="B105:F105"/>
    <mergeCell ref="B106:F106"/>
    <mergeCell ref="B107:F107"/>
    <mergeCell ref="B108:F108"/>
    <mergeCell ref="B109:F109"/>
    <mergeCell ref="B110:F110"/>
    <mergeCell ref="B104:F104"/>
    <mergeCell ref="A65:F65"/>
    <mergeCell ref="A85:F85"/>
    <mergeCell ref="A99:F99"/>
    <mergeCell ref="B101:F101"/>
    <mergeCell ref="B102:F102"/>
    <mergeCell ref="B103:F103"/>
    <mergeCell ref="B100:F100"/>
    <mergeCell ref="A79:F79"/>
    <mergeCell ref="C80:E80"/>
    <mergeCell ref="D63:E63"/>
    <mergeCell ref="A23:F23"/>
    <mergeCell ref="B34:C34"/>
    <mergeCell ref="D36:F36"/>
    <mergeCell ref="D37:F37"/>
    <mergeCell ref="D38:F38"/>
    <mergeCell ref="D39:F39"/>
    <mergeCell ref="A61:F61"/>
    <mergeCell ref="D62:E62"/>
    <mergeCell ref="A35:F35"/>
    <mergeCell ref="D42:F42"/>
    <mergeCell ref="D43:F43"/>
    <mergeCell ref="A41:F41"/>
    <mergeCell ref="B40:C40"/>
    <mergeCell ref="B7:D7"/>
    <mergeCell ref="A1:B1"/>
    <mergeCell ref="B2:D2"/>
    <mergeCell ref="B3:D3"/>
    <mergeCell ref="B6:D6"/>
    <mergeCell ref="B5:D5"/>
    <mergeCell ref="B4:D4"/>
  </mergeCells>
  <conditionalFormatting sqref="B37:B38">
    <cfRule type="cellIs" dxfId="17" priority="18" operator="equal">
      <formula>$C$30</formula>
    </cfRule>
  </conditionalFormatting>
  <conditionalFormatting sqref="B36">
    <cfRule type="cellIs" dxfId="16" priority="17" operator="equal">
      <formula>$C$30</formula>
    </cfRule>
  </conditionalFormatting>
  <conditionalFormatting sqref="B36:B38">
    <cfRule type="cellIs" dxfId="15" priority="13" operator="equal">
      <formula>$B$34</formula>
    </cfRule>
    <cfRule type="cellIs" dxfId="14" priority="14" operator="equal">
      <formula>$C$34</formula>
    </cfRule>
    <cfRule type="cellIs" dxfId="13" priority="15" operator="equal">
      <formula>$B$36</formula>
    </cfRule>
    <cfRule type="cellIs" dxfId="12" priority="16" operator="equal">
      <formula>$B$34</formula>
    </cfRule>
  </conditionalFormatting>
  <conditionalFormatting sqref="B36:B39">
    <cfRule type="cellIs" dxfId="11" priority="11" operator="equal">
      <formula>"нарушен"</formula>
    </cfRule>
    <cfRule type="cellIs" dxfId="10" priority="12" operator="equal">
      <formula>$B$37</formula>
    </cfRule>
  </conditionalFormatting>
  <conditionalFormatting sqref="I12">
    <cfRule type="expression" dxfId="9" priority="9">
      <formula>$J$12="ВНИМАНИЕ: в выгрузке присутствуют пустые значения"</formula>
    </cfRule>
    <cfRule type="expression" dxfId="8" priority="10">
      <formula>$J$12="Пустых значений в выгрузке нет"</formula>
    </cfRule>
  </conditionalFormatting>
  <conditionalFormatting sqref="I13">
    <cfRule type="expression" dxfId="7" priority="5">
      <formula>$J$13="ВНИМАНИЕ: рынок по данной бумаге неактивный, требуется ручная проверка данных"</formula>
    </cfRule>
    <cfRule type="expression" dxfId="6" priority="6">
      <formula>$J$13="Рынок по данной бумаге активный"</formula>
    </cfRule>
  </conditionalFormatting>
  <conditionalFormatting sqref="I14">
    <cfRule type="expression" dxfId="5" priority="3">
      <formula>$J$14="ВНИМАНИЕ: данные выгрузки не сходятся с выгрузкой с cbonds"</formula>
    </cfRule>
    <cfRule type="expression" dxfId="4" priority="4">
      <formula>$J$14="Выгрузка произведена корректно"</formula>
    </cfRule>
  </conditionalFormatting>
  <conditionalFormatting sqref="B42:B43">
    <cfRule type="cellIs" dxfId="3" priority="1" operator="equal">
      <formula>"не выполняется"</formula>
    </cfRule>
    <cfRule type="cellIs" dxfId="2" priority="2" operator="equal">
      <formula>"выполняется"</formula>
    </cfRule>
  </conditionalFormatting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Button 2">
              <controlPr defaultSize="0" print="0" autoFill="0" autoPict="0" macro="[0]!copy_value">
                <anchor moveWithCells="1" sizeWithCells="1">
                  <from>
                    <xdr:col>16</xdr:col>
                    <xdr:colOff>571500</xdr:colOff>
                    <xdr:row>6</xdr:row>
                    <xdr:rowOff>220980</xdr:rowOff>
                  </from>
                  <to>
                    <xdr:col>19</xdr:col>
                    <xdr:colOff>137160</xdr:colOff>
                    <xdr:row>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Button 3">
              <controlPr defaultSize="0" print="0" autoFill="0" autoPict="0" macro="[0]!Макрос1">
                <anchor moveWithCells="1">
                  <from>
                    <xdr:col>16</xdr:col>
                    <xdr:colOff>571500</xdr:colOff>
                    <xdr:row>3</xdr:row>
                    <xdr:rowOff>160020</xdr:rowOff>
                  </from>
                  <to>
                    <xdr:col>19</xdr:col>
                    <xdr:colOff>175260</xdr:colOff>
                    <xdr:row>5</xdr:row>
                    <xdr:rowOff>137160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Button 4">
              <controlPr defaultSize="0" print="0" autoFill="0" autoPict="0" macro="[0]!bonds_outstanding">
                <anchor moveWithCells="1" sizeWithCells="1">
                  <from>
                    <xdr:col>17</xdr:col>
                    <xdr:colOff>0</xdr:colOff>
                    <xdr:row>1</xdr:row>
                    <xdr:rowOff>160020</xdr:rowOff>
                  </from>
                  <to>
                    <xdr:col>19</xdr:col>
                    <xdr:colOff>152400</xdr:colOff>
                    <xdr:row>2</xdr:row>
                    <xdr:rowOff>304800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>
          <x14:formula1>
            <xm:f>'Help Page'!$I$1:$I$2</xm:f>
          </x14:formula1>
          <xm:sqref>B44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theme="0" tint="-0.499984740745262"/>
  </sheetPr>
  <dimension ref="A1:T354"/>
  <sheetViews>
    <sheetView zoomScaleNormal="100" workbookViewId="0">
      <selection activeCell="B66" sqref="B66"/>
    </sheetView>
  </sheetViews>
  <sheetFormatPr defaultRowHeight="14.4" x14ac:dyDescent="0.3"/>
  <cols>
    <col min="1" max="1" width="21" bestFit="1" customWidth="1"/>
    <col min="2" max="2" width="34.88671875" bestFit="1" customWidth="1"/>
    <col min="3" max="3" width="14.44140625" bestFit="1" customWidth="1"/>
    <col min="4" max="4" width="10.5546875" bestFit="1" customWidth="1"/>
    <col min="5" max="5" width="25.33203125" bestFit="1" customWidth="1"/>
    <col min="6" max="6" width="30.44140625" bestFit="1" customWidth="1"/>
    <col min="9" max="9" width="19.5546875" style="12" customWidth="1"/>
    <col min="12" max="12" width="26.44140625" bestFit="1" customWidth="1"/>
    <col min="14" max="14" width="10.88671875" bestFit="1" customWidth="1"/>
    <col min="15" max="15" width="13.33203125" bestFit="1" customWidth="1"/>
    <col min="16" max="16" width="13.88671875" customWidth="1"/>
    <col min="20" max="20" width="11.6640625" customWidth="1"/>
  </cols>
  <sheetData>
    <row r="1" spans="1:20" x14ac:dyDescent="0.3">
      <c r="A1" s="17" t="s">
        <v>60</v>
      </c>
      <c r="B1" s="17" t="s">
        <v>63</v>
      </c>
      <c r="C1" s="26" t="s">
        <v>61</v>
      </c>
      <c r="E1" s="17" t="s">
        <v>332</v>
      </c>
      <c r="F1" s="17" t="s">
        <v>338</v>
      </c>
      <c r="I1" s="18" t="s">
        <v>356</v>
      </c>
      <c r="L1" s="143" t="s">
        <v>2040</v>
      </c>
      <c r="M1" s="143" t="s">
        <v>2060</v>
      </c>
      <c r="N1" s="143" t="s">
        <v>2088</v>
      </c>
      <c r="O1" s="143" t="s">
        <v>2089</v>
      </c>
      <c r="P1" s="167" t="s">
        <v>2090</v>
      </c>
      <c r="S1" s="118" t="s">
        <v>59</v>
      </c>
      <c r="T1" s="1">
        <f>Calculation!$L$6</f>
        <v>46021</v>
      </c>
    </row>
    <row r="2" spans="1:20" x14ac:dyDescent="0.3">
      <c r="A2" s="24">
        <v>45261</v>
      </c>
      <c r="B2" s="24">
        <v>45231</v>
      </c>
      <c r="C2" s="24">
        <v>45260</v>
      </c>
      <c r="E2" s="18" t="s">
        <v>142</v>
      </c>
      <c r="F2" s="18" t="s">
        <v>74</v>
      </c>
      <c r="I2" s="18" t="s">
        <v>2069</v>
      </c>
      <c r="L2" s="143" t="s">
        <v>2076</v>
      </c>
      <c r="M2" s="143" t="s">
        <v>2091</v>
      </c>
      <c r="N2" s="143">
        <v>56</v>
      </c>
      <c r="O2" s="143">
        <v>517</v>
      </c>
      <c r="P2" s="109">
        <f>_xll.CbondsIndexValue(O2,$T$1)</f>
        <v>11.0501</v>
      </c>
    </row>
    <row r="3" spans="1:20" x14ac:dyDescent="0.3">
      <c r="A3" s="24">
        <v>44835</v>
      </c>
      <c r="B3" s="24">
        <v>44805</v>
      </c>
      <c r="C3" s="24">
        <v>44834</v>
      </c>
      <c r="E3" s="18" t="s">
        <v>185</v>
      </c>
      <c r="F3" s="18" t="s">
        <v>1320</v>
      </c>
      <c r="L3" s="143" t="s">
        <v>2077</v>
      </c>
      <c r="M3" s="143" t="s">
        <v>2092</v>
      </c>
      <c r="N3" s="143">
        <v>54</v>
      </c>
      <c r="O3" s="143">
        <v>132</v>
      </c>
      <c r="P3" s="109">
        <f>_xll.CbondsIndexValue(O3,$T$1)</f>
        <v>91.477500000000006</v>
      </c>
    </row>
    <row r="4" spans="1:20" x14ac:dyDescent="0.3">
      <c r="A4" s="24">
        <v>44470</v>
      </c>
      <c r="B4" s="24">
        <v>44440</v>
      </c>
      <c r="C4" s="24">
        <v>44469</v>
      </c>
      <c r="E4" s="18" t="s">
        <v>171</v>
      </c>
      <c r="F4" s="18" t="s">
        <v>1320</v>
      </c>
      <c r="L4" s="143" t="s">
        <v>2078</v>
      </c>
      <c r="M4" s="143" t="s">
        <v>2093</v>
      </c>
      <c r="N4" s="143">
        <v>52</v>
      </c>
      <c r="O4" s="143">
        <v>39</v>
      </c>
      <c r="P4" s="109">
        <f>_xll.CbondsIndexValue(O4,$T$1)</f>
        <v>77.446600000000004</v>
      </c>
    </row>
    <row r="5" spans="1:20" x14ac:dyDescent="0.3">
      <c r="A5" s="24">
        <v>44440</v>
      </c>
      <c r="B5" s="24">
        <v>44409</v>
      </c>
      <c r="C5" s="24">
        <v>44439</v>
      </c>
      <c r="E5" s="18" t="s">
        <v>188</v>
      </c>
      <c r="F5" s="18" t="s">
        <v>1320</v>
      </c>
      <c r="L5" s="143" t="s">
        <v>2079</v>
      </c>
      <c r="M5" s="143" t="s">
        <v>2094</v>
      </c>
      <c r="N5" s="143">
        <v>135</v>
      </c>
      <c r="O5" s="143">
        <v>1</v>
      </c>
      <c r="P5" s="109">
        <v>1</v>
      </c>
    </row>
    <row r="6" spans="1:20" x14ac:dyDescent="0.3">
      <c r="A6" s="24">
        <v>44317</v>
      </c>
      <c r="B6" s="24">
        <v>44287</v>
      </c>
      <c r="C6" s="24">
        <v>44316</v>
      </c>
      <c r="E6" s="18" t="s">
        <v>184</v>
      </c>
      <c r="F6" s="18" t="s">
        <v>1320</v>
      </c>
    </row>
    <row r="7" spans="1:20" x14ac:dyDescent="0.3">
      <c r="A7" s="24">
        <v>45017</v>
      </c>
      <c r="B7" s="24">
        <v>44986</v>
      </c>
      <c r="C7" s="24">
        <v>45016</v>
      </c>
      <c r="E7" s="18" t="s">
        <v>172</v>
      </c>
      <c r="F7" s="18" t="s">
        <v>1320</v>
      </c>
    </row>
    <row r="8" spans="1:20" x14ac:dyDescent="0.3">
      <c r="A8" s="24">
        <v>44986</v>
      </c>
      <c r="B8" s="24">
        <v>44958</v>
      </c>
      <c r="C8" s="24">
        <v>44985</v>
      </c>
      <c r="E8" s="18" t="s">
        <v>175</v>
      </c>
      <c r="F8" s="18" t="s">
        <v>1320</v>
      </c>
    </row>
    <row r="9" spans="1:20" x14ac:dyDescent="0.3">
      <c r="A9" s="24">
        <v>44348</v>
      </c>
      <c r="B9" s="24">
        <v>44317</v>
      </c>
      <c r="C9" s="24">
        <v>44347</v>
      </c>
      <c r="E9" s="18" t="s">
        <v>187</v>
      </c>
      <c r="F9" s="18" t="s">
        <v>1320</v>
      </c>
    </row>
    <row r="10" spans="1:20" x14ac:dyDescent="0.3">
      <c r="A10" s="24">
        <v>45231</v>
      </c>
      <c r="B10" s="24">
        <v>45200</v>
      </c>
      <c r="C10" s="24">
        <v>45230</v>
      </c>
      <c r="E10" s="18" t="s">
        <v>173</v>
      </c>
      <c r="F10" s="18" t="s">
        <v>1320</v>
      </c>
    </row>
    <row r="11" spans="1:20" x14ac:dyDescent="0.3">
      <c r="A11" s="24">
        <v>45200</v>
      </c>
      <c r="B11" s="24">
        <v>45170</v>
      </c>
      <c r="C11" s="24">
        <v>45198</v>
      </c>
      <c r="E11" s="18" t="s">
        <v>176</v>
      </c>
      <c r="F11" s="18" t="s">
        <v>1320</v>
      </c>
    </row>
    <row r="12" spans="1:20" x14ac:dyDescent="0.3">
      <c r="A12" s="24">
        <v>45108</v>
      </c>
      <c r="B12" s="24">
        <v>45078</v>
      </c>
      <c r="C12" s="24">
        <v>45107</v>
      </c>
      <c r="E12" s="18" t="s">
        <v>200</v>
      </c>
      <c r="F12" s="18" t="s">
        <v>70</v>
      </c>
    </row>
    <row r="13" spans="1:20" x14ac:dyDescent="0.3">
      <c r="A13" s="24">
        <v>45139</v>
      </c>
      <c r="B13" s="24">
        <v>45108</v>
      </c>
      <c r="C13" s="24">
        <v>45138</v>
      </c>
      <c r="E13" s="18" t="s">
        <v>203</v>
      </c>
      <c r="F13" s="18" t="s">
        <v>70</v>
      </c>
    </row>
    <row r="14" spans="1:20" x14ac:dyDescent="0.3">
      <c r="A14" s="24">
        <v>44409</v>
      </c>
      <c r="B14" s="24">
        <v>44378</v>
      </c>
      <c r="C14" s="24">
        <v>44407</v>
      </c>
      <c r="E14" s="18" t="s">
        <v>206</v>
      </c>
      <c r="F14" s="18" t="s">
        <v>70</v>
      </c>
    </row>
    <row r="15" spans="1:20" x14ac:dyDescent="0.3">
      <c r="A15" s="24">
        <v>45078</v>
      </c>
      <c r="B15" s="24">
        <v>45047</v>
      </c>
      <c r="C15" s="24">
        <v>45077</v>
      </c>
      <c r="E15" s="18" t="s">
        <v>204</v>
      </c>
      <c r="F15" s="18" t="s">
        <v>70</v>
      </c>
    </row>
    <row r="16" spans="1:20" x14ac:dyDescent="0.3">
      <c r="A16" s="24">
        <v>44713</v>
      </c>
      <c r="B16" s="24">
        <v>44682</v>
      </c>
      <c r="C16" s="24">
        <v>44712</v>
      </c>
      <c r="E16" s="18" t="s">
        <v>224</v>
      </c>
      <c r="F16" s="18" t="s">
        <v>1319</v>
      </c>
    </row>
    <row r="17" spans="1:6" x14ac:dyDescent="0.3">
      <c r="A17" s="24">
        <v>44197</v>
      </c>
      <c r="B17" s="24">
        <v>44166</v>
      </c>
      <c r="C17" s="24">
        <v>44195</v>
      </c>
      <c r="E17" s="18" t="s">
        <v>244</v>
      </c>
      <c r="F17" s="18" t="s">
        <v>1319</v>
      </c>
    </row>
    <row r="18" spans="1:6" x14ac:dyDescent="0.3">
      <c r="A18" s="24">
        <v>44228</v>
      </c>
      <c r="B18" s="24">
        <v>44197</v>
      </c>
      <c r="C18" s="24">
        <v>44225</v>
      </c>
      <c r="D18" s="13"/>
      <c r="E18" s="18" t="s">
        <v>245</v>
      </c>
      <c r="F18" s="18" t="s">
        <v>1319</v>
      </c>
    </row>
    <row r="19" spans="1:6" x14ac:dyDescent="0.3">
      <c r="A19" s="24">
        <v>44774</v>
      </c>
      <c r="B19" s="24">
        <v>44743</v>
      </c>
      <c r="C19" s="24">
        <v>44771</v>
      </c>
      <c r="E19" s="18" t="s">
        <v>248</v>
      </c>
      <c r="F19" s="18" t="s">
        <v>1319</v>
      </c>
    </row>
    <row r="20" spans="1:6" x14ac:dyDescent="0.3">
      <c r="A20" s="24">
        <v>44501</v>
      </c>
      <c r="B20" s="24">
        <v>44470</v>
      </c>
      <c r="C20" s="24">
        <v>44498</v>
      </c>
      <c r="E20" s="18" t="s">
        <v>217</v>
      </c>
      <c r="F20" s="18" t="s">
        <v>1319</v>
      </c>
    </row>
    <row r="21" spans="1:6" x14ac:dyDescent="0.3">
      <c r="A21" s="24">
        <v>44652</v>
      </c>
      <c r="B21" s="24">
        <v>44621</v>
      </c>
      <c r="C21" s="24">
        <v>44651</v>
      </c>
      <c r="E21" s="18" t="s">
        <v>222</v>
      </c>
      <c r="F21" s="18" t="s">
        <v>1319</v>
      </c>
    </row>
    <row r="22" spans="1:6" x14ac:dyDescent="0.3">
      <c r="A22" s="24">
        <v>44682</v>
      </c>
      <c r="B22" s="24">
        <v>44652</v>
      </c>
      <c r="C22" s="24">
        <v>44680</v>
      </c>
      <c r="E22" s="18" t="s">
        <v>223</v>
      </c>
      <c r="F22" s="18" t="s">
        <v>1319</v>
      </c>
    </row>
    <row r="23" spans="1:6" x14ac:dyDescent="0.3">
      <c r="A23" s="24">
        <v>45047</v>
      </c>
      <c r="B23" s="24">
        <v>45017</v>
      </c>
      <c r="C23" s="24">
        <v>45044</v>
      </c>
      <c r="E23" s="18" t="s">
        <v>249</v>
      </c>
      <c r="F23" s="18" t="s">
        <v>1319</v>
      </c>
    </row>
    <row r="24" spans="1:6" x14ac:dyDescent="0.3">
      <c r="A24" s="24">
        <v>44593</v>
      </c>
      <c r="B24" s="24">
        <v>44562</v>
      </c>
      <c r="C24" s="24">
        <v>44592</v>
      </c>
      <c r="E24" s="18" t="s">
        <v>220</v>
      </c>
      <c r="F24" s="18" t="s">
        <v>1319</v>
      </c>
    </row>
    <row r="25" spans="1:6" x14ac:dyDescent="0.3">
      <c r="A25" s="24">
        <v>44621</v>
      </c>
      <c r="B25" s="24">
        <v>44593</v>
      </c>
      <c r="C25" s="24">
        <v>44620</v>
      </c>
      <c r="E25" s="18" t="s">
        <v>221</v>
      </c>
      <c r="F25" s="18" t="s">
        <v>1319</v>
      </c>
    </row>
    <row r="26" spans="1:6" x14ac:dyDescent="0.3">
      <c r="A26" s="24">
        <v>44531</v>
      </c>
      <c r="B26" s="24">
        <v>44501</v>
      </c>
      <c r="C26" s="24">
        <v>44530</v>
      </c>
      <c r="E26" s="18" t="s">
        <v>218</v>
      </c>
      <c r="F26" s="18" t="s">
        <v>1319</v>
      </c>
    </row>
    <row r="27" spans="1:6" x14ac:dyDescent="0.3">
      <c r="A27" s="24">
        <v>44562</v>
      </c>
      <c r="B27" s="24">
        <v>44531</v>
      </c>
      <c r="C27" s="24">
        <v>44560</v>
      </c>
      <c r="E27" s="18" t="s">
        <v>219</v>
      </c>
      <c r="F27" s="18" t="s">
        <v>1319</v>
      </c>
    </row>
    <row r="28" spans="1:6" x14ac:dyDescent="0.3">
      <c r="A28" s="24">
        <v>44866</v>
      </c>
      <c r="B28" s="24">
        <v>44835</v>
      </c>
      <c r="C28" s="24">
        <v>44865</v>
      </c>
      <c r="E28" s="18" t="s">
        <v>263</v>
      </c>
      <c r="F28" s="18" t="s">
        <v>1322</v>
      </c>
    </row>
    <row r="29" spans="1:6" x14ac:dyDescent="0.3">
      <c r="A29" s="24">
        <v>44927</v>
      </c>
      <c r="B29" s="24">
        <v>44896</v>
      </c>
      <c r="C29" s="24">
        <v>44925</v>
      </c>
      <c r="E29" s="18" t="s">
        <v>275</v>
      </c>
      <c r="F29" s="18" t="s">
        <v>78</v>
      </c>
    </row>
    <row r="30" spans="1:6" x14ac:dyDescent="0.3">
      <c r="A30" s="24">
        <v>45170</v>
      </c>
      <c r="B30" s="24">
        <v>45139</v>
      </c>
      <c r="C30" s="24">
        <v>45169</v>
      </c>
      <c r="E30" s="18" t="s">
        <v>276</v>
      </c>
      <c r="F30" s="18" t="s">
        <v>78</v>
      </c>
    </row>
    <row r="31" spans="1:6" x14ac:dyDescent="0.3">
      <c r="A31" s="24">
        <v>44743</v>
      </c>
      <c r="B31" s="24">
        <v>44713</v>
      </c>
      <c r="C31" s="24">
        <v>44742</v>
      </c>
      <c r="E31" s="18" t="s">
        <v>279</v>
      </c>
      <c r="F31" s="18" t="s">
        <v>78</v>
      </c>
    </row>
    <row r="32" spans="1:6" x14ac:dyDescent="0.3">
      <c r="A32" s="24">
        <v>44896</v>
      </c>
      <c r="B32" s="24">
        <v>44866</v>
      </c>
      <c r="C32" s="24">
        <v>44895</v>
      </c>
      <c r="E32" s="18" t="s">
        <v>280</v>
      </c>
      <c r="F32" s="18" t="s">
        <v>78</v>
      </c>
    </row>
    <row r="33" spans="1:6" x14ac:dyDescent="0.3">
      <c r="A33" s="24">
        <v>44378</v>
      </c>
      <c r="B33" s="24">
        <v>44348</v>
      </c>
      <c r="C33" s="24">
        <v>44377</v>
      </c>
      <c r="E33" s="18" t="s">
        <v>278</v>
      </c>
      <c r="F33" s="18" t="s">
        <v>78</v>
      </c>
    </row>
    <row r="34" spans="1:6" x14ac:dyDescent="0.3">
      <c r="A34" s="24">
        <v>44958</v>
      </c>
      <c r="B34" s="24">
        <v>44927</v>
      </c>
      <c r="C34" s="24">
        <v>44957</v>
      </c>
      <c r="E34" s="18" t="s">
        <v>281</v>
      </c>
      <c r="F34" s="18" t="s">
        <v>78</v>
      </c>
    </row>
    <row r="35" spans="1:6" x14ac:dyDescent="0.3">
      <c r="A35" s="24">
        <v>44256</v>
      </c>
      <c r="B35" s="24">
        <v>44228</v>
      </c>
      <c r="C35" s="24">
        <v>44253</v>
      </c>
      <c r="E35" s="18" t="s">
        <v>304</v>
      </c>
      <c r="F35" s="18" t="s">
        <v>80</v>
      </c>
    </row>
    <row r="36" spans="1:6" x14ac:dyDescent="0.3">
      <c r="A36" s="24">
        <v>44287</v>
      </c>
      <c r="B36" s="24">
        <v>44256</v>
      </c>
      <c r="C36" s="24">
        <v>44286</v>
      </c>
      <c r="E36" s="18" t="s">
        <v>308</v>
      </c>
      <c r="F36" s="18" t="s">
        <v>80</v>
      </c>
    </row>
    <row r="37" spans="1:6" x14ac:dyDescent="0.3">
      <c r="A37" s="24">
        <v>44805</v>
      </c>
      <c r="B37" s="24">
        <v>44774</v>
      </c>
      <c r="C37" s="24">
        <v>44804</v>
      </c>
      <c r="E37" s="18" t="s">
        <v>135</v>
      </c>
      <c r="F37" s="18" t="s">
        <v>1321</v>
      </c>
    </row>
    <row r="38" spans="1:6" x14ac:dyDescent="0.3">
      <c r="A38" s="24">
        <v>45292</v>
      </c>
      <c r="B38" s="24">
        <v>45261</v>
      </c>
      <c r="C38" s="24">
        <v>45289</v>
      </c>
      <c r="E38" s="18" t="s">
        <v>305</v>
      </c>
      <c r="F38" s="18" t="s">
        <v>80</v>
      </c>
    </row>
    <row r="39" spans="1:6" x14ac:dyDescent="0.3">
      <c r="A39" s="24">
        <v>45323</v>
      </c>
      <c r="B39" s="24">
        <v>45292</v>
      </c>
      <c r="C39" s="24">
        <v>45322</v>
      </c>
      <c r="E39" s="18" t="s">
        <v>301</v>
      </c>
      <c r="F39" s="18" t="s">
        <v>80</v>
      </c>
    </row>
    <row r="40" spans="1:6" x14ac:dyDescent="0.3">
      <c r="A40" s="24">
        <v>45352</v>
      </c>
      <c r="B40" s="24">
        <v>45323</v>
      </c>
      <c r="C40" s="24">
        <v>45351</v>
      </c>
      <c r="E40" s="18" t="s">
        <v>265</v>
      </c>
      <c r="F40" s="18" t="s">
        <v>78</v>
      </c>
    </row>
    <row r="41" spans="1:6" x14ac:dyDescent="0.3">
      <c r="A41" s="24">
        <v>45383</v>
      </c>
      <c r="B41" s="24">
        <v>45352</v>
      </c>
      <c r="C41" s="24">
        <v>45380</v>
      </c>
      <c r="E41" s="18" t="s">
        <v>225</v>
      </c>
      <c r="F41" s="18" t="s">
        <v>1319</v>
      </c>
    </row>
    <row r="42" spans="1:6" x14ac:dyDescent="0.3">
      <c r="A42" s="24">
        <v>45413</v>
      </c>
      <c r="B42" s="24">
        <v>45383</v>
      </c>
      <c r="C42" s="24">
        <v>45412</v>
      </c>
      <c r="E42" s="18" t="s">
        <v>250</v>
      </c>
      <c r="F42" s="18" t="s">
        <v>1319</v>
      </c>
    </row>
    <row r="43" spans="1:6" x14ac:dyDescent="0.3">
      <c r="A43" s="24">
        <v>45444</v>
      </c>
      <c r="B43" s="24">
        <v>45413</v>
      </c>
      <c r="C43" s="24">
        <v>45443</v>
      </c>
      <c r="E43" s="18" t="s">
        <v>177</v>
      </c>
      <c r="F43" s="18" t="s">
        <v>1320</v>
      </c>
    </row>
    <row r="44" spans="1:6" x14ac:dyDescent="0.3">
      <c r="A44" s="24">
        <v>45474</v>
      </c>
      <c r="B44" s="24">
        <v>45444</v>
      </c>
      <c r="C44" s="24">
        <v>45471</v>
      </c>
      <c r="E44" s="18" t="s">
        <v>131</v>
      </c>
      <c r="F44" s="18" t="s">
        <v>1321</v>
      </c>
    </row>
    <row r="45" spans="1:6" x14ac:dyDescent="0.3">
      <c r="A45" s="24">
        <v>45505</v>
      </c>
      <c r="B45" s="24">
        <v>45474</v>
      </c>
      <c r="C45" s="24">
        <v>45504</v>
      </c>
      <c r="E45" s="18" t="s">
        <v>129</v>
      </c>
      <c r="F45" s="18" t="s">
        <v>1321</v>
      </c>
    </row>
    <row r="46" spans="1:6" x14ac:dyDescent="0.3">
      <c r="A46" s="24">
        <v>45536</v>
      </c>
      <c r="B46" s="24">
        <v>45505</v>
      </c>
      <c r="C46" s="24">
        <v>45534</v>
      </c>
      <c r="E46" s="18" t="s">
        <v>115</v>
      </c>
      <c r="F46" s="18" t="s">
        <v>1319</v>
      </c>
    </row>
    <row r="47" spans="1:6" x14ac:dyDescent="0.3">
      <c r="A47" s="24">
        <v>45566</v>
      </c>
      <c r="B47" s="24">
        <v>45536</v>
      </c>
      <c r="C47" s="24">
        <v>45565</v>
      </c>
      <c r="E47" s="18" t="s">
        <v>100</v>
      </c>
      <c r="F47" s="18" t="s">
        <v>1320</v>
      </c>
    </row>
    <row r="48" spans="1:6" x14ac:dyDescent="0.3">
      <c r="A48" s="24">
        <v>45597</v>
      </c>
      <c r="B48" s="24">
        <v>45566</v>
      </c>
      <c r="C48" s="24">
        <v>45596</v>
      </c>
      <c r="E48" s="18" t="s">
        <v>104</v>
      </c>
      <c r="F48" s="18" t="s">
        <v>70</v>
      </c>
    </row>
    <row r="49" spans="1:6" x14ac:dyDescent="0.3">
      <c r="A49" s="24">
        <v>45627</v>
      </c>
      <c r="B49" s="24">
        <v>45597</v>
      </c>
      <c r="C49" s="24">
        <v>45625</v>
      </c>
      <c r="E49" s="18" t="s">
        <v>121</v>
      </c>
      <c r="F49" s="18" t="s">
        <v>1322</v>
      </c>
    </row>
    <row r="50" spans="1:6" x14ac:dyDescent="0.3">
      <c r="A50" s="24">
        <v>45658</v>
      </c>
      <c r="B50" s="24">
        <v>45627</v>
      </c>
      <c r="C50" s="24">
        <v>45656</v>
      </c>
      <c r="E50" s="18" t="s">
        <v>124</v>
      </c>
      <c r="F50" s="18" t="s">
        <v>80</v>
      </c>
    </row>
    <row r="51" spans="1:6" x14ac:dyDescent="0.3">
      <c r="A51" s="24">
        <v>45689</v>
      </c>
      <c r="B51" s="24">
        <v>45658</v>
      </c>
      <c r="C51" s="24">
        <v>45688</v>
      </c>
      <c r="E51" s="18" t="s">
        <v>102</v>
      </c>
      <c r="F51" s="18" t="s">
        <v>70</v>
      </c>
    </row>
    <row r="52" spans="1:6" x14ac:dyDescent="0.3">
      <c r="A52" s="24">
        <v>45717</v>
      </c>
      <c r="B52" s="24">
        <v>45689</v>
      </c>
      <c r="C52" s="24">
        <v>45716</v>
      </c>
      <c r="E52" s="18" t="s">
        <v>112</v>
      </c>
      <c r="F52" s="18" t="s">
        <v>76</v>
      </c>
    </row>
    <row r="53" spans="1:6" x14ac:dyDescent="0.3">
      <c r="A53" s="24">
        <v>45748</v>
      </c>
      <c r="B53" s="24">
        <v>45717</v>
      </c>
      <c r="C53" s="24">
        <v>45747</v>
      </c>
      <c r="E53" s="18" t="s">
        <v>110</v>
      </c>
      <c r="F53" s="18" t="s">
        <v>76</v>
      </c>
    </row>
    <row r="54" spans="1:6" x14ac:dyDescent="0.3">
      <c r="A54" s="24">
        <v>45778</v>
      </c>
      <c r="B54" s="24">
        <v>45748</v>
      </c>
      <c r="C54" s="24">
        <v>45777</v>
      </c>
      <c r="E54" s="18" t="s">
        <v>122</v>
      </c>
      <c r="F54" s="18" t="s">
        <v>78</v>
      </c>
    </row>
    <row r="55" spans="1:6" x14ac:dyDescent="0.3">
      <c r="A55" s="24">
        <v>45809</v>
      </c>
      <c r="B55" s="24">
        <v>45778</v>
      </c>
      <c r="C55" s="24">
        <v>45807</v>
      </c>
      <c r="E55" s="18" t="s">
        <v>125</v>
      </c>
      <c r="F55" s="18" t="s">
        <v>80</v>
      </c>
    </row>
    <row r="56" spans="1:6" x14ac:dyDescent="0.3">
      <c r="A56" s="24">
        <v>45839</v>
      </c>
      <c r="B56" s="24">
        <v>45809</v>
      </c>
      <c r="C56" s="24">
        <v>45838</v>
      </c>
      <c r="E56" s="18" t="s">
        <v>109</v>
      </c>
      <c r="F56" s="18" t="s">
        <v>76</v>
      </c>
    </row>
    <row r="57" spans="1:6" x14ac:dyDescent="0.3">
      <c r="A57" s="24">
        <v>45870</v>
      </c>
      <c r="B57" s="24">
        <v>45839</v>
      </c>
      <c r="C57" s="24">
        <v>45869</v>
      </c>
      <c r="E57" s="18" t="s">
        <v>111</v>
      </c>
      <c r="F57" s="18" t="s">
        <v>76</v>
      </c>
    </row>
    <row r="58" spans="1:6" x14ac:dyDescent="0.3">
      <c r="A58" s="24">
        <v>45901</v>
      </c>
      <c r="B58" s="24">
        <v>45870</v>
      </c>
      <c r="C58" s="24">
        <v>45898</v>
      </c>
      <c r="E58" s="18" t="s">
        <v>130</v>
      </c>
      <c r="F58" s="18" t="s">
        <v>1321</v>
      </c>
    </row>
    <row r="59" spans="1:6" x14ac:dyDescent="0.3">
      <c r="A59" s="24">
        <v>45931</v>
      </c>
      <c r="B59" s="24">
        <v>45901</v>
      </c>
      <c r="C59" s="24">
        <v>45930</v>
      </c>
      <c r="E59" s="18" t="s">
        <v>132</v>
      </c>
      <c r="F59" s="18" t="s">
        <v>1321</v>
      </c>
    </row>
    <row r="60" spans="1:6" x14ac:dyDescent="0.3">
      <c r="A60" s="24">
        <v>45962</v>
      </c>
      <c r="B60" s="24">
        <v>45931</v>
      </c>
      <c r="C60" s="24">
        <v>45961</v>
      </c>
      <c r="E60" s="18" t="s">
        <v>105</v>
      </c>
      <c r="F60" s="18" t="s">
        <v>70</v>
      </c>
    </row>
    <row r="61" spans="1:6" x14ac:dyDescent="0.3">
      <c r="A61" s="24">
        <v>45992</v>
      </c>
      <c r="B61" s="24">
        <v>45962</v>
      </c>
      <c r="C61" s="24">
        <v>45989</v>
      </c>
      <c r="E61" s="18" t="s">
        <v>330</v>
      </c>
      <c r="F61" s="18" t="s">
        <v>82</v>
      </c>
    </row>
    <row r="62" spans="1:6" x14ac:dyDescent="0.3">
      <c r="A62" s="24">
        <v>46023</v>
      </c>
      <c r="B62" s="24">
        <v>45992</v>
      </c>
      <c r="C62" s="24">
        <v>46021</v>
      </c>
      <c r="E62" s="18" t="s">
        <v>123</v>
      </c>
      <c r="F62" s="18" t="s">
        <v>79</v>
      </c>
    </row>
    <row r="63" spans="1:6" x14ac:dyDescent="0.3">
      <c r="A63" s="24">
        <v>46054</v>
      </c>
      <c r="B63" s="24">
        <v>46023</v>
      </c>
      <c r="C63" s="24">
        <v>46052</v>
      </c>
      <c r="E63" s="18" t="s">
        <v>116</v>
      </c>
      <c r="F63" s="18" t="s">
        <v>1319</v>
      </c>
    </row>
    <row r="64" spans="1:6" x14ac:dyDescent="0.3">
      <c r="A64" s="24">
        <v>46082</v>
      </c>
      <c r="B64" s="24">
        <v>46054</v>
      </c>
      <c r="C64" s="24">
        <v>46080</v>
      </c>
      <c r="E64" s="18" t="s">
        <v>226</v>
      </c>
      <c r="F64" s="18" t="s">
        <v>1319</v>
      </c>
    </row>
    <row r="65" spans="1:6" x14ac:dyDescent="0.3">
      <c r="A65" s="24">
        <v>46113</v>
      </c>
      <c r="B65" s="24">
        <v>46082</v>
      </c>
      <c r="C65" s="24">
        <v>46112</v>
      </c>
      <c r="E65" s="18" t="s">
        <v>23</v>
      </c>
      <c r="F65" s="18" t="s">
        <v>76</v>
      </c>
    </row>
    <row r="66" spans="1:6" x14ac:dyDescent="0.3">
      <c r="A66" s="24">
        <v>46143</v>
      </c>
      <c r="B66" s="24">
        <v>46113</v>
      </c>
      <c r="C66" s="24">
        <v>46142</v>
      </c>
      <c r="E66" s="18" t="s">
        <v>24</v>
      </c>
      <c r="F66" s="18" t="s">
        <v>76</v>
      </c>
    </row>
    <row r="67" spans="1:6" x14ac:dyDescent="0.3">
      <c r="A67" s="24">
        <v>46174</v>
      </c>
      <c r="B67" s="24">
        <v>46143</v>
      </c>
      <c r="C67" s="24">
        <v>46171</v>
      </c>
      <c r="E67" s="18" t="s">
        <v>227</v>
      </c>
      <c r="F67" s="18" t="s">
        <v>1319</v>
      </c>
    </row>
    <row r="68" spans="1:6" x14ac:dyDescent="0.3">
      <c r="A68" s="24">
        <v>46204</v>
      </c>
      <c r="B68" s="24">
        <v>46174</v>
      </c>
      <c r="C68" s="24">
        <v>46203</v>
      </c>
      <c r="E68" s="18" t="s">
        <v>317</v>
      </c>
      <c r="F68" s="18" t="s">
        <v>1321</v>
      </c>
    </row>
    <row r="69" spans="1:6" x14ac:dyDescent="0.3">
      <c r="A69" s="24">
        <v>46235</v>
      </c>
      <c r="B69" s="24">
        <v>46204</v>
      </c>
      <c r="C69" s="24">
        <v>46234</v>
      </c>
      <c r="E69" s="18" t="s">
        <v>174</v>
      </c>
      <c r="F69" s="18" t="s">
        <v>1320</v>
      </c>
    </row>
    <row r="70" spans="1:6" x14ac:dyDescent="0.3">
      <c r="A70" s="24">
        <v>46266</v>
      </c>
      <c r="B70" s="24">
        <v>46235</v>
      </c>
      <c r="C70" s="24">
        <v>46265</v>
      </c>
      <c r="E70" s="18" t="s">
        <v>11</v>
      </c>
      <c r="F70" s="18" t="s">
        <v>1322</v>
      </c>
    </row>
    <row r="71" spans="1:6" x14ac:dyDescent="0.3">
      <c r="A71" s="24">
        <v>46296</v>
      </c>
      <c r="B71" s="24">
        <v>46266</v>
      </c>
      <c r="C71" s="24">
        <v>46295</v>
      </c>
      <c r="E71" s="18" t="s">
        <v>189</v>
      </c>
      <c r="F71" s="18" t="s">
        <v>1320</v>
      </c>
    </row>
    <row r="72" spans="1:6" x14ac:dyDescent="0.3">
      <c r="A72" s="24">
        <v>46327</v>
      </c>
      <c r="B72" s="24">
        <v>46296</v>
      </c>
      <c r="C72" s="24">
        <v>46325</v>
      </c>
      <c r="E72" s="18" t="s">
        <v>190</v>
      </c>
      <c r="F72" s="18" t="s">
        <v>1320</v>
      </c>
    </row>
    <row r="73" spans="1:6" x14ac:dyDescent="0.3">
      <c r="A73" s="24">
        <v>46357</v>
      </c>
      <c r="B73" s="24">
        <v>46327</v>
      </c>
      <c r="C73" s="24">
        <v>46356</v>
      </c>
      <c r="E73" s="18" t="s">
        <v>228</v>
      </c>
      <c r="F73" s="18" t="s">
        <v>1319</v>
      </c>
    </row>
    <row r="74" spans="1:6" x14ac:dyDescent="0.3">
      <c r="A74" s="24">
        <v>46388</v>
      </c>
      <c r="B74" s="24">
        <v>46357</v>
      </c>
      <c r="C74" s="24">
        <v>46387</v>
      </c>
      <c r="E74" s="18" t="s">
        <v>208</v>
      </c>
      <c r="F74" s="18" t="s">
        <v>70</v>
      </c>
    </row>
    <row r="75" spans="1:6" x14ac:dyDescent="0.3">
      <c r="A75" s="24">
        <v>46419</v>
      </c>
      <c r="B75" s="24">
        <v>46388</v>
      </c>
      <c r="C75" s="24">
        <v>46416</v>
      </c>
      <c r="E75" s="18" t="s">
        <v>117</v>
      </c>
      <c r="F75" s="18" t="s">
        <v>1319</v>
      </c>
    </row>
    <row r="76" spans="1:6" x14ac:dyDescent="0.3">
      <c r="E76" s="18" t="s">
        <v>108</v>
      </c>
      <c r="F76" s="18" t="s">
        <v>70</v>
      </c>
    </row>
    <row r="77" spans="1:6" x14ac:dyDescent="0.3">
      <c r="E77" s="18" t="s">
        <v>120</v>
      </c>
      <c r="F77" s="18" t="s">
        <v>1319</v>
      </c>
    </row>
    <row r="78" spans="1:6" x14ac:dyDescent="0.3">
      <c r="E78" s="18" t="s">
        <v>136</v>
      </c>
      <c r="F78" s="18" t="s">
        <v>1321</v>
      </c>
    </row>
    <row r="79" spans="1:6" x14ac:dyDescent="0.3">
      <c r="E79" s="18" t="s">
        <v>264</v>
      </c>
      <c r="F79" s="18" t="s">
        <v>1322</v>
      </c>
    </row>
    <row r="80" spans="1:6" x14ac:dyDescent="0.3">
      <c r="E80" s="18" t="s">
        <v>266</v>
      </c>
      <c r="F80" s="18" t="s">
        <v>78</v>
      </c>
    </row>
    <row r="81" spans="5:6" x14ac:dyDescent="0.3">
      <c r="E81" s="18" t="s">
        <v>85</v>
      </c>
      <c r="F81" s="18" t="s">
        <v>74</v>
      </c>
    </row>
    <row r="82" spans="5:6" x14ac:dyDescent="0.3">
      <c r="E82" s="18" t="s">
        <v>86</v>
      </c>
      <c r="F82" s="18" t="s">
        <v>74</v>
      </c>
    </row>
    <row r="83" spans="5:6" x14ac:dyDescent="0.3">
      <c r="E83" s="18" t="s">
        <v>101</v>
      </c>
      <c r="F83" s="18" t="s">
        <v>1320</v>
      </c>
    </row>
    <row r="84" spans="5:6" x14ac:dyDescent="0.3">
      <c r="E84" s="18" t="s">
        <v>127</v>
      </c>
      <c r="F84" s="18" t="s">
        <v>80</v>
      </c>
    </row>
    <row r="85" spans="5:6" x14ac:dyDescent="0.3">
      <c r="E85" s="18" t="s">
        <v>128</v>
      </c>
      <c r="F85" s="18" t="s">
        <v>80</v>
      </c>
    </row>
    <row r="86" spans="5:6" x14ac:dyDescent="0.3">
      <c r="E86" s="18" t="s">
        <v>126</v>
      </c>
      <c r="F86" s="18" t="s">
        <v>80</v>
      </c>
    </row>
    <row r="87" spans="5:6" x14ac:dyDescent="0.3">
      <c r="E87" s="18" t="s">
        <v>331</v>
      </c>
      <c r="F87" s="18" t="s">
        <v>1321</v>
      </c>
    </row>
    <row r="88" spans="5:6" x14ac:dyDescent="0.3">
      <c r="E88" s="18" t="s">
        <v>323</v>
      </c>
      <c r="F88" s="18" t="s">
        <v>70</v>
      </c>
    </row>
    <row r="89" spans="5:6" x14ac:dyDescent="0.3">
      <c r="E89" s="18" t="s">
        <v>324</v>
      </c>
      <c r="F89" s="18" t="s">
        <v>1319</v>
      </c>
    </row>
    <row r="90" spans="5:6" x14ac:dyDescent="0.3">
      <c r="E90" s="18" t="s">
        <v>325</v>
      </c>
      <c r="F90" s="18" t="s">
        <v>1319</v>
      </c>
    </row>
    <row r="91" spans="5:6" x14ac:dyDescent="0.3">
      <c r="E91" s="18" t="s">
        <v>326</v>
      </c>
      <c r="F91" s="18" t="s">
        <v>1319</v>
      </c>
    </row>
    <row r="92" spans="5:6" x14ac:dyDescent="0.3">
      <c r="E92" s="18" t="s">
        <v>327</v>
      </c>
      <c r="F92" s="18" t="s">
        <v>1319</v>
      </c>
    </row>
    <row r="93" spans="5:6" x14ac:dyDescent="0.3">
      <c r="E93" s="18" t="s">
        <v>328</v>
      </c>
      <c r="F93" s="18" t="s">
        <v>1319</v>
      </c>
    </row>
    <row r="94" spans="5:6" x14ac:dyDescent="0.3">
      <c r="E94" s="18" t="s">
        <v>329</v>
      </c>
      <c r="F94" s="18" t="s">
        <v>1319</v>
      </c>
    </row>
    <row r="95" spans="5:6" x14ac:dyDescent="0.3">
      <c r="E95" s="18" t="s">
        <v>178</v>
      </c>
      <c r="F95" s="18" t="s">
        <v>1320</v>
      </c>
    </row>
    <row r="96" spans="5:6" x14ac:dyDescent="0.3">
      <c r="E96" s="18" t="s">
        <v>229</v>
      </c>
      <c r="F96" s="18" t="s">
        <v>1319</v>
      </c>
    </row>
    <row r="97" spans="5:6" x14ac:dyDescent="0.3">
      <c r="E97" s="18" t="s">
        <v>14</v>
      </c>
      <c r="F97" s="18" t="s">
        <v>1321</v>
      </c>
    </row>
    <row r="98" spans="5:6" x14ac:dyDescent="0.3">
      <c r="E98" s="18" t="s">
        <v>15</v>
      </c>
      <c r="F98" s="18" t="s">
        <v>1321</v>
      </c>
    </row>
    <row r="99" spans="5:6" x14ac:dyDescent="0.3">
      <c r="E99" s="18" t="s">
        <v>261</v>
      </c>
      <c r="F99" s="18" t="s">
        <v>1319</v>
      </c>
    </row>
    <row r="100" spans="5:6" x14ac:dyDescent="0.3">
      <c r="E100" s="18" t="s">
        <v>321</v>
      </c>
      <c r="F100" s="18" t="s">
        <v>1321</v>
      </c>
    </row>
    <row r="101" spans="5:6" x14ac:dyDescent="0.3">
      <c r="E101" s="18" t="s">
        <v>230</v>
      </c>
      <c r="F101" s="18" t="s">
        <v>1319</v>
      </c>
    </row>
    <row r="102" spans="5:6" x14ac:dyDescent="0.3">
      <c r="E102" s="18" t="s">
        <v>19</v>
      </c>
      <c r="F102" s="18" t="s">
        <v>70</v>
      </c>
    </row>
    <row r="103" spans="5:6" x14ac:dyDescent="0.3">
      <c r="E103" s="18" t="s">
        <v>209</v>
      </c>
      <c r="F103" s="18" t="s">
        <v>70</v>
      </c>
    </row>
    <row r="104" spans="5:6" x14ac:dyDescent="0.3">
      <c r="E104" s="18" t="s">
        <v>210</v>
      </c>
      <c r="F104" s="18" t="s">
        <v>70</v>
      </c>
    </row>
    <row r="105" spans="5:6" x14ac:dyDescent="0.3">
      <c r="E105" s="18" t="s">
        <v>197</v>
      </c>
      <c r="F105" s="18" t="s">
        <v>70</v>
      </c>
    </row>
    <row r="106" spans="5:6" x14ac:dyDescent="0.3">
      <c r="E106" s="18" t="s">
        <v>318</v>
      </c>
      <c r="F106" s="18" t="s">
        <v>1321</v>
      </c>
    </row>
    <row r="107" spans="5:6" x14ac:dyDescent="0.3">
      <c r="E107" s="18" t="s">
        <v>16</v>
      </c>
      <c r="F107" s="18" t="s">
        <v>1319</v>
      </c>
    </row>
    <row r="108" spans="5:6" x14ac:dyDescent="0.3">
      <c r="E108" s="18" t="s">
        <v>201</v>
      </c>
      <c r="F108" s="18" t="s">
        <v>70</v>
      </c>
    </row>
    <row r="109" spans="5:6" x14ac:dyDescent="0.3">
      <c r="E109" s="18" t="s">
        <v>251</v>
      </c>
      <c r="F109" s="18" t="s">
        <v>1319</v>
      </c>
    </row>
    <row r="110" spans="5:6" x14ac:dyDescent="0.3">
      <c r="E110" s="18" t="s">
        <v>198</v>
      </c>
      <c r="F110" s="18" t="s">
        <v>70</v>
      </c>
    </row>
    <row r="111" spans="5:6" x14ac:dyDescent="0.3">
      <c r="E111" s="18" t="s">
        <v>199</v>
      </c>
      <c r="F111" s="18" t="s">
        <v>70</v>
      </c>
    </row>
    <row r="112" spans="5:6" x14ac:dyDescent="0.3">
      <c r="E112" s="18" t="s">
        <v>202</v>
      </c>
      <c r="F112" s="18" t="s">
        <v>70</v>
      </c>
    </row>
    <row r="113" spans="5:6" x14ac:dyDescent="0.3">
      <c r="E113" s="18" t="s">
        <v>282</v>
      </c>
      <c r="F113" s="18" t="s">
        <v>78</v>
      </c>
    </row>
    <row r="114" spans="5:6" x14ac:dyDescent="0.3">
      <c r="E114" s="18" t="s">
        <v>231</v>
      </c>
      <c r="F114" s="18" t="s">
        <v>1319</v>
      </c>
    </row>
    <row r="115" spans="5:6" x14ac:dyDescent="0.3">
      <c r="E115" s="18" t="s">
        <v>252</v>
      </c>
      <c r="F115" s="18" t="s">
        <v>1319</v>
      </c>
    </row>
    <row r="116" spans="5:6" x14ac:dyDescent="0.3">
      <c r="E116" s="18" t="s">
        <v>311</v>
      </c>
      <c r="F116" s="18" t="s">
        <v>1321</v>
      </c>
    </row>
    <row r="117" spans="5:6" x14ac:dyDescent="0.3">
      <c r="E117" s="18" t="s">
        <v>232</v>
      </c>
      <c r="F117" s="18" t="s">
        <v>1319</v>
      </c>
    </row>
    <row r="118" spans="5:6" x14ac:dyDescent="0.3">
      <c r="E118" s="18" t="s">
        <v>253</v>
      </c>
      <c r="F118" s="18" t="s">
        <v>1319</v>
      </c>
    </row>
    <row r="119" spans="5:6" x14ac:dyDescent="0.3">
      <c r="E119" s="18" t="s">
        <v>315</v>
      </c>
      <c r="F119" s="18" t="s">
        <v>1321</v>
      </c>
    </row>
    <row r="120" spans="5:6" x14ac:dyDescent="0.3">
      <c r="E120" s="18" t="s">
        <v>316</v>
      </c>
      <c r="F120" s="18" t="s">
        <v>1321</v>
      </c>
    </row>
    <row r="121" spans="5:6" x14ac:dyDescent="0.3">
      <c r="E121" s="18" t="s">
        <v>233</v>
      </c>
      <c r="F121" s="18" t="s">
        <v>1319</v>
      </c>
    </row>
    <row r="122" spans="5:6" x14ac:dyDescent="0.3">
      <c r="E122" s="18" t="s">
        <v>283</v>
      </c>
      <c r="F122" s="18" t="s">
        <v>78</v>
      </c>
    </row>
    <row r="123" spans="5:6" x14ac:dyDescent="0.3">
      <c r="E123" s="18" t="s">
        <v>284</v>
      </c>
      <c r="F123" s="18" t="s">
        <v>78</v>
      </c>
    </row>
    <row r="124" spans="5:6" x14ac:dyDescent="0.3">
      <c r="E124" s="18" t="s">
        <v>246</v>
      </c>
      <c r="F124" s="18" t="s">
        <v>1319</v>
      </c>
    </row>
    <row r="125" spans="5:6" x14ac:dyDescent="0.3">
      <c r="E125" s="18" t="s">
        <v>285</v>
      </c>
      <c r="F125" s="18" t="s">
        <v>78</v>
      </c>
    </row>
    <row r="126" spans="5:6" x14ac:dyDescent="0.3">
      <c r="E126" s="18" t="s">
        <v>234</v>
      </c>
      <c r="F126" s="18" t="s">
        <v>1319</v>
      </c>
    </row>
    <row r="127" spans="5:6" x14ac:dyDescent="0.3">
      <c r="E127" s="18" t="s">
        <v>302</v>
      </c>
      <c r="F127" s="18" t="s">
        <v>80</v>
      </c>
    </row>
    <row r="128" spans="5:6" x14ac:dyDescent="0.3">
      <c r="E128" s="18" t="s">
        <v>179</v>
      </c>
      <c r="F128" s="18" t="s">
        <v>1320</v>
      </c>
    </row>
    <row r="129" spans="5:6" x14ac:dyDescent="0.3">
      <c r="E129" s="18" t="s">
        <v>180</v>
      </c>
      <c r="F129" s="18" t="s">
        <v>1320</v>
      </c>
    </row>
    <row r="130" spans="5:6" x14ac:dyDescent="0.3">
      <c r="E130" s="18" t="s">
        <v>267</v>
      </c>
      <c r="F130" s="18" t="s">
        <v>78</v>
      </c>
    </row>
    <row r="131" spans="5:6" x14ac:dyDescent="0.3">
      <c r="E131" s="18" t="s">
        <v>18</v>
      </c>
      <c r="F131" s="18" t="s">
        <v>1320</v>
      </c>
    </row>
    <row r="132" spans="5:6" x14ac:dyDescent="0.3">
      <c r="E132" s="18" t="s">
        <v>300</v>
      </c>
      <c r="F132" s="18" t="s">
        <v>80</v>
      </c>
    </row>
    <row r="133" spans="5:6" x14ac:dyDescent="0.3">
      <c r="E133" s="18" t="s">
        <v>286</v>
      </c>
      <c r="F133" s="18" t="s">
        <v>78</v>
      </c>
    </row>
    <row r="134" spans="5:6" x14ac:dyDescent="0.3">
      <c r="E134" s="18" t="s">
        <v>306</v>
      </c>
      <c r="F134" s="18" t="s">
        <v>80</v>
      </c>
    </row>
    <row r="135" spans="5:6" x14ac:dyDescent="0.3">
      <c r="E135" s="18" t="s">
        <v>207</v>
      </c>
      <c r="F135" s="18" t="s">
        <v>70</v>
      </c>
    </row>
    <row r="136" spans="5:6" x14ac:dyDescent="0.3">
      <c r="E136" s="18" t="s">
        <v>287</v>
      </c>
      <c r="F136" s="18" t="s">
        <v>78</v>
      </c>
    </row>
    <row r="137" spans="5:6" x14ac:dyDescent="0.3">
      <c r="E137" s="18" t="s">
        <v>288</v>
      </c>
      <c r="F137" s="18" t="s">
        <v>78</v>
      </c>
    </row>
    <row r="138" spans="5:6" x14ac:dyDescent="0.3">
      <c r="E138" s="18" t="s">
        <v>289</v>
      </c>
      <c r="F138" s="18" t="s">
        <v>78</v>
      </c>
    </row>
    <row r="139" spans="5:6" x14ac:dyDescent="0.3">
      <c r="E139" s="18" t="s">
        <v>191</v>
      </c>
      <c r="F139" s="18" t="s">
        <v>1320</v>
      </c>
    </row>
    <row r="140" spans="5:6" x14ac:dyDescent="0.3">
      <c r="E140" s="18" t="s">
        <v>192</v>
      </c>
      <c r="F140" s="18" t="s">
        <v>1320</v>
      </c>
    </row>
    <row r="141" spans="5:6" x14ac:dyDescent="0.3">
      <c r="E141" s="18" t="s">
        <v>309</v>
      </c>
      <c r="F141" s="18" t="s">
        <v>80</v>
      </c>
    </row>
    <row r="142" spans="5:6" x14ac:dyDescent="0.3">
      <c r="E142" s="18" t="s">
        <v>310</v>
      </c>
      <c r="F142" s="18" t="s">
        <v>80</v>
      </c>
    </row>
    <row r="143" spans="5:6" x14ac:dyDescent="0.3">
      <c r="E143" s="18" t="s">
        <v>21</v>
      </c>
      <c r="F143" s="18" t="s">
        <v>76</v>
      </c>
    </row>
    <row r="144" spans="5:6" x14ac:dyDescent="0.3">
      <c r="E144" s="18" t="s">
        <v>22</v>
      </c>
      <c r="F144" s="18" t="s">
        <v>76</v>
      </c>
    </row>
    <row r="145" spans="5:6" x14ac:dyDescent="0.3">
      <c r="E145" s="18" t="s">
        <v>20</v>
      </c>
      <c r="F145" s="18" t="s">
        <v>1319</v>
      </c>
    </row>
    <row r="146" spans="5:6" x14ac:dyDescent="0.3">
      <c r="E146" s="18" t="s">
        <v>247</v>
      </c>
      <c r="F146" s="18" t="s">
        <v>1319</v>
      </c>
    </row>
    <row r="147" spans="5:6" x14ac:dyDescent="0.3">
      <c r="E147" s="18" t="s">
        <v>12</v>
      </c>
      <c r="F147" s="18" t="s">
        <v>1319</v>
      </c>
    </row>
    <row r="148" spans="5:6" x14ac:dyDescent="0.3">
      <c r="E148" s="18" t="s">
        <v>143</v>
      </c>
      <c r="F148" s="18" t="s">
        <v>74</v>
      </c>
    </row>
    <row r="149" spans="5:6" x14ac:dyDescent="0.3">
      <c r="E149" s="18" t="s">
        <v>139</v>
      </c>
      <c r="F149" s="18" t="s">
        <v>74</v>
      </c>
    </row>
    <row r="150" spans="5:6" x14ac:dyDescent="0.3">
      <c r="E150" s="18" t="s">
        <v>144</v>
      </c>
      <c r="F150" s="18" t="s">
        <v>74</v>
      </c>
    </row>
    <row r="151" spans="5:6" x14ac:dyDescent="0.3">
      <c r="E151" s="18" t="s">
        <v>140</v>
      </c>
      <c r="F151" s="18" t="s">
        <v>74</v>
      </c>
    </row>
    <row r="152" spans="5:6" x14ac:dyDescent="0.3">
      <c r="E152" s="18" t="s">
        <v>303</v>
      </c>
      <c r="F152" s="18" t="s">
        <v>80</v>
      </c>
    </row>
    <row r="153" spans="5:6" x14ac:dyDescent="0.3">
      <c r="E153" s="18" t="s">
        <v>307</v>
      </c>
      <c r="F153" s="18" t="s">
        <v>80</v>
      </c>
    </row>
    <row r="154" spans="5:6" x14ac:dyDescent="0.3">
      <c r="E154" s="18" t="s">
        <v>290</v>
      </c>
      <c r="F154" s="18" t="s">
        <v>78</v>
      </c>
    </row>
    <row r="155" spans="5:6" x14ac:dyDescent="0.3">
      <c r="E155" s="18" t="s">
        <v>145</v>
      </c>
      <c r="F155" s="18" t="s">
        <v>74</v>
      </c>
    </row>
    <row r="156" spans="5:6" x14ac:dyDescent="0.3">
      <c r="E156" s="18" t="s">
        <v>262</v>
      </c>
      <c r="F156" s="18" t="s">
        <v>1319</v>
      </c>
    </row>
    <row r="157" spans="5:6" x14ac:dyDescent="0.3">
      <c r="E157" s="18" t="s">
        <v>297</v>
      </c>
      <c r="F157" s="18" t="s">
        <v>79</v>
      </c>
    </row>
    <row r="158" spans="5:6" x14ac:dyDescent="0.3">
      <c r="E158" s="18" t="s">
        <v>298</v>
      </c>
      <c r="F158" s="18" t="s">
        <v>79</v>
      </c>
    </row>
    <row r="159" spans="5:6" x14ac:dyDescent="0.3">
      <c r="E159" s="18" t="s">
        <v>299</v>
      </c>
      <c r="F159" s="18" t="s">
        <v>79</v>
      </c>
    </row>
    <row r="160" spans="5:6" x14ac:dyDescent="0.3">
      <c r="E160" s="18" t="s">
        <v>1323</v>
      </c>
      <c r="F160" s="18" t="s">
        <v>73</v>
      </c>
    </row>
    <row r="161" spans="5:6" x14ac:dyDescent="0.3">
      <c r="E161" s="18" t="s">
        <v>138</v>
      </c>
      <c r="F161" s="18" t="s">
        <v>73</v>
      </c>
    </row>
    <row r="162" spans="5:6" x14ac:dyDescent="0.3">
      <c r="E162" s="18" t="s">
        <v>235</v>
      </c>
      <c r="F162" s="18" t="s">
        <v>1319</v>
      </c>
    </row>
    <row r="163" spans="5:6" x14ac:dyDescent="0.3">
      <c r="E163" s="18" t="s">
        <v>211</v>
      </c>
      <c r="F163" s="18" t="s">
        <v>70</v>
      </c>
    </row>
    <row r="164" spans="5:6" x14ac:dyDescent="0.3">
      <c r="E164" s="18" t="s">
        <v>236</v>
      </c>
      <c r="F164" s="18" t="s">
        <v>1319</v>
      </c>
    </row>
    <row r="165" spans="5:6" x14ac:dyDescent="0.3">
      <c r="E165" s="18" t="s">
        <v>193</v>
      </c>
      <c r="F165" s="18" t="s">
        <v>1320</v>
      </c>
    </row>
    <row r="166" spans="5:6" x14ac:dyDescent="0.3">
      <c r="E166" s="18" t="s">
        <v>215</v>
      </c>
      <c r="F166" s="18" t="s">
        <v>77</v>
      </c>
    </row>
    <row r="167" spans="5:6" x14ac:dyDescent="0.3">
      <c r="E167" s="18" t="s">
        <v>291</v>
      </c>
      <c r="F167" s="18" t="s">
        <v>78</v>
      </c>
    </row>
    <row r="168" spans="5:6" x14ac:dyDescent="0.3">
      <c r="E168" s="18" t="s">
        <v>96</v>
      </c>
      <c r="F168" s="18" t="s">
        <v>1320</v>
      </c>
    </row>
    <row r="169" spans="5:6" x14ac:dyDescent="0.3">
      <c r="E169" s="18" t="s">
        <v>1324</v>
      </c>
      <c r="F169" s="18" t="s">
        <v>1319</v>
      </c>
    </row>
    <row r="170" spans="5:6" x14ac:dyDescent="0.3">
      <c r="E170" s="18" t="s">
        <v>1325</v>
      </c>
      <c r="F170" s="18" t="s">
        <v>1319</v>
      </c>
    </row>
    <row r="171" spans="5:6" x14ac:dyDescent="0.3">
      <c r="E171" s="18" t="s">
        <v>1326</v>
      </c>
      <c r="F171" s="18" t="s">
        <v>1319</v>
      </c>
    </row>
    <row r="172" spans="5:6" x14ac:dyDescent="0.3">
      <c r="E172" s="18" t="s">
        <v>1327</v>
      </c>
      <c r="F172" s="18" t="s">
        <v>1319</v>
      </c>
    </row>
    <row r="173" spans="5:6" x14ac:dyDescent="0.3">
      <c r="E173" s="18" t="s">
        <v>1328</v>
      </c>
      <c r="F173" s="18" t="s">
        <v>1319</v>
      </c>
    </row>
    <row r="174" spans="5:6" x14ac:dyDescent="0.3">
      <c r="E174" s="18" t="s">
        <v>1329</v>
      </c>
      <c r="F174" s="18" t="s">
        <v>1319</v>
      </c>
    </row>
    <row r="175" spans="5:6" x14ac:dyDescent="0.3">
      <c r="E175" s="18" t="s">
        <v>1330</v>
      </c>
      <c r="F175" s="18" t="s">
        <v>1319</v>
      </c>
    </row>
    <row r="176" spans="5:6" x14ac:dyDescent="0.3">
      <c r="E176" s="18" t="s">
        <v>1331</v>
      </c>
      <c r="F176" s="18" t="s">
        <v>1319</v>
      </c>
    </row>
    <row r="177" spans="5:6" x14ac:dyDescent="0.3">
      <c r="E177" s="18" t="s">
        <v>1332</v>
      </c>
      <c r="F177" s="18" t="s">
        <v>1319</v>
      </c>
    </row>
    <row r="178" spans="5:6" x14ac:dyDescent="0.3">
      <c r="E178" s="18" t="s">
        <v>1333</v>
      </c>
      <c r="F178" s="18" t="s">
        <v>78</v>
      </c>
    </row>
    <row r="179" spans="5:6" x14ac:dyDescent="0.3">
      <c r="E179" s="18" t="s">
        <v>1334</v>
      </c>
      <c r="F179" s="18" t="s">
        <v>78</v>
      </c>
    </row>
    <row r="180" spans="5:6" x14ac:dyDescent="0.3">
      <c r="E180" s="18" t="s">
        <v>1335</v>
      </c>
      <c r="F180" s="18" t="s">
        <v>78</v>
      </c>
    </row>
    <row r="181" spans="5:6" x14ac:dyDescent="0.3">
      <c r="E181" s="18" t="s">
        <v>186</v>
      </c>
      <c r="F181" s="18" t="s">
        <v>1320</v>
      </c>
    </row>
    <row r="182" spans="5:6" x14ac:dyDescent="0.3">
      <c r="E182" s="18" t="s">
        <v>87</v>
      </c>
      <c r="F182" s="18" t="s">
        <v>1336</v>
      </c>
    </row>
    <row r="183" spans="5:6" x14ac:dyDescent="0.3">
      <c r="E183" s="18" t="s">
        <v>84</v>
      </c>
      <c r="F183" s="18" t="s">
        <v>74</v>
      </c>
    </row>
    <row r="184" spans="5:6" x14ac:dyDescent="0.3">
      <c r="E184" s="18" t="s">
        <v>17</v>
      </c>
      <c r="F184" s="18" t="s">
        <v>1322</v>
      </c>
    </row>
    <row r="185" spans="5:6" x14ac:dyDescent="0.3">
      <c r="E185" s="18" t="s">
        <v>181</v>
      </c>
      <c r="F185" s="18" t="s">
        <v>1320</v>
      </c>
    </row>
    <row r="186" spans="5:6" x14ac:dyDescent="0.3">
      <c r="E186" s="18" t="s">
        <v>254</v>
      </c>
      <c r="F186" s="18" t="s">
        <v>1319</v>
      </c>
    </row>
    <row r="187" spans="5:6" x14ac:dyDescent="0.3">
      <c r="E187" s="18" t="s">
        <v>137</v>
      </c>
      <c r="F187" s="18" t="s">
        <v>1337</v>
      </c>
    </row>
    <row r="188" spans="5:6" x14ac:dyDescent="0.3">
      <c r="E188" s="18" t="s">
        <v>1338</v>
      </c>
      <c r="F188" s="18" t="s">
        <v>1319</v>
      </c>
    </row>
    <row r="189" spans="5:6" x14ac:dyDescent="0.3">
      <c r="E189" s="18" t="s">
        <v>1339</v>
      </c>
      <c r="F189" s="18" t="s">
        <v>1319</v>
      </c>
    </row>
    <row r="190" spans="5:6" x14ac:dyDescent="0.3">
      <c r="E190" s="18" t="s">
        <v>1340</v>
      </c>
      <c r="F190" s="18" t="s">
        <v>1319</v>
      </c>
    </row>
    <row r="191" spans="5:6" x14ac:dyDescent="0.3">
      <c r="E191" s="18" t="s">
        <v>1341</v>
      </c>
      <c r="F191" s="18" t="s">
        <v>1319</v>
      </c>
    </row>
    <row r="192" spans="5:6" x14ac:dyDescent="0.3">
      <c r="E192" s="18" t="s">
        <v>1342</v>
      </c>
      <c r="F192" s="18" t="s">
        <v>1319</v>
      </c>
    </row>
    <row r="193" spans="5:6" x14ac:dyDescent="0.3">
      <c r="E193" s="18" t="s">
        <v>1343</v>
      </c>
      <c r="F193" s="18" t="s">
        <v>1319</v>
      </c>
    </row>
    <row r="194" spans="5:6" x14ac:dyDescent="0.3">
      <c r="E194" s="18" t="s">
        <v>1344</v>
      </c>
      <c r="F194" s="18" t="s">
        <v>1319</v>
      </c>
    </row>
    <row r="195" spans="5:6" x14ac:dyDescent="0.3">
      <c r="E195" s="18" t="s">
        <v>1345</v>
      </c>
      <c r="F195" s="18" t="s">
        <v>1319</v>
      </c>
    </row>
    <row r="196" spans="5:6" x14ac:dyDescent="0.3">
      <c r="E196" s="18" t="s">
        <v>1346</v>
      </c>
      <c r="F196" s="18" t="s">
        <v>1319</v>
      </c>
    </row>
    <row r="197" spans="5:6" x14ac:dyDescent="0.3">
      <c r="E197" s="18" t="s">
        <v>1347</v>
      </c>
      <c r="F197" s="18" t="s">
        <v>1319</v>
      </c>
    </row>
    <row r="198" spans="5:6" x14ac:dyDescent="0.3">
      <c r="E198" s="18" t="s">
        <v>1348</v>
      </c>
      <c r="F198" s="18" t="s">
        <v>1319</v>
      </c>
    </row>
    <row r="199" spans="5:6" x14ac:dyDescent="0.3">
      <c r="E199" s="18" t="s">
        <v>1349</v>
      </c>
      <c r="F199" s="18" t="s">
        <v>1319</v>
      </c>
    </row>
    <row r="200" spans="5:6" x14ac:dyDescent="0.3">
      <c r="E200" s="18" t="s">
        <v>1350</v>
      </c>
      <c r="F200" s="18" t="s">
        <v>1319</v>
      </c>
    </row>
    <row r="201" spans="5:6" x14ac:dyDescent="0.3">
      <c r="E201" s="18" t="s">
        <v>1351</v>
      </c>
      <c r="F201" s="18" t="s">
        <v>1319</v>
      </c>
    </row>
    <row r="202" spans="5:6" x14ac:dyDescent="0.3">
      <c r="E202" s="18" t="s">
        <v>1352</v>
      </c>
      <c r="F202" s="18" t="s">
        <v>1319</v>
      </c>
    </row>
    <row r="203" spans="5:6" x14ac:dyDescent="0.3">
      <c r="E203" s="18" t="s">
        <v>1353</v>
      </c>
      <c r="F203" s="18" t="s">
        <v>1319</v>
      </c>
    </row>
    <row r="204" spans="5:6" x14ac:dyDescent="0.3">
      <c r="E204" s="18" t="s">
        <v>1354</v>
      </c>
      <c r="F204" s="18" t="s">
        <v>1319</v>
      </c>
    </row>
    <row r="205" spans="5:6" x14ac:dyDescent="0.3">
      <c r="E205" s="18" t="s">
        <v>1355</v>
      </c>
      <c r="F205" s="18" t="s">
        <v>1319</v>
      </c>
    </row>
    <row r="206" spans="5:6" x14ac:dyDescent="0.3">
      <c r="E206" s="18" t="s">
        <v>1356</v>
      </c>
      <c r="F206" s="18" t="s">
        <v>1319</v>
      </c>
    </row>
    <row r="207" spans="5:6" x14ac:dyDescent="0.3">
      <c r="E207" s="18" t="s">
        <v>1357</v>
      </c>
      <c r="F207" s="18" t="s">
        <v>1319</v>
      </c>
    </row>
    <row r="208" spans="5:6" x14ac:dyDescent="0.3">
      <c r="E208" s="18" t="s">
        <v>149</v>
      </c>
      <c r="F208" s="18" t="s">
        <v>74</v>
      </c>
    </row>
    <row r="209" spans="5:6" x14ac:dyDescent="0.3">
      <c r="E209" s="18" t="s">
        <v>146</v>
      </c>
      <c r="F209" s="18" t="s">
        <v>74</v>
      </c>
    </row>
    <row r="210" spans="5:6" x14ac:dyDescent="0.3">
      <c r="E210" s="18" t="s">
        <v>147</v>
      </c>
      <c r="F210" s="18" t="s">
        <v>74</v>
      </c>
    </row>
    <row r="211" spans="5:6" x14ac:dyDescent="0.3">
      <c r="E211" s="18" t="s">
        <v>141</v>
      </c>
      <c r="F211" s="18" t="s">
        <v>74</v>
      </c>
    </row>
    <row r="212" spans="5:6" x14ac:dyDescent="0.3">
      <c r="E212" s="18" t="s">
        <v>107</v>
      </c>
      <c r="F212" s="18" t="s">
        <v>70</v>
      </c>
    </row>
    <row r="213" spans="5:6" x14ac:dyDescent="0.3">
      <c r="E213" s="18" t="s">
        <v>134</v>
      </c>
      <c r="F213" s="18" t="s">
        <v>1321</v>
      </c>
    </row>
    <row r="214" spans="5:6" x14ac:dyDescent="0.3">
      <c r="E214" s="18" t="s">
        <v>118</v>
      </c>
      <c r="F214" s="18" t="s">
        <v>1319</v>
      </c>
    </row>
    <row r="215" spans="5:6" x14ac:dyDescent="0.3">
      <c r="E215" s="18" t="s">
        <v>194</v>
      </c>
      <c r="F215" s="18" t="s">
        <v>1320</v>
      </c>
    </row>
    <row r="216" spans="5:6" x14ac:dyDescent="0.3">
      <c r="E216" s="18" t="s">
        <v>162</v>
      </c>
      <c r="F216" s="18" t="s">
        <v>81</v>
      </c>
    </row>
    <row r="217" spans="5:6" x14ac:dyDescent="0.3">
      <c r="E217" s="18" t="s">
        <v>167</v>
      </c>
      <c r="F217" s="18" t="s">
        <v>81</v>
      </c>
    </row>
    <row r="218" spans="5:6" x14ac:dyDescent="0.3">
      <c r="E218" s="18" t="s">
        <v>10</v>
      </c>
      <c r="F218" s="18" t="s">
        <v>1320</v>
      </c>
    </row>
    <row r="219" spans="5:6" x14ac:dyDescent="0.3">
      <c r="E219" s="18" t="s">
        <v>212</v>
      </c>
      <c r="F219" s="18" t="s">
        <v>77</v>
      </c>
    </row>
    <row r="220" spans="5:6" x14ac:dyDescent="0.3">
      <c r="E220" s="18" t="s">
        <v>150</v>
      </c>
      <c r="F220" s="18" t="s">
        <v>1336</v>
      </c>
    </row>
    <row r="221" spans="5:6" x14ac:dyDescent="0.3">
      <c r="E221" s="18" t="s">
        <v>151</v>
      </c>
      <c r="F221" s="18" t="s">
        <v>1336</v>
      </c>
    </row>
    <row r="222" spans="5:6" x14ac:dyDescent="0.3">
      <c r="E222" s="18" t="s">
        <v>156</v>
      </c>
      <c r="F222" s="18" t="s">
        <v>1336</v>
      </c>
    </row>
    <row r="223" spans="5:6" x14ac:dyDescent="0.3">
      <c r="E223" s="18" t="s">
        <v>157</v>
      </c>
      <c r="F223" s="18" t="s">
        <v>1336</v>
      </c>
    </row>
    <row r="224" spans="5:6" x14ac:dyDescent="0.3">
      <c r="E224" s="18" t="s">
        <v>1358</v>
      </c>
      <c r="F224" s="18" t="s">
        <v>1319</v>
      </c>
    </row>
    <row r="225" spans="5:6" x14ac:dyDescent="0.3">
      <c r="E225" s="18" t="s">
        <v>1359</v>
      </c>
      <c r="F225" s="18" t="s">
        <v>1319</v>
      </c>
    </row>
    <row r="226" spans="5:6" x14ac:dyDescent="0.3">
      <c r="E226" s="18" t="s">
        <v>1360</v>
      </c>
      <c r="F226" s="18" t="s">
        <v>1319</v>
      </c>
    </row>
    <row r="227" spans="5:6" x14ac:dyDescent="0.3">
      <c r="E227" s="18" t="s">
        <v>1361</v>
      </c>
      <c r="F227" s="18" t="s">
        <v>1319</v>
      </c>
    </row>
    <row r="228" spans="5:6" x14ac:dyDescent="0.3">
      <c r="E228" s="18" t="s">
        <v>1362</v>
      </c>
      <c r="F228" s="18" t="s">
        <v>1319</v>
      </c>
    </row>
    <row r="229" spans="5:6" x14ac:dyDescent="0.3">
      <c r="E229" s="18" t="s">
        <v>1363</v>
      </c>
      <c r="F229" s="18" t="s">
        <v>1319</v>
      </c>
    </row>
    <row r="230" spans="5:6" x14ac:dyDescent="0.3">
      <c r="E230" s="18" t="s">
        <v>1364</v>
      </c>
      <c r="F230" s="18" t="s">
        <v>1319</v>
      </c>
    </row>
    <row r="231" spans="5:6" x14ac:dyDescent="0.3">
      <c r="E231" s="18" t="s">
        <v>1365</v>
      </c>
      <c r="F231" s="18" t="s">
        <v>1319</v>
      </c>
    </row>
    <row r="232" spans="5:6" x14ac:dyDescent="0.3">
      <c r="E232" s="18" t="s">
        <v>1366</v>
      </c>
      <c r="F232" s="18" t="s">
        <v>1319</v>
      </c>
    </row>
    <row r="233" spans="5:6" x14ac:dyDescent="0.3">
      <c r="E233" s="18" t="s">
        <v>1367</v>
      </c>
      <c r="F233" s="18" t="s">
        <v>1320</v>
      </c>
    </row>
    <row r="234" spans="5:6" x14ac:dyDescent="0.3">
      <c r="E234" s="18" t="s">
        <v>1368</v>
      </c>
      <c r="F234" s="18" t="s">
        <v>1319</v>
      </c>
    </row>
    <row r="235" spans="5:6" x14ac:dyDescent="0.3">
      <c r="E235" s="18" t="s">
        <v>154</v>
      </c>
      <c r="F235" s="18" t="s">
        <v>1336</v>
      </c>
    </row>
    <row r="236" spans="5:6" x14ac:dyDescent="0.3">
      <c r="E236" s="18" t="s">
        <v>92</v>
      </c>
      <c r="F236" s="18" t="s">
        <v>75</v>
      </c>
    </row>
    <row r="237" spans="5:6" x14ac:dyDescent="0.3">
      <c r="E237" s="18" t="s">
        <v>93</v>
      </c>
      <c r="F237" s="18" t="s">
        <v>75</v>
      </c>
    </row>
    <row r="238" spans="5:6" x14ac:dyDescent="0.3">
      <c r="E238" s="18" t="s">
        <v>94</v>
      </c>
      <c r="F238" s="18" t="s">
        <v>75</v>
      </c>
    </row>
    <row r="239" spans="5:6" x14ac:dyDescent="0.3">
      <c r="E239" s="18" t="s">
        <v>95</v>
      </c>
      <c r="F239" s="18" t="s">
        <v>75</v>
      </c>
    </row>
    <row r="240" spans="5:6" x14ac:dyDescent="0.3">
      <c r="E240" s="18" t="s">
        <v>163</v>
      </c>
      <c r="F240" s="18" t="s">
        <v>81</v>
      </c>
    </row>
    <row r="241" spans="5:6" x14ac:dyDescent="0.3">
      <c r="E241" s="18" t="s">
        <v>168</v>
      </c>
      <c r="F241" s="18" t="s">
        <v>81</v>
      </c>
    </row>
    <row r="242" spans="5:6" x14ac:dyDescent="0.3">
      <c r="E242" s="18" t="s">
        <v>164</v>
      </c>
      <c r="F242" s="18" t="s">
        <v>81</v>
      </c>
    </row>
    <row r="243" spans="5:6" x14ac:dyDescent="0.3">
      <c r="E243" s="18" t="s">
        <v>165</v>
      </c>
      <c r="F243" s="18" t="s">
        <v>81</v>
      </c>
    </row>
    <row r="244" spans="5:6" x14ac:dyDescent="0.3">
      <c r="E244" s="18" t="s">
        <v>216</v>
      </c>
      <c r="F244" s="18" t="s">
        <v>77</v>
      </c>
    </row>
    <row r="245" spans="5:6" x14ac:dyDescent="0.3">
      <c r="E245" s="18" t="s">
        <v>113</v>
      </c>
      <c r="F245" s="18" t="s">
        <v>77</v>
      </c>
    </row>
    <row r="246" spans="5:6" x14ac:dyDescent="0.3">
      <c r="E246" s="18" t="s">
        <v>114</v>
      </c>
      <c r="F246" s="18" t="s">
        <v>77</v>
      </c>
    </row>
    <row r="247" spans="5:6" x14ac:dyDescent="0.3">
      <c r="E247" s="18" t="s">
        <v>213</v>
      </c>
      <c r="F247" s="18" t="s">
        <v>77</v>
      </c>
    </row>
    <row r="248" spans="5:6" x14ac:dyDescent="0.3">
      <c r="E248" s="18" t="s">
        <v>214</v>
      </c>
      <c r="F248" s="18" t="s">
        <v>77</v>
      </c>
    </row>
    <row r="249" spans="5:6" x14ac:dyDescent="0.3">
      <c r="E249" s="18" t="s">
        <v>292</v>
      </c>
      <c r="F249" s="18" t="s">
        <v>78</v>
      </c>
    </row>
    <row r="250" spans="5:6" x14ac:dyDescent="0.3">
      <c r="E250" s="18" t="s">
        <v>293</v>
      </c>
      <c r="F250" s="18" t="s">
        <v>78</v>
      </c>
    </row>
    <row r="251" spans="5:6" x14ac:dyDescent="0.3">
      <c r="E251" s="18" t="s">
        <v>152</v>
      </c>
      <c r="F251" s="18" t="s">
        <v>1336</v>
      </c>
    </row>
    <row r="252" spans="5:6" x14ac:dyDescent="0.3">
      <c r="E252" s="18" t="s">
        <v>153</v>
      </c>
      <c r="F252" s="18" t="s">
        <v>1336</v>
      </c>
    </row>
    <row r="253" spans="5:6" x14ac:dyDescent="0.3">
      <c r="E253" s="18" t="s">
        <v>1369</v>
      </c>
      <c r="F253" s="18" t="s">
        <v>1319</v>
      </c>
    </row>
    <row r="254" spans="5:6" x14ac:dyDescent="0.3">
      <c r="E254" s="18" t="s">
        <v>1370</v>
      </c>
      <c r="F254" s="18" t="s">
        <v>1319</v>
      </c>
    </row>
    <row r="255" spans="5:6" x14ac:dyDescent="0.3">
      <c r="E255" s="18" t="s">
        <v>1371</v>
      </c>
      <c r="F255" s="18" t="s">
        <v>1319</v>
      </c>
    </row>
    <row r="256" spans="5:6" x14ac:dyDescent="0.3">
      <c r="E256" s="18" t="s">
        <v>1372</v>
      </c>
      <c r="F256" s="18" t="s">
        <v>1319</v>
      </c>
    </row>
    <row r="257" spans="5:6" x14ac:dyDescent="0.3">
      <c r="E257" s="18" t="s">
        <v>1373</v>
      </c>
      <c r="F257" s="18" t="s">
        <v>1319</v>
      </c>
    </row>
    <row r="258" spans="5:6" x14ac:dyDescent="0.3">
      <c r="E258" s="18" t="s">
        <v>1374</v>
      </c>
      <c r="F258" s="18" t="s">
        <v>78</v>
      </c>
    </row>
    <row r="259" spans="5:6" x14ac:dyDescent="0.3">
      <c r="E259" s="18" t="s">
        <v>1375</v>
      </c>
      <c r="F259" s="18" t="s">
        <v>1336</v>
      </c>
    </row>
    <row r="260" spans="5:6" x14ac:dyDescent="0.3">
      <c r="E260" s="18" t="s">
        <v>286</v>
      </c>
      <c r="F260" s="18" t="s">
        <v>78</v>
      </c>
    </row>
    <row r="261" spans="5:6" x14ac:dyDescent="0.3">
      <c r="E261" s="18" t="s">
        <v>13</v>
      </c>
      <c r="F261" s="18" t="s">
        <v>1321</v>
      </c>
    </row>
    <row r="262" spans="5:6" x14ac:dyDescent="0.3">
      <c r="E262" s="18" t="s">
        <v>148</v>
      </c>
      <c r="F262" s="18" t="s">
        <v>74</v>
      </c>
    </row>
    <row r="263" spans="5:6" x14ac:dyDescent="0.3">
      <c r="E263" s="18" t="s">
        <v>237</v>
      </c>
      <c r="F263" s="18" t="s">
        <v>1319</v>
      </c>
    </row>
    <row r="264" spans="5:6" x14ac:dyDescent="0.3">
      <c r="E264" s="18" t="s">
        <v>166</v>
      </c>
      <c r="F264" s="18" t="s">
        <v>81</v>
      </c>
    </row>
    <row r="265" spans="5:6" x14ac:dyDescent="0.3">
      <c r="E265" s="18" t="s">
        <v>169</v>
      </c>
      <c r="F265" s="18" t="s">
        <v>81</v>
      </c>
    </row>
    <row r="266" spans="5:6" x14ac:dyDescent="0.3">
      <c r="E266" s="18" t="s">
        <v>170</v>
      </c>
      <c r="F266" s="18" t="s">
        <v>81</v>
      </c>
    </row>
    <row r="267" spans="5:6" x14ac:dyDescent="0.3">
      <c r="E267" s="18" t="s">
        <v>238</v>
      </c>
      <c r="F267" s="18" t="s">
        <v>1319</v>
      </c>
    </row>
    <row r="268" spans="5:6" x14ac:dyDescent="0.3">
      <c r="E268" s="18" t="s">
        <v>239</v>
      </c>
      <c r="F268" s="18" t="s">
        <v>1319</v>
      </c>
    </row>
    <row r="269" spans="5:6" x14ac:dyDescent="0.3">
      <c r="E269" s="18" t="s">
        <v>255</v>
      </c>
      <c r="F269" s="18" t="s">
        <v>1319</v>
      </c>
    </row>
    <row r="270" spans="5:6" x14ac:dyDescent="0.3">
      <c r="E270" s="18" t="s">
        <v>256</v>
      </c>
      <c r="F270" s="18" t="s">
        <v>1319</v>
      </c>
    </row>
    <row r="271" spans="5:6" x14ac:dyDescent="0.3">
      <c r="E271" s="18" t="s">
        <v>312</v>
      </c>
      <c r="F271" s="18" t="s">
        <v>1321</v>
      </c>
    </row>
    <row r="272" spans="5:6" x14ac:dyDescent="0.3">
      <c r="E272" s="18" t="s">
        <v>313</v>
      </c>
      <c r="F272" s="18" t="s">
        <v>1321</v>
      </c>
    </row>
    <row r="273" spans="5:6" x14ac:dyDescent="0.3">
      <c r="E273" s="18" t="s">
        <v>319</v>
      </c>
      <c r="F273" s="18" t="s">
        <v>1321</v>
      </c>
    </row>
    <row r="274" spans="5:6" x14ac:dyDescent="0.3">
      <c r="E274" s="18" t="s">
        <v>320</v>
      </c>
      <c r="F274" s="18" t="s">
        <v>1321</v>
      </c>
    </row>
    <row r="275" spans="5:6" x14ac:dyDescent="0.3">
      <c r="E275" s="18" t="s">
        <v>1376</v>
      </c>
      <c r="F275" s="18" t="s">
        <v>1337</v>
      </c>
    </row>
    <row r="276" spans="5:6" x14ac:dyDescent="0.3">
      <c r="E276" s="18" t="s">
        <v>322</v>
      </c>
      <c r="F276" s="18" t="s">
        <v>1337</v>
      </c>
    </row>
    <row r="277" spans="5:6" x14ac:dyDescent="0.3">
      <c r="E277" s="18" t="s">
        <v>268</v>
      </c>
      <c r="F277" s="18" t="s">
        <v>78</v>
      </c>
    </row>
    <row r="278" spans="5:6" x14ac:dyDescent="0.3">
      <c r="E278" s="18" t="s">
        <v>314</v>
      </c>
      <c r="F278" s="18" t="s">
        <v>1321</v>
      </c>
    </row>
    <row r="279" spans="5:6" x14ac:dyDescent="0.3">
      <c r="E279" s="18" t="s">
        <v>97</v>
      </c>
      <c r="F279" s="18" t="s">
        <v>1320</v>
      </c>
    </row>
    <row r="280" spans="5:6" x14ac:dyDescent="0.3">
      <c r="E280" s="18" t="s">
        <v>1377</v>
      </c>
      <c r="F280" s="18" t="s">
        <v>1336</v>
      </c>
    </row>
    <row r="281" spans="5:6" x14ac:dyDescent="0.3">
      <c r="E281" s="18" t="s">
        <v>1378</v>
      </c>
      <c r="F281" s="18" t="s">
        <v>1319</v>
      </c>
    </row>
    <row r="282" spans="5:6" x14ac:dyDescent="0.3">
      <c r="E282" s="18" t="s">
        <v>1379</v>
      </c>
      <c r="F282" s="18" t="s">
        <v>1319</v>
      </c>
    </row>
    <row r="283" spans="5:6" x14ac:dyDescent="0.3">
      <c r="E283" s="18" t="s">
        <v>1380</v>
      </c>
      <c r="F283" s="18" t="s">
        <v>1319</v>
      </c>
    </row>
    <row r="284" spans="5:6" x14ac:dyDescent="0.3">
      <c r="E284" s="18" t="s">
        <v>1381</v>
      </c>
      <c r="F284" s="18" t="s">
        <v>1319</v>
      </c>
    </row>
    <row r="285" spans="5:6" x14ac:dyDescent="0.3">
      <c r="E285" s="18" t="s">
        <v>1382</v>
      </c>
      <c r="F285" s="18" t="s">
        <v>1319</v>
      </c>
    </row>
    <row r="286" spans="5:6" x14ac:dyDescent="0.3">
      <c r="E286" s="18" t="s">
        <v>1383</v>
      </c>
      <c r="F286" s="18" t="s">
        <v>1319</v>
      </c>
    </row>
    <row r="287" spans="5:6" x14ac:dyDescent="0.3">
      <c r="E287" s="18" t="s">
        <v>1384</v>
      </c>
      <c r="F287" s="18" t="s">
        <v>1319</v>
      </c>
    </row>
    <row r="288" spans="5:6" x14ac:dyDescent="0.3">
      <c r="E288" s="18" t="s">
        <v>1335</v>
      </c>
      <c r="F288" s="18" t="s">
        <v>78</v>
      </c>
    </row>
    <row r="289" spans="5:6" x14ac:dyDescent="0.3">
      <c r="E289" s="18" t="s">
        <v>257</v>
      </c>
      <c r="F289" s="18" t="s">
        <v>1319</v>
      </c>
    </row>
    <row r="290" spans="5:6" x14ac:dyDescent="0.3">
      <c r="E290" s="18" t="s">
        <v>182</v>
      </c>
      <c r="F290" s="18" t="s">
        <v>1320</v>
      </c>
    </row>
    <row r="291" spans="5:6" x14ac:dyDescent="0.3">
      <c r="E291" s="18" t="s">
        <v>88</v>
      </c>
      <c r="F291" s="18" t="s">
        <v>1336</v>
      </c>
    </row>
    <row r="292" spans="5:6" x14ac:dyDescent="0.3">
      <c r="E292" s="18" t="s">
        <v>89</v>
      </c>
      <c r="F292" s="18" t="s">
        <v>1336</v>
      </c>
    </row>
    <row r="293" spans="5:6" x14ac:dyDescent="0.3">
      <c r="E293" s="18" t="s">
        <v>90</v>
      </c>
      <c r="F293" s="18" t="s">
        <v>1336</v>
      </c>
    </row>
    <row r="294" spans="5:6" x14ac:dyDescent="0.3">
      <c r="E294" s="18" t="s">
        <v>269</v>
      </c>
      <c r="F294" s="18" t="s">
        <v>78</v>
      </c>
    </row>
    <row r="295" spans="5:6" x14ac:dyDescent="0.3">
      <c r="E295" s="18" t="s">
        <v>270</v>
      </c>
      <c r="F295" s="18" t="s">
        <v>78</v>
      </c>
    </row>
    <row r="296" spans="5:6" x14ac:dyDescent="0.3">
      <c r="E296" s="18" t="s">
        <v>1385</v>
      </c>
      <c r="F296" s="18" t="s">
        <v>78</v>
      </c>
    </row>
    <row r="297" spans="5:6" x14ac:dyDescent="0.3">
      <c r="E297" s="18" t="s">
        <v>271</v>
      </c>
      <c r="F297" s="18" t="s">
        <v>78</v>
      </c>
    </row>
    <row r="298" spans="5:6" x14ac:dyDescent="0.3">
      <c r="E298" s="18" t="s">
        <v>272</v>
      </c>
      <c r="F298" s="18" t="s">
        <v>78</v>
      </c>
    </row>
    <row r="299" spans="5:6" x14ac:dyDescent="0.3">
      <c r="E299" s="18" t="s">
        <v>273</v>
      </c>
      <c r="F299" s="18" t="s">
        <v>78</v>
      </c>
    </row>
    <row r="300" spans="5:6" x14ac:dyDescent="0.3">
      <c r="E300" s="18" t="s">
        <v>274</v>
      </c>
      <c r="F300" s="18" t="s">
        <v>78</v>
      </c>
    </row>
    <row r="301" spans="5:6" x14ac:dyDescent="0.3">
      <c r="E301" s="18" t="s">
        <v>1386</v>
      </c>
      <c r="F301" s="18" t="s">
        <v>78</v>
      </c>
    </row>
    <row r="302" spans="5:6" x14ac:dyDescent="0.3">
      <c r="E302" s="18" t="s">
        <v>1387</v>
      </c>
      <c r="F302" s="18" t="s">
        <v>1320</v>
      </c>
    </row>
    <row r="303" spans="5:6" x14ac:dyDescent="0.3">
      <c r="E303" s="18" t="s">
        <v>1388</v>
      </c>
      <c r="F303" s="18" t="s">
        <v>1320</v>
      </c>
    </row>
    <row r="304" spans="5:6" x14ac:dyDescent="0.3">
      <c r="E304" s="18" t="s">
        <v>1389</v>
      </c>
      <c r="F304" s="18" t="s">
        <v>1319</v>
      </c>
    </row>
    <row r="305" spans="5:6" x14ac:dyDescent="0.3">
      <c r="E305" s="18" t="s">
        <v>1390</v>
      </c>
      <c r="F305" s="18" t="s">
        <v>1337</v>
      </c>
    </row>
    <row r="306" spans="5:6" x14ac:dyDescent="0.3">
      <c r="E306" s="18" t="s">
        <v>1391</v>
      </c>
      <c r="F306" s="18" t="s">
        <v>78</v>
      </c>
    </row>
    <row r="307" spans="5:6" x14ac:dyDescent="0.3">
      <c r="E307" s="18" t="s">
        <v>1392</v>
      </c>
      <c r="F307" s="18" t="s">
        <v>1319</v>
      </c>
    </row>
    <row r="308" spans="5:6" x14ac:dyDescent="0.3">
      <c r="E308" s="18" t="s">
        <v>1393</v>
      </c>
      <c r="F308" s="18" t="s">
        <v>1337</v>
      </c>
    </row>
    <row r="309" spans="5:6" x14ac:dyDescent="0.3">
      <c r="E309" s="18" t="s">
        <v>1394</v>
      </c>
      <c r="F309" s="18" t="s">
        <v>1337</v>
      </c>
    </row>
    <row r="310" spans="5:6" x14ac:dyDescent="0.3">
      <c r="E310" s="18" t="s">
        <v>1395</v>
      </c>
      <c r="F310" s="18" t="s">
        <v>1337</v>
      </c>
    </row>
    <row r="311" spans="5:6" x14ac:dyDescent="0.3">
      <c r="E311" s="18" t="s">
        <v>1396</v>
      </c>
      <c r="F311" s="18" t="s">
        <v>1337</v>
      </c>
    </row>
    <row r="312" spans="5:6" x14ac:dyDescent="0.3">
      <c r="E312" s="18" t="s">
        <v>103</v>
      </c>
      <c r="F312" s="18" t="s">
        <v>70</v>
      </c>
    </row>
    <row r="313" spans="5:6" x14ac:dyDescent="0.3">
      <c r="E313" s="18" t="s">
        <v>106</v>
      </c>
      <c r="F313" s="18" t="s">
        <v>70</v>
      </c>
    </row>
    <row r="314" spans="5:6" x14ac:dyDescent="0.3">
      <c r="E314" s="18" t="s">
        <v>133</v>
      </c>
      <c r="F314" s="18" t="s">
        <v>1321</v>
      </c>
    </row>
    <row r="315" spans="5:6" x14ac:dyDescent="0.3">
      <c r="E315" s="18" t="s">
        <v>240</v>
      </c>
      <c r="F315" s="18" t="s">
        <v>1319</v>
      </c>
    </row>
    <row r="316" spans="5:6" x14ac:dyDescent="0.3">
      <c r="E316" s="18" t="s">
        <v>258</v>
      </c>
      <c r="F316" s="18" t="s">
        <v>1319</v>
      </c>
    </row>
    <row r="317" spans="5:6" x14ac:dyDescent="0.3">
      <c r="E317" s="18" t="s">
        <v>195</v>
      </c>
      <c r="F317" s="18" t="s">
        <v>1320</v>
      </c>
    </row>
    <row r="318" spans="5:6" x14ac:dyDescent="0.3">
      <c r="E318" s="18" t="s">
        <v>294</v>
      </c>
      <c r="F318" s="18" t="s">
        <v>78</v>
      </c>
    </row>
    <row r="319" spans="5:6" x14ac:dyDescent="0.3">
      <c r="E319" s="18" t="s">
        <v>196</v>
      </c>
      <c r="F319" s="18" t="s">
        <v>1320</v>
      </c>
    </row>
    <row r="320" spans="5:6" x14ac:dyDescent="0.3">
      <c r="E320" s="18" t="s">
        <v>98</v>
      </c>
      <c r="F320" s="18" t="s">
        <v>1320</v>
      </c>
    </row>
    <row r="321" spans="5:6" x14ac:dyDescent="0.3">
      <c r="E321" s="18" t="s">
        <v>241</v>
      </c>
      <c r="F321" s="18" t="s">
        <v>1319</v>
      </c>
    </row>
    <row r="322" spans="5:6" x14ac:dyDescent="0.3">
      <c r="E322" s="18" t="s">
        <v>259</v>
      </c>
      <c r="F322" s="18" t="s">
        <v>1319</v>
      </c>
    </row>
    <row r="323" spans="5:6" x14ac:dyDescent="0.3">
      <c r="E323" s="18" t="s">
        <v>91</v>
      </c>
      <c r="F323" s="18" t="s">
        <v>1336</v>
      </c>
    </row>
    <row r="324" spans="5:6" x14ac:dyDescent="0.3">
      <c r="E324" s="18" t="s">
        <v>242</v>
      </c>
      <c r="F324" s="18" t="s">
        <v>1319</v>
      </c>
    </row>
    <row r="325" spans="5:6" x14ac:dyDescent="0.3">
      <c r="E325" s="18" t="s">
        <v>260</v>
      </c>
      <c r="F325" s="18" t="s">
        <v>1319</v>
      </c>
    </row>
    <row r="326" spans="5:6" x14ac:dyDescent="0.3">
      <c r="E326" s="18" t="s">
        <v>1397</v>
      </c>
      <c r="F326" s="18" t="s">
        <v>1319</v>
      </c>
    </row>
    <row r="327" spans="5:6" x14ac:dyDescent="0.3">
      <c r="E327" s="18" t="s">
        <v>1398</v>
      </c>
      <c r="F327" s="18" t="s">
        <v>1319</v>
      </c>
    </row>
    <row r="328" spans="5:6" x14ac:dyDescent="0.3">
      <c r="E328" s="18" t="s">
        <v>1399</v>
      </c>
      <c r="F328" s="18" t="s">
        <v>1319</v>
      </c>
    </row>
    <row r="329" spans="5:6" x14ac:dyDescent="0.3">
      <c r="E329" s="18" t="s">
        <v>1400</v>
      </c>
      <c r="F329" s="18" t="s">
        <v>1321</v>
      </c>
    </row>
    <row r="330" spans="5:6" x14ac:dyDescent="0.3">
      <c r="E330" s="18" t="s">
        <v>1401</v>
      </c>
      <c r="F330" s="18" t="s">
        <v>1320</v>
      </c>
    </row>
    <row r="331" spans="5:6" x14ac:dyDescent="0.3">
      <c r="E331" s="18" t="s">
        <v>1402</v>
      </c>
      <c r="F331" s="18" t="s">
        <v>1321</v>
      </c>
    </row>
    <row r="332" spans="5:6" x14ac:dyDescent="0.3">
      <c r="E332" s="18" t="s">
        <v>1403</v>
      </c>
      <c r="F332" s="18" t="s">
        <v>1319</v>
      </c>
    </row>
    <row r="333" spans="5:6" x14ac:dyDescent="0.3">
      <c r="E333" s="18" t="s">
        <v>83</v>
      </c>
      <c r="F333" s="18" t="s">
        <v>73</v>
      </c>
    </row>
    <row r="334" spans="5:6" x14ac:dyDescent="0.3">
      <c r="E334" s="18" t="s">
        <v>99</v>
      </c>
      <c r="F334" s="18" t="s">
        <v>1320</v>
      </c>
    </row>
    <row r="335" spans="5:6" x14ac:dyDescent="0.3">
      <c r="E335" s="18" t="s">
        <v>243</v>
      </c>
      <c r="F335" s="18" t="s">
        <v>1319</v>
      </c>
    </row>
    <row r="336" spans="5:6" x14ac:dyDescent="0.3">
      <c r="E336" s="18" t="s">
        <v>295</v>
      </c>
      <c r="F336" s="18" t="s">
        <v>78</v>
      </c>
    </row>
    <row r="337" spans="5:6" x14ac:dyDescent="0.3">
      <c r="E337" s="18" t="s">
        <v>158</v>
      </c>
      <c r="F337" s="18" t="s">
        <v>75</v>
      </c>
    </row>
    <row r="338" spans="5:6" x14ac:dyDescent="0.3">
      <c r="E338" s="18" t="s">
        <v>160</v>
      </c>
      <c r="F338" s="18" t="s">
        <v>75</v>
      </c>
    </row>
    <row r="339" spans="5:6" x14ac:dyDescent="0.3">
      <c r="E339" s="18" t="s">
        <v>159</v>
      </c>
      <c r="F339" s="18" t="s">
        <v>75</v>
      </c>
    </row>
    <row r="340" spans="5:6" x14ac:dyDescent="0.3">
      <c r="E340" s="18" t="s">
        <v>161</v>
      </c>
      <c r="F340" s="18" t="s">
        <v>75</v>
      </c>
    </row>
    <row r="341" spans="5:6" x14ac:dyDescent="0.3">
      <c r="E341" s="18" t="s">
        <v>205</v>
      </c>
      <c r="F341" s="18" t="s">
        <v>70</v>
      </c>
    </row>
    <row r="342" spans="5:6" x14ac:dyDescent="0.3">
      <c r="E342" s="18" t="s">
        <v>277</v>
      </c>
      <c r="F342" s="18" t="s">
        <v>78</v>
      </c>
    </row>
    <row r="343" spans="5:6" x14ac:dyDescent="0.3">
      <c r="E343" s="18" t="s">
        <v>155</v>
      </c>
      <c r="F343" s="18" t="s">
        <v>1336</v>
      </c>
    </row>
    <row r="344" spans="5:6" x14ac:dyDescent="0.3">
      <c r="E344" s="18" t="s">
        <v>119</v>
      </c>
      <c r="F344" s="18" t="s">
        <v>1319</v>
      </c>
    </row>
    <row r="345" spans="5:6" x14ac:dyDescent="0.3">
      <c r="E345" s="18" t="s">
        <v>183</v>
      </c>
      <c r="F345" s="18" t="s">
        <v>1320</v>
      </c>
    </row>
    <row r="346" spans="5:6" x14ac:dyDescent="0.3">
      <c r="E346" s="18" t="s">
        <v>296</v>
      </c>
      <c r="F346" s="18" t="s">
        <v>78</v>
      </c>
    </row>
    <row r="347" spans="5:6" x14ac:dyDescent="0.3">
      <c r="E347" s="18" t="s">
        <v>1404</v>
      </c>
      <c r="F347" s="18" t="s">
        <v>1319</v>
      </c>
    </row>
    <row r="348" spans="5:6" x14ac:dyDescent="0.3">
      <c r="E348" s="18" t="s">
        <v>1405</v>
      </c>
      <c r="F348" s="18" t="s">
        <v>1319</v>
      </c>
    </row>
    <row r="349" spans="5:6" x14ac:dyDescent="0.3">
      <c r="E349" s="18" t="s">
        <v>1406</v>
      </c>
      <c r="F349" s="18" t="s">
        <v>1319</v>
      </c>
    </row>
    <row r="350" spans="5:6" x14ac:dyDescent="0.3">
      <c r="E350" s="18" t="s">
        <v>1407</v>
      </c>
      <c r="F350" s="18" t="s">
        <v>1319</v>
      </c>
    </row>
    <row r="351" spans="5:6" x14ac:dyDescent="0.3">
      <c r="E351" s="18" t="s">
        <v>1408</v>
      </c>
      <c r="F351" s="18" t="s">
        <v>1319</v>
      </c>
    </row>
    <row r="352" spans="5:6" x14ac:dyDescent="0.3">
      <c r="E352" s="18" t="s">
        <v>1409</v>
      </c>
      <c r="F352" s="18" t="s">
        <v>78</v>
      </c>
    </row>
    <row r="353" spans="5:6" x14ac:dyDescent="0.3">
      <c r="E353" s="18" t="s">
        <v>1410</v>
      </c>
      <c r="F353" s="18" t="s">
        <v>1336</v>
      </c>
    </row>
    <row r="354" spans="5:6" x14ac:dyDescent="0.3">
      <c r="E354" s="18" t="s">
        <v>1411</v>
      </c>
      <c r="F354" s="18" t="s">
        <v>1319</v>
      </c>
    </row>
  </sheetData>
  <autoFilter ref="A1:F37">
    <sortState ref="A2:F37">
      <sortCondition ref="E1:E37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>
    <tabColor theme="7" tint="0.39997558519241921"/>
  </sheetPr>
  <dimension ref="A2:BP46"/>
  <sheetViews>
    <sheetView workbookViewId="0">
      <selection activeCell="A2" sqref="A2"/>
    </sheetView>
  </sheetViews>
  <sheetFormatPr defaultRowHeight="14.4" x14ac:dyDescent="0.3"/>
  <cols>
    <col min="2" max="2" width="14.88671875" style="11" customWidth="1"/>
    <col min="3" max="3" width="13.33203125" style="11" customWidth="1"/>
    <col min="4" max="4" width="18.33203125" style="165" customWidth="1"/>
    <col min="5" max="5" width="26.44140625" style="11" bestFit="1" customWidth="1"/>
    <col min="6" max="6" width="13.6640625" customWidth="1"/>
    <col min="7" max="35" width="10.109375" bestFit="1" customWidth="1"/>
    <col min="36" max="36" width="18.6640625" style="173" customWidth="1"/>
    <col min="37" max="66" width="10.109375" bestFit="1" customWidth="1"/>
    <col min="67" max="68" width="11.5546875" style="166" customWidth="1"/>
  </cols>
  <sheetData>
    <row r="2" spans="1:68" x14ac:dyDescent="0.3">
      <c r="B2" s="147">
        <f>Calculation!$B$2</f>
        <v>46023</v>
      </c>
      <c r="C2" s="143"/>
      <c r="D2" s="148"/>
      <c r="E2" s="143"/>
      <c r="F2" s="223" t="s">
        <v>2071</v>
      </c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3"/>
      <c r="AB2" s="223"/>
      <c r="AC2" s="223"/>
      <c r="AD2" s="223"/>
      <c r="AE2" s="223"/>
      <c r="AF2" s="223"/>
      <c r="AG2" s="223"/>
      <c r="AH2" s="223"/>
      <c r="AI2" s="223"/>
      <c r="AJ2" s="168" t="s">
        <v>2072</v>
      </c>
      <c r="AK2" s="223" t="s">
        <v>2073</v>
      </c>
      <c r="AL2" s="223"/>
      <c r="AM2" s="223"/>
      <c r="AN2" s="223"/>
      <c r="AO2" s="223"/>
      <c r="AP2" s="223"/>
      <c r="AQ2" s="223"/>
      <c r="AR2" s="223"/>
      <c r="AS2" s="223"/>
      <c r="AT2" s="223"/>
      <c r="AU2" s="223"/>
      <c r="AV2" s="223"/>
      <c r="AW2" s="223"/>
      <c r="AX2" s="223"/>
      <c r="AY2" s="223"/>
      <c r="AZ2" s="223"/>
      <c r="BA2" s="223"/>
      <c r="BB2" s="223"/>
      <c r="BC2" s="223"/>
      <c r="BD2" s="223"/>
      <c r="BE2" s="223"/>
      <c r="BF2" s="223"/>
      <c r="BG2" s="223"/>
      <c r="BH2" s="223"/>
      <c r="BI2" s="223"/>
      <c r="BJ2" s="223"/>
      <c r="BK2" s="223"/>
      <c r="BL2" s="223"/>
      <c r="BM2" s="223"/>
      <c r="BN2" s="223"/>
      <c r="BO2" s="149" t="s">
        <v>2074</v>
      </c>
      <c r="BP2" s="149" t="s">
        <v>2075</v>
      </c>
    </row>
    <row r="3" spans="1:68" x14ac:dyDescent="0.3">
      <c r="B3" s="143"/>
      <c r="C3" s="143"/>
      <c r="D3" s="148"/>
      <c r="E3" s="143"/>
      <c r="F3" s="150">
        <v>1</v>
      </c>
      <c r="G3" s="150">
        <v>2</v>
      </c>
      <c r="H3" s="150">
        <v>3</v>
      </c>
      <c r="I3" s="150">
        <v>4</v>
      </c>
      <c r="J3" s="150">
        <v>5</v>
      </c>
      <c r="K3" s="150">
        <v>6</v>
      </c>
      <c r="L3" s="150">
        <v>7</v>
      </c>
      <c r="M3" s="150">
        <v>8</v>
      </c>
      <c r="N3" s="150">
        <v>9</v>
      </c>
      <c r="O3" s="150">
        <v>10</v>
      </c>
      <c r="P3" s="150">
        <v>11</v>
      </c>
      <c r="Q3" s="150">
        <v>12</v>
      </c>
      <c r="R3" s="150">
        <v>13</v>
      </c>
      <c r="S3" s="150">
        <v>14</v>
      </c>
      <c r="T3" s="150">
        <v>15</v>
      </c>
      <c r="U3" s="150">
        <v>16</v>
      </c>
      <c r="V3" s="150">
        <v>17</v>
      </c>
      <c r="W3" s="150">
        <v>18</v>
      </c>
      <c r="X3" s="150">
        <v>19</v>
      </c>
      <c r="Y3" s="150">
        <v>20</v>
      </c>
      <c r="Z3" s="150">
        <v>21</v>
      </c>
      <c r="AA3" s="150">
        <v>22</v>
      </c>
      <c r="AB3" s="150">
        <v>23</v>
      </c>
      <c r="AC3" s="150">
        <v>24</v>
      </c>
      <c r="AD3" s="150">
        <v>25</v>
      </c>
      <c r="AE3" s="150">
        <v>26</v>
      </c>
      <c r="AF3" s="150">
        <v>27</v>
      </c>
      <c r="AG3" s="150">
        <v>28</v>
      </c>
      <c r="AH3" s="150">
        <v>29</v>
      </c>
      <c r="AI3" s="150">
        <v>30</v>
      </c>
      <c r="AJ3" s="169"/>
      <c r="AK3" s="150">
        <v>1</v>
      </c>
      <c r="AL3" s="150">
        <v>2</v>
      </c>
      <c r="AM3" s="150">
        <v>3</v>
      </c>
      <c r="AN3" s="150">
        <v>4</v>
      </c>
      <c r="AO3" s="150">
        <v>5</v>
      </c>
      <c r="AP3" s="150">
        <v>6</v>
      </c>
      <c r="AQ3" s="150">
        <v>7</v>
      </c>
      <c r="AR3" s="150">
        <v>8</v>
      </c>
      <c r="AS3" s="150">
        <v>9</v>
      </c>
      <c r="AT3" s="150">
        <v>10</v>
      </c>
      <c r="AU3" s="150">
        <v>11</v>
      </c>
      <c r="AV3" s="150">
        <v>12</v>
      </c>
      <c r="AW3" s="150">
        <v>13</v>
      </c>
      <c r="AX3" s="150">
        <v>14</v>
      </c>
      <c r="AY3" s="150">
        <v>15</v>
      </c>
      <c r="AZ3" s="150">
        <v>16</v>
      </c>
      <c r="BA3" s="150">
        <v>17</v>
      </c>
      <c r="BB3" s="150">
        <v>18</v>
      </c>
      <c r="BC3" s="150">
        <v>19</v>
      </c>
      <c r="BD3" s="150">
        <v>20</v>
      </c>
      <c r="BE3" s="150">
        <v>21</v>
      </c>
      <c r="BF3" s="150">
        <v>22</v>
      </c>
      <c r="BG3" s="150">
        <v>23</v>
      </c>
      <c r="BH3" s="150">
        <v>24</v>
      </c>
      <c r="BI3" s="150">
        <v>25</v>
      </c>
      <c r="BJ3" s="150">
        <v>26</v>
      </c>
      <c r="BK3" s="150">
        <v>27</v>
      </c>
      <c r="BL3" s="150">
        <v>28</v>
      </c>
      <c r="BM3" s="150">
        <v>29</v>
      </c>
      <c r="BN3" s="150">
        <v>30</v>
      </c>
      <c r="BO3" s="151"/>
      <c r="BP3" s="151"/>
    </row>
    <row r="4" spans="1:68" x14ac:dyDescent="0.3">
      <c r="A4" s="152" t="s">
        <v>1101</v>
      </c>
      <c r="B4" s="152" t="s">
        <v>1</v>
      </c>
      <c r="C4" s="152" t="s">
        <v>2060</v>
      </c>
      <c r="D4" s="153" t="s">
        <v>695</v>
      </c>
      <c r="E4" s="152" t="s">
        <v>2040</v>
      </c>
      <c r="F4" s="154">
        <f>Calculation!$B$2-31+Activity!F3</f>
        <v>45993</v>
      </c>
      <c r="G4" s="154">
        <f>Calculation!$B$2-31+Activity!G3</f>
        <v>45994</v>
      </c>
      <c r="H4" s="154">
        <f>Calculation!$B$2-31+Activity!H3</f>
        <v>45995</v>
      </c>
      <c r="I4" s="154">
        <f>Calculation!$B$2-31+Activity!I3</f>
        <v>45996</v>
      </c>
      <c r="J4" s="154">
        <f>Calculation!$B$2-31+Activity!J3</f>
        <v>45997</v>
      </c>
      <c r="K4" s="154">
        <f>Calculation!$B$2-31+Activity!K3</f>
        <v>45998</v>
      </c>
      <c r="L4" s="154">
        <f>Calculation!$B$2-31+Activity!L3</f>
        <v>45999</v>
      </c>
      <c r="M4" s="154">
        <f>Calculation!$B$2-31+Activity!M3</f>
        <v>46000</v>
      </c>
      <c r="N4" s="154">
        <f>Calculation!$B$2-31+Activity!N3</f>
        <v>46001</v>
      </c>
      <c r="O4" s="154">
        <f>Calculation!$B$2-31+Activity!O3</f>
        <v>46002</v>
      </c>
      <c r="P4" s="154">
        <f>Calculation!$B$2-31+Activity!P3</f>
        <v>46003</v>
      </c>
      <c r="Q4" s="154">
        <f>Calculation!$B$2-31+Activity!Q3</f>
        <v>46004</v>
      </c>
      <c r="R4" s="154">
        <f>Calculation!$B$2-31+Activity!R3</f>
        <v>46005</v>
      </c>
      <c r="S4" s="154">
        <f>Calculation!$B$2-31+Activity!S3</f>
        <v>46006</v>
      </c>
      <c r="T4" s="154">
        <f>Calculation!$B$2-31+Activity!T3</f>
        <v>46007</v>
      </c>
      <c r="U4" s="154">
        <f>Calculation!$B$2-31+Activity!U3</f>
        <v>46008</v>
      </c>
      <c r="V4" s="154">
        <f>Calculation!$B$2-31+Activity!V3</f>
        <v>46009</v>
      </c>
      <c r="W4" s="154">
        <f>Calculation!$B$2-31+Activity!W3</f>
        <v>46010</v>
      </c>
      <c r="X4" s="154">
        <f>Calculation!$B$2-31+Activity!X3</f>
        <v>46011</v>
      </c>
      <c r="Y4" s="154">
        <f>Calculation!$B$2-31+Activity!Y3</f>
        <v>46012</v>
      </c>
      <c r="Z4" s="154">
        <f>Calculation!$B$2-31+Activity!Z3</f>
        <v>46013</v>
      </c>
      <c r="AA4" s="154">
        <f>Calculation!$B$2-31+Activity!AA3</f>
        <v>46014</v>
      </c>
      <c r="AB4" s="154">
        <f>Calculation!$B$2-31+Activity!AB3</f>
        <v>46015</v>
      </c>
      <c r="AC4" s="154">
        <f>Calculation!$B$2-31+Activity!AC3</f>
        <v>46016</v>
      </c>
      <c r="AD4" s="154">
        <f>Calculation!$B$2-31+Activity!AD3</f>
        <v>46017</v>
      </c>
      <c r="AE4" s="154">
        <f>Calculation!$B$2-31+Activity!AE3</f>
        <v>46018</v>
      </c>
      <c r="AF4" s="154">
        <f>Calculation!$B$2-31+Activity!AF3</f>
        <v>46019</v>
      </c>
      <c r="AG4" s="154">
        <f>Calculation!$B$2-31+Activity!AG3</f>
        <v>46020</v>
      </c>
      <c r="AH4" s="154">
        <f>Calculation!$B$2-31+Activity!AH3</f>
        <v>46021</v>
      </c>
      <c r="AI4" s="154">
        <f>Calculation!$B$2-31+Activity!AI3</f>
        <v>46022</v>
      </c>
      <c r="AJ4" s="170"/>
      <c r="AK4" s="154">
        <f>Calculation!$B$2-31+AK3</f>
        <v>45993</v>
      </c>
      <c r="AL4" s="154">
        <f>Calculation!$B$2-31+AL3</f>
        <v>45994</v>
      </c>
      <c r="AM4" s="154">
        <f>Calculation!$B$2-31+AM3</f>
        <v>45995</v>
      </c>
      <c r="AN4" s="154">
        <f>Calculation!$B$2-31+AN3</f>
        <v>45996</v>
      </c>
      <c r="AO4" s="154">
        <f>Calculation!$B$2-31+AO3</f>
        <v>45997</v>
      </c>
      <c r="AP4" s="154">
        <f>Calculation!$B$2-31+AP3</f>
        <v>45998</v>
      </c>
      <c r="AQ4" s="154">
        <f>Calculation!$B$2-31+AQ3</f>
        <v>45999</v>
      </c>
      <c r="AR4" s="154">
        <f>Calculation!$B$2-31+AR3</f>
        <v>46000</v>
      </c>
      <c r="AS4" s="154">
        <f>Calculation!$B$2-31+AS3</f>
        <v>46001</v>
      </c>
      <c r="AT4" s="154">
        <f>Calculation!$B$2-31+AT3</f>
        <v>46002</v>
      </c>
      <c r="AU4" s="154">
        <f>Calculation!$B$2-31+AU3</f>
        <v>46003</v>
      </c>
      <c r="AV4" s="154">
        <f>Calculation!$B$2-31+AV3</f>
        <v>46004</v>
      </c>
      <c r="AW4" s="154">
        <f>Calculation!$B$2-31+AW3</f>
        <v>46005</v>
      </c>
      <c r="AX4" s="154">
        <f>Calculation!$B$2-31+AX3</f>
        <v>46006</v>
      </c>
      <c r="AY4" s="154">
        <f>Calculation!$B$2-31+AY3</f>
        <v>46007</v>
      </c>
      <c r="AZ4" s="154">
        <f>Calculation!$B$2-31+AZ3</f>
        <v>46008</v>
      </c>
      <c r="BA4" s="154">
        <f>Calculation!$B$2-31+BA3</f>
        <v>46009</v>
      </c>
      <c r="BB4" s="154">
        <f>Calculation!$B$2-31+BB3</f>
        <v>46010</v>
      </c>
      <c r="BC4" s="154">
        <f>Calculation!$B$2-31+BC3</f>
        <v>46011</v>
      </c>
      <c r="BD4" s="154">
        <f>Calculation!$B$2-31+BD3</f>
        <v>46012</v>
      </c>
      <c r="BE4" s="154">
        <f>Calculation!$B$2-31+BE3</f>
        <v>46013</v>
      </c>
      <c r="BF4" s="154">
        <f>Calculation!$B$2-31+BF3</f>
        <v>46014</v>
      </c>
      <c r="BG4" s="154">
        <f>Calculation!$B$2-31+BG3</f>
        <v>46015</v>
      </c>
      <c r="BH4" s="154">
        <f>Calculation!$B$2-31+BH3</f>
        <v>46016</v>
      </c>
      <c r="BI4" s="154">
        <f>Calculation!$B$2-31+BI3</f>
        <v>46017</v>
      </c>
      <c r="BJ4" s="154">
        <f>Calculation!$B$2-31+BJ3</f>
        <v>46018</v>
      </c>
      <c r="BK4" s="154">
        <f>Calculation!$B$2-31+BK3</f>
        <v>46019</v>
      </c>
      <c r="BL4" s="154">
        <f>Calculation!$B$2-31+BL3</f>
        <v>46020</v>
      </c>
      <c r="BM4" s="154">
        <f>Calculation!$B$2-31+BM3</f>
        <v>46021</v>
      </c>
      <c r="BN4" s="154">
        <f>Calculation!$B$2-31+BN3</f>
        <v>46022</v>
      </c>
      <c r="BO4" s="155"/>
      <c r="BP4" s="155"/>
    </row>
    <row r="5" spans="1:68" x14ac:dyDescent="0.3">
      <c r="A5" s="18">
        <v>1</v>
      </c>
      <c r="B5" s="143" t="str">
        <f>Calculation!$B$1</f>
        <v>RU000A1057D4</v>
      </c>
      <c r="C5" s="143" t="str">
        <f>IF($B5 = 0,"",_xll.CbondsCurrency(B5))</f>
        <v>CNY</v>
      </c>
      <c r="D5" s="148">
        <f>IF($B5 = 0,"",_xll.ReferenceParams(B5,"SumMarketVal"))</f>
        <v>1000000000</v>
      </c>
      <c r="E5" s="143" t="s">
        <v>2076</v>
      </c>
      <c r="F5" s="23">
        <f>IF($B5 = 0,"",IF(_xll.CbondsTradingVolume($B5,F$4,VLOOKUP($E5,'Help Page'!$L:$P,3,0))="Нет данных",0,_xll.CbondsTradingVolume($B5,F$4,VLOOKUP($E5,'Help Page'!$L:$P,3,0))))</f>
        <v>327798.24</v>
      </c>
      <c r="G5" s="23">
        <f>IF($B5 = 0,"",IF(_xll.CbondsTradingVolume($B5,G$4,VLOOKUP($E5,'Help Page'!$L:$P,3,0))="Нет данных",0,_xll.CbondsTradingVolume($B5,G$4,VLOOKUP($E5,'Help Page'!$L:$P,3,0))))</f>
        <v>668399.38</v>
      </c>
      <c r="H5" s="23">
        <f>IF($B5 = 0,"",IF(_xll.CbondsTradingVolume($B5,H$4,VLOOKUP($E5,'Help Page'!$L:$P,3,0))="Нет данных",0,_xll.CbondsTradingVolume($B5,H$4,VLOOKUP($E5,'Help Page'!$L:$P,3,0))))</f>
        <v>207984.02</v>
      </c>
      <c r="I5" s="23">
        <f>IF($B5 = 0,"",IF(_xll.CbondsTradingVolume($B5,I$4,VLOOKUP($E5,'Help Page'!$L:$P,3,0))="Нет данных",0,_xll.CbondsTradingVolume($B5,I$4,VLOOKUP($E5,'Help Page'!$L:$P,3,0))))</f>
        <v>101176.85</v>
      </c>
      <c r="J5" s="23">
        <f>IF($B5 = 0,"",IF(_xll.CbondsTradingVolume($B5,J$4,VLOOKUP($E5,'Help Page'!$L:$P,3,0))="Нет данных",0,_xll.CbondsTradingVolume($B5,J$4,VLOOKUP($E5,'Help Page'!$L:$P,3,0))))</f>
        <v>0</v>
      </c>
      <c r="K5" s="23">
        <f>IF($B5 = 0,"",IF(_xll.CbondsTradingVolume($B5,K$4,VLOOKUP($E5,'Help Page'!$L:$P,3,0))="Нет данных",0,_xll.CbondsTradingVolume($B5,K$4,VLOOKUP($E5,'Help Page'!$L:$P,3,0))))</f>
        <v>0</v>
      </c>
      <c r="L5" s="23">
        <f>IF($B5 = 0,"",IF(_xll.CbondsTradingVolume($B5,L$4,VLOOKUP($E5,'Help Page'!$L:$P,3,0))="Нет данных",0,_xll.CbondsTradingVolume($B5,L$4,VLOOKUP($E5,'Help Page'!$L:$P,3,0))))</f>
        <v>368406.99</v>
      </c>
      <c r="M5" s="23">
        <f>IF($B5 = 0,"",IF(_xll.CbondsTradingVolume($B5,M$4,VLOOKUP($E5,'Help Page'!$L:$P,3,0))="Нет данных",0,_xll.CbondsTradingVolume($B5,M$4,VLOOKUP($E5,'Help Page'!$L:$P,3,0))))</f>
        <v>248462.21</v>
      </c>
      <c r="N5" s="23">
        <f>IF($B5 = 0,"",IF(_xll.CbondsTradingVolume($B5,N$4,VLOOKUP($E5,'Help Page'!$L:$P,3,0))="Нет данных",0,_xll.CbondsTradingVolume($B5,N$4,VLOOKUP($E5,'Help Page'!$L:$P,3,0))))</f>
        <v>598963.48</v>
      </c>
      <c r="O5" s="23">
        <f>IF($B5 = 0,"",IF(_xll.CbondsTradingVolume($B5,O$4,VLOOKUP($E5,'Help Page'!$L:$P,3,0))="Нет данных",0,_xll.CbondsTradingVolume($B5,O$4,VLOOKUP($E5,'Help Page'!$L:$P,3,0))))</f>
        <v>4904928.7699999996</v>
      </c>
      <c r="P5" s="23">
        <f>IF($B5 = 0,"",IF(_xll.CbondsTradingVolume($B5,P$4,VLOOKUP($E5,'Help Page'!$L:$P,3,0))="Нет данных",0,_xll.CbondsTradingVolume($B5,P$4,VLOOKUP($E5,'Help Page'!$L:$P,3,0))))</f>
        <v>294313.37</v>
      </c>
      <c r="Q5" s="23">
        <f>IF($B5 = 0,"",IF(_xll.CbondsTradingVolume($B5,Q$4,VLOOKUP($E5,'Help Page'!$L:$P,3,0))="Нет данных",0,_xll.CbondsTradingVolume($B5,Q$4,VLOOKUP($E5,'Help Page'!$L:$P,3,0))))</f>
        <v>0</v>
      </c>
      <c r="R5" s="23">
        <f>IF($B5 = 0,"",IF(_xll.CbondsTradingVolume($B5,R$4,VLOOKUP($E5,'Help Page'!$L:$P,3,0))="Нет данных",0,_xll.CbondsTradingVolume($B5,R$4,VLOOKUP($E5,'Help Page'!$L:$P,3,0))))</f>
        <v>0</v>
      </c>
      <c r="S5" s="23">
        <f>IF($B5 = 0,"",IF(_xll.CbondsTradingVolume($B5,S$4,VLOOKUP($E5,'Help Page'!$L:$P,3,0))="Нет данных",0,_xll.CbondsTradingVolume($B5,S$4,VLOOKUP($E5,'Help Page'!$L:$P,3,0))))</f>
        <v>4993761.84</v>
      </c>
      <c r="T5" s="23">
        <f>IF($B5 = 0,"",IF(_xll.CbondsTradingVolume($B5,T$4,VLOOKUP($E5,'Help Page'!$L:$P,3,0))="Нет данных",0,_xll.CbondsTradingVolume($B5,T$4,VLOOKUP($E5,'Help Page'!$L:$P,3,0))))</f>
        <v>111114.67</v>
      </c>
      <c r="U5" s="23">
        <f>IF($B5 = 0,"",IF(_xll.CbondsTradingVolume($B5,U$4,VLOOKUP($E5,'Help Page'!$L:$P,3,0))="Нет данных",0,_xll.CbondsTradingVolume($B5,U$4,VLOOKUP($E5,'Help Page'!$L:$P,3,0))))</f>
        <v>93733.32</v>
      </c>
      <c r="V5" s="23">
        <f>IF($B5 = 0,"",IF(_xll.CbondsTradingVolume($B5,V$4,VLOOKUP($E5,'Help Page'!$L:$P,3,0))="Нет данных",0,_xll.CbondsTradingVolume($B5,V$4,VLOOKUP($E5,'Help Page'!$L:$P,3,0))))</f>
        <v>360407.43</v>
      </c>
      <c r="W5" s="23">
        <f>IF($B5 = 0,"",IF(_xll.CbondsTradingVolume($B5,W$4,VLOOKUP($E5,'Help Page'!$L:$P,3,0))="Нет данных",0,_xll.CbondsTradingVolume($B5,W$4,VLOOKUP($E5,'Help Page'!$L:$P,3,0))))</f>
        <v>134401.24</v>
      </c>
      <c r="X5" s="23">
        <f>IF($B5 = 0,"",IF(_xll.CbondsTradingVolume($B5,X$4,VLOOKUP($E5,'Help Page'!$L:$P,3,0))="Нет данных",0,_xll.CbondsTradingVolume($B5,X$4,VLOOKUP($E5,'Help Page'!$L:$P,3,0))))</f>
        <v>0</v>
      </c>
      <c r="Y5" s="23">
        <f>IF($B5 = 0,"",IF(_xll.CbondsTradingVolume($B5,Y$4,VLOOKUP($E5,'Help Page'!$L:$P,3,0))="Нет данных",0,_xll.CbondsTradingVolume($B5,Y$4,VLOOKUP($E5,'Help Page'!$L:$P,3,0))))</f>
        <v>0</v>
      </c>
      <c r="Z5" s="23">
        <f>IF($B5 = 0,"",IF(_xll.CbondsTradingVolume($B5,Z$4,VLOOKUP($E5,'Help Page'!$L:$P,3,0))="Нет данных",0,_xll.CbondsTradingVolume($B5,Z$4,VLOOKUP($E5,'Help Page'!$L:$P,3,0))))</f>
        <v>181416.29</v>
      </c>
      <c r="AA5" s="23">
        <f>IF($B5 = 0,"",IF(_xll.CbondsTradingVolume($B5,AA$4,VLOOKUP($E5,'Help Page'!$L:$P,3,0))="Нет данных",0,_xll.CbondsTradingVolume($B5,AA$4,VLOOKUP($E5,'Help Page'!$L:$P,3,0))))</f>
        <v>162428.71</v>
      </c>
      <c r="AB5" s="23">
        <f>IF($B5 = 0,"",IF(_xll.CbondsTradingVolume($B5,AB$4,VLOOKUP($E5,'Help Page'!$L:$P,3,0))="Нет данных",0,_xll.CbondsTradingVolume($B5,AB$4,VLOOKUP($E5,'Help Page'!$L:$P,3,0))))</f>
        <v>132399.49</v>
      </c>
      <c r="AC5" s="23">
        <f>IF($B5 = 0,"",IF(_xll.CbondsTradingVolume($B5,AC$4,VLOOKUP($E5,'Help Page'!$L:$P,3,0))="Нет данных",0,_xll.CbondsTradingVolume($B5,AC$4,VLOOKUP($E5,'Help Page'!$L:$P,3,0))))</f>
        <v>423045.84</v>
      </c>
      <c r="AD5" s="23">
        <f>IF($B5 = 0,"",IF(_xll.CbondsTradingVolume($B5,AD$4,VLOOKUP($E5,'Help Page'!$L:$P,3,0))="Нет данных",0,_xll.CbondsTradingVolume($B5,AD$4,VLOOKUP($E5,'Help Page'!$L:$P,3,0))))</f>
        <v>129282.41</v>
      </c>
      <c r="AE5" s="23">
        <f>IF($B5 = 0,"",IF(_xll.CbondsTradingVolume($B5,AE$4,VLOOKUP($E5,'Help Page'!$L:$P,3,0))="Нет данных",0,_xll.CbondsTradingVolume($B5,AE$4,VLOOKUP($E5,'Help Page'!$L:$P,3,0))))</f>
        <v>0</v>
      </c>
      <c r="AF5" s="23">
        <f>IF($B5 = 0,"",IF(_xll.CbondsTradingVolume($B5,AF$4,VLOOKUP($E5,'Help Page'!$L:$P,3,0))="Нет данных",0,_xll.CbondsTradingVolume($B5,AF$4,VLOOKUP($E5,'Help Page'!$L:$P,3,0))))</f>
        <v>0</v>
      </c>
      <c r="AG5" s="23">
        <f>IF($B5 = 0,"",IF(_xll.CbondsTradingVolume($B5,AG$4,VLOOKUP($E5,'Help Page'!$L:$P,3,0))="Нет данных",0,_xll.CbondsTradingVolume($B5,AG$4,VLOOKUP($E5,'Help Page'!$L:$P,3,0))))</f>
        <v>113818.21</v>
      </c>
      <c r="AH5" s="23">
        <f>IF($B5 = 0,"",IF(_xll.CbondsTradingVolume($B5,AH$4,VLOOKUP($E5,'Help Page'!$L:$P,3,0))="Нет данных",0,_xll.CbondsTradingVolume($B5,AH$4,VLOOKUP($E5,'Help Page'!$L:$P,3,0))))</f>
        <v>402606.92</v>
      </c>
      <c r="AI5" s="23">
        <f>IF($B5 = 0,"",IF(_xll.CbondsTradingVolume($B5,AI$4,VLOOKUP($E5,'Help Page'!$L:$P,3,0))="Нет данных",0,_xll.CbondsTradingVolume($B5,AI$4,VLOOKUP($E5,'Help Page'!$L:$P,3,0))))</f>
        <v>0</v>
      </c>
      <c r="AJ5" s="171">
        <f>SUM(F5:AI5)*VLOOKUP($E5,'Help Page'!$L:$P,5,0)</f>
        <v>165296784.848968</v>
      </c>
      <c r="AK5" s="157">
        <f>IF($B5 = 0,"",IF(_xll.CbondsDealsNumber($B5,AK$4,VLOOKUP($E5,'Help Page'!$L:$P,3,0))="Нет данных",0,_xll.CbondsDealsNumber($B5,AK$4,VLOOKUP($E5,'Help Page'!$L:$P,3,0))))</f>
        <v>131</v>
      </c>
      <c r="AL5" s="157">
        <f>IF($B5 = 0,"",IF(_xll.CbondsDealsNumber($B5,AL$4,VLOOKUP($E5,'Help Page'!$L:$P,3,0))="Нет данных",0,_xll.CbondsDealsNumber($B5,AL$4,VLOOKUP($E5,'Help Page'!$L:$P,3,0))))</f>
        <v>68</v>
      </c>
      <c r="AM5" s="157">
        <f>IF($B5 = 0,"",IF(_xll.CbondsDealsNumber($B5,AM$4,VLOOKUP($E5,'Help Page'!$L:$P,3,0))="Нет данных",0,_xll.CbondsDealsNumber($B5,AM$4,VLOOKUP($E5,'Help Page'!$L:$P,3,0))))</f>
        <v>42</v>
      </c>
      <c r="AN5" s="157">
        <f>IF($B5 = 0,"",IF(_xll.CbondsDealsNumber($B5,AN$4,VLOOKUP($E5,'Help Page'!$L:$P,3,0))="Нет данных",0,_xll.CbondsDealsNumber($B5,AN$4,VLOOKUP($E5,'Help Page'!$L:$P,3,0))))</f>
        <v>60</v>
      </c>
      <c r="AO5" s="157">
        <f>IF($B5 = 0,"",IF(_xll.CbondsDealsNumber($B5,AO$4,VLOOKUP($E5,'Help Page'!$L:$P,3,0))="Нет данных",0,_xll.CbondsDealsNumber($B5,AO$4,VLOOKUP($E5,'Help Page'!$L:$P,3,0))))</f>
        <v>0</v>
      </c>
      <c r="AP5" s="157">
        <f>IF($B5 = 0,"",IF(_xll.CbondsDealsNumber($B5,AP$4,VLOOKUP($E5,'Help Page'!$L:$P,3,0))="Нет данных",0,_xll.CbondsDealsNumber($B5,AP$4,VLOOKUP($E5,'Help Page'!$L:$P,3,0))))</f>
        <v>0</v>
      </c>
      <c r="AQ5" s="157">
        <f>IF($B5 = 0,"",IF(_xll.CbondsDealsNumber($B5,AQ$4,VLOOKUP($E5,'Help Page'!$L:$P,3,0))="Нет данных",0,_xll.CbondsDealsNumber($B5,AQ$4,VLOOKUP($E5,'Help Page'!$L:$P,3,0))))</f>
        <v>46</v>
      </c>
      <c r="AR5" s="157">
        <f>IF($B5 = 0,"",IF(_xll.CbondsDealsNumber($B5,AR$4,VLOOKUP($E5,'Help Page'!$L:$P,3,0))="Нет данных",0,_xll.CbondsDealsNumber($B5,AR$4,VLOOKUP($E5,'Help Page'!$L:$P,3,0))))</f>
        <v>100</v>
      </c>
      <c r="AS5" s="157">
        <f>IF($B5 = 0,"",IF(_xll.CbondsDealsNumber($B5,AS$4,VLOOKUP($E5,'Help Page'!$L:$P,3,0))="Нет данных",0,_xll.CbondsDealsNumber($B5,AS$4,VLOOKUP($E5,'Help Page'!$L:$P,3,0))))</f>
        <v>133</v>
      </c>
      <c r="AT5" s="157">
        <f>IF($B5 = 0,"",IF(_xll.CbondsDealsNumber($B5,AT$4,VLOOKUP($E5,'Help Page'!$L:$P,3,0))="Нет данных",0,_xll.CbondsDealsNumber($B5,AT$4,VLOOKUP($E5,'Help Page'!$L:$P,3,0))))</f>
        <v>105</v>
      </c>
      <c r="AU5" s="157">
        <f>IF($B5 = 0,"",IF(_xll.CbondsDealsNumber($B5,AU$4,VLOOKUP($E5,'Help Page'!$L:$P,3,0))="Нет данных",0,_xll.CbondsDealsNumber($B5,AU$4,VLOOKUP($E5,'Help Page'!$L:$P,3,0))))</f>
        <v>97</v>
      </c>
      <c r="AV5" s="157">
        <f>IF($B5 = 0,"",IF(_xll.CbondsDealsNumber($B5,AV$4,VLOOKUP($E5,'Help Page'!$L:$P,3,0))="Нет данных",0,_xll.CbondsDealsNumber($B5,AV$4,VLOOKUP($E5,'Help Page'!$L:$P,3,0))))</f>
        <v>0</v>
      </c>
      <c r="AW5" s="157">
        <f>IF($B5 = 0,"",IF(_xll.CbondsDealsNumber($B5,AW$4,VLOOKUP($E5,'Help Page'!$L:$P,3,0))="Нет данных",0,_xll.CbondsDealsNumber($B5,AW$4,VLOOKUP($E5,'Help Page'!$L:$P,3,0))))</f>
        <v>0</v>
      </c>
      <c r="AX5" s="157">
        <f>IF($B5 = 0,"",IF(_xll.CbondsDealsNumber($B5,AX$4,VLOOKUP($E5,'Help Page'!$L:$P,3,0))="Нет данных",0,_xll.CbondsDealsNumber($B5,AX$4,VLOOKUP($E5,'Help Page'!$L:$P,3,0))))</f>
        <v>116</v>
      </c>
      <c r="AY5" s="157">
        <f>IF($B5 = 0,"",IF(_xll.CbondsDealsNumber($B5,AY$4,VLOOKUP($E5,'Help Page'!$L:$P,3,0))="Нет данных",0,_xll.CbondsDealsNumber($B5,AY$4,VLOOKUP($E5,'Help Page'!$L:$P,3,0))))</f>
        <v>46</v>
      </c>
      <c r="AZ5" s="157">
        <f>IF($B5 = 0,"",IF(_xll.CbondsDealsNumber($B5,AZ$4,VLOOKUP($E5,'Help Page'!$L:$P,3,0))="Нет данных",0,_xll.CbondsDealsNumber($B5,AZ$4,VLOOKUP($E5,'Help Page'!$L:$P,3,0))))</f>
        <v>64</v>
      </c>
      <c r="BA5" s="157">
        <f>IF($B5 = 0,"",IF(_xll.CbondsDealsNumber($B5,BA$4,VLOOKUP($E5,'Help Page'!$L:$P,3,0))="Нет данных",0,_xll.CbondsDealsNumber($B5,BA$4,VLOOKUP($E5,'Help Page'!$L:$P,3,0))))</f>
        <v>109</v>
      </c>
      <c r="BB5" s="157">
        <f>IF($B5 = 0,"",IF(_xll.CbondsDealsNumber($B5,BB$4,VLOOKUP($E5,'Help Page'!$L:$P,3,0))="Нет данных",0,_xll.CbondsDealsNumber($B5,BB$4,VLOOKUP($E5,'Help Page'!$L:$P,3,0))))</f>
        <v>67</v>
      </c>
      <c r="BC5" s="157">
        <f>IF($B5 = 0,"",IF(_xll.CbondsDealsNumber($B5,BC$4,VLOOKUP($E5,'Help Page'!$L:$P,3,0))="Нет данных",0,_xll.CbondsDealsNumber($B5,BC$4,VLOOKUP($E5,'Help Page'!$L:$P,3,0))))</f>
        <v>0</v>
      </c>
      <c r="BD5" s="157">
        <f>IF($B5 = 0,"",IF(_xll.CbondsDealsNumber($B5,BD$4,VLOOKUP($E5,'Help Page'!$L:$P,3,0))="Нет данных",0,_xll.CbondsDealsNumber($B5,BD$4,VLOOKUP($E5,'Help Page'!$L:$P,3,0))))</f>
        <v>0</v>
      </c>
      <c r="BE5" s="157">
        <f>IF($B5 = 0,"",IF(_xll.CbondsDealsNumber($B5,BE$4,VLOOKUP($E5,'Help Page'!$L:$P,3,0))="Нет данных",0,_xll.CbondsDealsNumber($B5,BE$4,VLOOKUP($E5,'Help Page'!$L:$P,3,0))))</f>
        <v>66</v>
      </c>
      <c r="BF5" s="157">
        <f>IF($B5 = 0,"",IF(_xll.CbondsDealsNumber($B5,BF$4,VLOOKUP($E5,'Help Page'!$L:$P,3,0))="Нет данных",0,_xll.CbondsDealsNumber($B5,BF$4,VLOOKUP($E5,'Help Page'!$L:$P,3,0))))</f>
        <v>38</v>
      </c>
      <c r="BG5" s="157">
        <f>IF($B5 = 0,"",IF(_xll.CbondsDealsNumber($B5,BG$4,VLOOKUP($E5,'Help Page'!$L:$P,3,0))="Нет данных",0,_xll.CbondsDealsNumber($B5,BG$4,VLOOKUP($E5,'Help Page'!$L:$P,3,0))))</f>
        <v>63</v>
      </c>
      <c r="BH5" s="157">
        <f>IF($B5 = 0,"",IF(_xll.CbondsDealsNumber($B5,BH$4,VLOOKUP($E5,'Help Page'!$L:$P,3,0))="Нет данных",0,_xll.CbondsDealsNumber($B5,BH$4,VLOOKUP($E5,'Help Page'!$L:$P,3,0))))</f>
        <v>62</v>
      </c>
      <c r="BI5" s="157">
        <f>IF($B5 = 0,"",IF(_xll.CbondsDealsNumber($B5,BI$4,VLOOKUP($E5,'Help Page'!$L:$P,3,0))="Нет данных",0,_xll.CbondsDealsNumber($B5,BI$4,VLOOKUP($E5,'Help Page'!$L:$P,3,0))))</f>
        <v>45</v>
      </c>
      <c r="BJ5" s="157">
        <f>IF($B5 = 0,"",IF(_xll.CbondsDealsNumber($B5,BJ$4,VLOOKUP($E5,'Help Page'!$L:$P,3,0))="Нет данных",0,_xll.CbondsDealsNumber($B5,BJ$4,VLOOKUP($E5,'Help Page'!$L:$P,3,0))))</f>
        <v>0</v>
      </c>
      <c r="BK5" s="157">
        <f>IF($B5 = 0,"",IF(_xll.CbondsDealsNumber($B5,BK$4,VLOOKUP($E5,'Help Page'!$L:$P,3,0))="Нет данных",0,_xll.CbondsDealsNumber($B5,BK$4,VLOOKUP($E5,'Help Page'!$L:$P,3,0))))</f>
        <v>0</v>
      </c>
      <c r="BL5" s="157">
        <f>IF($B5 = 0,"",IF(_xll.CbondsDealsNumber($B5,BL$4,VLOOKUP($E5,'Help Page'!$L:$P,3,0))="Нет данных",0,_xll.CbondsDealsNumber($B5,BL$4,VLOOKUP($E5,'Help Page'!$L:$P,3,0))))</f>
        <v>74</v>
      </c>
      <c r="BM5" s="157">
        <f>IF($B5 = 0,"",IF(_xll.CbondsDealsNumber($B5,BM$4,VLOOKUP($E5,'Help Page'!$L:$P,3,0))="Нет данных",0,_xll.CbondsDealsNumber($B5,BM$4,VLOOKUP($E5,'Help Page'!$L:$P,3,0))))</f>
        <v>56</v>
      </c>
      <c r="BN5" s="157">
        <f>IF($B5 = 0,"",IF(_xll.CbondsDealsNumber($B5,BN$4,VLOOKUP($E5,'Help Page'!$L:$P,3,0))="Нет данных",0,_xll.CbondsDealsNumber($B5,BN$4,VLOOKUP($E5,'Help Page'!$L:$P,3,0))))</f>
        <v>0</v>
      </c>
      <c r="BO5" s="156">
        <f>SUM(AK5:BN5)</f>
        <v>1588</v>
      </c>
      <c r="BP5" s="156">
        <f>COUNTIF(AK5:BN5, "&gt;0")</f>
        <v>21</v>
      </c>
    </row>
    <row r="6" spans="1:68" x14ac:dyDescent="0.3">
      <c r="A6" s="18">
        <v>1</v>
      </c>
      <c r="B6" s="143" t="str">
        <f>Calculation!$B$1</f>
        <v>RU000A1057D4</v>
      </c>
      <c r="C6" s="143" t="str">
        <f>IF($B6 = 0,"",_xll.CbondsCurrency(B6))</f>
        <v>CNY</v>
      </c>
      <c r="D6" s="148">
        <f>IF($B6 = 0,"",_xll.ReferenceParams(B6,"SumMarketVal"))</f>
        <v>1000000000</v>
      </c>
      <c r="E6" s="143" t="s">
        <v>2077</v>
      </c>
      <c r="F6" s="23">
        <f>IF($B6 = 0,"",IF(_xll.CbondsTradingVolume($B6,F$4,VLOOKUP($E6,'Help Page'!$L:$P,3,0))="Нет данных",0,_xll.CbondsTradingVolume($B6,F$4,VLOOKUP($E6,'Help Page'!$L:$P,3,0))))</f>
        <v>0</v>
      </c>
      <c r="G6" s="23">
        <f>IF($B6 = 0,"",IF(_xll.CbondsTradingVolume($B6,G$4,VLOOKUP($E6,'Help Page'!$L:$P,3,0))="Нет данных",0,_xll.CbondsTradingVolume($B6,G$4,VLOOKUP($E6,'Help Page'!$L:$P,3,0))))</f>
        <v>0</v>
      </c>
      <c r="H6" s="23">
        <f>IF($B6 = 0,"",IF(_xll.CbondsTradingVolume($B6,H$4,VLOOKUP($E6,'Help Page'!$L:$P,3,0))="Нет данных",0,_xll.CbondsTradingVolume($B6,H$4,VLOOKUP($E6,'Help Page'!$L:$P,3,0))))</f>
        <v>0</v>
      </c>
      <c r="I6" s="23">
        <f>IF($B6 = 0,"",IF(_xll.CbondsTradingVolume($B6,I$4,VLOOKUP($E6,'Help Page'!$L:$P,3,0))="Нет данных",0,_xll.CbondsTradingVolume($B6,I$4,VLOOKUP($E6,'Help Page'!$L:$P,3,0))))</f>
        <v>0</v>
      </c>
      <c r="J6" s="23">
        <f>IF($B6 = 0,"",IF(_xll.CbondsTradingVolume($B6,J$4,VLOOKUP($E6,'Help Page'!$L:$P,3,0))="Нет данных",0,_xll.CbondsTradingVolume($B6,J$4,VLOOKUP($E6,'Help Page'!$L:$P,3,0))))</f>
        <v>0</v>
      </c>
      <c r="K6" s="23">
        <f>IF($B6 = 0,"",IF(_xll.CbondsTradingVolume($B6,K$4,VLOOKUP($E6,'Help Page'!$L:$P,3,0))="Нет данных",0,_xll.CbondsTradingVolume($B6,K$4,VLOOKUP($E6,'Help Page'!$L:$P,3,0))))</f>
        <v>0</v>
      </c>
      <c r="L6" s="23">
        <f>IF($B6 = 0,"",IF(_xll.CbondsTradingVolume($B6,L$4,VLOOKUP($E6,'Help Page'!$L:$P,3,0))="Нет данных",0,_xll.CbondsTradingVolume($B6,L$4,VLOOKUP($E6,'Help Page'!$L:$P,3,0))))</f>
        <v>0</v>
      </c>
      <c r="M6" s="23">
        <f>IF($B6 = 0,"",IF(_xll.CbondsTradingVolume($B6,M$4,VLOOKUP($E6,'Help Page'!$L:$P,3,0))="Нет данных",0,_xll.CbondsTradingVolume($B6,M$4,VLOOKUP($E6,'Help Page'!$L:$P,3,0))))</f>
        <v>0</v>
      </c>
      <c r="N6" s="23">
        <f>IF($B6 = 0,"",IF(_xll.CbondsTradingVolume($B6,N$4,VLOOKUP($E6,'Help Page'!$L:$P,3,0))="Нет данных",0,_xll.CbondsTradingVolume($B6,N$4,VLOOKUP($E6,'Help Page'!$L:$P,3,0))))</f>
        <v>0</v>
      </c>
      <c r="O6" s="23">
        <f>IF($B6 = 0,"",IF(_xll.CbondsTradingVolume($B6,O$4,VLOOKUP($E6,'Help Page'!$L:$P,3,0))="Нет данных",0,_xll.CbondsTradingVolume($B6,O$4,VLOOKUP($E6,'Help Page'!$L:$P,3,0))))</f>
        <v>0</v>
      </c>
      <c r="P6" s="23">
        <f>IF($B6 = 0,"",IF(_xll.CbondsTradingVolume($B6,P$4,VLOOKUP($E6,'Help Page'!$L:$P,3,0))="Нет данных",0,_xll.CbondsTradingVolume($B6,P$4,VLOOKUP($E6,'Help Page'!$L:$P,3,0))))</f>
        <v>0</v>
      </c>
      <c r="Q6" s="23">
        <f>IF($B6 = 0,"",IF(_xll.CbondsTradingVolume($B6,Q$4,VLOOKUP($E6,'Help Page'!$L:$P,3,0))="Нет данных",0,_xll.CbondsTradingVolume($B6,Q$4,VLOOKUP($E6,'Help Page'!$L:$P,3,0))))</f>
        <v>0</v>
      </c>
      <c r="R6" s="23">
        <f>IF($B6 = 0,"",IF(_xll.CbondsTradingVolume($B6,R$4,VLOOKUP($E6,'Help Page'!$L:$P,3,0))="Нет данных",0,_xll.CbondsTradingVolume($B6,R$4,VLOOKUP($E6,'Help Page'!$L:$P,3,0))))</f>
        <v>0</v>
      </c>
      <c r="S6" s="23">
        <f>IF($B6 = 0,"",IF(_xll.CbondsTradingVolume($B6,S$4,VLOOKUP($E6,'Help Page'!$L:$P,3,0))="Нет данных",0,_xll.CbondsTradingVolume($B6,S$4,VLOOKUP($E6,'Help Page'!$L:$P,3,0))))</f>
        <v>0</v>
      </c>
      <c r="T6" s="23">
        <f>IF($B6 = 0,"",IF(_xll.CbondsTradingVolume($B6,T$4,VLOOKUP($E6,'Help Page'!$L:$P,3,0))="Нет данных",0,_xll.CbondsTradingVolume($B6,T$4,VLOOKUP($E6,'Help Page'!$L:$P,3,0))))</f>
        <v>0</v>
      </c>
      <c r="U6" s="23">
        <f>IF($B6 = 0,"",IF(_xll.CbondsTradingVolume($B6,U$4,VLOOKUP($E6,'Help Page'!$L:$P,3,0))="Нет данных",0,_xll.CbondsTradingVolume($B6,U$4,VLOOKUP($E6,'Help Page'!$L:$P,3,0))))</f>
        <v>0</v>
      </c>
      <c r="V6" s="23">
        <f>IF($B6 = 0,"",IF(_xll.CbondsTradingVolume($B6,V$4,VLOOKUP($E6,'Help Page'!$L:$P,3,0))="Нет данных",0,_xll.CbondsTradingVolume($B6,V$4,VLOOKUP($E6,'Help Page'!$L:$P,3,0))))</f>
        <v>0</v>
      </c>
      <c r="W6" s="23">
        <f>IF($B6 = 0,"",IF(_xll.CbondsTradingVolume($B6,W$4,VLOOKUP($E6,'Help Page'!$L:$P,3,0))="Нет данных",0,_xll.CbondsTradingVolume($B6,W$4,VLOOKUP($E6,'Help Page'!$L:$P,3,0))))</f>
        <v>0</v>
      </c>
      <c r="X6" s="23">
        <f>IF($B6 = 0,"",IF(_xll.CbondsTradingVolume($B6,X$4,VLOOKUP($E6,'Help Page'!$L:$P,3,0))="Нет данных",0,_xll.CbondsTradingVolume($B6,X$4,VLOOKUP($E6,'Help Page'!$L:$P,3,0))))</f>
        <v>0</v>
      </c>
      <c r="Y6" s="23">
        <f>IF($B6 = 0,"",IF(_xll.CbondsTradingVolume($B6,Y$4,VLOOKUP($E6,'Help Page'!$L:$P,3,0))="Нет данных",0,_xll.CbondsTradingVolume($B6,Y$4,VLOOKUP($E6,'Help Page'!$L:$P,3,0))))</f>
        <v>0</v>
      </c>
      <c r="Z6" s="23">
        <f>IF($B6 = 0,"",IF(_xll.CbondsTradingVolume($B6,Z$4,VLOOKUP($E6,'Help Page'!$L:$P,3,0))="Нет данных",0,_xll.CbondsTradingVolume($B6,Z$4,VLOOKUP($E6,'Help Page'!$L:$P,3,0))))</f>
        <v>0</v>
      </c>
      <c r="AA6" s="23">
        <f>IF($B6 = 0,"",IF(_xll.CbondsTradingVolume($B6,AA$4,VLOOKUP($E6,'Help Page'!$L:$P,3,0))="Нет данных",0,_xll.CbondsTradingVolume($B6,AA$4,VLOOKUP($E6,'Help Page'!$L:$P,3,0))))</f>
        <v>0</v>
      </c>
      <c r="AB6" s="23">
        <f>IF($B6 = 0,"",IF(_xll.CbondsTradingVolume($B6,AB$4,VLOOKUP($E6,'Help Page'!$L:$P,3,0))="Нет данных",0,_xll.CbondsTradingVolume($B6,AB$4,VLOOKUP($E6,'Help Page'!$L:$P,3,0))))</f>
        <v>0</v>
      </c>
      <c r="AC6" s="23">
        <f>IF($B6 = 0,"",IF(_xll.CbondsTradingVolume($B6,AC$4,VLOOKUP($E6,'Help Page'!$L:$P,3,0))="Нет данных",0,_xll.CbondsTradingVolume($B6,AC$4,VLOOKUP($E6,'Help Page'!$L:$P,3,0))))</f>
        <v>0</v>
      </c>
      <c r="AD6" s="23">
        <f>IF($B6 = 0,"",IF(_xll.CbondsTradingVolume($B6,AD$4,VLOOKUP($E6,'Help Page'!$L:$P,3,0))="Нет данных",0,_xll.CbondsTradingVolume($B6,AD$4,VLOOKUP($E6,'Help Page'!$L:$P,3,0))))</f>
        <v>0</v>
      </c>
      <c r="AE6" s="23">
        <f>IF($B6 = 0,"",IF(_xll.CbondsTradingVolume($B6,AE$4,VLOOKUP($E6,'Help Page'!$L:$P,3,0))="Нет данных",0,_xll.CbondsTradingVolume($B6,AE$4,VLOOKUP($E6,'Help Page'!$L:$P,3,0))))</f>
        <v>0</v>
      </c>
      <c r="AF6" s="23">
        <f>IF($B6 = 0,"",IF(_xll.CbondsTradingVolume($B6,AF$4,VLOOKUP($E6,'Help Page'!$L:$P,3,0))="Нет данных",0,_xll.CbondsTradingVolume($B6,AF$4,VLOOKUP($E6,'Help Page'!$L:$P,3,0))))</f>
        <v>0</v>
      </c>
      <c r="AG6" s="23">
        <f>IF($B6 = 0,"",IF(_xll.CbondsTradingVolume($B6,AG$4,VLOOKUP($E6,'Help Page'!$L:$P,3,0))="Нет данных",0,_xll.CbondsTradingVolume($B6,AG$4,VLOOKUP($E6,'Help Page'!$L:$P,3,0))))</f>
        <v>0</v>
      </c>
      <c r="AH6" s="23">
        <f>IF($B6 = 0,"",IF(_xll.CbondsTradingVolume($B6,AH$4,VLOOKUP($E6,'Help Page'!$L:$P,3,0))="Нет данных",0,_xll.CbondsTradingVolume($B6,AH$4,VLOOKUP($E6,'Help Page'!$L:$P,3,0))))</f>
        <v>0</v>
      </c>
      <c r="AI6" s="23">
        <f>IF($B6 = 0,"",IF(_xll.CbondsTradingVolume($B6,AI$4,VLOOKUP($E6,'Help Page'!$L:$P,3,0))="Нет данных",0,_xll.CbondsTradingVolume($B6,AI$4,VLOOKUP($E6,'Help Page'!$L:$P,3,0))))</f>
        <v>0</v>
      </c>
      <c r="AJ6" s="171">
        <f>SUM(F6:AI6)*VLOOKUP($E6,'Help Page'!$L:$P,5,0)</f>
        <v>0</v>
      </c>
      <c r="AK6" s="76">
        <f>IF($B6 = 0,"",IF(_xll.CbondsDealsNumber($B6,AK$4,VLOOKUP($E6,'Help Page'!$L:$P,3,0))="Нет данных",0,_xll.CbondsDealsNumber($B6,AK$4,VLOOKUP($E6,'Help Page'!$L:$P,3,0))))</f>
        <v>0</v>
      </c>
      <c r="AL6" s="76">
        <f>IF($B6 = 0,"",IF(_xll.CbondsDealsNumber($B6,AL$4,VLOOKUP($E6,'Help Page'!$L:$P,3,0))="Нет данных",0,_xll.CbondsDealsNumber($B6,AL$4,VLOOKUP($E6,'Help Page'!$L:$P,3,0))))</f>
        <v>0</v>
      </c>
      <c r="AM6" s="76">
        <f>IF($B6 = 0,"",IF(_xll.CbondsDealsNumber($B6,AM$4,VLOOKUP($E6,'Help Page'!$L:$P,3,0))="Нет данных",0,_xll.CbondsDealsNumber($B6,AM$4,VLOOKUP($E6,'Help Page'!$L:$P,3,0))))</f>
        <v>0</v>
      </c>
      <c r="AN6" s="76">
        <f>IF($B6 = 0,"",IF(_xll.CbondsDealsNumber($B6,AN$4,VLOOKUP($E6,'Help Page'!$L:$P,3,0))="Нет данных",0,_xll.CbondsDealsNumber($B6,AN$4,VLOOKUP($E6,'Help Page'!$L:$P,3,0))))</f>
        <v>0</v>
      </c>
      <c r="AO6" s="76">
        <f>IF($B6 = 0,"",IF(_xll.CbondsDealsNumber($B6,AO$4,VLOOKUP($E6,'Help Page'!$L:$P,3,0))="Нет данных",0,_xll.CbondsDealsNumber($B6,AO$4,VLOOKUP($E6,'Help Page'!$L:$P,3,0))))</f>
        <v>0</v>
      </c>
      <c r="AP6" s="76">
        <f>IF($B6 = 0,"",IF(_xll.CbondsDealsNumber($B6,AP$4,VLOOKUP($E6,'Help Page'!$L:$P,3,0))="Нет данных",0,_xll.CbondsDealsNumber($B6,AP$4,VLOOKUP($E6,'Help Page'!$L:$P,3,0))))</f>
        <v>0</v>
      </c>
      <c r="AQ6" s="76">
        <f>IF($B6 = 0,"",IF(_xll.CbondsDealsNumber($B6,AQ$4,VLOOKUP($E6,'Help Page'!$L:$P,3,0))="Нет данных",0,_xll.CbondsDealsNumber($B6,AQ$4,VLOOKUP($E6,'Help Page'!$L:$P,3,0))))</f>
        <v>0</v>
      </c>
      <c r="AR6" s="76">
        <f>IF($B6 = 0,"",IF(_xll.CbondsDealsNumber($B6,AR$4,VLOOKUP($E6,'Help Page'!$L:$P,3,0))="Нет данных",0,_xll.CbondsDealsNumber($B6,AR$4,VLOOKUP($E6,'Help Page'!$L:$P,3,0))))</f>
        <v>0</v>
      </c>
      <c r="AS6" s="76">
        <f>IF($B6 = 0,"",IF(_xll.CbondsDealsNumber($B6,AS$4,VLOOKUP($E6,'Help Page'!$L:$P,3,0))="Нет данных",0,_xll.CbondsDealsNumber($B6,AS$4,VLOOKUP($E6,'Help Page'!$L:$P,3,0))))</f>
        <v>0</v>
      </c>
      <c r="AT6" s="76">
        <f>IF($B6 = 0,"",IF(_xll.CbondsDealsNumber($B6,AT$4,VLOOKUP($E6,'Help Page'!$L:$P,3,0))="Нет данных",0,_xll.CbondsDealsNumber($B6,AT$4,VLOOKUP($E6,'Help Page'!$L:$P,3,0))))</f>
        <v>0</v>
      </c>
      <c r="AU6" s="76">
        <f>IF($B6 = 0,"",IF(_xll.CbondsDealsNumber($B6,AU$4,VLOOKUP($E6,'Help Page'!$L:$P,3,0))="Нет данных",0,_xll.CbondsDealsNumber($B6,AU$4,VLOOKUP($E6,'Help Page'!$L:$P,3,0))))</f>
        <v>0</v>
      </c>
      <c r="AV6" s="76">
        <f>IF($B6 = 0,"",IF(_xll.CbondsDealsNumber($B6,AV$4,VLOOKUP($E6,'Help Page'!$L:$P,3,0))="Нет данных",0,_xll.CbondsDealsNumber($B6,AV$4,VLOOKUP($E6,'Help Page'!$L:$P,3,0))))</f>
        <v>0</v>
      </c>
      <c r="AW6" s="76">
        <f>IF($B6 = 0,"",IF(_xll.CbondsDealsNumber($B6,AW$4,VLOOKUP($E6,'Help Page'!$L:$P,3,0))="Нет данных",0,_xll.CbondsDealsNumber($B6,AW$4,VLOOKUP($E6,'Help Page'!$L:$P,3,0))))</f>
        <v>0</v>
      </c>
      <c r="AX6" s="76">
        <f>IF($B6 = 0,"",IF(_xll.CbondsDealsNumber($B6,AX$4,VLOOKUP($E6,'Help Page'!$L:$P,3,0))="Нет данных",0,_xll.CbondsDealsNumber($B6,AX$4,VLOOKUP($E6,'Help Page'!$L:$P,3,0))))</f>
        <v>0</v>
      </c>
      <c r="AY6" s="76">
        <f>IF($B6 = 0,"",IF(_xll.CbondsDealsNumber($B6,AY$4,VLOOKUP($E6,'Help Page'!$L:$P,3,0))="Нет данных",0,_xll.CbondsDealsNumber($B6,AY$4,VLOOKUP($E6,'Help Page'!$L:$P,3,0))))</f>
        <v>0</v>
      </c>
      <c r="AZ6" s="76">
        <f>IF($B6 = 0,"",IF(_xll.CbondsDealsNumber($B6,AZ$4,VLOOKUP($E6,'Help Page'!$L:$P,3,0))="Нет данных",0,_xll.CbondsDealsNumber($B6,AZ$4,VLOOKUP($E6,'Help Page'!$L:$P,3,0))))</f>
        <v>0</v>
      </c>
      <c r="BA6" s="76">
        <f>IF($B6 = 0,"",IF(_xll.CbondsDealsNumber($B6,BA$4,VLOOKUP($E6,'Help Page'!$L:$P,3,0))="Нет данных",0,_xll.CbondsDealsNumber($B6,BA$4,VLOOKUP($E6,'Help Page'!$L:$P,3,0))))</f>
        <v>0</v>
      </c>
      <c r="BB6" s="76">
        <f>IF($B6 = 0,"",IF(_xll.CbondsDealsNumber($B6,BB$4,VLOOKUP($E6,'Help Page'!$L:$P,3,0))="Нет данных",0,_xll.CbondsDealsNumber($B6,BB$4,VLOOKUP($E6,'Help Page'!$L:$P,3,0))))</f>
        <v>0</v>
      </c>
      <c r="BC6" s="76">
        <f>IF($B6 = 0,"",IF(_xll.CbondsDealsNumber($B6,BC$4,VLOOKUP($E6,'Help Page'!$L:$P,3,0))="Нет данных",0,_xll.CbondsDealsNumber($B6,BC$4,VLOOKUP($E6,'Help Page'!$L:$P,3,0))))</f>
        <v>0</v>
      </c>
      <c r="BD6" s="76">
        <f>IF($B6 = 0,"",IF(_xll.CbondsDealsNumber($B6,BD$4,VLOOKUP($E6,'Help Page'!$L:$P,3,0))="Нет данных",0,_xll.CbondsDealsNumber($B6,BD$4,VLOOKUP($E6,'Help Page'!$L:$P,3,0))))</f>
        <v>0</v>
      </c>
      <c r="BE6" s="76">
        <f>IF($B6 = 0,"",IF(_xll.CbondsDealsNumber($B6,BE$4,VLOOKUP($E6,'Help Page'!$L:$P,3,0))="Нет данных",0,_xll.CbondsDealsNumber($B6,BE$4,VLOOKUP($E6,'Help Page'!$L:$P,3,0))))</f>
        <v>0</v>
      </c>
      <c r="BF6" s="76">
        <f>IF($B6 = 0,"",IF(_xll.CbondsDealsNumber($B6,BF$4,VLOOKUP($E6,'Help Page'!$L:$P,3,0))="Нет данных",0,_xll.CbondsDealsNumber($B6,BF$4,VLOOKUP($E6,'Help Page'!$L:$P,3,0))))</f>
        <v>0</v>
      </c>
      <c r="BG6" s="76">
        <f>IF($B6 = 0,"",IF(_xll.CbondsDealsNumber($B6,BG$4,VLOOKUP($E6,'Help Page'!$L:$P,3,0))="Нет данных",0,_xll.CbondsDealsNumber($B6,BG$4,VLOOKUP($E6,'Help Page'!$L:$P,3,0))))</f>
        <v>0</v>
      </c>
      <c r="BH6" s="76">
        <f>IF($B6 = 0,"",IF(_xll.CbondsDealsNumber($B6,BH$4,VLOOKUP($E6,'Help Page'!$L:$P,3,0))="Нет данных",0,_xll.CbondsDealsNumber($B6,BH$4,VLOOKUP($E6,'Help Page'!$L:$P,3,0))))</f>
        <v>0</v>
      </c>
      <c r="BI6" s="76">
        <f>IF($B6 = 0,"",IF(_xll.CbondsDealsNumber($B6,BI$4,VLOOKUP($E6,'Help Page'!$L:$P,3,0))="Нет данных",0,_xll.CbondsDealsNumber($B6,BI$4,VLOOKUP($E6,'Help Page'!$L:$P,3,0))))</f>
        <v>0</v>
      </c>
      <c r="BJ6" s="76">
        <f>IF($B6 = 0,"",IF(_xll.CbondsDealsNumber($B6,BJ$4,VLOOKUP($E6,'Help Page'!$L:$P,3,0))="Нет данных",0,_xll.CbondsDealsNumber($B6,BJ$4,VLOOKUP($E6,'Help Page'!$L:$P,3,0))))</f>
        <v>0</v>
      </c>
      <c r="BK6" s="76">
        <f>IF($B6 = 0,"",IF(_xll.CbondsDealsNumber($B6,BK$4,VLOOKUP($E6,'Help Page'!$L:$P,3,0))="Нет данных",0,_xll.CbondsDealsNumber($B6,BK$4,VLOOKUP($E6,'Help Page'!$L:$P,3,0))))</f>
        <v>0</v>
      </c>
      <c r="BL6" s="76">
        <f>IF($B6 = 0,"",IF(_xll.CbondsDealsNumber($B6,BL$4,VLOOKUP($E6,'Help Page'!$L:$P,3,0))="Нет данных",0,_xll.CbondsDealsNumber($B6,BL$4,VLOOKUP($E6,'Help Page'!$L:$P,3,0))))</f>
        <v>0</v>
      </c>
      <c r="BM6" s="76">
        <f>IF($B6 = 0,"",IF(_xll.CbondsDealsNumber($B6,BM$4,VLOOKUP($E6,'Help Page'!$L:$P,3,0))="Нет данных",0,_xll.CbondsDealsNumber($B6,BM$4,VLOOKUP($E6,'Help Page'!$L:$P,3,0))))</f>
        <v>0</v>
      </c>
      <c r="BN6" s="76">
        <f>IF($B6 = 0,"",IF(_xll.CbondsDealsNumber($B6,BN$4,VLOOKUP($E6,'Help Page'!$L:$P,3,0))="Нет данных",0,_xll.CbondsDealsNumber($B6,BN$4,VLOOKUP($E6,'Help Page'!$L:$P,3,0))))</f>
        <v>0</v>
      </c>
      <c r="BO6" s="156">
        <f t="shared" ref="BO6:BO8" si="0">SUM(AK6:BN6)</f>
        <v>0</v>
      </c>
      <c r="BP6" s="156">
        <f>COUNTIF(AK6:BN6, "&gt;0")</f>
        <v>0</v>
      </c>
    </row>
    <row r="7" spans="1:68" x14ac:dyDescent="0.3">
      <c r="A7" s="18">
        <v>1</v>
      </c>
      <c r="B7" s="143" t="str">
        <f>Calculation!$B$1</f>
        <v>RU000A1057D4</v>
      </c>
      <c r="C7" s="143" t="str">
        <f>IF($B7 = 0,"",_xll.CbondsCurrency(B7))</f>
        <v>CNY</v>
      </c>
      <c r="D7" s="148">
        <f>IF($B7 = 0,"",_xll.ReferenceParams(B7,"SumMarketVal"))</f>
        <v>1000000000</v>
      </c>
      <c r="E7" s="143" t="s">
        <v>2078</v>
      </c>
      <c r="F7" s="23">
        <f>IF($B7 = 0,"",IF(_xll.CbondsTradingVolume($B7,F$4,VLOOKUP($E7,'Help Page'!$L:$P,3,0))="Нет данных",0,_xll.CbondsTradingVolume($B7,F$4,VLOOKUP($E7,'Help Page'!$L:$P,3,0))))</f>
        <v>0</v>
      </c>
      <c r="G7" s="23">
        <f>IF($B7 = 0,"",IF(_xll.CbondsTradingVolume($B7,G$4,VLOOKUP($E7,'Help Page'!$L:$P,3,0))="Нет данных",0,_xll.CbondsTradingVolume($B7,G$4,VLOOKUP($E7,'Help Page'!$L:$P,3,0))))</f>
        <v>0</v>
      </c>
      <c r="H7" s="23">
        <f>IF($B7 = 0,"",IF(_xll.CbondsTradingVolume($B7,H$4,VLOOKUP($E7,'Help Page'!$L:$P,3,0))="Нет данных",0,_xll.CbondsTradingVolume($B7,H$4,VLOOKUP($E7,'Help Page'!$L:$P,3,0))))</f>
        <v>0</v>
      </c>
      <c r="I7" s="23">
        <f>IF($B7 = 0,"",IF(_xll.CbondsTradingVolume($B7,I$4,VLOOKUP($E7,'Help Page'!$L:$P,3,0))="Нет данных",0,_xll.CbondsTradingVolume($B7,I$4,VLOOKUP($E7,'Help Page'!$L:$P,3,0))))</f>
        <v>0</v>
      </c>
      <c r="J7" s="23">
        <f>IF($B7 = 0,"",IF(_xll.CbondsTradingVolume($B7,J$4,VLOOKUP($E7,'Help Page'!$L:$P,3,0))="Нет данных",0,_xll.CbondsTradingVolume($B7,J$4,VLOOKUP($E7,'Help Page'!$L:$P,3,0))))</f>
        <v>0</v>
      </c>
      <c r="K7" s="23">
        <f>IF($B7 = 0,"",IF(_xll.CbondsTradingVolume($B7,K$4,VLOOKUP($E7,'Help Page'!$L:$P,3,0))="Нет данных",0,_xll.CbondsTradingVolume($B7,K$4,VLOOKUP($E7,'Help Page'!$L:$P,3,0))))</f>
        <v>0</v>
      </c>
      <c r="L7" s="23">
        <f>IF($B7 = 0,"",IF(_xll.CbondsTradingVolume($B7,L$4,VLOOKUP($E7,'Help Page'!$L:$P,3,0))="Нет данных",0,_xll.CbondsTradingVolume($B7,L$4,VLOOKUP($E7,'Help Page'!$L:$P,3,0))))</f>
        <v>0</v>
      </c>
      <c r="M7" s="23">
        <f>IF($B7 = 0,"",IF(_xll.CbondsTradingVolume($B7,M$4,VLOOKUP($E7,'Help Page'!$L:$P,3,0))="Нет данных",0,_xll.CbondsTradingVolume($B7,M$4,VLOOKUP($E7,'Help Page'!$L:$P,3,0))))</f>
        <v>0</v>
      </c>
      <c r="N7" s="23">
        <f>IF($B7 = 0,"",IF(_xll.CbondsTradingVolume($B7,N$4,VLOOKUP($E7,'Help Page'!$L:$P,3,0))="Нет данных",0,_xll.CbondsTradingVolume($B7,N$4,VLOOKUP($E7,'Help Page'!$L:$P,3,0))))</f>
        <v>0</v>
      </c>
      <c r="O7" s="23">
        <f>IF($B7 = 0,"",IF(_xll.CbondsTradingVolume($B7,O$4,VLOOKUP($E7,'Help Page'!$L:$P,3,0))="Нет данных",0,_xll.CbondsTradingVolume($B7,O$4,VLOOKUP($E7,'Help Page'!$L:$P,3,0))))</f>
        <v>0</v>
      </c>
      <c r="P7" s="23">
        <f>IF($B7 = 0,"",IF(_xll.CbondsTradingVolume($B7,P$4,VLOOKUP($E7,'Help Page'!$L:$P,3,0))="Нет данных",0,_xll.CbondsTradingVolume($B7,P$4,VLOOKUP($E7,'Help Page'!$L:$P,3,0))))</f>
        <v>0</v>
      </c>
      <c r="Q7" s="23">
        <f>IF($B7 = 0,"",IF(_xll.CbondsTradingVolume($B7,Q$4,VLOOKUP($E7,'Help Page'!$L:$P,3,0))="Нет данных",0,_xll.CbondsTradingVolume($B7,Q$4,VLOOKUP($E7,'Help Page'!$L:$P,3,0))))</f>
        <v>0</v>
      </c>
      <c r="R7" s="23">
        <f>IF($B7 = 0,"",IF(_xll.CbondsTradingVolume($B7,R$4,VLOOKUP($E7,'Help Page'!$L:$P,3,0))="Нет данных",0,_xll.CbondsTradingVolume($B7,R$4,VLOOKUP($E7,'Help Page'!$L:$P,3,0))))</f>
        <v>0</v>
      </c>
      <c r="S7" s="23">
        <f>IF($B7 = 0,"",IF(_xll.CbondsTradingVolume($B7,S$4,VLOOKUP($E7,'Help Page'!$L:$P,3,0))="Нет данных",0,_xll.CbondsTradingVolume($B7,S$4,VLOOKUP($E7,'Help Page'!$L:$P,3,0))))</f>
        <v>0</v>
      </c>
      <c r="T7" s="23">
        <f>IF($B7 = 0,"",IF(_xll.CbondsTradingVolume($B7,T$4,VLOOKUP($E7,'Help Page'!$L:$P,3,0))="Нет данных",0,_xll.CbondsTradingVolume($B7,T$4,VLOOKUP($E7,'Help Page'!$L:$P,3,0))))</f>
        <v>0</v>
      </c>
      <c r="U7" s="23">
        <f>IF($B7 = 0,"",IF(_xll.CbondsTradingVolume($B7,U$4,VLOOKUP($E7,'Help Page'!$L:$P,3,0))="Нет данных",0,_xll.CbondsTradingVolume($B7,U$4,VLOOKUP($E7,'Help Page'!$L:$P,3,0))))</f>
        <v>0</v>
      </c>
      <c r="V7" s="23">
        <f>IF($B7 = 0,"",IF(_xll.CbondsTradingVolume($B7,V$4,VLOOKUP($E7,'Help Page'!$L:$P,3,0))="Нет данных",0,_xll.CbondsTradingVolume($B7,V$4,VLOOKUP($E7,'Help Page'!$L:$P,3,0))))</f>
        <v>0</v>
      </c>
      <c r="W7" s="23">
        <f>IF($B7 = 0,"",IF(_xll.CbondsTradingVolume($B7,W$4,VLOOKUP($E7,'Help Page'!$L:$P,3,0))="Нет данных",0,_xll.CbondsTradingVolume($B7,W$4,VLOOKUP($E7,'Help Page'!$L:$P,3,0))))</f>
        <v>0</v>
      </c>
      <c r="X7" s="23">
        <f>IF($B7 = 0,"",IF(_xll.CbondsTradingVolume($B7,X$4,VLOOKUP($E7,'Help Page'!$L:$P,3,0))="Нет данных",0,_xll.CbondsTradingVolume($B7,X$4,VLOOKUP($E7,'Help Page'!$L:$P,3,0))))</f>
        <v>0</v>
      </c>
      <c r="Y7" s="23">
        <f>IF($B7 = 0,"",IF(_xll.CbondsTradingVolume($B7,Y$4,VLOOKUP($E7,'Help Page'!$L:$P,3,0))="Нет данных",0,_xll.CbondsTradingVolume($B7,Y$4,VLOOKUP($E7,'Help Page'!$L:$P,3,0))))</f>
        <v>0</v>
      </c>
      <c r="Z7" s="23">
        <f>IF($B7 = 0,"",IF(_xll.CbondsTradingVolume($B7,Z$4,VLOOKUP($E7,'Help Page'!$L:$P,3,0))="Нет данных",0,_xll.CbondsTradingVolume($B7,Z$4,VLOOKUP($E7,'Help Page'!$L:$P,3,0))))</f>
        <v>0</v>
      </c>
      <c r="AA7" s="23">
        <f>IF($B7 = 0,"",IF(_xll.CbondsTradingVolume($B7,AA$4,VLOOKUP($E7,'Help Page'!$L:$P,3,0))="Нет данных",0,_xll.CbondsTradingVolume($B7,AA$4,VLOOKUP($E7,'Help Page'!$L:$P,3,0))))</f>
        <v>0</v>
      </c>
      <c r="AB7" s="23">
        <f>IF($B7 = 0,"",IF(_xll.CbondsTradingVolume($B7,AB$4,VLOOKUP($E7,'Help Page'!$L:$P,3,0))="Нет данных",0,_xll.CbondsTradingVolume($B7,AB$4,VLOOKUP($E7,'Help Page'!$L:$P,3,0))))</f>
        <v>0</v>
      </c>
      <c r="AC7" s="23">
        <f>IF($B7 = 0,"",IF(_xll.CbondsTradingVolume($B7,AC$4,VLOOKUP($E7,'Help Page'!$L:$P,3,0))="Нет данных",0,_xll.CbondsTradingVolume($B7,AC$4,VLOOKUP($E7,'Help Page'!$L:$P,3,0))))</f>
        <v>0</v>
      </c>
      <c r="AD7" s="23">
        <f>IF($B7 = 0,"",IF(_xll.CbondsTradingVolume($B7,AD$4,VLOOKUP($E7,'Help Page'!$L:$P,3,0))="Нет данных",0,_xll.CbondsTradingVolume($B7,AD$4,VLOOKUP($E7,'Help Page'!$L:$P,3,0))))</f>
        <v>0</v>
      </c>
      <c r="AE7" s="23">
        <f>IF($B7 = 0,"",IF(_xll.CbondsTradingVolume($B7,AE$4,VLOOKUP($E7,'Help Page'!$L:$P,3,0))="Нет данных",0,_xll.CbondsTradingVolume($B7,AE$4,VLOOKUP($E7,'Help Page'!$L:$P,3,0))))</f>
        <v>0</v>
      </c>
      <c r="AF7" s="23">
        <f>IF($B7 = 0,"",IF(_xll.CbondsTradingVolume($B7,AF$4,VLOOKUP($E7,'Help Page'!$L:$P,3,0))="Нет данных",0,_xll.CbondsTradingVolume($B7,AF$4,VLOOKUP($E7,'Help Page'!$L:$P,3,0))))</f>
        <v>0</v>
      </c>
      <c r="AG7" s="23">
        <f>IF($B7 = 0,"",IF(_xll.CbondsTradingVolume($B7,AG$4,VLOOKUP($E7,'Help Page'!$L:$P,3,0))="Нет данных",0,_xll.CbondsTradingVolume($B7,AG$4,VLOOKUP($E7,'Help Page'!$L:$P,3,0))))</f>
        <v>0</v>
      </c>
      <c r="AH7" s="23">
        <f>IF($B7 = 0,"",IF(_xll.CbondsTradingVolume($B7,AH$4,VLOOKUP($E7,'Help Page'!$L:$P,3,0))="Нет данных",0,_xll.CbondsTradingVolume($B7,AH$4,VLOOKUP($E7,'Help Page'!$L:$P,3,0))))</f>
        <v>0</v>
      </c>
      <c r="AI7" s="23">
        <f>IF($B7 = 0,"",IF(_xll.CbondsTradingVolume($B7,AI$4,VLOOKUP($E7,'Help Page'!$L:$P,3,0))="Нет данных",0,_xll.CbondsTradingVolume($B7,AI$4,VLOOKUP($E7,'Help Page'!$L:$P,3,0))))</f>
        <v>0</v>
      </c>
      <c r="AJ7" s="171">
        <f>SUM(F7:AI7)*VLOOKUP($E7,'Help Page'!$L:$P,5,0)</f>
        <v>0</v>
      </c>
      <c r="AK7" s="76">
        <f>IF($B7 = 0,"",IF(_xll.CbondsDealsNumber($B7,AK$4,VLOOKUP($E7,'Help Page'!$L:$P,3,0))="Нет данных",0,_xll.CbondsDealsNumber($B7,AK$4,VLOOKUP($E7,'Help Page'!$L:$P,3,0))))</f>
        <v>0</v>
      </c>
      <c r="AL7" s="76">
        <f>IF($B7 = 0,"",IF(_xll.CbondsDealsNumber($B7,AL$4,VLOOKUP($E7,'Help Page'!$L:$P,3,0))="Нет данных",0,_xll.CbondsDealsNumber($B7,AL$4,VLOOKUP($E7,'Help Page'!$L:$P,3,0))))</f>
        <v>0</v>
      </c>
      <c r="AM7" s="76">
        <f>IF($B7 = 0,"",IF(_xll.CbondsDealsNumber($B7,AM$4,VLOOKUP($E7,'Help Page'!$L:$P,3,0))="Нет данных",0,_xll.CbondsDealsNumber($B7,AM$4,VLOOKUP($E7,'Help Page'!$L:$P,3,0))))</f>
        <v>0</v>
      </c>
      <c r="AN7" s="76">
        <f>IF($B7 = 0,"",IF(_xll.CbondsDealsNumber($B7,AN$4,VLOOKUP($E7,'Help Page'!$L:$P,3,0))="Нет данных",0,_xll.CbondsDealsNumber($B7,AN$4,VLOOKUP($E7,'Help Page'!$L:$P,3,0))))</f>
        <v>0</v>
      </c>
      <c r="AO7" s="76">
        <f>IF($B7 = 0,"",IF(_xll.CbondsDealsNumber($B7,AO$4,VLOOKUP($E7,'Help Page'!$L:$P,3,0))="Нет данных",0,_xll.CbondsDealsNumber($B7,AO$4,VLOOKUP($E7,'Help Page'!$L:$P,3,0))))</f>
        <v>0</v>
      </c>
      <c r="AP7" s="76">
        <f>IF($B7 = 0,"",IF(_xll.CbondsDealsNumber($B7,AP$4,VLOOKUP($E7,'Help Page'!$L:$P,3,0))="Нет данных",0,_xll.CbondsDealsNumber($B7,AP$4,VLOOKUP($E7,'Help Page'!$L:$P,3,0))))</f>
        <v>0</v>
      </c>
      <c r="AQ7" s="76">
        <f>IF($B7 = 0,"",IF(_xll.CbondsDealsNumber($B7,AQ$4,VLOOKUP($E7,'Help Page'!$L:$P,3,0))="Нет данных",0,_xll.CbondsDealsNumber($B7,AQ$4,VLOOKUP($E7,'Help Page'!$L:$P,3,0))))</f>
        <v>0</v>
      </c>
      <c r="AR7" s="76">
        <f>IF($B7 = 0,"",IF(_xll.CbondsDealsNumber($B7,AR$4,VLOOKUP($E7,'Help Page'!$L:$P,3,0))="Нет данных",0,_xll.CbondsDealsNumber($B7,AR$4,VLOOKUP($E7,'Help Page'!$L:$P,3,0))))</f>
        <v>0</v>
      </c>
      <c r="AS7" s="76">
        <f>IF($B7 = 0,"",IF(_xll.CbondsDealsNumber($B7,AS$4,VLOOKUP($E7,'Help Page'!$L:$P,3,0))="Нет данных",0,_xll.CbondsDealsNumber($B7,AS$4,VLOOKUP($E7,'Help Page'!$L:$P,3,0))))</f>
        <v>0</v>
      </c>
      <c r="AT7" s="76">
        <f>IF($B7 = 0,"",IF(_xll.CbondsDealsNumber($B7,AT$4,VLOOKUP($E7,'Help Page'!$L:$P,3,0))="Нет данных",0,_xll.CbondsDealsNumber($B7,AT$4,VLOOKUP($E7,'Help Page'!$L:$P,3,0))))</f>
        <v>0</v>
      </c>
      <c r="AU7" s="76">
        <f>IF($B7 = 0,"",IF(_xll.CbondsDealsNumber($B7,AU$4,VLOOKUP($E7,'Help Page'!$L:$P,3,0))="Нет данных",0,_xll.CbondsDealsNumber($B7,AU$4,VLOOKUP($E7,'Help Page'!$L:$P,3,0))))</f>
        <v>0</v>
      </c>
      <c r="AV7" s="76">
        <f>IF($B7 = 0,"",IF(_xll.CbondsDealsNumber($B7,AV$4,VLOOKUP($E7,'Help Page'!$L:$P,3,0))="Нет данных",0,_xll.CbondsDealsNumber($B7,AV$4,VLOOKUP($E7,'Help Page'!$L:$P,3,0))))</f>
        <v>0</v>
      </c>
      <c r="AW7" s="76">
        <f>IF($B7 = 0,"",IF(_xll.CbondsDealsNumber($B7,AW$4,VLOOKUP($E7,'Help Page'!$L:$P,3,0))="Нет данных",0,_xll.CbondsDealsNumber($B7,AW$4,VLOOKUP($E7,'Help Page'!$L:$P,3,0))))</f>
        <v>0</v>
      </c>
      <c r="AX7" s="76">
        <f>IF($B7 = 0,"",IF(_xll.CbondsDealsNumber($B7,AX$4,VLOOKUP($E7,'Help Page'!$L:$P,3,0))="Нет данных",0,_xll.CbondsDealsNumber($B7,AX$4,VLOOKUP($E7,'Help Page'!$L:$P,3,0))))</f>
        <v>0</v>
      </c>
      <c r="AY7" s="76">
        <f>IF($B7 = 0,"",IF(_xll.CbondsDealsNumber($B7,AY$4,VLOOKUP($E7,'Help Page'!$L:$P,3,0))="Нет данных",0,_xll.CbondsDealsNumber($B7,AY$4,VLOOKUP($E7,'Help Page'!$L:$P,3,0))))</f>
        <v>0</v>
      </c>
      <c r="AZ7" s="76">
        <f>IF($B7 = 0,"",IF(_xll.CbondsDealsNumber($B7,AZ$4,VLOOKUP($E7,'Help Page'!$L:$P,3,0))="Нет данных",0,_xll.CbondsDealsNumber($B7,AZ$4,VLOOKUP($E7,'Help Page'!$L:$P,3,0))))</f>
        <v>0</v>
      </c>
      <c r="BA7" s="76">
        <f>IF($B7 = 0,"",IF(_xll.CbondsDealsNumber($B7,BA$4,VLOOKUP($E7,'Help Page'!$L:$P,3,0))="Нет данных",0,_xll.CbondsDealsNumber($B7,BA$4,VLOOKUP($E7,'Help Page'!$L:$P,3,0))))</f>
        <v>0</v>
      </c>
      <c r="BB7" s="76">
        <f>IF($B7 = 0,"",IF(_xll.CbondsDealsNumber($B7,BB$4,VLOOKUP($E7,'Help Page'!$L:$P,3,0))="Нет данных",0,_xll.CbondsDealsNumber($B7,BB$4,VLOOKUP($E7,'Help Page'!$L:$P,3,0))))</f>
        <v>0</v>
      </c>
      <c r="BC7" s="76">
        <f>IF($B7 = 0,"",IF(_xll.CbondsDealsNumber($B7,BC$4,VLOOKUP($E7,'Help Page'!$L:$P,3,0))="Нет данных",0,_xll.CbondsDealsNumber($B7,BC$4,VLOOKUP($E7,'Help Page'!$L:$P,3,0))))</f>
        <v>0</v>
      </c>
      <c r="BD7" s="76">
        <f>IF($B7 = 0,"",IF(_xll.CbondsDealsNumber($B7,BD$4,VLOOKUP($E7,'Help Page'!$L:$P,3,0))="Нет данных",0,_xll.CbondsDealsNumber($B7,BD$4,VLOOKUP($E7,'Help Page'!$L:$P,3,0))))</f>
        <v>0</v>
      </c>
      <c r="BE7" s="76">
        <f>IF($B7 = 0,"",IF(_xll.CbondsDealsNumber($B7,BE$4,VLOOKUP($E7,'Help Page'!$L:$P,3,0))="Нет данных",0,_xll.CbondsDealsNumber($B7,BE$4,VLOOKUP($E7,'Help Page'!$L:$P,3,0))))</f>
        <v>0</v>
      </c>
      <c r="BF7" s="76">
        <f>IF($B7 = 0,"",IF(_xll.CbondsDealsNumber($B7,BF$4,VLOOKUP($E7,'Help Page'!$L:$P,3,0))="Нет данных",0,_xll.CbondsDealsNumber($B7,BF$4,VLOOKUP($E7,'Help Page'!$L:$P,3,0))))</f>
        <v>0</v>
      </c>
      <c r="BG7" s="76">
        <f>IF($B7 = 0,"",IF(_xll.CbondsDealsNumber($B7,BG$4,VLOOKUP($E7,'Help Page'!$L:$P,3,0))="Нет данных",0,_xll.CbondsDealsNumber($B7,BG$4,VLOOKUP($E7,'Help Page'!$L:$P,3,0))))</f>
        <v>0</v>
      </c>
      <c r="BH7" s="76">
        <f>IF($B7 = 0,"",IF(_xll.CbondsDealsNumber($B7,BH$4,VLOOKUP($E7,'Help Page'!$L:$P,3,0))="Нет данных",0,_xll.CbondsDealsNumber($B7,BH$4,VLOOKUP($E7,'Help Page'!$L:$P,3,0))))</f>
        <v>0</v>
      </c>
      <c r="BI7" s="76">
        <f>IF($B7 = 0,"",IF(_xll.CbondsDealsNumber($B7,BI$4,VLOOKUP($E7,'Help Page'!$L:$P,3,0))="Нет данных",0,_xll.CbondsDealsNumber($B7,BI$4,VLOOKUP($E7,'Help Page'!$L:$P,3,0))))</f>
        <v>0</v>
      </c>
      <c r="BJ7" s="76">
        <f>IF($B7 = 0,"",IF(_xll.CbondsDealsNumber($B7,BJ$4,VLOOKUP($E7,'Help Page'!$L:$P,3,0))="Нет данных",0,_xll.CbondsDealsNumber($B7,BJ$4,VLOOKUP($E7,'Help Page'!$L:$P,3,0))))</f>
        <v>0</v>
      </c>
      <c r="BK7" s="76">
        <f>IF($B7 = 0,"",IF(_xll.CbondsDealsNumber($B7,BK$4,VLOOKUP($E7,'Help Page'!$L:$P,3,0))="Нет данных",0,_xll.CbondsDealsNumber($B7,BK$4,VLOOKUP($E7,'Help Page'!$L:$P,3,0))))</f>
        <v>0</v>
      </c>
      <c r="BL7" s="76">
        <f>IF($B7 = 0,"",IF(_xll.CbondsDealsNumber($B7,BL$4,VLOOKUP($E7,'Help Page'!$L:$P,3,0))="Нет данных",0,_xll.CbondsDealsNumber($B7,BL$4,VLOOKUP($E7,'Help Page'!$L:$P,3,0))))</f>
        <v>0</v>
      </c>
      <c r="BM7" s="76">
        <f>IF($B7 = 0,"",IF(_xll.CbondsDealsNumber($B7,BM$4,VLOOKUP($E7,'Help Page'!$L:$P,3,0))="Нет данных",0,_xll.CbondsDealsNumber($B7,BM$4,VLOOKUP($E7,'Help Page'!$L:$P,3,0))))</f>
        <v>0</v>
      </c>
      <c r="BN7" s="76">
        <f>IF($B7 = 0,"",IF(_xll.CbondsDealsNumber($B7,BN$4,VLOOKUP($E7,'Help Page'!$L:$P,3,0))="Нет данных",0,_xll.CbondsDealsNumber($B7,BN$4,VLOOKUP($E7,'Help Page'!$L:$P,3,0))))</f>
        <v>0</v>
      </c>
      <c r="BO7" s="156">
        <f t="shared" si="0"/>
        <v>0</v>
      </c>
      <c r="BP7" s="156">
        <f t="shared" ref="BP7" si="1">COUNTIF(AK7:BN7, "&gt;0")</f>
        <v>0</v>
      </c>
    </row>
    <row r="8" spans="1:68" x14ac:dyDescent="0.3">
      <c r="A8" s="18">
        <v>1</v>
      </c>
      <c r="B8" s="143" t="str">
        <f>Calculation!$B$1</f>
        <v>RU000A1057D4</v>
      </c>
      <c r="C8" s="143" t="str">
        <f>IF($B8 = 0,"",_xll.CbondsCurrency(B8))</f>
        <v>CNY</v>
      </c>
      <c r="D8" s="148">
        <f>IF($B8 = 0,"",_xll.ReferenceParams(B8,"SumMarketVal"))</f>
        <v>1000000000</v>
      </c>
      <c r="E8" s="143" t="s">
        <v>2079</v>
      </c>
      <c r="F8" s="23">
        <f>IF($B8 = 0,"",IF(_xll.CbondsTradingVolume($B8,F$4,VLOOKUP($E8,'Help Page'!$L:$P,3,0))="Нет данных",0,_xll.CbondsTradingVolume($B8,F$4,VLOOKUP($E8,'Help Page'!$L:$P,3,0))))</f>
        <v>732652.99</v>
      </c>
      <c r="G8" s="23">
        <f>IF($B8 = 0,"",IF(_xll.CbondsTradingVolume($B8,G$4,VLOOKUP($E8,'Help Page'!$L:$P,3,0))="Нет данных",0,_xll.CbondsTradingVolume($B8,G$4,VLOOKUP($E8,'Help Page'!$L:$P,3,0))))</f>
        <v>6674162.9400000004</v>
      </c>
      <c r="H8" s="23">
        <f>IF($B8 = 0,"",IF(_xll.CbondsTradingVolume($B8,H$4,VLOOKUP($E8,'Help Page'!$L:$P,3,0))="Нет данных",0,_xll.CbondsTradingVolume($B8,H$4,VLOOKUP($E8,'Help Page'!$L:$P,3,0))))</f>
        <v>216234.3</v>
      </c>
      <c r="I8" s="23">
        <f>IF($B8 = 0,"",IF(_xll.CbondsTradingVolume($B8,I$4,VLOOKUP($E8,'Help Page'!$L:$P,3,0))="Нет данных",0,_xll.CbondsTradingVolume($B8,I$4,VLOOKUP($E8,'Help Page'!$L:$P,3,0))))</f>
        <v>329664.86</v>
      </c>
      <c r="J8" s="23">
        <f>IF($B8 = 0,"",IF(_xll.CbondsTradingVolume($B8,J$4,VLOOKUP($E8,'Help Page'!$L:$P,3,0))="Нет данных",0,_xll.CbondsTradingVolume($B8,J$4,VLOOKUP($E8,'Help Page'!$L:$P,3,0))))</f>
        <v>0</v>
      </c>
      <c r="K8" s="23">
        <f>IF($B8 = 0,"",IF(_xll.CbondsTradingVolume($B8,K$4,VLOOKUP($E8,'Help Page'!$L:$P,3,0))="Нет данных",0,_xll.CbondsTradingVolume($B8,K$4,VLOOKUP($E8,'Help Page'!$L:$P,3,0))))</f>
        <v>0</v>
      </c>
      <c r="L8" s="23">
        <f>IF($B8 = 0,"",IF(_xll.CbondsTradingVolume($B8,L$4,VLOOKUP($E8,'Help Page'!$L:$P,3,0))="Нет данных",0,_xll.CbondsTradingVolume($B8,L$4,VLOOKUP($E8,'Help Page'!$L:$P,3,0))))</f>
        <v>4464257.7699999996</v>
      </c>
      <c r="M8" s="23">
        <f>IF($B8 = 0,"",IF(_xll.CbondsTradingVolume($B8,M$4,VLOOKUP($E8,'Help Page'!$L:$P,3,0))="Нет данных",0,_xll.CbondsTradingVolume($B8,M$4,VLOOKUP($E8,'Help Page'!$L:$P,3,0))))</f>
        <v>557253.16</v>
      </c>
      <c r="N8" s="23">
        <f>IF($B8 = 0,"",IF(_xll.CbondsTradingVolume($B8,N$4,VLOOKUP($E8,'Help Page'!$L:$P,3,0))="Нет данных",0,_xll.CbondsTradingVolume($B8,N$4,VLOOKUP($E8,'Help Page'!$L:$P,3,0))))</f>
        <v>478575.24</v>
      </c>
      <c r="O8" s="23">
        <f>IF($B8 = 0,"",IF(_xll.CbondsTradingVolume($B8,O$4,VLOOKUP($E8,'Help Page'!$L:$P,3,0))="Нет данных",0,_xll.CbondsTradingVolume($B8,O$4,VLOOKUP($E8,'Help Page'!$L:$P,3,0))))</f>
        <v>602013.59</v>
      </c>
      <c r="P8" s="23">
        <f>IF($B8 = 0,"",IF(_xll.CbondsTradingVolume($B8,P$4,VLOOKUP($E8,'Help Page'!$L:$P,3,0))="Нет данных",0,_xll.CbondsTradingVolume($B8,P$4,VLOOKUP($E8,'Help Page'!$L:$P,3,0))))</f>
        <v>138727.97</v>
      </c>
      <c r="Q8" s="23">
        <f>IF($B8 = 0,"",IF(_xll.CbondsTradingVolume($B8,Q$4,VLOOKUP($E8,'Help Page'!$L:$P,3,0))="Нет данных",0,_xll.CbondsTradingVolume($B8,Q$4,VLOOKUP($E8,'Help Page'!$L:$P,3,0))))</f>
        <v>0</v>
      </c>
      <c r="R8" s="23">
        <f>IF($B8 = 0,"",IF(_xll.CbondsTradingVolume($B8,R$4,VLOOKUP($E8,'Help Page'!$L:$P,3,0))="Нет данных",0,_xll.CbondsTradingVolume($B8,R$4,VLOOKUP($E8,'Help Page'!$L:$P,3,0))))</f>
        <v>0</v>
      </c>
      <c r="S8" s="23">
        <f>IF($B8 = 0,"",IF(_xll.CbondsTradingVolume($B8,S$4,VLOOKUP($E8,'Help Page'!$L:$P,3,0))="Нет данных",0,_xll.CbondsTradingVolume($B8,S$4,VLOOKUP($E8,'Help Page'!$L:$P,3,0))))</f>
        <v>213270.85</v>
      </c>
      <c r="T8" s="23">
        <f>IF($B8 = 0,"",IF(_xll.CbondsTradingVolume($B8,T$4,VLOOKUP($E8,'Help Page'!$L:$P,3,0))="Нет данных",0,_xll.CbondsTradingVolume($B8,T$4,VLOOKUP($E8,'Help Page'!$L:$P,3,0))))</f>
        <v>140302.73000000001</v>
      </c>
      <c r="U8" s="23">
        <f>IF($B8 = 0,"",IF(_xll.CbondsTradingVolume($B8,U$4,VLOOKUP($E8,'Help Page'!$L:$P,3,0))="Нет данных",0,_xll.CbondsTradingVolume($B8,U$4,VLOOKUP($E8,'Help Page'!$L:$P,3,0))))</f>
        <v>290047.75</v>
      </c>
      <c r="V8" s="23">
        <f>IF($B8 = 0,"",IF(_xll.CbondsTradingVolume($B8,V$4,VLOOKUP($E8,'Help Page'!$L:$P,3,0))="Нет данных",0,_xll.CbondsTradingVolume($B8,V$4,VLOOKUP($E8,'Help Page'!$L:$P,3,0))))</f>
        <v>1839155.48</v>
      </c>
      <c r="W8" s="23">
        <f>IF($B8 = 0,"",IF(_xll.CbondsTradingVolume($B8,W$4,VLOOKUP($E8,'Help Page'!$L:$P,3,0))="Нет данных",0,_xll.CbondsTradingVolume($B8,W$4,VLOOKUP($E8,'Help Page'!$L:$P,3,0))))</f>
        <v>845206.77</v>
      </c>
      <c r="X8" s="23">
        <f>IF($B8 = 0,"",IF(_xll.CbondsTradingVolume($B8,X$4,VLOOKUP($E8,'Help Page'!$L:$P,3,0))="Нет данных",0,_xll.CbondsTradingVolume($B8,X$4,VLOOKUP($E8,'Help Page'!$L:$P,3,0))))</f>
        <v>0</v>
      </c>
      <c r="Y8" s="23">
        <f>IF($B8 = 0,"",IF(_xll.CbondsTradingVolume($B8,Y$4,VLOOKUP($E8,'Help Page'!$L:$P,3,0))="Нет данных",0,_xll.CbondsTradingVolume($B8,Y$4,VLOOKUP($E8,'Help Page'!$L:$P,3,0))))</f>
        <v>0</v>
      </c>
      <c r="Z8" s="23">
        <f>IF($B8 = 0,"",IF(_xll.CbondsTradingVolume($B8,Z$4,VLOOKUP($E8,'Help Page'!$L:$P,3,0))="Нет данных",0,_xll.CbondsTradingVolume($B8,Z$4,VLOOKUP($E8,'Help Page'!$L:$P,3,0))))</f>
        <v>290178.09999999998</v>
      </c>
      <c r="AA8" s="23">
        <f>IF($B8 = 0,"",IF(_xll.CbondsTradingVolume($B8,AA$4,VLOOKUP($E8,'Help Page'!$L:$P,3,0))="Нет данных",0,_xll.CbondsTradingVolume($B8,AA$4,VLOOKUP($E8,'Help Page'!$L:$P,3,0))))</f>
        <v>380782.13</v>
      </c>
      <c r="AB8" s="23">
        <f>IF($B8 = 0,"",IF(_xll.CbondsTradingVolume($B8,AB$4,VLOOKUP($E8,'Help Page'!$L:$P,3,0))="Нет данных",0,_xll.CbondsTradingVolume($B8,AB$4,VLOOKUP($E8,'Help Page'!$L:$P,3,0))))</f>
        <v>638220.93999999994</v>
      </c>
      <c r="AC8" s="23">
        <f>IF($B8 = 0,"",IF(_xll.CbondsTradingVolume($B8,AC$4,VLOOKUP($E8,'Help Page'!$L:$P,3,0))="Нет данных",0,_xll.CbondsTradingVolume($B8,AC$4,VLOOKUP($E8,'Help Page'!$L:$P,3,0))))</f>
        <v>370585.97</v>
      </c>
      <c r="AD8" s="23">
        <f>IF($B8 = 0,"",IF(_xll.CbondsTradingVolume($B8,AD$4,VLOOKUP($E8,'Help Page'!$L:$P,3,0))="Нет данных",0,_xll.CbondsTradingVolume($B8,AD$4,VLOOKUP($E8,'Help Page'!$L:$P,3,0))))</f>
        <v>441065.51</v>
      </c>
      <c r="AE8" s="23">
        <f>IF($B8 = 0,"",IF(_xll.CbondsTradingVolume($B8,AE$4,VLOOKUP($E8,'Help Page'!$L:$P,3,0))="Нет данных",0,_xll.CbondsTradingVolume($B8,AE$4,VLOOKUP($E8,'Help Page'!$L:$P,3,0))))</f>
        <v>0</v>
      </c>
      <c r="AF8" s="23">
        <f>IF($B8 = 0,"",IF(_xll.CbondsTradingVolume($B8,AF$4,VLOOKUP($E8,'Help Page'!$L:$P,3,0))="Нет данных",0,_xll.CbondsTradingVolume($B8,AF$4,VLOOKUP($E8,'Help Page'!$L:$P,3,0))))</f>
        <v>0</v>
      </c>
      <c r="AG8" s="23">
        <f>IF($B8 = 0,"",IF(_xll.CbondsTradingVolume($B8,AG$4,VLOOKUP($E8,'Help Page'!$L:$P,3,0))="Нет данных",0,_xll.CbondsTradingVolume($B8,AG$4,VLOOKUP($E8,'Help Page'!$L:$P,3,0))))</f>
        <v>778468.69</v>
      </c>
      <c r="AH8" s="23">
        <f>IF($B8 = 0,"",IF(_xll.CbondsTradingVolume($B8,AH$4,VLOOKUP($E8,'Help Page'!$L:$P,3,0))="Нет данных",0,_xll.CbondsTradingVolume($B8,AH$4,VLOOKUP($E8,'Help Page'!$L:$P,3,0))))</f>
        <v>288361.87</v>
      </c>
      <c r="AI8" s="23">
        <f>IF($B8 = 0,"",IF(_xll.CbondsTradingVolume($B8,AI$4,VLOOKUP($E8,'Help Page'!$L:$P,3,0))="Нет данных",0,_xll.CbondsTradingVolume($B8,AI$4,VLOOKUP($E8,'Help Page'!$L:$P,3,0))))</f>
        <v>0</v>
      </c>
      <c r="AJ8" s="171">
        <f>SUM(F8:AI8)*VLOOKUP($E8,'Help Page'!$L:$P,5,0)</f>
        <v>20709189.610000007</v>
      </c>
      <c r="AK8" s="157">
        <f>IF($B8 = 0,"",IF(_xll.CbondsDealsNumber($B8,AK$4,VLOOKUP($E8,'Help Page'!$L:$P,3,0))="Нет данных",0,_xll.CbondsDealsNumber($B8,AK$4,VLOOKUP($E8,'Help Page'!$L:$P,3,0))))</f>
        <v>27</v>
      </c>
      <c r="AL8" s="157">
        <f>IF($B8 = 0,"",IF(_xll.CbondsDealsNumber($B8,AL$4,VLOOKUP($E8,'Help Page'!$L:$P,3,0))="Нет данных",0,_xll.CbondsDealsNumber($B8,AL$4,VLOOKUP($E8,'Help Page'!$L:$P,3,0))))</f>
        <v>37</v>
      </c>
      <c r="AM8" s="157">
        <f>IF($B8 = 0,"",IF(_xll.CbondsDealsNumber($B8,AM$4,VLOOKUP($E8,'Help Page'!$L:$P,3,0))="Нет данных",0,_xll.CbondsDealsNumber($B8,AM$4,VLOOKUP($E8,'Help Page'!$L:$P,3,0))))</f>
        <v>7</v>
      </c>
      <c r="AN8" s="157">
        <f>IF($B8 = 0,"",IF(_xll.CbondsDealsNumber($B8,AN$4,VLOOKUP($E8,'Help Page'!$L:$P,3,0))="Нет данных",0,_xll.CbondsDealsNumber($B8,AN$4,VLOOKUP($E8,'Help Page'!$L:$P,3,0))))</f>
        <v>20</v>
      </c>
      <c r="AO8" s="157">
        <f>IF($B8 = 0,"",IF(_xll.CbondsDealsNumber($B8,AO$4,VLOOKUP($E8,'Help Page'!$L:$P,3,0))="Нет данных",0,_xll.CbondsDealsNumber($B8,AO$4,VLOOKUP($E8,'Help Page'!$L:$P,3,0))))</f>
        <v>0</v>
      </c>
      <c r="AP8" s="157">
        <f>IF($B8 = 0,"",IF(_xll.CbondsDealsNumber($B8,AP$4,VLOOKUP($E8,'Help Page'!$L:$P,3,0))="Нет данных",0,_xll.CbondsDealsNumber($B8,AP$4,VLOOKUP($E8,'Help Page'!$L:$P,3,0))))</f>
        <v>0</v>
      </c>
      <c r="AQ8" s="157">
        <f>IF($B8 = 0,"",IF(_xll.CbondsDealsNumber($B8,AQ$4,VLOOKUP($E8,'Help Page'!$L:$P,3,0))="Нет данных",0,_xll.CbondsDealsNumber($B8,AQ$4,VLOOKUP($E8,'Help Page'!$L:$P,3,0))))</f>
        <v>34</v>
      </c>
      <c r="AR8" s="157">
        <f>IF($B8 = 0,"",IF(_xll.CbondsDealsNumber($B8,AR$4,VLOOKUP($E8,'Help Page'!$L:$P,3,0))="Нет данных",0,_xll.CbondsDealsNumber($B8,AR$4,VLOOKUP($E8,'Help Page'!$L:$P,3,0))))</f>
        <v>13</v>
      </c>
      <c r="AS8" s="157">
        <f>IF($B8 = 0,"",IF(_xll.CbondsDealsNumber($B8,AS$4,VLOOKUP($E8,'Help Page'!$L:$P,3,0))="Нет данных",0,_xll.CbondsDealsNumber($B8,AS$4,VLOOKUP($E8,'Help Page'!$L:$P,3,0))))</f>
        <v>19</v>
      </c>
      <c r="AT8" s="157">
        <f>IF($B8 = 0,"",IF(_xll.CbondsDealsNumber($B8,AT$4,VLOOKUP($E8,'Help Page'!$L:$P,3,0))="Нет данных",0,_xll.CbondsDealsNumber($B8,AT$4,VLOOKUP($E8,'Help Page'!$L:$P,3,0))))</f>
        <v>16</v>
      </c>
      <c r="AU8" s="157">
        <f>IF($B8 = 0,"",IF(_xll.CbondsDealsNumber($B8,AU$4,VLOOKUP($E8,'Help Page'!$L:$P,3,0))="Нет данных",0,_xll.CbondsDealsNumber($B8,AU$4,VLOOKUP($E8,'Help Page'!$L:$P,3,0))))</f>
        <v>11</v>
      </c>
      <c r="AV8" s="157">
        <f>IF($B8 = 0,"",IF(_xll.CbondsDealsNumber($B8,AV$4,VLOOKUP($E8,'Help Page'!$L:$P,3,0))="Нет данных",0,_xll.CbondsDealsNumber($B8,AV$4,VLOOKUP($E8,'Help Page'!$L:$P,3,0))))</f>
        <v>0</v>
      </c>
      <c r="AW8" s="157">
        <f>IF($B8 = 0,"",IF(_xll.CbondsDealsNumber($B8,AW$4,VLOOKUP($E8,'Help Page'!$L:$P,3,0))="Нет данных",0,_xll.CbondsDealsNumber($B8,AW$4,VLOOKUP($E8,'Help Page'!$L:$P,3,0))))</f>
        <v>0</v>
      </c>
      <c r="AX8" s="157">
        <f>IF($B8 = 0,"",IF(_xll.CbondsDealsNumber($B8,AX$4,VLOOKUP($E8,'Help Page'!$L:$P,3,0))="Нет данных",0,_xll.CbondsDealsNumber($B8,AX$4,VLOOKUP($E8,'Help Page'!$L:$P,3,0))))</f>
        <v>10</v>
      </c>
      <c r="AY8" s="157">
        <f>IF($B8 = 0,"",IF(_xll.CbondsDealsNumber($B8,AY$4,VLOOKUP($E8,'Help Page'!$L:$P,3,0))="Нет данных",0,_xll.CbondsDealsNumber($B8,AY$4,VLOOKUP($E8,'Help Page'!$L:$P,3,0))))</f>
        <v>7</v>
      </c>
      <c r="AZ8" s="157">
        <f>IF($B8 = 0,"",IF(_xll.CbondsDealsNumber($B8,AZ$4,VLOOKUP($E8,'Help Page'!$L:$P,3,0))="Нет данных",0,_xll.CbondsDealsNumber($B8,AZ$4,VLOOKUP($E8,'Help Page'!$L:$P,3,0))))</f>
        <v>16</v>
      </c>
      <c r="BA8" s="157">
        <f>IF($B8 = 0,"",IF(_xll.CbondsDealsNumber($B8,BA$4,VLOOKUP($E8,'Help Page'!$L:$P,3,0))="Нет данных",0,_xll.CbondsDealsNumber($B8,BA$4,VLOOKUP($E8,'Help Page'!$L:$P,3,0))))</f>
        <v>48</v>
      </c>
      <c r="BB8" s="157">
        <f>IF($B8 = 0,"",IF(_xll.CbondsDealsNumber($B8,BB$4,VLOOKUP($E8,'Help Page'!$L:$P,3,0))="Нет данных",0,_xll.CbondsDealsNumber($B8,BB$4,VLOOKUP($E8,'Help Page'!$L:$P,3,0))))</f>
        <v>35</v>
      </c>
      <c r="BC8" s="157">
        <f>IF($B8 = 0,"",IF(_xll.CbondsDealsNumber($B8,BC$4,VLOOKUP($E8,'Help Page'!$L:$P,3,0))="Нет данных",0,_xll.CbondsDealsNumber($B8,BC$4,VLOOKUP($E8,'Help Page'!$L:$P,3,0))))</f>
        <v>0</v>
      </c>
      <c r="BD8" s="157">
        <f>IF($B8 = 0,"",IF(_xll.CbondsDealsNumber($B8,BD$4,VLOOKUP($E8,'Help Page'!$L:$P,3,0))="Нет данных",0,_xll.CbondsDealsNumber($B8,BD$4,VLOOKUP($E8,'Help Page'!$L:$P,3,0))))</f>
        <v>0</v>
      </c>
      <c r="BE8" s="157">
        <f>IF($B8 = 0,"",IF(_xll.CbondsDealsNumber($B8,BE$4,VLOOKUP($E8,'Help Page'!$L:$P,3,0))="Нет данных",0,_xll.CbondsDealsNumber($B8,BE$4,VLOOKUP($E8,'Help Page'!$L:$P,3,0))))</f>
        <v>11</v>
      </c>
      <c r="BF8" s="157">
        <f>IF($B8 = 0,"",IF(_xll.CbondsDealsNumber($B8,BF$4,VLOOKUP($E8,'Help Page'!$L:$P,3,0))="Нет данных",0,_xll.CbondsDealsNumber($B8,BF$4,VLOOKUP($E8,'Help Page'!$L:$P,3,0))))</f>
        <v>22</v>
      </c>
      <c r="BG8" s="157">
        <f>IF($B8 = 0,"",IF(_xll.CbondsDealsNumber($B8,BG$4,VLOOKUP($E8,'Help Page'!$L:$P,3,0))="Нет данных",0,_xll.CbondsDealsNumber($B8,BG$4,VLOOKUP($E8,'Help Page'!$L:$P,3,0))))</f>
        <v>24</v>
      </c>
      <c r="BH8" s="157">
        <f>IF($B8 = 0,"",IF(_xll.CbondsDealsNumber($B8,BH$4,VLOOKUP($E8,'Help Page'!$L:$P,3,0))="Нет данных",0,_xll.CbondsDealsNumber($B8,BH$4,VLOOKUP($E8,'Help Page'!$L:$P,3,0))))</f>
        <v>11</v>
      </c>
      <c r="BI8" s="157">
        <f>IF($B8 = 0,"",IF(_xll.CbondsDealsNumber($B8,BI$4,VLOOKUP($E8,'Help Page'!$L:$P,3,0))="Нет данных",0,_xll.CbondsDealsNumber($B8,BI$4,VLOOKUP($E8,'Help Page'!$L:$P,3,0))))</f>
        <v>16</v>
      </c>
      <c r="BJ8" s="157">
        <f>IF($B8 = 0,"",IF(_xll.CbondsDealsNumber($B8,BJ$4,VLOOKUP($E8,'Help Page'!$L:$P,3,0))="Нет данных",0,_xll.CbondsDealsNumber($B8,BJ$4,VLOOKUP($E8,'Help Page'!$L:$P,3,0))))</f>
        <v>0</v>
      </c>
      <c r="BK8" s="157">
        <f>IF($B8 = 0,"",IF(_xll.CbondsDealsNumber($B8,BK$4,VLOOKUP($E8,'Help Page'!$L:$P,3,0))="Нет данных",0,_xll.CbondsDealsNumber($B8,BK$4,VLOOKUP($E8,'Help Page'!$L:$P,3,0))))</f>
        <v>0</v>
      </c>
      <c r="BL8" s="157">
        <f>IF($B8 = 0,"",IF(_xll.CbondsDealsNumber($B8,BL$4,VLOOKUP($E8,'Help Page'!$L:$P,3,0))="Нет данных",0,_xll.CbondsDealsNumber($B8,BL$4,VLOOKUP($E8,'Help Page'!$L:$P,3,0))))</f>
        <v>29</v>
      </c>
      <c r="BM8" s="157">
        <f>IF($B8 = 0,"",IF(_xll.CbondsDealsNumber($B8,BM$4,VLOOKUP($E8,'Help Page'!$L:$P,3,0))="Нет данных",0,_xll.CbondsDealsNumber($B8,BM$4,VLOOKUP($E8,'Help Page'!$L:$P,3,0))))</f>
        <v>15</v>
      </c>
      <c r="BN8" s="157">
        <f>IF($B8 = 0,"",IF(_xll.CbondsDealsNumber($B8,BN$4,VLOOKUP($E8,'Help Page'!$L:$P,3,0))="Нет данных",0,_xll.CbondsDealsNumber($B8,BN$4,VLOOKUP($E8,'Help Page'!$L:$P,3,0))))</f>
        <v>0</v>
      </c>
      <c r="BO8" s="156">
        <f t="shared" si="0"/>
        <v>428</v>
      </c>
      <c r="BP8" s="156">
        <f>COUNTIF(AK8:BN8, "&gt;0")</f>
        <v>21</v>
      </c>
    </row>
    <row r="9" spans="1:68" x14ac:dyDescent="0.3">
      <c r="A9" s="18" t="s">
        <v>2080</v>
      </c>
      <c r="B9" s="143"/>
      <c r="C9" s="143"/>
      <c r="D9" s="148"/>
      <c r="E9" s="158" t="s">
        <v>2081</v>
      </c>
      <c r="F9" s="159" t="str">
        <f>IF(B5 = 0,"",IF(AJ9 = 0, "торгов нет", IF(MAX(AJ5:AJ8) = AJ5,E5,IF(MAX(AJ5:AJ8) = AJ6,E6,IF(MAX(AJ5:AJ8) = AJ7,E7,E8)))))</f>
        <v>Московская Биржа T+ (CNY)</v>
      </c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172">
        <f>IF($B5 = 0,"",SUM(AJ5:AJ8)/VLOOKUP(C5,'Help Page'!$M:$Q,4,0)/D5)</f>
        <v>1.6832967525992344E-2</v>
      </c>
      <c r="AK9" s="160">
        <f>SUM(AK5:AK8)</f>
        <v>158</v>
      </c>
      <c r="AL9" s="160">
        <f t="shared" ref="AL9:BN9" si="2">SUM(AL5:AL8)</f>
        <v>105</v>
      </c>
      <c r="AM9" s="160">
        <f t="shared" si="2"/>
        <v>49</v>
      </c>
      <c r="AN9" s="160">
        <f t="shared" si="2"/>
        <v>80</v>
      </c>
      <c r="AO9" s="160">
        <f t="shared" si="2"/>
        <v>0</v>
      </c>
      <c r="AP9" s="160">
        <f t="shared" si="2"/>
        <v>0</v>
      </c>
      <c r="AQ9" s="160">
        <f t="shared" si="2"/>
        <v>80</v>
      </c>
      <c r="AR9" s="160">
        <f t="shared" si="2"/>
        <v>113</v>
      </c>
      <c r="AS9" s="160">
        <f t="shared" si="2"/>
        <v>152</v>
      </c>
      <c r="AT9" s="160">
        <f t="shared" si="2"/>
        <v>121</v>
      </c>
      <c r="AU9" s="160">
        <f t="shared" si="2"/>
        <v>108</v>
      </c>
      <c r="AV9" s="160">
        <f t="shared" si="2"/>
        <v>0</v>
      </c>
      <c r="AW9" s="160">
        <f t="shared" si="2"/>
        <v>0</v>
      </c>
      <c r="AX9" s="160">
        <f t="shared" si="2"/>
        <v>126</v>
      </c>
      <c r="AY9" s="160">
        <f t="shared" si="2"/>
        <v>53</v>
      </c>
      <c r="AZ9" s="160">
        <f t="shared" si="2"/>
        <v>80</v>
      </c>
      <c r="BA9" s="160">
        <f t="shared" si="2"/>
        <v>157</v>
      </c>
      <c r="BB9" s="160">
        <f t="shared" si="2"/>
        <v>102</v>
      </c>
      <c r="BC9" s="160">
        <f t="shared" si="2"/>
        <v>0</v>
      </c>
      <c r="BD9" s="160">
        <f t="shared" si="2"/>
        <v>0</v>
      </c>
      <c r="BE9" s="160">
        <f t="shared" si="2"/>
        <v>77</v>
      </c>
      <c r="BF9" s="160">
        <f t="shared" si="2"/>
        <v>60</v>
      </c>
      <c r="BG9" s="160">
        <f t="shared" si="2"/>
        <v>87</v>
      </c>
      <c r="BH9" s="160">
        <f t="shared" si="2"/>
        <v>73</v>
      </c>
      <c r="BI9" s="160">
        <f t="shared" si="2"/>
        <v>61</v>
      </c>
      <c r="BJ9" s="160">
        <f t="shared" si="2"/>
        <v>0</v>
      </c>
      <c r="BK9" s="160">
        <f t="shared" si="2"/>
        <v>0</v>
      </c>
      <c r="BL9" s="160">
        <f t="shared" si="2"/>
        <v>103</v>
      </c>
      <c r="BM9" s="160">
        <f t="shared" si="2"/>
        <v>71</v>
      </c>
      <c r="BN9" s="160">
        <f t="shared" si="2"/>
        <v>0</v>
      </c>
      <c r="BO9" s="161">
        <f>IF($B5 = 0,"",SUM(BO5:BO8))</f>
        <v>2016</v>
      </c>
      <c r="BP9" s="161">
        <f>IF($B5 = 0,"",COUNTIF(AK9:BN9, "&gt;0"))</f>
        <v>21</v>
      </c>
    </row>
    <row r="10" spans="1:68" x14ac:dyDescent="0.3">
      <c r="A10" s="18"/>
      <c r="B10" s="162"/>
      <c r="C10" s="162"/>
      <c r="D10" s="163"/>
      <c r="E10" s="162"/>
      <c r="F10" s="164"/>
      <c r="G10" s="164"/>
      <c r="H10" s="164"/>
      <c r="I10" s="164"/>
      <c r="J10" s="164"/>
      <c r="K10" s="164"/>
      <c r="L10" s="164"/>
      <c r="M10" s="164"/>
      <c r="N10" s="164"/>
      <c r="O10" s="164"/>
      <c r="P10" s="164"/>
      <c r="Q10" s="164"/>
      <c r="R10" s="164"/>
      <c r="S10" s="164"/>
      <c r="T10" s="164"/>
      <c r="U10" s="164"/>
      <c r="V10" s="164"/>
      <c r="W10" s="164"/>
      <c r="X10" s="164"/>
      <c r="Y10" s="164"/>
      <c r="Z10" s="164"/>
      <c r="AA10" s="164"/>
      <c r="AB10" s="164"/>
      <c r="AC10" s="164"/>
      <c r="AD10" s="164"/>
      <c r="AE10" s="164"/>
      <c r="AF10" s="164"/>
      <c r="AG10" s="164"/>
      <c r="AH10" s="164"/>
      <c r="AI10" s="164"/>
      <c r="AJ10" s="171"/>
      <c r="AK10" s="164"/>
      <c r="AL10" s="164"/>
      <c r="AM10" s="164"/>
      <c r="AN10" s="164"/>
      <c r="AO10" s="164"/>
      <c r="AP10" s="164"/>
      <c r="AQ10" s="164"/>
      <c r="AR10" s="164"/>
      <c r="AS10" s="164"/>
      <c r="AT10" s="164"/>
      <c r="AU10" s="164"/>
      <c r="AV10" s="164"/>
      <c r="AW10" s="164"/>
      <c r="AX10" s="164"/>
      <c r="AY10" s="164"/>
      <c r="AZ10" s="164"/>
      <c r="BA10" s="164"/>
      <c r="BB10" s="164"/>
      <c r="BC10" s="164"/>
      <c r="BD10" s="164"/>
      <c r="BE10" s="164"/>
      <c r="BF10" s="164"/>
      <c r="BG10" s="164"/>
      <c r="BH10" s="164"/>
      <c r="BI10" s="164"/>
      <c r="BJ10" s="164"/>
      <c r="BK10" s="164"/>
      <c r="BL10" s="164"/>
      <c r="BM10" s="164"/>
      <c r="BN10" s="164"/>
      <c r="BO10" s="156"/>
      <c r="BP10" s="156"/>
    </row>
    <row r="11" spans="1:68" x14ac:dyDescent="0.3">
      <c r="A11" s="18">
        <v>2</v>
      </c>
      <c r="B11" s="143" t="str">
        <f>Calculation!$J$27</f>
        <v>RU000A103JR3</v>
      </c>
      <c r="C11" s="143" t="str">
        <f>IF($B11 = 0,"",_xll.CbondsCurrency(B11))</f>
        <v>RUB</v>
      </c>
      <c r="D11" s="148">
        <f>IF($B11 = 0,"",_xll.ReferenceParams(B11,"SumMarketVal"))</f>
        <v>239029200</v>
      </c>
      <c r="E11" s="143" t="s">
        <v>2076</v>
      </c>
      <c r="F11" s="23">
        <f>IF($B11 = 0,"",IF(_xll.CbondsTradingVolume($B11,F$4,VLOOKUP($E11,'Help Page'!$L:$P,3,0))="Нет данных",0,_xll.CbondsTradingVolume($B11,F$4,VLOOKUP($E11,'Help Page'!$L:$P,3,0))))</f>
        <v>0</v>
      </c>
      <c r="G11" s="23">
        <f>IF($B11 = 0,"",IF(_xll.CbondsTradingVolume($B11,G$4,VLOOKUP($E11,'Help Page'!$L:$P,3,0))="Нет данных",0,_xll.CbondsTradingVolume($B11,G$4,VLOOKUP($E11,'Help Page'!$L:$P,3,0))))</f>
        <v>0</v>
      </c>
      <c r="H11" s="23">
        <f>IF($B11 = 0,"",IF(_xll.CbondsTradingVolume($B11,H$4,VLOOKUP($E11,'Help Page'!$L:$P,3,0))="Нет данных",0,_xll.CbondsTradingVolume($B11,H$4,VLOOKUP($E11,'Help Page'!$L:$P,3,0))))</f>
        <v>0</v>
      </c>
      <c r="I11" s="23">
        <f>IF($B11 = 0,"",IF(_xll.CbondsTradingVolume($B11,I$4,VLOOKUP($E11,'Help Page'!$L:$P,3,0))="Нет данных",0,_xll.CbondsTradingVolume($B11,I$4,VLOOKUP($E11,'Help Page'!$L:$P,3,0))))</f>
        <v>0</v>
      </c>
      <c r="J11" s="23">
        <f>IF($B11 = 0,"",IF(_xll.CbondsTradingVolume($B11,J$4,VLOOKUP($E11,'Help Page'!$L:$P,3,0))="Нет данных",0,_xll.CbondsTradingVolume($B11,J$4,VLOOKUP($E11,'Help Page'!$L:$P,3,0))))</f>
        <v>0</v>
      </c>
      <c r="K11" s="23">
        <f>IF($B11 = 0,"",IF(_xll.CbondsTradingVolume($B11,K$4,VLOOKUP($E11,'Help Page'!$L:$P,3,0))="Нет данных",0,_xll.CbondsTradingVolume($B11,K$4,VLOOKUP($E11,'Help Page'!$L:$P,3,0))))</f>
        <v>0</v>
      </c>
      <c r="L11" s="23">
        <f>IF($B11 = 0,"",IF(_xll.CbondsTradingVolume($B11,L$4,VLOOKUP($E11,'Help Page'!$L:$P,3,0))="Нет данных",0,_xll.CbondsTradingVolume($B11,L$4,VLOOKUP($E11,'Help Page'!$L:$P,3,0))))</f>
        <v>0</v>
      </c>
      <c r="M11" s="23">
        <f>IF($B11 = 0,"",IF(_xll.CbondsTradingVolume($B11,M$4,VLOOKUP($E11,'Help Page'!$L:$P,3,0))="Нет данных",0,_xll.CbondsTradingVolume($B11,M$4,VLOOKUP($E11,'Help Page'!$L:$P,3,0))))</f>
        <v>0</v>
      </c>
      <c r="N11" s="23">
        <f>IF($B11 = 0,"",IF(_xll.CbondsTradingVolume($B11,N$4,VLOOKUP($E11,'Help Page'!$L:$P,3,0))="Нет данных",0,_xll.CbondsTradingVolume($B11,N$4,VLOOKUP($E11,'Help Page'!$L:$P,3,0))))</f>
        <v>0</v>
      </c>
      <c r="O11" s="23">
        <f>IF($B11 = 0,"",IF(_xll.CbondsTradingVolume($B11,O$4,VLOOKUP($E11,'Help Page'!$L:$P,3,0))="Нет данных",0,_xll.CbondsTradingVolume($B11,O$4,VLOOKUP($E11,'Help Page'!$L:$P,3,0))))</f>
        <v>0</v>
      </c>
      <c r="P11" s="23">
        <f>IF($B11 = 0,"",IF(_xll.CbondsTradingVolume($B11,P$4,VLOOKUP($E11,'Help Page'!$L:$P,3,0))="Нет данных",0,_xll.CbondsTradingVolume($B11,P$4,VLOOKUP($E11,'Help Page'!$L:$P,3,0))))</f>
        <v>0</v>
      </c>
      <c r="Q11" s="23">
        <f>IF($B11 = 0,"",IF(_xll.CbondsTradingVolume($B11,Q$4,VLOOKUP($E11,'Help Page'!$L:$P,3,0))="Нет данных",0,_xll.CbondsTradingVolume($B11,Q$4,VLOOKUP($E11,'Help Page'!$L:$P,3,0))))</f>
        <v>0</v>
      </c>
      <c r="R11" s="23">
        <f>IF($B11 = 0,"",IF(_xll.CbondsTradingVolume($B11,R$4,VLOOKUP($E11,'Help Page'!$L:$P,3,0))="Нет данных",0,_xll.CbondsTradingVolume($B11,R$4,VLOOKUP($E11,'Help Page'!$L:$P,3,0))))</f>
        <v>0</v>
      </c>
      <c r="S11" s="23">
        <f>IF($B11 = 0,"",IF(_xll.CbondsTradingVolume($B11,S$4,VLOOKUP($E11,'Help Page'!$L:$P,3,0))="Нет данных",0,_xll.CbondsTradingVolume($B11,S$4,VLOOKUP($E11,'Help Page'!$L:$P,3,0))))</f>
        <v>0</v>
      </c>
      <c r="T11" s="23">
        <f>IF($B11 = 0,"",IF(_xll.CbondsTradingVolume($B11,T$4,VLOOKUP($E11,'Help Page'!$L:$P,3,0))="Нет данных",0,_xll.CbondsTradingVolume($B11,T$4,VLOOKUP($E11,'Help Page'!$L:$P,3,0))))</f>
        <v>0</v>
      </c>
      <c r="U11" s="23">
        <f>IF($B11 = 0,"",IF(_xll.CbondsTradingVolume($B11,U$4,VLOOKUP($E11,'Help Page'!$L:$P,3,0))="Нет данных",0,_xll.CbondsTradingVolume($B11,U$4,VLOOKUP($E11,'Help Page'!$L:$P,3,0))))</f>
        <v>0</v>
      </c>
      <c r="V11" s="23">
        <f>IF($B11 = 0,"",IF(_xll.CbondsTradingVolume($B11,V$4,VLOOKUP($E11,'Help Page'!$L:$P,3,0))="Нет данных",0,_xll.CbondsTradingVolume($B11,V$4,VLOOKUP($E11,'Help Page'!$L:$P,3,0))))</f>
        <v>0</v>
      </c>
      <c r="W11" s="23">
        <f>IF($B11 = 0,"",IF(_xll.CbondsTradingVolume($B11,W$4,VLOOKUP($E11,'Help Page'!$L:$P,3,0))="Нет данных",0,_xll.CbondsTradingVolume($B11,W$4,VLOOKUP($E11,'Help Page'!$L:$P,3,0))))</f>
        <v>0</v>
      </c>
      <c r="X11" s="23">
        <f>IF($B11 = 0,"",IF(_xll.CbondsTradingVolume($B11,X$4,VLOOKUP($E11,'Help Page'!$L:$P,3,0))="Нет данных",0,_xll.CbondsTradingVolume($B11,X$4,VLOOKUP($E11,'Help Page'!$L:$P,3,0))))</f>
        <v>0</v>
      </c>
      <c r="Y11" s="23">
        <f>IF($B11 = 0,"",IF(_xll.CbondsTradingVolume($B11,Y$4,VLOOKUP($E11,'Help Page'!$L:$P,3,0))="Нет данных",0,_xll.CbondsTradingVolume($B11,Y$4,VLOOKUP($E11,'Help Page'!$L:$P,3,0))))</f>
        <v>0</v>
      </c>
      <c r="Z11" s="23">
        <f>IF($B11 = 0,"",IF(_xll.CbondsTradingVolume($B11,Z$4,VLOOKUP($E11,'Help Page'!$L:$P,3,0))="Нет данных",0,_xll.CbondsTradingVolume($B11,Z$4,VLOOKUP($E11,'Help Page'!$L:$P,3,0))))</f>
        <v>0</v>
      </c>
      <c r="AA11" s="23">
        <f>IF($B11 = 0,"",IF(_xll.CbondsTradingVolume($B11,AA$4,VLOOKUP($E11,'Help Page'!$L:$P,3,0))="Нет данных",0,_xll.CbondsTradingVolume($B11,AA$4,VLOOKUP($E11,'Help Page'!$L:$P,3,0))))</f>
        <v>0</v>
      </c>
      <c r="AB11" s="23">
        <f>IF($B11 = 0,"",IF(_xll.CbondsTradingVolume($B11,AB$4,VLOOKUP($E11,'Help Page'!$L:$P,3,0))="Нет данных",0,_xll.CbondsTradingVolume($B11,AB$4,VLOOKUP($E11,'Help Page'!$L:$P,3,0))))</f>
        <v>0</v>
      </c>
      <c r="AC11" s="23">
        <f>IF($B11 = 0,"",IF(_xll.CbondsTradingVolume($B11,AC$4,VLOOKUP($E11,'Help Page'!$L:$P,3,0))="Нет данных",0,_xll.CbondsTradingVolume($B11,AC$4,VLOOKUP($E11,'Help Page'!$L:$P,3,0))))</f>
        <v>0</v>
      </c>
      <c r="AD11" s="23">
        <f>IF($B11 = 0,"",IF(_xll.CbondsTradingVolume($B11,AD$4,VLOOKUP($E11,'Help Page'!$L:$P,3,0))="Нет данных",0,_xll.CbondsTradingVolume($B11,AD$4,VLOOKUP($E11,'Help Page'!$L:$P,3,0))))</f>
        <v>0</v>
      </c>
      <c r="AE11" s="23">
        <f>IF($B11 = 0,"",IF(_xll.CbondsTradingVolume($B11,AE$4,VLOOKUP($E11,'Help Page'!$L:$P,3,0))="Нет данных",0,_xll.CbondsTradingVolume($B11,AE$4,VLOOKUP($E11,'Help Page'!$L:$P,3,0))))</f>
        <v>0</v>
      </c>
      <c r="AF11" s="23">
        <f>IF($B11 = 0,"",IF(_xll.CbondsTradingVolume($B11,AF$4,VLOOKUP($E11,'Help Page'!$L:$P,3,0))="Нет данных",0,_xll.CbondsTradingVolume($B11,AF$4,VLOOKUP($E11,'Help Page'!$L:$P,3,0))))</f>
        <v>0</v>
      </c>
      <c r="AG11" s="23">
        <f>IF($B11 = 0,"",IF(_xll.CbondsTradingVolume($B11,AG$4,VLOOKUP($E11,'Help Page'!$L:$P,3,0))="Нет данных",0,_xll.CbondsTradingVolume($B11,AG$4,VLOOKUP($E11,'Help Page'!$L:$P,3,0))))</f>
        <v>0</v>
      </c>
      <c r="AH11" s="23">
        <f>IF($B11 = 0,"",IF(_xll.CbondsTradingVolume($B11,AH$4,VLOOKUP($E11,'Help Page'!$L:$P,3,0))="Нет данных",0,_xll.CbondsTradingVolume($B11,AH$4,VLOOKUP($E11,'Help Page'!$L:$P,3,0))))</f>
        <v>0</v>
      </c>
      <c r="AI11" s="23">
        <f>IF($B11 = 0,"",IF(_xll.CbondsTradingVolume($B11,AI$4,VLOOKUP($E11,'Help Page'!$L:$P,3,0))="Нет данных",0,_xll.CbondsTradingVolume($B11,AI$4,VLOOKUP($E11,'Help Page'!$L:$P,3,0))))</f>
        <v>0</v>
      </c>
      <c r="AJ11" s="171">
        <f>SUM(F11:AI11)*VLOOKUP($E11,'Help Page'!$L:$P,5,0)</f>
        <v>0</v>
      </c>
      <c r="AK11" s="76">
        <f>IF($B11 = 0,"",IF(_xll.CbondsDealsNumber($B11,AK$4,VLOOKUP($E11,'Help Page'!$L:$P,3,0))="Нет данных",0,_xll.CbondsDealsNumber($B11,AK$4,VLOOKUP($E11,'Help Page'!$L:$P,3,0))))</f>
        <v>0</v>
      </c>
      <c r="AL11" s="76">
        <f>IF($B11 = 0,"",IF(_xll.CbondsDealsNumber($B11,AL$4,VLOOKUP($E11,'Help Page'!$L:$P,3,0))="Нет данных",0,_xll.CbondsDealsNumber($B11,AL$4,VLOOKUP($E11,'Help Page'!$L:$P,3,0))))</f>
        <v>0</v>
      </c>
      <c r="AM11" s="76">
        <f>IF($B11 = 0,"",IF(_xll.CbondsDealsNumber($B11,AM$4,VLOOKUP($E11,'Help Page'!$L:$P,3,0))="Нет данных",0,_xll.CbondsDealsNumber($B11,AM$4,VLOOKUP($E11,'Help Page'!$L:$P,3,0))))</f>
        <v>0</v>
      </c>
      <c r="AN11" s="76">
        <f>IF($B11 = 0,"",IF(_xll.CbondsDealsNumber($B11,AN$4,VLOOKUP($E11,'Help Page'!$L:$P,3,0))="Нет данных",0,_xll.CbondsDealsNumber($B11,AN$4,VLOOKUP($E11,'Help Page'!$L:$P,3,0))))</f>
        <v>0</v>
      </c>
      <c r="AO11" s="76">
        <f>IF($B11 = 0,"",IF(_xll.CbondsDealsNumber($B11,AO$4,VLOOKUP($E11,'Help Page'!$L:$P,3,0))="Нет данных",0,_xll.CbondsDealsNumber($B11,AO$4,VLOOKUP($E11,'Help Page'!$L:$P,3,0))))</f>
        <v>0</v>
      </c>
      <c r="AP11" s="76">
        <f>IF($B11 = 0,"",IF(_xll.CbondsDealsNumber($B11,AP$4,VLOOKUP($E11,'Help Page'!$L:$P,3,0))="Нет данных",0,_xll.CbondsDealsNumber($B11,AP$4,VLOOKUP($E11,'Help Page'!$L:$P,3,0))))</f>
        <v>0</v>
      </c>
      <c r="AQ11" s="76">
        <f>IF($B11 = 0,"",IF(_xll.CbondsDealsNumber($B11,AQ$4,VLOOKUP($E11,'Help Page'!$L:$P,3,0))="Нет данных",0,_xll.CbondsDealsNumber($B11,AQ$4,VLOOKUP($E11,'Help Page'!$L:$P,3,0))))</f>
        <v>0</v>
      </c>
      <c r="AR11" s="76">
        <f>IF($B11 = 0,"",IF(_xll.CbondsDealsNumber($B11,AR$4,VLOOKUP($E11,'Help Page'!$L:$P,3,0))="Нет данных",0,_xll.CbondsDealsNumber($B11,AR$4,VLOOKUP($E11,'Help Page'!$L:$P,3,0))))</f>
        <v>0</v>
      </c>
      <c r="AS11" s="76">
        <f>IF($B11 = 0,"",IF(_xll.CbondsDealsNumber($B11,AS$4,VLOOKUP($E11,'Help Page'!$L:$P,3,0))="Нет данных",0,_xll.CbondsDealsNumber($B11,AS$4,VLOOKUP($E11,'Help Page'!$L:$P,3,0))))</f>
        <v>0</v>
      </c>
      <c r="AT11" s="76">
        <f>IF($B11 = 0,"",IF(_xll.CbondsDealsNumber($B11,AT$4,VLOOKUP($E11,'Help Page'!$L:$P,3,0))="Нет данных",0,_xll.CbondsDealsNumber($B11,AT$4,VLOOKUP($E11,'Help Page'!$L:$P,3,0))))</f>
        <v>0</v>
      </c>
      <c r="AU11" s="76">
        <f>IF($B11 = 0,"",IF(_xll.CbondsDealsNumber($B11,AU$4,VLOOKUP($E11,'Help Page'!$L:$P,3,0))="Нет данных",0,_xll.CbondsDealsNumber($B11,AU$4,VLOOKUP($E11,'Help Page'!$L:$P,3,0))))</f>
        <v>0</v>
      </c>
      <c r="AV11" s="76">
        <f>IF($B11 = 0,"",IF(_xll.CbondsDealsNumber($B11,AV$4,VLOOKUP($E11,'Help Page'!$L:$P,3,0))="Нет данных",0,_xll.CbondsDealsNumber($B11,AV$4,VLOOKUP($E11,'Help Page'!$L:$P,3,0))))</f>
        <v>0</v>
      </c>
      <c r="AW11" s="76">
        <f>IF($B11 = 0,"",IF(_xll.CbondsDealsNumber($B11,AW$4,VLOOKUP($E11,'Help Page'!$L:$P,3,0))="Нет данных",0,_xll.CbondsDealsNumber($B11,AW$4,VLOOKUP($E11,'Help Page'!$L:$P,3,0))))</f>
        <v>0</v>
      </c>
      <c r="AX11" s="76">
        <f>IF($B11 = 0,"",IF(_xll.CbondsDealsNumber($B11,AX$4,VLOOKUP($E11,'Help Page'!$L:$P,3,0))="Нет данных",0,_xll.CbondsDealsNumber($B11,AX$4,VLOOKUP($E11,'Help Page'!$L:$P,3,0))))</f>
        <v>0</v>
      </c>
      <c r="AY11" s="76">
        <f>IF($B11 = 0,"",IF(_xll.CbondsDealsNumber($B11,AY$4,VLOOKUP($E11,'Help Page'!$L:$P,3,0))="Нет данных",0,_xll.CbondsDealsNumber($B11,AY$4,VLOOKUP($E11,'Help Page'!$L:$P,3,0))))</f>
        <v>0</v>
      </c>
      <c r="AZ11" s="76">
        <f>IF($B11 = 0,"",IF(_xll.CbondsDealsNumber($B11,AZ$4,VLOOKUP($E11,'Help Page'!$L:$P,3,0))="Нет данных",0,_xll.CbondsDealsNumber($B11,AZ$4,VLOOKUP($E11,'Help Page'!$L:$P,3,0))))</f>
        <v>0</v>
      </c>
      <c r="BA11" s="76">
        <f>IF($B11 = 0,"",IF(_xll.CbondsDealsNumber($B11,BA$4,VLOOKUP($E11,'Help Page'!$L:$P,3,0))="Нет данных",0,_xll.CbondsDealsNumber($B11,BA$4,VLOOKUP($E11,'Help Page'!$L:$P,3,0))))</f>
        <v>0</v>
      </c>
      <c r="BB11" s="76">
        <f>IF($B11 = 0,"",IF(_xll.CbondsDealsNumber($B11,BB$4,VLOOKUP($E11,'Help Page'!$L:$P,3,0))="Нет данных",0,_xll.CbondsDealsNumber($B11,BB$4,VLOOKUP($E11,'Help Page'!$L:$P,3,0))))</f>
        <v>0</v>
      </c>
      <c r="BC11" s="76">
        <f>IF($B11 = 0,"",IF(_xll.CbondsDealsNumber($B11,BC$4,VLOOKUP($E11,'Help Page'!$L:$P,3,0))="Нет данных",0,_xll.CbondsDealsNumber($B11,BC$4,VLOOKUP($E11,'Help Page'!$L:$P,3,0))))</f>
        <v>0</v>
      </c>
      <c r="BD11" s="76">
        <f>IF($B11 = 0,"",IF(_xll.CbondsDealsNumber($B11,BD$4,VLOOKUP($E11,'Help Page'!$L:$P,3,0))="Нет данных",0,_xll.CbondsDealsNumber($B11,BD$4,VLOOKUP($E11,'Help Page'!$L:$P,3,0))))</f>
        <v>0</v>
      </c>
      <c r="BE11" s="76">
        <f>IF($B11 = 0,"",IF(_xll.CbondsDealsNumber($B11,BE$4,VLOOKUP($E11,'Help Page'!$L:$P,3,0))="Нет данных",0,_xll.CbondsDealsNumber($B11,BE$4,VLOOKUP($E11,'Help Page'!$L:$P,3,0))))</f>
        <v>0</v>
      </c>
      <c r="BF11" s="76">
        <f>IF($B11 = 0,"",IF(_xll.CbondsDealsNumber($B11,BF$4,VLOOKUP($E11,'Help Page'!$L:$P,3,0))="Нет данных",0,_xll.CbondsDealsNumber($B11,BF$4,VLOOKUP($E11,'Help Page'!$L:$P,3,0))))</f>
        <v>0</v>
      </c>
      <c r="BG11" s="76">
        <f>IF($B11 = 0,"",IF(_xll.CbondsDealsNumber($B11,BG$4,VLOOKUP($E11,'Help Page'!$L:$P,3,0))="Нет данных",0,_xll.CbondsDealsNumber($B11,BG$4,VLOOKUP($E11,'Help Page'!$L:$P,3,0))))</f>
        <v>0</v>
      </c>
      <c r="BH11" s="76">
        <f>IF($B11 = 0,"",IF(_xll.CbondsDealsNumber($B11,BH$4,VLOOKUP($E11,'Help Page'!$L:$P,3,0))="Нет данных",0,_xll.CbondsDealsNumber($B11,BH$4,VLOOKUP($E11,'Help Page'!$L:$P,3,0))))</f>
        <v>0</v>
      </c>
      <c r="BI11" s="76">
        <f>IF($B11 = 0,"",IF(_xll.CbondsDealsNumber($B11,BI$4,VLOOKUP($E11,'Help Page'!$L:$P,3,0))="Нет данных",0,_xll.CbondsDealsNumber($B11,BI$4,VLOOKUP($E11,'Help Page'!$L:$P,3,0))))</f>
        <v>0</v>
      </c>
      <c r="BJ11" s="76">
        <f>IF($B11 = 0,"",IF(_xll.CbondsDealsNumber($B11,BJ$4,VLOOKUP($E11,'Help Page'!$L:$P,3,0))="Нет данных",0,_xll.CbondsDealsNumber($B11,BJ$4,VLOOKUP($E11,'Help Page'!$L:$P,3,0))))</f>
        <v>0</v>
      </c>
      <c r="BK11" s="76">
        <f>IF($B11 = 0,"",IF(_xll.CbondsDealsNumber($B11,BK$4,VLOOKUP($E11,'Help Page'!$L:$P,3,0))="Нет данных",0,_xll.CbondsDealsNumber($B11,BK$4,VLOOKUP($E11,'Help Page'!$L:$P,3,0))))</f>
        <v>0</v>
      </c>
      <c r="BL11" s="76">
        <f>IF($B11 = 0,"",IF(_xll.CbondsDealsNumber($B11,BL$4,VLOOKUP($E11,'Help Page'!$L:$P,3,0))="Нет данных",0,_xll.CbondsDealsNumber($B11,BL$4,VLOOKUP($E11,'Help Page'!$L:$P,3,0))))</f>
        <v>0</v>
      </c>
      <c r="BM11" s="76">
        <f>IF($B11 = 0,"",IF(_xll.CbondsDealsNumber($B11,BM$4,VLOOKUP($E11,'Help Page'!$L:$P,3,0))="Нет данных",0,_xll.CbondsDealsNumber($B11,BM$4,VLOOKUP($E11,'Help Page'!$L:$P,3,0))))</f>
        <v>0</v>
      </c>
      <c r="BN11" s="76">
        <f>IF($B11 = 0,"",IF(_xll.CbondsDealsNumber($B11,BN$4,VLOOKUP($E11,'Help Page'!$L:$P,3,0))="Нет данных",0,_xll.CbondsDealsNumber($B11,BN$4,VLOOKUP($E11,'Help Page'!$L:$P,3,0))))</f>
        <v>0</v>
      </c>
      <c r="BO11" s="156">
        <f>SUM(AK11:BN11)</f>
        <v>0</v>
      </c>
      <c r="BP11" s="156">
        <f>COUNTIF(AK11:BN11, "&gt;0")</f>
        <v>0</v>
      </c>
    </row>
    <row r="12" spans="1:68" x14ac:dyDescent="0.3">
      <c r="A12" s="18">
        <v>2</v>
      </c>
      <c r="B12" s="143" t="str">
        <f>Calculation!$J$27</f>
        <v>RU000A103JR3</v>
      </c>
      <c r="C12" s="143" t="str">
        <f>IF($B12 = 0,"",_xll.CbondsCurrency(B12))</f>
        <v>RUB</v>
      </c>
      <c r="D12" s="148">
        <f>IF($B12 = 0,"",_xll.ReferenceParams(B12,"SumMarketVal"))</f>
        <v>239029200</v>
      </c>
      <c r="E12" s="143" t="s">
        <v>2077</v>
      </c>
      <c r="F12" s="23">
        <f>IF($B12 = 0,"",IF(_xll.CbondsTradingVolume($B12,F$4,VLOOKUP($E12,'Help Page'!$L:$P,3,0))="Нет данных",0,_xll.CbondsTradingVolume($B12,F$4,VLOOKUP($E12,'Help Page'!$L:$P,3,0))))</f>
        <v>0</v>
      </c>
      <c r="G12" s="23">
        <f>IF($B12 = 0,"",IF(_xll.CbondsTradingVolume($B12,G$4,VLOOKUP($E12,'Help Page'!$L:$P,3,0))="Нет данных",0,_xll.CbondsTradingVolume($B12,G$4,VLOOKUP($E12,'Help Page'!$L:$P,3,0))))</f>
        <v>0</v>
      </c>
      <c r="H12" s="23">
        <f>IF($B12 = 0,"",IF(_xll.CbondsTradingVolume($B12,H$4,VLOOKUP($E12,'Help Page'!$L:$P,3,0))="Нет данных",0,_xll.CbondsTradingVolume($B12,H$4,VLOOKUP($E12,'Help Page'!$L:$P,3,0))))</f>
        <v>0</v>
      </c>
      <c r="I12" s="23">
        <f>IF($B12 = 0,"",IF(_xll.CbondsTradingVolume($B12,I$4,VLOOKUP($E12,'Help Page'!$L:$P,3,0))="Нет данных",0,_xll.CbondsTradingVolume($B12,I$4,VLOOKUP($E12,'Help Page'!$L:$P,3,0))))</f>
        <v>0</v>
      </c>
      <c r="J12" s="23">
        <f>IF($B12 = 0,"",IF(_xll.CbondsTradingVolume($B12,J$4,VLOOKUP($E12,'Help Page'!$L:$P,3,0))="Нет данных",0,_xll.CbondsTradingVolume($B12,J$4,VLOOKUP($E12,'Help Page'!$L:$P,3,0))))</f>
        <v>0</v>
      </c>
      <c r="K12" s="23">
        <f>IF($B12 = 0,"",IF(_xll.CbondsTradingVolume($B12,K$4,VLOOKUP($E12,'Help Page'!$L:$P,3,0))="Нет данных",0,_xll.CbondsTradingVolume($B12,K$4,VLOOKUP($E12,'Help Page'!$L:$P,3,0))))</f>
        <v>0</v>
      </c>
      <c r="L12" s="23">
        <f>IF($B12 = 0,"",IF(_xll.CbondsTradingVolume($B12,L$4,VLOOKUP($E12,'Help Page'!$L:$P,3,0))="Нет данных",0,_xll.CbondsTradingVolume($B12,L$4,VLOOKUP($E12,'Help Page'!$L:$P,3,0))))</f>
        <v>0</v>
      </c>
      <c r="M12" s="23">
        <f>IF($B12 = 0,"",IF(_xll.CbondsTradingVolume($B12,M$4,VLOOKUP($E12,'Help Page'!$L:$P,3,0))="Нет данных",0,_xll.CbondsTradingVolume($B12,M$4,VLOOKUP($E12,'Help Page'!$L:$P,3,0))))</f>
        <v>0</v>
      </c>
      <c r="N12" s="23">
        <f>IF($B12 = 0,"",IF(_xll.CbondsTradingVolume($B12,N$4,VLOOKUP($E12,'Help Page'!$L:$P,3,0))="Нет данных",0,_xll.CbondsTradingVolume($B12,N$4,VLOOKUP($E12,'Help Page'!$L:$P,3,0))))</f>
        <v>0</v>
      </c>
      <c r="O12" s="23">
        <f>IF($B12 = 0,"",IF(_xll.CbondsTradingVolume($B12,O$4,VLOOKUP($E12,'Help Page'!$L:$P,3,0))="Нет данных",0,_xll.CbondsTradingVolume($B12,O$4,VLOOKUP($E12,'Help Page'!$L:$P,3,0))))</f>
        <v>0</v>
      </c>
      <c r="P12" s="23">
        <f>IF($B12 = 0,"",IF(_xll.CbondsTradingVolume($B12,P$4,VLOOKUP($E12,'Help Page'!$L:$P,3,0))="Нет данных",0,_xll.CbondsTradingVolume($B12,P$4,VLOOKUP($E12,'Help Page'!$L:$P,3,0))))</f>
        <v>0</v>
      </c>
      <c r="Q12" s="23">
        <f>IF($B12 = 0,"",IF(_xll.CbondsTradingVolume($B12,Q$4,VLOOKUP($E12,'Help Page'!$L:$P,3,0))="Нет данных",0,_xll.CbondsTradingVolume($B12,Q$4,VLOOKUP($E12,'Help Page'!$L:$P,3,0))))</f>
        <v>0</v>
      </c>
      <c r="R12" s="23">
        <f>IF($B12 = 0,"",IF(_xll.CbondsTradingVolume($B12,R$4,VLOOKUP($E12,'Help Page'!$L:$P,3,0))="Нет данных",0,_xll.CbondsTradingVolume($B12,R$4,VLOOKUP($E12,'Help Page'!$L:$P,3,0))))</f>
        <v>0</v>
      </c>
      <c r="S12" s="23">
        <f>IF($B12 = 0,"",IF(_xll.CbondsTradingVolume($B12,S$4,VLOOKUP($E12,'Help Page'!$L:$P,3,0))="Нет данных",0,_xll.CbondsTradingVolume($B12,S$4,VLOOKUP($E12,'Help Page'!$L:$P,3,0))))</f>
        <v>0</v>
      </c>
      <c r="T12" s="23">
        <f>IF($B12 = 0,"",IF(_xll.CbondsTradingVolume($B12,T$4,VLOOKUP($E12,'Help Page'!$L:$P,3,0))="Нет данных",0,_xll.CbondsTradingVolume($B12,T$4,VLOOKUP($E12,'Help Page'!$L:$P,3,0))))</f>
        <v>0</v>
      </c>
      <c r="U12" s="23">
        <f>IF($B12 = 0,"",IF(_xll.CbondsTradingVolume($B12,U$4,VLOOKUP($E12,'Help Page'!$L:$P,3,0))="Нет данных",0,_xll.CbondsTradingVolume($B12,U$4,VLOOKUP($E12,'Help Page'!$L:$P,3,0))))</f>
        <v>0</v>
      </c>
      <c r="V12" s="23">
        <f>IF($B12 = 0,"",IF(_xll.CbondsTradingVolume($B12,V$4,VLOOKUP($E12,'Help Page'!$L:$P,3,0))="Нет данных",0,_xll.CbondsTradingVolume($B12,V$4,VLOOKUP($E12,'Help Page'!$L:$P,3,0))))</f>
        <v>0</v>
      </c>
      <c r="W12" s="23">
        <f>IF($B12 = 0,"",IF(_xll.CbondsTradingVolume($B12,W$4,VLOOKUP($E12,'Help Page'!$L:$P,3,0))="Нет данных",0,_xll.CbondsTradingVolume($B12,W$4,VLOOKUP($E12,'Help Page'!$L:$P,3,0))))</f>
        <v>0</v>
      </c>
      <c r="X12" s="23">
        <f>IF($B12 = 0,"",IF(_xll.CbondsTradingVolume($B12,X$4,VLOOKUP($E12,'Help Page'!$L:$P,3,0))="Нет данных",0,_xll.CbondsTradingVolume($B12,X$4,VLOOKUP($E12,'Help Page'!$L:$P,3,0))))</f>
        <v>0</v>
      </c>
      <c r="Y12" s="23">
        <f>IF($B12 = 0,"",IF(_xll.CbondsTradingVolume($B12,Y$4,VLOOKUP($E12,'Help Page'!$L:$P,3,0))="Нет данных",0,_xll.CbondsTradingVolume($B12,Y$4,VLOOKUP($E12,'Help Page'!$L:$P,3,0))))</f>
        <v>0</v>
      </c>
      <c r="Z12" s="23">
        <f>IF($B12 = 0,"",IF(_xll.CbondsTradingVolume($B12,Z$4,VLOOKUP($E12,'Help Page'!$L:$P,3,0))="Нет данных",0,_xll.CbondsTradingVolume($B12,Z$4,VLOOKUP($E12,'Help Page'!$L:$P,3,0))))</f>
        <v>0</v>
      </c>
      <c r="AA12" s="23">
        <f>IF($B12 = 0,"",IF(_xll.CbondsTradingVolume($B12,AA$4,VLOOKUP($E12,'Help Page'!$L:$P,3,0))="Нет данных",0,_xll.CbondsTradingVolume($B12,AA$4,VLOOKUP($E12,'Help Page'!$L:$P,3,0))))</f>
        <v>0</v>
      </c>
      <c r="AB12" s="23">
        <f>IF($B12 = 0,"",IF(_xll.CbondsTradingVolume($B12,AB$4,VLOOKUP($E12,'Help Page'!$L:$P,3,0))="Нет данных",0,_xll.CbondsTradingVolume($B12,AB$4,VLOOKUP($E12,'Help Page'!$L:$P,3,0))))</f>
        <v>0</v>
      </c>
      <c r="AC12" s="23">
        <f>IF($B12 = 0,"",IF(_xll.CbondsTradingVolume($B12,AC$4,VLOOKUP($E12,'Help Page'!$L:$P,3,0))="Нет данных",0,_xll.CbondsTradingVolume($B12,AC$4,VLOOKUP($E12,'Help Page'!$L:$P,3,0))))</f>
        <v>0</v>
      </c>
      <c r="AD12" s="23">
        <f>IF($B12 = 0,"",IF(_xll.CbondsTradingVolume($B12,AD$4,VLOOKUP($E12,'Help Page'!$L:$P,3,0))="Нет данных",0,_xll.CbondsTradingVolume($B12,AD$4,VLOOKUP($E12,'Help Page'!$L:$P,3,0))))</f>
        <v>0</v>
      </c>
      <c r="AE12" s="23">
        <f>IF($B12 = 0,"",IF(_xll.CbondsTradingVolume($B12,AE$4,VLOOKUP($E12,'Help Page'!$L:$P,3,0))="Нет данных",0,_xll.CbondsTradingVolume($B12,AE$4,VLOOKUP($E12,'Help Page'!$L:$P,3,0))))</f>
        <v>0</v>
      </c>
      <c r="AF12" s="23">
        <f>IF($B12 = 0,"",IF(_xll.CbondsTradingVolume($B12,AF$4,VLOOKUP($E12,'Help Page'!$L:$P,3,0))="Нет данных",0,_xll.CbondsTradingVolume($B12,AF$4,VLOOKUP($E12,'Help Page'!$L:$P,3,0))))</f>
        <v>0</v>
      </c>
      <c r="AG12" s="23">
        <f>IF($B12 = 0,"",IF(_xll.CbondsTradingVolume($B12,AG$4,VLOOKUP($E12,'Help Page'!$L:$P,3,0))="Нет данных",0,_xll.CbondsTradingVolume($B12,AG$4,VLOOKUP($E12,'Help Page'!$L:$P,3,0))))</f>
        <v>0</v>
      </c>
      <c r="AH12" s="23">
        <f>IF($B12 = 0,"",IF(_xll.CbondsTradingVolume($B12,AH$4,VLOOKUP($E12,'Help Page'!$L:$P,3,0))="Нет данных",0,_xll.CbondsTradingVolume($B12,AH$4,VLOOKUP($E12,'Help Page'!$L:$P,3,0))))</f>
        <v>0</v>
      </c>
      <c r="AI12" s="23">
        <f>IF($B12 = 0,"",IF(_xll.CbondsTradingVolume($B12,AI$4,VLOOKUP($E12,'Help Page'!$L:$P,3,0))="Нет данных",0,_xll.CbondsTradingVolume($B12,AI$4,VLOOKUP($E12,'Help Page'!$L:$P,3,0))))</f>
        <v>0</v>
      </c>
      <c r="AJ12" s="171">
        <f>SUM(F12:AI12)*VLOOKUP($E12,'Help Page'!$L:$P,5,0)</f>
        <v>0</v>
      </c>
      <c r="AK12" s="76">
        <f>IF($B12 = 0,"",IF(_xll.CbondsDealsNumber($B12,AK$4,VLOOKUP($E12,'Help Page'!$L:$P,3,0))="Нет данных",0,_xll.CbondsDealsNumber($B12,AK$4,VLOOKUP($E12,'Help Page'!$L:$P,3,0))))</f>
        <v>0</v>
      </c>
      <c r="AL12" s="76">
        <f>IF($B12 = 0,"",IF(_xll.CbondsDealsNumber($B12,AL$4,VLOOKUP($E12,'Help Page'!$L:$P,3,0))="Нет данных",0,_xll.CbondsDealsNumber($B12,AL$4,VLOOKUP($E12,'Help Page'!$L:$P,3,0))))</f>
        <v>0</v>
      </c>
      <c r="AM12" s="76">
        <f>IF($B12 = 0,"",IF(_xll.CbondsDealsNumber($B12,AM$4,VLOOKUP($E12,'Help Page'!$L:$P,3,0))="Нет данных",0,_xll.CbondsDealsNumber($B12,AM$4,VLOOKUP($E12,'Help Page'!$L:$P,3,0))))</f>
        <v>0</v>
      </c>
      <c r="AN12" s="76">
        <f>IF($B12 = 0,"",IF(_xll.CbondsDealsNumber($B12,AN$4,VLOOKUP($E12,'Help Page'!$L:$P,3,0))="Нет данных",0,_xll.CbondsDealsNumber($B12,AN$4,VLOOKUP($E12,'Help Page'!$L:$P,3,0))))</f>
        <v>0</v>
      </c>
      <c r="AO12" s="76">
        <f>IF($B12 = 0,"",IF(_xll.CbondsDealsNumber($B12,AO$4,VLOOKUP($E12,'Help Page'!$L:$P,3,0))="Нет данных",0,_xll.CbondsDealsNumber($B12,AO$4,VLOOKUP($E12,'Help Page'!$L:$P,3,0))))</f>
        <v>0</v>
      </c>
      <c r="AP12" s="76">
        <f>IF($B12 = 0,"",IF(_xll.CbondsDealsNumber($B12,AP$4,VLOOKUP($E12,'Help Page'!$L:$P,3,0))="Нет данных",0,_xll.CbondsDealsNumber($B12,AP$4,VLOOKUP($E12,'Help Page'!$L:$P,3,0))))</f>
        <v>0</v>
      </c>
      <c r="AQ12" s="76">
        <f>IF($B12 = 0,"",IF(_xll.CbondsDealsNumber($B12,AQ$4,VLOOKUP($E12,'Help Page'!$L:$P,3,0))="Нет данных",0,_xll.CbondsDealsNumber($B12,AQ$4,VLOOKUP($E12,'Help Page'!$L:$P,3,0))))</f>
        <v>0</v>
      </c>
      <c r="AR12" s="76">
        <f>IF($B12 = 0,"",IF(_xll.CbondsDealsNumber($B12,AR$4,VLOOKUP($E12,'Help Page'!$L:$P,3,0))="Нет данных",0,_xll.CbondsDealsNumber($B12,AR$4,VLOOKUP($E12,'Help Page'!$L:$P,3,0))))</f>
        <v>0</v>
      </c>
      <c r="AS12" s="76">
        <f>IF($B12 = 0,"",IF(_xll.CbondsDealsNumber($B12,AS$4,VLOOKUP($E12,'Help Page'!$L:$P,3,0))="Нет данных",0,_xll.CbondsDealsNumber($B12,AS$4,VLOOKUP($E12,'Help Page'!$L:$P,3,0))))</f>
        <v>0</v>
      </c>
      <c r="AT12" s="76">
        <f>IF($B12 = 0,"",IF(_xll.CbondsDealsNumber($B12,AT$4,VLOOKUP($E12,'Help Page'!$L:$P,3,0))="Нет данных",0,_xll.CbondsDealsNumber($B12,AT$4,VLOOKUP($E12,'Help Page'!$L:$P,3,0))))</f>
        <v>0</v>
      </c>
      <c r="AU12" s="76">
        <f>IF($B12 = 0,"",IF(_xll.CbondsDealsNumber($B12,AU$4,VLOOKUP($E12,'Help Page'!$L:$P,3,0))="Нет данных",0,_xll.CbondsDealsNumber($B12,AU$4,VLOOKUP($E12,'Help Page'!$L:$P,3,0))))</f>
        <v>0</v>
      </c>
      <c r="AV12" s="76">
        <f>IF($B12 = 0,"",IF(_xll.CbondsDealsNumber($B12,AV$4,VLOOKUP($E12,'Help Page'!$L:$P,3,0))="Нет данных",0,_xll.CbondsDealsNumber($B12,AV$4,VLOOKUP($E12,'Help Page'!$L:$P,3,0))))</f>
        <v>0</v>
      </c>
      <c r="AW12" s="76">
        <f>IF($B12 = 0,"",IF(_xll.CbondsDealsNumber($B12,AW$4,VLOOKUP($E12,'Help Page'!$L:$P,3,0))="Нет данных",0,_xll.CbondsDealsNumber($B12,AW$4,VLOOKUP($E12,'Help Page'!$L:$P,3,0))))</f>
        <v>0</v>
      </c>
      <c r="AX12" s="76">
        <f>IF($B12 = 0,"",IF(_xll.CbondsDealsNumber($B12,AX$4,VLOOKUP($E12,'Help Page'!$L:$P,3,0))="Нет данных",0,_xll.CbondsDealsNumber($B12,AX$4,VLOOKUP($E12,'Help Page'!$L:$P,3,0))))</f>
        <v>0</v>
      </c>
      <c r="AY12" s="76">
        <f>IF($B12 = 0,"",IF(_xll.CbondsDealsNumber($B12,AY$4,VLOOKUP($E12,'Help Page'!$L:$P,3,0))="Нет данных",0,_xll.CbondsDealsNumber($B12,AY$4,VLOOKUP($E12,'Help Page'!$L:$P,3,0))))</f>
        <v>0</v>
      </c>
      <c r="AZ12" s="76">
        <f>IF($B12 = 0,"",IF(_xll.CbondsDealsNumber($B12,AZ$4,VLOOKUP($E12,'Help Page'!$L:$P,3,0))="Нет данных",0,_xll.CbondsDealsNumber($B12,AZ$4,VLOOKUP($E12,'Help Page'!$L:$P,3,0))))</f>
        <v>0</v>
      </c>
      <c r="BA12" s="76">
        <f>IF($B12 = 0,"",IF(_xll.CbondsDealsNumber($B12,BA$4,VLOOKUP($E12,'Help Page'!$L:$P,3,0))="Нет данных",0,_xll.CbondsDealsNumber($B12,BA$4,VLOOKUP($E12,'Help Page'!$L:$P,3,0))))</f>
        <v>0</v>
      </c>
      <c r="BB12" s="76">
        <f>IF($B12 = 0,"",IF(_xll.CbondsDealsNumber($B12,BB$4,VLOOKUP($E12,'Help Page'!$L:$P,3,0))="Нет данных",0,_xll.CbondsDealsNumber($B12,BB$4,VLOOKUP($E12,'Help Page'!$L:$P,3,0))))</f>
        <v>0</v>
      </c>
      <c r="BC12" s="76">
        <f>IF($B12 = 0,"",IF(_xll.CbondsDealsNumber($B12,BC$4,VLOOKUP($E12,'Help Page'!$L:$P,3,0))="Нет данных",0,_xll.CbondsDealsNumber($B12,BC$4,VLOOKUP($E12,'Help Page'!$L:$P,3,0))))</f>
        <v>0</v>
      </c>
      <c r="BD12" s="76">
        <f>IF($B12 = 0,"",IF(_xll.CbondsDealsNumber($B12,BD$4,VLOOKUP($E12,'Help Page'!$L:$P,3,0))="Нет данных",0,_xll.CbondsDealsNumber($B12,BD$4,VLOOKUP($E12,'Help Page'!$L:$P,3,0))))</f>
        <v>0</v>
      </c>
      <c r="BE12" s="76">
        <f>IF($B12 = 0,"",IF(_xll.CbondsDealsNumber($B12,BE$4,VLOOKUP($E12,'Help Page'!$L:$P,3,0))="Нет данных",0,_xll.CbondsDealsNumber($B12,BE$4,VLOOKUP($E12,'Help Page'!$L:$P,3,0))))</f>
        <v>0</v>
      </c>
      <c r="BF12" s="76">
        <f>IF($B12 = 0,"",IF(_xll.CbondsDealsNumber($B12,BF$4,VLOOKUP($E12,'Help Page'!$L:$P,3,0))="Нет данных",0,_xll.CbondsDealsNumber($B12,BF$4,VLOOKUP($E12,'Help Page'!$L:$P,3,0))))</f>
        <v>0</v>
      </c>
      <c r="BG12" s="76">
        <f>IF($B12 = 0,"",IF(_xll.CbondsDealsNumber($B12,BG$4,VLOOKUP($E12,'Help Page'!$L:$P,3,0))="Нет данных",0,_xll.CbondsDealsNumber($B12,BG$4,VLOOKUP($E12,'Help Page'!$L:$P,3,0))))</f>
        <v>0</v>
      </c>
      <c r="BH12" s="76">
        <f>IF($B12 = 0,"",IF(_xll.CbondsDealsNumber($B12,BH$4,VLOOKUP($E12,'Help Page'!$L:$P,3,0))="Нет данных",0,_xll.CbondsDealsNumber($B12,BH$4,VLOOKUP($E12,'Help Page'!$L:$P,3,0))))</f>
        <v>0</v>
      </c>
      <c r="BI12" s="76">
        <f>IF($B12 = 0,"",IF(_xll.CbondsDealsNumber($B12,BI$4,VLOOKUP($E12,'Help Page'!$L:$P,3,0))="Нет данных",0,_xll.CbondsDealsNumber($B12,BI$4,VLOOKUP($E12,'Help Page'!$L:$P,3,0))))</f>
        <v>0</v>
      </c>
      <c r="BJ12" s="76">
        <f>IF($B12 = 0,"",IF(_xll.CbondsDealsNumber($B12,BJ$4,VLOOKUP($E12,'Help Page'!$L:$P,3,0))="Нет данных",0,_xll.CbondsDealsNumber($B12,BJ$4,VLOOKUP($E12,'Help Page'!$L:$P,3,0))))</f>
        <v>0</v>
      </c>
      <c r="BK12" s="76">
        <f>IF($B12 = 0,"",IF(_xll.CbondsDealsNumber($B12,BK$4,VLOOKUP($E12,'Help Page'!$L:$P,3,0))="Нет данных",0,_xll.CbondsDealsNumber($B12,BK$4,VLOOKUP($E12,'Help Page'!$L:$P,3,0))))</f>
        <v>0</v>
      </c>
      <c r="BL12" s="76">
        <f>IF($B12 = 0,"",IF(_xll.CbondsDealsNumber($B12,BL$4,VLOOKUP($E12,'Help Page'!$L:$P,3,0))="Нет данных",0,_xll.CbondsDealsNumber($B12,BL$4,VLOOKUP($E12,'Help Page'!$L:$P,3,0))))</f>
        <v>0</v>
      </c>
      <c r="BM12" s="76">
        <f>IF($B12 = 0,"",IF(_xll.CbondsDealsNumber($B12,BM$4,VLOOKUP($E12,'Help Page'!$L:$P,3,0))="Нет данных",0,_xll.CbondsDealsNumber($B12,BM$4,VLOOKUP($E12,'Help Page'!$L:$P,3,0))))</f>
        <v>0</v>
      </c>
      <c r="BN12" s="76">
        <f>IF($B12 = 0,"",IF(_xll.CbondsDealsNumber($B12,BN$4,VLOOKUP($E12,'Help Page'!$L:$P,3,0))="Нет данных",0,_xll.CbondsDealsNumber($B12,BN$4,VLOOKUP($E12,'Help Page'!$L:$P,3,0))))</f>
        <v>0</v>
      </c>
      <c r="BO12" s="156">
        <f t="shared" ref="BO12:BO14" si="3">SUM(AK12:BN12)</f>
        <v>0</v>
      </c>
      <c r="BP12" s="156">
        <f>COUNTIF(AK12:BN12, "&gt;0")</f>
        <v>0</v>
      </c>
    </row>
    <row r="13" spans="1:68" x14ac:dyDescent="0.3">
      <c r="A13" s="18">
        <v>2</v>
      </c>
      <c r="B13" s="143" t="str">
        <f>Calculation!$J$27</f>
        <v>RU000A103JR3</v>
      </c>
      <c r="C13" s="143" t="str">
        <f>IF($B13 = 0,"",_xll.CbondsCurrency(B13))</f>
        <v>RUB</v>
      </c>
      <c r="D13" s="148">
        <f>IF($B13 = 0,"",_xll.ReferenceParams(B13,"SumMarketVal"))</f>
        <v>239029200</v>
      </c>
      <c r="E13" s="143" t="s">
        <v>2078</v>
      </c>
      <c r="F13" s="23">
        <f>IF($B13 = 0,"",IF(_xll.CbondsTradingVolume($B13,F$4,VLOOKUP($E13,'Help Page'!$L:$P,3,0))="Нет данных",0,_xll.CbondsTradingVolume($B13,F$4,VLOOKUP($E13,'Help Page'!$L:$P,3,0))))</f>
        <v>0</v>
      </c>
      <c r="G13" s="23">
        <f>IF($B13 = 0,"",IF(_xll.CbondsTradingVolume($B13,G$4,VLOOKUP($E13,'Help Page'!$L:$P,3,0))="Нет данных",0,_xll.CbondsTradingVolume($B13,G$4,VLOOKUP($E13,'Help Page'!$L:$P,3,0))))</f>
        <v>0</v>
      </c>
      <c r="H13" s="23">
        <f>IF($B13 = 0,"",IF(_xll.CbondsTradingVolume($B13,H$4,VLOOKUP($E13,'Help Page'!$L:$P,3,0))="Нет данных",0,_xll.CbondsTradingVolume($B13,H$4,VLOOKUP($E13,'Help Page'!$L:$P,3,0))))</f>
        <v>0</v>
      </c>
      <c r="I13" s="23">
        <f>IF($B13 = 0,"",IF(_xll.CbondsTradingVolume($B13,I$4,VLOOKUP($E13,'Help Page'!$L:$P,3,0))="Нет данных",0,_xll.CbondsTradingVolume($B13,I$4,VLOOKUP($E13,'Help Page'!$L:$P,3,0))))</f>
        <v>0</v>
      </c>
      <c r="J13" s="23">
        <f>IF($B13 = 0,"",IF(_xll.CbondsTradingVolume($B13,J$4,VLOOKUP($E13,'Help Page'!$L:$P,3,0))="Нет данных",0,_xll.CbondsTradingVolume($B13,J$4,VLOOKUP($E13,'Help Page'!$L:$P,3,0))))</f>
        <v>0</v>
      </c>
      <c r="K13" s="23">
        <f>IF($B13 = 0,"",IF(_xll.CbondsTradingVolume($B13,K$4,VLOOKUP($E13,'Help Page'!$L:$P,3,0))="Нет данных",0,_xll.CbondsTradingVolume($B13,K$4,VLOOKUP($E13,'Help Page'!$L:$P,3,0))))</f>
        <v>0</v>
      </c>
      <c r="L13" s="23">
        <f>IF($B13 = 0,"",IF(_xll.CbondsTradingVolume($B13,L$4,VLOOKUP($E13,'Help Page'!$L:$P,3,0))="Нет данных",0,_xll.CbondsTradingVolume($B13,L$4,VLOOKUP($E13,'Help Page'!$L:$P,3,0))))</f>
        <v>0</v>
      </c>
      <c r="M13" s="23">
        <f>IF($B13 = 0,"",IF(_xll.CbondsTradingVolume($B13,M$4,VLOOKUP($E13,'Help Page'!$L:$P,3,0))="Нет данных",0,_xll.CbondsTradingVolume($B13,M$4,VLOOKUP($E13,'Help Page'!$L:$P,3,0))))</f>
        <v>0</v>
      </c>
      <c r="N13" s="23">
        <f>IF($B13 = 0,"",IF(_xll.CbondsTradingVolume($B13,N$4,VLOOKUP($E13,'Help Page'!$L:$P,3,0))="Нет данных",0,_xll.CbondsTradingVolume($B13,N$4,VLOOKUP($E13,'Help Page'!$L:$P,3,0))))</f>
        <v>0</v>
      </c>
      <c r="O13" s="23">
        <f>IF($B13 = 0,"",IF(_xll.CbondsTradingVolume($B13,O$4,VLOOKUP($E13,'Help Page'!$L:$P,3,0))="Нет данных",0,_xll.CbondsTradingVolume($B13,O$4,VLOOKUP($E13,'Help Page'!$L:$P,3,0))))</f>
        <v>0</v>
      </c>
      <c r="P13" s="23">
        <f>IF($B13 = 0,"",IF(_xll.CbondsTradingVolume($B13,P$4,VLOOKUP($E13,'Help Page'!$L:$P,3,0))="Нет данных",0,_xll.CbondsTradingVolume($B13,P$4,VLOOKUP($E13,'Help Page'!$L:$P,3,0))))</f>
        <v>0</v>
      </c>
      <c r="Q13" s="23">
        <f>IF($B13 = 0,"",IF(_xll.CbondsTradingVolume($B13,Q$4,VLOOKUP($E13,'Help Page'!$L:$P,3,0))="Нет данных",0,_xll.CbondsTradingVolume($B13,Q$4,VLOOKUP($E13,'Help Page'!$L:$P,3,0))))</f>
        <v>0</v>
      </c>
      <c r="R13" s="23">
        <f>IF($B13 = 0,"",IF(_xll.CbondsTradingVolume($B13,R$4,VLOOKUP($E13,'Help Page'!$L:$P,3,0))="Нет данных",0,_xll.CbondsTradingVolume($B13,R$4,VLOOKUP($E13,'Help Page'!$L:$P,3,0))))</f>
        <v>0</v>
      </c>
      <c r="S13" s="23">
        <f>IF($B13 = 0,"",IF(_xll.CbondsTradingVolume($B13,S$4,VLOOKUP($E13,'Help Page'!$L:$P,3,0))="Нет данных",0,_xll.CbondsTradingVolume($B13,S$4,VLOOKUP($E13,'Help Page'!$L:$P,3,0))))</f>
        <v>0</v>
      </c>
      <c r="T13" s="23">
        <f>IF($B13 = 0,"",IF(_xll.CbondsTradingVolume($B13,T$4,VLOOKUP($E13,'Help Page'!$L:$P,3,0))="Нет данных",0,_xll.CbondsTradingVolume($B13,T$4,VLOOKUP($E13,'Help Page'!$L:$P,3,0))))</f>
        <v>0</v>
      </c>
      <c r="U13" s="23">
        <f>IF($B13 = 0,"",IF(_xll.CbondsTradingVolume($B13,U$4,VLOOKUP($E13,'Help Page'!$L:$P,3,0))="Нет данных",0,_xll.CbondsTradingVolume($B13,U$4,VLOOKUP($E13,'Help Page'!$L:$P,3,0))))</f>
        <v>0</v>
      </c>
      <c r="V13" s="23">
        <f>IF($B13 = 0,"",IF(_xll.CbondsTradingVolume($B13,V$4,VLOOKUP($E13,'Help Page'!$L:$P,3,0))="Нет данных",0,_xll.CbondsTradingVolume($B13,V$4,VLOOKUP($E13,'Help Page'!$L:$P,3,0))))</f>
        <v>0</v>
      </c>
      <c r="W13" s="23">
        <f>IF($B13 = 0,"",IF(_xll.CbondsTradingVolume($B13,W$4,VLOOKUP($E13,'Help Page'!$L:$P,3,0))="Нет данных",0,_xll.CbondsTradingVolume($B13,W$4,VLOOKUP($E13,'Help Page'!$L:$P,3,0))))</f>
        <v>0</v>
      </c>
      <c r="X13" s="23">
        <f>IF($B13 = 0,"",IF(_xll.CbondsTradingVolume($B13,X$4,VLOOKUP($E13,'Help Page'!$L:$P,3,0))="Нет данных",0,_xll.CbondsTradingVolume($B13,X$4,VLOOKUP($E13,'Help Page'!$L:$P,3,0))))</f>
        <v>0</v>
      </c>
      <c r="Y13" s="23">
        <f>IF($B13 = 0,"",IF(_xll.CbondsTradingVolume($B13,Y$4,VLOOKUP($E13,'Help Page'!$L:$P,3,0))="Нет данных",0,_xll.CbondsTradingVolume($B13,Y$4,VLOOKUP($E13,'Help Page'!$L:$P,3,0))))</f>
        <v>0</v>
      </c>
      <c r="Z13" s="23">
        <f>IF($B13 = 0,"",IF(_xll.CbondsTradingVolume($B13,Z$4,VLOOKUP($E13,'Help Page'!$L:$P,3,0))="Нет данных",0,_xll.CbondsTradingVolume($B13,Z$4,VLOOKUP($E13,'Help Page'!$L:$P,3,0))))</f>
        <v>0</v>
      </c>
      <c r="AA13" s="23">
        <f>IF($B13 = 0,"",IF(_xll.CbondsTradingVolume($B13,AA$4,VLOOKUP($E13,'Help Page'!$L:$P,3,0))="Нет данных",0,_xll.CbondsTradingVolume($B13,AA$4,VLOOKUP($E13,'Help Page'!$L:$P,3,0))))</f>
        <v>0</v>
      </c>
      <c r="AB13" s="23">
        <f>IF($B13 = 0,"",IF(_xll.CbondsTradingVolume($B13,AB$4,VLOOKUP($E13,'Help Page'!$L:$P,3,0))="Нет данных",0,_xll.CbondsTradingVolume($B13,AB$4,VLOOKUP($E13,'Help Page'!$L:$P,3,0))))</f>
        <v>0</v>
      </c>
      <c r="AC13" s="23">
        <f>IF($B13 = 0,"",IF(_xll.CbondsTradingVolume($B13,AC$4,VLOOKUP($E13,'Help Page'!$L:$P,3,0))="Нет данных",0,_xll.CbondsTradingVolume($B13,AC$4,VLOOKUP($E13,'Help Page'!$L:$P,3,0))))</f>
        <v>0</v>
      </c>
      <c r="AD13" s="23">
        <f>IF($B13 = 0,"",IF(_xll.CbondsTradingVolume($B13,AD$4,VLOOKUP($E13,'Help Page'!$L:$P,3,0))="Нет данных",0,_xll.CbondsTradingVolume($B13,AD$4,VLOOKUP($E13,'Help Page'!$L:$P,3,0))))</f>
        <v>0</v>
      </c>
      <c r="AE13" s="23">
        <f>IF($B13 = 0,"",IF(_xll.CbondsTradingVolume($B13,AE$4,VLOOKUP($E13,'Help Page'!$L:$P,3,0))="Нет данных",0,_xll.CbondsTradingVolume($B13,AE$4,VLOOKUP($E13,'Help Page'!$L:$P,3,0))))</f>
        <v>0</v>
      </c>
      <c r="AF13" s="23">
        <f>IF($B13 = 0,"",IF(_xll.CbondsTradingVolume($B13,AF$4,VLOOKUP($E13,'Help Page'!$L:$P,3,0))="Нет данных",0,_xll.CbondsTradingVolume($B13,AF$4,VLOOKUP($E13,'Help Page'!$L:$P,3,0))))</f>
        <v>0</v>
      </c>
      <c r="AG13" s="23">
        <f>IF($B13 = 0,"",IF(_xll.CbondsTradingVolume($B13,AG$4,VLOOKUP($E13,'Help Page'!$L:$P,3,0))="Нет данных",0,_xll.CbondsTradingVolume($B13,AG$4,VLOOKUP($E13,'Help Page'!$L:$P,3,0))))</f>
        <v>0</v>
      </c>
      <c r="AH13" s="23">
        <f>IF($B13 = 0,"",IF(_xll.CbondsTradingVolume($B13,AH$4,VLOOKUP($E13,'Help Page'!$L:$P,3,0))="Нет данных",0,_xll.CbondsTradingVolume($B13,AH$4,VLOOKUP($E13,'Help Page'!$L:$P,3,0))))</f>
        <v>0</v>
      </c>
      <c r="AI13" s="23">
        <f>IF($B13 = 0,"",IF(_xll.CbondsTradingVolume($B13,AI$4,VLOOKUP($E13,'Help Page'!$L:$P,3,0))="Нет данных",0,_xll.CbondsTradingVolume($B13,AI$4,VLOOKUP($E13,'Help Page'!$L:$P,3,0))))</f>
        <v>0</v>
      </c>
      <c r="AJ13" s="171">
        <f>SUM(F13:AI13)*VLOOKUP($E13,'Help Page'!$L:$P,5,0)</f>
        <v>0</v>
      </c>
      <c r="AK13" s="76">
        <f>IF($B13 = 0,"",IF(_xll.CbondsDealsNumber($B13,AK$4,VLOOKUP($E13,'Help Page'!$L:$P,3,0))="Нет данных",0,_xll.CbondsDealsNumber($B13,AK$4,VLOOKUP($E13,'Help Page'!$L:$P,3,0))))</f>
        <v>0</v>
      </c>
      <c r="AL13" s="76">
        <f>IF($B13 = 0,"",IF(_xll.CbondsDealsNumber($B13,AL$4,VLOOKUP($E13,'Help Page'!$L:$P,3,0))="Нет данных",0,_xll.CbondsDealsNumber($B13,AL$4,VLOOKUP($E13,'Help Page'!$L:$P,3,0))))</f>
        <v>0</v>
      </c>
      <c r="AM13" s="76">
        <f>IF($B13 = 0,"",IF(_xll.CbondsDealsNumber($B13,AM$4,VLOOKUP($E13,'Help Page'!$L:$P,3,0))="Нет данных",0,_xll.CbondsDealsNumber($B13,AM$4,VLOOKUP($E13,'Help Page'!$L:$P,3,0))))</f>
        <v>0</v>
      </c>
      <c r="AN13" s="76">
        <f>IF($B13 = 0,"",IF(_xll.CbondsDealsNumber($B13,AN$4,VLOOKUP($E13,'Help Page'!$L:$P,3,0))="Нет данных",0,_xll.CbondsDealsNumber($B13,AN$4,VLOOKUP($E13,'Help Page'!$L:$P,3,0))))</f>
        <v>0</v>
      </c>
      <c r="AO13" s="76">
        <f>IF($B13 = 0,"",IF(_xll.CbondsDealsNumber($B13,AO$4,VLOOKUP($E13,'Help Page'!$L:$P,3,0))="Нет данных",0,_xll.CbondsDealsNumber($B13,AO$4,VLOOKUP($E13,'Help Page'!$L:$P,3,0))))</f>
        <v>0</v>
      </c>
      <c r="AP13" s="76">
        <f>IF($B13 = 0,"",IF(_xll.CbondsDealsNumber($B13,AP$4,VLOOKUP($E13,'Help Page'!$L:$P,3,0))="Нет данных",0,_xll.CbondsDealsNumber($B13,AP$4,VLOOKUP($E13,'Help Page'!$L:$P,3,0))))</f>
        <v>0</v>
      </c>
      <c r="AQ13" s="76">
        <f>IF($B13 = 0,"",IF(_xll.CbondsDealsNumber($B13,AQ$4,VLOOKUP($E13,'Help Page'!$L:$P,3,0))="Нет данных",0,_xll.CbondsDealsNumber($B13,AQ$4,VLOOKUP($E13,'Help Page'!$L:$P,3,0))))</f>
        <v>0</v>
      </c>
      <c r="AR13" s="76">
        <f>IF($B13 = 0,"",IF(_xll.CbondsDealsNumber($B13,AR$4,VLOOKUP($E13,'Help Page'!$L:$P,3,0))="Нет данных",0,_xll.CbondsDealsNumber($B13,AR$4,VLOOKUP($E13,'Help Page'!$L:$P,3,0))))</f>
        <v>0</v>
      </c>
      <c r="AS13" s="76">
        <f>IF($B13 = 0,"",IF(_xll.CbondsDealsNumber($B13,AS$4,VLOOKUP($E13,'Help Page'!$L:$P,3,0))="Нет данных",0,_xll.CbondsDealsNumber($B13,AS$4,VLOOKUP($E13,'Help Page'!$L:$P,3,0))))</f>
        <v>0</v>
      </c>
      <c r="AT13" s="76">
        <f>IF($B13 = 0,"",IF(_xll.CbondsDealsNumber($B13,AT$4,VLOOKUP($E13,'Help Page'!$L:$P,3,0))="Нет данных",0,_xll.CbondsDealsNumber($B13,AT$4,VLOOKUP($E13,'Help Page'!$L:$P,3,0))))</f>
        <v>0</v>
      </c>
      <c r="AU13" s="76">
        <f>IF($B13 = 0,"",IF(_xll.CbondsDealsNumber($B13,AU$4,VLOOKUP($E13,'Help Page'!$L:$P,3,0))="Нет данных",0,_xll.CbondsDealsNumber($B13,AU$4,VLOOKUP($E13,'Help Page'!$L:$P,3,0))))</f>
        <v>0</v>
      </c>
      <c r="AV13" s="76">
        <f>IF($B13 = 0,"",IF(_xll.CbondsDealsNumber($B13,AV$4,VLOOKUP($E13,'Help Page'!$L:$P,3,0))="Нет данных",0,_xll.CbondsDealsNumber($B13,AV$4,VLOOKUP($E13,'Help Page'!$L:$P,3,0))))</f>
        <v>0</v>
      </c>
      <c r="AW13" s="76">
        <f>IF($B13 = 0,"",IF(_xll.CbondsDealsNumber($B13,AW$4,VLOOKUP($E13,'Help Page'!$L:$P,3,0))="Нет данных",0,_xll.CbondsDealsNumber($B13,AW$4,VLOOKUP($E13,'Help Page'!$L:$P,3,0))))</f>
        <v>0</v>
      </c>
      <c r="AX13" s="76">
        <f>IF($B13 = 0,"",IF(_xll.CbondsDealsNumber($B13,AX$4,VLOOKUP($E13,'Help Page'!$L:$P,3,0))="Нет данных",0,_xll.CbondsDealsNumber($B13,AX$4,VLOOKUP($E13,'Help Page'!$L:$P,3,0))))</f>
        <v>0</v>
      </c>
      <c r="AY13" s="76">
        <f>IF($B13 = 0,"",IF(_xll.CbondsDealsNumber($B13,AY$4,VLOOKUP($E13,'Help Page'!$L:$P,3,0))="Нет данных",0,_xll.CbondsDealsNumber($B13,AY$4,VLOOKUP($E13,'Help Page'!$L:$P,3,0))))</f>
        <v>0</v>
      </c>
      <c r="AZ13" s="76">
        <f>IF($B13 = 0,"",IF(_xll.CbondsDealsNumber($B13,AZ$4,VLOOKUP($E13,'Help Page'!$L:$P,3,0))="Нет данных",0,_xll.CbondsDealsNumber($B13,AZ$4,VLOOKUP($E13,'Help Page'!$L:$P,3,0))))</f>
        <v>0</v>
      </c>
      <c r="BA13" s="76">
        <f>IF($B13 = 0,"",IF(_xll.CbondsDealsNumber($B13,BA$4,VLOOKUP($E13,'Help Page'!$L:$P,3,0))="Нет данных",0,_xll.CbondsDealsNumber($B13,BA$4,VLOOKUP($E13,'Help Page'!$L:$P,3,0))))</f>
        <v>0</v>
      </c>
      <c r="BB13" s="76">
        <f>IF($B13 = 0,"",IF(_xll.CbondsDealsNumber($B13,BB$4,VLOOKUP($E13,'Help Page'!$L:$P,3,0))="Нет данных",0,_xll.CbondsDealsNumber($B13,BB$4,VLOOKUP($E13,'Help Page'!$L:$P,3,0))))</f>
        <v>0</v>
      </c>
      <c r="BC13" s="76">
        <f>IF($B13 = 0,"",IF(_xll.CbondsDealsNumber($B13,BC$4,VLOOKUP($E13,'Help Page'!$L:$P,3,0))="Нет данных",0,_xll.CbondsDealsNumber($B13,BC$4,VLOOKUP($E13,'Help Page'!$L:$P,3,0))))</f>
        <v>0</v>
      </c>
      <c r="BD13" s="76">
        <f>IF($B13 = 0,"",IF(_xll.CbondsDealsNumber($B13,BD$4,VLOOKUP($E13,'Help Page'!$L:$P,3,0))="Нет данных",0,_xll.CbondsDealsNumber($B13,BD$4,VLOOKUP($E13,'Help Page'!$L:$P,3,0))))</f>
        <v>0</v>
      </c>
      <c r="BE13" s="76">
        <f>IF($B13 = 0,"",IF(_xll.CbondsDealsNumber($B13,BE$4,VLOOKUP($E13,'Help Page'!$L:$P,3,0))="Нет данных",0,_xll.CbondsDealsNumber($B13,BE$4,VLOOKUP($E13,'Help Page'!$L:$P,3,0))))</f>
        <v>0</v>
      </c>
      <c r="BF13" s="76">
        <f>IF($B13 = 0,"",IF(_xll.CbondsDealsNumber($B13,BF$4,VLOOKUP($E13,'Help Page'!$L:$P,3,0))="Нет данных",0,_xll.CbondsDealsNumber($B13,BF$4,VLOOKUP($E13,'Help Page'!$L:$P,3,0))))</f>
        <v>0</v>
      </c>
      <c r="BG13" s="76">
        <f>IF($B13 = 0,"",IF(_xll.CbondsDealsNumber($B13,BG$4,VLOOKUP($E13,'Help Page'!$L:$P,3,0))="Нет данных",0,_xll.CbondsDealsNumber($B13,BG$4,VLOOKUP($E13,'Help Page'!$L:$P,3,0))))</f>
        <v>0</v>
      </c>
      <c r="BH13" s="76">
        <f>IF($B13 = 0,"",IF(_xll.CbondsDealsNumber($B13,BH$4,VLOOKUP($E13,'Help Page'!$L:$P,3,0))="Нет данных",0,_xll.CbondsDealsNumber($B13,BH$4,VLOOKUP($E13,'Help Page'!$L:$P,3,0))))</f>
        <v>0</v>
      </c>
      <c r="BI13" s="76">
        <f>IF($B13 = 0,"",IF(_xll.CbondsDealsNumber($B13,BI$4,VLOOKUP($E13,'Help Page'!$L:$P,3,0))="Нет данных",0,_xll.CbondsDealsNumber($B13,BI$4,VLOOKUP($E13,'Help Page'!$L:$P,3,0))))</f>
        <v>0</v>
      </c>
      <c r="BJ13" s="76">
        <f>IF($B13 = 0,"",IF(_xll.CbondsDealsNumber($B13,BJ$4,VLOOKUP($E13,'Help Page'!$L:$P,3,0))="Нет данных",0,_xll.CbondsDealsNumber($B13,BJ$4,VLOOKUP($E13,'Help Page'!$L:$P,3,0))))</f>
        <v>0</v>
      </c>
      <c r="BK13" s="76">
        <f>IF($B13 = 0,"",IF(_xll.CbondsDealsNumber($B13,BK$4,VLOOKUP($E13,'Help Page'!$L:$P,3,0))="Нет данных",0,_xll.CbondsDealsNumber($B13,BK$4,VLOOKUP($E13,'Help Page'!$L:$P,3,0))))</f>
        <v>0</v>
      </c>
      <c r="BL13" s="76">
        <f>IF($B13 = 0,"",IF(_xll.CbondsDealsNumber($B13,BL$4,VLOOKUP($E13,'Help Page'!$L:$P,3,0))="Нет данных",0,_xll.CbondsDealsNumber($B13,BL$4,VLOOKUP($E13,'Help Page'!$L:$P,3,0))))</f>
        <v>0</v>
      </c>
      <c r="BM13" s="76">
        <f>IF($B13 = 0,"",IF(_xll.CbondsDealsNumber($B13,BM$4,VLOOKUP($E13,'Help Page'!$L:$P,3,0))="Нет данных",0,_xll.CbondsDealsNumber($B13,BM$4,VLOOKUP($E13,'Help Page'!$L:$P,3,0))))</f>
        <v>0</v>
      </c>
      <c r="BN13" s="76">
        <f>IF($B13 = 0,"",IF(_xll.CbondsDealsNumber($B13,BN$4,VLOOKUP($E13,'Help Page'!$L:$P,3,0))="Нет данных",0,_xll.CbondsDealsNumber($B13,BN$4,VLOOKUP($E13,'Help Page'!$L:$P,3,0))))</f>
        <v>0</v>
      </c>
      <c r="BO13" s="156">
        <f t="shared" si="3"/>
        <v>0</v>
      </c>
      <c r="BP13" s="156">
        <f t="shared" ref="BP13" si="4">COUNTIF(AK13:BN13, "&gt;0")</f>
        <v>0</v>
      </c>
    </row>
    <row r="14" spans="1:68" x14ac:dyDescent="0.3">
      <c r="A14" s="18">
        <v>2</v>
      </c>
      <c r="B14" s="143" t="str">
        <f>Calculation!$J$27</f>
        <v>RU000A103JR3</v>
      </c>
      <c r="C14" s="143" t="str">
        <f>IF($B14 = 0,"",_xll.CbondsCurrency(B14))</f>
        <v>RUB</v>
      </c>
      <c r="D14" s="148">
        <f>IF($B14 = 0,"",_xll.ReferenceParams(B14,"SumMarketVal"))</f>
        <v>239029200</v>
      </c>
      <c r="E14" s="143" t="s">
        <v>2079</v>
      </c>
      <c r="F14" s="23">
        <f>IF($B14 = 0,"",IF(_xll.CbondsTradingVolume($B14,F$4,VLOOKUP($E14,'Help Page'!$L:$P,3,0))="Нет данных",0,_xll.CbondsTradingVolume($B14,F$4,VLOOKUP($E14,'Help Page'!$L:$P,3,0))))</f>
        <v>0</v>
      </c>
      <c r="G14" s="23">
        <f>IF($B14 = 0,"",IF(_xll.CbondsTradingVolume($B14,G$4,VLOOKUP($E14,'Help Page'!$L:$P,3,0))="Нет данных",0,_xll.CbondsTradingVolume($B14,G$4,VLOOKUP($E14,'Help Page'!$L:$P,3,0))))</f>
        <v>0</v>
      </c>
      <c r="H14" s="23">
        <f>IF($B14 = 0,"",IF(_xll.CbondsTradingVolume($B14,H$4,VLOOKUP($E14,'Help Page'!$L:$P,3,0))="Нет данных",0,_xll.CbondsTradingVolume($B14,H$4,VLOOKUP($E14,'Help Page'!$L:$P,3,0))))</f>
        <v>0</v>
      </c>
      <c r="I14" s="23">
        <f>IF($B14 = 0,"",IF(_xll.CbondsTradingVolume($B14,I$4,VLOOKUP($E14,'Help Page'!$L:$P,3,0))="Нет данных",0,_xll.CbondsTradingVolume($B14,I$4,VLOOKUP($E14,'Help Page'!$L:$P,3,0))))</f>
        <v>0</v>
      </c>
      <c r="J14" s="23">
        <f>IF($B14 = 0,"",IF(_xll.CbondsTradingVolume($B14,J$4,VLOOKUP($E14,'Help Page'!$L:$P,3,0))="Нет данных",0,_xll.CbondsTradingVolume($B14,J$4,VLOOKUP($E14,'Help Page'!$L:$P,3,0))))</f>
        <v>0</v>
      </c>
      <c r="K14" s="23">
        <f>IF($B14 = 0,"",IF(_xll.CbondsTradingVolume($B14,K$4,VLOOKUP($E14,'Help Page'!$L:$P,3,0))="Нет данных",0,_xll.CbondsTradingVolume($B14,K$4,VLOOKUP($E14,'Help Page'!$L:$P,3,0))))</f>
        <v>0</v>
      </c>
      <c r="L14" s="23">
        <f>IF($B14 = 0,"",IF(_xll.CbondsTradingVolume($B14,L$4,VLOOKUP($E14,'Help Page'!$L:$P,3,0))="Нет данных",0,_xll.CbondsTradingVolume($B14,L$4,VLOOKUP($E14,'Help Page'!$L:$P,3,0))))</f>
        <v>0</v>
      </c>
      <c r="M14" s="23">
        <f>IF($B14 = 0,"",IF(_xll.CbondsTradingVolume($B14,M$4,VLOOKUP($E14,'Help Page'!$L:$P,3,0))="Нет данных",0,_xll.CbondsTradingVolume($B14,M$4,VLOOKUP($E14,'Help Page'!$L:$P,3,0))))</f>
        <v>0</v>
      </c>
      <c r="N14" s="23">
        <f>IF($B14 = 0,"",IF(_xll.CbondsTradingVolume($B14,N$4,VLOOKUP($E14,'Help Page'!$L:$P,3,0))="Нет данных",0,_xll.CbondsTradingVolume($B14,N$4,VLOOKUP($E14,'Help Page'!$L:$P,3,0))))</f>
        <v>0</v>
      </c>
      <c r="O14" s="23">
        <f>IF($B14 = 0,"",IF(_xll.CbondsTradingVolume($B14,O$4,VLOOKUP($E14,'Help Page'!$L:$P,3,0))="Нет данных",0,_xll.CbondsTradingVolume($B14,O$4,VLOOKUP($E14,'Help Page'!$L:$P,3,0))))</f>
        <v>0</v>
      </c>
      <c r="P14" s="23">
        <f>IF($B14 = 0,"",IF(_xll.CbondsTradingVolume($B14,P$4,VLOOKUP($E14,'Help Page'!$L:$P,3,0))="Нет данных",0,_xll.CbondsTradingVolume($B14,P$4,VLOOKUP($E14,'Help Page'!$L:$P,3,0))))</f>
        <v>0</v>
      </c>
      <c r="Q14" s="23">
        <f>IF($B14 = 0,"",IF(_xll.CbondsTradingVolume($B14,Q$4,VLOOKUP($E14,'Help Page'!$L:$P,3,0))="Нет данных",0,_xll.CbondsTradingVolume($B14,Q$4,VLOOKUP($E14,'Help Page'!$L:$P,3,0))))</f>
        <v>0</v>
      </c>
      <c r="R14" s="23">
        <f>IF($B14 = 0,"",IF(_xll.CbondsTradingVolume($B14,R$4,VLOOKUP($E14,'Help Page'!$L:$P,3,0))="Нет данных",0,_xll.CbondsTradingVolume($B14,R$4,VLOOKUP($E14,'Help Page'!$L:$P,3,0))))</f>
        <v>0</v>
      </c>
      <c r="S14" s="23">
        <f>IF($B14 = 0,"",IF(_xll.CbondsTradingVolume($B14,S$4,VLOOKUP($E14,'Help Page'!$L:$P,3,0))="Нет данных",0,_xll.CbondsTradingVolume($B14,S$4,VLOOKUP($E14,'Help Page'!$L:$P,3,0))))</f>
        <v>0</v>
      </c>
      <c r="T14" s="23">
        <f>IF($B14 = 0,"",IF(_xll.CbondsTradingVolume($B14,T$4,VLOOKUP($E14,'Help Page'!$L:$P,3,0))="Нет данных",0,_xll.CbondsTradingVolume($B14,T$4,VLOOKUP($E14,'Help Page'!$L:$P,3,0))))</f>
        <v>0</v>
      </c>
      <c r="U14" s="23">
        <f>IF($B14 = 0,"",IF(_xll.CbondsTradingVolume($B14,U$4,VLOOKUP($E14,'Help Page'!$L:$P,3,0))="Нет данных",0,_xll.CbondsTradingVolume($B14,U$4,VLOOKUP($E14,'Help Page'!$L:$P,3,0))))</f>
        <v>0</v>
      </c>
      <c r="V14" s="23">
        <f>IF($B14 = 0,"",IF(_xll.CbondsTradingVolume($B14,V$4,VLOOKUP($E14,'Help Page'!$L:$P,3,0))="Нет данных",0,_xll.CbondsTradingVolume($B14,V$4,VLOOKUP($E14,'Help Page'!$L:$P,3,0))))</f>
        <v>0</v>
      </c>
      <c r="W14" s="23">
        <f>IF($B14 = 0,"",IF(_xll.CbondsTradingVolume($B14,W$4,VLOOKUP($E14,'Help Page'!$L:$P,3,0))="Нет данных",0,_xll.CbondsTradingVolume($B14,W$4,VLOOKUP($E14,'Help Page'!$L:$P,3,0))))</f>
        <v>0</v>
      </c>
      <c r="X14" s="23">
        <f>IF($B14 = 0,"",IF(_xll.CbondsTradingVolume($B14,X$4,VLOOKUP($E14,'Help Page'!$L:$P,3,0))="Нет данных",0,_xll.CbondsTradingVolume($B14,X$4,VLOOKUP($E14,'Help Page'!$L:$P,3,0))))</f>
        <v>0</v>
      </c>
      <c r="Y14" s="23">
        <f>IF($B14 = 0,"",IF(_xll.CbondsTradingVolume($B14,Y$4,VLOOKUP($E14,'Help Page'!$L:$P,3,0))="Нет данных",0,_xll.CbondsTradingVolume($B14,Y$4,VLOOKUP($E14,'Help Page'!$L:$P,3,0))))</f>
        <v>0</v>
      </c>
      <c r="Z14" s="23">
        <f>IF($B14 = 0,"",IF(_xll.CbondsTradingVolume($B14,Z$4,VLOOKUP($E14,'Help Page'!$L:$P,3,0))="Нет данных",0,_xll.CbondsTradingVolume($B14,Z$4,VLOOKUP($E14,'Help Page'!$L:$P,3,0))))</f>
        <v>0</v>
      </c>
      <c r="AA14" s="23">
        <f>IF($B14 = 0,"",IF(_xll.CbondsTradingVolume($B14,AA$4,VLOOKUP($E14,'Help Page'!$L:$P,3,0))="Нет данных",0,_xll.CbondsTradingVolume($B14,AA$4,VLOOKUP($E14,'Help Page'!$L:$P,3,0))))</f>
        <v>0</v>
      </c>
      <c r="AB14" s="23">
        <f>IF($B14 = 0,"",IF(_xll.CbondsTradingVolume($B14,AB$4,VLOOKUP($E14,'Help Page'!$L:$P,3,0))="Нет данных",0,_xll.CbondsTradingVolume($B14,AB$4,VLOOKUP($E14,'Help Page'!$L:$P,3,0))))</f>
        <v>0</v>
      </c>
      <c r="AC14" s="23">
        <f>IF($B14 = 0,"",IF(_xll.CbondsTradingVolume($B14,AC$4,VLOOKUP($E14,'Help Page'!$L:$P,3,0))="Нет данных",0,_xll.CbondsTradingVolume($B14,AC$4,VLOOKUP($E14,'Help Page'!$L:$P,3,0))))</f>
        <v>0</v>
      </c>
      <c r="AD14" s="23">
        <f>IF($B14 = 0,"",IF(_xll.CbondsTradingVolume($B14,AD$4,VLOOKUP($E14,'Help Page'!$L:$P,3,0))="Нет данных",0,_xll.CbondsTradingVolume($B14,AD$4,VLOOKUP($E14,'Help Page'!$L:$P,3,0))))</f>
        <v>0</v>
      </c>
      <c r="AE14" s="23">
        <f>IF($B14 = 0,"",IF(_xll.CbondsTradingVolume($B14,AE$4,VLOOKUP($E14,'Help Page'!$L:$P,3,0))="Нет данных",0,_xll.CbondsTradingVolume($B14,AE$4,VLOOKUP($E14,'Help Page'!$L:$P,3,0))))</f>
        <v>0</v>
      </c>
      <c r="AF14" s="23">
        <f>IF($B14 = 0,"",IF(_xll.CbondsTradingVolume($B14,AF$4,VLOOKUP($E14,'Help Page'!$L:$P,3,0))="Нет данных",0,_xll.CbondsTradingVolume($B14,AF$4,VLOOKUP($E14,'Help Page'!$L:$P,3,0))))</f>
        <v>0</v>
      </c>
      <c r="AG14" s="23">
        <f>IF($B14 = 0,"",IF(_xll.CbondsTradingVolume($B14,AG$4,VLOOKUP($E14,'Help Page'!$L:$P,3,0))="Нет данных",0,_xll.CbondsTradingVolume($B14,AG$4,VLOOKUP($E14,'Help Page'!$L:$P,3,0))))</f>
        <v>0</v>
      </c>
      <c r="AH14" s="23">
        <f>IF($B14 = 0,"",IF(_xll.CbondsTradingVolume($B14,AH$4,VLOOKUP($E14,'Help Page'!$L:$P,3,0))="Нет данных",0,_xll.CbondsTradingVolume($B14,AH$4,VLOOKUP($E14,'Help Page'!$L:$P,3,0))))</f>
        <v>0</v>
      </c>
      <c r="AI14" s="23">
        <f>IF($B14 = 0,"",IF(_xll.CbondsTradingVolume($B14,AI$4,VLOOKUP($E14,'Help Page'!$L:$P,3,0))="Нет данных",0,_xll.CbondsTradingVolume($B14,AI$4,VLOOKUP($E14,'Help Page'!$L:$P,3,0))))</f>
        <v>0</v>
      </c>
      <c r="AJ14" s="171">
        <f>SUM(F14:AI14)*VLOOKUP($E14,'Help Page'!$L:$P,5,0)</f>
        <v>0</v>
      </c>
      <c r="AK14" s="76">
        <f>IF($B14 = 0,"",IF(_xll.CbondsDealsNumber($B14,AK$4,VLOOKUP($E14,'Help Page'!$L:$P,3,0))="Нет данных",0,_xll.CbondsDealsNumber($B14,AK$4,VLOOKUP($E14,'Help Page'!$L:$P,3,0))))</f>
        <v>0</v>
      </c>
      <c r="AL14" s="76">
        <f>IF($B14 = 0,"",IF(_xll.CbondsDealsNumber($B14,AL$4,VLOOKUP($E14,'Help Page'!$L:$P,3,0))="Нет данных",0,_xll.CbondsDealsNumber($B14,AL$4,VLOOKUP($E14,'Help Page'!$L:$P,3,0))))</f>
        <v>0</v>
      </c>
      <c r="AM14" s="76">
        <f>IF($B14 = 0,"",IF(_xll.CbondsDealsNumber($B14,AM$4,VLOOKUP($E14,'Help Page'!$L:$P,3,0))="Нет данных",0,_xll.CbondsDealsNumber($B14,AM$4,VLOOKUP($E14,'Help Page'!$L:$P,3,0))))</f>
        <v>0</v>
      </c>
      <c r="AN14" s="76">
        <f>IF($B14 = 0,"",IF(_xll.CbondsDealsNumber($B14,AN$4,VLOOKUP($E14,'Help Page'!$L:$P,3,0))="Нет данных",0,_xll.CbondsDealsNumber($B14,AN$4,VLOOKUP($E14,'Help Page'!$L:$P,3,0))))</f>
        <v>0</v>
      </c>
      <c r="AO14" s="76">
        <f>IF($B14 = 0,"",IF(_xll.CbondsDealsNumber($B14,AO$4,VLOOKUP($E14,'Help Page'!$L:$P,3,0))="Нет данных",0,_xll.CbondsDealsNumber($B14,AO$4,VLOOKUP($E14,'Help Page'!$L:$P,3,0))))</f>
        <v>0</v>
      </c>
      <c r="AP14" s="76">
        <f>IF($B14 = 0,"",IF(_xll.CbondsDealsNumber($B14,AP$4,VLOOKUP($E14,'Help Page'!$L:$P,3,0))="Нет данных",0,_xll.CbondsDealsNumber($B14,AP$4,VLOOKUP($E14,'Help Page'!$L:$P,3,0))))</f>
        <v>0</v>
      </c>
      <c r="AQ14" s="76">
        <f>IF($B14 = 0,"",IF(_xll.CbondsDealsNumber($B14,AQ$4,VLOOKUP($E14,'Help Page'!$L:$P,3,0))="Нет данных",0,_xll.CbondsDealsNumber($B14,AQ$4,VLOOKUP($E14,'Help Page'!$L:$P,3,0))))</f>
        <v>0</v>
      </c>
      <c r="AR14" s="76">
        <f>IF($B14 = 0,"",IF(_xll.CbondsDealsNumber($B14,AR$4,VLOOKUP($E14,'Help Page'!$L:$P,3,0))="Нет данных",0,_xll.CbondsDealsNumber($B14,AR$4,VLOOKUP($E14,'Help Page'!$L:$P,3,0))))</f>
        <v>0</v>
      </c>
      <c r="AS14" s="76">
        <f>IF($B14 = 0,"",IF(_xll.CbondsDealsNumber($B14,AS$4,VLOOKUP($E14,'Help Page'!$L:$P,3,0))="Нет данных",0,_xll.CbondsDealsNumber($B14,AS$4,VLOOKUP($E14,'Help Page'!$L:$P,3,0))))</f>
        <v>0</v>
      </c>
      <c r="AT14" s="76">
        <f>IF($B14 = 0,"",IF(_xll.CbondsDealsNumber($B14,AT$4,VLOOKUP($E14,'Help Page'!$L:$P,3,0))="Нет данных",0,_xll.CbondsDealsNumber($B14,AT$4,VLOOKUP($E14,'Help Page'!$L:$P,3,0))))</f>
        <v>0</v>
      </c>
      <c r="AU14" s="76">
        <f>IF($B14 = 0,"",IF(_xll.CbondsDealsNumber($B14,AU$4,VLOOKUP($E14,'Help Page'!$L:$P,3,0))="Нет данных",0,_xll.CbondsDealsNumber($B14,AU$4,VLOOKUP($E14,'Help Page'!$L:$P,3,0))))</f>
        <v>0</v>
      </c>
      <c r="AV14" s="76">
        <f>IF($B14 = 0,"",IF(_xll.CbondsDealsNumber($B14,AV$4,VLOOKUP($E14,'Help Page'!$L:$P,3,0))="Нет данных",0,_xll.CbondsDealsNumber($B14,AV$4,VLOOKUP($E14,'Help Page'!$L:$P,3,0))))</f>
        <v>0</v>
      </c>
      <c r="AW14" s="76">
        <f>IF($B14 = 0,"",IF(_xll.CbondsDealsNumber($B14,AW$4,VLOOKUP($E14,'Help Page'!$L:$P,3,0))="Нет данных",0,_xll.CbondsDealsNumber($B14,AW$4,VLOOKUP($E14,'Help Page'!$L:$P,3,0))))</f>
        <v>0</v>
      </c>
      <c r="AX14" s="76">
        <f>IF($B14 = 0,"",IF(_xll.CbondsDealsNumber($B14,AX$4,VLOOKUP($E14,'Help Page'!$L:$P,3,0))="Нет данных",0,_xll.CbondsDealsNumber($B14,AX$4,VLOOKUP($E14,'Help Page'!$L:$P,3,0))))</f>
        <v>0</v>
      </c>
      <c r="AY14" s="76">
        <f>IF($B14 = 0,"",IF(_xll.CbondsDealsNumber($B14,AY$4,VLOOKUP($E14,'Help Page'!$L:$P,3,0))="Нет данных",0,_xll.CbondsDealsNumber($B14,AY$4,VLOOKUP($E14,'Help Page'!$L:$P,3,0))))</f>
        <v>0</v>
      </c>
      <c r="AZ14" s="76">
        <f>IF($B14 = 0,"",IF(_xll.CbondsDealsNumber($B14,AZ$4,VLOOKUP($E14,'Help Page'!$L:$P,3,0))="Нет данных",0,_xll.CbondsDealsNumber($B14,AZ$4,VLOOKUP($E14,'Help Page'!$L:$P,3,0))))</f>
        <v>0</v>
      </c>
      <c r="BA14" s="76">
        <f>IF($B14 = 0,"",IF(_xll.CbondsDealsNumber($B14,BA$4,VLOOKUP($E14,'Help Page'!$L:$P,3,0))="Нет данных",0,_xll.CbondsDealsNumber($B14,BA$4,VLOOKUP($E14,'Help Page'!$L:$P,3,0))))</f>
        <v>0</v>
      </c>
      <c r="BB14" s="76">
        <f>IF($B14 = 0,"",IF(_xll.CbondsDealsNumber($B14,BB$4,VLOOKUP($E14,'Help Page'!$L:$P,3,0))="Нет данных",0,_xll.CbondsDealsNumber($B14,BB$4,VLOOKUP($E14,'Help Page'!$L:$P,3,0))))</f>
        <v>0</v>
      </c>
      <c r="BC14" s="76">
        <f>IF($B14 = 0,"",IF(_xll.CbondsDealsNumber($B14,BC$4,VLOOKUP($E14,'Help Page'!$L:$P,3,0))="Нет данных",0,_xll.CbondsDealsNumber($B14,BC$4,VLOOKUP($E14,'Help Page'!$L:$P,3,0))))</f>
        <v>0</v>
      </c>
      <c r="BD14" s="76">
        <f>IF($B14 = 0,"",IF(_xll.CbondsDealsNumber($B14,BD$4,VLOOKUP($E14,'Help Page'!$L:$P,3,0))="Нет данных",0,_xll.CbondsDealsNumber($B14,BD$4,VLOOKUP($E14,'Help Page'!$L:$P,3,0))))</f>
        <v>0</v>
      </c>
      <c r="BE14" s="76">
        <f>IF($B14 = 0,"",IF(_xll.CbondsDealsNumber($B14,BE$4,VLOOKUP($E14,'Help Page'!$L:$P,3,0))="Нет данных",0,_xll.CbondsDealsNumber($B14,BE$4,VLOOKUP($E14,'Help Page'!$L:$P,3,0))))</f>
        <v>0</v>
      </c>
      <c r="BF14" s="76">
        <f>IF($B14 = 0,"",IF(_xll.CbondsDealsNumber($B14,BF$4,VLOOKUP($E14,'Help Page'!$L:$P,3,0))="Нет данных",0,_xll.CbondsDealsNumber($B14,BF$4,VLOOKUP($E14,'Help Page'!$L:$P,3,0))))</f>
        <v>0</v>
      </c>
      <c r="BG14" s="76">
        <f>IF($B14 = 0,"",IF(_xll.CbondsDealsNumber($B14,BG$4,VLOOKUP($E14,'Help Page'!$L:$P,3,0))="Нет данных",0,_xll.CbondsDealsNumber($B14,BG$4,VLOOKUP($E14,'Help Page'!$L:$P,3,0))))</f>
        <v>0</v>
      </c>
      <c r="BH14" s="76">
        <f>IF($B14 = 0,"",IF(_xll.CbondsDealsNumber($B14,BH$4,VLOOKUP($E14,'Help Page'!$L:$P,3,0))="Нет данных",0,_xll.CbondsDealsNumber($B14,BH$4,VLOOKUP($E14,'Help Page'!$L:$P,3,0))))</f>
        <v>0</v>
      </c>
      <c r="BI14" s="76">
        <f>IF($B14 = 0,"",IF(_xll.CbondsDealsNumber($B14,BI$4,VLOOKUP($E14,'Help Page'!$L:$P,3,0))="Нет данных",0,_xll.CbondsDealsNumber($B14,BI$4,VLOOKUP($E14,'Help Page'!$L:$P,3,0))))</f>
        <v>0</v>
      </c>
      <c r="BJ14" s="76">
        <f>IF($B14 = 0,"",IF(_xll.CbondsDealsNumber($B14,BJ$4,VLOOKUP($E14,'Help Page'!$L:$P,3,0))="Нет данных",0,_xll.CbondsDealsNumber($B14,BJ$4,VLOOKUP($E14,'Help Page'!$L:$P,3,0))))</f>
        <v>0</v>
      </c>
      <c r="BK14" s="76">
        <f>IF($B14 = 0,"",IF(_xll.CbondsDealsNumber($B14,BK$4,VLOOKUP($E14,'Help Page'!$L:$P,3,0))="Нет данных",0,_xll.CbondsDealsNumber($B14,BK$4,VLOOKUP($E14,'Help Page'!$L:$P,3,0))))</f>
        <v>0</v>
      </c>
      <c r="BL14" s="76">
        <f>IF($B14 = 0,"",IF(_xll.CbondsDealsNumber($B14,BL$4,VLOOKUP($E14,'Help Page'!$L:$P,3,0))="Нет данных",0,_xll.CbondsDealsNumber($B14,BL$4,VLOOKUP($E14,'Help Page'!$L:$P,3,0))))</f>
        <v>0</v>
      </c>
      <c r="BM14" s="76">
        <f>IF($B14 = 0,"",IF(_xll.CbondsDealsNumber($B14,BM$4,VLOOKUP($E14,'Help Page'!$L:$P,3,0))="Нет данных",0,_xll.CbondsDealsNumber($B14,BM$4,VLOOKUP($E14,'Help Page'!$L:$P,3,0))))</f>
        <v>0</v>
      </c>
      <c r="BN14" s="76">
        <f>IF($B14 = 0,"",IF(_xll.CbondsDealsNumber($B14,BN$4,VLOOKUP($E14,'Help Page'!$L:$P,3,0))="Нет данных",0,_xll.CbondsDealsNumber($B14,BN$4,VLOOKUP($E14,'Help Page'!$L:$P,3,0))))</f>
        <v>0</v>
      </c>
      <c r="BO14" s="156">
        <f t="shared" si="3"/>
        <v>0</v>
      </c>
      <c r="BP14" s="156">
        <f>COUNTIF(AK14:BN14, "&gt;0")</f>
        <v>0</v>
      </c>
    </row>
    <row r="15" spans="1:68" x14ac:dyDescent="0.3">
      <c r="A15" s="18" t="s">
        <v>2082</v>
      </c>
      <c r="B15" s="143"/>
      <c r="C15" s="143"/>
      <c r="D15" s="148"/>
      <c r="E15" s="158" t="s">
        <v>2081</v>
      </c>
      <c r="F15" s="159" t="str">
        <f>IF(B11 = 0,"",IF(AJ15 = 0, "торгов нет", IF(MAX(AJ11:AJ14) = AJ11,E11,IF(MAX(AJ11:AJ14) = AJ12,E12,IF(MAX(AJ11:AJ14) = AJ13,E13,E14)))))</f>
        <v>торгов нет</v>
      </c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172">
        <f>IF($B11 = 0,"",SUM(AJ11:AJ14)/VLOOKUP(C11,'Help Page'!$M:$Q,4,0)/D11)</f>
        <v>0</v>
      </c>
      <c r="AK15" s="160">
        <f>SUM(AK11:AK14)</f>
        <v>0</v>
      </c>
      <c r="AL15" s="160">
        <f t="shared" ref="AL15:BN15" si="5">SUM(AL11:AL14)</f>
        <v>0</v>
      </c>
      <c r="AM15" s="160">
        <f t="shared" si="5"/>
        <v>0</v>
      </c>
      <c r="AN15" s="160">
        <f t="shared" si="5"/>
        <v>0</v>
      </c>
      <c r="AO15" s="160">
        <f t="shared" si="5"/>
        <v>0</v>
      </c>
      <c r="AP15" s="160">
        <f t="shared" si="5"/>
        <v>0</v>
      </c>
      <c r="AQ15" s="160">
        <f t="shared" si="5"/>
        <v>0</v>
      </c>
      <c r="AR15" s="160">
        <f t="shared" si="5"/>
        <v>0</v>
      </c>
      <c r="AS15" s="160">
        <f t="shared" si="5"/>
        <v>0</v>
      </c>
      <c r="AT15" s="160">
        <f t="shared" si="5"/>
        <v>0</v>
      </c>
      <c r="AU15" s="160">
        <f t="shared" si="5"/>
        <v>0</v>
      </c>
      <c r="AV15" s="160">
        <f t="shared" si="5"/>
        <v>0</v>
      </c>
      <c r="AW15" s="160">
        <f t="shared" si="5"/>
        <v>0</v>
      </c>
      <c r="AX15" s="160">
        <f t="shared" si="5"/>
        <v>0</v>
      </c>
      <c r="AY15" s="160">
        <f t="shared" si="5"/>
        <v>0</v>
      </c>
      <c r="AZ15" s="160">
        <f t="shared" si="5"/>
        <v>0</v>
      </c>
      <c r="BA15" s="160">
        <f t="shared" si="5"/>
        <v>0</v>
      </c>
      <c r="BB15" s="160">
        <f t="shared" si="5"/>
        <v>0</v>
      </c>
      <c r="BC15" s="160">
        <f t="shared" si="5"/>
        <v>0</v>
      </c>
      <c r="BD15" s="160">
        <f t="shared" si="5"/>
        <v>0</v>
      </c>
      <c r="BE15" s="160">
        <f t="shared" si="5"/>
        <v>0</v>
      </c>
      <c r="BF15" s="160">
        <f t="shared" si="5"/>
        <v>0</v>
      </c>
      <c r="BG15" s="160">
        <f t="shared" si="5"/>
        <v>0</v>
      </c>
      <c r="BH15" s="160">
        <f t="shared" si="5"/>
        <v>0</v>
      </c>
      <c r="BI15" s="160">
        <f t="shared" si="5"/>
        <v>0</v>
      </c>
      <c r="BJ15" s="160">
        <f t="shared" si="5"/>
        <v>0</v>
      </c>
      <c r="BK15" s="160">
        <f t="shared" si="5"/>
        <v>0</v>
      </c>
      <c r="BL15" s="160">
        <f t="shared" si="5"/>
        <v>0</v>
      </c>
      <c r="BM15" s="160">
        <f t="shared" si="5"/>
        <v>0</v>
      </c>
      <c r="BN15" s="160">
        <f t="shared" si="5"/>
        <v>0</v>
      </c>
      <c r="BO15" s="161">
        <f>IF($B11 = 0,"",SUM(BO11:BO14))</f>
        <v>0</v>
      </c>
      <c r="BP15" s="161">
        <f>IF($B11 = 0,"",COUNTIF(AK15:BN15, "&gt;0"))</f>
        <v>0</v>
      </c>
    </row>
    <row r="16" spans="1:68" x14ac:dyDescent="0.3">
      <c r="A16" s="18"/>
      <c r="B16" s="162"/>
      <c r="C16" s="162"/>
      <c r="D16" s="163"/>
      <c r="E16" s="162"/>
      <c r="F16" s="164"/>
      <c r="G16" s="164"/>
      <c r="H16" s="164"/>
      <c r="I16" s="164"/>
      <c r="J16" s="164"/>
      <c r="K16" s="164"/>
      <c r="L16" s="164"/>
      <c r="M16" s="164"/>
      <c r="N16" s="164"/>
      <c r="O16" s="164"/>
      <c r="P16" s="164"/>
      <c r="Q16" s="164"/>
      <c r="R16" s="164"/>
      <c r="S16" s="164"/>
      <c r="T16" s="164"/>
      <c r="U16" s="164"/>
      <c r="V16" s="164"/>
      <c r="W16" s="164"/>
      <c r="X16" s="164"/>
      <c r="Y16" s="164"/>
      <c r="Z16" s="164"/>
      <c r="AA16" s="164"/>
      <c r="AB16" s="164"/>
      <c r="AC16" s="164"/>
      <c r="AD16" s="164"/>
      <c r="AE16" s="164"/>
      <c r="AF16" s="164"/>
      <c r="AG16" s="164"/>
      <c r="AH16" s="164"/>
      <c r="AI16" s="164"/>
      <c r="AJ16" s="171"/>
      <c r="AK16" s="164"/>
      <c r="AL16" s="164"/>
      <c r="AM16" s="164"/>
      <c r="AN16" s="164"/>
      <c r="AO16" s="164"/>
      <c r="AP16" s="164"/>
      <c r="AQ16" s="164"/>
      <c r="AR16" s="164"/>
      <c r="AS16" s="164"/>
      <c r="AT16" s="164"/>
      <c r="AU16" s="164"/>
      <c r="AV16" s="164"/>
      <c r="AW16" s="164"/>
      <c r="AX16" s="164"/>
      <c r="AY16" s="164"/>
      <c r="AZ16" s="164"/>
      <c r="BA16" s="164"/>
      <c r="BB16" s="164"/>
      <c r="BC16" s="164"/>
      <c r="BD16" s="164"/>
      <c r="BE16" s="164"/>
      <c r="BF16" s="164"/>
      <c r="BG16" s="164"/>
      <c r="BH16" s="164"/>
      <c r="BI16" s="164"/>
      <c r="BJ16" s="164"/>
      <c r="BK16" s="164"/>
      <c r="BL16" s="164"/>
      <c r="BM16" s="164"/>
      <c r="BN16" s="164"/>
      <c r="BO16" s="156"/>
      <c r="BP16" s="156"/>
    </row>
    <row r="17" spans="1:68" x14ac:dyDescent="0.3">
      <c r="A17" s="18">
        <v>3</v>
      </c>
      <c r="B17" s="143">
        <f>Calculation!$J$28</f>
        <v>0</v>
      </c>
      <c r="C17" s="143" t="str">
        <f>IF($B17 = 0,"",_xll.CbondsCurrency(B17))</f>
        <v/>
      </c>
      <c r="D17" s="148" t="str">
        <f>IF($B17 = 0,"",_xll.ReferenceParams(B17,"SumMarketVal"))</f>
        <v/>
      </c>
      <c r="E17" s="143" t="s">
        <v>2076</v>
      </c>
      <c r="F17" s="23" t="str">
        <f>IF($B17 = 0,"",IF(_xll.CbondsTradingVolume($B17,F$4,VLOOKUP($E17,'Help Page'!$L:$P,3,0))="Нет данных",0,_xll.CbondsTradingVolume($B17,F$4,VLOOKUP($E17,'Help Page'!$L:$P,3,0))))</f>
        <v/>
      </c>
      <c r="G17" s="23" t="str">
        <f>IF($B17 = 0,"",IF(_xll.CbondsTradingVolume($B17,G$4,VLOOKUP($E17,'Help Page'!$L:$P,3,0))="Нет данных",0,_xll.CbondsTradingVolume($B17,G$4,VLOOKUP($E17,'Help Page'!$L:$P,3,0))))</f>
        <v/>
      </c>
      <c r="H17" s="23" t="str">
        <f>IF($B17 = 0,"",IF(_xll.CbondsTradingVolume($B17,H$4,VLOOKUP($E17,'Help Page'!$L:$P,3,0))="Нет данных",0,_xll.CbondsTradingVolume($B17,H$4,VLOOKUP($E17,'Help Page'!$L:$P,3,0))))</f>
        <v/>
      </c>
      <c r="I17" s="23" t="str">
        <f>IF($B17 = 0,"",IF(_xll.CbondsTradingVolume($B17,I$4,VLOOKUP($E17,'Help Page'!$L:$P,3,0))="Нет данных",0,_xll.CbondsTradingVolume($B17,I$4,VLOOKUP($E17,'Help Page'!$L:$P,3,0))))</f>
        <v/>
      </c>
      <c r="J17" s="23" t="str">
        <f>IF($B17 = 0,"",IF(_xll.CbondsTradingVolume($B17,J$4,VLOOKUP($E17,'Help Page'!$L:$P,3,0))="Нет данных",0,_xll.CbondsTradingVolume($B17,J$4,VLOOKUP($E17,'Help Page'!$L:$P,3,0))))</f>
        <v/>
      </c>
      <c r="K17" s="23" t="str">
        <f>IF($B17 = 0,"",IF(_xll.CbondsTradingVolume($B17,K$4,VLOOKUP($E17,'Help Page'!$L:$P,3,0))="Нет данных",0,_xll.CbondsTradingVolume($B17,K$4,VLOOKUP($E17,'Help Page'!$L:$P,3,0))))</f>
        <v/>
      </c>
      <c r="L17" s="23" t="str">
        <f>IF($B17 = 0,"",IF(_xll.CbondsTradingVolume($B17,L$4,VLOOKUP($E17,'Help Page'!$L:$P,3,0))="Нет данных",0,_xll.CbondsTradingVolume($B17,L$4,VLOOKUP($E17,'Help Page'!$L:$P,3,0))))</f>
        <v/>
      </c>
      <c r="M17" s="23" t="str">
        <f>IF($B17 = 0,"",IF(_xll.CbondsTradingVolume($B17,M$4,VLOOKUP($E17,'Help Page'!$L:$P,3,0))="Нет данных",0,_xll.CbondsTradingVolume($B17,M$4,VLOOKUP($E17,'Help Page'!$L:$P,3,0))))</f>
        <v/>
      </c>
      <c r="N17" s="23" t="str">
        <f>IF($B17 = 0,"",IF(_xll.CbondsTradingVolume($B17,N$4,VLOOKUP($E17,'Help Page'!$L:$P,3,0))="Нет данных",0,_xll.CbondsTradingVolume($B17,N$4,VLOOKUP($E17,'Help Page'!$L:$P,3,0))))</f>
        <v/>
      </c>
      <c r="O17" s="23" t="str">
        <f>IF($B17 = 0,"",IF(_xll.CbondsTradingVolume($B17,O$4,VLOOKUP($E17,'Help Page'!$L:$P,3,0))="Нет данных",0,_xll.CbondsTradingVolume($B17,O$4,VLOOKUP($E17,'Help Page'!$L:$P,3,0))))</f>
        <v/>
      </c>
      <c r="P17" s="23" t="str">
        <f>IF($B17 = 0,"",IF(_xll.CbondsTradingVolume($B17,P$4,VLOOKUP($E17,'Help Page'!$L:$P,3,0))="Нет данных",0,_xll.CbondsTradingVolume($B17,P$4,VLOOKUP($E17,'Help Page'!$L:$P,3,0))))</f>
        <v/>
      </c>
      <c r="Q17" s="23" t="str">
        <f>IF($B17 = 0,"",IF(_xll.CbondsTradingVolume($B17,Q$4,VLOOKUP($E17,'Help Page'!$L:$P,3,0))="Нет данных",0,_xll.CbondsTradingVolume($B17,Q$4,VLOOKUP($E17,'Help Page'!$L:$P,3,0))))</f>
        <v/>
      </c>
      <c r="R17" s="23" t="str">
        <f>IF($B17 = 0,"",IF(_xll.CbondsTradingVolume($B17,R$4,VLOOKUP($E17,'Help Page'!$L:$P,3,0))="Нет данных",0,_xll.CbondsTradingVolume($B17,R$4,VLOOKUP($E17,'Help Page'!$L:$P,3,0))))</f>
        <v/>
      </c>
      <c r="S17" s="23" t="str">
        <f>IF($B17 = 0,"",IF(_xll.CbondsTradingVolume($B17,S$4,VLOOKUP($E17,'Help Page'!$L:$P,3,0))="Нет данных",0,_xll.CbondsTradingVolume($B17,S$4,VLOOKUP($E17,'Help Page'!$L:$P,3,0))))</f>
        <v/>
      </c>
      <c r="T17" s="23" t="str">
        <f>IF($B17 = 0,"",IF(_xll.CbondsTradingVolume($B17,T$4,VLOOKUP($E17,'Help Page'!$L:$P,3,0))="Нет данных",0,_xll.CbondsTradingVolume($B17,T$4,VLOOKUP($E17,'Help Page'!$L:$P,3,0))))</f>
        <v/>
      </c>
      <c r="U17" s="23" t="str">
        <f>IF($B17 = 0,"",IF(_xll.CbondsTradingVolume($B17,U$4,VLOOKUP($E17,'Help Page'!$L:$P,3,0))="Нет данных",0,_xll.CbondsTradingVolume($B17,U$4,VLOOKUP($E17,'Help Page'!$L:$P,3,0))))</f>
        <v/>
      </c>
      <c r="V17" s="23" t="str">
        <f>IF($B17 = 0,"",IF(_xll.CbondsTradingVolume($B17,V$4,VLOOKUP($E17,'Help Page'!$L:$P,3,0))="Нет данных",0,_xll.CbondsTradingVolume($B17,V$4,VLOOKUP($E17,'Help Page'!$L:$P,3,0))))</f>
        <v/>
      </c>
      <c r="W17" s="23" t="str">
        <f>IF($B17 = 0,"",IF(_xll.CbondsTradingVolume($B17,W$4,VLOOKUP($E17,'Help Page'!$L:$P,3,0))="Нет данных",0,_xll.CbondsTradingVolume($B17,W$4,VLOOKUP($E17,'Help Page'!$L:$P,3,0))))</f>
        <v/>
      </c>
      <c r="X17" s="23" t="str">
        <f>IF($B17 = 0,"",IF(_xll.CbondsTradingVolume($B17,X$4,VLOOKUP($E17,'Help Page'!$L:$P,3,0))="Нет данных",0,_xll.CbondsTradingVolume($B17,X$4,VLOOKUP($E17,'Help Page'!$L:$P,3,0))))</f>
        <v/>
      </c>
      <c r="Y17" s="23" t="str">
        <f>IF($B17 = 0,"",IF(_xll.CbondsTradingVolume($B17,Y$4,VLOOKUP($E17,'Help Page'!$L:$P,3,0))="Нет данных",0,_xll.CbondsTradingVolume($B17,Y$4,VLOOKUP($E17,'Help Page'!$L:$P,3,0))))</f>
        <v/>
      </c>
      <c r="Z17" s="23" t="str">
        <f>IF($B17 = 0,"",IF(_xll.CbondsTradingVolume($B17,Z$4,VLOOKUP($E17,'Help Page'!$L:$P,3,0))="Нет данных",0,_xll.CbondsTradingVolume($B17,Z$4,VLOOKUP($E17,'Help Page'!$L:$P,3,0))))</f>
        <v/>
      </c>
      <c r="AA17" s="23" t="str">
        <f>IF($B17 = 0,"",IF(_xll.CbondsTradingVolume($B17,AA$4,VLOOKUP($E17,'Help Page'!$L:$P,3,0))="Нет данных",0,_xll.CbondsTradingVolume($B17,AA$4,VLOOKUP($E17,'Help Page'!$L:$P,3,0))))</f>
        <v/>
      </c>
      <c r="AB17" s="23" t="str">
        <f>IF($B17 = 0,"",IF(_xll.CbondsTradingVolume($B17,AB$4,VLOOKUP($E17,'Help Page'!$L:$P,3,0))="Нет данных",0,_xll.CbondsTradingVolume($B17,AB$4,VLOOKUP($E17,'Help Page'!$L:$P,3,0))))</f>
        <v/>
      </c>
      <c r="AC17" s="23" t="str">
        <f>IF($B17 = 0,"",IF(_xll.CbondsTradingVolume($B17,AC$4,VLOOKUP($E17,'Help Page'!$L:$P,3,0))="Нет данных",0,_xll.CbondsTradingVolume($B17,AC$4,VLOOKUP($E17,'Help Page'!$L:$P,3,0))))</f>
        <v/>
      </c>
      <c r="AD17" s="23" t="str">
        <f>IF($B17 = 0,"",IF(_xll.CbondsTradingVolume($B17,AD$4,VLOOKUP($E17,'Help Page'!$L:$P,3,0))="Нет данных",0,_xll.CbondsTradingVolume($B17,AD$4,VLOOKUP($E17,'Help Page'!$L:$P,3,0))))</f>
        <v/>
      </c>
      <c r="AE17" s="23" t="str">
        <f>IF($B17 = 0,"",IF(_xll.CbondsTradingVolume($B17,AE$4,VLOOKUP($E17,'Help Page'!$L:$P,3,0))="Нет данных",0,_xll.CbondsTradingVolume($B17,AE$4,VLOOKUP($E17,'Help Page'!$L:$P,3,0))))</f>
        <v/>
      </c>
      <c r="AF17" s="23" t="str">
        <f>IF($B17 = 0,"",IF(_xll.CbondsTradingVolume($B17,AF$4,VLOOKUP($E17,'Help Page'!$L:$P,3,0))="Нет данных",0,_xll.CbondsTradingVolume($B17,AF$4,VLOOKUP($E17,'Help Page'!$L:$P,3,0))))</f>
        <v/>
      </c>
      <c r="AG17" s="23" t="str">
        <f>IF($B17 = 0,"",IF(_xll.CbondsTradingVolume($B17,AG$4,VLOOKUP($E17,'Help Page'!$L:$P,3,0))="Нет данных",0,_xll.CbondsTradingVolume($B17,AG$4,VLOOKUP($E17,'Help Page'!$L:$P,3,0))))</f>
        <v/>
      </c>
      <c r="AH17" s="23" t="str">
        <f>IF($B17 = 0,"",IF(_xll.CbondsTradingVolume($B17,AH$4,VLOOKUP($E17,'Help Page'!$L:$P,3,0))="Нет данных",0,_xll.CbondsTradingVolume($B17,AH$4,VLOOKUP($E17,'Help Page'!$L:$P,3,0))))</f>
        <v/>
      </c>
      <c r="AI17" s="23" t="str">
        <f>IF($B17 = 0,"",IF(_xll.CbondsTradingVolume($B17,AI$4,VLOOKUP($E17,'Help Page'!$L:$P,3,0))="Нет данных",0,_xll.CbondsTradingVolume($B17,AI$4,VLOOKUP($E17,'Help Page'!$L:$P,3,0))))</f>
        <v/>
      </c>
      <c r="AJ17" s="171">
        <f>SUM(F17:AI17)*VLOOKUP($E17,'Help Page'!$L:$P,5,0)</f>
        <v>0</v>
      </c>
      <c r="AK17" s="76" t="str">
        <f>IF($B17 = 0,"",IF(_xll.CbondsDealsNumber($B17,AK$4,VLOOKUP($E17,'Help Page'!$L:$P,3,0))="Нет данных",0,_xll.CbondsDealsNumber($B17,AK$4,VLOOKUP($E17,'Help Page'!$L:$P,3,0))))</f>
        <v/>
      </c>
      <c r="AL17" s="76" t="str">
        <f>IF($B17 = 0,"",IF(_xll.CbondsDealsNumber($B17,AL$4,VLOOKUP($E17,'Help Page'!$L:$P,3,0))="Нет данных",0,_xll.CbondsDealsNumber($B17,AL$4,VLOOKUP($E17,'Help Page'!$L:$P,3,0))))</f>
        <v/>
      </c>
      <c r="AM17" s="76" t="str">
        <f>IF($B17 = 0,"",IF(_xll.CbondsDealsNumber($B17,AM$4,VLOOKUP($E17,'Help Page'!$L:$P,3,0))="Нет данных",0,_xll.CbondsDealsNumber($B17,AM$4,VLOOKUP($E17,'Help Page'!$L:$P,3,0))))</f>
        <v/>
      </c>
      <c r="AN17" s="76" t="str">
        <f>IF($B17 = 0,"",IF(_xll.CbondsDealsNumber($B17,AN$4,VLOOKUP($E17,'Help Page'!$L:$P,3,0))="Нет данных",0,_xll.CbondsDealsNumber($B17,AN$4,VLOOKUP($E17,'Help Page'!$L:$P,3,0))))</f>
        <v/>
      </c>
      <c r="AO17" s="76" t="str">
        <f>IF($B17 = 0,"",IF(_xll.CbondsDealsNumber($B17,AO$4,VLOOKUP($E17,'Help Page'!$L:$P,3,0))="Нет данных",0,_xll.CbondsDealsNumber($B17,AO$4,VLOOKUP($E17,'Help Page'!$L:$P,3,0))))</f>
        <v/>
      </c>
      <c r="AP17" s="76" t="str">
        <f>IF($B17 = 0,"",IF(_xll.CbondsDealsNumber($B17,AP$4,VLOOKUP($E17,'Help Page'!$L:$P,3,0))="Нет данных",0,_xll.CbondsDealsNumber($B17,AP$4,VLOOKUP($E17,'Help Page'!$L:$P,3,0))))</f>
        <v/>
      </c>
      <c r="AQ17" s="76" t="str">
        <f>IF($B17 = 0,"",IF(_xll.CbondsDealsNumber($B17,AQ$4,VLOOKUP($E17,'Help Page'!$L:$P,3,0))="Нет данных",0,_xll.CbondsDealsNumber($B17,AQ$4,VLOOKUP($E17,'Help Page'!$L:$P,3,0))))</f>
        <v/>
      </c>
      <c r="AR17" s="76" t="str">
        <f>IF($B17 = 0,"",IF(_xll.CbondsDealsNumber($B17,AR$4,VLOOKUP($E17,'Help Page'!$L:$P,3,0))="Нет данных",0,_xll.CbondsDealsNumber($B17,AR$4,VLOOKUP($E17,'Help Page'!$L:$P,3,0))))</f>
        <v/>
      </c>
      <c r="AS17" s="76" t="str">
        <f>IF($B17 = 0,"",IF(_xll.CbondsDealsNumber($B17,AS$4,VLOOKUP($E17,'Help Page'!$L:$P,3,0))="Нет данных",0,_xll.CbondsDealsNumber($B17,AS$4,VLOOKUP($E17,'Help Page'!$L:$P,3,0))))</f>
        <v/>
      </c>
      <c r="AT17" s="76" t="str">
        <f>IF($B17 = 0,"",IF(_xll.CbondsDealsNumber($B17,AT$4,VLOOKUP($E17,'Help Page'!$L:$P,3,0))="Нет данных",0,_xll.CbondsDealsNumber($B17,AT$4,VLOOKUP($E17,'Help Page'!$L:$P,3,0))))</f>
        <v/>
      </c>
      <c r="AU17" s="76" t="str">
        <f>IF($B17 = 0,"",IF(_xll.CbondsDealsNumber($B17,AU$4,VLOOKUP($E17,'Help Page'!$L:$P,3,0))="Нет данных",0,_xll.CbondsDealsNumber($B17,AU$4,VLOOKUP($E17,'Help Page'!$L:$P,3,0))))</f>
        <v/>
      </c>
      <c r="AV17" s="76" t="str">
        <f>IF($B17 = 0,"",IF(_xll.CbondsDealsNumber($B17,AV$4,VLOOKUP($E17,'Help Page'!$L:$P,3,0))="Нет данных",0,_xll.CbondsDealsNumber($B17,AV$4,VLOOKUP($E17,'Help Page'!$L:$P,3,0))))</f>
        <v/>
      </c>
      <c r="AW17" s="76" t="str">
        <f>IF($B17 = 0,"",IF(_xll.CbondsDealsNumber($B17,AW$4,VLOOKUP($E17,'Help Page'!$L:$P,3,0))="Нет данных",0,_xll.CbondsDealsNumber($B17,AW$4,VLOOKUP($E17,'Help Page'!$L:$P,3,0))))</f>
        <v/>
      </c>
      <c r="AX17" s="76" t="str">
        <f>IF($B17 = 0,"",IF(_xll.CbondsDealsNumber($B17,AX$4,VLOOKUP($E17,'Help Page'!$L:$P,3,0))="Нет данных",0,_xll.CbondsDealsNumber($B17,AX$4,VLOOKUP($E17,'Help Page'!$L:$P,3,0))))</f>
        <v/>
      </c>
      <c r="AY17" s="76" t="str">
        <f>IF($B17 = 0,"",IF(_xll.CbondsDealsNumber($B17,AY$4,VLOOKUP($E17,'Help Page'!$L:$P,3,0))="Нет данных",0,_xll.CbondsDealsNumber($B17,AY$4,VLOOKUP($E17,'Help Page'!$L:$P,3,0))))</f>
        <v/>
      </c>
      <c r="AZ17" s="76" t="str">
        <f>IF($B17 = 0,"",IF(_xll.CbondsDealsNumber($B17,AZ$4,VLOOKUP($E17,'Help Page'!$L:$P,3,0))="Нет данных",0,_xll.CbondsDealsNumber($B17,AZ$4,VLOOKUP($E17,'Help Page'!$L:$P,3,0))))</f>
        <v/>
      </c>
      <c r="BA17" s="76" t="str">
        <f>IF($B17 = 0,"",IF(_xll.CbondsDealsNumber($B17,BA$4,VLOOKUP($E17,'Help Page'!$L:$P,3,0))="Нет данных",0,_xll.CbondsDealsNumber($B17,BA$4,VLOOKUP($E17,'Help Page'!$L:$P,3,0))))</f>
        <v/>
      </c>
      <c r="BB17" s="76" t="str">
        <f>IF($B17 = 0,"",IF(_xll.CbondsDealsNumber($B17,BB$4,VLOOKUP($E17,'Help Page'!$L:$P,3,0))="Нет данных",0,_xll.CbondsDealsNumber($B17,BB$4,VLOOKUP($E17,'Help Page'!$L:$P,3,0))))</f>
        <v/>
      </c>
      <c r="BC17" s="76" t="str">
        <f>IF($B17 = 0,"",IF(_xll.CbondsDealsNumber($B17,BC$4,VLOOKUP($E17,'Help Page'!$L:$P,3,0))="Нет данных",0,_xll.CbondsDealsNumber($B17,BC$4,VLOOKUP($E17,'Help Page'!$L:$P,3,0))))</f>
        <v/>
      </c>
      <c r="BD17" s="76" t="str">
        <f>IF($B17 = 0,"",IF(_xll.CbondsDealsNumber($B17,BD$4,VLOOKUP($E17,'Help Page'!$L:$P,3,0))="Нет данных",0,_xll.CbondsDealsNumber($B17,BD$4,VLOOKUP($E17,'Help Page'!$L:$P,3,0))))</f>
        <v/>
      </c>
      <c r="BE17" s="76" t="str">
        <f>IF($B17 = 0,"",IF(_xll.CbondsDealsNumber($B17,BE$4,VLOOKUP($E17,'Help Page'!$L:$P,3,0))="Нет данных",0,_xll.CbondsDealsNumber($B17,BE$4,VLOOKUP($E17,'Help Page'!$L:$P,3,0))))</f>
        <v/>
      </c>
      <c r="BF17" s="76" t="str">
        <f>IF($B17 = 0,"",IF(_xll.CbondsDealsNumber($B17,BF$4,VLOOKUP($E17,'Help Page'!$L:$P,3,0))="Нет данных",0,_xll.CbondsDealsNumber($B17,BF$4,VLOOKUP($E17,'Help Page'!$L:$P,3,0))))</f>
        <v/>
      </c>
      <c r="BG17" s="76" t="str">
        <f>IF($B17 = 0,"",IF(_xll.CbondsDealsNumber($B17,BG$4,VLOOKUP($E17,'Help Page'!$L:$P,3,0))="Нет данных",0,_xll.CbondsDealsNumber($B17,BG$4,VLOOKUP($E17,'Help Page'!$L:$P,3,0))))</f>
        <v/>
      </c>
      <c r="BH17" s="76" t="str">
        <f>IF($B17 = 0,"",IF(_xll.CbondsDealsNumber($B17,BH$4,VLOOKUP($E17,'Help Page'!$L:$P,3,0))="Нет данных",0,_xll.CbondsDealsNumber($B17,BH$4,VLOOKUP($E17,'Help Page'!$L:$P,3,0))))</f>
        <v/>
      </c>
      <c r="BI17" s="76" t="str">
        <f>IF($B17 = 0,"",IF(_xll.CbondsDealsNumber($B17,BI$4,VLOOKUP($E17,'Help Page'!$L:$P,3,0))="Нет данных",0,_xll.CbondsDealsNumber($B17,BI$4,VLOOKUP($E17,'Help Page'!$L:$P,3,0))))</f>
        <v/>
      </c>
      <c r="BJ17" s="76" t="str">
        <f>IF($B17 = 0,"",IF(_xll.CbondsDealsNumber($B17,BJ$4,VLOOKUP($E17,'Help Page'!$L:$P,3,0))="Нет данных",0,_xll.CbondsDealsNumber($B17,BJ$4,VLOOKUP($E17,'Help Page'!$L:$P,3,0))))</f>
        <v/>
      </c>
      <c r="BK17" s="76" t="str">
        <f>IF($B17 = 0,"",IF(_xll.CbondsDealsNumber($B17,BK$4,VLOOKUP($E17,'Help Page'!$L:$P,3,0))="Нет данных",0,_xll.CbondsDealsNumber($B17,BK$4,VLOOKUP($E17,'Help Page'!$L:$P,3,0))))</f>
        <v/>
      </c>
      <c r="BL17" s="76" t="str">
        <f>IF($B17 = 0,"",IF(_xll.CbondsDealsNumber($B17,BL$4,VLOOKUP($E17,'Help Page'!$L:$P,3,0))="Нет данных",0,_xll.CbondsDealsNumber($B17,BL$4,VLOOKUP($E17,'Help Page'!$L:$P,3,0))))</f>
        <v/>
      </c>
      <c r="BM17" s="76" t="str">
        <f>IF($B17 = 0,"",IF(_xll.CbondsDealsNumber($B17,BM$4,VLOOKUP($E17,'Help Page'!$L:$P,3,0))="Нет данных",0,_xll.CbondsDealsNumber($B17,BM$4,VLOOKUP($E17,'Help Page'!$L:$P,3,0))))</f>
        <v/>
      </c>
      <c r="BN17" s="76" t="str">
        <f>IF($B17 = 0,"",IF(_xll.CbondsDealsNumber($B17,BN$4,VLOOKUP($E17,'Help Page'!$L:$P,3,0))="Нет данных",0,_xll.CbondsDealsNumber($B17,BN$4,VLOOKUP($E17,'Help Page'!$L:$P,3,0))))</f>
        <v/>
      </c>
      <c r="BO17" s="156">
        <f>SUM(AK17:BN17)</f>
        <v>0</v>
      </c>
      <c r="BP17" s="156">
        <f>COUNTIF(AK17:BN17, "&gt;0")</f>
        <v>0</v>
      </c>
    </row>
    <row r="18" spans="1:68" x14ac:dyDescent="0.3">
      <c r="A18" s="18">
        <v>3</v>
      </c>
      <c r="B18" s="143">
        <f>Calculation!$J$28</f>
        <v>0</v>
      </c>
      <c r="C18" s="143" t="str">
        <f>IF($B18 = 0,"",_xll.CbondsCurrency(B18))</f>
        <v/>
      </c>
      <c r="D18" s="148" t="str">
        <f>IF($B18 = 0,"",_xll.ReferenceParams(B18,"SumMarketVal"))</f>
        <v/>
      </c>
      <c r="E18" s="143" t="s">
        <v>2077</v>
      </c>
      <c r="F18" s="23" t="str">
        <f>IF($B18 = 0,"",IF(_xll.CbondsTradingVolume($B18,F$4,VLOOKUP($E18,'Help Page'!$L:$P,3,0))="Нет данных",0,_xll.CbondsTradingVolume($B18,F$4,VLOOKUP($E18,'Help Page'!$L:$P,3,0))))</f>
        <v/>
      </c>
      <c r="G18" s="23" t="str">
        <f>IF($B18 = 0,"",IF(_xll.CbondsTradingVolume($B18,G$4,VLOOKUP($E18,'Help Page'!$L:$P,3,0))="Нет данных",0,_xll.CbondsTradingVolume($B18,G$4,VLOOKUP($E18,'Help Page'!$L:$P,3,0))))</f>
        <v/>
      </c>
      <c r="H18" s="23" t="str">
        <f>IF($B18 = 0,"",IF(_xll.CbondsTradingVolume($B18,H$4,VLOOKUP($E18,'Help Page'!$L:$P,3,0))="Нет данных",0,_xll.CbondsTradingVolume($B18,H$4,VLOOKUP($E18,'Help Page'!$L:$P,3,0))))</f>
        <v/>
      </c>
      <c r="I18" s="23" t="str">
        <f>IF($B18 = 0,"",IF(_xll.CbondsTradingVolume($B18,I$4,VLOOKUP($E18,'Help Page'!$L:$P,3,0))="Нет данных",0,_xll.CbondsTradingVolume($B18,I$4,VLOOKUP($E18,'Help Page'!$L:$P,3,0))))</f>
        <v/>
      </c>
      <c r="J18" s="23" t="str">
        <f>IF($B18 = 0,"",IF(_xll.CbondsTradingVolume($B18,J$4,VLOOKUP($E18,'Help Page'!$L:$P,3,0))="Нет данных",0,_xll.CbondsTradingVolume($B18,J$4,VLOOKUP($E18,'Help Page'!$L:$P,3,0))))</f>
        <v/>
      </c>
      <c r="K18" s="23" t="str">
        <f>IF($B18 = 0,"",IF(_xll.CbondsTradingVolume($B18,K$4,VLOOKUP($E18,'Help Page'!$L:$P,3,0))="Нет данных",0,_xll.CbondsTradingVolume($B18,K$4,VLOOKUP($E18,'Help Page'!$L:$P,3,0))))</f>
        <v/>
      </c>
      <c r="L18" s="23" t="str">
        <f>IF($B18 = 0,"",IF(_xll.CbondsTradingVolume($B18,L$4,VLOOKUP($E18,'Help Page'!$L:$P,3,0))="Нет данных",0,_xll.CbondsTradingVolume($B18,L$4,VLOOKUP($E18,'Help Page'!$L:$P,3,0))))</f>
        <v/>
      </c>
      <c r="M18" s="23" t="str">
        <f>IF($B18 = 0,"",IF(_xll.CbondsTradingVolume($B18,M$4,VLOOKUP($E18,'Help Page'!$L:$P,3,0))="Нет данных",0,_xll.CbondsTradingVolume($B18,M$4,VLOOKUP($E18,'Help Page'!$L:$P,3,0))))</f>
        <v/>
      </c>
      <c r="N18" s="23" t="str">
        <f>IF($B18 = 0,"",IF(_xll.CbondsTradingVolume($B18,N$4,VLOOKUP($E18,'Help Page'!$L:$P,3,0))="Нет данных",0,_xll.CbondsTradingVolume($B18,N$4,VLOOKUP($E18,'Help Page'!$L:$P,3,0))))</f>
        <v/>
      </c>
      <c r="O18" s="23" t="str">
        <f>IF($B18 = 0,"",IF(_xll.CbondsTradingVolume($B18,O$4,VLOOKUP($E18,'Help Page'!$L:$P,3,0))="Нет данных",0,_xll.CbondsTradingVolume($B18,O$4,VLOOKUP($E18,'Help Page'!$L:$P,3,0))))</f>
        <v/>
      </c>
      <c r="P18" s="23" t="str">
        <f>IF($B18 = 0,"",IF(_xll.CbondsTradingVolume($B18,P$4,VLOOKUP($E18,'Help Page'!$L:$P,3,0))="Нет данных",0,_xll.CbondsTradingVolume($B18,P$4,VLOOKUP($E18,'Help Page'!$L:$P,3,0))))</f>
        <v/>
      </c>
      <c r="Q18" s="23" t="str">
        <f>IF($B18 = 0,"",IF(_xll.CbondsTradingVolume($B18,Q$4,VLOOKUP($E18,'Help Page'!$L:$P,3,0))="Нет данных",0,_xll.CbondsTradingVolume($B18,Q$4,VLOOKUP($E18,'Help Page'!$L:$P,3,0))))</f>
        <v/>
      </c>
      <c r="R18" s="23" t="str">
        <f>IF($B18 = 0,"",IF(_xll.CbondsTradingVolume($B18,R$4,VLOOKUP($E18,'Help Page'!$L:$P,3,0))="Нет данных",0,_xll.CbondsTradingVolume($B18,R$4,VLOOKUP($E18,'Help Page'!$L:$P,3,0))))</f>
        <v/>
      </c>
      <c r="S18" s="23" t="str">
        <f>IF($B18 = 0,"",IF(_xll.CbondsTradingVolume($B18,S$4,VLOOKUP($E18,'Help Page'!$L:$P,3,0))="Нет данных",0,_xll.CbondsTradingVolume($B18,S$4,VLOOKUP($E18,'Help Page'!$L:$P,3,0))))</f>
        <v/>
      </c>
      <c r="T18" s="23" t="str">
        <f>IF($B18 = 0,"",IF(_xll.CbondsTradingVolume($B18,T$4,VLOOKUP($E18,'Help Page'!$L:$P,3,0))="Нет данных",0,_xll.CbondsTradingVolume($B18,T$4,VLOOKUP($E18,'Help Page'!$L:$P,3,0))))</f>
        <v/>
      </c>
      <c r="U18" s="23" t="str">
        <f>IF($B18 = 0,"",IF(_xll.CbondsTradingVolume($B18,U$4,VLOOKUP($E18,'Help Page'!$L:$P,3,0))="Нет данных",0,_xll.CbondsTradingVolume($B18,U$4,VLOOKUP($E18,'Help Page'!$L:$P,3,0))))</f>
        <v/>
      </c>
      <c r="V18" s="23" t="str">
        <f>IF($B18 = 0,"",IF(_xll.CbondsTradingVolume($B18,V$4,VLOOKUP($E18,'Help Page'!$L:$P,3,0))="Нет данных",0,_xll.CbondsTradingVolume($B18,V$4,VLOOKUP($E18,'Help Page'!$L:$P,3,0))))</f>
        <v/>
      </c>
      <c r="W18" s="23" t="str">
        <f>IF($B18 = 0,"",IF(_xll.CbondsTradingVolume($B18,W$4,VLOOKUP($E18,'Help Page'!$L:$P,3,0))="Нет данных",0,_xll.CbondsTradingVolume($B18,W$4,VLOOKUP($E18,'Help Page'!$L:$P,3,0))))</f>
        <v/>
      </c>
      <c r="X18" s="23" t="str">
        <f>IF($B18 = 0,"",IF(_xll.CbondsTradingVolume($B18,X$4,VLOOKUP($E18,'Help Page'!$L:$P,3,0))="Нет данных",0,_xll.CbondsTradingVolume($B18,X$4,VLOOKUP($E18,'Help Page'!$L:$P,3,0))))</f>
        <v/>
      </c>
      <c r="Y18" s="23" t="str">
        <f>IF($B18 = 0,"",IF(_xll.CbondsTradingVolume($B18,Y$4,VLOOKUP($E18,'Help Page'!$L:$P,3,0))="Нет данных",0,_xll.CbondsTradingVolume($B18,Y$4,VLOOKUP($E18,'Help Page'!$L:$P,3,0))))</f>
        <v/>
      </c>
      <c r="Z18" s="23" t="str">
        <f>IF($B18 = 0,"",IF(_xll.CbondsTradingVolume($B18,Z$4,VLOOKUP($E18,'Help Page'!$L:$P,3,0))="Нет данных",0,_xll.CbondsTradingVolume($B18,Z$4,VLOOKUP($E18,'Help Page'!$L:$P,3,0))))</f>
        <v/>
      </c>
      <c r="AA18" s="23" t="str">
        <f>IF($B18 = 0,"",IF(_xll.CbondsTradingVolume($B18,AA$4,VLOOKUP($E18,'Help Page'!$L:$P,3,0))="Нет данных",0,_xll.CbondsTradingVolume($B18,AA$4,VLOOKUP($E18,'Help Page'!$L:$P,3,0))))</f>
        <v/>
      </c>
      <c r="AB18" s="23" t="str">
        <f>IF($B18 = 0,"",IF(_xll.CbondsTradingVolume($B18,AB$4,VLOOKUP($E18,'Help Page'!$L:$P,3,0))="Нет данных",0,_xll.CbondsTradingVolume($B18,AB$4,VLOOKUP($E18,'Help Page'!$L:$P,3,0))))</f>
        <v/>
      </c>
      <c r="AC18" s="23" t="str">
        <f>IF($B18 = 0,"",IF(_xll.CbondsTradingVolume($B18,AC$4,VLOOKUP($E18,'Help Page'!$L:$P,3,0))="Нет данных",0,_xll.CbondsTradingVolume($B18,AC$4,VLOOKUP($E18,'Help Page'!$L:$P,3,0))))</f>
        <v/>
      </c>
      <c r="AD18" s="23" t="str">
        <f>IF($B18 = 0,"",IF(_xll.CbondsTradingVolume($B18,AD$4,VLOOKUP($E18,'Help Page'!$L:$P,3,0))="Нет данных",0,_xll.CbondsTradingVolume($B18,AD$4,VLOOKUP($E18,'Help Page'!$L:$P,3,0))))</f>
        <v/>
      </c>
      <c r="AE18" s="23" t="str">
        <f>IF($B18 = 0,"",IF(_xll.CbondsTradingVolume($B18,AE$4,VLOOKUP($E18,'Help Page'!$L:$P,3,0))="Нет данных",0,_xll.CbondsTradingVolume($B18,AE$4,VLOOKUP($E18,'Help Page'!$L:$P,3,0))))</f>
        <v/>
      </c>
      <c r="AF18" s="23" t="str">
        <f>IF($B18 = 0,"",IF(_xll.CbondsTradingVolume($B18,AF$4,VLOOKUP($E18,'Help Page'!$L:$P,3,0))="Нет данных",0,_xll.CbondsTradingVolume($B18,AF$4,VLOOKUP($E18,'Help Page'!$L:$P,3,0))))</f>
        <v/>
      </c>
      <c r="AG18" s="23" t="str">
        <f>IF($B18 = 0,"",IF(_xll.CbondsTradingVolume($B18,AG$4,VLOOKUP($E18,'Help Page'!$L:$P,3,0))="Нет данных",0,_xll.CbondsTradingVolume($B18,AG$4,VLOOKUP($E18,'Help Page'!$L:$P,3,0))))</f>
        <v/>
      </c>
      <c r="AH18" s="23" t="str">
        <f>IF($B18 = 0,"",IF(_xll.CbondsTradingVolume($B18,AH$4,VLOOKUP($E18,'Help Page'!$L:$P,3,0))="Нет данных",0,_xll.CbondsTradingVolume($B18,AH$4,VLOOKUP($E18,'Help Page'!$L:$P,3,0))))</f>
        <v/>
      </c>
      <c r="AI18" s="23" t="str">
        <f>IF($B18 = 0,"",IF(_xll.CbondsTradingVolume($B18,AI$4,VLOOKUP($E18,'Help Page'!$L:$P,3,0))="Нет данных",0,_xll.CbondsTradingVolume($B18,AI$4,VLOOKUP($E18,'Help Page'!$L:$P,3,0))))</f>
        <v/>
      </c>
      <c r="AJ18" s="171">
        <f>SUM(F18:AI18)*VLOOKUP($E18,'Help Page'!$L:$P,5,0)</f>
        <v>0</v>
      </c>
      <c r="AK18" s="76" t="str">
        <f>IF($B18 = 0,"",IF(_xll.CbondsDealsNumber($B18,AK$4,VLOOKUP($E18,'Help Page'!$L:$P,3,0))="Нет данных",0,_xll.CbondsDealsNumber($B18,AK$4,VLOOKUP($E18,'Help Page'!$L:$P,3,0))))</f>
        <v/>
      </c>
      <c r="AL18" s="76" t="str">
        <f>IF($B18 = 0,"",IF(_xll.CbondsDealsNumber($B18,AL$4,VLOOKUP($E18,'Help Page'!$L:$P,3,0))="Нет данных",0,_xll.CbondsDealsNumber($B18,AL$4,VLOOKUP($E18,'Help Page'!$L:$P,3,0))))</f>
        <v/>
      </c>
      <c r="AM18" s="76" t="str">
        <f>IF($B18 = 0,"",IF(_xll.CbondsDealsNumber($B18,AM$4,VLOOKUP($E18,'Help Page'!$L:$P,3,0))="Нет данных",0,_xll.CbondsDealsNumber($B18,AM$4,VLOOKUP($E18,'Help Page'!$L:$P,3,0))))</f>
        <v/>
      </c>
      <c r="AN18" s="76" t="str">
        <f>IF($B18 = 0,"",IF(_xll.CbondsDealsNumber($B18,AN$4,VLOOKUP($E18,'Help Page'!$L:$P,3,0))="Нет данных",0,_xll.CbondsDealsNumber($B18,AN$4,VLOOKUP($E18,'Help Page'!$L:$P,3,0))))</f>
        <v/>
      </c>
      <c r="AO18" s="76" t="str">
        <f>IF($B18 = 0,"",IF(_xll.CbondsDealsNumber($B18,AO$4,VLOOKUP($E18,'Help Page'!$L:$P,3,0))="Нет данных",0,_xll.CbondsDealsNumber($B18,AO$4,VLOOKUP($E18,'Help Page'!$L:$P,3,0))))</f>
        <v/>
      </c>
      <c r="AP18" s="76" t="str">
        <f>IF($B18 = 0,"",IF(_xll.CbondsDealsNumber($B18,AP$4,VLOOKUP($E18,'Help Page'!$L:$P,3,0))="Нет данных",0,_xll.CbondsDealsNumber($B18,AP$4,VLOOKUP($E18,'Help Page'!$L:$P,3,0))))</f>
        <v/>
      </c>
      <c r="AQ18" s="76" t="str">
        <f>IF($B18 = 0,"",IF(_xll.CbondsDealsNumber($B18,AQ$4,VLOOKUP($E18,'Help Page'!$L:$P,3,0))="Нет данных",0,_xll.CbondsDealsNumber($B18,AQ$4,VLOOKUP($E18,'Help Page'!$L:$P,3,0))))</f>
        <v/>
      </c>
      <c r="AR18" s="76" t="str">
        <f>IF($B18 = 0,"",IF(_xll.CbondsDealsNumber($B18,AR$4,VLOOKUP($E18,'Help Page'!$L:$P,3,0))="Нет данных",0,_xll.CbondsDealsNumber($B18,AR$4,VLOOKUP($E18,'Help Page'!$L:$P,3,0))))</f>
        <v/>
      </c>
      <c r="AS18" s="76" t="str">
        <f>IF($B18 = 0,"",IF(_xll.CbondsDealsNumber($B18,AS$4,VLOOKUP($E18,'Help Page'!$L:$P,3,0))="Нет данных",0,_xll.CbondsDealsNumber($B18,AS$4,VLOOKUP($E18,'Help Page'!$L:$P,3,0))))</f>
        <v/>
      </c>
      <c r="AT18" s="76" t="str">
        <f>IF($B18 = 0,"",IF(_xll.CbondsDealsNumber($B18,AT$4,VLOOKUP($E18,'Help Page'!$L:$P,3,0))="Нет данных",0,_xll.CbondsDealsNumber($B18,AT$4,VLOOKUP($E18,'Help Page'!$L:$P,3,0))))</f>
        <v/>
      </c>
      <c r="AU18" s="76" t="str">
        <f>IF($B18 = 0,"",IF(_xll.CbondsDealsNumber($B18,AU$4,VLOOKUP($E18,'Help Page'!$L:$P,3,0))="Нет данных",0,_xll.CbondsDealsNumber($B18,AU$4,VLOOKUP($E18,'Help Page'!$L:$P,3,0))))</f>
        <v/>
      </c>
      <c r="AV18" s="76" t="str">
        <f>IF($B18 = 0,"",IF(_xll.CbondsDealsNumber($B18,AV$4,VLOOKUP($E18,'Help Page'!$L:$P,3,0))="Нет данных",0,_xll.CbondsDealsNumber($B18,AV$4,VLOOKUP($E18,'Help Page'!$L:$P,3,0))))</f>
        <v/>
      </c>
      <c r="AW18" s="76" t="str">
        <f>IF($B18 = 0,"",IF(_xll.CbondsDealsNumber($B18,AW$4,VLOOKUP($E18,'Help Page'!$L:$P,3,0))="Нет данных",0,_xll.CbondsDealsNumber($B18,AW$4,VLOOKUP($E18,'Help Page'!$L:$P,3,0))))</f>
        <v/>
      </c>
      <c r="AX18" s="76" t="str">
        <f>IF($B18 = 0,"",IF(_xll.CbondsDealsNumber($B18,AX$4,VLOOKUP($E18,'Help Page'!$L:$P,3,0))="Нет данных",0,_xll.CbondsDealsNumber($B18,AX$4,VLOOKUP($E18,'Help Page'!$L:$P,3,0))))</f>
        <v/>
      </c>
      <c r="AY18" s="76" t="str">
        <f>IF($B18 = 0,"",IF(_xll.CbondsDealsNumber($B18,AY$4,VLOOKUP($E18,'Help Page'!$L:$P,3,0))="Нет данных",0,_xll.CbondsDealsNumber($B18,AY$4,VLOOKUP($E18,'Help Page'!$L:$P,3,0))))</f>
        <v/>
      </c>
      <c r="AZ18" s="76" t="str">
        <f>IF($B18 = 0,"",IF(_xll.CbondsDealsNumber($B18,AZ$4,VLOOKUP($E18,'Help Page'!$L:$P,3,0))="Нет данных",0,_xll.CbondsDealsNumber($B18,AZ$4,VLOOKUP($E18,'Help Page'!$L:$P,3,0))))</f>
        <v/>
      </c>
      <c r="BA18" s="76" t="str">
        <f>IF($B18 = 0,"",IF(_xll.CbondsDealsNumber($B18,BA$4,VLOOKUP($E18,'Help Page'!$L:$P,3,0))="Нет данных",0,_xll.CbondsDealsNumber($B18,BA$4,VLOOKUP($E18,'Help Page'!$L:$P,3,0))))</f>
        <v/>
      </c>
      <c r="BB18" s="76" t="str">
        <f>IF($B18 = 0,"",IF(_xll.CbondsDealsNumber($B18,BB$4,VLOOKUP($E18,'Help Page'!$L:$P,3,0))="Нет данных",0,_xll.CbondsDealsNumber($B18,BB$4,VLOOKUP($E18,'Help Page'!$L:$P,3,0))))</f>
        <v/>
      </c>
      <c r="BC18" s="76" t="str">
        <f>IF($B18 = 0,"",IF(_xll.CbondsDealsNumber($B18,BC$4,VLOOKUP($E18,'Help Page'!$L:$P,3,0))="Нет данных",0,_xll.CbondsDealsNumber($B18,BC$4,VLOOKUP($E18,'Help Page'!$L:$P,3,0))))</f>
        <v/>
      </c>
      <c r="BD18" s="76" t="str">
        <f>IF($B18 = 0,"",IF(_xll.CbondsDealsNumber($B18,BD$4,VLOOKUP($E18,'Help Page'!$L:$P,3,0))="Нет данных",0,_xll.CbondsDealsNumber($B18,BD$4,VLOOKUP($E18,'Help Page'!$L:$P,3,0))))</f>
        <v/>
      </c>
      <c r="BE18" s="76" t="str">
        <f>IF($B18 = 0,"",IF(_xll.CbondsDealsNumber($B18,BE$4,VLOOKUP($E18,'Help Page'!$L:$P,3,0))="Нет данных",0,_xll.CbondsDealsNumber($B18,BE$4,VLOOKUP($E18,'Help Page'!$L:$P,3,0))))</f>
        <v/>
      </c>
      <c r="BF18" s="76" t="str">
        <f>IF($B18 = 0,"",IF(_xll.CbondsDealsNumber($B18,BF$4,VLOOKUP($E18,'Help Page'!$L:$P,3,0))="Нет данных",0,_xll.CbondsDealsNumber($B18,BF$4,VLOOKUP($E18,'Help Page'!$L:$P,3,0))))</f>
        <v/>
      </c>
      <c r="BG18" s="76" t="str">
        <f>IF($B18 = 0,"",IF(_xll.CbondsDealsNumber($B18,BG$4,VLOOKUP($E18,'Help Page'!$L:$P,3,0))="Нет данных",0,_xll.CbondsDealsNumber($B18,BG$4,VLOOKUP($E18,'Help Page'!$L:$P,3,0))))</f>
        <v/>
      </c>
      <c r="BH18" s="76" t="str">
        <f>IF($B18 = 0,"",IF(_xll.CbondsDealsNumber($B18,BH$4,VLOOKUP($E18,'Help Page'!$L:$P,3,0))="Нет данных",0,_xll.CbondsDealsNumber($B18,BH$4,VLOOKUP($E18,'Help Page'!$L:$P,3,0))))</f>
        <v/>
      </c>
      <c r="BI18" s="76" t="str">
        <f>IF($B18 = 0,"",IF(_xll.CbondsDealsNumber($B18,BI$4,VLOOKUP($E18,'Help Page'!$L:$P,3,0))="Нет данных",0,_xll.CbondsDealsNumber($B18,BI$4,VLOOKUP($E18,'Help Page'!$L:$P,3,0))))</f>
        <v/>
      </c>
      <c r="BJ18" s="76" t="str">
        <f>IF($B18 = 0,"",IF(_xll.CbondsDealsNumber($B18,BJ$4,VLOOKUP($E18,'Help Page'!$L:$P,3,0))="Нет данных",0,_xll.CbondsDealsNumber($B18,BJ$4,VLOOKUP($E18,'Help Page'!$L:$P,3,0))))</f>
        <v/>
      </c>
      <c r="BK18" s="76" t="str">
        <f>IF($B18 = 0,"",IF(_xll.CbondsDealsNumber($B18,BK$4,VLOOKUP($E18,'Help Page'!$L:$P,3,0))="Нет данных",0,_xll.CbondsDealsNumber($B18,BK$4,VLOOKUP($E18,'Help Page'!$L:$P,3,0))))</f>
        <v/>
      </c>
      <c r="BL18" s="76" t="str">
        <f>IF($B18 = 0,"",IF(_xll.CbondsDealsNumber($B18,BL$4,VLOOKUP($E18,'Help Page'!$L:$P,3,0))="Нет данных",0,_xll.CbondsDealsNumber($B18,BL$4,VLOOKUP($E18,'Help Page'!$L:$P,3,0))))</f>
        <v/>
      </c>
      <c r="BM18" s="76" t="str">
        <f>IF($B18 = 0,"",IF(_xll.CbondsDealsNumber($B18,BM$4,VLOOKUP($E18,'Help Page'!$L:$P,3,0))="Нет данных",0,_xll.CbondsDealsNumber($B18,BM$4,VLOOKUP($E18,'Help Page'!$L:$P,3,0))))</f>
        <v/>
      </c>
      <c r="BN18" s="76" t="str">
        <f>IF($B18 = 0,"",IF(_xll.CbondsDealsNumber($B18,BN$4,VLOOKUP($E18,'Help Page'!$L:$P,3,0))="Нет данных",0,_xll.CbondsDealsNumber($B18,BN$4,VLOOKUP($E18,'Help Page'!$L:$P,3,0))))</f>
        <v/>
      </c>
      <c r="BO18" s="156">
        <f t="shared" ref="BO18:BO20" si="6">SUM(AK18:BN18)</f>
        <v>0</v>
      </c>
      <c r="BP18" s="156">
        <f>COUNTIF(AK18:BN18, "&gt;0")</f>
        <v>0</v>
      </c>
    </row>
    <row r="19" spans="1:68" x14ac:dyDescent="0.3">
      <c r="A19" s="18">
        <v>3</v>
      </c>
      <c r="B19" s="143">
        <f>Calculation!$J$28</f>
        <v>0</v>
      </c>
      <c r="C19" s="143" t="str">
        <f>IF($B19 = 0,"",_xll.CbondsCurrency(B19))</f>
        <v/>
      </c>
      <c r="D19" s="148" t="str">
        <f>IF($B19 = 0,"",_xll.ReferenceParams(B19,"SumMarketVal"))</f>
        <v/>
      </c>
      <c r="E19" s="143" t="s">
        <v>2078</v>
      </c>
      <c r="F19" s="23" t="str">
        <f>IF($B19 = 0,"",IF(_xll.CbondsTradingVolume($B19,F$4,VLOOKUP($E19,'Help Page'!$L:$P,3,0))="Нет данных",0,_xll.CbondsTradingVolume($B19,F$4,VLOOKUP($E19,'Help Page'!$L:$P,3,0))))</f>
        <v/>
      </c>
      <c r="G19" s="23" t="str">
        <f>IF($B19 = 0,"",IF(_xll.CbondsTradingVolume($B19,G$4,VLOOKUP($E19,'Help Page'!$L:$P,3,0))="Нет данных",0,_xll.CbondsTradingVolume($B19,G$4,VLOOKUP($E19,'Help Page'!$L:$P,3,0))))</f>
        <v/>
      </c>
      <c r="H19" s="23" t="str">
        <f>IF($B19 = 0,"",IF(_xll.CbondsTradingVolume($B19,H$4,VLOOKUP($E19,'Help Page'!$L:$P,3,0))="Нет данных",0,_xll.CbondsTradingVolume($B19,H$4,VLOOKUP($E19,'Help Page'!$L:$P,3,0))))</f>
        <v/>
      </c>
      <c r="I19" s="23" t="str">
        <f>IF($B19 = 0,"",IF(_xll.CbondsTradingVolume($B19,I$4,VLOOKUP($E19,'Help Page'!$L:$P,3,0))="Нет данных",0,_xll.CbondsTradingVolume($B19,I$4,VLOOKUP($E19,'Help Page'!$L:$P,3,0))))</f>
        <v/>
      </c>
      <c r="J19" s="23" t="str">
        <f>IF($B19 = 0,"",IF(_xll.CbondsTradingVolume($B19,J$4,VLOOKUP($E19,'Help Page'!$L:$P,3,0))="Нет данных",0,_xll.CbondsTradingVolume($B19,J$4,VLOOKUP($E19,'Help Page'!$L:$P,3,0))))</f>
        <v/>
      </c>
      <c r="K19" s="23" t="str">
        <f>IF($B19 = 0,"",IF(_xll.CbondsTradingVolume($B19,K$4,VLOOKUP($E19,'Help Page'!$L:$P,3,0))="Нет данных",0,_xll.CbondsTradingVolume($B19,K$4,VLOOKUP($E19,'Help Page'!$L:$P,3,0))))</f>
        <v/>
      </c>
      <c r="L19" s="23" t="str">
        <f>IF($B19 = 0,"",IF(_xll.CbondsTradingVolume($B19,L$4,VLOOKUP($E19,'Help Page'!$L:$P,3,0))="Нет данных",0,_xll.CbondsTradingVolume($B19,L$4,VLOOKUP($E19,'Help Page'!$L:$P,3,0))))</f>
        <v/>
      </c>
      <c r="M19" s="23" t="str">
        <f>IF($B19 = 0,"",IF(_xll.CbondsTradingVolume($B19,M$4,VLOOKUP($E19,'Help Page'!$L:$P,3,0))="Нет данных",0,_xll.CbondsTradingVolume($B19,M$4,VLOOKUP($E19,'Help Page'!$L:$P,3,0))))</f>
        <v/>
      </c>
      <c r="N19" s="23" t="str">
        <f>IF($B19 = 0,"",IF(_xll.CbondsTradingVolume($B19,N$4,VLOOKUP($E19,'Help Page'!$L:$P,3,0))="Нет данных",0,_xll.CbondsTradingVolume($B19,N$4,VLOOKUP($E19,'Help Page'!$L:$P,3,0))))</f>
        <v/>
      </c>
      <c r="O19" s="23" t="str">
        <f>IF($B19 = 0,"",IF(_xll.CbondsTradingVolume($B19,O$4,VLOOKUP($E19,'Help Page'!$L:$P,3,0))="Нет данных",0,_xll.CbondsTradingVolume($B19,O$4,VLOOKUP($E19,'Help Page'!$L:$P,3,0))))</f>
        <v/>
      </c>
      <c r="P19" s="23" t="str">
        <f>IF($B19 = 0,"",IF(_xll.CbondsTradingVolume($B19,P$4,VLOOKUP($E19,'Help Page'!$L:$P,3,0))="Нет данных",0,_xll.CbondsTradingVolume($B19,P$4,VLOOKUP($E19,'Help Page'!$L:$P,3,0))))</f>
        <v/>
      </c>
      <c r="Q19" s="23" t="str">
        <f>IF($B19 = 0,"",IF(_xll.CbondsTradingVolume($B19,Q$4,VLOOKUP($E19,'Help Page'!$L:$P,3,0))="Нет данных",0,_xll.CbondsTradingVolume($B19,Q$4,VLOOKUP($E19,'Help Page'!$L:$P,3,0))))</f>
        <v/>
      </c>
      <c r="R19" s="23" t="str">
        <f>IF($B19 = 0,"",IF(_xll.CbondsTradingVolume($B19,R$4,VLOOKUP($E19,'Help Page'!$L:$P,3,0))="Нет данных",0,_xll.CbondsTradingVolume($B19,R$4,VLOOKUP($E19,'Help Page'!$L:$P,3,0))))</f>
        <v/>
      </c>
      <c r="S19" s="23" t="str">
        <f>IF($B19 = 0,"",IF(_xll.CbondsTradingVolume($B19,S$4,VLOOKUP($E19,'Help Page'!$L:$P,3,0))="Нет данных",0,_xll.CbondsTradingVolume($B19,S$4,VLOOKUP($E19,'Help Page'!$L:$P,3,0))))</f>
        <v/>
      </c>
      <c r="T19" s="23" t="str">
        <f>IF($B19 = 0,"",IF(_xll.CbondsTradingVolume($B19,T$4,VLOOKUP($E19,'Help Page'!$L:$P,3,0))="Нет данных",0,_xll.CbondsTradingVolume($B19,T$4,VLOOKUP($E19,'Help Page'!$L:$P,3,0))))</f>
        <v/>
      </c>
      <c r="U19" s="23" t="str">
        <f>IF($B19 = 0,"",IF(_xll.CbondsTradingVolume($B19,U$4,VLOOKUP($E19,'Help Page'!$L:$P,3,0))="Нет данных",0,_xll.CbondsTradingVolume($B19,U$4,VLOOKUP($E19,'Help Page'!$L:$P,3,0))))</f>
        <v/>
      </c>
      <c r="V19" s="23" t="str">
        <f>IF($B19 = 0,"",IF(_xll.CbondsTradingVolume($B19,V$4,VLOOKUP($E19,'Help Page'!$L:$P,3,0))="Нет данных",0,_xll.CbondsTradingVolume($B19,V$4,VLOOKUP($E19,'Help Page'!$L:$P,3,0))))</f>
        <v/>
      </c>
      <c r="W19" s="23" t="str">
        <f>IF($B19 = 0,"",IF(_xll.CbondsTradingVolume($B19,W$4,VLOOKUP($E19,'Help Page'!$L:$P,3,0))="Нет данных",0,_xll.CbondsTradingVolume($B19,W$4,VLOOKUP($E19,'Help Page'!$L:$P,3,0))))</f>
        <v/>
      </c>
      <c r="X19" s="23" t="str">
        <f>IF($B19 = 0,"",IF(_xll.CbondsTradingVolume($B19,X$4,VLOOKUP($E19,'Help Page'!$L:$P,3,0))="Нет данных",0,_xll.CbondsTradingVolume($B19,X$4,VLOOKUP($E19,'Help Page'!$L:$P,3,0))))</f>
        <v/>
      </c>
      <c r="Y19" s="23" t="str">
        <f>IF($B19 = 0,"",IF(_xll.CbondsTradingVolume($B19,Y$4,VLOOKUP($E19,'Help Page'!$L:$P,3,0))="Нет данных",0,_xll.CbondsTradingVolume($B19,Y$4,VLOOKUP($E19,'Help Page'!$L:$P,3,0))))</f>
        <v/>
      </c>
      <c r="Z19" s="23" t="str">
        <f>IF($B19 = 0,"",IF(_xll.CbondsTradingVolume($B19,Z$4,VLOOKUP($E19,'Help Page'!$L:$P,3,0))="Нет данных",0,_xll.CbondsTradingVolume($B19,Z$4,VLOOKUP($E19,'Help Page'!$L:$P,3,0))))</f>
        <v/>
      </c>
      <c r="AA19" s="23" t="str">
        <f>IF($B19 = 0,"",IF(_xll.CbondsTradingVolume($B19,AA$4,VLOOKUP($E19,'Help Page'!$L:$P,3,0))="Нет данных",0,_xll.CbondsTradingVolume($B19,AA$4,VLOOKUP($E19,'Help Page'!$L:$P,3,0))))</f>
        <v/>
      </c>
      <c r="AB19" s="23" t="str">
        <f>IF($B19 = 0,"",IF(_xll.CbondsTradingVolume($B19,AB$4,VLOOKUP($E19,'Help Page'!$L:$P,3,0))="Нет данных",0,_xll.CbondsTradingVolume($B19,AB$4,VLOOKUP($E19,'Help Page'!$L:$P,3,0))))</f>
        <v/>
      </c>
      <c r="AC19" s="23" t="str">
        <f>IF($B19 = 0,"",IF(_xll.CbondsTradingVolume($B19,AC$4,VLOOKUP($E19,'Help Page'!$L:$P,3,0))="Нет данных",0,_xll.CbondsTradingVolume($B19,AC$4,VLOOKUP($E19,'Help Page'!$L:$P,3,0))))</f>
        <v/>
      </c>
      <c r="AD19" s="23" t="str">
        <f>IF($B19 = 0,"",IF(_xll.CbondsTradingVolume($B19,AD$4,VLOOKUP($E19,'Help Page'!$L:$P,3,0))="Нет данных",0,_xll.CbondsTradingVolume($B19,AD$4,VLOOKUP($E19,'Help Page'!$L:$P,3,0))))</f>
        <v/>
      </c>
      <c r="AE19" s="23" t="str">
        <f>IF($B19 = 0,"",IF(_xll.CbondsTradingVolume($B19,AE$4,VLOOKUP($E19,'Help Page'!$L:$P,3,0))="Нет данных",0,_xll.CbondsTradingVolume($B19,AE$4,VLOOKUP($E19,'Help Page'!$L:$P,3,0))))</f>
        <v/>
      </c>
      <c r="AF19" s="23" t="str">
        <f>IF($B19 = 0,"",IF(_xll.CbondsTradingVolume($B19,AF$4,VLOOKUP($E19,'Help Page'!$L:$P,3,0))="Нет данных",0,_xll.CbondsTradingVolume($B19,AF$4,VLOOKUP($E19,'Help Page'!$L:$P,3,0))))</f>
        <v/>
      </c>
      <c r="AG19" s="23" t="str">
        <f>IF($B19 = 0,"",IF(_xll.CbondsTradingVolume($B19,AG$4,VLOOKUP($E19,'Help Page'!$L:$P,3,0))="Нет данных",0,_xll.CbondsTradingVolume($B19,AG$4,VLOOKUP($E19,'Help Page'!$L:$P,3,0))))</f>
        <v/>
      </c>
      <c r="AH19" s="23" t="str">
        <f>IF($B19 = 0,"",IF(_xll.CbondsTradingVolume($B19,AH$4,VLOOKUP($E19,'Help Page'!$L:$P,3,0))="Нет данных",0,_xll.CbondsTradingVolume($B19,AH$4,VLOOKUP($E19,'Help Page'!$L:$P,3,0))))</f>
        <v/>
      </c>
      <c r="AI19" s="23" t="str">
        <f>IF($B19 = 0,"",IF(_xll.CbondsTradingVolume($B19,AI$4,VLOOKUP($E19,'Help Page'!$L:$P,3,0))="Нет данных",0,_xll.CbondsTradingVolume($B19,AI$4,VLOOKUP($E19,'Help Page'!$L:$P,3,0))))</f>
        <v/>
      </c>
      <c r="AJ19" s="171">
        <f>SUM(F19:AI19)*VLOOKUP($E19,'Help Page'!$L:$P,5,0)</f>
        <v>0</v>
      </c>
      <c r="AK19" s="76" t="str">
        <f>IF($B19 = 0,"",IF(_xll.CbondsDealsNumber($B19,AK$4,VLOOKUP($E19,'Help Page'!$L:$P,3,0))="Нет данных",0,_xll.CbondsDealsNumber($B19,AK$4,VLOOKUP($E19,'Help Page'!$L:$P,3,0))))</f>
        <v/>
      </c>
      <c r="AL19" s="76" t="str">
        <f>IF($B19 = 0,"",IF(_xll.CbondsDealsNumber($B19,AL$4,VLOOKUP($E19,'Help Page'!$L:$P,3,0))="Нет данных",0,_xll.CbondsDealsNumber($B19,AL$4,VLOOKUP($E19,'Help Page'!$L:$P,3,0))))</f>
        <v/>
      </c>
      <c r="AM19" s="76" t="str">
        <f>IF($B19 = 0,"",IF(_xll.CbondsDealsNumber($B19,AM$4,VLOOKUP($E19,'Help Page'!$L:$P,3,0))="Нет данных",0,_xll.CbondsDealsNumber($B19,AM$4,VLOOKUP($E19,'Help Page'!$L:$P,3,0))))</f>
        <v/>
      </c>
      <c r="AN19" s="76" t="str">
        <f>IF($B19 = 0,"",IF(_xll.CbondsDealsNumber($B19,AN$4,VLOOKUP($E19,'Help Page'!$L:$P,3,0))="Нет данных",0,_xll.CbondsDealsNumber($B19,AN$4,VLOOKUP($E19,'Help Page'!$L:$P,3,0))))</f>
        <v/>
      </c>
      <c r="AO19" s="76" t="str">
        <f>IF($B19 = 0,"",IF(_xll.CbondsDealsNumber($B19,AO$4,VLOOKUP($E19,'Help Page'!$L:$P,3,0))="Нет данных",0,_xll.CbondsDealsNumber($B19,AO$4,VLOOKUP($E19,'Help Page'!$L:$P,3,0))))</f>
        <v/>
      </c>
      <c r="AP19" s="76" t="str">
        <f>IF($B19 = 0,"",IF(_xll.CbondsDealsNumber($B19,AP$4,VLOOKUP($E19,'Help Page'!$L:$P,3,0))="Нет данных",0,_xll.CbondsDealsNumber($B19,AP$4,VLOOKUP($E19,'Help Page'!$L:$P,3,0))))</f>
        <v/>
      </c>
      <c r="AQ19" s="76" t="str">
        <f>IF($B19 = 0,"",IF(_xll.CbondsDealsNumber($B19,AQ$4,VLOOKUP($E19,'Help Page'!$L:$P,3,0))="Нет данных",0,_xll.CbondsDealsNumber($B19,AQ$4,VLOOKUP($E19,'Help Page'!$L:$P,3,0))))</f>
        <v/>
      </c>
      <c r="AR19" s="76" t="str">
        <f>IF($B19 = 0,"",IF(_xll.CbondsDealsNumber($B19,AR$4,VLOOKUP($E19,'Help Page'!$L:$P,3,0))="Нет данных",0,_xll.CbondsDealsNumber($B19,AR$4,VLOOKUP($E19,'Help Page'!$L:$P,3,0))))</f>
        <v/>
      </c>
      <c r="AS19" s="76" t="str">
        <f>IF($B19 = 0,"",IF(_xll.CbondsDealsNumber($B19,AS$4,VLOOKUP($E19,'Help Page'!$L:$P,3,0))="Нет данных",0,_xll.CbondsDealsNumber($B19,AS$4,VLOOKUP($E19,'Help Page'!$L:$P,3,0))))</f>
        <v/>
      </c>
      <c r="AT19" s="76" t="str">
        <f>IF($B19 = 0,"",IF(_xll.CbondsDealsNumber($B19,AT$4,VLOOKUP($E19,'Help Page'!$L:$P,3,0))="Нет данных",0,_xll.CbondsDealsNumber($B19,AT$4,VLOOKUP($E19,'Help Page'!$L:$P,3,0))))</f>
        <v/>
      </c>
      <c r="AU19" s="76" t="str">
        <f>IF($B19 = 0,"",IF(_xll.CbondsDealsNumber($B19,AU$4,VLOOKUP($E19,'Help Page'!$L:$P,3,0))="Нет данных",0,_xll.CbondsDealsNumber($B19,AU$4,VLOOKUP($E19,'Help Page'!$L:$P,3,0))))</f>
        <v/>
      </c>
      <c r="AV19" s="76" t="str">
        <f>IF($B19 = 0,"",IF(_xll.CbondsDealsNumber($B19,AV$4,VLOOKUP($E19,'Help Page'!$L:$P,3,0))="Нет данных",0,_xll.CbondsDealsNumber($B19,AV$4,VLOOKUP($E19,'Help Page'!$L:$P,3,0))))</f>
        <v/>
      </c>
      <c r="AW19" s="76" t="str">
        <f>IF($B19 = 0,"",IF(_xll.CbondsDealsNumber($B19,AW$4,VLOOKUP($E19,'Help Page'!$L:$P,3,0))="Нет данных",0,_xll.CbondsDealsNumber($B19,AW$4,VLOOKUP($E19,'Help Page'!$L:$P,3,0))))</f>
        <v/>
      </c>
      <c r="AX19" s="76" t="str">
        <f>IF($B19 = 0,"",IF(_xll.CbondsDealsNumber($B19,AX$4,VLOOKUP($E19,'Help Page'!$L:$P,3,0))="Нет данных",0,_xll.CbondsDealsNumber($B19,AX$4,VLOOKUP($E19,'Help Page'!$L:$P,3,0))))</f>
        <v/>
      </c>
      <c r="AY19" s="76" t="str">
        <f>IF($B19 = 0,"",IF(_xll.CbondsDealsNumber($B19,AY$4,VLOOKUP($E19,'Help Page'!$L:$P,3,0))="Нет данных",0,_xll.CbondsDealsNumber($B19,AY$4,VLOOKUP($E19,'Help Page'!$L:$P,3,0))))</f>
        <v/>
      </c>
      <c r="AZ19" s="76" t="str">
        <f>IF($B19 = 0,"",IF(_xll.CbondsDealsNumber($B19,AZ$4,VLOOKUP($E19,'Help Page'!$L:$P,3,0))="Нет данных",0,_xll.CbondsDealsNumber($B19,AZ$4,VLOOKUP($E19,'Help Page'!$L:$P,3,0))))</f>
        <v/>
      </c>
      <c r="BA19" s="76" t="str">
        <f>IF($B19 = 0,"",IF(_xll.CbondsDealsNumber($B19,BA$4,VLOOKUP($E19,'Help Page'!$L:$P,3,0))="Нет данных",0,_xll.CbondsDealsNumber($B19,BA$4,VLOOKUP($E19,'Help Page'!$L:$P,3,0))))</f>
        <v/>
      </c>
      <c r="BB19" s="76" t="str">
        <f>IF($B19 = 0,"",IF(_xll.CbondsDealsNumber($B19,BB$4,VLOOKUP($E19,'Help Page'!$L:$P,3,0))="Нет данных",0,_xll.CbondsDealsNumber($B19,BB$4,VLOOKUP($E19,'Help Page'!$L:$P,3,0))))</f>
        <v/>
      </c>
      <c r="BC19" s="76" t="str">
        <f>IF($B19 = 0,"",IF(_xll.CbondsDealsNumber($B19,BC$4,VLOOKUP($E19,'Help Page'!$L:$P,3,0))="Нет данных",0,_xll.CbondsDealsNumber($B19,BC$4,VLOOKUP($E19,'Help Page'!$L:$P,3,0))))</f>
        <v/>
      </c>
      <c r="BD19" s="76" t="str">
        <f>IF($B19 = 0,"",IF(_xll.CbondsDealsNumber($B19,BD$4,VLOOKUP($E19,'Help Page'!$L:$P,3,0))="Нет данных",0,_xll.CbondsDealsNumber($B19,BD$4,VLOOKUP($E19,'Help Page'!$L:$P,3,0))))</f>
        <v/>
      </c>
      <c r="BE19" s="76" t="str">
        <f>IF($B19 = 0,"",IF(_xll.CbondsDealsNumber($B19,BE$4,VLOOKUP($E19,'Help Page'!$L:$P,3,0))="Нет данных",0,_xll.CbondsDealsNumber($B19,BE$4,VLOOKUP($E19,'Help Page'!$L:$P,3,0))))</f>
        <v/>
      </c>
      <c r="BF19" s="76" t="str">
        <f>IF($B19 = 0,"",IF(_xll.CbondsDealsNumber($B19,BF$4,VLOOKUP($E19,'Help Page'!$L:$P,3,0))="Нет данных",0,_xll.CbondsDealsNumber($B19,BF$4,VLOOKUP($E19,'Help Page'!$L:$P,3,0))))</f>
        <v/>
      </c>
      <c r="BG19" s="76" t="str">
        <f>IF($B19 = 0,"",IF(_xll.CbondsDealsNumber($B19,BG$4,VLOOKUP($E19,'Help Page'!$L:$P,3,0))="Нет данных",0,_xll.CbondsDealsNumber($B19,BG$4,VLOOKUP($E19,'Help Page'!$L:$P,3,0))))</f>
        <v/>
      </c>
      <c r="BH19" s="76" t="str">
        <f>IF($B19 = 0,"",IF(_xll.CbondsDealsNumber($B19,BH$4,VLOOKUP($E19,'Help Page'!$L:$P,3,0))="Нет данных",0,_xll.CbondsDealsNumber($B19,BH$4,VLOOKUP($E19,'Help Page'!$L:$P,3,0))))</f>
        <v/>
      </c>
      <c r="BI19" s="76" t="str">
        <f>IF($B19 = 0,"",IF(_xll.CbondsDealsNumber($B19,BI$4,VLOOKUP($E19,'Help Page'!$L:$P,3,0))="Нет данных",0,_xll.CbondsDealsNumber($B19,BI$4,VLOOKUP($E19,'Help Page'!$L:$P,3,0))))</f>
        <v/>
      </c>
      <c r="BJ19" s="76" t="str">
        <f>IF($B19 = 0,"",IF(_xll.CbondsDealsNumber($B19,BJ$4,VLOOKUP($E19,'Help Page'!$L:$P,3,0))="Нет данных",0,_xll.CbondsDealsNumber($B19,BJ$4,VLOOKUP($E19,'Help Page'!$L:$P,3,0))))</f>
        <v/>
      </c>
      <c r="BK19" s="76" t="str">
        <f>IF($B19 = 0,"",IF(_xll.CbondsDealsNumber($B19,BK$4,VLOOKUP($E19,'Help Page'!$L:$P,3,0))="Нет данных",0,_xll.CbondsDealsNumber($B19,BK$4,VLOOKUP($E19,'Help Page'!$L:$P,3,0))))</f>
        <v/>
      </c>
      <c r="BL19" s="76" t="str">
        <f>IF($B19 = 0,"",IF(_xll.CbondsDealsNumber($B19,BL$4,VLOOKUP($E19,'Help Page'!$L:$P,3,0))="Нет данных",0,_xll.CbondsDealsNumber($B19,BL$4,VLOOKUP($E19,'Help Page'!$L:$P,3,0))))</f>
        <v/>
      </c>
      <c r="BM19" s="76" t="str">
        <f>IF($B19 = 0,"",IF(_xll.CbondsDealsNumber($B19,BM$4,VLOOKUP($E19,'Help Page'!$L:$P,3,0))="Нет данных",0,_xll.CbondsDealsNumber($B19,BM$4,VLOOKUP($E19,'Help Page'!$L:$P,3,0))))</f>
        <v/>
      </c>
      <c r="BN19" s="76" t="str">
        <f>IF($B19 = 0,"",IF(_xll.CbondsDealsNumber($B19,BN$4,VLOOKUP($E19,'Help Page'!$L:$P,3,0))="Нет данных",0,_xll.CbondsDealsNumber($B19,BN$4,VLOOKUP($E19,'Help Page'!$L:$P,3,0))))</f>
        <v/>
      </c>
      <c r="BO19" s="156">
        <f t="shared" si="6"/>
        <v>0</v>
      </c>
      <c r="BP19" s="156">
        <f t="shared" ref="BP19" si="7">COUNTIF(AK19:BN19, "&gt;0")</f>
        <v>0</v>
      </c>
    </row>
    <row r="20" spans="1:68" x14ac:dyDescent="0.3">
      <c r="A20" s="18">
        <v>3</v>
      </c>
      <c r="B20" s="143">
        <f>Calculation!$J$28</f>
        <v>0</v>
      </c>
      <c r="C20" s="143" t="str">
        <f>IF($B20 = 0,"",_xll.CbondsCurrency(B20))</f>
        <v/>
      </c>
      <c r="D20" s="148" t="str">
        <f>IF($B20 = 0,"",_xll.ReferenceParams(B20,"SumMarketVal"))</f>
        <v/>
      </c>
      <c r="E20" s="143" t="s">
        <v>2079</v>
      </c>
      <c r="F20" s="23" t="str">
        <f>IF($B20 = 0,"",IF(_xll.CbondsTradingVolume($B20,F$4,VLOOKUP($E20,'Help Page'!$L:$P,3,0))="Нет данных",0,_xll.CbondsTradingVolume($B20,F$4,VLOOKUP($E20,'Help Page'!$L:$P,3,0))))</f>
        <v/>
      </c>
      <c r="G20" s="23" t="str">
        <f>IF($B20 = 0,"",IF(_xll.CbondsTradingVolume($B20,G$4,VLOOKUP($E20,'Help Page'!$L:$P,3,0))="Нет данных",0,_xll.CbondsTradingVolume($B20,G$4,VLOOKUP($E20,'Help Page'!$L:$P,3,0))))</f>
        <v/>
      </c>
      <c r="H20" s="23" t="str">
        <f>IF($B20 = 0,"",IF(_xll.CbondsTradingVolume($B20,H$4,VLOOKUP($E20,'Help Page'!$L:$P,3,0))="Нет данных",0,_xll.CbondsTradingVolume($B20,H$4,VLOOKUP($E20,'Help Page'!$L:$P,3,0))))</f>
        <v/>
      </c>
      <c r="I20" s="23" t="str">
        <f>IF($B20 = 0,"",IF(_xll.CbondsTradingVolume($B20,I$4,VLOOKUP($E20,'Help Page'!$L:$P,3,0))="Нет данных",0,_xll.CbondsTradingVolume($B20,I$4,VLOOKUP($E20,'Help Page'!$L:$P,3,0))))</f>
        <v/>
      </c>
      <c r="J20" s="23" t="str">
        <f>IF($B20 = 0,"",IF(_xll.CbondsTradingVolume($B20,J$4,VLOOKUP($E20,'Help Page'!$L:$P,3,0))="Нет данных",0,_xll.CbondsTradingVolume($B20,J$4,VLOOKUP($E20,'Help Page'!$L:$P,3,0))))</f>
        <v/>
      </c>
      <c r="K20" s="23" t="str">
        <f>IF($B20 = 0,"",IF(_xll.CbondsTradingVolume($B20,K$4,VLOOKUP($E20,'Help Page'!$L:$P,3,0))="Нет данных",0,_xll.CbondsTradingVolume($B20,K$4,VLOOKUP($E20,'Help Page'!$L:$P,3,0))))</f>
        <v/>
      </c>
      <c r="L20" s="23" t="str">
        <f>IF($B20 = 0,"",IF(_xll.CbondsTradingVolume($B20,L$4,VLOOKUP($E20,'Help Page'!$L:$P,3,0))="Нет данных",0,_xll.CbondsTradingVolume($B20,L$4,VLOOKUP($E20,'Help Page'!$L:$P,3,0))))</f>
        <v/>
      </c>
      <c r="M20" s="23" t="str">
        <f>IF($B20 = 0,"",IF(_xll.CbondsTradingVolume($B20,M$4,VLOOKUP($E20,'Help Page'!$L:$P,3,0))="Нет данных",0,_xll.CbondsTradingVolume($B20,M$4,VLOOKUP($E20,'Help Page'!$L:$P,3,0))))</f>
        <v/>
      </c>
      <c r="N20" s="23" t="str">
        <f>IF($B20 = 0,"",IF(_xll.CbondsTradingVolume($B20,N$4,VLOOKUP($E20,'Help Page'!$L:$P,3,0))="Нет данных",0,_xll.CbondsTradingVolume($B20,N$4,VLOOKUP($E20,'Help Page'!$L:$P,3,0))))</f>
        <v/>
      </c>
      <c r="O20" s="23" t="str">
        <f>IF($B20 = 0,"",IF(_xll.CbondsTradingVolume($B20,O$4,VLOOKUP($E20,'Help Page'!$L:$P,3,0))="Нет данных",0,_xll.CbondsTradingVolume($B20,O$4,VLOOKUP($E20,'Help Page'!$L:$P,3,0))))</f>
        <v/>
      </c>
      <c r="P20" s="23" t="str">
        <f>IF($B20 = 0,"",IF(_xll.CbondsTradingVolume($B20,P$4,VLOOKUP($E20,'Help Page'!$L:$P,3,0))="Нет данных",0,_xll.CbondsTradingVolume($B20,P$4,VLOOKUP($E20,'Help Page'!$L:$P,3,0))))</f>
        <v/>
      </c>
      <c r="Q20" s="23" t="str">
        <f>IF($B20 = 0,"",IF(_xll.CbondsTradingVolume($B20,Q$4,VLOOKUP($E20,'Help Page'!$L:$P,3,0))="Нет данных",0,_xll.CbondsTradingVolume($B20,Q$4,VLOOKUP($E20,'Help Page'!$L:$P,3,0))))</f>
        <v/>
      </c>
      <c r="R20" s="23" t="str">
        <f>IF($B20 = 0,"",IF(_xll.CbondsTradingVolume($B20,R$4,VLOOKUP($E20,'Help Page'!$L:$P,3,0))="Нет данных",0,_xll.CbondsTradingVolume($B20,R$4,VLOOKUP($E20,'Help Page'!$L:$P,3,0))))</f>
        <v/>
      </c>
      <c r="S20" s="23" t="str">
        <f>IF($B20 = 0,"",IF(_xll.CbondsTradingVolume($B20,S$4,VLOOKUP($E20,'Help Page'!$L:$P,3,0))="Нет данных",0,_xll.CbondsTradingVolume($B20,S$4,VLOOKUP($E20,'Help Page'!$L:$P,3,0))))</f>
        <v/>
      </c>
      <c r="T20" s="23" t="str">
        <f>IF($B20 = 0,"",IF(_xll.CbondsTradingVolume($B20,T$4,VLOOKUP($E20,'Help Page'!$L:$P,3,0))="Нет данных",0,_xll.CbondsTradingVolume($B20,T$4,VLOOKUP($E20,'Help Page'!$L:$P,3,0))))</f>
        <v/>
      </c>
      <c r="U20" s="23" t="str">
        <f>IF($B20 = 0,"",IF(_xll.CbondsTradingVolume($B20,U$4,VLOOKUP($E20,'Help Page'!$L:$P,3,0))="Нет данных",0,_xll.CbondsTradingVolume($B20,U$4,VLOOKUP($E20,'Help Page'!$L:$P,3,0))))</f>
        <v/>
      </c>
      <c r="V20" s="23" t="str">
        <f>IF($B20 = 0,"",IF(_xll.CbondsTradingVolume($B20,V$4,VLOOKUP($E20,'Help Page'!$L:$P,3,0))="Нет данных",0,_xll.CbondsTradingVolume($B20,V$4,VLOOKUP($E20,'Help Page'!$L:$P,3,0))))</f>
        <v/>
      </c>
      <c r="W20" s="23" t="str">
        <f>IF($B20 = 0,"",IF(_xll.CbondsTradingVolume($B20,W$4,VLOOKUP($E20,'Help Page'!$L:$P,3,0))="Нет данных",0,_xll.CbondsTradingVolume($B20,W$4,VLOOKUP($E20,'Help Page'!$L:$P,3,0))))</f>
        <v/>
      </c>
      <c r="X20" s="23" t="str">
        <f>IF($B20 = 0,"",IF(_xll.CbondsTradingVolume($B20,X$4,VLOOKUP($E20,'Help Page'!$L:$P,3,0))="Нет данных",0,_xll.CbondsTradingVolume($B20,X$4,VLOOKUP($E20,'Help Page'!$L:$P,3,0))))</f>
        <v/>
      </c>
      <c r="Y20" s="23" t="str">
        <f>IF($B20 = 0,"",IF(_xll.CbondsTradingVolume($B20,Y$4,VLOOKUP($E20,'Help Page'!$L:$P,3,0))="Нет данных",0,_xll.CbondsTradingVolume($B20,Y$4,VLOOKUP($E20,'Help Page'!$L:$P,3,0))))</f>
        <v/>
      </c>
      <c r="Z20" s="23" t="str">
        <f>IF($B20 = 0,"",IF(_xll.CbondsTradingVolume($B20,Z$4,VLOOKUP($E20,'Help Page'!$L:$P,3,0))="Нет данных",0,_xll.CbondsTradingVolume($B20,Z$4,VLOOKUP($E20,'Help Page'!$L:$P,3,0))))</f>
        <v/>
      </c>
      <c r="AA20" s="23" t="str">
        <f>IF($B20 = 0,"",IF(_xll.CbondsTradingVolume($B20,AA$4,VLOOKUP($E20,'Help Page'!$L:$P,3,0))="Нет данных",0,_xll.CbondsTradingVolume($B20,AA$4,VLOOKUP($E20,'Help Page'!$L:$P,3,0))))</f>
        <v/>
      </c>
      <c r="AB20" s="23" t="str">
        <f>IF($B20 = 0,"",IF(_xll.CbondsTradingVolume($B20,AB$4,VLOOKUP($E20,'Help Page'!$L:$P,3,0))="Нет данных",0,_xll.CbondsTradingVolume($B20,AB$4,VLOOKUP($E20,'Help Page'!$L:$P,3,0))))</f>
        <v/>
      </c>
      <c r="AC20" s="23" t="str">
        <f>IF($B20 = 0,"",IF(_xll.CbondsTradingVolume($B20,AC$4,VLOOKUP($E20,'Help Page'!$L:$P,3,0))="Нет данных",0,_xll.CbondsTradingVolume($B20,AC$4,VLOOKUP($E20,'Help Page'!$L:$P,3,0))))</f>
        <v/>
      </c>
      <c r="AD20" s="23" t="str">
        <f>IF($B20 = 0,"",IF(_xll.CbondsTradingVolume($B20,AD$4,VLOOKUP($E20,'Help Page'!$L:$P,3,0))="Нет данных",0,_xll.CbondsTradingVolume($B20,AD$4,VLOOKUP($E20,'Help Page'!$L:$P,3,0))))</f>
        <v/>
      </c>
      <c r="AE20" s="23" t="str">
        <f>IF($B20 = 0,"",IF(_xll.CbondsTradingVolume($B20,AE$4,VLOOKUP($E20,'Help Page'!$L:$P,3,0))="Нет данных",0,_xll.CbondsTradingVolume($B20,AE$4,VLOOKUP($E20,'Help Page'!$L:$P,3,0))))</f>
        <v/>
      </c>
      <c r="AF20" s="23" t="str">
        <f>IF($B20 = 0,"",IF(_xll.CbondsTradingVolume($B20,AF$4,VLOOKUP($E20,'Help Page'!$L:$P,3,0))="Нет данных",0,_xll.CbondsTradingVolume($B20,AF$4,VLOOKUP($E20,'Help Page'!$L:$P,3,0))))</f>
        <v/>
      </c>
      <c r="AG20" s="23" t="str">
        <f>IF($B20 = 0,"",IF(_xll.CbondsTradingVolume($B20,AG$4,VLOOKUP($E20,'Help Page'!$L:$P,3,0))="Нет данных",0,_xll.CbondsTradingVolume($B20,AG$4,VLOOKUP($E20,'Help Page'!$L:$P,3,0))))</f>
        <v/>
      </c>
      <c r="AH20" s="23" t="str">
        <f>IF($B20 = 0,"",IF(_xll.CbondsTradingVolume($B20,AH$4,VLOOKUP($E20,'Help Page'!$L:$P,3,0))="Нет данных",0,_xll.CbondsTradingVolume($B20,AH$4,VLOOKUP($E20,'Help Page'!$L:$P,3,0))))</f>
        <v/>
      </c>
      <c r="AI20" s="23" t="str">
        <f>IF($B20 = 0,"",IF(_xll.CbondsTradingVolume($B20,AI$4,VLOOKUP($E20,'Help Page'!$L:$P,3,0))="Нет данных",0,_xll.CbondsTradingVolume($B20,AI$4,VLOOKUP($E20,'Help Page'!$L:$P,3,0))))</f>
        <v/>
      </c>
      <c r="AJ20" s="171">
        <f>SUM(F20:AI20)*VLOOKUP($E20,'Help Page'!$L:$P,5,0)</f>
        <v>0</v>
      </c>
      <c r="AK20" s="76" t="str">
        <f>IF($B20 = 0,"",IF(_xll.CbondsDealsNumber($B20,AK$4,VLOOKUP($E20,'Help Page'!$L:$P,3,0))="Нет данных",0,_xll.CbondsDealsNumber($B20,AK$4,VLOOKUP($E20,'Help Page'!$L:$P,3,0))))</f>
        <v/>
      </c>
      <c r="AL20" s="76" t="str">
        <f>IF($B20 = 0,"",IF(_xll.CbondsDealsNumber($B20,AL$4,VLOOKUP($E20,'Help Page'!$L:$P,3,0))="Нет данных",0,_xll.CbondsDealsNumber($B20,AL$4,VLOOKUP($E20,'Help Page'!$L:$P,3,0))))</f>
        <v/>
      </c>
      <c r="AM20" s="157" t="str">
        <f>IF($B20 = 0,"",IF(_xll.CbondsDealsNumber($B20,AM$4,VLOOKUP($E20,'Help Page'!$L:$P,3,0))="Нет данных",0,_xll.CbondsDealsNumber($B20,AM$4,VLOOKUP($E20,'Help Page'!$L:$P,3,0))))</f>
        <v/>
      </c>
      <c r="AN20" s="157" t="str">
        <f>IF($B20 = 0,"",IF(_xll.CbondsDealsNumber($B20,AN$4,VLOOKUP($E20,'Help Page'!$L:$P,3,0))="Нет данных",0,_xll.CbondsDealsNumber($B20,AN$4,VLOOKUP($E20,'Help Page'!$L:$P,3,0))))</f>
        <v/>
      </c>
      <c r="AO20" s="157" t="str">
        <f>IF($B20 = 0,"",IF(_xll.CbondsDealsNumber($B20,AO$4,VLOOKUP($E20,'Help Page'!$L:$P,3,0))="Нет данных",0,_xll.CbondsDealsNumber($B20,AO$4,VLOOKUP($E20,'Help Page'!$L:$P,3,0))))</f>
        <v/>
      </c>
      <c r="AP20" s="157" t="str">
        <f>IF($B20 = 0,"",IF(_xll.CbondsDealsNumber($B20,AP$4,VLOOKUP($E20,'Help Page'!$L:$P,3,0))="Нет данных",0,_xll.CbondsDealsNumber($B20,AP$4,VLOOKUP($E20,'Help Page'!$L:$P,3,0))))</f>
        <v/>
      </c>
      <c r="AQ20" s="76" t="str">
        <f>IF($B20 = 0,"",IF(_xll.CbondsDealsNumber($B20,AQ$4,VLOOKUP($E20,'Help Page'!$L:$P,3,0))="Нет данных",0,_xll.CbondsDealsNumber($B20,AQ$4,VLOOKUP($E20,'Help Page'!$L:$P,3,0))))</f>
        <v/>
      </c>
      <c r="AR20" s="76" t="str">
        <f>IF($B20 = 0,"",IF(_xll.CbondsDealsNumber($B20,AR$4,VLOOKUP($E20,'Help Page'!$L:$P,3,0))="Нет данных",0,_xll.CbondsDealsNumber($B20,AR$4,VLOOKUP($E20,'Help Page'!$L:$P,3,0))))</f>
        <v/>
      </c>
      <c r="AS20" s="76" t="str">
        <f>IF($B20 = 0,"",IF(_xll.CbondsDealsNumber($B20,AS$4,VLOOKUP($E20,'Help Page'!$L:$P,3,0))="Нет данных",0,_xll.CbondsDealsNumber($B20,AS$4,VLOOKUP($E20,'Help Page'!$L:$P,3,0))))</f>
        <v/>
      </c>
      <c r="AT20" s="157" t="str">
        <f>IF($B20 = 0,"",IF(_xll.CbondsDealsNumber($B20,AT$4,VLOOKUP($E20,'Help Page'!$L:$P,3,0))="Нет данных",0,_xll.CbondsDealsNumber($B20,AT$4,VLOOKUP($E20,'Help Page'!$L:$P,3,0))))</f>
        <v/>
      </c>
      <c r="AU20" s="157" t="str">
        <f>IF($B20 = 0,"",IF(_xll.CbondsDealsNumber($B20,AU$4,VLOOKUP($E20,'Help Page'!$L:$P,3,0))="Нет данных",0,_xll.CbondsDealsNumber($B20,AU$4,VLOOKUP($E20,'Help Page'!$L:$P,3,0))))</f>
        <v/>
      </c>
      <c r="AV20" s="157" t="str">
        <f>IF($B20 = 0,"",IF(_xll.CbondsDealsNumber($B20,AV$4,VLOOKUP($E20,'Help Page'!$L:$P,3,0))="Нет данных",0,_xll.CbondsDealsNumber($B20,AV$4,VLOOKUP($E20,'Help Page'!$L:$P,3,0))))</f>
        <v/>
      </c>
      <c r="AW20" s="157" t="str">
        <f>IF($B20 = 0,"",IF(_xll.CbondsDealsNumber($B20,AW$4,VLOOKUP($E20,'Help Page'!$L:$P,3,0))="Нет данных",0,_xll.CbondsDealsNumber($B20,AW$4,VLOOKUP($E20,'Help Page'!$L:$P,3,0))))</f>
        <v/>
      </c>
      <c r="AX20" s="157" t="str">
        <f>IF($B20 = 0,"",IF(_xll.CbondsDealsNumber($B20,AX$4,VLOOKUP($E20,'Help Page'!$L:$P,3,0))="Нет данных",0,_xll.CbondsDealsNumber($B20,AX$4,VLOOKUP($E20,'Help Page'!$L:$P,3,0))))</f>
        <v/>
      </c>
      <c r="AY20" s="76" t="str">
        <f>IF($B20 = 0,"",IF(_xll.CbondsDealsNumber($B20,AY$4,VLOOKUP($E20,'Help Page'!$L:$P,3,0))="Нет данных",0,_xll.CbondsDealsNumber($B20,AY$4,VLOOKUP($E20,'Help Page'!$L:$P,3,0))))</f>
        <v/>
      </c>
      <c r="AZ20" s="76" t="str">
        <f>IF($B20 = 0,"",IF(_xll.CbondsDealsNumber($B20,AZ$4,VLOOKUP($E20,'Help Page'!$L:$P,3,0))="Нет данных",0,_xll.CbondsDealsNumber($B20,AZ$4,VLOOKUP($E20,'Help Page'!$L:$P,3,0))))</f>
        <v/>
      </c>
      <c r="BA20" s="157" t="str">
        <f>IF($B20 = 0,"",IF(_xll.CbondsDealsNumber($B20,BA$4,VLOOKUP($E20,'Help Page'!$L:$P,3,0))="Нет данных",0,_xll.CbondsDealsNumber($B20,BA$4,VLOOKUP($E20,'Help Page'!$L:$P,3,0))))</f>
        <v/>
      </c>
      <c r="BB20" s="157" t="str">
        <f>IF($B20 = 0,"",IF(_xll.CbondsDealsNumber($B20,BB$4,VLOOKUP($E20,'Help Page'!$L:$P,3,0))="Нет данных",0,_xll.CbondsDealsNumber($B20,BB$4,VLOOKUP($E20,'Help Page'!$L:$P,3,0))))</f>
        <v/>
      </c>
      <c r="BC20" s="157" t="str">
        <f>IF($B20 = 0,"",IF(_xll.CbondsDealsNumber($B20,BC$4,VLOOKUP($E20,'Help Page'!$L:$P,3,0))="Нет данных",0,_xll.CbondsDealsNumber($B20,BC$4,VLOOKUP($E20,'Help Page'!$L:$P,3,0))))</f>
        <v/>
      </c>
      <c r="BD20" s="157" t="str">
        <f>IF($B20 = 0,"",IF(_xll.CbondsDealsNumber($B20,BD$4,VLOOKUP($E20,'Help Page'!$L:$P,3,0))="Нет данных",0,_xll.CbondsDealsNumber($B20,BD$4,VLOOKUP($E20,'Help Page'!$L:$P,3,0))))</f>
        <v/>
      </c>
      <c r="BE20" s="157" t="str">
        <f>IF($B20 = 0,"",IF(_xll.CbondsDealsNumber($B20,BE$4,VLOOKUP($E20,'Help Page'!$L:$P,3,0))="Нет данных",0,_xll.CbondsDealsNumber($B20,BE$4,VLOOKUP($E20,'Help Page'!$L:$P,3,0))))</f>
        <v/>
      </c>
      <c r="BF20" s="76" t="str">
        <f>IF($B20 = 0,"",IF(_xll.CbondsDealsNumber($B20,BF$4,VLOOKUP($E20,'Help Page'!$L:$P,3,0))="Нет данных",0,_xll.CbondsDealsNumber($B20,BF$4,VLOOKUP($E20,'Help Page'!$L:$P,3,0))))</f>
        <v/>
      </c>
      <c r="BG20" s="76" t="str">
        <f>IF($B20 = 0,"",IF(_xll.CbondsDealsNumber($B20,BG$4,VLOOKUP($E20,'Help Page'!$L:$P,3,0))="Нет данных",0,_xll.CbondsDealsNumber($B20,BG$4,VLOOKUP($E20,'Help Page'!$L:$P,3,0))))</f>
        <v/>
      </c>
      <c r="BH20" s="157" t="str">
        <f>IF($B20 = 0,"",IF(_xll.CbondsDealsNumber($B20,BH$4,VLOOKUP($E20,'Help Page'!$L:$P,3,0))="Нет данных",0,_xll.CbondsDealsNumber($B20,BH$4,VLOOKUP($E20,'Help Page'!$L:$P,3,0))))</f>
        <v/>
      </c>
      <c r="BI20" s="157" t="str">
        <f>IF($B20 = 0,"",IF(_xll.CbondsDealsNumber($B20,BI$4,VLOOKUP($E20,'Help Page'!$L:$P,3,0))="Нет данных",0,_xll.CbondsDealsNumber($B20,BI$4,VLOOKUP($E20,'Help Page'!$L:$P,3,0))))</f>
        <v/>
      </c>
      <c r="BJ20" s="157" t="str">
        <f>IF($B20 = 0,"",IF(_xll.CbondsDealsNumber($B20,BJ$4,VLOOKUP($E20,'Help Page'!$L:$P,3,0))="Нет данных",0,_xll.CbondsDealsNumber($B20,BJ$4,VLOOKUP($E20,'Help Page'!$L:$P,3,0))))</f>
        <v/>
      </c>
      <c r="BK20" s="157" t="str">
        <f>IF($B20 = 0,"",IF(_xll.CbondsDealsNumber($B20,BK$4,VLOOKUP($E20,'Help Page'!$L:$P,3,0))="Нет данных",0,_xll.CbondsDealsNumber($B20,BK$4,VLOOKUP($E20,'Help Page'!$L:$P,3,0))))</f>
        <v/>
      </c>
      <c r="BL20" s="157" t="str">
        <f>IF($B20 = 0,"",IF(_xll.CbondsDealsNumber($B20,BL$4,VLOOKUP($E20,'Help Page'!$L:$P,3,0))="Нет данных",0,_xll.CbondsDealsNumber($B20,BL$4,VLOOKUP($E20,'Help Page'!$L:$P,3,0))))</f>
        <v/>
      </c>
      <c r="BM20" s="76" t="str">
        <f>IF($B20 = 0,"",IF(_xll.CbondsDealsNumber($B20,BM$4,VLOOKUP($E20,'Help Page'!$L:$P,3,0))="Нет данных",0,_xll.CbondsDealsNumber($B20,BM$4,VLOOKUP($E20,'Help Page'!$L:$P,3,0))))</f>
        <v/>
      </c>
      <c r="BN20" s="76" t="str">
        <f>IF($B20 = 0,"",IF(_xll.CbondsDealsNumber($B20,BN$4,VLOOKUP($E20,'Help Page'!$L:$P,3,0))="Нет данных",0,_xll.CbondsDealsNumber($B20,BN$4,VLOOKUP($E20,'Help Page'!$L:$P,3,0))))</f>
        <v/>
      </c>
      <c r="BO20" s="156">
        <f t="shared" si="6"/>
        <v>0</v>
      </c>
      <c r="BP20" s="156">
        <f>COUNTIF(AK20:BN20, "&gt;0")</f>
        <v>0</v>
      </c>
    </row>
    <row r="21" spans="1:68" x14ac:dyDescent="0.3">
      <c r="A21" s="18" t="s">
        <v>2083</v>
      </c>
      <c r="B21" s="143"/>
      <c r="C21" s="143"/>
      <c r="D21" s="148"/>
      <c r="E21" s="158" t="s">
        <v>2081</v>
      </c>
      <c r="F21" s="159" t="str">
        <f>IF(B17 = 0,"",IF(AJ21 = 0, "торгов нет", IF(MAX(AJ17:AJ20) = AJ17,E17,IF(MAX(AJ17:AJ20) = AJ18,E18,IF(MAX(AJ17:AJ20) = AJ19,E19,E20)))))</f>
        <v/>
      </c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172" t="str">
        <f>IF($B17 = 0,"",SUM(AJ17:AJ20)/VLOOKUP(C17,'Help Page'!$M:$Q,4,0)/D17)</f>
        <v/>
      </c>
      <c r="AK21" s="160">
        <f>SUM(AK17:AK20)</f>
        <v>0</v>
      </c>
      <c r="AL21" s="160">
        <f t="shared" ref="AL21:BN21" si="8">SUM(AL17:AL20)</f>
        <v>0</v>
      </c>
      <c r="AM21" s="160">
        <f t="shared" si="8"/>
        <v>0</v>
      </c>
      <c r="AN21" s="160">
        <f t="shared" si="8"/>
        <v>0</v>
      </c>
      <c r="AO21" s="160">
        <f t="shared" si="8"/>
        <v>0</v>
      </c>
      <c r="AP21" s="160">
        <f t="shared" si="8"/>
        <v>0</v>
      </c>
      <c r="AQ21" s="160">
        <f t="shared" si="8"/>
        <v>0</v>
      </c>
      <c r="AR21" s="160">
        <f t="shared" si="8"/>
        <v>0</v>
      </c>
      <c r="AS21" s="160">
        <f t="shared" si="8"/>
        <v>0</v>
      </c>
      <c r="AT21" s="160">
        <f t="shared" si="8"/>
        <v>0</v>
      </c>
      <c r="AU21" s="160">
        <f t="shared" si="8"/>
        <v>0</v>
      </c>
      <c r="AV21" s="160">
        <f t="shared" si="8"/>
        <v>0</v>
      </c>
      <c r="AW21" s="160">
        <f t="shared" si="8"/>
        <v>0</v>
      </c>
      <c r="AX21" s="160">
        <f t="shared" si="8"/>
        <v>0</v>
      </c>
      <c r="AY21" s="160">
        <f t="shared" si="8"/>
        <v>0</v>
      </c>
      <c r="AZ21" s="160">
        <f t="shared" si="8"/>
        <v>0</v>
      </c>
      <c r="BA21" s="160">
        <f t="shared" si="8"/>
        <v>0</v>
      </c>
      <c r="BB21" s="160">
        <f t="shared" si="8"/>
        <v>0</v>
      </c>
      <c r="BC21" s="160">
        <f t="shared" si="8"/>
        <v>0</v>
      </c>
      <c r="BD21" s="160">
        <f t="shared" si="8"/>
        <v>0</v>
      </c>
      <c r="BE21" s="160">
        <f t="shared" si="8"/>
        <v>0</v>
      </c>
      <c r="BF21" s="160">
        <f t="shared" si="8"/>
        <v>0</v>
      </c>
      <c r="BG21" s="160">
        <f t="shared" si="8"/>
        <v>0</v>
      </c>
      <c r="BH21" s="160">
        <f t="shared" si="8"/>
        <v>0</v>
      </c>
      <c r="BI21" s="160">
        <f t="shared" si="8"/>
        <v>0</v>
      </c>
      <c r="BJ21" s="160">
        <f t="shared" si="8"/>
        <v>0</v>
      </c>
      <c r="BK21" s="160">
        <f t="shared" si="8"/>
        <v>0</v>
      </c>
      <c r="BL21" s="160">
        <f t="shared" si="8"/>
        <v>0</v>
      </c>
      <c r="BM21" s="160">
        <f t="shared" si="8"/>
        <v>0</v>
      </c>
      <c r="BN21" s="160">
        <f t="shared" si="8"/>
        <v>0</v>
      </c>
      <c r="BO21" s="161" t="str">
        <f>IF($B17 = 0,"",SUM(BO17:BO20))</f>
        <v/>
      </c>
      <c r="BP21" s="161" t="str">
        <f>IF($B17 = 0,"",COUNTIF(AK21:BN21, "&gt;0"))</f>
        <v/>
      </c>
    </row>
    <row r="22" spans="1:68" x14ac:dyDescent="0.3">
      <c r="A22" s="18"/>
      <c r="B22" s="162"/>
      <c r="C22" s="162"/>
      <c r="D22" s="163"/>
      <c r="E22" s="162"/>
      <c r="F22" s="164"/>
      <c r="G22" s="164"/>
      <c r="H22" s="164"/>
      <c r="I22" s="164"/>
      <c r="J22" s="164"/>
      <c r="K22" s="164"/>
      <c r="L22" s="164"/>
      <c r="M22" s="164"/>
      <c r="N22" s="164"/>
      <c r="O22" s="164"/>
      <c r="P22" s="164"/>
      <c r="Q22" s="164"/>
      <c r="R22" s="164"/>
      <c r="S22" s="164"/>
      <c r="T22" s="164"/>
      <c r="U22" s="164"/>
      <c r="V22" s="164"/>
      <c r="W22" s="164"/>
      <c r="X22" s="164"/>
      <c r="Y22" s="164"/>
      <c r="Z22" s="164"/>
      <c r="AA22" s="164"/>
      <c r="AB22" s="164"/>
      <c r="AC22" s="164"/>
      <c r="AD22" s="164"/>
      <c r="AE22" s="164"/>
      <c r="AF22" s="164"/>
      <c r="AG22" s="164"/>
      <c r="AH22" s="164"/>
      <c r="AI22" s="164"/>
      <c r="AJ22" s="171"/>
      <c r="AK22" s="164"/>
      <c r="AL22" s="164"/>
      <c r="AM22" s="164"/>
      <c r="AN22" s="164"/>
      <c r="AO22" s="164"/>
      <c r="AP22" s="164"/>
      <c r="AQ22" s="164"/>
      <c r="AR22" s="164"/>
      <c r="AS22" s="164"/>
      <c r="AT22" s="164"/>
      <c r="AU22" s="164"/>
      <c r="AV22" s="164"/>
      <c r="AW22" s="164"/>
      <c r="AX22" s="164"/>
      <c r="AY22" s="164"/>
      <c r="AZ22" s="164"/>
      <c r="BA22" s="164"/>
      <c r="BB22" s="164"/>
      <c r="BC22" s="164"/>
      <c r="BD22" s="164"/>
      <c r="BE22" s="164"/>
      <c r="BF22" s="164"/>
      <c r="BG22" s="164"/>
      <c r="BH22" s="164"/>
      <c r="BI22" s="164"/>
      <c r="BJ22" s="164"/>
      <c r="BK22" s="164"/>
      <c r="BL22" s="164"/>
      <c r="BM22" s="164"/>
      <c r="BN22" s="164"/>
      <c r="BO22" s="156"/>
      <c r="BP22" s="156"/>
    </row>
    <row r="23" spans="1:68" x14ac:dyDescent="0.3">
      <c r="A23" s="18">
        <v>4</v>
      </c>
      <c r="B23" s="143">
        <f>Calculation!$J$29</f>
        <v>0</v>
      </c>
      <c r="C23" s="143" t="str">
        <f>IF($B23 = 0,"",_xll.CbondsCurrency(B23))</f>
        <v/>
      </c>
      <c r="D23" s="148" t="str">
        <f>IF($B23 = 0,"",_xll.ReferenceParams(B23,"SumMarketVal"))</f>
        <v/>
      </c>
      <c r="E23" s="143" t="s">
        <v>2076</v>
      </c>
      <c r="F23" s="23" t="str">
        <f>IF($B23 = 0,"",IF(_xll.CbondsTradingVolume($B23,F$4,VLOOKUP($E23,'Help Page'!$L:$P,3,0))="Нет данных",0,_xll.CbondsTradingVolume($B23,F$4,VLOOKUP($E23,'Help Page'!$L:$P,3,0))))</f>
        <v/>
      </c>
      <c r="G23" s="23" t="str">
        <f>IF($B23 = 0,"",IF(_xll.CbondsTradingVolume($B23,G$4,VLOOKUP($E23,'Help Page'!$L:$P,3,0))="Нет данных",0,_xll.CbondsTradingVolume($B23,G$4,VLOOKUP($E23,'Help Page'!$L:$P,3,0))))</f>
        <v/>
      </c>
      <c r="H23" s="23" t="str">
        <f>IF($B23 = 0,"",IF(_xll.CbondsTradingVolume($B23,H$4,VLOOKUP($E23,'Help Page'!$L:$P,3,0))="Нет данных",0,_xll.CbondsTradingVolume($B23,H$4,VLOOKUP($E23,'Help Page'!$L:$P,3,0))))</f>
        <v/>
      </c>
      <c r="I23" s="23" t="str">
        <f>IF($B23 = 0,"",IF(_xll.CbondsTradingVolume($B23,I$4,VLOOKUP($E23,'Help Page'!$L:$P,3,0))="Нет данных",0,_xll.CbondsTradingVolume($B23,I$4,VLOOKUP($E23,'Help Page'!$L:$P,3,0))))</f>
        <v/>
      </c>
      <c r="J23" s="23" t="str">
        <f>IF($B23 = 0,"",IF(_xll.CbondsTradingVolume($B23,J$4,VLOOKUP($E23,'Help Page'!$L:$P,3,0))="Нет данных",0,_xll.CbondsTradingVolume($B23,J$4,VLOOKUP($E23,'Help Page'!$L:$P,3,0))))</f>
        <v/>
      </c>
      <c r="K23" s="23" t="str">
        <f>IF($B23 = 0,"",IF(_xll.CbondsTradingVolume($B23,K$4,VLOOKUP($E23,'Help Page'!$L:$P,3,0))="Нет данных",0,_xll.CbondsTradingVolume($B23,K$4,VLOOKUP($E23,'Help Page'!$L:$P,3,0))))</f>
        <v/>
      </c>
      <c r="L23" s="23" t="str">
        <f>IF($B23 = 0,"",IF(_xll.CbondsTradingVolume($B23,L$4,VLOOKUP($E23,'Help Page'!$L:$P,3,0))="Нет данных",0,_xll.CbondsTradingVolume($B23,L$4,VLOOKUP($E23,'Help Page'!$L:$P,3,0))))</f>
        <v/>
      </c>
      <c r="M23" s="23" t="str">
        <f>IF($B23 = 0,"",IF(_xll.CbondsTradingVolume($B23,M$4,VLOOKUP($E23,'Help Page'!$L:$P,3,0))="Нет данных",0,_xll.CbondsTradingVolume($B23,M$4,VLOOKUP($E23,'Help Page'!$L:$P,3,0))))</f>
        <v/>
      </c>
      <c r="N23" s="23" t="str">
        <f>IF($B23 = 0,"",IF(_xll.CbondsTradingVolume($B23,N$4,VLOOKUP($E23,'Help Page'!$L:$P,3,0))="Нет данных",0,_xll.CbondsTradingVolume($B23,N$4,VLOOKUP($E23,'Help Page'!$L:$P,3,0))))</f>
        <v/>
      </c>
      <c r="O23" s="23" t="str">
        <f>IF($B23 = 0,"",IF(_xll.CbondsTradingVolume($B23,O$4,VLOOKUP($E23,'Help Page'!$L:$P,3,0))="Нет данных",0,_xll.CbondsTradingVolume($B23,O$4,VLOOKUP($E23,'Help Page'!$L:$P,3,0))))</f>
        <v/>
      </c>
      <c r="P23" s="23" t="str">
        <f>IF($B23 = 0,"",IF(_xll.CbondsTradingVolume($B23,P$4,VLOOKUP($E23,'Help Page'!$L:$P,3,0))="Нет данных",0,_xll.CbondsTradingVolume($B23,P$4,VLOOKUP($E23,'Help Page'!$L:$P,3,0))))</f>
        <v/>
      </c>
      <c r="Q23" s="23" t="str">
        <f>IF($B23 = 0,"",IF(_xll.CbondsTradingVolume($B23,Q$4,VLOOKUP($E23,'Help Page'!$L:$P,3,0))="Нет данных",0,_xll.CbondsTradingVolume($B23,Q$4,VLOOKUP($E23,'Help Page'!$L:$P,3,0))))</f>
        <v/>
      </c>
      <c r="R23" s="23" t="str">
        <f>IF($B23 = 0,"",IF(_xll.CbondsTradingVolume($B23,R$4,VLOOKUP($E23,'Help Page'!$L:$P,3,0))="Нет данных",0,_xll.CbondsTradingVolume($B23,R$4,VLOOKUP($E23,'Help Page'!$L:$P,3,0))))</f>
        <v/>
      </c>
      <c r="S23" s="23" t="str">
        <f>IF($B23 = 0,"",IF(_xll.CbondsTradingVolume($B23,S$4,VLOOKUP($E23,'Help Page'!$L:$P,3,0))="Нет данных",0,_xll.CbondsTradingVolume($B23,S$4,VLOOKUP($E23,'Help Page'!$L:$P,3,0))))</f>
        <v/>
      </c>
      <c r="T23" s="23" t="str">
        <f>IF($B23 = 0,"",IF(_xll.CbondsTradingVolume($B23,T$4,VLOOKUP($E23,'Help Page'!$L:$P,3,0))="Нет данных",0,_xll.CbondsTradingVolume($B23,T$4,VLOOKUP($E23,'Help Page'!$L:$P,3,0))))</f>
        <v/>
      </c>
      <c r="U23" s="23" t="str">
        <f>IF($B23 = 0,"",IF(_xll.CbondsTradingVolume($B23,U$4,VLOOKUP($E23,'Help Page'!$L:$P,3,0))="Нет данных",0,_xll.CbondsTradingVolume($B23,U$4,VLOOKUP($E23,'Help Page'!$L:$P,3,0))))</f>
        <v/>
      </c>
      <c r="V23" s="23" t="str">
        <f>IF($B23 = 0,"",IF(_xll.CbondsTradingVolume($B23,V$4,VLOOKUP($E23,'Help Page'!$L:$P,3,0))="Нет данных",0,_xll.CbondsTradingVolume($B23,V$4,VLOOKUP($E23,'Help Page'!$L:$P,3,0))))</f>
        <v/>
      </c>
      <c r="W23" s="23" t="str">
        <f>IF($B23 = 0,"",IF(_xll.CbondsTradingVolume($B23,W$4,VLOOKUP($E23,'Help Page'!$L:$P,3,0))="Нет данных",0,_xll.CbondsTradingVolume($B23,W$4,VLOOKUP($E23,'Help Page'!$L:$P,3,0))))</f>
        <v/>
      </c>
      <c r="X23" s="23" t="str">
        <f>IF($B23 = 0,"",IF(_xll.CbondsTradingVolume($B23,X$4,VLOOKUP($E23,'Help Page'!$L:$P,3,0))="Нет данных",0,_xll.CbondsTradingVolume($B23,X$4,VLOOKUP($E23,'Help Page'!$L:$P,3,0))))</f>
        <v/>
      </c>
      <c r="Y23" s="23" t="str">
        <f>IF($B23 = 0,"",IF(_xll.CbondsTradingVolume($B23,Y$4,VLOOKUP($E23,'Help Page'!$L:$P,3,0))="Нет данных",0,_xll.CbondsTradingVolume($B23,Y$4,VLOOKUP($E23,'Help Page'!$L:$P,3,0))))</f>
        <v/>
      </c>
      <c r="Z23" s="23" t="str">
        <f>IF($B23 = 0,"",IF(_xll.CbondsTradingVolume($B23,Z$4,VLOOKUP($E23,'Help Page'!$L:$P,3,0))="Нет данных",0,_xll.CbondsTradingVolume($B23,Z$4,VLOOKUP($E23,'Help Page'!$L:$P,3,0))))</f>
        <v/>
      </c>
      <c r="AA23" s="23" t="str">
        <f>IF($B23 = 0,"",IF(_xll.CbondsTradingVolume($B23,AA$4,VLOOKUP($E23,'Help Page'!$L:$P,3,0))="Нет данных",0,_xll.CbondsTradingVolume($B23,AA$4,VLOOKUP($E23,'Help Page'!$L:$P,3,0))))</f>
        <v/>
      </c>
      <c r="AB23" s="23" t="str">
        <f>IF($B23 = 0,"",IF(_xll.CbondsTradingVolume($B23,AB$4,VLOOKUP($E23,'Help Page'!$L:$P,3,0))="Нет данных",0,_xll.CbondsTradingVolume($B23,AB$4,VLOOKUP($E23,'Help Page'!$L:$P,3,0))))</f>
        <v/>
      </c>
      <c r="AC23" s="23" t="str">
        <f>IF($B23 = 0,"",IF(_xll.CbondsTradingVolume($B23,AC$4,VLOOKUP($E23,'Help Page'!$L:$P,3,0))="Нет данных",0,_xll.CbondsTradingVolume($B23,AC$4,VLOOKUP($E23,'Help Page'!$L:$P,3,0))))</f>
        <v/>
      </c>
      <c r="AD23" s="23" t="str">
        <f>IF($B23 = 0,"",IF(_xll.CbondsTradingVolume($B23,AD$4,VLOOKUP($E23,'Help Page'!$L:$P,3,0))="Нет данных",0,_xll.CbondsTradingVolume($B23,AD$4,VLOOKUP($E23,'Help Page'!$L:$P,3,0))))</f>
        <v/>
      </c>
      <c r="AE23" s="23" t="str">
        <f>IF($B23 = 0,"",IF(_xll.CbondsTradingVolume($B23,AE$4,VLOOKUP($E23,'Help Page'!$L:$P,3,0))="Нет данных",0,_xll.CbondsTradingVolume($B23,AE$4,VLOOKUP($E23,'Help Page'!$L:$P,3,0))))</f>
        <v/>
      </c>
      <c r="AF23" s="23" t="str">
        <f>IF($B23 = 0,"",IF(_xll.CbondsTradingVolume($B23,AF$4,VLOOKUP($E23,'Help Page'!$L:$P,3,0))="Нет данных",0,_xll.CbondsTradingVolume($B23,AF$4,VLOOKUP($E23,'Help Page'!$L:$P,3,0))))</f>
        <v/>
      </c>
      <c r="AG23" s="23" t="str">
        <f>IF($B23 = 0,"",IF(_xll.CbondsTradingVolume($B23,AG$4,VLOOKUP($E23,'Help Page'!$L:$P,3,0))="Нет данных",0,_xll.CbondsTradingVolume($B23,AG$4,VLOOKUP($E23,'Help Page'!$L:$P,3,0))))</f>
        <v/>
      </c>
      <c r="AH23" s="23" t="str">
        <f>IF($B23 = 0,"",IF(_xll.CbondsTradingVolume($B23,AH$4,VLOOKUP($E23,'Help Page'!$L:$P,3,0))="Нет данных",0,_xll.CbondsTradingVolume($B23,AH$4,VLOOKUP($E23,'Help Page'!$L:$P,3,0))))</f>
        <v/>
      </c>
      <c r="AI23" s="23" t="str">
        <f>IF($B23 = 0,"",IF(_xll.CbondsTradingVolume($B23,AI$4,VLOOKUP($E23,'Help Page'!$L:$P,3,0))="Нет данных",0,_xll.CbondsTradingVolume($B23,AI$4,VLOOKUP($E23,'Help Page'!$L:$P,3,0))))</f>
        <v/>
      </c>
      <c r="AJ23" s="171">
        <f>SUM(F23:AI23)*VLOOKUP($E23,'Help Page'!$L:$P,5,0)</f>
        <v>0</v>
      </c>
      <c r="AK23" s="76" t="str">
        <f>IF($B23 = 0,"",IF(_xll.CbondsDealsNumber($B23,AK$4,VLOOKUP($E23,'Help Page'!$L:$P,3,0))="Нет данных",0,_xll.CbondsDealsNumber($B23,AK$4,VLOOKUP($E23,'Help Page'!$L:$P,3,0))))</f>
        <v/>
      </c>
      <c r="AL23" s="76" t="str">
        <f>IF($B23 = 0,"",IF(_xll.CbondsDealsNumber($B23,AL$4,VLOOKUP($E23,'Help Page'!$L:$P,3,0))="Нет данных",0,_xll.CbondsDealsNumber($B23,AL$4,VLOOKUP($E23,'Help Page'!$L:$P,3,0))))</f>
        <v/>
      </c>
      <c r="AM23" s="76" t="str">
        <f>IF($B23 = 0,"",IF(_xll.CbondsDealsNumber($B23,AM$4,VLOOKUP($E23,'Help Page'!$L:$P,3,0))="Нет данных",0,_xll.CbondsDealsNumber($B23,AM$4,VLOOKUP($E23,'Help Page'!$L:$P,3,0))))</f>
        <v/>
      </c>
      <c r="AN23" s="76" t="str">
        <f>IF($B23 = 0,"",IF(_xll.CbondsDealsNumber($B23,AN$4,VLOOKUP($E23,'Help Page'!$L:$P,3,0))="Нет данных",0,_xll.CbondsDealsNumber($B23,AN$4,VLOOKUP($E23,'Help Page'!$L:$P,3,0))))</f>
        <v/>
      </c>
      <c r="AO23" s="76" t="str">
        <f>IF($B23 = 0,"",IF(_xll.CbondsDealsNumber($B23,AO$4,VLOOKUP($E23,'Help Page'!$L:$P,3,0))="Нет данных",0,_xll.CbondsDealsNumber($B23,AO$4,VLOOKUP($E23,'Help Page'!$L:$P,3,0))))</f>
        <v/>
      </c>
      <c r="AP23" s="76" t="str">
        <f>IF($B23 = 0,"",IF(_xll.CbondsDealsNumber($B23,AP$4,VLOOKUP($E23,'Help Page'!$L:$P,3,0))="Нет данных",0,_xll.CbondsDealsNumber($B23,AP$4,VLOOKUP($E23,'Help Page'!$L:$P,3,0))))</f>
        <v/>
      </c>
      <c r="AQ23" s="76" t="str">
        <f>IF($B23 = 0,"",IF(_xll.CbondsDealsNumber($B23,AQ$4,VLOOKUP($E23,'Help Page'!$L:$P,3,0))="Нет данных",0,_xll.CbondsDealsNumber($B23,AQ$4,VLOOKUP($E23,'Help Page'!$L:$P,3,0))))</f>
        <v/>
      </c>
      <c r="AR23" s="76" t="str">
        <f>IF($B23 = 0,"",IF(_xll.CbondsDealsNumber($B23,AR$4,VLOOKUP($E23,'Help Page'!$L:$P,3,0))="Нет данных",0,_xll.CbondsDealsNumber($B23,AR$4,VLOOKUP($E23,'Help Page'!$L:$P,3,0))))</f>
        <v/>
      </c>
      <c r="AS23" s="76" t="str">
        <f>IF($B23 = 0,"",IF(_xll.CbondsDealsNumber($B23,AS$4,VLOOKUP($E23,'Help Page'!$L:$P,3,0))="Нет данных",0,_xll.CbondsDealsNumber($B23,AS$4,VLOOKUP($E23,'Help Page'!$L:$P,3,0))))</f>
        <v/>
      </c>
      <c r="AT23" s="76" t="str">
        <f>IF($B23 = 0,"",IF(_xll.CbondsDealsNumber($B23,AT$4,VLOOKUP($E23,'Help Page'!$L:$P,3,0))="Нет данных",0,_xll.CbondsDealsNumber($B23,AT$4,VLOOKUP($E23,'Help Page'!$L:$P,3,0))))</f>
        <v/>
      </c>
      <c r="AU23" s="76" t="str">
        <f>IF($B23 = 0,"",IF(_xll.CbondsDealsNumber($B23,AU$4,VLOOKUP($E23,'Help Page'!$L:$P,3,0))="Нет данных",0,_xll.CbondsDealsNumber($B23,AU$4,VLOOKUP($E23,'Help Page'!$L:$P,3,0))))</f>
        <v/>
      </c>
      <c r="AV23" s="76" t="str">
        <f>IF($B23 = 0,"",IF(_xll.CbondsDealsNumber($B23,AV$4,VLOOKUP($E23,'Help Page'!$L:$P,3,0))="Нет данных",0,_xll.CbondsDealsNumber($B23,AV$4,VLOOKUP($E23,'Help Page'!$L:$P,3,0))))</f>
        <v/>
      </c>
      <c r="AW23" s="76" t="str">
        <f>IF($B23 = 0,"",IF(_xll.CbondsDealsNumber($B23,AW$4,VLOOKUP($E23,'Help Page'!$L:$P,3,0))="Нет данных",0,_xll.CbondsDealsNumber($B23,AW$4,VLOOKUP($E23,'Help Page'!$L:$P,3,0))))</f>
        <v/>
      </c>
      <c r="AX23" s="76" t="str">
        <f>IF($B23 = 0,"",IF(_xll.CbondsDealsNumber($B23,AX$4,VLOOKUP($E23,'Help Page'!$L:$P,3,0))="Нет данных",0,_xll.CbondsDealsNumber($B23,AX$4,VLOOKUP($E23,'Help Page'!$L:$P,3,0))))</f>
        <v/>
      </c>
      <c r="AY23" s="76" t="str">
        <f>IF($B23 = 0,"",IF(_xll.CbondsDealsNumber($B23,AY$4,VLOOKUP($E23,'Help Page'!$L:$P,3,0))="Нет данных",0,_xll.CbondsDealsNumber($B23,AY$4,VLOOKUP($E23,'Help Page'!$L:$P,3,0))))</f>
        <v/>
      </c>
      <c r="AZ23" s="76" t="str">
        <f>IF($B23 = 0,"",IF(_xll.CbondsDealsNumber($B23,AZ$4,VLOOKUP($E23,'Help Page'!$L:$P,3,0))="Нет данных",0,_xll.CbondsDealsNumber($B23,AZ$4,VLOOKUP($E23,'Help Page'!$L:$P,3,0))))</f>
        <v/>
      </c>
      <c r="BA23" s="76" t="str">
        <f>IF($B23 = 0,"",IF(_xll.CbondsDealsNumber($B23,BA$4,VLOOKUP($E23,'Help Page'!$L:$P,3,0))="Нет данных",0,_xll.CbondsDealsNumber($B23,BA$4,VLOOKUP($E23,'Help Page'!$L:$P,3,0))))</f>
        <v/>
      </c>
      <c r="BB23" s="76" t="str">
        <f>IF($B23 = 0,"",IF(_xll.CbondsDealsNumber($B23,BB$4,VLOOKUP($E23,'Help Page'!$L:$P,3,0))="Нет данных",0,_xll.CbondsDealsNumber($B23,BB$4,VLOOKUP($E23,'Help Page'!$L:$P,3,0))))</f>
        <v/>
      </c>
      <c r="BC23" s="76" t="str">
        <f>IF($B23 = 0,"",IF(_xll.CbondsDealsNumber($B23,BC$4,VLOOKUP($E23,'Help Page'!$L:$P,3,0))="Нет данных",0,_xll.CbondsDealsNumber($B23,BC$4,VLOOKUP($E23,'Help Page'!$L:$P,3,0))))</f>
        <v/>
      </c>
      <c r="BD23" s="76" t="str">
        <f>IF($B23 = 0,"",IF(_xll.CbondsDealsNumber($B23,BD$4,VLOOKUP($E23,'Help Page'!$L:$P,3,0))="Нет данных",0,_xll.CbondsDealsNumber($B23,BD$4,VLOOKUP($E23,'Help Page'!$L:$P,3,0))))</f>
        <v/>
      </c>
      <c r="BE23" s="76" t="str">
        <f>IF($B23 = 0,"",IF(_xll.CbondsDealsNumber($B23,BE$4,VLOOKUP($E23,'Help Page'!$L:$P,3,0))="Нет данных",0,_xll.CbondsDealsNumber($B23,BE$4,VLOOKUP($E23,'Help Page'!$L:$P,3,0))))</f>
        <v/>
      </c>
      <c r="BF23" s="76" t="str">
        <f>IF($B23 = 0,"",IF(_xll.CbondsDealsNumber($B23,BF$4,VLOOKUP($E23,'Help Page'!$L:$P,3,0))="Нет данных",0,_xll.CbondsDealsNumber($B23,BF$4,VLOOKUP($E23,'Help Page'!$L:$P,3,0))))</f>
        <v/>
      </c>
      <c r="BG23" s="76" t="str">
        <f>IF($B23 = 0,"",IF(_xll.CbondsDealsNumber($B23,BG$4,VLOOKUP($E23,'Help Page'!$L:$P,3,0))="Нет данных",0,_xll.CbondsDealsNumber($B23,BG$4,VLOOKUP($E23,'Help Page'!$L:$P,3,0))))</f>
        <v/>
      </c>
      <c r="BH23" s="76" t="str">
        <f>IF($B23 = 0,"",IF(_xll.CbondsDealsNumber($B23,BH$4,VLOOKUP($E23,'Help Page'!$L:$P,3,0))="Нет данных",0,_xll.CbondsDealsNumber($B23,BH$4,VLOOKUP($E23,'Help Page'!$L:$P,3,0))))</f>
        <v/>
      </c>
      <c r="BI23" s="76" t="str">
        <f>IF($B23 = 0,"",IF(_xll.CbondsDealsNumber($B23,BI$4,VLOOKUP($E23,'Help Page'!$L:$P,3,0))="Нет данных",0,_xll.CbondsDealsNumber($B23,BI$4,VLOOKUP($E23,'Help Page'!$L:$P,3,0))))</f>
        <v/>
      </c>
      <c r="BJ23" s="76" t="str">
        <f>IF($B23 = 0,"",IF(_xll.CbondsDealsNumber($B23,BJ$4,VLOOKUP($E23,'Help Page'!$L:$P,3,0))="Нет данных",0,_xll.CbondsDealsNumber($B23,BJ$4,VLOOKUP($E23,'Help Page'!$L:$P,3,0))))</f>
        <v/>
      </c>
      <c r="BK23" s="76" t="str">
        <f>IF($B23 = 0,"",IF(_xll.CbondsDealsNumber($B23,BK$4,VLOOKUP($E23,'Help Page'!$L:$P,3,0))="Нет данных",0,_xll.CbondsDealsNumber($B23,BK$4,VLOOKUP($E23,'Help Page'!$L:$P,3,0))))</f>
        <v/>
      </c>
      <c r="BL23" s="76" t="str">
        <f>IF($B23 = 0,"",IF(_xll.CbondsDealsNumber($B23,BL$4,VLOOKUP($E23,'Help Page'!$L:$P,3,0))="Нет данных",0,_xll.CbondsDealsNumber($B23,BL$4,VLOOKUP($E23,'Help Page'!$L:$P,3,0))))</f>
        <v/>
      </c>
      <c r="BM23" s="76" t="str">
        <f>IF($B23 = 0,"",IF(_xll.CbondsDealsNumber($B23,BM$4,VLOOKUP($E23,'Help Page'!$L:$P,3,0))="Нет данных",0,_xll.CbondsDealsNumber($B23,BM$4,VLOOKUP($E23,'Help Page'!$L:$P,3,0))))</f>
        <v/>
      </c>
      <c r="BN23" s="76" t="str">
        <f>IF($B23 = 0,"",IF(_xll.CbondsDealsNumber($B23,BN$4,VLOOKUP($E23,'Help Page'!$L:$P,3,0))="Нет данных",0,_xll.CbondsDealsNumber($B23,BN$4,VLOOKUP($E23,'Help Page'!$L:$P,3,0))))</f>
        <v/>
      </c>
      <c r="BO23" s="156">
        <f>SUM(AK23:BN23)</f>
        <v>0</v>
      </c>
      <c r="BP23" s="156">
        <f>COUNTIF(AK23:BN23, "&gt;0")</f>
        <v>0</v>
      </c>
    </row>
    <row r="24" spans="1:68" x14ac:dyDescent="0.3">
      <c r="A24" s="18">
        <v>4</v>
      </c>
      <c r="B24" s="143">
        <f>Calculation!$J$29</f>
        <v>0</v>
      </c>
      <c r="C24" s="143" t="str">
        <f>IF($B24 = 0,"",_xll.CbondsCurrency(B24))</f>
        <v/>
      </c>
      <c r="D24" s="148" t="str">
        <f>IF($B24 = 0,"",_xll.ReferenceParams(B24,"SumMarketVal"))</f>
        <v/>
      </c>
      <c r="E24" s="143" t="s">
        <v>2077</v>
      </c>
      <c r="F24" s="23" t="str">
        <f>IF($B24 = 0,"",IF(_xll.CbondsTradingVolume($B24,F$4,VLOOKUP($E24,'Help Page'!$L:$P,3,0))="Нет данных",0,_xll.CbondsTradingVolume($B24,F$4,VLOOKUP($E24,'Help Page'!$L:$P,3,0))))</f>
        <v/>
      </c>
      <c r="G24" s="23" t="str">
        <f>IF($B24 = 0,"",IF(_xll.CbondsTradingVolume($B24,G$4,VLOOKUP($E24,'Help Page'!$L:$P,3,0))="Нет данных",0,_xll.CbondsTradingVolume($B24,G$4,VLOOKUP($E24,'Help Page'!$L:$P,3,0))))</f>
        <v/>
      </c>
      <c r="H24" s="23" t="str">
        <f>IF($B24 = 0,"",IF(_xll.CbondsTradingVolume($B24,H$4,VLOOKUP($E24,'Help Page'!$L:$P,3,0))="Нет данных",0,_xll.CbondsTradingVolume($B24,H$4,VLOOKUP($E24,'Help Page'!$L:$P,3,0))))</f>
        <v/>
      </c>
      <c r="I24" s="23" t="str">
        <f>IF($B24 = 0,"",IF(_xll.CbondsTradingVolume($B24,I$4,VLOOKUP($E24,'Help Page'!$L:$P,3,0))="Нет данных",0,_xll.CbondsTradingVolume($B24,I$4,VLOOKUP($E24,'Help Page'!$L:$P,3,0))))</f>
        <v/>
      </c>
      <c r="J24" s="23" t="str">
        <f>IF($B24 = 0,"",IF(_xll.CbondsTradingVolume($B24,J$4,VLOOKUP($E24,'Help Page'!$L:$P,3,0))="Нет данных",0,_xll.CbondsTradingVolume($B24,J$4,VLOOKUP($E24,'Help Page'!$L:$P,3,0))))</f>
        <v/>
      </c>
      <c r="K24" s="23" t="str">
        <f>IF($B24 = 0,"",IF(_xll.CbondsTradingVolume($B24,K$4,VLOOKUP($E24,'Help Page'!$L:$P,3,0))="Нет данных",0,_xll.CbondsTradingVolume($B24,K$4,VLOOKUP($E24,'Help Page'!$L:$P,3,0))))</f>
        <v/>
      </c>
      <c r="L24" s="23" t="str">
        <f>IF($B24 = 0,"",IF(_xll.CbondsTradingVolume($B24,L$4,VLOOKUP($E24,'Help Page'!$L:$P,3,0))="Нет данных",0,_xll.CbondsTradingVolume($B24,L$4,VLOOKUP($E24,'Help Page'!$L:$P,3,0))))</f>
        <v/>
      </c>
      <c r="M24" s="23" t="str">
        <f>IF($B24 = 0,"",IF(_xll.CbondsTradingVolume($B24,M$4,VLOOKUP($E24,'Help Page'!$L:$P,3,0))="Нет данных",0,_xll.CbondsTradingVolume($B24,M$4,VLOOKUP($E24,'Help Page'!$L:$P,3,0))))</f>
        <v/>
      </c>
      <c r="N24" s="23" t="str">
        <f>IF($B24 = 0,"",IF(_xll.CbondsTradingVolume($B24,N$4,VLOOKUP($E24,'Help Page'!$L:$P,3,0))="Нет данных",0,_xll.CbondsTradingVolume($B24,N$4,VLOOKUP($E24,'Help Page'!$L:$P,3,0))))</f>
        <v/>
      </c>
      <c r="O24" s="23" t="str">
        <f>IF($B24 = 0,"",IF(_xll.CbondsTradingVolume($B24,O$4,VLOOKUP($E24,'Help Page'!$L:$P,3,0))="Нет данных",0,_xll.CbondsTradingVolume($B24,O$4,VLOOKUP($E24,'Help Page'!$L:$P,3,0))))</f>
        <v/>
      </c>
      <c r="P24" s="23" t="str">
        <f>IF($B24 = 0,"",IF(_xll.CbondsTradingVolume($B24,P$4,VLOOKUP($E24,'Help Page'!$L:$P,3,0))="Нет данных",0,_xll.CbondsTradingVolume($B24,P$4,VLOOKUP($E24,'Help Page'!$L:$P,3,0))))</f>
        <v/>
      </c>
      <c r="Q24" s="23" t="str">
        <f>IF($B24 = 0,"",IF(_xll.CbondsTradingVolume($B24,Q$4,VLOOKUP($E24,'Help Page'!$L:$P,3,0))="Нет данных",0,_xll.CbondsTradingVolume($B24,Q$4,VLOOKUP($E24,'Help Page'!$L:$P,3,0))))</f>
        <v/>
      </c>
      <c r="R24" s="23" t="str">
        <f>IF($B24 = 0,"",IF(_xll.CbondsTradingVolume($B24,R$4,VLOOKUP($E24,'Help Page'!$L:$P,3,0))="Нет данных",0,_xll.CbondsTradingVolume($B24,R$4,VLOOKUP($E24,'Help Page'!$L:$P,3,0))))</f>
        <v/>
      </c>
      <c r="S24" s="23" t="str">
        <f>IF($B24 = 0,"",IF(_xll.CbondsTradingVolume($B24,S$4,VLOOKUP($E24,'Help Page'!$L:$P,3,0))="Нет данных",0,_xll.CbondsTradingVolume($B24,S$4,VLOOKUP($E24,'Help Page'!$L:$P,3,0))))</f>
        <v/>
      </c>
      <c r="T24" s="23" t="str">
        <f>IF($B24 = 0,"",IF(_xll.CbondsTradingVolume($B24,T$4,VLOOKUP($E24,'Help Page'!$L:$P,3,0))="Нет данных",0,_xll.CbondsTradingVolume($B24,T$4,VLOOKUP($E24,'Help Page'!$L:$P,3,0))))</f>
        <v/>
      </c>
      <c r="U24" s="23" t="str">
        <f>IF($B24 = 0,"",IF(_xll.CbondsTradingVolume($B24,U$4,VLOOKUP($E24,'Help Page'!$L:$P,3,0))="Нет данных",0,_xll.CbondsTradingVolume($B24,U$4,VLOOKUP($E24,'Help Page'!$L:$P,3,0))))</f>
        <v/>
      </c>
      <c r="V24" s="23" t="str">
        <f>IF($B24 = 0,"",IF(_xll.CbondsTradingVolume($B24,V$4,VLOOKUP($E24,'Help Page'!$L:$P,3,0))="Нет данных",0,_xll.CbondsTradingVolume($B24,V$4,VLOOKUP($E24,'Help Page'!$L:$P,3,0))))</f>
        <v/>
      </c>
      <c r="W24" s="23" t="str">
        <f>IF($B24 = 0,"",IF(_xll.CbondsTradingVolume($B24,W$4,VLOOKUP($E24,'Help Page'!$L:$P,3,0))="Нет данных",0,_xll.CbondsTradingVolume($B24,W$4,VLOOKUP($E24,'Help Page'!$L:$P,3,0))))</f>
        <v/>
      </c>
      <c r="X24" s="23" t="str">
        <f>IF($B24 = 0,"",IF(_xll.CbondsTradingVolume($B24,X$4,VLOOKUP($E24,'Help Page'!$L:$P,3,0))="Нет данных",0,_xll.CbondsTradingVolume($B24,X$4,VLOOKUP($E24,'Help Page'!$L:$P,3,0))))</f>
        <v/>
      </c>
      <c r="Y24" s="23" t="str">
        <f>IF($B24 = 0,"",IF(_xll.CbondsTradingVolume($B24,Y$4,VLOOKUP($E24,'Help Page'!$L:$P,3,0))="Нет данных",0,_xll.CbondsTradingVolume($B24,Y$4,VLOOKUP($E24,'Help Page'!$L:$P,3,0))))</f>
        <v/>
      </c>
      <c r="Z24" s="23" t="str">
        <f>IF($B24 = 0,"",IF(_xll.CbondsTradingVolume($B24,Z$4,VLOOKUP($E24,'Help Page'!$L:$P,3,0))="Нет данных",0,_xll.CbondsTradingVolume($B24,Z$4,VLOOKUP($E24,'Help Page'!$L:$P,3,0))))</f>
        <v/>
      </c>
      <c r="AA24" s="23" t="str">
        <f>IF($B24 = 0,"",IF(_xll.CbondsTradingVolume($B24,AA$4,VLOOKUP($E24,'Help Page'!$L:$P,3,0))="Нет данных",0,_xll.CbondsTradingVolume($B24,AA$4,VLOOKUP($E24,'Help Page'!$L:$P,3,0))))</f>
        <v/>
      </c>
      <c r="AB24" s="23" t="str">
        <f>IF($B24 = 0,"",IF(_xll.CbondsTradingVolume($B24,AB$4,VLOOKUP($E24,'Help Page'!$L:$P,3,0))="Нет данных",0,_xll.CbondsTradingVolume($B24,AB$4,VLOOKUP($E24,'Help Page'!$L:$P,3,0))))</f>
        <v/>
      </c>
      <c r="AC24" s="23" t="str">
        <f>IF($B24 = 0,"",IF(_xll.CbondsTradingVolume($B24,AC$4,VLOOKUP($E24,'Help Page'!$L:$P,3,0))="Нет данных",0,_xll.CbondsTradingVolume($B24,AC$4,VLOOKUP($E24,'Help Page'!$L:$P,3,0))))</f>
        <v/>
      </c>
      <c r="AD24" s="23" t="str">
        <f>IF($B24 = 0,"",IF(_xll.CbondsTradingVolume($B24,AD$4,VLOOKUP($E24,'Help Page'!$L:$P,3,0))="Нет данных",0,_xll.CbondsTradingVolume($B24,AD$4,VLOOKUP($E24,'Help Page'!$L:$P,3,0))))</f>
        <v/>
      </c>
      <c r="AE24" s="23" t="str">
        <f>IF($B24 = 0,"",IF(_xll.CbondsTradingVolume($B24,AE$4,VLOOKUP($E24,'Help Page'!$L:$P,3,0))="Нет данных",0,_xll.CbondsTradingVolume($B24,AE$4,VLOOKUP($E24,'Help Page'!$L:$P,3,0))))</f>
        <v/>
      </c>
      <c r="AF24" s="23" t="str">
        <f>IF($B24 = 0,"",IF(_xll.CbondsTradingVolume($B24,AF$4,VLOOKUP($E24,'Help Page'!$L:$P,3,0))="Нет данных",0,_xll.CbondsTradingVolume($B24,AF$4,VLOOKUP($E24,'Help Page'!$L:$P,3,0))))</f>
        <v/>
      </c>
      <c r="AG24" s="23" t="str">
        <f>IF($B24 = 0,"",IF(_xll.CbondsTradingVolume($B24,AG$4,VLOOKUP($E24,'Help Page'!$L:$P,3,0))="Нет данных",0,_xll.CbondsTradingVolume($B24,AG$4,VLOOKUP($E24,'Help Page'!$L:$P,3,0))))</f>
        <v/>
      </c>
      <c r="AH24" s="23" t="str">
        <f>IF($B24 = 0,"",IF(_xll.CbondsTradingVolume($B24,AH$4,VLOOKUP($E24,'Help Page'!$L:$P,3,0))="Нет данных",0,_xll.CbondsTradingVolume($B24,AH$4,VLOOKUP($E24,'Help Page'!$L:$P,3,0))))</f>
        <v/>
      </c>
      <c r="AI24" s="23" t="str">
        <f>IF($B24 = 0,"",IF(_xll.CbondsTradingVolume($B24,AI$4,VLOOKUP($E24,'Help Page'!$L:$P,3,0))="Нет данных",0,_xll.CbondsTradingVolume($B24,AI$4,VLOOKUP($E24,'Help Page'!$L:$P,3,0))))</f>
        <v/>
      </c>
      <c r="AJ24" s="171">
        <f>SUM(F24:AI24)*VLOOKUP($E24,'Help Page'!$L:$P,5,0)</f>
        <v>0</v>
      </c>
      <c r="AK24" s="76" t="str">
        <f>IF($B24 = 0,"",IF(_xll.CbondsDealsNumber($B24,AK$4,VLOOKUP($E24,'Help Page'!$L:$P,3,0))="Нет данных",0,_xll.CbondsDealsNumber($B24,AK$4,VLOOKUP($E24,'Help Page'!$L:$P,3,0))))</f>
        <v/>
      </c>
      <c r="AL24" s="76" t="str">
        <f>IF($B24 = 0,"",IF(_xll.CbondsDealsNumber($B24,AL$4,VLOOKUP($E24,'Help Page'!$L:$P,3,0))="Нет данных",0,_xll.CbondsDealsNumber($B24,AL$4,VLOOKUP($E24,'Help Page'!$L:$P,3,0))))</f>
        <v/>
      </c>
      <c r="AM24" s="76" t="str">
        <f>IF($B24 = 0,"",IF(_xll.CbondsDealsNumber($B24,AM$4,VLOOKUP($E24,'Help Page'!$L:$P,3,0))="Нет данных",0,_xll.CbondsDealsNumber($B24,AM$4,VLOOKUP($E24,'Help Page'!$L:$P,3,0))))</f>
        <v/>
      </c>
      <c r="AN24" s="76" t="str">
        <f>IF($B24 = 0,"",IF(_xll.CbondsDealsNumber($B24,AN$4,VLOOKUP($E24,'Help Page'!$L:$P,3,0))="Нет данных",0,_xll.CbondsDealsNumber($B24,AN$4,VLOOKUP($E24,'Help Page'!$L:$P,3,0))))</f>
        <v/>
      </c>
      <c r="AO24" s="76" t="str">
        <f>IF($B24 = 0,"",IF(_xll.CbondsDealsNumber($B24,AO$4,VLOOKUP($E24,'Help Page'!$L:$P,3,0))="Нет данных",0,_xll.CbondsDealsNumber($B24,AO$4,VLOOKUP($E24,'Help Page'!$L:$P,3,0))))</f>
        <v/>
      </c>
      <c r="AP24" s="76" t="str">
        <f>IF($B24 = 0,"",IF(_xll.CbondsDealsNumber($B24,AP$4,VLOOKUP($E24,'Help Page'!$L:$P,3,0))="Нет данных",0,_xll.CbondsDealsNumber($B24,AP$4,VLOOKUP($E24,'Help Page'!$L:$P,3,0))))</f>
        <v/>
      </c>
      <c r="AQ24" s="76" t="str">
        <f>IF($B24 = 0,"",IF(_xll.CbondsDealsNumber($B24,AQ$4,VLOOKUP($E24,'Help Page'!$L:$P,3,0))="Нет данных",0,_xll.CbondsDealsNumber($B24,AQ$4,VLOOKUP($E24,'Help Page'!$L:$P,3,0))))</f>
        <v/>
      </c>
      <c r="AR24" s="76" t="str">
        <f>IF($B24 = 0,"",IF(_xll.CbondsDealsNumber($B24,AR$4,VLOOKUP($E24,'Help Page'!$L:$P,3,0))="Нет данных",0,_xll.CbondsDealsNumber($B24,AR$4,VLOOKUP($E24,'Help Page'!$L:$P,3,0))))</f>
        <v/>
      </c>
      <c r="AS24" s="76" t="str">
        <f>IF($B24 = 0,"",IF(_xll.CbondsDealsNumber($B24,AS$4,VLOOKUP($E24,'Help Page'!$L:$P,3,0))="Нет данных",0,_xll.CbondsDealsNumber($B24,AS$4,VLOOKUP($E24,'Help Page'!$L:$P,3,0))))</f>
        <v/>
      </c>
      <c r="AT24" s="76" t="str">
        <f>IF($B24 = 0,"",IF(_xll.CbondsDealsNumber($B24,AT$4,VLOOKUP($E24,'Help Page'!$L:$P,3,0))="Нет данных",0,_xll.CbondsDealsNumber($B24,AT$4,VLOOKUP($E24,'Help Page'!$L:$P,3,0))))</f>
        <v/>
      </c>
      <c r="AU24" s="76" t="str">
        <f>IF($B24 = 0,"",IF(_xll.CbondsDealsNumber($B24,AU$4,VLOOKUP($E24,'Help Page'!$L:$P,3,0))="Нет данных",0,_xll.CbondsDealsNumber($B24,AU$4,VLOOKUP($E24,'Help Page'!$L:$P,3,0))))</f>
        <v/>
      </c>
      <c r="AV24" s="76" t="str">
        <f>IF($B24 = 0,"",IF(_xll.CbondsDealsNumber($B24,AV$4,VLOOKUP($E24,'Help Page'!$L:$P,3,0))="Нет данных",0,_xll.CbondsDealsNumber($B24,AV$4,VLOOKUP($E24,'Help Page'!$L:$P,3,0))))</f>
        <v/>
      </c>
      <c r="AW24" s="76" t="str">
        <f>IF($B24 = 0,"",IF(_xll.CbondsDealsNumber($B24,AW$4,VLOOKUP($E24,'Help Page'!$L:$P,3,0))="Нет данных",0,_xll.CbondsDealsNumber($B24,AW$4,VLOOKUP($E24,'Help Page'!$L:$P,3,0))))</f>
        <v/>
      </c>
      <c r="AX24" s="76" t="str">
        <f>IF($B24 = 0,"",IF(_xll.CbondsDealsNumber($B24,AX$4,VLOOKUP($E24,'Help Page'!$L:$P,3,0))="Нет данных",0,_xll.CbondsDealsNumber($B24,AX$4,VLOOKUP($E24,'Help Page'!$L:$P,3,0))))</f>
        <v/>
      </c>
      <c r="AY24" s="76" t="str">
        <f>IF($B24 = 0,"",IF(_xll.CbondsDealsNumber($B24,AY$4,VLOOKUP($E24,'Help Page'!$L:$P,3,0))="Нет данных",0,_xll.CbondsDealsNumber($B24,AY$4,VLOOKUP($E24,'Help Page'!$L:$P,3,0))))</f>
        <v/>
      </c>
      <c r="AZ24" s="76" t="str">
        <f>IF($B24 = 0,"",IF(_xll.CbondsDealsNumber($B24,AZ$4,VLOOKUP($E24,'Help Page'!$L:$P,3,0))="Нет данных",0,_xll.CbondsDealsNumber($B24,AZ$4,VLOOKUP($E24,'Help Page'!$L:$P,3,0))))</f>
        <v/>
      </c>
      <c r="BA24" s="76" t="str">
        <f>IF($B24 = 0,"",IF(_xll.CbondsDealsNumber($B24,BA$4,VLOOKUP($E24,'Help Page'!$L:$P,3,0))="Нет данных",0,_xll.CbondsDealsNumber($B24,BA$4,VLOOKUP($E24,'Help Page'!$L:$P,3,0))))</f>
        <v/>
      </c>
      <c r="BB24" s="76" t="str">
        <f>IF($B24 = 0,"",IF(_xll.CbondsDealsNumber($B24,BB$4,VLOOKUP($E24,'Help Page'!$L:$P,3,0))="Нет данных",0,_xll.CbondsDealsNumber($B24,BB$4,VLOOKUP($E24,'Help Page'!$L:$P,3,0))))</f>
        <v/>
      </c>
      <c r="BC24" s="76" t="str">
        <f>IF($B24 = 0,"",IF(_xll.CbondsDealsNumber($B24,BC$4,VLOOKUP($E24,'Help Page'!$L:$P,3,0))="Нет данных",0,_xll.CbondsDealsNumber($B24,BC$4,VLOOKUP($E24,'Help Page'!$L:$P,3,0))))</f>
        <v/>
      </c>
      <c r="BD24" s="76" t="str">
        <f>IF($B24 = 0,"",IF(_xll.CbondsDealsNumber($B24,BD$4,VLOOKUP($E24,'Help Page'!$L:$P,3,0))="Нет данных",0,_xll.CbondsDealsNumber($B24,BD$4,VLOOKUP($E24,'Help Page'!$L:$P,3,0))))</f>
        <v/>
      </c>
      <c r="BE24" s="76" t="str">
        <f>IF($B24 = 0,"",IF(_xll.CbondsDealsNumber($B24,BE$4,VLOOKUP($E24,'Help Page'!$L:$P,3,0))="Нет данных",0,_xll.CbondsDealsNumber($B24,BE$4,VLOOKUP($E24,'Help Page'!$L:$P,3,0))))</f>
        <v/>
      </c>
      <c r="BF24" s="76" t="str">
        <f>IF($B24 = 0,"",IF(_xll.CbondsDealsNumber($B24,BF$4,VLOOKUP($E24,'Help Page'!$L:$P,3,0))="Нет данных",0,_xll.CbondsDealsNumber($B24,BF$4,VLOOKUP($E24,'Help Page'!$L:$P,3,0))))</f>
        <v/>
      </c>
      <c r="BG24" s="76" t="str">
        <f>IF($B24 = 0,"",IF(_xll.CbondsDealsNumber($B24,BG$4,VLOOKUP($E24,'Help Page'!$L:$P,3,0))="Нет данных",0,_xll.CbondsDealsNumber($B24,BG$4,VLOOKUP($E24,'Help Page'!$L:$P,3,0))))</f>
        <v/>
      </c>
      <c r="BH24" s="76" t="str">
        <f>IF($B24 = 0,"",IF(_xll.CbondsDealsNumber($B24,BH$4,VLOOKUP($E24,'Help Page'!$L:$P,3,0))="Нет данных",0,_xll.CbondsDealsNumber($B24,BH$4,VLOOKUP($E24,'Help Page'!$L:$P,3,0))))</f>
        <v/>
      </c>
      <c r="BI24" s="76" t="str">
        <f>IF($B24 = 0,"",IF(_xll.CbondsDealsNumber($B24,BI$4,VLOOKUP($E24,'Help Page'!$L:$P,3,0))="Нет данных",0,_xll.CbondsDealsNumber($B24,BI$4,VLOOKUP($E24,'Help Page'!$L:$P,3,0))))</f>
        <v/>
      </c>
      <c r="BJ24" s="76" t="str">
        <f>IF($B24 = 0,"",IF(_xll.CbondsDealsNumber($B24,BJ$4,VLOOKUP($E24,'Help Page'!$L:$P,3,0))="Нет данных",0,_xll.CbondsDealsNumber($B24,BJ$4,VLOOKUP($E24,'Help Page'!$L:$P,3,0))))</f>
        <v/>
      </c>
      <c r="BK24" s="76" t="str">
        <f>IF($B24 = 0,"",IF(_xll.CbondsDealsNumber($B24,BK$4,VLOOKUP($E24,'Help Page'!$L:$P,3,0))="Нет данных",0,_xll.CbondsDealsNumber($B24,BK$4,VLOOKUP($E24,'Help Page'!$L:$P,3,0))))</f>
        <v/>
      </c>
      <c r="BL24" s="76" t="str">
        <f>IF($B24 = 0,"",IF(_xll.CbondsDealsNumber($B24,BL$4,VLOOKUP($E24,'Help Page'!$L:$P,3,0))="Нет данных",0,_xll.CbondsDealsNumber($B24,BL$4,VLOOKUP($E24,'Help Page'!$L:$P,3,0))))</f>
        <v/>
      </c>
      <c r="BM24" s="76" t="str">
        <f>IF($B24 = 0,"",IF(_xll.CbondsDealsNumber($B24,BM$4,VLOOKUP($E24,'Help Page'!$L:$P,3,0))="Нет данных",0,_xll.CbondsDealsNumber($B24,BM$4,VLOOKUP($E24,'Help Page'!$L:$P,3,0))))</f>
        <v/>
      </c>
      <c r="BN24" s="76" t="str">
        <f>IF($B24 = 0,"",IF(_xll.CbondsDealsNumber($B24,BN$4,VLOOKUP($E24,'Help Page'!$L:$P,3,0))="Нет данных",0,_xll.CbondsDealsNumber($B24,BN$4,VLOOKUP($E24,'Help Page'!$L:$P,3,0))))</f>
        <v/>
      </c>
      <c r="BO24" s="156">
        <f t="shared" ref="BO24:BO26" si="9">SUM(AK24:BN24)</f>
        <v>0</v>
      </c>
      <c r="BP24" s="156">
        <f>COUNTIF(AK24:BN24, "&gt;0")</f>
        <v>0</v>
      </c>
    </row>
    <row r="25" spans="1:68" x14ac:dyDescent="0.3">
      <c r="A25" s="18">
        <v>4</v>
      </c>
      <c r="B25" s="143">
        <f>Calculation!$J$29</f>
        <v>0</v>
      </c>
      <c r="C25" s="143" t="str">
        <f>IF($B25 = 0,"",_xll.CbondsCurrency(B25))</f>
        <v/>
      </c>
      <c r="D25" s="148" t="str">
        <f>IF($B25 = 0,"",_xll.ReferenceParams(B25,"SumMarketVal"))</f>
        <v/>
      </c>
      <c r="E25" s="143" t="s">
        <v>2078</v>
      </c>
      <c r="F25" s="23" t="str">
        <f>IF($B25 = 0,"",IF(_xll.CbondsTradingVolume($B25,F$4,VLOOKUP($E25,'Help Page'!$L:$P,3,0))="Нет данных",0,_xll.CbondsTradingVolume($B25,F$4,VLOOKUP($E25,'Help Page'!$L:$P,3,0))))</f>
        <v/>
      </c>
      <c r="G25" s="23" t="str">
        <f>IF($B25 = 0,"",IF(_xll.CbondsTradingVolume($B25,G$4,VLOOKUP($E25,'Help Page'!$L:$P,3,0))="Нет данных",0,_xll.CbondsTradingVolume($B25,G$4,VLOOKUP($E25,'Help Page'!$L:$P,3,0))))</f>
        <v/>
      </c>
      <c r="H25" s="23" t="str">
        <f>IF($B25 = 0,"",IF(_xll.CbondsTradingVolume($B25,H$4,VLOOKUP($E25,'Help Page'!$L:$P,3,0))="Нет данных",0,_xll.CbondsTradingVolume($B25,H$4,VLOOKUP($E25,'Help Page'!$L:$P,3,0))))</f>
        <v/>
      </c>
      <c r="I25" s="23" t="str">
        <f>IF($B25 = 0,"",IF(_xll.CbondsTradingVolume($B25,I$4,VLOOKUP($E25,'Help Page'!$L:$P,3,0))="Нет данных",0,_xll.CbondsTradingVolume($B25,I$4,VLOOKUP($E25,'Help Page'!$L:$P,3,0))))</f>
        <v/>
      </c>
      <c r="J25" s="23" t="str">
        <f>IF($B25 = 0,"",IF(_xll.CbondsTradingVolume($B25,J$4,VLOOKUP($E25,'Help Page'!$L:$P,3,0))="Нет данных",0,_xll.CbondsTradingVolume($B25,J$4,VLOOKUP($E25,'Help Page'!$L:$P,3,0))))</f>
        <v/>
      </c>
      <c r="K25" s="23" t="str">
        <f>IF($B25 = 0,"",IF(_xll.CbondsTradingVolume($B25,K$4,VLOOKUP($E25,'Help Page'!$L:$P,3,0))="Нет данных",0,_xll.CbondsTradingVolume($B25,K$4,VLOOKUP($E25,'Help Page'!$L:$P,3,0))))</f>
        <v/>
      </c>
      <c r="L25" s="23" t="str">
        <f>IF($B25 = 0,"",IF(_xll.CbondsTradingVolume($B25,L$4,VLOOKUP($E25,'Help Page'!$L:$P,3,0))="Нет данных",0,_xll.CbondsTradingVolume($B25,L$4,VLOOKUP($E25,'Help Page'!$L:$P,3,0))))</f>
        <v/>
      </c>
      <c r="M25" s="23" t="str">
        <f>IF($B25 = 0,"",IF(_xll.CbondsTradingVolume($B25,M$4,VLOOKUP($E25,'Help Page'!$L:$P,3,0))="Нет данных",0,_xll.CbondsTradingVolume($B25,M$4,VLOOKUP($E25,'Help Page'!$L:$P,3,0))))</f>
        <v/>
      </c>
      <c r="N25" s="23" t="str">
        <f>IF($B25 = 0,"",IF(_xll.CbondsTradingVolume($B25,N$4,VLOOKUP($E25,'Help Page'!$L:$P,3,0))="Нет данных",0,_xll.CbondsTradingVolume($B25,N$4,VLOOKUP($E25,'Help Page'!$L:$P,3,0))))</f>
        <v/>
      </c>
      <c r="O25" s="23" t="str">
        <f>IF($B25 = 0,"",IF(_xll.CbondsTradingVolume($B25,O$4,VLOOKUP($E25,'Help Page'!$L:$P,3,0))="Нет данных",0,_xll.CbondsTradingVolume($B25,O$4,VLOOKUP($E25,'Help Page'!$L:$P,3,0))))</f>
        <v/>
      </c>
      <c r="P25" s="23" t="str">
        <f>IF($B25 = 0,"",IF(_xll.CbondsTradingVolume($B25,P$4,VLOOKUP($E25,'Help Page'!$L:$P,3,0))="Нет данных",0,_xll.CbondsTradingVolume($B25,P$4,VLOOKUP($E25,'Help Page'!$L:$P,3,0))))</f>
        <v/>
      </c>
      <c r="Q25" s="23" t="str">
        <f>IF($B25 = 0,"",IF(_xll.CbondsTradingVolume($B25,Q$4,VLOOKUP($E25,'Help Page'!$L:$P,3,0))="Нет данных",0,_xll.CbondsTradingVolume($B25,Q$4,VLOOKUP($E25,'Help Page'!$L:$P,3,0))))</f>
        <v/>
      </c>
      <c r="R25" s="23" t="str">
        <f>IF($B25 = 0,"",IF(_xll.CbondsTradingVolume($B25,R$4,VLOOKUP($E25,'Help Page'!$L:$P,3,0))="Нет данных",0,_xll.CbondsTradingVolume($B25,R$4,VLOOKUP($E25,'Help Page'!$L:$P,3,0))))</f>
        <v/>
      </c>
      <c r="S25" s="23" t="str">
        <f>IF($B25 = 0,"",IF(_xll.CbondsTradingVolume($B25,S$4,VLOOKUP($E25,'Help Page'!$L:$P,3,0))="Нет данных",0,_xll.CbondsTradingVolume($B25,S$4,VLOOKUP($E25,'Help Page'!$L:$P,3,0))))</f>
        <v/>
      </c>
      <c r="T25" s="23" t="str">
        <f>IF($B25 = 0,"",IF(_xll.CbondsTradingVolume($B25,T$4,VLOOKUP($E25,'Help Page'!$L:$P,3,0))="Нет данных",0,_xll.CbondsTradingVolume($B25,T$4,VLOOKUP($E25,'Help Page'!$L:$P,3,0))))</f>
        <v/>
      </c>
      <c r="U25" s="23" t="str">
        <f>IF($B25 = 0,"",IF(_xll.CbondsTradingVolume($B25,U$4,VLOOKUP($E25,'Help Page'!$L:$P,3,0))="Нет данных",0,_xll.CbondsTradingVolume($B25,U$4,VLOOKUP($E25,'Help Page'!$L:$P,3,0))))</f>
        <v/>
      </c>
      <c r="V25" s="23" t="str">
        <f>IF($B25 = 0,"",IF(_xll.CbondsTradingVolume($B25,V$4,VLOOKUP($E25,'Help Page'!$L:$P,3,0))="Нет данных",0,_xll.CbondsTradingVolume($B25,V$4,VLOOKUP($E25,'Help Page'!$L:$P,3,0))))</f>
        <v/>
      </c>
      <c r="W25" s="23" t="str">
        <f>IF($B25 = 0,"",IF(_xll.CbondsTradingVolume($B25,W$4,VLOOKUP($E25,'Help Page'!$L:$P,3,0))="Нет данных",0,_xll.CbondsTradingVolume($B25,W$4,VLOOKUP($E25,'Help Page'!$L:$P,3,0))))</f>
        <v/>
      </c>
      <c r="X25" s="23" t="str">
        <f>IF($B25 = 0,"",IF(_xll.CbondsTradingVolume($B25,X$4,VLOOKUP($E25,'Help Page'!$L:$P,3,0))="Нет данных",0,_xll.CbondsTradingVolume($B25,X$4,VLOOKUP($E25,'Help Page'!$L:$P,3,0))))</f>
        <v/>
      </c>
      <c r="Y25" s="23" t="str">
        <f>IF($B25 = 0,"",IF(_xll.CbondsTradingVolume($B25,Y$4,VLOOKUP($E25,'Help Page'!$L:$P,3,0))="Нет данных",0,_xll.CbondsTradingVolume($B25,Y$4,VLOOKUP($E25,'Help Page'!$L:$P,3,0))))</f>
        <v/>
      </c>
      <c r="Z25" s="23" t="str">
        <f>IF($B25 = 0,"",IF(_xll.CbondsTradingVolume($B25,Z$4,VLOOKUP($E25,'Help Page'!$L:$P,3,0))="Нет данных",0,_xll.CbondsTradingVolume($B25,Z$4,VLOOKUP($E25,'Help Page'!$L:$P,3,0))))</f>
        <v/>
      </c>
      <c r="AA25" s="23" t="str">
        <f>IF($B25 = 0,"",IF(_xll.CbondsTradingVolume($B25,AA$4,VLOOKUP($E25,'Help Page'!$L:$P,3,0))="Нет данных",0,_xll.CbondsTradingVolume($B25,AA$4,VLOOKUP($E25,'Help Page'!$L:$P,3,0))))</f>
        <v/>
      </c>
      <c r="AB25" s="23" t="str">
        <f>IF($B25 = 0,"",IF(_xll.CbondsTradingVolume($B25,AB$4,VLOOKUP($E25,'Help Page'!$L:$P,3,0))="Нет данных",0,_xll.CbondsTradingVolume($B25,AB$4,VLOOKUP($E25,'Help Page'!$L:$P,3,0))))</f>
        <v/>
      </c>
      <c r="AC25" s="23" t="str">
        <f>IF($B25 = 0,"",IF(_xll.CbondsTradingVolume($B25,AC$4,VLOOKUP($E25,'Help Page'!$L:$P,3,0))="Нет данных",0,_xll.CbondsTradingVolume($B25,AC$4,VLOOKUP($E25,'Help Page'!$L:$P,3,0))))</f>
        <v/>
      </c>
      <c r="AD25" s="23" t="str">
        <f>IF($B25 = 0,"",IF(_xll.CbondsTradingVolume($B25,AD$4,VLOOKUP($E25,'Help Page'!$L:$P,3,0))="Нет данных",0,_xll.CbondsTradingVolume($B25,AD$4,VLOOKUP($E25,'Help Page'!$L:$P,3,0))))</f>
        <v/>
      </c>
      <c r="AE25" s="23" t="str">
        <f>IF($B25 = 0,"",IF(_xll.CbondsTradingVolume($B25,AE$4,VLOOKUP($E25,'Help Page'!$L:$P,3,0))="Нет данных",0,_xll.CbondsTradingVolume($B25,AE$4,VLOOKUP($E25,'Help Page'!$L:$P,3,0))))</f>
        <v/>
      </c>
      <c r="AF25" s="23" t="str">
        <f>IF($B25 = 0,"",IF(_xll.CbondsTradingVolume($B25,AF$4,VLOOKUP($E25,'Help Page'!$L:$P,3,0))="Нет данных",0,_xll.CbondsTradingVolume($B25,AF$4,VLOOKUP($E25,'Help Page'!$L:$P,3,0))))</f>
        <v/>
      </c>
      <c r="AG25" s="23" t="str">
        <f>IF($B25 = 0,"",IF(_xll.CbondsTradingVolume($B25,AG$4,VLOOKUP($E25,'Help Page'!$L:$P,3,0))="Нет данных",0,_xll.CbondsTradingVolume($B25,AG$4,VLOOKUP($E25,'Help Page'!$L:$P,3,0))))</f>
        <v/>
      </c>
      <c r="AH25" s="23" t="str">
        <f>IF($B25 = 0,"",IF(_xll.CbondsTradingVolume($B25,AH$4,VLOOKUP($E25,'Help Page'!$L:$P,3,0))="Нет данных",0,_xll.CbondsTradingVolume($B25,AH$4,VLOOKUP($E25,'Help Page'!$L:$P,3,0))))</f>
        <v/>
      </c>
      <c r="AI25" s="23" t="str">
        <f>IF($B25 = 0,"",IF(_xll.CbondsTradingVolume($B25,AI$4,VLOOKUP($E25,'Help Page'!$L:$P,3,0))="Нет данных",0,_xll.CbondsTradingVolume($B25,AI$4,VLOOKUP($E25,'Help Page'!$L:$P,3,0))))</f>
        <v/>
      </c>
      <c r="AJ25" s="171">
        <f>SUM(F25:AI25)*VLOOKUP($E25,'Help Page'!$L:$P,5,0)</f>
        <v>0</v>
      </c>
      <c r="AK25" s="76" t="str">
        <f>IF($B25 = 0,"",IF(_xll.CbondsDealsNumber($B25,AK$4,VLOOKUP($E25,'Help Page'!$L:$P,3,0))="Нет данных",0,_xll.CbondsDealsNumber($B25,AK$4,VLOOKUP($E25,'Help Page'!$L:$P,3,0))))</f>
        <v/>
      </c>
      <c r="AL25" s="76" t="str">
        <f>IF($B25 = 0,"",IF(_xll.CbondsDealsNumber($B25,AL$4,VLOOKUP($E25,'Help Page'!$L:$P,3,0))="Нет данных",0,_xll.CbondsDealsNumber($B25,AL$4,VLOOKUP($E25,'Help Page'!$L:$P,3,0))))</f>
        <v/>
      </c>
      <c r="AM25" s="76" t="str">
        <f>IF($B25 = 0,"",IF(_xll.CbondsDealsNumber($B25,AM$4,VLOOKUP($E25,'Help Page'!$L:$P,3,0))="Нет данных",0,_xll.CbondsDealsNumber($B25,AM$4,VLOOKUP($E25,'Help Page'!$L:$P,3,0))))</f>
        <v/>
      </c>
      <c r="AN25" s="76" t="str">
        <f>IF($B25 = 0,"",IF(_xll.CbondsDealsNumber($B25,AN$4,VLOOKUP($E25,'Help Page'!$L:$P,3,0))="Нет данных",0,_xll.CbondsDealsNumber($B25,AN$4,VLOOKUP($E25,'Help Page'!$L:$P,3,0))))</f>
        <v/>
      </c>
      <c r="AO25" s="76" t="str">
        <f>IF($B25 = 0,"",IF(_xll.CbondsDealsNumber($B25,AO$4,VLOOKUP($E25,'Help Page'!$L:$P,3,0))="Нет данных",0,_xll.CbondsDealsNumber($B25,AO$4,VLOOKUP($E25,'Help Page'!$L:$P,3,0))))</f>
        <v/>
      </c>
      <c r="AP25" s="76" t="str">
        <f>IF($B25 = 0,"",IF(_xll.CbondsDealsNumber($B25,AP$4,VLOOKUP($E25,'Help Page'!$L:$P,3,0))="Нет данных",0,_xll.CbondsDealsNumber($B25,AP$4,VLOOKUP($E25,'Help Page'!$L:$P,3,0))))</f>
        <v/>
      </c>
      <c r="AQ25" s="76" t="str">
        <f>IF($B25 = 0,"",IF(_xll.CbondsDealsNumber($B25,AQ$4,VLOOKUP($E25,'Help Page'!$L:$P,3,0))="Нет данных",0,_xll.CbondsDealsNumber($B25,AQ$4,VLOOKUP($E25,'Help Page'!$L:$P,3,0))))</f>
        <v/>
      </c>
      <c r="AR25" s="76" t="str">
        <f>IF($B25 = 0,"",IF(_xll.CbondsDealsNumber($B25,AR$4,VLOOKUP($E25,'Help Page'!$L:$P,3,0))="Нет данных",0,_xll.CbondsDealsNumber($B25,AR$4,VLOOKUP($E25,'Help Page'!$L:$P,3,0))))</f>
        <v/>
      </c>
      <c r="AS25" s="76" t="str">
        <f>IF($B25 = 0,"",IF(_xll.CbondsDealsNumber($B25,AS$4,VLOOKUP($E25,'Help Page'!$L:$P,3,0))="Нет данных",0,_xll.CbondsDealsNumber($B25,AS$4,VLOOKUP($E25,'Help Page'!$L:$P,3,0))))</f>
        <v/>
      </c>
      <c r="AT25" s="76" t="str">
        <f>IF($B25 = 0,"",IF(_xll.CbondsDealsNumber($B25,AT$4,VLOOKUP($E25,'Help Page'!$L:$P,3,0))="Нет данных",0,_xll.CbondsDealsNumber($B25,AT$4,VLOOKUP($E25,'Help Page'!$L:$P,3,0))))</f>
        <v/>
      </c>
      <c r="AU25" s="76" t="str">
        <f>IF($B25 = 0,"",IF(_xll.CbondsDealsNumber($B25,AU$4,VLOOKUP($E25,'Help Page'!$L:$P,3,0))="Нет данных",0,_xll.CbondsDealsNumber($B25,AU$4,VLOOKUP($E25,'Help Page'!$L:$P,3,0))))</f>
        <v/>
      </c>
      <c r="AV25" s="76" t="str">
        <f>IF($B25 = 0,"",IF(_xll.CbondsDealsNumber($B25,AV$4,VLOOKUP($E25,'Help Page'!$L:$P,3,0))="Нет данных",0,_xll.CbondsDealsNumber($B25,AV$4,VLOOKUP($E25,'Help Page'!$L:$P,3,0))))</f>
        <v/>
      </c>
      <c r="AW25" s="76" t="str">
        <f>IF($B25 = 0,"",IF(_xll.CbondsDealsNumber($B25,AW$4,VLOOKUP($E25,'Help Page'!$L:$P,3,0))="Нет данных",0,_xll.CbondsDealsNumber($B25,AW$4,VLOOKUP($E25,'Help Page'!$L:$P,3,0))))</f>
        <v/>
      </c>
      <c r="AX25" s="76" t="str">
        <f>IF($B25 = 0,"",IF(_xll.CbondsDealsNumber($B25,AX$4,VLOOKUP($E25,'Help Page'!$L:$P,3,0))="Нет данных",0,_xll.CbondsDealsNumber($B25,AX$4,VLOOKUP($E25,'Help Page'!$L:$P,3,0))))</f>
        <v/>
      </c>
      <c r="AY25" s="76" t="str">
        <f>IF($B25 = 0,"",IF(_xll.CbondsDealsNumber($B25,AY$4,VLOOKUP($E25,'Help Page'!$L:$P,3,0))="Нет данных",0,_xll.CbondsDealsNumber($B25,AY$4,VLOOKUP($E25,'Help Page'!$L:$P,3,0))))</f>
        <v/>
      </c>
      <c r="AZ25" s="76" t="str">
        <f>IF($B25 = 0,"",IF(_xll.CbondsDealsNumber($B25,AZ$4,VLOOKUP($E25,'Help Page'!$L:$P,3,0))="Нет данных",0,_xll.CbondsDealsNumber($B25,AZ$4,VLOOKUP($E25,'Help Page'!$L:$P,3,0))))</f>
        <v/>
      </c>
      <c r="BA25" s="76" t="str">
        <f>IF($B25 = 0,"",IF(_xll.CbondsDealsNumber($B25,BA$4,VLOOKUP($E25,'Help Page'!$L:$P,3,0))="Нет данных",0,_xll.CbondsDealsNumber($B25,BA$4,VLOOKUP($E25,'Help Page'!$L:$P,3,0))))</f>
        <v/>
      </c>
      <c r="BB25" s="76" t="str">
        <f>IF($B25 = 0,"",IF(_xll.CbondsDealsNumber($B25,BB$4,VLOOKUP($E25,'Help Page'!$L:$P,3,0))="Нет данных",0,_xll.CbondsDealsNumber($B25,BB$4,VLOOKUP($E25,'Help Page'!$L:$P,3,0))))</f>
        <v/>
      </c>
      <c r="BC25" s="76" t="str">
        <f>IF($B25 = 0,"",IF(_xll.CbondsDealsNumber($B25,BC$4,VLOOKUP($E25,'Help Page'!$L:$P,3,0))="Нет данных",0,_xll.CbondsDealsNumber($B25,BC$4,VLOOKUP($E25,'Help Page'!$L:$P,3,0))))</f>
        <v/>
      </c>
      <c r="BD25" s="76" t="str">
        <f>IF($B25 = 0,"",IF(_xll.CbondsDealsNumber($B25,BD$4,VLOOKUP($E25,'Help Page'!$L:$P,3,0))="Нет данных",0,_xll.CbondsDealsNumber($B25,BD$4,VLOOKUP($E25,'Help Page'!$L:$P,3,0))))</f>
        <v/>
      </c>
      <c r="BE25" s="76" t="str">
        <f>IF($B25 = 0,"",IF(_xll.CbondsDealsNumber($B25,BE$4,VLOOKUP($E25,'Help Page'!$L:$P,3,0))="Нет данных",0,_xll.CbondsDealsNumber($B25,BE$4,VLOOKUP($E25,'Help Page'!$L:$P,3,0))))</f>
        <v/>
      </c>
      <c r="BF25" s="76" t="str">
        <f>IF($B25 = 0,"",IF(_xll.CbondsDealsNumber($B25,BF$4,VLOOKUP($E25,'Help Page'!$L:$P,3,0))="Нет данных",0,_xll.CbondsDealsNumber($B25,BF$4,VLOOKUP($E25,'Help Page'!$L:$P,3,0))))</f>
        <v/>
      </c>
      <c r="BG25" s="76" t="str">
        <f>IF($B25 = 0,"",IF(_xll.CbondsDealsNumber($B25,BG$4,VLOOKUP($E25,'Help Page'!$L:$P,3,0))="Нет данных",0,_xll.CbondsDealsNumber($B25,BG$4,VLOOKUP($E25,'Help Page'!$L:$P,3,0))))</f>
        <v/>
      </c>
      <c r="BH25" s="76" t="str">
        <f>IF($B25 = 0,"",IF(_xll.CbondsDealsNumber($B25,BH$4,VLOOKUP($E25,'Help Page'!$L:$P,3,0))="Нет данных",0,_xll.CbondsDealsNumber($B25,BH$4,VLOOKUP($E25,'Help Page'!$L:$P,3,0))))</f>
        <v/>
      </c>
      <c r="BI25" s="76" t="str">
        <f>IF($B25 = 0,"",IF(_xll.CbondsDealsNumber($B25,BI$4,VLOOKUP($E25,'Help Page'!$L:$P,3,0))="Нет данных",0,_xll.CbondsDealsNumber($B25,BI$4,VLOOKUP($E25,'Help Page'!$L:$P,3,0))))</f>
        <v/>
      </c>
      <c r="BJ25" s="76" t="str">
        <f>IF($B25 = 0,"",IF(_xll.CbondsDealsNumber($B25,BJ$4,VLOOKUP($E25,'Help Page'!$L:$P,3,0))="Нет данных",0,_xll.CbondsDealsNumber($B25,BJ$4,VLOOKUP($E25,'Help Page'!$L:$P,3,0))))</f>
        <v/>
      </c>
      <c r="BK25" s="76" t="str">
        <f>IF($B25 = 0,"",IF(_xll.CbondsDealsNumber($B25,BK$4,VLOOKUP($E25,'Help Page'!$L:$P,3,0))="Нет данных",0,_xll.CbondsDealsNumber($B25,BK$4,VLOOKUP($E25,'Help Page'!$L:$P,3,0))))</f>
        <v/>
      </c>
      <c r="BL25" s="76" t="str">
        <f>IF($B25 = 0,"",IF(_xll.CbondsDealsNumber($B25,BL$4,VLOOKUP($E25,'Help Page'!$L:$P,3,0))="Нет данных",0,_xll.CbondsDealsNumber($B25,BL$4,VLOOKUP($E25,'Help Page'!$L:$P,3,0))))</f>
        <v/>
      </c>
      <c r="BM25" s="76" t="str">
        <f>IF($B25 = 0,"",IF(_xll.CbondsDealsNumber($B25,BM$4,VLOOKUP($E25,'Help Page'!$L:$P,3,0))="Нет данных",0,_xll.CbondsDealsNumber($B25,BM$4,VLOOKUP($E25,'Help Page'!$L:$P,3,0))))</f>
        <v/>
      </c>
      <c r="BN25" s="76" t="str">
        <f>IF($B25 = 0,"",IF(_xll.CbondsDealsNumber($B25,BN$4,VLOOKUP($E25,'Help Page'!$L:$P,3,0))="Нет данных",0,_xll.CbondsDealsNumber($B25,BN$4,VLOOKUP($E25,'Help Page'!$L:$P,3,0))))</f>
        <v/>
      </c>
      <c r="BO25" s="156">
        <f t="shared" si="9"/>
        <v>0</v>
      </c>
      <c r="BP25" s="156">
        <f t="shared" ref="BP25" si="10">COUNTIF(AK25:BN25, "&gt;0")</f>
        <v>0</v>
      </c>
    </row>
    <row r="26" spans="1:68" x14ac:dyDescent="0.3">
      <c r="A26" s="18">
        <v>4</v>
      </c>
      <c r="B26" s="143">
        <f>Calculation!$J$29</f>
        <v>0</v>
      </c>
      <c r="C26" s="143" t="str">
        <f>IF($B26 = 0,"",_xll.CbondsCurrency(B26))</f>
        <v/>
      </c>
      <c r="D26" s="148" t="str">
        <f>IF($B26 = 0,"",_xll.ReferenceParams(B26,"SumMarketVal"))</f>
        <v/>
      </c>
      <c r="E26" s="143" t="s">
        <v>2079</v>
      </c>
      <c r="F26" s="23" t="str">
        <f>IF($B26 = 0,"",IF(_xll.CbondsTradingVolume($B26,F$4,VLOOKUP($E26,'Help Page'!$L:$P,3,0))="Нет данных",0,_xll.CbondsTradingVolume($B26,F$4,VLOOKUP($E26,'Help Page'!$L:$P,3,0))))</f>
        <v/>
      </c>
      <c r="G26" s="23" t="str">
        <f>IF($B26 = 0,"",IF(_xll.CbondsTradingVolume($B26,G$4,VLOOKUP($E26,'Help Page'!$L:$P,3,0))="Нет данных",0,_xll.CbondsTradingVolume($B26,G$4,VLOOKUP($E26,'Help Page'!$L:$P,3,0))))</f>
        <v/>
      </c>
      <c r="H26" s="23" t="str">
        <f>IF($B26 = 0,"",IF(_xll.CbondsTradingVolume($B26,H$4,VLOOKUP($E26,'Help Page'!$L:$P,3,0))="Нет данных",0,_xll.CbondsTradingVolume($B26,H$4,VLOOKUP($E26,'Help Page'!$L:$P,3,0))))</f>
        <v/>
      </c>
      <c r="I26" s="23" t="str">
        <f>IF($B26 = 0,"",IF(_xll.CbondsTradingVolume($B26,I$4,VLOOKUP($E26,'Help Page'!$L:$P,3,0))="Нет данных",0,_xll.CbondsTradingVolume($B26,I$4,VLOOKUP($E26,'Help Page'!$L:$P,3,0))))</f>
        <v/>
      </c>
      <c r="J26" s="23" t="str">
        <f>IF($B26 = 0,"",IF(_xll.CbondsTradingVolume($B26,J$4,VLOOKUP($E26,'Help Page'!$L:$P,3,0))="Нет данных",0,_xll.CbondsTradingVolume($B26,J$4,VLOOKUP($E26,'Help Page'!$L:$P,3,0))))</f>
        <v/>
      </c>
      <c r="K26" s="23" t="str">
        <f>IF($B26 = 0,"",IF(_xll.CbondsTradingVolume($B26,K$4,VLOOKUP($E26,'Help Page'!$L:$P,3,0))="Нет данных",0,_xll.CbondsTradingVolume($B26,K$4,VLOOKUP($E26,'Help Page'!$L:$P,3,0))))</f>
        <v/>
      </c>
      <c r="L26" s="23" t="str">
        <f>IF($B26 = 0,"",IF(_xll.CbondsTradingVolume($B26,L$4,VLOOKUP($E26,'Help Page'!$L:$P,3,0))="Нет данных",0,_xll.CbondsTradingVolume($B26,L$4,VLOOKUP($E26,'Help Page'!$L:$P,3,0))))</f>
        <v/>
      </c>
      <c r="M26" s="23" t="str">
        <f>IF($B26 = 0,"",IF(_xll.CbondsTradingVolume($B26,M$4,VLOOKUP($E26,'Help Page'!$L:$P,3,0))="Нет данных",0,_xll.CbondsTradingVolume($B26,M$4,VLOOKUP($E26,'Help Page'!$L:$P,3,0))))</f>
        <v/>
      </c>
      <c r="N26" s="23" t="str">
        <f>IF($B26 = 0,"",IF(_xll.CbondsTradingVolume($B26,N$4,VLOOKUP($E26,'Help Page'!$L:$P,3,0))="Нет данных",0,_xll.CbondsTradingVolume($B26,N$4,VLOOKUP($E26,'Help Page'!$L:$P,3,0))))</f>
        <v/>
      </c>
      <c r="O26" s="23" t="str">
        <f>IF($B26 = 0,"",IF(_xll.CbondsTradingVolume($B26,O$4,VLOOKUP($E26,'Help Page'!$L:$P,3,0))="Нет данных",0,_xll.CbondsTradingVolume($B26,O$4,VLOOKUP($E26,'Help Page'!$L:$P,3,0))))</f>
        <v/>
      </c>
      <c r="P26" s="23" t="str">
        <f>IF($B26 = 0,"",IF(_xll.CbondsTradingVolume($B26,P$4,VLOOKUP($E26,'Help Page'!$L:$P,3,0))="Нет данных",0,_xll.CbondsTradingVolume($B26,P$4,VLOOKUP($E26,'Help Page'!$L:$P,3,0))))</f>
        <v/>
      </c>
      <c r="Q26" s="23" t="str">
        <f>IF($B26 = 0,"",IF(_xll.CbondsTradingVolume($B26,Q$4,VLOOKUP($E26,'Help Page'!$L:$P,3,0))="Нет данных",0,_xll.CbondsTradingVolume($B26,Q$4,VLOOKUP($E26,'Help Page'!$L:$P,3,0))))</f>
        <v/>
      </c>
      <c r="R26" s="23" t="str">
        <f>IF($B26 = 0,"",IF(_xll.CbondsTradingVolume($B26,R$4,VLOOKUP($E26,'Help Page'!$L:$P,3,0))="Нет данных",0,_xll.CbondsTradingVolume($B26,R$4,VLOOKUP($E26,'Help Page'!$L:$P,3,0))))</f>
        <v/>
      </c>
      <c r="S26" s="23" t="str">
        <f>IF($B26 = 0,"",IF(_xll.CbondsTradingVolume($B26,S$4,VLOOKUP($E26,'Help Page'!$L:$P,3,0))="Нет данных",0,_xll.CbondsTradingVolume($B26,S$4,VLOOKUP($E26,'Help Page'!$L:$P,3,0))))</f>
        <v/>
      </c>
      <c r="T26" s="23" t="str">
        <f>IF($B26 = 0,"",IF(_xll.CbondsTradingVolume($B26,T$4,VLOOKUP($E26,'Help Page'!$L:$P,3,0))="Нет данных",0,_xll.CbondsTradingVolume($B26,T$4,VLOOKUP($E26,'Help Page'!$L:$P,3,0))))</f>
        <v/>
      </c>
      <c r="U26" s="23" t="str">
        <f>IF($B26 = 0,"",IF(_xll.CbondsTradingVolume($B26,U$4,VLOOKUP($E26,'Help Page'!$L:$P,3,0))="Нет данных",0,_xll.CbondsTradingVolume($B26,U$4,VLOOKUP($E26,'Help Page'!$L:$P,3,0))))</f>
        <v/>
      </c>
      <c r="V26" s="23" t="str">
        <f>IF($B26 = 0,"",IF(_xll.CbondsTradingVolume($B26,V$4,VLOOKUP($E26,'Help Page'!$L:$P,3,0))="Нет данных",0,_xll.CbondsTradingVolume($B26,V$4,VLOOKUP($E26,'Help Page'!$L:$P,3,0))))</f>
        <v/>
      </c>
      <c r="W26" s="23" t="str">
        <f>IF($B26 = 0,"",IF(_xll.CbondsTradingVolume($B26,W$4,VLOOKUP($E26,'Help Page'!$L:$P,3,0))="Нет данных",0,_xll.CbondsTradingVolume($B26,W$4,VLOOKUP($E26,'Help Page'!$L:$P,3,0))))</f>
        <v/>
      </c>
      <c r="X26" s="23" t="str">
        <f>IF($B26 = 0,"",IF(_xll.CbondsTradingVolume($B26,X$4,VLOOKUP($E26,'Help Page'!$L:$P,3,0))="Нет данных",0,_xll.CbondsTradingVolume($B26,X$4,VLOOKUP($E26,'Help Page'!$L:$P,3,0))))</f>
        <v/>
      </c>
      <c r="Y26" s="23" t="str">
        <f>IF($B26 = 0,"",IF(_xll.CbondsTradingVolume($B26,Y$4,VLOOKUP($E26,'Help Page'!$L:$P,3,0))="Нет данных",0,_xll.CbondsTradingVolume($B26,Y$4,VLOOKUP($E26,'Help Page'!$L:$P,3,0))))</f>
        <v/>
      </c>
      <c r="Z26" s="23" t="str">
        <f>IF($B26 = 0,"",IF(_xll.CbondsTradingVolume($B26,Z$4,VLOOKUP($E26,'Help Page'!$L:$P,3,0))="Нет данных",0,_xll.CbondsTradingVolume($B26,Z$4,VLOOKUP($E26,'Help Page'!$L:$P,3,0))))</f>
        <v/>
      </c>
      <c r="AA26" s="23" t="str">
        <f>IF($B26 = 0,"",IF(_xll.CbondsTradingVolume($B26,AA$4,VLOOKUP($E26,'Help Page'!$L:$P,3,0))="Нет данных",0,_xll.CbondsTradingVolume($B26,AA$4,VLOOKUP($E26,'Help Page'!$L:$P,3,0))))</f>
        <v/>
      </c>
      <c r="AB26" s="23" t="str">
        <f>IF($B26 = 0,"",IF(_xll.CbondsTradingVolume($B26,AB$4,VLOOKUP($E26,'Help Page'!$L:$P,3,0))="Нет данных",0,_xll.CbondsTradingVolume($B26,AB$4,VLOOKUP($E26,'Help Page'!$L:$P,3,0))))</f>
        <v/>
      </c>
      <c r="AC26" s="23" t="str">
        <f>IF($B26 = 0,"",IF(_xll.CbondsTradingVolume($B26,AC$4,VLOOKUP($E26,'Help Page'!$L:$P,3,0))="Нет данных",0,_xll.CbondsTradingVolume($B26,AC$4,VLOOKUP($E26,'Help Page'!$L:$P,3,0))))</f>
        <v/>
      </c>
      <c r="AD26" s="23" t="str">
        <f>IF($B26 = 0,"",IF(_xll.CbondsTradingVolume($B26,AD$4,VLOOKUP($E26,'Help Page'!$L:$P,3,0))="Нет данных",0,_xll.CbondsTradingVolume($B26,AD$4,VLOOKUP($E26,'Help Page'!$L:$P,3,0))))</f>
        <v/>
      </c>
      <c r="AE26" s="23" t="str">
        <f>IF($B26 = 0,"",IF(_xll.CbondsTradingVolume($B26,AE$4,VLOOKUP($E26,'Help Page'!$L:$P,3,0))="Нет данных",0,_xll.CbondsTradingVolume($B26,AE$4,VLOOKUP($E26,'Help Page'!$L:$P,3,0))))</f>
        <v/>
      </c>
      <c r="AF26" s="23" t="str">
        <f>IF($B26 = 0,"",IF(_xll.CbondsTradingVolume($B26,AF$4,VLOOKUP($E26,'Help Page'!$L:$P,3,0))="Нет данных",0,_xll.CbondsTradingVolume($B26,AF$4,VLOOKUP($E26,'Help Page'!$L:$P,3,0))))</f>
        <v/>
      </c>
      <c r="AG26" s="23" t="str">
        <f>IF($B26 = 0,"",IF(_xll.CbondsTradingVolume($B26,AG$4,VLOOKUP($E26,'Help Page'!$L:$P,3,0))="Нет данных",0,_xll.CbondsTradingVolume($B26,AG$4,VLOOKUP($E26,'Help Page'!$L:$P,3,0))))</f>
        <v/>
      </c>
      <c r="AH26" s="23" t="str">
        <f>IF($B26 = 0,"",IF(_xll.CbondsTradingVolume($B26,AH$4,VLOOKUP($E26,'Help Page'!$L:$P,3,0))="Нет данных",0,_xll.CbondsTradingVolume($B26,AH$4,VLOOKUP($E26,'Help Page'!$L:$P,3,0))))</f>
        <v/>
      </c>
      <c r="AI26" s="23" t="str">
        <f>IF($B26 = 0,"",IF(_xll.CbondsTradingVolume($B26,AI$4,VLOOKUP($E26,'Help Page'!$L:$P,3,0))="Нет данных",0,_xll.CbondsTradingVolume($B26,AI$4,VLOOKUP($E26,'Help Page'!$L:$P,3,0))))</f>
        <v/>
      </c>
      <c r="AJ26" s="171">
        <f>SUM(F26:AI26)*VLOOKUP($E26,'Help Page'!$L:$P,5,0)</f>
        <v>0</v>
      </c>
      <c r="AK26" s="76" t="str">
        <f>IF($B26 = 0,"",IF(_xll.CbondsDealsNumber($B26,AK$4,VLOOKUP($E26,'Help Page'!$L:$P,3,0))="Нет данных",0,_xll.CbondsDealsNumber($B26,AK$4,VLOOKUP($E26,'Help Page'!$L:$P,3,0))))</f>
        <v/>
      </c>
      <c r="AL26" s="76" t="str">
        <f>IF($B26 = 0,"",IF(_xll.CbondsDealsNumber($B26,AL$4,VLOOKUP($E26,'Help Page'!$L:$P,3,0))="Нет данных",0,_xll.CbondsDealsNumber($B26,AL$4,VLOOKUP($E26,'Help Page'!$L:$P,3,0))))</f>
        <v/>
      </c>
      <c r="AM26" s="157" t="str">
        <f>IF($B26 = 0,"",IF(_xll.CbondsDealsNumber($B26,AM$4,VLOOKUP($E26,'Help Page'!$L:$P,3,0))="Нет данных",0,_xll.CbondsDealsNumber($B26,AM$4,VLOOKUP($E26,'Help Page'!$L:$P,3,0))))</f>
        <v/>
      </c>
      <c r="AN26" s="157" t="str">
        <f>IF($B26 = 0,"",IF(_xll.CbondsDealsNumber($B26,AN$4,VLOOKUP($E26,'Help Page'!$L:$P,3,0))="Нет данных",0,_xll.CbondsDealsNumber($B26,AN$4,VLOOKUP($E26,'Help Page'!$L:$P,3,0))))</f>
        <v/>
      </c>
      <c r="AO26" s="157" t="str">
        <f>IF($B26 = 0,"",IF(_xll.CbondsDealsNumber($B26,AO$4,VLOOKUP($E26,'Help Page'!$L:$P,3,0))="Нет данных",0,_xll.CbondsDealsNumber($B26,AO$4,VLOOKUP($E26,'Help Page'!$L:$P,3,0))))</f>
        <v/>
      </c>
      <c r="AP26" s="157" t="str">
        <f>IF($B26 = 0,"",IF(_xll.CbondsDealsNumber($B26,AP$4,VLOOKUP($E26,'Help Page'!$L:$P,3,0))="Нет данных",0,_xll.CbondsDealsNumber($B26,AP$4,VLOOKUP($E26,'Help Page'!$L:$P,3,0))))</f>
        <v/>
      </c>
      <c r="AQ26" s="76" t="str">
        <f>IF($B26 = 0,"",IF(_xll.CbondsDealsNumber($B26,AQ$4,VLOOKUP($E26,'Help Page'!$L:$P,3,0))="Нет данных",0,_xll.CbondsDealsNumber($B26,AQ$4,VLOOKUP($E26,'Help Page'!$L:$P,3,0))))</f>
        <v/>
      </c>
      <c r="AR26" s="76" t="str">
        <f>IF($B26 = 0,"",IF(_xll.CbondsDealsNumber($B26,AR$4,VLOOKUP($E26,'Help Page'!$L:$P,3,0))="Нет данных",0,_xll.CbondsDealsNumber($B26,AR$4,VLOOKUP($E26,'Help Page'!$L:$P,3,0))))</f>
        <v/>
      </c>
      <c r="AS26" s="76" t="str">
        <f>IF($B26 = 0,"",IF(_xll.CbondsDealsNumber($B26,AS$4,VLOOKUP($E26,'Help Page'!$L:$P,3,0))="Нет данных",0,_xll.CbondsDealsNumber($B26,AS$4,VLOOKUP($E26,'Help Page'!$L:$P,3,0))))</f>
        <v/>
      </c>
      <c r="AT26" s="157" t="str">
        <f>IF($B26 = 0,"",IF(_xll.CbondsDealsNumber($B26,AT$4,VLOOKUP($E26,'Help Page'!$L:$P,3,0))="Нет данных",0,_xll.CbondsDealsNumber($B26,AT$4,VLOOKUP($E26,'Help Page'!$L:$P,3,0))))</f>
        <v/>
      </c>
      <c r="AU26" s="157" t="str">
        <f>IF($B26 = 0,"",IF(_xll.CbondsDealsNumber($B26,AU$4,VLOOKUP($E26,'Help Page'!$L:$P,3,0))="Нет данных",0,_xll.CbondsDealsNumber($B26,AU$4,VLOOKUP($E26,'Help Page'!$L:$P,3,0))))</f>
        <v/>
      </c>
      <c r="AV26" s="157" t="str">
        <f>IF($B26 = 0,"",IF(_xll.CbondsDealsNumber($B26,AV$4,VLOOKUP($E26,'Help Page'!$L:$P,3,0))="Нет данных",0,_xll.CbondsDealsNumber($B26,AV$4,VLOOKUP($E26,'Help Page'!$L:$P,3,0))))</f>
        <v/>
      </c>
      <c r="AW26" s="157" t="str">
        <f>IF($B26 = 0,"",IF(_xll.CbondsDealsNumber($B26,AW$4,VLOOKUP($E26,'Help Page'!$L:$P,3,0))="Нет данных",0,_xll.CbondsDealsNumber($B26,AW$4,VLOOKUP($E26,'Help Page'!$L:$P,3,0))))</f>
        <v/>
      </c>
      <c r="AX26" s="157" t="str">
        <f>IF($B26 = 0,"",IF(_xll.CbondsDealsNumber($B26,AX$4,VLOOKUP($E26,'Help Page'!$L:$P,3,0))="Нет данных",0,_xll.CbondsDealsNumber($B26,AX$4,VLOOKUP($E26,'Help Page'!$L:$P,3,0))))</f>
        <v/>
      </c>
      <c r="AY26" s="76" t="str">
        <f>IF($B26 = 0,"",IF(_xll.CbondsDealsNumber($B26,AY$4,VLOOKUP($E26,'Help Page'!$L:$P,3,0))="Нет данных",0,_xll.CbondsDealsNumber($B26,AY$4,VLOOKUP($E26,'Help Page'!$L:$P,3,0))))</f>
        <v/>
      </c>
      <c r="AZ26" s="76" t="str">
        <f>IF($B26 = 0,"",IF(_xll.CbondsDealsNumber($B26,AZ$4,VLOOKUP($E26,'Help Page'!$L:$P,3,0))="Нет данных",0,_xll.CbondsDealsNumber($B26,AZ$4,VLOOKUP($E26,'Help Page'!$L:$P,3,0))))</f>
        <v/>
      </c>
      <c r="BA26" s="157" t="str">
        <f>IF($B26 = 0,"",IF(_xll.CbondsDealsNumber($B26,BA$4,VLOOKUP($E26,'Help Page'!$L:$P,3,0))="Нет данных",0,_xll.CbondsDealsNumber($B26,BA$4,VLOOKUP($E26,'Help Page'!$L:$P,3,0))))</f>
        <v/>
      </c>
      <c r="BB26" s="157" t="str">
        <f>IF($B26 = 0,"",IF(_xll.CbondsDealsNumber($B26,BB$4,VLOOKUP($E26,'Help Page'!$L:$P,3,0))="Нет данных",0,_xll.CbondsDealsNumber($B26,BB$4,VLOOKUP($E26,'Help Page'!$L:$P,3,0))))</f>
        <v/>
      </c>
      <c r="BC26" s="157" t="str">
        <f>IF($B26 = 0,"",IF(_xll.CbondsDealsNumber($B26,BC$4,VLOOKUP($E26,'Help Page'!$L:$P,3,0))="Нет данных",0,_xll.CbondsDealsNumber($B26,BC$4,VLOOKUP($E26,'Help Page'!$L:$P,3,0))))</f>
        <v/>
      </c>
      <c r="BD26" s="157" t="str">
        <f>IF($B26 = 0,"",IF(_xll.CbondsDealsNumber($B26,BD$4,VLOOKUP($E26,'Help Page'!$L:$P,3,0))="Нет данных",0,_xll.CbondsDealsNumber($B26,BD$4,VLOOKUP($E26,'Help Page'!$L:$P,3,0))))</f>
        <v/>
      </c>
      <c r="BE26" s="157" t="str">
        <f>IF($B26 = 0,"",IF(_xll.CbondsDealsNumber($B26,BE$4,VLOOKUP($E26,'Help Page'!$L:$P,3,0))="Нет данных",0,_xll.CbondsDealsNumber($B26,BE$4,VLOOKUP($E26,'Help Page'!$L:$P,3,0))))</f>
        <v/>
      </c>
      <c r="BF26" s="76" t="str">
        <f>IF($B26 = 0,"",IF(_xll.CbondsDealsNumber($B26,BF$4,VLOOKUP($E26,'Help Page'!$L:$P,3,0))="Нет данных",0,_xll.CbondsDealsNumber($B26,BF$4,VLOOKUP($E26,'Help Page'!$L:$P,3,0))))</f>
        <v/>
      </c>
      <c r="BG26" s="76" t="str">
        <f>IF($B26 = 0,"",IF(_xll.CbondsDealsNumber($B26,BG$4,VLOOKUP($E26,'Help Page'!$L:$P,3,0))="Нет данных",0,_xll.CbondsDealsNumber($B26,BG$4,VLOOKUP($E26,'Help Page'!$L:$P,3,0))))</f>
        <v/>
      </c>
      <c r="BH26" s="157" t="str">
        <f>IF($B26 = 0,"",IF(_xll.CbondsDealsNumber($B26,BH$4,VLOOKUP($E26,'Help Page'!$L:$P,3,0))="Нет данных",0,_xll.CbondsDealsNumber($B26,BH$4,VLOOKUP($E26,'Help Page'!$L:$P,3,0))))</f>
        <v/>
      </c>
      <c r="BI26" s="157" t="str">
        <f>IF($B26 = 0,"",IF(_xll.CbondsDealsNumber($B26,BI$4,VLOOKUP($E26,'Help Page'!$L:$P,3,0))="Нет данных",0,_xll.CbondsDealsNumber($B26,BI$4,VLOOKUP($E26,'Help Page'!$L:$P,3,0))))</f>
        <v/>
      </c>
      <c r="BJ26" s="157" t="str">
        <f>IF($B26 = 0,"",IF(_xll.CbondsDealsNumber($B26,BJ$4,VLOOKUP($E26,'Help Page'!$L:$P,3,0))="Нет данных",0,_xll.CbondsDealsNumber($B26,BJ$4,VLOOKUP($E26,'Help Page'!$L:$P,3,0))))</f>
        <v/>
      </c>
      <c r="BK26" s="157" t="str">
        <f>IF($B26 = 0,"",IF(_xll.CbondsDealsNumber($B26,BK$4,VLOOKUP($E26,'Help Page'!$L:$P,3,0))="Нет данных",0,_xll.CbondsDealsNumber($B26,BK$4,VLOOKUP($E26,'Help Page'!$L:$P,3,0))))</f>
        <v/>
      </c>
      <c r="BL26" s="157" t="str">
        <f>IF($B26 = 0,"",IF(_xll.CbondsDealsNumber($B26,BL$4,VLOOKUP($E26,'Help Page'!$L:$P,3,0))="Нет данных",0,_xll.CbondsDealsNumber($B26,BL$4,VLOOKUP($E26,'Help Page'!$L:$P,3,0))))</f>
        <v/>
      </c>
      <c r="BM26" s="76" t="str">
        <f>IF($B26 = 0,"",IF(_xll.CbondsDealsNumber($B26,BM$4,VLOOKUP($E26,'Help Page'!$L:$P,3,0))="Нет данных",0,_xll.CbondsDealsNumber($B26,BM$4,VLOOKUP($E26,'Help Page'!$L:$P,3,0))))</f>
        <v/>
      </c>
      <c r="BN26" s="76" t="str">
        <f>IF($B26 = 0,"",IF(_xll.CbondsDealsNumber($B26,BN$4,VLOOKUP($E26,'Help Page'!$L:$P,3,0))="Нет данных",0,_xll.CbondsDealsNumber($B26,BN$4,VLOOKUP($E26,'Help Page'!$L:$P,3,0))))</f>
        <v/>
      </c>
      <c r="BO26" s="156">
        <f t="shared" si="9"/>
        <v>0</v>
      </c>
      <c r="BP26" s="156">
        <f>COUNTIF(AK26:BN26, "&gt;0")</f>
        <v>0</v>
      </c>
    </row>
    <row r="27" spans="1:68" x14ac:dyDescent="0.3">
      <c r="A27" s="18" t="s">
        <v>2084</v>
      </c>
      <c r="B27" s="143"/>
      <c r="C27" s="143"/>
      <c r="D27" s="148"/>
      <c r="E27" s="158" t="s">
        <v>2081</v>
      </c>
      <c r="F27" s="159" t="str">
        <f>IF(B23 = 0,"",IF(AJ27 = 0, "торгов нет", IF(MAX(AJ23:AJ26) = AJ23,E23,IF(MAX(AJ23:AJ26) = AJ24,E24,IF(MAX(AJ23:AJ26) = AJ25,E25,E26)))))</f>
        <v/>
      </c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172" t="str">
        <f>IF($B23 = 0,"",SUM(AJ23:AJ26)/VLOOKUP(C23,'Help Page'!$M:$Q,4,0)/D23)</f>
        <v/>
      </c>
      <c r="AK27" s="160">
        <f>SUM(AK23:AK26)</f>
        <v>0</v>
      </c>
      <c r="AL27" s="160">
        <f t="shared" ref="AL27:BN27" si="11">SUM(AL23:AL26)</f>
        <v>0</v>
      </c>
      <c r="AM27" s="160">
        <f t="shared" si="11"/>
        <v>0</v>
      </c>
      <c r="AN27" s="160">
        <f t="shared" si="11"/>
        <v>0</v>
      </c>
      <c r="AO27" s="160">
        <f t="shared" si="11"/>
        <v>0</v>
      </c>
      <c r="AP27" s="160">
        <f t="shared" si="11"/>
        <v>0</v>
      </c>
      <c r="AQ27" s="160">
        <f t="shared" si="11"/>
        <v>0</v>
      </c>
      <c r="AR27" s="160">
        <f t="shared" si="11"/>
        <v>0</v>
      </c>
      <c r="AS27" s="160">
        <f t="shared" si="11"/>
        <v>0</v>
      </c>
      <c r="AT27" s="160">
        <f t="shared" si="11"/>
        <v>0</v>
      </c>
      <c r="AU27" s="160">
        <f t="shared" si="11"/>
        <v>0</v>
      </c>
      <c r="AV27" s="160">
        <f t="shared" si="11"/>
        <v>0</v>
      </c>
      <c r="AW27" s="160">
        <f t="shared" si="11"/>
        <v>0</v>
      </c>
      <c r="AX27" s="160">
        <f t="shared" si="11"/>
        <v>0</v>
      </c>
      <c r="AY27" s="160">
        <f t="shared" si="11"/>
        <v>0</v>
      </c>
      <c r="AZ27" s="160">
        <f t="shared" si="11"/>
        <v>0</v>
      </c>
      <c r="BA27" s="160">
        <f t="shared" si="11"/>
        <v>0</v>
      </c>
      <c r="BB27" s="160">
        <f t="shared" si="11"/>
        <v>0</v>
      </c>
      <c r="BC27" s="160">
        <f t="shared" si="11"/>
        <v>0</v>
      </c>
      <c r="BD27" s="160">
        <f t="shared" si="11"/>
        <v>0</v>
      </c>
      <c r="BE27" s="160">
        <f t="shared" si="11"/>
        <v>0</v>
      </c>
      <c r="BF27" s="160">
        <f t="shared" si="11"/>
        <v>0</v>
      </c>
      <c r="BG27" s="160">
        <f t="shared" si="11"/>
        <v>0</v>
      </c>
      <c r="BH27" s="160">
        <f t="shared" si="11"/>
        <v>0</v>
      </c>
      <c r="BI27" s="160">
        <f t="shared" si="11"/>
        <v>0</v>
      </c>
      <c r="BJ27" s="160">
        <f t="shared" si="11"/>
        <v>0</v>
      </c>
      <c r="BK27" s="160">
        <f t="shared" si="11"/>
        <v>0</v>
      </c>
      <c r="BL27" s="160">
        <f t="shared" si="11"/>
        <v>0</v>
      </c>
      <c r="BM27" s="160">
        <f t="shared" si="11"/>
        <v>0</v>
      </c>
      <c r="BN27" s="160">
        <f t="shared" si="11"/>
        <v>0</v>
      </c>
      <c r="BO27" s="161" t="str">
        <f>IF($B23 = 0,"",SUM(BO23:BO26))</f>
        <v/>
      </c>
      <c r="BP27" s="161" t="str">
        <f>IF($B23 = 0,"",COUNTIF(AK27:BN27, "&gt;0"))</f>
        <v/>
      </c>
    </row>
    <row r="28" spans="1:68" x14ac:dyDescent="0.3">
      <c r="A28" s="18"/>
      <c r="B28" s="162"/>
      <c r="C28" s="162"/>
      <c r="D28" s="163"/>
      <c r="E28" s="162"/>
      <c r="F28" s="164"/>
      <c r="G28" s="164"/>
      <c r="H28" s="164"/>
      <c r="I28" s="164"/>
      <c r="J28" s="164"/>
      <c r="K28" s="164"/>
      <c r="L28" s="164"/>
      <c r="M28" s="164"/>
      <c r="N28" s="164"/>
      <c r="O28" s="164"/>
      <c r="P28" s="164"/>
      <c r="Q28" s="164"/>
      <c r="R28" s="164"/>
      <c r="S28" s="164"/>
      <c r="T28" s="164"/>
      <c r="U28" s="164"/>
      <c r="V28" s="164"/>
      <c r="W28" s="164"/>
      <c r="X28" s="164"/>
      <c r="Y28" s="164"/>
      <c r="Z28" s="164"/>
      <c r="AA28" s="164"/>
      <c r="AB28" s="164"/>
      <c r="AC28" s="164"/>
      <c r="AD28" s="164"/>
      <c r="AE28" s="164"/>
      <c r="AF28" s="164"/>
      <c r="AG28" s="164"/>
      <c r="AH28" s="164"/>
      <c r="AI28" s="164"/>
      <c r="AJ28" s="171"/>
      <c r="AK28" s="164"/>
      <c r="AL28" s="164"/>
      <c r="AM28" s="164"/>
      <c r="AN28" s="164"/>
      <c r="AO28" s="164"/>
      <c r="AP28" s="164"/>
      <c r="AQ28" s="164"/>
      <c r="AR28" s="164"/>
      <c r="AS28" s="164"/>
      <c r="AT28" s="164"/>
      <c r="AU28" s="164"/>
      <c r="AV28" s="164"/>
      <c r="AW28" s="164"/>
      <c r="AX28" s="164"/>
      <c r="AY28" s="164"/>
      <c r="AZ28" s="164"/>
      <c r="BA28" s="164"/>
      <c r="BB28" s="164"/>
      <c r="BC28" s="164"/>
      <c r="BD28" s="164"/>
      <c r="BE28" s="164"/>
      <c r="BF28" s="164"/>
      <c r="BG28" s="164"/>
      <c r="BH28" s="164"/>
      <c r="BI28" s="164"/>
      <c r="BJ28" s="164"/>
      <c r="BK28" s="164"/>
      <c r="BL28" s="164"/>
      <c r="BM28" s="164"/>
      <c r="BN28" s="164"/>
      <c r="BO28" s="156"/>
      <c r="BP28" s="156"/>
    </row>
    <row r="29" spans="1:68" x14ac:dyDescent="0.3">
      <c r="A29" s="18">
        <v>5</v>
      </c>
      <c r="B29" s="143">
        <f>Calculation!$J$30</f>
        <v>0</v>
      </c>
      <c r="C29" s="143" t="str">
        <f>IF($B29 = 0,"",_xll.CbondsCurrency(B29))</f>
        <v/>
      </c>
      <c r="D29" s="148" t="str">
        <f>IF($B29 = 0,"",_xll.ReferenceParams(B29,"SumMarketVal"))</f>
        <v/>
      </c>
      <c r="E29" s="143" t="s">
        <v>2076</v>
      </c>
      <c r="F29" s="23" t="str">
        <f>IF($B29 = 0,"",IF(_xll.CbondsTradingVolume($B29,F$4,VLOOKUP($E29,'Help Page'!$L:$P,3,0))="Нет данных",0,_xll.CbondsTradingVolume($B29,F$4,VLOOKUP($E29,'Help Page'!$L:$P,3,0))))</f>
        <v/>
      </c>
      <c r="G29" s="23" t="str">
        <f>IF($B29 = 0,"",IF(_xll.CbondsTradingVolume($B29,G$4,VLOOKUP($E29,'Help Page'!$L:$P,3,0))="Нет данных",0,_xll.CbondsTradingVolume($B29,G$4,VLOOKUP($E29,'Help Page'!$L:$P,3,0))))</f>
        <v/>
      </c>
      <c r="H29" s="23" t="str">
        <f>IF($B29 = 0,"",IF(_xll.CbondsTradingVolume($B29,H$4,VLOOKUP($E29,'Help Page'!$L:$P,3,0))="Нет данных",0,_xll.CbondsTradingVolume($B29,H$4,VLOOKUP($E29,'Help Page'!$L:$P,3,0))))</f>
        <v/>
      </c>
      <c r="I29" s="23" t="str">
        <f>IF($B29 = 0,"",IF(_xll.CbondsTradingVolume($B29,I$4,VLOOKUP($E29,'Help Page'!$L:$P,3,0))="Нет данных",0,_xll.CbondsTradingVolume($B29,I$4,VLOOKUP($E29,'Help Page'!$L:$P,3,0))))</f>
        <v/>
      </c>
      <c r="J29" s="23" t="str">
        <f>IF($B29 = 0,"",IF(_xll.CbondsTradingVolume($B29,J$4,VLOOKUP($E29,'Help Page'!$L:$P,3,0))="Нет данных",0,_xll.CbondsTradingVolume($B29,J$4,VLOOKUP($E29,'Help Page'!$L:$P,3,0))))</f>
        <v/>
      </c>
      <c r="K29" s="23" t="str">
        <f>IF($B29 = 0,"",IF(_xll.CbondsTradingVolume($B29,K$4,VLOOKUP($E29,'Help Page'!$L:$P,3,0))="Нет данных",0,_xll.CbondsTradingVolume($B29,K$4,VLOOKUP($E29,'Help Page'!$L:$P,3,0))))</f>
        <v/>
      </c>
      <c r="L29" s="23" t="str">
        <f>IF($B29 = 0,"",IF(_xll.CbondsTradingVolume($B29,L$4,VLOOKUP($E29,'Help Page'!$L:$P,3,0))="Нет данных",0,_xll.CbondsTradingVolume($B29,L$4,VLOOKUP($E29,'Help Page'!$L:$P,3,0))))</f>
        <v/>
      </c>
      <c r="M29" s="23" t="str">
        <f>IF($B29 = 0,"",IF(_xll.CbondsTradingVolume($B29,M$4,VLOOKUP($E29,'Help Page'!$L:$P,3,0))="Нет данных",0,_xll.CbondsTradingVolume($B29,M$4,VLOOKUP($E29,'Help Page'!$L:$P,3,0))))</f>
        <v/>
      </c>
      <c r="N29" s="23" t="str">
        <f>IF($B29 = 0,"",IF(_xll.CbondsTradingVolume($B29,N$4,VLOOKUP($E29,'Help Page'!$L:$P,3,0))="Нет данных",0,_xll.CbondsTradingVolume($B29,N$4,VLOOKUP($E29,'Help Page'!$L:$P,3,0))))</f>
        <v/>
      </c>
      <c r="O29" s="23" t="str">
        <f>IF($B29 = 0,"",IF(_xll.CbondsTradingVolume($B29,O$4,VLOOKUP($E29,'Help Page'!$L:$P,3,0))="Нет данных",0,_xll.CbondsTradingVolume($B29,O$4,VLOOKUP($E29,'Help Page'!$L:$P,3,0))))</f>
        <v/>
      </c>
      <c r="P29" s="23" t="str">
        <f>IF($B29 = 0,"",IF(_xll.CbondsTradingVolume($B29,P$4,VLOOKUP($E29,'Help Page'!$L:$P,3,0))="Нет данных",0,_xll.CbondsTradingVolume($B29,P$4,VLOOKUP($E29,'Help Page'!$L:$P,3,0))))</f>
        <v/>
      </c>
      <c r="Q29" s="23" t="str">
        <f>IF($B29 = 0,"",IF(_xll.CbondsTradingVolume($B29,Q$4,VLOOKUP($E29,'Help Page'!$L:$P,3,0))="Нет данных",0,_xll.CbondsTradingVolume($B29,Q$4,VLOOKUP($E29,'Help Page'!$L:$P,3,0))))</f>
        <v/>
      </c>
      <c r="R29" s="23" t="str">
        <f>IF($B29 = 0,"",IF(_xll.CbondsTradingVolume($B29,R$4,VLOOKUP($E29,'Help Page'!$L:$P,3,0))="Нет данных",0,_xll.CbondsTradingVolume($B29,R$4,VLOOKUP($E29,'Help Page'!$L:$P,3,0))))</f>
        <v/>
      </c>
      <c r="S29" s="23" t="str">
        <f>IF($B29 = 0,"",IF(_xll.CbondsTradingVolume($B29,S$4,VLOOKUP($E29,'Help Page'!$L:$P,3,0))="Нет данных",0,_xll.CbondsTradingVolume($B29,S$4,VLOOKUP($E29,'Help Page'!$L:$P,3,0))))</f>
        <v/>
      </c>
      <c r="T29" s="23" t="str">
        <f>IF($B29 = 0,"",IF(_xll.CbondsTradingVolume($B29,T$4,VLOOKUP($E29,'Help Page'!$L:$P,3,0))="Нет данных",0,_xll.CbondsTradingVolume($B29,T$4,VLOOKUP($E29,'Help Page'!$L:$P,3,0))))</f>
        <v/>
      </c>
      <c r="U29" s="23" t="str">
        <f>IF($B29 = 0,"",IF(_xll.CbondsTradingVolume($B29,U$4,VLOOKUP($E29,'Help Page'!$L:$P,3,0))="Нет данных",0,_xll.CbondsTradingVolume($B29,U$4,VLOOKUP($E29,'Help Page'!$L:$P,3,0))))</f>
        <v/>
      </c>
      <c r="V29" s="23" t="str">
        <f>IF($B29 = 0,"",IF(_xll.CbondsTradingVolume($B29,V$4,VLOOKUP($E29,'Help Page'!$L:$P,3,0))="Нет данных",0,_xll.CbondsTradingVolume($B29,V$4,VLOOKUP($E29,'Help Page'!$L:$P,3,0))))</f>
        <v/>
      </c>
      <c r="W29" s="23" t="str">
        <f>IF($B29 = 0,"",IF(_xll.CbondsTradingVolume($B29,W$4,VLOOKUP($E29,'Help Page'!$L:$P,3,0))="Нет данных",0,_xll.CbondsTradingVolume($B29,W$4,VLOOKUP($E29,'Help Page'!$L:$P,3,0))))</f>
        <v/>
      </c>
      <c r="X29" s="23" t="str">
        <f>IF($B29 = 0,"",IF(_xll.CbondsTradingVolume($B29,X$4,VLOOKUP($E29,'Help Page'!$L:$P,3,0))="Нет данных",0,_xll.CbondsTradingVolume($B29,X$4,VLOOKUP($E29,'Help Page'!$L:$P,3,0))))</f>
        <v/>
      </c>
      <c r="Y29" s="23" t="str">
        <f>IF($B29 = 0,"",IF(_xll.CbondsTradingVolume($B29,Y$4,VLOOKUP($E29,'Help Page'!$L:$P,3,0))="Нет данных",0,_xll.CbondsTradingVolume($B29,Y$4,VLOOKUP($E29,'Help Page'!$L:$P,3,0))))</f>
        <v/>
      </c>
      <c r="Z29" s="23" t="str">
        <f>IF($B29 = 0,"",IF(_xll.CbondsTradingVolume($B29,Z$4,VLOOKUP($E29,'Help Page'!$L:$P,3,0))="Нет данных",0,_xll.CbondsTradingVolume($B29,Z$4,VLOOKUP($E29,'Help Page'!$L:$P,3,0))))</f>
        <v/>
      </c>
      <c r="AA29" s="23" t="str">
        <f>IF($B29 = 0,"",IF(_xll.CbondsTradingVolume($B29,AA$4,VLOOKUP($E29,'Help Page'!$L:$P,3,0))="Нет данных",0,_xll.CbondsTradingVolume($B29,AA$4,VLOOKUP($E29,'Help Page'!$L:$P,3,0))))</f>
        <v/>
      </c>
      <c r="AB29" s="23" t="str">
        <f>IF($B29 = 0,"",IF(_xll.CbondsTradingVolume($B29,AB$4,VLOOKUP($E29,'Help Page'!$L:$P,3,0))="Нет данных",0,_xll.CbondsTradingVolume($B29,AB$4,VLOOKUP($E29,'Help Page'!$L:$P,3,0))))</f>
        <v/>
      </c>
      <c r="AC29" s="23" t="str">
        <f>IF($B29 = 0,"",IF(_xll.CbondsTradingVolume($B29,AC$4,VLOOKUP($E29,'Help Page'!$L:$P,3,0))="Нет данных",0,_xll.CbondsTradingVolume($B29,AC$4,VLOOKUP($E29,'Help Page'!$L:$P,3,0))))</f>
        <v/>
      </c>
      <c r="AD29" s="23" t="str">
        <f>IF($B29 = 0,"",IF(_xll.CbondsTradingVolume($B29,AD$4,VLOOKUP($E29,'Help Page'!$L:$P,3,0))="Нет данных",0,_xll.CbondsTradingVolume($B29,AD$4,VLOOKUP($E29,'Help Page'!$L:$P,3,0))))</f>
        <v/>
      </c>
      <c r="AE29" s="23" t="str">
        <f>IF($B29 = 0,"",IF(_xll.CbondsTradingVolume($B29,AE$4,VLOOKUP($E29,'Help Page'!$L:$P,3,0))="Нет данных",0,_xll.CbondsTradingVolume($B29,AE$4,VLOOKUP($E29,'Help Page'!$L:$P,3,0))))</f>
        <v/>
      </c>
      <c r="AF29" s="23" t="str">
        <f>IF($B29 = 0,"",IF(_xll.CbondsTradingVolume($B29,AF$4,VLOOKUP($E29,'Help Page'!$L:$P,3,0))="Нет данных",0,_xll.CbondsTradingVolume($B29,AF$4,VLOOKUP($E29,'Help Page'!$L:$P,3,0))))</f>
        <v/>
      </c>
      <c r="AG29" s="23" t="str">
        <f>IF($B29 = 0,"",IF(_xll.CbondsTradingVolume($B29,AG$4,VLOOKUP($E29,'Help Page'!$L:$P,3,0))="Нет данных",0,_xll.CbondsTradingVolume($B29,AG$4,VLOOKUP($E29,'Help Page'!$L:$P,3,0))))</f>
        <v/>
      </c>
      <c r="AH29" s="23" t="str">
        <f>IF($B29 = 0,"",IF(_xll.CbondsTradingVolume($B29,AH$4,VLOOKUP($E29,'Help Page'!$L:$P,3,0))="Нет данных",0,_xll.CbondsTradingVolume($B29,AH$4,VLOOKUP($E29,'Help Page'!$L:$P,3,0))))</f>
        <v/>
      </c>
      <c r="AI29" s="23" t="str">
        <f>IF($B29 = 0,"",IF(_xll.CbondsTradingVolume($B29,AI$4,VLOOKUP($E29,'Help Page'!$L:$P,3,0))="Нет данных",0,_xll.CbondsTradingVolume($B29,AI$4,VLOOKUP($E29,'Help Page'!$L:$P,3,0))))</f>
        <v/>
      </c>
      <c r="AJ29" s="171">
        <f>SUM(F29:AI29)*VLOOKUP($E29,'Help Page'!$L:$P,5,0)</f>
        <v>0</v>
      </c>
      <c r="AK29" s="76" t="str">
        <f>IF($B29 = 0,"",IF(_xll.CbondsDealsNumber($B29,AK$4,VLOOKUP($E29,'Help Page'!$L:$P,3,0))="Нет данных",0,_xll.CbondsDealsNumber($B29,AK$4,VLOOKUP($E29,'Help Page'!$L:$P,3,0))))</f>
        <v/>
      </c>
      <c r="AL29" s="76" t="str">
        <f>IF($B29 = 0,"",IF(_xll.CbondsDealsNumber($B29,AL$4,VLOOKUP($E29,'Help Page'!$L:$P,3,0))="Нет данных",0,_xll.CbondsDealsNumber($B29,AL$4,VLOOKUP($E29,'Help Page'!$L:$P,3,0))))</f>
        <v/>
      </c>
      <c r="AM29" s="76" t="str">
        <f>IF($B29 = 0,"",IF(_xll.CbondsDealsNumber($B29,AM$4,VLOOKUP($E29,'Help Page'!$L:$P,3,0))="Нет данных",0,_xll.CbondsDealsNumber($B29,AM$4,VLOOKUP($E29,'Help Page'!$L:$P,3,0))))</f>
        <v/>
      </c>
      <c r="AN29" s="76" t="str">
        <f>IF($B29 = 0,"",IF(_xll.CbondsDealsNumber($B29,AN$4,VLOOKUP($E29,'Help Page'!$L:$P,3,0))="Нет данных",0,_xll.CbondsDealsNumber($B29,AN$4,VLOOKUP($E29,'Help Page'!$L:$P,3,0))))</f>
        <v/>
      </c>
      <c r="AO29" s="76" t="str">
        <f>IF($B29 = 0,"",IF(_xll.CbondsDealsNumber($B29,AO$4,VLOOKUP($E29,'Help Page'!$L:$P,3,0))="Нет данных",0,_xll.CbondsDealsNumber($B29,AO$4,VLOOKUP($E29,'Help Page'!$L:$P,3,0))))</f>
        <v/>
      </c>
      <c r="AP29" s="76" t="str">
        <f>IF($B29 = 0,"",IF(_xll.CbondsDealsNumber($B29,AP$4,VLOOKUP($E29,'Help Page'!$L:$P,3,0))="Нет данных",0,_xll.CbondsDealsNumber($B29,AP$4,VLOOKUP($E29,'Help Page'!$L:$P,3,0))))</f>
        <v/>
      </c>
      <c r="AQ29" s="76" t="str">
        <f>IF($B29 = 0,"",IF(_xll.CbondsDealsNumber($B29,AQ$4,VLOOKUP($E29,'Help Page'!$L:$P,3,0))="Нет данных",0,_xll.CbondsDealsNumber($B29,AQ$4,VLOOKUP($E29,'Help Page'!$L:$P,3,0))))</f>
        <v/>
      </c>
      <c r="AR29" s="76" t="str">
        <f>IF($B29 = 0,"",IF(_xll.CbondsDealsNumber($B29,AR$4,VLOOKUP($E29,'Help Page'!$L:$P,3,0))="Нет данных",0,_xll.CbondsDealsNumber($B29,AR$4,VLOOKUP($E29,'Help Page'!$L:$P,3,0))))</f>
        <v/>
      </c>
      <c r="AS29" s="76" t="str">
        <f>IF($B29 = 0,"",IF(_xll.CbondsDealsNumber($B29,AS$4,VLOOKUP($E29,'Help Page'!$L:$P,3,0))="Нет данных",0,_xll.CbondsDealsNumber($B29,AS$4,VLOOKUP($E29,'Help Page'!$L:$P,3,0))))</f>
        <v/>
      </c>
      <c r="AT29" s="76" t="str">
        <f>IF($B29 = 0,"",IF(_xll.CbondsDealsNumber($B29,AT$4,VLOOKUP($E29,'Help Page'!$L:$P,3,0))="Нет данных",0,_xll.CbondsDealsNumber($B29,AT$4,VLOOKUP($E29,'Help Page'!$L:$P,3,0))))</f>
        <v/>
      </c>
      <c r="AU29" s="76" t="str">
        <f>IF($B29 = 0,"",IF(_xll.CbondsDealsNumber($B29,AU$4,VLOOKUP($E29,'Help Page'!$L:$P,3,0))="Нет данных",0,_xll.CbondsDealsNumber($B29,AU$4,VLOOKUP($E29,'Help Page'!$L:$P,3,0))))</f>
        <v/>
      </c>
      <c r="AV29" s="76" t="str">
        <f>IF($B29 = 0,"",IF(_xll.CbondsDealsNumber($B29,AV$4,VLOOKUP($E29,'Help Page'!$L:$P,3,0))="Нет данных",0,_xll.CbondsDealsNumber($B29,AV$4,VLOOKUP($E29,'Help Page'!$L:$P,3,0))))</f>
        <v/>
      </c>
      <c r="AW29" s="76" t="str">
        <f>IF($B29 = 0,"",IF(_xll.CbondsDealsNumber($B29,AW$4,VLOOKUP($E29,'Help Page'!$L:$P,3,0))="Нет данных",0,_xll.CbondsDealsNumber($B29,AW$4,VLOOKUP($E29,'Help Page'!$L:$P,3,0))))</f>
        <v/>
      </c>
      <c r="AX29" s="76" t="str">
        <f>IF($B29 = 0,"",IF(_xll.CbondsDealsNumber($B29,AX$4,VLOOKUP($E29,'Help Page'!$L:$P,3,0))="Нет данных",0,_xll.CbondsDealsNumber($B29,AX$4,VLOOKUP($E29,'Help Page'!$L:$P,3,0))))</f>
        <v/>
      </c>
      <c r="AY29" s="76" t="str">
        <f>IF($B29 = 0,"",IF(_xll.CbondsDealsNumber($B29,AY$4,VLOOKUP($E29,'Help Page'!$L:$P,3,0))="Нет данных",0,_xll.CbondsDealsNumber($B29,AY$4,VLOOKUP($E29,'Help Page'!$L:$P,3,0))))</f>
        <v/>
      </c>
      <c r="AZ29" s="76" t="str">
        <f>IF($B29 = 0,"",IF(_xll.CbondsDealsNumber($B29,AZ$4,VLOOKUP($E29,'Help Page'!$L:$P,3,0))="Нет данных",0,_xll.CbondsDealsNumber($B29,AZ$4,VLOOKUP($E29,'Help Page'!$L:$P,3,0))))</f>
        <v/>
      </c>
      <c r="BA29" s="76" t="str">
        <f>IF($B29 = 0,"",IF(_xll.CbondsDealsNumber($B29,BA$4,VLOOKUP($E29,'Help Page'!$L:$P,3,0))="Нет данных",0,_xll.CbondsDealsNumber($B29,BA$4,VLOOKUP($E29,'Help Page'!$L:$P,3,0))))</f>
        <v/>
      </c>
      <c r="BB29" s="76" t="str">
        <f>IF($B29 = 0,"",IF(_xll.CbondsDealsNumber($B29,BB$4,VLOOKUP($E29,'Help Page'!$L:$P,3,0))="Нет данных",0,_xll.CbondsDealsNumber($B29,BB$4,VLOOKUP($E29,'Help Page'!$L:$P,3,0))))</f>
        <v/>
      </c>
      <c r="BC29" s="76" t="str">
        <f>IF($B29 = 0,"",IF(_xll.CbondsDealsNumber($B29,BC$4,VLOOKUP($E29,'Help Page'!$L:$P,3,0))="Нет данных",0,_xll.CbondsDealsNumber($B29,BC$4,VLOOKUP($E29,'Help Page'!$L:$P,3,0))))</f>
        <v/>
      </c>
      <c r="BD29" s="76" t="str">
        <f>IF($B29 = 0,"",IF(_xll.CbondsDealsNumber($B29,BD$4,VLOOKUP($E29,'Help Page'!$L:$P,3,0))="Нет данных",0,_xll.CbondsDealsNumber($B29,BD$4,VLOOKUP($E29,'Help Page'!$L:$P,3,0))))</f>
        <v/>
      </c>
      <c r="BE29" s="76" t="str">
        <f>IF($B29 = 0,"",IF(_xll.CbondsDealsNumber($B29,BE$4,VLOOKUP($E29,'Help Page'!$L:$P,3,0))="Нет данных",0,_xll.CbondsDealsNumber($B29,BE$4,VLOOKUP($E29,'Help Page'!$L:$P,3,0))))</f>
        <v/>
      </c>
      <c r="BF29" s="76" t="str">
        <f>IF($B29 = 0,"",IF(_xll.CbondsDealsNumber($B29,BF$4,VLOOKUP($E29,'Help Page'!$L:$P,3,0))="Нет данных",0,_xll.CbondsDealsNumber($B29,BF$4,VLOOKUP($E29,'Help Page'!$L:$P,3,0))))</f>
        <v/>
      </c>
      <c r="BG29" s="76" t="str">
        <f>IF($B29 = 0,"",IF(_xll.CbondsDealsNumber($B29,BG$4,VLOOKUP($E29,'Help Page'!$L:$P,3,0))="Нет данных",0,_xll.CbondsDealsNumber($B29,BG$4,VLOOKUP($E29,'Help Page'!$L:$P,3,0))))</f>
        <v/>
      </c>
      <c r="BH29" s="76" t="str">
        <f>IF($B29 = 0,"",IF(_xll.CbondsDealsNumber($B29,BH$4,VLOOKUP($E29,'Help Page'!$L:$P,3,0))="Нет данных",0,_xll.CbondsDealsNumber($B29,BH$4,VLOOKUP($E29,'Help Page'!$L:$P,3,0))))</f>
        <v/>
      </c>
      <c r="BI29" s="76" t="str">
        <f>IF($B29 = 0,"",IF(_xll.CbondsDealsNumber($B29,BI$4,VLOOKUP($E29,'Help Page'!$L:$P,3,0))="Нет данных",0,_xll.CbondsDealsNumber($B29,BI$4,VLOOKUP($E29,'Help Page'!$L:$P,3,0))))</f>
        <v/>
      </c>
      <c r="BJ29" s="76" t="str">
        <f>IF($B29 = 0,"",IF(_xll.CbondsDealsNumber($B29,BJ$4,VLOOKUP($E29,'Help Page'!$L:$P,3,0))="Нет данных",0,_xll.CbondsDealsNumber($B29,BJ$4,VLOOKUP($E29,'Help Page'!$L:$P,3,0))))</f>
        <v/>
      </c>
      <c r="BK29" s="76" t="str">
        <f>IF($B29 = 0,"",IF(_xll.CbondsDealsNumber($B29,BK$4,VLOOKUP($E29,'Help Page'!$L:$P,3,0))="Нет данных",0,_xll.CbondsDealsNumber($B29,BK$4,VLOOKUP($E29,'Help Page'!$L:$P,3,0))))</f>
        <v/>
      </c>
      <c r="BL29" s="76" t="str">
        <f>IF($B29 = 0,"",IF(_xll.CbondsDealsNumber($B29,BL$4,VLOOKUP($E29,'Help Page'!$L:$P,3,0))="Нет данных",0,_xll.CbondsDealsNumber($B29,BL$4,VLOOKUP($E29,'Help Page'!$L:$P,3,0))))</f>
        <v/>
      </c>
      <c r="BM29" s="76" t="str">
        <f>IF($B29 = 0,"",IF(_xll.CbondsDealsNumber($B29,BM$4,VLOOKUP($E29,'Help Page'!$L:$P,3,0))="Нет данных",0,_xll.CbondsDealsNumber($B29,BM$4,VLOOKUP($E29,'Help Page'!$L:$P,3,0))))</f>
        <v/>
      </c>
      <c r="BN29" s="76" t="str">
        <f>IF($B29 = 0,"",IF(_xll.CbondsDealsNumber($B29,BN$4,VLOOKUP($E29,'Help Page'!$L:$P,3,0))="Нет данных",0,_xll.CbondsDealsNumber($B29,BN$4,VLOOKUP($E29,'Help Page'!$L:$P,3,0))))</f>
        <v/>
      </c>
      <c r="BO29" s="156">
        <f>SUM(AK29:BN29)</f>
        <v>0</v>
      </c>
      <c r="BP29" s="156">
        <f>COUNTIF(AK29:BN29, "&gt;0")</f>
        <v>0</v>
      </c>
    </row>
    <row r="30" spans="1:68" x14ac:dyDescent="0.3">
      <c r="A30" s="18">
        <v>5</v>
      </c>
      <c r="B30" s="143">
        <f>Calculation!$J$30</f>
        <v>0</v>
      </c>
      <c r="C30" s="143" t="str">
        <f>IF($B30 = 0,"",_xll.CbondsCurrency(B30))</f>
        <v/>
      </c>
      <c r="D30" s="148" t="str">
        <f>IF($B30 = 0,"",_xll.ReferenceParams(B30,"SumMarketVal"))</f>
        <v/>
      </c>
      <c r="E30" s="143" t="s">
        <v>2077</v>
      </c>
      <c r="F30" s="23" t="str">
        <f>IF($B30 = 0,"",IF(_xll.CbondsTradingVolume($B30,F$4,VLOOKUP($E30,'Help Page'!$L:$P,3,0))="Нет данных",0,_xll.CbondsTradingVolume($B30,F$4,VLOOKUP($E30,'Help Page'!$L:$P,3,0))))</f>
        <v/>
      </c>
      <c r="G30" s="23" t="str">
        <f>IF($B30 = 0,"",IF(_xll.CbondsTradingVolume($B30,G$4,VLOOKUP($E30,'Help Page'!$L:$P,3,0))="Нет данных",0,_xll.CbondsTradingVolume($B30,G$4,VLOOKUP($E30,'Help Page'!$L:$P,3,0))))</f>
        <v/>
      </c>
      <c r="H30" s="23" t="str">
        <f>IF($B30 = 0,"",IF(_xll.CbondsTradingVolume($B30,H$4,VLOOKUP($E30,'Help Page'!$L:$P,3,0))="Нет данных",0,_xll.CbondsTradingVolume($B30,H$4,VLOOKUP($E30,'Help Page'!$L:$P,3,0))))</f>
        <v/>
      </c>
      <c r="I30" s="23" t="str">
        <f>IF($B30 = 0,"",IF(_xll.CbondsTradingVolume($B30,I$4,VLOOKUP($E30,'Help Page'!$L:$P,3,0))="Нет данных",0,_xll.CbondsTradingVolume($B30,I$4,VLOOKUP($E30,'Help Page'!$L:$P,3,0))))</f>
        <v/>
      </c>
      <c r="J30" s="23" t="str">
        <f>IF($B30 = 0,"",IF(_xll.CbondsTradingVolume($B30,J$4,VLOOKUP($E30,'Help Page'!$L:$P,3,0))="Нет данных",0,_xll.CbondsTradingVolume($B30,J$4,VLOOKUP($E30,'Help Page'!$L:$P,3,0))))</f>
        <v/>
      </c>
      <c r="K30" s="23" t="str">
        <f>IF($B30 = 0,"",IF(_xll.CbondsTradingVolume($B30,K$4,VLOOKUP($E30,'Help Page'!$L:$P,3,0))="Нет данных",0,_xll.CbondsTradingVolume($B30,K$4,VLOOKUP($E30,'Help Page'!$L:$P,3,0))))</f>
        <v/>
      </c>
      <c r="L30" s="23" t="str">
        <f>IF($B30 = 0,"",IF(_xll.CbondsTradingVolume($B30,L$4,VLOOKUP($E30,'Help Page'!$L:$P,3,0))="Нет данных",0,_xll.CbondsTradingVolume($B30,L$4,VLOOKUP($E30,'Help Page'!$L:$P,3,0))))</f>
        <v/>
      </c>
      <c r="M30" s="23" t="str">
        <f>IF($B30 = 0,"",IF(_xll.CbondsTradingVolume($B30,M$4,VLOOKUP($E30,'Help Page'!$L:$P,3,0))="Нет данных",0,_xll.CbondsTradingVolume($B30,M$4,VLOOKUP($E30,'Help Page'!$L:$P,3,0))))</f>
        <v/>
      </c>
      <c r="N30" s="23" t="str">
        <f>IF($B30 = 0,"",IF(_xll.CbondsTradingVolume($B30,N$4,VLOOKUP($E30,'Help Page'!$L:$P,3,0))="Нет данных",0,_xll.CbondsTradingVolume($B30,N$4,VLOOKUP($E30,'Help Page'!$L:$P,3,0))))</f>
        <v/>
      </c>
      <c r="O30" s="23" t="str">
        <f>IF($B30 = 0,"",IF(_xll.CbondsTradingVolume($B30,O$4,VLOOKUP($E30,'Help Page'!$L:$P,3,0))="Нет данных",0,_xll.CbondsTradingVolume($B30,O$4,VLOOKUP($E30,'Help Page'!$L:$P,3,0))))</f>
        <v/>
      </c>
      <c r="P30" s="23" t="str">
        <f>IF($B30 = 0,"",IF(_xll.CbondsTradingVolume($B30,P$4,VLOOKUP($E30,'Help Page'!$L:$P,3,0))="Нет данных",0,_xll.CbondsTradingVolume($B30,P$4,VLOOKUP($E30,'Help Page'!$L:$P,3,0))))</f>
        <v/>
      </c>
      <c r="Q30" s="23" t="str">
        <f>IF($B30 = 0,"",IF(_xll.CbondsTradingVolume($B30,Q$4,VLOOKUP($E30,'Help Page'!$L:$P,3,0))="Нет данных",0,_xll.CbondsTradingVolume($B30,Q$4,VLOOKUP($E30,'Help Page'!$L:$P,3,0))))</f>
        <v/>
      </c>
      <c r="R30" s="23" t="str">
        <f>IF($B30 = 0,"",IF(_xll.CbondsTradingVolume($B30,R$4,VLOOKUP($E30,'Help Page'!$L:$P,3,0))="Нет данных",0,_xll.CbondsTradingVolume($B30,R$4,VLOOKUP($E30,'Help Page'!$L:$P,3,0))))</f>
        <v/>
      </c>
      <c r="S30" s="23" t="str">
        <f>IF($B30 = 0,"",IF(_xll.CbondsTradingVolume($B30,S$4,VLOOKUP($E30,'Help Page'!$L:$P,3,0))="Нет данных",0,_xll.CbondsTradingVolume($B30,S$4,VLOOKUP($E30,'Help Page'!$L:$P,3,0))))</f>
        <v/>
      </c>
      <c r="T30" s="23" t="str">
        <f>IF($B30 = 0,"",IF(_xll.CbondsTradingVolume($B30,T$4,VLOOKUP($E30,'Help Page'!$L:$P,3,0))="Нет данных",0,_xll.CbondsTradingVolume($B30,T$4,VLOOKUP($E30,'Help Page'!$L:$P,3,0))))</f>
        <v/>
      </c>
      <c r="U30" s="23" t="str">
        <f>IF($B30 = 0,"",IF(_xll.CbondsTradingVolume($B30,U$4,VLOOKUP($E30,'Help Page'!$L:$P,3,0))="Нет данных",0,_xll.CbondsTradingVolume($B30,U$4,VLOOKUP($E30,'Help Page'!$L:$P,3,0))))</f>
        <v/>
      </c>
      <c r="V30" s="23" t="str">
        <f>IF($B30 = 0,"",IF(_xll.CbondsTradingVolume($B30,V$4,VLOOKUP($E30,'Help Page'!$L:$P,3,0))="Нет данных",0,_xll.CbondsTradingVolume($B30,V$4,VLOOKUP($E30,'Help Page'!$L:$P,3,0))))</f>
        <v/>
      </c>
      <c r="W30" s="23" t="str">
        <f>IF($B30 = 0,"",IF(_xll.CbondsTradingVolume($B30,W$4,VLOOKUP($E30,'Help Page'!$L:$P,3,0))="Нет данных",0,_xll.CbondsTradingVolume($B30,W$4,VLOOKUP($E30,'Help Page'!$L:$P,3,0))))</f>
        <v/>
      </c>
      <c r="X30" s="23" t="str">
        <f>IF($B30 = 0,"",IF(_xll.CbondsTradingVolume($B30,X$4,VLOOKUP($E30,'Help Page'!$L:$P,3,0))="Нет данных",0,_xll.CbondsTradingVolume($B30,X$4,VLOOKUP($E30,'Help Page'!$L:$P,3,0))))</f>
        <v/>
      </c>
      <c r="Y30" s="23" t="str">
        <f>IF($B30 = 0,"",IF(_xll.CbondsTradingVolume($B30,Y$4,VLOOKUP($E30,'Help Page'!$L:$P,3,0))="Нет данных",0,_xll.CbondsTradingVolume($B30,Y$4,VLOOKUP($E30,'Help Page'!$L:$P,3,0))))</f>
        <v/>
      </c>
      <c r="Z30" s="23" t="str">
        <f>IF($B30 = 0,"",IF(_xll.CbondsTradingVolume($B30,Z$4,VLOOKUP($E30,'Help Page'!$L:$P,3,0))="Нет данных",0,_xll.CbondsTradingVolume($B30,Z$4,VLOOKUP($E30,'Help Page'!$L:$P,3,0))))</f>
        <v/>
      </c>
      <c r="AA30" s="23" t="str">
        <f>IF($B30 = 0,"",IF(_xll.CbondsTradingVolume($B30,AA$4,VLOOKUP($E30,'Help Page'!$L:$P,3,0))="Нет данных",0,_xll.CbondsTradingVolume($B30,AA$4,VLOOKUP($E30,'Help Page'!$L:$P,3,0))))</f>
        <v/>
      </c>
      <c r="AB30" s="23" t="str">
        <f>IF($B30 = 0,"",IF(_xll.CbondsTradingVolume($B30,AB$4,VLOOKUP($E30,'Help Page'!$L:$P,3,0))="Нет данных",0,_xll.CbondsTradingVolume($B30,AB$4,VLOOKUP($E30,'Help Page'!$L:$P,3,0))))</f>
        <v/>
      </c>
      <c r="AC30" s="23" t="str">
        <f>IF($B30 = 0,"",IF(_xll.CbondsTradingVolume($B30,AC$4,VLOOKUP($E30,'Help Page'!$L:$P,3,0))="Нет данных",0,_xll.CbondsTradingVolume($B30,AC$4,VLOOKUP($E30,'Help Page'!$L:$P,3,0))))</f>
        <v/>
      </c>
      <c r="AD30" s="23" t="str">
        <f>IF($B30 = 0,"",IF(_xll.CbondsTradingVolume($B30,AD$4,VLOOKUP($E30,'Help Page'!$L:$P,3,0))="Нет данных",0,_xll.CbondsTradingVolume($B30,AD$4,VLOOKUP($E30,'Help Page'!$L:$P,3,0))))</f>
        <v/>
      </c>
      <c r="AE30" s="23" t="str">
        <f>IF($B30 = 0,"",IF(_xll.CbondsTradingVolume($B30,AE$4,VLOOKUP($E30,'Help Page'!$L:$P,3,0))="Нет данных",0,_xll.CbondsTradingVolume($B30,AE$4,VLOOKUP($E30,'Help Page'!$L:$P,3,0))))</f>
        <v/>
      </c>
      <c r="AF30" s="23" t="str">
        <f>IF($B30 = 0,"",IF(_xll.CbondsTradingVolume($B30,AF$4,VLOOKUP($E30,'Help Page'!$L:$P,3,0))="Нет данных",0,_xll.CbondsTradingVolume($B30,AF$4,VLOOKUP($E30,'Help Page'!$L:$P,3,0))))</f>
        <v/>
      </c>
      <c r="AG30" s="23" t="str">
        <f>IF($B30 = 0,"",IF(_xll.CbondsTradingVolume($B30,AG$4,VLOOKUP($E30,'Help Page'!$L:$P,3,0))="Нет данных",0,_xll.CbondsTradingVolume($B30,AG$4,VLOOKUP($E30,'Help Page'!$L:$P,3,0))))</f>
        <v/>
      </c>
      <c r="AH30" s="23" t="str">
        <f>IF($B30 = 0,"",IF(_xll.CbondsTradingVolume($B30,AH$4,VLOOKUP($E30,'Help Page'!$L:$P,3,0))="Нет данных",0,_xll.CbondsTradingVolume($B30,AH$4,VLOOKUP($E30,'Help Page'!$L:$P,3,0))))</f>
        <v/>
      </c>
      <c r="AI30" s="23" t="str">
        <f>IF($B30 = 0,"",IF(_xll.CbondsTradingVolume($B30,AI$4,VLOOKUP($E30,'Help Page'!$L:$P,3,0))="Нет данных",0,_xll.CbondsTradingVolume($B30,AI$4,VLOOKUP($E30,'Help Page'!$L:$P,3,0))))</f>
        <v/>
      </c>
      <c r="AJ30" s="171">
        <f>SUM(F30:AI30)*VLOOKUP($E30,'Help Page'!$L:$P,5,0)</f>
        <v>0</v>
      </c>
      <c r="AK30" s="76" t="str">
        <f>IF($B30 = 0,"",IF(_xll.CbondsDealsNumber($B30,AK$4,VLOOKUP($E30,'Help Page'!$L:$P,3,0))="Нет данных",0,_xll.CbondsDealsNumber($B30,AK$4,VLOOKUP($E30,'Help Page'!$L:$P,3,0))))</f>
        <v/>
      </c>
      <c r="AL30" s="76" t="str">
        <f>IF($B30 = 0,"",IF(_xll.CbondsDealsNumber($B30,AL$4,VLOOKUP($E30,'Help Page'!$L:$P,3,0))="Нет данных",0,_xll.CbondsDealsNumber($B30,AL$4,VLOOKUP($E30,'Help Page'!$L:$P,3,0))))</f>
        <v/>
      </c>
      <c r="AM30" s="76" t="str">
        <f>IF($B30 = 0,"",IF(_xll.CbondsDealsNumber($B30,AM$4,VLOOKUP($E30,'Help Page'!$L:$P,3,0))="Нет данных",0,_xll.CbondsDealsNumber($B30,AM$4,VLOOKUP($E30,'Help Page'!$L:$P,3,0))))</f>
        <v/>
      </c>
      <c r="AN30" s="76" t="str">
        <f>IF($B30 = 0,"",IF(_xll.CbondsDealsNumber($B30,AN$4,VLOOKUP($E30,'Help Page'!$L:$P,3,0))="Нет данных",0,_xll.CbondsDealsNumber($B30,AN$4,VLOOKUP($E30,'Help Page'!$L:$P,3,0))))</f>
        <v/>
      </c>
      <c r="AO30" s="76" t="str">
        <f>IF($B30 = 0,"",IF(_xll.CbondsDealsNumber($B30,AO$4,VLOOKUP($E30,'Help Page'!$L:$P,3,0))="Нет данных",0,_xll.CbondsDealsNumber($B30,AO$4,VLOOKUP($E30,'Help Page'!$L:$P,3,0))))</f>
        <v/>
      </c>
      <c r="AP30" s="76" t="str">
        <f>IF($B30 = 0,"",IF(_xll.CbondsDealsNumber($B30,AP$4,VLOOKUP($E30,'Help Page'!$L:$P,3,0))="Нет данных",0,_xll.CbondsDealsNumber($B30,AP$4,VLOOKUP($E30,'Help Page'!$L:$P,3,0))))</f>
        <v/>
      </c>
      <c r="AQ30" s="76" t="str">
        <f>IF($B30 = 0,"",IF(_xll.CbondsDealsNumber($B30,AQ$4,VLOOKUP($E30,'Help Page'!$L:$P,3,0))="Нет данных",0,_xll.CbondsDealsNumber($B30,AQ$4,VLOOKUP($E30,'Help Page'!$L:$P,3,0))))</f>
        <v/>
      </c>
      <c r="AR30" s="76" t="str">
        <f>IF($B30 = 0,"",IF(_xll.CbondsDealsNumber($B30,AR$4,VLOOKUP($E30,'Help Page'!$L:$P,3,0))="Нет данных",0,_xll.CbondsDealsNumber($B30,AR$4,VLOOKUP($E30,'Help Page'!$L:$P,3,0))))</f>
        <v/>
      </c>
      <c r="AS30" s="76" t="str">
        <f>IF($B30 = 0,"",IF(_xll.CbondsDealsNumber($B30,AS$4,VLOOKUP($E30,'Help Page'!$L:$P,3,0))="Нет данных",0,_xll.CbondsDealsNumber($B30,AS$4,VLOOKUP($E30,'Help Page'!$L:$P,3,0))))</f>
        <v/>
      </c>
      <c r="AT30" s="76" t="str">
        <f>IF($B30 = 0,"",IF(_xll.CbondsDealsNumber($B30,AT$4,VLOOKUP($E30,'Help Page'!$L:$P,3,0))="Нет данных",0,_xll.CbondsDealsNumber($B30,AT$4,VLOOKUP($E30,'Help Page'!$L:$P,3,0))))</f>
        <v/>
      </c>
      <c r="AU30" s="76" t="str">
        <f>IF($B30 = 0,"",IF(_xll.CbondsDealsNumber($B30,AU$4,VLOOKUP($E30,'Help Page'!$L:$P,3,0))="Нет данных",0,_xll.CbondsDealsNumber($B30,AU$4,VLOOKUP($E30,'Help Page'!$L:$P,3,0))))</f>
        <v/>
      </c>
      <c r="AV30" s="76" t="str">
        <f>IF($B30 = 0,"",IF(_xll.CbondsDealsNumber($B30,AV$4,VLOOKUP($E30,'Help Page'!$L:$P,3,0))="Нет данных",0,_xll.CbondsDealsNumber($B30,AV$4,VLOOKUP($E30,'Help Page'!$L:$P,3,0))))</f>
        <v/>
      </c>
      <c r="AW30" s="76" t="str">
        <f>IF($B30 = 0,"",IF(_xll.CbondsDealsNumber($B30,AW$4,VLOOKUP($E30,'Help Page'!$L:$P,3,0))="Нет данных",0,_xll.CbondsDealsNumber($B30,AW$4,VLOOKUP($E30,'Help Page'!$L:$P,3,0))))</f>
        <v/>
      </c>
      <c r="AX30" s="76" t="str">
        <f>IF($B30 = 0,"",IF(_xll.CbondsDealsNumber($B30,AX$4,VLOOKUP($E30,'Help Page'!$L:$P,3,0))="Нет данных",0,_xll.CbondsDealsNumber($B30,AX$4,VLOOKUP($E30,'Help Page'!$L:$P,3,0))))</f>
        <v/>
      </c>
      <c r="AY30" s="76" t="str">
        <f>IF($B30 = 0,"",IF(_xll.CbondsDealsNumber($B30,AY$4,VLOOKUP($E30,'Help Page'!$L:$P,3,0))="Нет данных",0,_xll.CbondsDealsNumber($B30,AY$4,VLOOKUP($E30,'Help Page'!$L:$P,3,0))))</f>
        <v/>
      </c>
      <c r="AZ30" s="76" t="str">
        <f>IF($B30 = 0,"",IF(_xll.CbondsDealsNumber($B30,AZ$4,VLOOKUP($E30,'Help Page'!$L:$P,3,0))="Нет данных",0,_xll.CbondsDealsNumber($B30,AZ$4,VLOOKUP($E30,'Help Page'!$L:$P,3,0))))</f>
        <v/>
      </c>
      <c r="BA30" s="76" t="str">
        <f>IF($B30 = 0,"",IF(_xll.CbondsDealsNumber($B30,BA$4,VLOOKUP($E30,'Help Page'!$L:$P,3,0))="Нет данных",0,_xll.CbondsDealsNumber($B30,BA$4,VLOOKUP($E30,'Help Page'!$L:$P,3,0))))</f>
        <v/>
      </c>
      <c r="BB30" s="76" t="str">
        <f>IF($B30 = 0,"",IF(_xll.CbondsDealsNumber($B30,BB$4,VLOOKUP($E30,'Help Page'!$L:$P,3,0))="Нет данных",0,_xll.CbondsDealsNumber($B30,BB$4,VLOOKUP($E30,'Help Page'!$L:$P,3,0))))</f>
        <v/>
      </c>
      <c r="BC30" s="76" t="str">
        <f>IF($B30 = 0,"",IF(_xll.CbondsDealsNumber($B30,BC$4,VLOOKUP($E30,'Help Page'!$L:$P,3,0))="Нет данных",0,_xll.CbondsDealsNumber($B30,BC$4,VLOOKUP($E30,'Help Page'!$L:$P,3,0))))</f>
        <v/>
      </c>
      <c r="BD30" s="76" t="str">
        <f>IF($B30 = 0,"",IF(_xll.CbondsDealsNumber($B30,BD$4,VLOOKUP($E30,'Help Page'!$L:$P,3,0))="Нет данных",0,_xll.CbondsDealsNumber($B30,BD$4,VLOOKUP($E30,'Help Page'!$L:$P,3,0))))</f>
        <v/>
      </c>
      <c r="BE30" s="76" t="str">
        <f>IF($B30 = 0,"",IF(_xll.CbondsDealsNumber($B30,BE$4,VLOOKUP($E30,'Help Page'!$L:$P,3,0))="Нет данных",0,_xll.CbondsDealsNumber($B30,BE$4,VLOOKUP($E30,'Help Page'!$L:$P,3,0))))</f>
        <v/>
      </c>
      <c r="BF30" s="76" t="str">
        <f>IF($B30 = 0,"",IF(_xll.CbondsDealsNumber($B30,BF$4,VLOOKUP($E30,'Help Page'!$L:$P,3,0))="Нет данных",0,_xll.CbondsDealsNumber($B30,BF$4,VLOOKUP($E30,'Help Page'!$L:$P,3,0))))</f>
        <v/>
      </c>
      <c r="BG30" s="76" t="str">
        <f>IF($B30 = 0,"",IF(_xll.CbondsDealsNumber($B30,BG$4,VLOOKUP($E30,'Help Page'!$L:$P,3,0))="Нет данных",0,_xll.CbondsDealsNumber($B30,BG$4,VLOOKUP($E30,'Help Page'!$L:$P,3,0))))</f>
        <v/>
      </c>
      <c r="BH30" s="76" t="str">
        <f>IF($B30 = 0,"",IF(_xll.CbondsDealsNumber($B30,BH$4,VLOOKUP($E30,'Help Page'!$L:$P,3,0))="Нет данных",0,_xll.CbondsDealsNumber($B30,BH$4,VLOOKUP($E30,'Help Page'!$L:$P,3,0))))</f>
        <v/>
      </c>
      <c r="BI30" s="76" t="str">
        <f>IF($B30 = 0,"",IF(_xll.CbondsDealsNumber($B30,BI$4,VLOOKUP($E30,'Help Page'!$L:$P,3,0))="Нет данных",0,_xll.CbondsDealsNumber($B30,BI$4,VLOOKUP($E30,'Help Page'!$L:$P,3,0))))</f>
        <v/>
      </c>
      <c r="BJ30" s="76" t="str">
        <f>IF($B30 = 0,"",IF(_xll.CbondsDealsNumber($B30,BJ$4,VLOOKUP($E30,'Help Page'!$L:$P,3,0))="Нет данных",0,_xll.CbondsDealsNumber($B30,BJ$4,VLOOKUP($E30,'Help Page'!$L:$P,3,0))))</f>
        <v/>
      </c>
      <c r="BK30" s="76" t="str">
        <f>IF($B30 = 0,"",IF(_xll.CbondsDealsNumber($B30,BK$4,VLOOKUP($E30,'Help Page'!$L:$P,3,0))="Нет данных",0,_xll.CbondsDealsNumber($B30,BK$4,VLOOKUP($E30,'Help Page'!$L:$P,3,0))))</f>
        <v/>
      </c>
      <c r="BL30" s="76" t="str">
        <f>IF($B30 = 0,"",IF(_xll.CbondsDealsNumber($B30,BL$4,VLOOKUP($E30,'Help Page'!$L:$P,3,0))="Нет данных",0,_xll.CbondsDealsNumber($B30,BL$4,VLOOKUP($E30,'Help Page'!$L:$P,3,0))))</f>
        <v/>
      </c>
      <c r="BM30" s="76" t="str">
        <f>IF($B30 = 0,"",IF(_xll.CbondsDealsNumber($B30,BM$4,VLOOKUP($E30,'Help Page'!$L:$P,3,0))="Нет данных",0,_xll.CbondsDealsNumber($B30,BM$4,VLOOKUP($E30,'Help Page'!$L:$P,3,0))))</f>
        <v/>
      </c>
      <c r="BN30" s="76" t="str">
        <f>IF($B30 = 0,"",IF(_xll.CbondsDealsNumber($B30,BN$4,VLOOKUP($E30,'Help Page'!$L:$P,3,0))="Нет данных",0,_xll.CbondsDealsNumber($B30,BN$4,VLOOKUP($E30,'Help Page'!$L:$P,3,0))))</f>
        <v/>
      </c>
      <c r="BO30" s="156">
        <f t="shared" ref="BO30:BO32" si="12">SUM(AK30:BN30)</f>
        <v>0</v>
      </c>
      <c r="BP30" s="156">
        <f>COUNTIF(AK30:BN30, "&gt;0")</f>
        <v>0</v>
      </c>
    </row>
    <row r="31" spans="1:68" x14ac:dyDescent="0.3">
      <c r="A31" s="18">
        <v>5</v>
      </c>
      <c r="B31" s="143">
        <f>Calculation!$J$30</f>
        <v>0</v>
      </c>
      <c r="C31" s="143" t="str">
        <f>IF($B31 = 0,"",_xll.CbondsCurrency(B31))</f>
        <v/>
      </c>
      <c r="D31" s="148" t="str">
        <f>IF($B31 = 0,"",_xll.ReferenceParams(B31,"SumMarketVal"))</f>
        <v/>
      </c>
      <c r="E31" s="143" t="s">
        <v>2078</v>
      </c>
      <c r="F31" s="23" t="str">
        <f>IF($B31 = 0,"",IF(_xll.CbondsTradingVolume($B31,F$4,VLOOKUP($E31,'Help Page'!$L:$P,3,0))="Нет данных",0,_xll.CbondsTradingVolume($B31,F$4,VLOOKUP($E31,'Help Page'!$L:$P,3,0))))</f>
        <v/>
      </c>
      <c r="G31" s="23" t="str">
        <f>IF($B31 = 0,"",IF(_xll.CbondsTradingVolume($B31,G$4,VLOOKUP($E31,'Help Page'!$L:$P,3,0))="Нет данных",0,_xll.CbondsTradingVolume($B31,G$4,VLOOKUP($E31,'Help Page'!$L:$P,3,0))))</f>
        <v/>
      </c>
      <c r="H31" s="23" t="str">
        <f>IF($B31 = 0,"",IF(_xll.CbondsTradingVolume($B31,H$4,VLOOKUP($E31,'Help Page'!$L:$P,3,0))="Нет данных",0,_xll.CbondsTradingVolume($B31,H$4,VLOOKUP($E31,'Help Page'!$L:$P,3,0))))</f>
        <v/>
      </c>
      <c r="I31" s="23" t="str">
        <f>IF($B31 = 0,"",IF(_xll.CbondsTradingVolume($B31,I$4,VLOOKUP($E31,'Help Page'!$L:$P,3,0))="Нет данных",0,_xll.CbondsTradingVolume($B31,I$4,VLOOKUP($E31,'Help Page'!$L:$P,3,0))))</f>
        <v/>
      </c>
      <c r="J31" s="23" t="str">
        <f>IF($B31 = 0,"",IF(_xll.CbondsTradingVolume($B31,J$4,VLOOKUP($E31,'Help Page'!$L:$P,3,0))="Нет данных",0,_xll.CbondsTradingVolume($B31,J$4,VLOOKUP($E31,'Help Page'!$L:$P,3,0))))</f>
        <v/>
      </c>
      <c r="K31" s="23" t="str">
        <f>IF($B31 = 0,"",IF(_xll.CbondsTradingVolume($B31,K$4,VLOOKUP($E31,'Help Page'!$L:$P,3,0))="Нет данных",0,_xll.CbondsTradingVolume($B31,K$4,VLOOKUP($E31,'Help Page'!$L:$P,3,0))))</f>
        <v/>
      </c>
      <c r="L31" s="23" t="str">
        <f>IF($B31 = 0,"",IF(_xll.CbondsTradingVolume($B31,L$4,VLOOKUP($E31,'Help Page'!$L:$P,3,0))="Нет данных",0,_xll.CbondsTradingVolume($B31,L$4,VLOOKUP($E31,'Help Page'!$L:$P,3,0))))</f>
        <v/>
      </c>
      <c r="M31" s="23" t="str">
        <f>IF($B31 = 0,"",IF(_xll.CbondsTradingVolume($B31,M$4,VLOOKUP($E31,'Help Page'!$L:$P,3,0))="Нет данных",0,_xll.CbondsTradingVolume($B31,M$4,VLOOKUP($E31,'Help Page'!$L:$P,3,0))))</f>
        <v/>
      </c>
      <c r="N31" s="23" t="str">
        <f>IF($B31 = 0,"",IF(_xll.CbondsTradingVolume($B31,N$4,VLOOKUP($E31,'Help Page'!$L:$P,3,0))="Нет данных",0,_xll.CbondsTradingVolume($B31,N$4,VLOOKUP($E31,'Help Page'!$L:$P,3,0))))</f>
        <v/>
      </c>
      <c r="O31" s="23" t="str">
        <f>IF($B31 = 0,"",IF(_xll.CbondsTradingVolume($B31,O$4,VLOOKUP($E31,'Help Page'!$L:$P,3,0))="Нет данных",0,_xll.CbondsTradingVolume($B31,O$4,VLOOKUP($E31,'Help Page'!$L:$P,3,0))))</f>
        <v/>
      </c>
      <c r="P31" s="23" t="str">
        <f>IF($B31 = 0,"",IF(_xll.CbondsTradingVolume($B31,P$4,VLOOKUP($E31,'Help Page'!$L:$P,3,0))="Нет данных",0,_xll.CbondsTradingVolume($B31,P$4,VLOOKUP($E31,'Help Page'!$L:$P,3,0))))</f>
        <v/>
      </c>
      <c r="Q31" s="23" t="str">
        <f>IF($B31 = 0,"",IF(_xll.CbondsTradingVolume($B31,Q$4,VLOOKUP($E31,'Help Page'!$L:$P,3,0))="Нет данных",0,_xll.CbondsTradingVolume($B31,Q$4,VLOOKUP($E31,'Help Page'!$L:$P,3,0))))</f>
        <v/>
      </c>
      <c r="R31" s="23" t="str">
        <f>IF($B31 = 0,"",IF(_xll.CbondsTradingVolume($B31,R$4,VLOOKUP($E31,'Help Page'!$L:$P,3,0))="Нет данных",0,_xll.CbondsTradingVolume($B31,R$4,VLOOKUP($E31,'Help Page'!$L:$P,3,0))))</f>
        <v/>
      </c>
      <c r="S31" s="23" t="str">
        <f>IF($B31 = 0,"",IF(_xll.CbondsTradingVolume($B31,S$4,VLOOKUP($E31,'Help Page'!$L:$P,3,0))="Нет данных",0,_xll.CbondsTradingVolume($B31,S$4,VLOOKUP($E31,'Help Page'!$L:$P,3,0))))</f>
        <v/>
      </c>
      <c r="T31" s="23" t="str">
        <f>IF($B31 = 0,"",IF(_xll.CbondsTradingVolume($B31,T$4,VLOOKUP($E31,'Help Page'!$L:$P,3,0))="Нет данных",0,_xll.CbondsTradingVolume($B31,T$4,VLOOKUP($E31,'Help Page'!$L:$P,3,0))))</f>
        <v/>
      </c>
      <c r="U31" s="23" t="str">
        <f>IF($B31 = 0,"",IF(_xll.CbondsTradingVolume($B31,U$4,VLOOKUP($E31,'Help Page'!$L:$P,3,0))="Нет данных",0,_xll.CbondsTradingVolume($B31,U$4,VLOOKUP($E31,'Help Page'!$L:$P,3,0))))</f>
        <v/>
      </c>
      <c r="V31" s="23" t="str">
        <f>IF($B31 = 0,"",IF(_xll.CbondsTradingVolume($B31,V$4,VLOOKUP($E31,'Help Page'!$L:$P,3,0))="Нет данных",0,_xll.CbondsTradingVolume($B31,V$4,VLOOKUP($E31,'Help Page'!$L:$P,3,0))))</f>
        <v/>
      </c>
      <c r="W31" s="23" t="str">
        <f>IF($B31 = 0,"",IF(_xll.CbondsTradingVolume($B31,W$4,VLOOKUP($E31,'Help Page'!$L:$P,3,0))="Нет данных",0,_xll.CbondsTradingVolume($B31,W$4,VLOOKUP($E31,'Help Page'!$L:$P,3,0))))</f>
        <v/>
      </c>
      <c r="X31" s="23" t="str">
        <f>IF($B31 = 0,"",IF(_xll.CbondsTradingVolume($B31,X$4,VLOOKUP($E31,'Help Page'!$L:$P,3,0))="Нет данных",0,_xll.CbondsTradingVolume($B31,X$4,VLOOKUP($E31,'Help Page'!$L:$P,3,0))))</f>
        <v/>
      </c>
      <c r="Y31" s="23" t="str">
        <f>IF($B31 = 0,"",IF(_xll.CbondsTradingVolume($B31,Y$4,VLOOKUP($E31,'Help Page'!$L:$P,3,0))="Нет данных",0,_xll.CbondsTradingVolume($B31,Y$4,VLOOKUP($E31,'Help Page'!$L:$P,3,0))))</f>
        <v/>
      </c>
      <c r="Z31" s="23" t="str">
        <f>IF($B31 = 0,"",IF(_xll.CbondsTradingVolume($B31,Z$4,VLOOKUP($E31,'Help Page'!$L:$P,3,0))="Нет данных",0,_xll.CbondsTradingVolume($B31,Z$4,VLOOKUP($E31,'Help Page'!$L:$P,3,0))))</f>
        <v/>
      </c>
      <c r="AA31" s="23" t="str">
        <f>IF($B31 = 0,"",IF(_xll.CbondsTradingVolume($B31,AA$4,VLOOKUP($E31,'Help Page'!$L:$P,3,0))="Нет данных",0,_xll.CbondsTradingVolume($B31,AA$4,VLOOKUP($E31,'Help Page'!$L:$P,3,0))))</f>
        <v/>
      </c>
      <c r="AB31" s="23" t="str">
        <f>IF($B31 = 0,"",IF(_xll.CbondsTradingVolume($B31,AB$4,VLOOKUP($E31,'Help Page'!$L:$P,3,0))="Нет данных",0,_xll.CbondsTradingVolume($B31,AB$4,VLOOKUP($E31,'Help Page'!$L:$P,3,0))))</f>
        <v/>
      </c>
      <c r="AC31" s="23" t="str">
        <f>IF($B31 = 0,"",IF(_xll.CbondsTradingVolume($B31,AC$4,VLOOKUP($E31,'Help Page'!$L:$P,3,0))="Нет данных",0,_xll.CbondsTradingVolume($B31,AC$4,VLOOKUP($E31,'Help Page'!$L:$P,3,0))))</f>
        <v/>
      </c>
      <c r="AD31" s="23" t="str">
        <f>IF($B31 = 0,"",IF(_xll.CbondsTradingVolume($B31,AD$4,VLOOKUP($E31,'Help Page'!$L:$P,3,0))="Нет данных",0,_xll.CbondsTradingVolume($B31,AD$4,VLOOKUP($E31,'Help Page'!$L:$P,3,0))))</f>
        <v/>
      </c>
      <c r="AE31" s="23" t="str">
        <f>IF($B31 = 0,"",IF(_xll.CbondsTradingVolume($B31,AE$4,VLOOKUP($E31,'Help Page'!$L:$P,3,0))="Нет данных",0,_xll.CbondsTradingVolume($B31,AE$4,VLOOKUP($E31,'Help Page'!$L:$P,3,0))))</f>
        <v/>
      </c>
      <c r="AF31" s="23" t="str">
        <f>IF($B31 = 0,"",IF(_xll.CbondsTradingVolume($B31,AF$4,VLOOKUP($E31,'Help Page'!$L:$P,3,0))="Нет данных",0,_xll.CbondsTradingVolume($B31,AF$4,VLOOKUP($E31,'Help Page'!$L:$P,3,0))))</f>
        <v/>
      </c>
      <c r="AG31" s="23" t="str">
        <f>IF($B31 = 0,"",IF(_xll.CbondsTradingVolume($B31,AG$4,VLOOKUP($E31,'Help Page'!$L:$P,3,0))="Нет данных",0,_xll.CbondsTradingVolume($B31,AG$4,VLOOKUP($E31,'Help Page'!$L:$P,3,0))))</f>
        <v/>
      </c>
      <c r="AH31" s="23" t="str">
        <f>IF($B31 = 0,"",IF(_xll.CbondsTradingVolume($B31,AH$4,VLOOKUP($E31,'Help Page'!$L:$P,3,0))="Нет данных",0,_xll.CbondsTradingVolume($B31,AH$4,VLOOKUP($E31,'Help Page'!$L:$P,3,0))))</f>
        <v/>
      </c>
      <c r="AI31" s="23" t="str">
        <f>IF($B31 = 0,"",IF(_xll.CbondsTradingVolume($B31,AI$4,VLOOKUP($E31,'Help Page'!$L:$P,3,0))="Нет данных",0,_xll.CbondsTradingVolume($B31,AI$4,VLOOKUP($E31,'Help Page'!$L:$P,3,0))))</f>
        <v/>
      </c>
      <c r="AJ31" s="171">
        <f>SUM(F31:AI31)*VLOOKUP($E31,'Help Page'!$L:$P,5,0)</f>
        <v>0</v>
      </c>
      <c r="AK31" s="76" t="str">
        <f>IF($B31 = 0,"",IF(_xll.CbondsDealsNumber($B31,AK$4,VLOOKUP($E31,'Help Page'!$L:$P,3,0))="Нет данных",0,_xll.CbondsDealsNumber($B31,AK$4,VLOOKUP($E31,'Help Page'!$L:$P,3,0))))</f>
        <v/>
      </c>
      <c r="AL31" s="76" t="str">
        <f>IF($B31 = 0,"",IF(_xll.CbondsDealsNumber($B31,AL$4,VLOOKUP($E31,'Help Page'!$L:$P,3,0))="Нет данных",0,_xll.CbondsDealsNumber($B31,AL$4,VLOOKUP($E31,'Help Page'!$L:$P,3,0))))</f>
        <v/>
      </c>
      <c r="AM31" s="76" t="str">
        <f>IF($B31 = 0,"",IF(_xll.CbondsDealsNumber($B31,AM$4,VLOOKUP($E31,'Help Page'!$L:$P,3,0))="Нет данных",0,_xll.CbondsDealsNumber($B31,AM$4,VLOOKUP($E31,'Help Page'!$L:$P,3,0))))</f>
        <v/>
      </c>
      <c r="AN31" s="76" t="str">
        <f>IF($B31 = 0,"",IF(_xll.CbondsDealsNumber($B31,AN$4,VLOOKUP($E31,'Help Page'!$L:$P,3,0))="Нет данных",0,_xll.CbondsDealsNumber($B31,AN$4,VLOOKUP($E31,'Help Page'!$L:$P,3,0))))</f>
        <v/>
      </c>
      <c r="AO31" s="76" t="str">
        <f>IF($B31 = 0,"",IF(_xll.CbondsDealsNumber($B31,AO$4,VLOOKUP($E31,'Help Page'!$L:$P,3,0))="Нет данных",0,_xll.CbondsDealsNumber($B31,AO$4,VLOOKUP($E31,'Help Page'!$L:$P,3,0))))</f>
        <v/>
      </c>
      <c r="AP31" s="76" t="str">
        <f>IF($B31 = 0,"",IF(_xll.CbondsDealsNumber($B31,AP$4,VLOOKUP($E31,'Help Page'!$L:$P,3,0))="Нет данных",0,_xll.CbondsDealsNumber($B31,AP$4,VLOOKUP($E31,'Help Page'!$L:$P,3,0))))</f>
        <v/>
      </c>
      <c r="AQ31" s="76" t="str">
        <f>IF($B31 = 0,"",IF(_xll.CbondsDealsNumber($B31,AQ$4,VLOOKUP($E31,'Help Page'!$L:$P,3,0))="Нет данных",0,_xll.CbondsDealsNumber($B31,AQ$4,VLOOKUP($E31,'Help Page'!$L:$P,3,0))))</f>
        <v/>
      </c>
      <c r="AR31" s="76" t="str">
        <f>IF($B31 = 0,"",IF(_xll.CbondsDealsNumber($B31,AR$4,VLOOKUP($E31,'Help Page'!$L:$P,3,0))="Нет данных",0,_xll.CbondsDealsNumber($B31,AR$4,VLOOKUP($E31,'Help Page'!$L:$P,3,0))))</f>
        <v/>
      </c>
      <c r="AS31" s="76" t="str">
        <f>IF($B31 = 0,"",IF(_xll.CbondsDealsNumber($B31,AS$4,VLOOKUP($E31,'Help Page'!$L:$P,3,0))="Нет данных",0,_xll.CbondsDealsNumber($B31,AS$4,VLOOKUP($E31,'Help Page'!$L:$P,3,0))))</f>
        <v/>
      </c>
      <c r="AT31" s="76" t="str">
        <f>IF($B31 = 0,"",IF(_xll.CbondsDealsNumber($B31,AT$4,VLOOKUP($E31,'Help Page'!$L:$P,3,0))="Нет данных",0,_xll.CbondsDealsNumber($B31,AT$4,VLOOKUP($E31,'Help Page'!$L:$P,3,0))))</f>
        <v/>
      </c>
      <c r="AU31" s="76" t="str">
        <f>IF($B31 = 0,"",IF(_xll.CbondsDealsNumber($B31,AU$4,VLOOKUP($E31,'Help Page'!$L:$P,3,0))="Нет данных",0,_xll.CbondsDealsNumber($B31,AU$4,VLOOKUP($E31,'Help Page'!$L:$P,3,0))))</f>
        <v/>
      </c>
      <c r="AV31" s="76" t="str">
        <f>IF($B31 = 0,"",IF(_xll.CbondsDealsNumber($B31,AV$4,VLOOKUP($E31,'Help Page'!$L:$P,3,0))="Нет данных",0,_xll.CbondsDealsNumber($B31,AV$4,VLOOKUP($E31,'Help Page'!$L:$P,3,0))))</f>
        <v/>
      </c>
      <c r="AW31" s="76" t="str">
        <f>IF($B31 = 0,"",IF(_xll.CbondsDealsNumber($B31,AW$4,VLOOKUP($E31,'Help Page'!$L:$P,3,0))="Нет данных",0,_xll.CbondsDealsNumber($B31,AW$4,VLOOKUP($E31,'Help Page'!$L:$P,3,0))))</f>
        <v/>
      </c>
      <c r="AX31" s="76" t="str">
        <f>IF($B31 = 0,"",IF(_xll.CbondsDealsNumber($B31,AX$4,VLOOKUP($E31,'Help Page'!$L:$P,3,0))="Нет данных",0,_xll.CbondsDealsNumber($B31,AX$4,VLOOKUP($E31,'Help Page'!$L:$P,3,0))))</f>
        <v/>
      </c>
      <c r="AY31" s="76" t="str">
        <f>IF($B31 = 0,"",IF(_xll.CbondsDealsNumber($B31,AY$4,VLOOKUP($E31,'Help Page'!$L:$P,3,0))="Нет данных",0,_xll.CbondsDealsNumber($B31,AY$4,VLOOKUP($E31,'Help Page'!$L:$P,3,0))))</f>
        <v/>
      </c>
      <c r="AZ31" s="76" t="str">
        <f>IF($B31 = 0,"",IF(_xll.CbondsDealsNumber($B31,AZ$4,VLOOKUP($E31,'Help Page'!$L:$P,3,0))="Нет данных",0,_xll.CbondsDealsNumber($B31,AZ$4,VLOOKUP($E31,'Help Page'!$L:$P,3,0))))</f>
        <v/>
      </c>
      <c r="BA31" s="76" t="str">
        <f>IF($B31 = 0,"",IF(_xll.CbondsDealsNumber($B31,BA$4,VLOOKUP($E31,'Help Page'!$L:$P,3,0))="Нет данных",0,_xll.CbondsDealsNumber($B31,BA$4,VLOOKUP($E31,'Help Page'!$L:$P,3,0))))</f>
        <v/>
      </c>
      <c r="BB31" s="76" t="str">
        <f>IF($B31 = 0,"",IF(_xll.CbondsDealsNumber($B31,BB$4,VLOOKUP($E31,'Help Page'!$L:$P,3,0))="Нет данных",0,_xll.CbondsDealsNumber($B31,BB$4,VLOOKUP($E31,'Help Page'!$L:$P,3,0))))</f>
        <v/>
      </c>
      <c r="BC31" s="76" t="str">
        <f>IF($B31 = 0,"",IF(_xll.CbondsDealsNumber($B31,BC$4,VLOOKUP($E31,'Help Page'!$L:$P,3,0))="Нет данных",0,_xll.CbondsDealsNumber($B31,BC$4,VLOOKUP($E31,'Help Page'!$L:$P,3,0))))</f>
        <v/>
      </c>
      <c r="BD31" s="76" t="str">
        <f>IF($B31 = 0,"",IF(_xll.CbondsDealsNumber($B31,BD$4,VLOOKUP($E31,'Help Page'!$L:$P,3,0))="Нет данных",0,_xll.CbondsDealsNumber($B31,BD$4,VLOOKUP($E31,'Help Page'!$L:$P,3,0))))</f>
        <v/>
      </c>
      <c r="BE31" s="76" t="str">
        <f>IF($B31 = 0,"",IF(_xll.CbondsDealsNumber($B31,BE$4,VLOOKUP($E31,'Help Page'!$L:$P,3,0))="Нет данных",0,_xll.CbondsDealsNumber($B31,BE$4,VLOOKUP($E31,'Help Page'!$L:$P,3,0))))</f>
        <v/>
      </c>
      <c r="BF31" s="76" t="str">
        <f>IF($B31 = 0,"",IF(_xll.CbondsDealsNumber($B31,BF$4,VLOOKUP($E31,'Help Page'!$L:$P,3,0))="Нет данных",0,_xll.CbondsDealsNumber($B31,BF$4,VLOOKUP($E31,'Help Page'!$L:$P,3,0))))</f>
        <v/>
      </c>
      <c r="BG31" s="76" t="str">
        <f>IF($B31 = 0,"",IF(_xll.CbondsDealsNumber($B31,BG$4,VLOOKUP($E31,'Help Page'!$L:$P,3,0))="Нет данных",0,_xll.CbondsDealsNumber($B31,BG$4,VLOOKUP($E31,'Help Page'!$L:$P,3,0))))</f>
        <v/>
      </c>
      <c r="BH31" s="76" t="str">
        <f>IF($B31 = 0,"",IF(_xll.CbondsDealsNumber($B31,BH$4,VLOOKUP($E31,'Help Page'!$L:$P,3,0))="Нет данных",0,_xll.CbondsDealsNumber($B31,BH$4,VLOOKUP($E31,'Help Page'!$L:$P,3,0))))</f>
        <v/>
      </c>
      <c r="BI31" s="76" t="str">
        <f>IF($B31 = 0,"",IF(_xll.CbondsDealsNumber($B31,BI$4,VLOOKUP($E31,'Help Page'!$L:$P,3,0))="Нет данных",0,_xll.CbondsDealsNumber($B31,BI$4,VLOOKUP($E31,'Help Page'!$L:$P,3,0))))</f>
        <v/>
      </c>
      <c r="BJ31" s="76" t="str">
        <f>IF($B31 = 0,"",IF(_xll.CbondsDealsNumber($B31,BJ$4,VLOOKUP($E31,'Help Page'!$L:$P,3,0))="Нет данных",0,_xll.CbondsDealsNumber($B31,BJ$4,VLOOKUP($E31,'Help Page'!$L:$P,3,0))))</f>
        <v/>
      </c>
      <c r="BK31" s="76" t="str">
        <f>IF($B31 = 0,"",IF(_xll.CbondsDealsNumber($B31,BK$4,VLOOKUP($E31,'Help Page'!$L:$P,3,0))="Нет данных",0,_xll.CbondsDealsNumber($B31,BK$4,VLOOKUP($E31,'Help Page'!$L:$P,3,0))))</f>
        <v/>
      </c>
      <c r="BL31" s="76" t="str">
        <f>IF($B31 = 0,"",IF(_xll.CbondsDealsNumber($B31,BL$4,VLOOKUP($E31,'Help Page'!$L:$P,3,0))="Нет данных",0,_xll.CbondsDealsNumber($B31,BL$4,VLOOKUP($E31,'Help Page'!$L:$P,3,0))))</f>
        <v/>
      </c>
      <c r="BM31" s="76" t="str">
        <f>IF($B31 = 0,"",IF(_xll.CbondsDealsNumber($B31,BM$4,VLOOKUP($E31,'Help Page'!$L:$P,3,0))="Нет данных",0,_xll.CbondsDealsNumber($B31,BM$4,VLOOKUP($E31,'Help Page'!$L:$P,3,0))))</f>
        <v/>
      </c>
      <c r="BN31" s="76" t="str">
        <f>IF($B31 = 0,"",IF(_xll.CbondsDealsNumber($B31,BN$4,VLOOKUP($E31,'Help Page'!$L:$P,3,0))="Нет данных",0,_xll.CbondsDealsNumber($B31,BN$4,VLOOKUP($E31,'Help Page'!$L:$P,3,0))))</f>
        <v/>
      </c>
      <c r="BO31" s="156">
        <f t="shared" si="12"/>
        <v>0</v>
      </c>
      <c r="BP31" s="156">
        <f t="shared" ref="BP31" si="13">COUNTIF(AK31:BN31, "&gt;0")</f>
        <v>0</v>
      </c>
    </row>
    <row r="32" spans="1:68" x14ac:dyDescent="0.3">
      <c r="A32" s="18">
        <v>5</v>
      </c>
      <c r="B32" s="143">
        <f>Calculation!$J$30</f>
        <v>0</v>
      </c>
      <c r="C32" s="143" t="str">
        <f>IF($B32 = 0,"",_xll.CbondsCurrency(B32))</f>
        <v/>
      </c>
      <c r="D32" s="148" t="str">
        <f>IF($B32 = 0,"",_xll.ReferenceParams(B32,"SumMarketVal"))</f>
        <v/>
      </c>
      <c r="E32" s="143" t="s">
        <v>2079</v>
      </c>
      <c r="F32" s="23" t="str">
        <f>IF($B32 = 0,"",IF(_xll.CbondsTradingVolume($B32,F$4,VLOOKUP($E32,'Help Page'!$L:$P,3,0))="Нет данных",0,_xll.CbondsTradingVolume($B32,F$4,VLOOKUP($E32,'Help Page'!$L:$P,3,0))))</f>
        <v/>
      </c>
      <c r="G32" s="23" t="str">
        <f>IF($B32 = 0,"",IF(_xll.CbondsTradingVolume($B32,G$4,VLOOKUP($E32,'Help Page'!$L:$P,3,0))="Нет данных",0,_xll.CbondsTradingVolume($B32,G$4,VLOOKUP($E32,'Help Page'!$L:$P,3,0))))</f>
        <v/>
      </c>
      <c r="H32" s="23" t="str">
        <f>IF($B32 = 0,"",IF(_xll.CbondsTradingVolume($B32,H$4,VLOOKUP($E32,'Help Page'!$L:$P,3,0))="Нет данных",0,_xll.CbondsTradingVolume($B32,H$4,VLOOKUP($E32,'Help Page'!$L:$P,3,0))))</f>
        <v/>
      </c>
      <c r="I32" s="23" t="str">
        <f>IF($B32 = 0,"",IF(_xll.CbondsTradingVolume($B32,I$4,VLOOKUP($E32,'Help Page'!$L:$P,3,0))="Нет данных",0,_xll.CbondsTradingVolume($B32,I$4,VLOOKUP($E32,'Help Page'!$L:$P,3,0))))</f>
        <v/>
      </c>
      <c r="J32" s="23" t="str">
        <f>IF($B32 = 0,"",IF(_xll.CbondsTradingVolume($B32,J$4,VLOOKUP($E32,'Help Page'!$L:$P,3,0))="Нет данных",0,_xll.CbondsTradingVolume($B32,J$4,VLOOKUP($E32,'Help Page'!$L:$P,3,0))))</f>
        <v/>
      </c>
      <c r="K32" s="23" t="str">
        <f>IF($B32 = 0,"",IF(_xll.CbondsTradingVolume($B32,K$4,VLOOKUP($E32,'Help Page'!$L:$P,3,0))="Нет данных",0,_xll.CbondsTradingVolume($B32,K$4,VLOOKUP($E32,'Help Page'!$L:$P,3,0))))</f>
        <v/>
      </c>
      <c r="L32" s="23" t="str">
        <f>IF($B32 = 0,"",IF(_xll.CbondsTradingVolume($B32,L$4,VLOOKUP($E32,'Help Page'!$L:$P,3,0))="Нет данных",0,_xll.CbondsTradingVolume($B32,L$4,VLOOKUP($E32,'Help Page'!$L:$P,3,0))))</f>
        <v/>
      </c>
      <c r="M32" s="23" t="str">
        <f>IF($B32 = 0,"",IF(_xll.CbondsTradingVolume($B32,M$4,VLOOKUP($E32,'Help Page'!$L:$P,3,0))="Нет данных",0,_xll.CbondsTradingVolume($B32,M$4,VLOOKUP($E32,'Help Page'!$L:$P,3,0))))</f>
        <v/>
      </c>
      <c r="N32" s="23" t="str">
        <f>IF($B32 = 0,"",IF(_xll.CbondsTradingVolume($B32,N$4,VLOOKUP($E32,'Help Page'!$L:$P,3,0))="Нет данных",0,_xll.CbondsTradingVolume($B32,N$4,VLOOKUP($E32,'Help Page'!$L:$P,3,0))))</f>
        <v/>
      </c>
      <c r="O32" s="23" t="str">
        <f>IF($B32 = 0,"",IF(_xll.CbondsTradingVolume($B32,O$4,VLOOKUP($E32,'Help Page'!$L:$P,3,0))="Нет данных",0,_xll.CbondsTradingVolume($B32,O$4,VLOOKUP($E32,'Help Page'!$L:$P,3,0))))</f>
        <v/>
      </c>
      <c r="P32" s="23" t="str">
        <f>IF($B32 = 0,"",IF(_xll.CbondsTradingVolume($B32,P$4,VLOOKUP($E32,'Help Page'!$L:$P,3,0))="Нет данных",0,_xll.CbondsTradingVolume($B32,P$4,VLOOKUP($E32,'Help Page'!$L:$P,3,0))))</f>
        <v/>
      </c>
      <c r="Q32" s="23" t="str">
        <f>IF($B32 = 0,"",IF(_xll.CbondsTradingVolume($B32,Q$4,VLOOKUP($E32,'Help Page'!$L:$P,3,0))="Нет данных",0,_xll.CbondsTradingVolume($B32,Q$4,VLOOKUP($E32,'Help Page'!$L:$P,3,0))))</f>
        <v/>
      </c>
      <c r="R32" s="23" t="str">
        <f>IF($B32 = 0,"",IF(_xll.CbondsTradingVolume($B32,R$4,VLOOKUP($E32,'Help Page'!$L:$P,3,0))="Нет данных",0,_xll.CbondsTradingVolume($B32,R$4,VLOOKUP($E32,'Help Page'!$L:$P,3,0))))</f>
        <v/>
      </c>
      <c r="S32" s="23" t="str">
        <f>IF($B32 = 0,"",IF(_xll.CbondsTradingVolume($B32,S$4,VLOOKUP($E32,'Help Page'!$L:$P,3,0))="Нет данных",0,_xll.CbondsTradingVolume($B32,S$4,VLOOKUP($E32,'Help Page'!$L:$P,3,0))))</f>
        <v/>
      </c>
      <c r="T32" s="23" t="str">
        <f>IF($B32 = 0,"",IF(_xll.CbondsTradingVolume($B32,T$4,VLOOKUP($E32,'Help Page'!$L:$P,3,0))="Нет данных",0,_xll.CbondsTradingVolume($B32,T$4,VLOOKUP($E32,'Help Page'!$L:$P,3,0))))</f>
        <v/>
      </c>
      <c r="U32" s="23" t="str">
        <f>IF($B32 = 0,"",IF(_xll.CbondsTradingVolume($B32,U$4,VLOOKUP($E32,'Help Page'!$L:$P,3,0))="Нет данных",0,_xll.CbondsTradingVolume($B32,U$4,VLOOKUP($E32,'Help Page'!$L:$P,3,0))))</f>
        <v/>
      </c>
      <c r="V32" s="23" t="str">
        <f>IF($B32 = 0,"",IF(_xll.CbondsTradingVolume($B32,V$4,VLOOKUP($E32,'Help Page'!$L:$P,3,0))="Нет данных",0,_xll.CbondsTradingVolume($B32,V$4,VLOOKUP($E32,'Help Page'!$L:$P,3,0))))</f>
        <v/>
      </c>
      <c r="W32" s="23" t="str">
        <f>IF($B32 = 0,"",IF(_xll.CbondsTradingVolume($B32,W$4,VLOOKUP($E32,'Help Page'!$L:$P,3,0))="Нет данных",0,_xll.CbondsTradingVolume($B32,W$4,VLOOKUP($E32,'Help Page'!$L:$P,3,0))))</f>
        <v/>
      </c>
      <c r="X32" s="23" t="str">
        <f>IF($B32 = 0,"",IF(_xll.CbondsTradingVolume($B32,X$4,VLOOKUP($E32,'Help Page'!$L:$P,3,0))="Нет данных",0,_xll.CbondsTradingVolume($B32,X$4,VLOOKUP($E32,'Help Page'!$L:$P,3,0))))</f>
        <v/>
      </c>
      <c r="Y32" s="23" t="str">
        <f>IF($B32 = 0,"",IF(_xll.CbondsTradingVolume($B32,Y$4,VLOOKUP($E32,'Help Page'!$L:$P,3,0))="Нет данных",0,_xll.CbondsTradingVolume($B32,Y$4,VLOOKUP($E32,'Help Page'!$L:$P,3,0))))</f>
        <v/>
      </c>
      <c r="Z32" s="23" t="str">
        <f>IF($B32 = 0,"",IF(_xll.CbondsTradingVolume($B32,Z$4,VLOOKUP($E32,'Help Page'!$L:$P,3,0))="Нет данных",0,_xll.CbondsTradingVolume($B32,Z$4,VLOOKUP($E32,'Help Page'!$L:$P,3,0))))</f>
        <v/>
      </c>
      <c r="AA32" s="23" t="str">
        <f>IF($B32 = 0,"",IF(_xll.CbondsTradingVolume($B32,AA$4,VLOOKUP($E32,'Help Page'!$L:$P,3,0))="Нет данных",0,_xll.CbondsTradingVolume($B32,AA$4,VLOOKUP($E32,'Help Page'!$L:$P,3,0))))</f>
        <v/>
      </c>
      <c r="AB32" s="23" t="str">
        <f>IF($B32 = 0,"",IF(_xll.CbondsTradingVolume($B32,AB$4,VLOOKUP($E32,'Help Page'!$L:$P,3,0))="Нет данных",0,_xll.CbondsTradingVolume($B32,AB$4,VLOOKUP($E32,'Help Page'!$L:$P,3,0))))</f>
        <v/>
      </c>
      <c r="AC32" s="23" t="str">
        <f>IF($B32 = 0,"",IF(_xll.CbondsTradingVolume($B32,AC$4,VLOOKUP($E32,'Help Page'!$L:$P,3,0))="Нет данных",0,_xll.CbondsTradingVolume($B32,AC$4,VLOOKUP($E32,'Help Page'!$L:$P,3,0))))</f>
        <v/>
      </c>
      <c r="AD32" s="23" t="str">
        <f>IF($B32 = 0,"",IF(_xll.CbondsTradingVolume($B32,AD$4,VLOOKUP($E32,'Help Page'!$L:$P,3,0))="Нет данных",0,_xll.CbondsTradingVolume($B32,AD$4,VLOOKUP($E32,'Help Page'!$L:$P,3,0))))</f>
        <v/>
      </c>
      <c r="AE32" s="23" t="str">
        <f>IF($B32 = 0,"",IF(_xll.CbondsTradingVolume($B32,AE$4,VLOOKUP($E32,'Help Page'!$L:$P,3,0))="Нет данных",0,_xll.CbondsTradingVolume($B32,AE$4,VLOOKUP($E32,'Help Page'!$L:$P,3,0))))</f>
        <v/>
      </c>
      <c r="AF32" s="23" t="str">
        <f>IF($B32 = 0,"",IF(_xll.CbondsTradingVolume($B32,AF$4,VLOOKUP($E32,'Help Page'!$L:$P,3,0))="Нет данных",0,_xll.CbondsTradingVolume($B32,AF$4,VLOOKUP($E32,'Help Page'!$L:$P,3,0))))</f>
        <v/>
      </c>
      <c r="AG32" s="23" t="str">
        <f>IF($B32 = 0,"",IF(_xll.CbondsTradingVolume($B32,AG$4,VLOOKUP($E32,'Help Page'!$L:$P,3,0))="Нет данных",0,_xll.CbondsTradingVolume($B32,AG$4,VLOOKUP($E32,'Help Page'!$L:$P,3,0))))</f>
        <v/>
      </c>
      <c r="AH32" s="23" t="str">
        <f>IF($B32 = 0,"",IF(_xll.CbondsTradingVolume($B32,AH$4,VLOOKUP($E32,'Help Page'!$L:$P,3,0))="Нет данных",0,_xll.CbondsTradingVolume($B32,AH$4,VLOOKUP($E32,'Help Page'!$L:$P,3,0))))</f>
        <v/>
      </c>
      <c r="AI32" s="23" t="str">
        <f>IF($B32 = 0,"",IF(_xll.CbondsTradingVolume($B32,AI$4,VLOOKUP($E32,'Help Page'!$L:$P,3,0))="Нет данных",0,_xll.CbondsTradingVolume($B32,AI$4,VLOOKUP($E32,'Help Page'!$L:$P,3,0))))</f>
        <v/>
      </c>
      <c r="AJ32" s="171">
        <f>SUM(F32:AI32)*VLOOKUP($E32,'Help Page'!$L:$P,5,0)</f>
        <v>0</v>
      </c>
      <c r="AK32" s="76" t="str">
        <f>IF($B32 = 0,"",IF(_xll.CbondsDealsNumber($B32,AK$4,VLOOKUP($E32,'Help Page'!$L:$P,3,0))="Нет данных",0,_xll.CbondsDealsNumber($B32,AK$4,VLOOKUP($E32,'Help Page'!$L:$P,3,0))))</f>
        <v/>
      </c>
      <c r="AL32" s="76" t="str">
        <f>IF($B32 = 0,"",IF(_xll.CbondsDealsNumber($B32,AL$4,VLOOKUP($E32,'Help Page'!$L:$P,3,0))="Нет данных",0,_xll.CbondsDealsNumber($B32,AL$4,VLOOKUP($E32,'Help Page'!$L:$P,3,0))))</f>
        <v/>
      </c>
      <c r="AM32" s="157" t="str">
        <f>IF($B32 = 0,"",IF(_xll.CbondsDealsNumber($B32,AM$4,VLOOKUP($E32,'Help Page'!$L:$P,3,0))="Нет данных",0,_xll.CbondsDealsNumber($B32,AM$4,VLOOKUP($E32,'Help Page'!$L:$P,3,0))))</f>
        <v/>
      </c>
      <c r="AN32" s="157" t="str">
        <f>IF($B32 = 0,"",IF(_xll.CbondsDealsNumber($B32,AN$4,VLOOKUP($E32,'Help Page'!$L:$P,3,0))="Нет данных",0,_xll.CbondsDealsNumber($B32,AN$4,VLOOKUP($E32,'Help Page'!$L:$P,3,0))))</f>
        <v/>
      </c>
      <c r="AO32" s="157" t="str">
        <f>IF($B32 = 0,"",IF(_xll.CbondsDealsNumber($B32,AO$4,VLOOKUP($E32,'Help Page'!$L:$P,3,0))="Нет данных",0,_xll.CbondsDealsNumber($B32,AO$4,VLOOKUP($E32,'Help Page'!$L:$P,3,0))))</f>
        <v/>
      </c>
      <c r="AP32" s="157" t="str">
        <f>IF($B32 = 0,"",IF(_xll.CbondsDealsNumber($B32,AP$4,VLOOKUP($E32,'Help Page'!$L:$P,3,0))="Нет данных",0,_xll.CbondsDealsNumber($B32,AP$4,VLOOKUP($E32,'Help Page'!$L:$P,3,0))))</f>
        <v/>
      </c>
      <c r="AQ32" s="76" t="str">
        <f>IF($B32 = 0,"",IF(_xll.CbondsDealsNumber($B32,AQ$4,VLOOKUP($E32,'Help Page'!$L:$P,3,0))="Нет данных",0,_xll.CbondsDealsNumber($B32,AQ$4,VLOOKUP($E32,'Help Page'!$L:$P,3,0))))</f>
        <v/>
      </c>
      <c r="AR32" s="76" t="str">
        <f>IF($B32 = 0,"",IF(_xll.CbondsDealsNumber($B32,AR$4,VLOOKUP($E32,'Help Page'!$L:$P,3,0))="Нет данных",0,_xll.CbondsDealsNumber($B32,AR$4,VLOOKUP($E32,'Help Page'!$L:$P,3,0))))</f>
        <v/>
      </c>
      <c r="AS32" s="76" t="str">
        <f>IF($B32 = 0,"",IF(_xll.CbondsDealsNumber($B32,AS$4,VLOOKUP($E32,'Help Page'!$L:$P,3,0))="Нет данных",0,_xll.CbondsDealsNumber($B32,AS$4,VLOOKUP($E32,'Help Page'!$L:$P,3,0))))</f>
        <v/>
      </c>
      <c r="AT32" s="157" t="str">
        <f>IF($B32 = 0,"",IF(_xll.CbondsDealsNumber($B32,AT$4,VLOOKUP($E32,'Help Page'!$L:$P,3,0))="Нет данных",0,_xll.CbondsDealsNumber($B32,AT$4,VLOOKUP($E32,'Help Page'!$L:$P,3,0))))</f>
        <v/>
      </c>
      <c r="AU32" s="157" t="str">
        <f>IF($B32 = 0,"",IF(_xll.CbondsDealsNumber($B32,AU$4,VLOOKUP($E32,'Help Page'!$L:$P,3,0))="Нет данных",0,_xll.CbondsDealsNumber($B32,AU$4,VLOOKUP($E32,'Help Page'!$L:$P,3,0))))</f>
        <v/>
      </c>
      <c r="AV32" s="157" t="str">
        <f>IF($B32 = 0,"",IF(_xll.CbondsDealsNumber($B32,AV$4,VLOOKUP($E32,'Help Page'!$L:$P,3,0))="Нет данных",0,_xll.CbondsDealsNumber($B32,AV$4,VLOOKUP($E32,'Help Page'!$L:$P,3,0))))</f>
        <v/>
      </c>
      <c r="AW32" s="157" t="str">
        <f>IF($B32 = 0,"",IF(_xll.CbondsDealsNumber($B32,AW$4,VLOOKUP($E32,'Help Page'!$L:$P,3,0))="Нет данных",0,_xll.CbondsDealsNumber($B32,AW$4,VLOOKUP($E32,'Help Page'!$L:$P,3,0))))</f>
        <v/>
      </c>
      <c r="AX32" s="157" t="str">
        <f>IF($B32 = 0,"",IF(_xll.CbondsDealsNumber($B32,AX$4,VLOOKUP($E32,'Help Page'!$L:$P,3,0))="Нет данных",0,_xll.CbondsDealsNumber($B32,AX$4,VLOOKUP($E32,'Help Page'!$L:$P,3,0))))</f>
        <v/>
      </c>
      <c r="AY32" s="76" t="str">
        <f>IF($B32 = 0,"",IF(_xll.CbondsDealsNumber($B32,AY$4,VLOOKUP($E32,'Help Page'!$L:$P,3,0))="Нет данных",0,_xll.CbondsDealsNumber($B32,AY$4,VLOOKUP($E32,'Help Page'!$L:$P,3,0))))</f>
        <v/>
      </c>
      <c r="AZ32" s="76" t="str">
        <f>IF($B32 = 0,"",IF(_xll.CbondsDealsNumber($B32,AZ$4,VLOOKUP($E32,'Help Page'!$L:$P,3,0))="Нет данных",0,_xll.CbondsDealsNumber($B32,AZ$4,VLOOKUP($E32,'Help Page'!$L:$P,3,0))))</f>
        <v/>
      </c>
      <c r="BA32" s="157" t="str">
        <f>IF($B32 = 0,"",IF(_xll.CbondsDealsNumber($B32,BA$4,VLOOKUP($E32,'Help Page'!$L:$P,3,0))="Нет данных",0,_xll.CbondsDealsNumber($B32,BA$4,VLOOKUP($E32,'Help Page'!$L:$P,3,0))))</f>
        <v/>
      </c>
      <c r="BB32" s="157" t="str">
        <f>IF($B32 = 0,"",IF(_xll.CbondsDealsNumber($B32,BB$4,VLOOKUP($E32,'Help Page'!$L:$P,3,0))="Нет данных",0,_xll.CbondsDealsNumber($B32,BB$4,VLOOKUP($E32,'Help Page'!$L:$P,3,0))))</f>
        <v/>
      </c>
      <c r="BC32" s="157" t="str">
        <f>IF($B32 = 0,"",IF(_xll.CbondsDealsNumber($B32,BC$4,VLOOKUP($E32,'Help Page'!$L:$P,3,0))="Нет данных",0,_xll.CbondsDealsNumber($B32,BC$4,VLOOKUP($E32,'Help Page'!$L:$P,3,0))))</f>
        <v/>
      </c>
      <c r="BD32" s="157" t="str">
        <f>IF($B32 = 0,"",IF(_xll.CbondsDealsNumber($B32,BD$4,VLOOKUP($E32,'Help Page'!$L:$P,3,0))="Нет данных",0,_xll.CbondsDealsNumber($B32,BD$4,VLOOKUP($E32,'Help Page'!$L:$P,3,0))))</f>
        <v/>
      </c>
      <c r="BE32" s="157" t="str">
        <f>IF($B32 = 0,"",IF(_xll.CbondsDealsNumber($B32,BE$4,VLOOKUP($E32,'Help Page'!$L:$P,3,0))="Нет данных",0,_xll.CbondsDealsNumber($B32,BE$4,VLOOKUP($E32,'Help Page'!$L:$P,3,0))))</f>
        <v/>
      </c>
      <c r="BF32" s="76" t="str">
        <f>IF($B32 = 0,"",IF(_xll.CbondsDealsNumber($B32,BF$4,VLOOKUP($E32,'Help Page'!$L:$P,3,0))="Нет данных",0,_xll.CbondsDealsNumber($B32,BF$4,VLOOKUP($E32,'Help Page'!$L:$P,3,0))))</f>
        <v/>
      </c>
      <c r="BG32" s="76" t="str">
        <f>IF($B32 = 0,"",IF(_xll.CbondsDealsNumber($B32,BG$4,VLOOKUP($E32,'Help Page'!$L:$P,3,0))="Нет данных",0,_xll.CbondsDealsNumber($B32,BG$4,VLOOKUP($E32,'Help Page'!$L:$P,3,0))))</f>
        <v/>
      </c>
      <c r="BH32" s="157" t="str">
        <f>IF($B32 = 0,"",IF(_xll.CbondsDealsNumber($B32,BH$4,VLOOKUP($E32,'Help Page'!$L:$P,3,0))="Нет данных",0,_xll.CbondsDealsNumber($B32,BH$4,VLOOKUP($E32,'Help Page'!$L:$P,3,0))))</f>
        <v/>
      </c>
      <c r="BI32" s="157" t="str">
        <f>IF($B32 = 0,"",IF(_xll.CbondsDealsNumber($B32,BI$4,VLOOKUP($E32,'Help Page'!$L:$P,3,0))="Нет данных",0,_xll.CbondsDealsNumber($B32,BI$4,VLOOKUP($E32,'Help Page'!$L:$P,3,0))))</f>
        <v/>
      </c>
      <c r="BJ32" s="157" t="str">
        <f>IF($B32 = 0,"",IF(_xll.CbondsDealsNumber($B32,BJ$4,VLOOKUP($E32,'Help Page'!$L:$P,3,0))="Нет данных",0,_xll.CbondsDealsNumber($B32,BJ$4,VLOOKUP($E32,'Help Page'!$L:$P,3,0))))</f>
        <v/>
      </c>
      <c r="BK32" s="157" t="str">
        <f>IF($B32 = 0,"",IF(_xll.CbondsDealsNumber($B32,BK$4,VLOOKUP($E32,'Help Page'!$L:$P,3,0))="Нет данных",0,_xll.CbondsDealsNumber($B32,BK$4,VLOOKUP($E32,'Help Page'!$L:$P,3,0))))</f>
        <v/>
      </c>
      <c r="BL32" s="157" t="str">
        <f>IF($B32 = 0,"",IF(_xll.CbondsDealsNumber($B32,BL$4,VLOOKUP($E32,'Help Page'!$L:$P,3,0))="Нет данных",0,_xll.CbondsDealsNumber($B32,BL$4,VLOOKUP($E32,'Help Page'!$L:$P,3,0))))</f>
        <v/>
      </c>
      <c r="BM32" s="76" t="str">
        <f>IF($B32 = 0,"",IF(_xll.CbondsDealsNumber($B32,BM$4,VLOOKUP($E32,'Help Page'!$L:$P,3,0))="Нет данных",0,_xll.CbondsDealsNumber($B32,BM$4,VLOOKUP($E32,'Help Page'!$L:$P,3,0))))</f>
        <v/>
      </c>
      <c r="BN32" s="76" t="str">
        <f>IF($B32 = 0,"",IF(_xll.CbondsDealsNumber($B32,BN$4,VLOOKUP($E32,'Help Page'!$L:$P,3,0))="Нет данных",0,_xll.CbondsDealsNumber($B32,BN$4,VLOOKUP($E32,'Help Page'!$L:$P,3,0))))</f>
        <v/>
      </c>
      <c r="BO32" s="156">
        <f t="shared" si="12"/>
        <v>0</v>
      </c>
      <c r="BP32" s="156">
        <f>COUNTIF(AK32:BN32, "&gt;0")</f>
        <v>0</v>
      </c>
    </row>
    <row r="33" spans="1:68" x14ac:dyDescent="0.3">
      <c r="A33" s="18" t="s">
        <v>2085</v>
      </c>
      <c r="B33" s="143"/>
      <c r="C33" s="143"/>
      <c r="D33" s="148"/>
      <c r="E33" s="158" t="s">
        <v>2081</v>
      </c>
      <c r="F33" s="159" t="str">
        <f>IF(B29 = 0,"",IF(AJ33 = 0, "торгов нет", IF(MAX(AJ29:AJ32) = AJ29,E29,IF(MAX(AJ29:AJ32) = AJ30,E30,IF(MAX(AJ29:AJ32) = AJ31,E31,E32)))))</f>
        <v/>
      </c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172" t="str">
        <f>IF($B29 = 0,"",SUM(AJ29:AJ32)/VLOOKUP(C29,'Help Page'!$M:$Q,4,0)/D29)</f>
        <v/>
      </c>
      <c r="AK33" s="160">
        <f>SUM(AK29:AK32)</f>
        <v>0</v>
      </c>
      <c r="AL33" s="160">
        <f t="shared" ref="AL33:BN33" si="14">SUM(AL29:AL32)</f>
        <v>0</v>
      </c>
      <c r="AM33" s="160">
        <f t="shared" si="14"/>
        <v>0</v>
      </c>
      <c r="AN33" s="160">
        <f t="shared" si="14"/>
        <v>0</v>
      </c>
      <c r="AO33" s="160">
        <f t="shared" si="14"/>
        <v>0</v>
      </c>
      <c r="AP33" s="160">
        <f t="shared" si="14"/>
        <v>0</v>
      </c>
      <c r="AQ33" s="160">
        <f t="shared" si="14"/>
        <v>0</v>
      </c>
      <c r="AR33" s="160">
        <f t="shared" si="14"/>
        <v>0</v>
      </c>
      <c r="AS33" s="160">
        <f t="shared" si="14"/>
        <v>0</v>
      </c>
      <c r="AT33" s="160">
        <f t="shared" si="14"/>
        <v>0</v>
      </c>
      <c r="AU33" s="160">
        <f t="shared" si="14"/>
        <v>0</v>
      </c>
      <c r="AV33" s="160">
        <f t="shared" si="14"/>
        <v>0</v>
      </c>
      <c r="AW33" s="160">
        <f t="shared" si="14"/>
        <v>0</v>
      </c>
      <c r="AX33" s="160">
        <f t="shared" si="14"/>
        <v>0</v>
      </c>
      <c r="AY33" s="160">
        <f t="shared" si="14"/>
        <v>0</v>
      </c>
      <c r="AZ33" s="160">
        <f t="shared" si="14"/>
        <v>0</v>
      </c>
      <c r="BA33" s="160">
        <f t="shared" si="14"/>
        <v>0</v>
      </c>
      <c r="BB33" s="160">
        <f t="shared" si="14"/>
        <v>0</v>
      </c>
      <c r="BC33" s="160">
        <f t="shared" si="14"/>
        <v>0</v>
      </c>
      <c r="BD33" s="160">
        <f t="shared" si="14"/>
        <v>0</v>
      </c>
      <c r="BE33" s="160">
        <f t="shared" si="14"/>
        <v>0</v>
      </c>
      <c r="BF33" s="160">
        <f t="shared" si="14"/>
        <v>0</v>
      </c>
      <c r="BG33" s="160">
        <f t="shared" si="14"/>
        <v>0</v>
      </c>
      <c r="BH33" s="160">
        <f t="shared" si="14"/>
        <v>0</v>
      </c>
      <c r="BI33" s="160">
        <f t="shared" si="14"/>
        <v>0</v>
      </c>
      <c r="BJ33" s="160">
        <f t="shared" si="14"/>
        <v>0</v>
      </c>
      <c r="BK33" s="160">
        <f t="shared" si="14"/>
        <v>0</v>
      </c>
      <c r="BL33" s="160">
        <f t="shared" si="14"/>
        <v>0</v>
      </c>
      <c r="BM33" s="160">
        <f t="shared" si="14"/>
        <v>0</v>
      </c>
      <c r="BN33" s="160">
        <f t="shared" si="14"/>
        <v>0</v>
      </c>
      <c r="BO33" s="161" t="str">
        <f>IF($B29 = 0,"",SUM(BO29:BO32))</f>
        <v/>
      </c>
      <c r="BP33" s="161" t="str">
        <f>IF($B29 = 0,"",COUNTIF(AK33:BN33, "&gt;0"))</f>
        <v/>
      </c>
    </row>
    <row r="34" spans="1:68" x14ac:dyDescent="0.3">
      <c r="A34" s="18"/>
      <c r="B34" s="162"/>
      <c r="C34" s="162"/>
      <c r="D34" s="163"/>
      <c r="E34" s="162"/>
      <c r="F34" s="164"/>
      <c r="G34" s="164"/>
      <c r="H34" s="164"/>
      <c r="I34" s="164"/>
      <c r="J34" s="164"/>
      <c r="K34" s="164"/>
      <c r="L34" s="164"/>
      <c r="M34" s="164"/>
      <c r="N34" s="164"/>
      <c r="O34" s="164"/>
      <c r="P34" s="164"/>
      <c r="Q34" s="164"/>
      <c r="R34" s="164"/>
      <c r="S34" s="164"/>
      <c r="T34" s="164"/>
      <c r="U34" s="164"/>
      <c r="V34" s="164"/>
      <c r="W34" s="164"/>
      <c r="X34" s="164"/>
      <c r="Y34" s="164"/>
      <c r="Z34" s="164"/>
      <c r="AA34" s="164"/>
      <c r="AB34" s="164"/>
      <c r="AC34" s="164"/>
      <c r="AD34" s="164"/>
      <c r="AE34" s="164"/>
      <c r="AF34" s="164"/>
      <c r="AG34" s="164"/>
      <c r="AH34" s="164"/>
      <c r="AI34" s="164"/>
      <c r="AJ34" s="171"/>
      <c r="AK34" s="164"/>
      <c r="AL34" s="164"/>
      <c r="AM34" s="164"/>
      <c r="AN34" s="164"/>
      <c r="AO34" s="164"/>
      <c r="AP34" s="164"/>
      <c r="AQ34" s="164"/>
      <c r="AR34" s="164"/>
      <c r="AS34" s="164"/>
      <c r="AT34" s="164"/>
      <c r="AU34" s="164"/>
      <c r="AV34" s="164"/>
      <c r="AW34" s="164"/>
      <c r="AX34" s="164"/>
      <c r="AY34" s="164"/>
      <c r="AZ34" s="164"/>
      <c r="BA34" s="164"/>
      <c r="BB34" s="164"/>
      <c r="BC34" s="164"/>
      <c r="BD34" s="164"/>
      <c r="BE34" s="164"/>
      <c r="BF34" s="164"/>
      <c r="BG34" s="164"/>
      <c r="BH34" s="164"/>
      <c r="BI34" s="164"/>
      <c r="BJ34" s="164"/>
      <c r="BK34" s="164"/>
      <c r="BL34" s="164"/>
      <c r="BM34" s="164"/>
      <c r="BN34" s="164"/>
      <c r="BO34" s="156"/>
      <c r="BP34" s="156"/>
    </row>
    <row r="35" spans="1:68" x14ac:dyDescent="0.3">
      <c r="A35" s="18">
        <v>6</v>
      </c>
      <c r="B35" s="143">
        <f>Calculation!$J$31</f>
        <v>0</v>
      </c>
      <c r="C35" s="143" t="str">
        <f>IF($B35 = 0,"",_xll.CbondsCurrency(B35))</f>
        <v/>
      </c>
      <c r="D35" s="148" t="str">
        <f>IF($B35 = 0,"",_xll.ReferenceParams(B35,"SumMarketVal"))</f>
        <v/>
      </c>
      <c r="E35" s="143" t="s">
        <v>2076</v>
      </c>
      <c r="F35" s="23" t="str">
        <f>IF($B35 = 0,"",IF(_xll.CbondsTradingVolume($B35,F$4,VLOOKUP($E35,'Help Page'!$L:$P,3,0))="Нет данных",0,_xll.CbondsTradingVolume($B35,F$4,VLOOKUP($E35,'Help Page'!$L:$P,3,0))))</f>
        <v/>
      </c>
      <c r="G35" s="23" t="str">
        <f>IF($B35 = 0,"",IF(_xll.CbondsTradingVolume($B35,G$4,VLOOKUP($E35,'Help Page'!$L:$P,3,0))="Нет данных",0,_xll.CbondsTradingVolume($B35,G$4,VLOOKUP($E35,'Help Page'!$L:$P,3,0))))</f>
        <v/>
      </c>
      <c r="H35" s="23" t="str">
        <f>IF($B35 = 0,"",IF(_xll.CbondsTradingVolume($B35,H$4,VLOOKUP($E35,'Help Page'!$L:$P,3,0))="Нет данных",0,_xll.CbondsTradingVolume($B35,H$4,VLOOKUP($E35,'Help Page'!$L:$P,3,0))))</f>
        <v/>
      </c>
      <c r="I35" s="23" t="str">
        <f>IF($B35 = 0,"",IF(_xll.CbondsTradingVolume($B35,I$4,VLOOKUP($E35,'Help Page'!$L:$P,3,0))="Нет данных",0,_xll.CbondsTradingVolume($B35,I$4,VLOOKUP($E35,'Help Page'!$L:$P,3,0))))</f>
        <v/>
      </c>
      <c r="J35" s="23" t="str">
        <f>IF($B35 = 0,"",IF(_xll.CbondsTradingVolume($B35,J$4,VLOOKUP($E35,'Help Page'!$L:$P,3,0))="Нет данных",0,_xll.CbondsTradingVolume($B35,J$4,VLOOKUP($E35,'Help Page'!$L:$P,3,0))))</f>
        <v/>
      </c>
      <c r="K35" s="23" t="str">
        <f>IF($B35 = 0,"",IF(_xll.CbondsTradingVolume($B35,K$4,VLOOKUP($E35,'Help Page'!$L:$P,3,0))="Нет данных",0,_xll.CbondsTradingVolume($B35,K$4,VLOOKUP($E35,'Help Page'!$L:$P,3,0))))</f>
        <v/>
      </c>
      <c r="L35" s="23" t="str">
        <f>IF($B35 = 0,"",IF(_xll.CbondsTradingVolume($B35,L$4,VLOOKUP($E35,'Help Page'!$L:$P,3,0))="Нет данных",0,_xll.CbondsTradingVolume($B35,L$4,VLOOKUP($E35,'Help Page'!$L:$P,3,0))))</f>
        <v/>
      </c>
      <c r="M35" s="23" t="str">
        <f>IF($B35 = 0,"",IF(_xll.CbondsTradingVolume($B35,M$4,VLOOKUP($E35,'Help Page'!$L:$P,3,0))="Нет данных",0,_xll.CbondsTradingVolume($B35,M$4,VLOOKUP($E35,'Help Page'!$L:$P,3,0))))</f>
        <v/>
      </c>
      <c r="N35" s="23" t="str">
        <f>IF($B35 = 0,"",IF(_xll.CbondsTradingVolume($B35,N$4,VLOOKUP($E35,'Help Page'!$L:$P,3,0))="Нет данных",0,_xll.CbondsTradingVolume($B35,N$4,VLOOKUP($E35,'Help Page'!$L:$P,3,0))))</f>
        <v/>
      </c>
      <c r="O35" s="23" t="str">
        <f>IF($B35 = 0,"",IF(_xll.CbondsTradingVolume($B35,O$4,VLOOKUP($E35,'Help Page'!$L:$P,3,0))="Нет данных",0,_xll.CbondsTradingVolume($B35,O$4,VLOOKUP($E35,'Help Page'!$L:$P,3,0))))</f>
        <v/>
      </c>
      <c r="P35" s="23" t="str">
        <f>IF($B35 = 0,"",IF(_xll.CbondsTradingVolume($B35,P$4,VLOOKUP($E35,'Help Page'!$L:$P,3,0))="Нет данных",0,_xll.CbondsTradingVolume($B35,P$4,VLOOKUP($E35,'Help Page'!$L:$P,3,0))))</f>
        <v/>
      </c>
      <c r="Q35" s="23" t="str">
        <f>IF($B35 = 0,"",IF(_xll.CbondsTradingVolume($B35,Q$4,VLOOKUP($E35,'Help Page'!$L:$P,3,0))="Нет данных",0,_xll.CbondsTradingVolume($B35,Q$4,VLOOKUP($E35,'Help Page'!$L:$P,3,0))))</f>
        <v/>
      </c>
      <c r="R35" s="23" t="str">
        <f>IF($B35 = 0,"",IF(_xll.CbondsTradingVolume($B35,R$4,VLOOKUP($E35,'Help Page'!$L:$P,3,0))="Нет данных",0,_xll.CbondsTradingVolume($B35,R$4,VLOOKUP($E35,'Help Page'!$L:$P,3,0))))</f>
        <v/>
      </c>
      <c r="S35" s="23" t="str">
        <f>IF($B35 = 0,"",IF(_xll.CbondsTradingVolume($B35,S$4,VLOOKUP($E35,'Help Page'!$L:$P,3,0))="Нет данных",0,_xll.CbondsTradingVolume($B35,S$4,VLOOKUP($E35,'Help Page'!$L:$P,3,0))))</f>
        <v/>
      </c>
      <c r="T35" s="23" t="str">
        <f>IF($B35 = 0,"",IF(_xll.CbondsTradingVolume($B35,T$4,VLOOKUP($E35,'Help Page'!$L:$P,3,0))="Нет данных",0,_xll.CbondsTradingVolume($B35,T$4,VLOOKUP($E35,'Help Page'!$L:$P,3,0))))</f>
        <v/>
      </c>
      <c r="U35" s="23" t="str">
        <f>IF($B35 = 0,"",IF(_xll.CbondsTradingVolume($B35,U$4,VLOOKUP($E35,'Help Page'!$L:$P,3,0))="Нет данных",0,_xll.CbondsTradingVolume($B35,U$4,VLOOKUP($E35,'Help Page'!$L:$P,3,0))))</f>
        <v/>
      </c>
      <c r="V35" s="23" t="str">
        <f>IF($B35 = 0,"",IF(_xll.CbondsTradingVolume($B35,V$4,VLOOKUP($E35,'Help Page'!$L:$P,3,0))="Нет данных",0,_xll.CbondsTradingVolume($B35,V$4,VLOOKUP($E35,'Help Page'!$L:$P,3,0))))</f>
        <v/>
      </c>
      <c r="W35" s="23" t="str">
        <f>IF($B35 = 0,"",IF(_xll.CbondsTradingVolume($B35,W$4,VLOOKUP($E35,'Help Page'!$L:$P,3,0))="Нет данных",0,_xll.CbondsTradingVolume($B35,W$4,VLOOKUP($E35,'Help Page'!$L:$P,3,0))))</f>
        <v/>
      </c>
      <c r="X35" s="23" t="str">
        <f>IF($B35 = 0,"",IF(_xll.CbondsTradingVolume($B35,X$4,VLOOKUP($E35,'Help Page'!$L:$P,3,0))="Нет данных",0,_xll.CbondsTradingVolume($B35,X$4,VLOOKUP($E35,'Help Page'!$L:$P,3,0))))</f>
        <v/>
      </c>
      <c r="Y35" s="23" t="str">
        <f>IF($B35 = 0,"",IF(_xll.CbondsTradingVolume($B35,Y$4,VLOOKUP($E35,'Help Page'!$L:$P,3,0))="Нет данных",0,_xll.CbondsTradingVolume($B35,Y$4,VLOOKUP($E35,'Help Page'!$L:$P,3,0))))</f>
        <v/>
      </c>
      <c r="Z35" s="23" t="str">
        <f>IF($B35 = 0,"",IF(_xll.CbondsTradingVolume($B35,Z$4,VLOOKUP($E35,'Help Page'!$L:$P,3,0))="Нет данных",0,_xll.CbondsTradingVolume($B35,Z$4,VLOOKUP($E35,'Help Page'!$L:$P,3,0))))</f>
        <v/>
      </c>
      <c r="AA35" s="23" t="str">
        <f>IF($B35 = 0,"",IF(_xll.CbondsTradingVolume($B35,AA$4,VLOOKUP($E35,'Help Page'!$L:$P,3,0))="Нет данных",0,_xll.CbondsTradingVolume($B35,AA$4,VLOOKUP($E35,'Help Page'!$L:$P,3,0))))</f>
        <v/>
      </c>
      <c r="AB35" s="23" t="str">
        <f>IF($B35 = 0,"",IF(_xll.CbondsTradingVolume($B35,AB$4,VLOOKUP($E35,'Help Page'!$L:$P,3,0))="Нет данных",0,_xll.CbondsTradingVolume($B35,AB$4,VLOOKUP($E35,'Help Page'!$L:$P,3,0))))</f>
        <v/>
      </c>
      <c r="AC35" s="23" t="str">
        <f>IF($B35 = 0,"",IF(_xll.CbondsTradingVolume($B35,AC$4,VLOOKUP($E35,'Help Page'!$L:$P,3,0))="Нет данных",0,_xll.CbondsTradingVolume($B35,AC$4,VLOOKUP($E35,'Help Page'!$L:$P,3,0))))</f>
        <v/>
      </c>
      <c r="AD35" s="23" t="str">
        <f>IF($B35 = 0,"",IF(_xll.CbondsTradingVolume($B35,AD$4,VLOOKUP($E35,'Help Page'!$L:$P,3,0))="Нет данных",0,_xll.CbondsTradingVolume($B35,AD$4,VLOOKUP($E35,'Help Page'!$L:$P,3,0))))</f>
        <v/>
      </c>
      <c r="AE35" s="23" t="str">
        <f>IF($B35 = 0,"",IF(_xll.CbondsTradingVolume($B35,AE$4,VLOOKUP($E35,'Help Page'!$L:$P,3,0))="Нет данных",0,_xll.CbondsTradingVolume($B35,AE$4,VLOOKUP($E35,'Help Page'!$L:$P,3,0))))</f>
        <v/>
      </c>
      <c r="AF35" s="23" t="str">
        <f>IF($B35 = 0,"",IF(_xll.CbondsTradingVolume($B35,AF$4,VLOOKUP($E35,'Help Page'!$L:$P,3,0))="Нет данных",0,_xll.CbondsTradingVolume($B35,AF$4,VLOOKUP($E35,'Help Page'!$L:$P,3,0))))</f>
        <v/>
      </c>
      <c r="AG35" s="23" t="str">
        <f>IF($B35 = 0,"",IF(_xll.CbondsTradingVolume($B35,AG$4,VLOOKUP($E35,'Help Page'!$L:$P,3,0))="Нет данных",0,_xll.CbondsTradingVolume($B35,AG$4,VLOOKUP($E35,'Help Page'!$L:$P,3,0))))</f>
        <v/>
      </c>
      <c r="AH35" s="23" t="str">
        <f>IF($B35 = 0,"",IF(_xll.CbondsTradingVolume($B35,AH$4,VLOOKUP($E35,'Help Page'!$L:$P,3,0))="Нет данных",0,_xll.CbondsTradingVolume($B35,AH$4,VLOOKUP($E35,'Help Page'!$L:$P,3,0))))</f>
        <v/>
      </c>
      <c r="AI35" s="23" t="str">
        <f>IF($B35 = 0,"",IF(_xll.CbondsTradingVolume($B35,AI$4,VLOOKUP($E35,'Help Page'!$L:$P,3,0))="Нет данных",0,_xll.CbondsTradingVolume($B35,AI$4,VLOOKUP($E35,'Help Page'!$L:$P,3,0))))</f>
        <v/>
      </c>
      <c r="AJ35" s="171">
        <f>SUM(F35:AI35)*VLOOKUP($E35,'Help Page'!$L:$P,5,0)</f>
        <v>0</v>
      </c>
      <c r="AK35" s="76" t="str">
        <f>IF($B35 = 0,"",IF(_xll.CbondsDealsNumber($B35,AK$4,VLOOKUP($E35,'Help Page'!$L:$P,3,0))="Нет данных",0,_xll.CbondsDealsNumber($B35,AK$4,VLOOKUP($E35,'Help Page'!$L:$P,3,0))))</f>
        <v/>
      </c>
      <c r="AL35" s="76" t="str">
        <f>IF($B35 = 0,"",IF(_xll.CbondsDealsNumber($B35,AL$4,VLOOKUP($E35,'Help Page'!$L:$P,3,0))="Нет данных",0,_xll.CbondsDealsNumber($B35,AL$4,VLOOKUP($E35,'Help Page'!$L:$P,3,0))))</f>
        <v/>
      </c>
      <c r="AM35" s="76" t="str">
        <f>IF($B35 = 0,"",IF(_xll.CbondsDealsNumber($B35,AM$4,VLOOKUP($E35,'Help Page'!$L:$P,3,0))="Нет данных",0,_xll.CbondsDealsNumber($B35,AM$4,VLOOKUP($E35,'Help Page'!$L:$P,3,0))))</f>
        <v/>
      </c>
      <c r="AN35" s="76" t="str">
        <f>IF($B35 = 0,"",IF(_xll.CbondsDealsNumber($B35,AN$4,VLOOKUP($E35,'Help Page'!$L:$P,3,0))="Нет данных",0,_xll.CbondsDealsNumber($B35,AN$4,VLOOKUP($E35,'Help Page'!$L:$P,3,0))))</f>
        <v/>
      </c>
      <c r="AO35" s="76" t="str">
        <f>IF($B35 = 0,"",IF(_xll.CbondsDealsNumber($B35,AO$4,VLOOKUP($E35,'Help Page'!$L:$P,3,0))="Нет данных",0,_xll.CbondsDealsNumber($B35,AO$4,VLOOKUP($E35,'Help Page'!$L:$P,3,0))))</f>
        <v/>
      </c>
      <c r="AP35" s="76" t="str">
        <f>IF($B35 = 0,"",IF(_xll.CbondsDealsNumber($B35,AP$4,VLOOKUP($E35,'Help Page'!$L:$P,3,0))="Нет данных",0,_xll.CbondsDealsNumber($B35,AP$4,VLOOKUP($E35,'Help Page'!$L:$P,3,0))))</f>
        <v/>
      </c>
      <c r="AQ35" s="76" t="str">
        <f>IF($B35 = 0,"",IF(_xll.CbondsDealsNumber($B35,AQ$4,VLOOKUP($E35,'Help Page'!$L:$P,3,0))="Нет данных",0,_xll.CbondsDealsNumber($B35,AQ$4,VLOOKUP($E35,'Help Page'!$L:$P,3,0))))</f>
        <v/>
      </c>
      <c r="AR35" s="76" t="str">
        <f>IF($B35 = 0,"",IF(_xll.CbondsDealsNumber($B35,AR$4,VLOOKUP($E35,'Help Page'!$L:$P,3,0))="Нет данных",0,_xll.CbondsDealsNumber($B35,AR$4,VLOOKUP($E35,'Help Page'!$L:$P,3,0))))</f>
        <v/>
      </c>
      <c r="AS35" s="76" t="str">
        <f>IF($B35 = 0,"",IF(_xll.CbondsDealsNumber($B35,AS$4,VLOOKUP($E35,'Help Page'!$L:$P,3,0))="Нет данных",0,_xll.CbondsDealsNumber($B35,AS$4,VLOOKUP($E35,'Help Page'!$L:$P,3,0))))</f>
        <v/>
      </c>
      <c r="AT35" s="76" t="str">
        <f>IF($B35 = 0,"",IF(_xll.CbondsDealsNumber($B35,AT$4,VLOOKUP($E35,'Help Page'!$L:$P,3,0))="Нет данных",0,_xll.CbondsDealsNumber($B35,AT$4,VLOOKUP($E35,'Help Page'!$L:$P,3,0))))</f>
        <v/>
      </c>
      <c r="AU35" s="76" t="str">
        <f>IF($B35 = 0,"",IF(_xll.CbondsDealsNumber($B35,AU$4,VLOOKUP($E35,'Help Page'!$L:$P,3,0))="Нет данных",0,_xll.CbondsDealsNumber($B35,AU$4,VLOOKUP($E35,'Help Page'!$L:$P,3,0))))</f>
        <v/>
      </c>
      <c r="AV35" s="76" t="str">
        <f>IF($B35 = 0,"",IF(_xll.CbondsDealsNumber($B35,AV$4,VLOOKUP($E35,'Help Page'!$L:$P,3,0))="Нет данных",0,_xll.CbondsDealsNumber($B35,AV$4,VLOOKUP($E35,'Help Page'!$L:$P,3,0))))</f>
        <v/>
      </c>
      <c r="AW35" s="76" t="str">
        <f>IF($B35 = 0,"",IF(_xll.CbondsDealsNumber($B35,AW$4,VLOOKUP($E35,'Help Page'!$L:$P,3,0))="Нет данных",0,_xll.CbondsDealsNumber($B35,AW$4,VLOOKUP($E35,'Help Page'!$L:$P,3,0))))</f>
        <v/>
      </c>
      <c r="AX35" s="76" t="str">
        <f>IF($B35 = 0,"",IF(_xll.CbondsDealsNumber($B35,AX$4,VLOOKUP($E35,'Help Page'!$L:$P,3,0))="Нет данных",0,_xll.CbondsDealsNumber($B35,AX$4,VLOOKUP($E35,'Help Page'!$L:$P,3,0))))</f>
        <v/>
      </c>
      <c r="AY35" s="76" t="str">
        <f>IF($B35 = 0,"",IF(_xll.CbondsDealsNumber($B35,AY$4,VLOOKUP($E35,'Help Page'!$L:$P,3,0))="Нет данных",0,_xll.CbondsDealsNumber($B35,AY$4,VLOOKUP($E35,'Help Page'!$L:$P,3,0))))</f>
        <v/>
      </c>
      <c r="AZ35" s="76" t="str">
        <f>IF($B35 = 0,"",IF(_xll.CbondsDealsNumber($B35,AZ$4,VLOOKUP($E35,'Help Page'!$L:$P,3,0))="Нет данных",0,_xll.CbondsDealsNumber($B35,AZ$4,VLOOKUP($E35,'Help Page'!$L:$P,3,0))))</f>
        <v/>
      </c>
      <c r="BA35" s="76" t="str">
        <f>IF($B35 = 0,"",IF(_xll.CbondsDealsNumber($B35,BA$4,VLOOKUP($E35,'Help Page'!$L:$P,3,0))="Нет данных",0,_xll.CbondsDealsNumber($B35,BA$4,VLOOKUP($E35,'Help Page'!$L:$P,3,0))))</f>
        <v/>
      </c>
      <c r="BB35" s="76" t="str">
        <f>IF($B35 = 0,"",IF(_xll.CbondsDealsNumber($B35,BB$4,VLOOKUP($E35,'Help Page'!$L:$P,3,0))="Нет данных",0,_xll.CbondsDealsNumber($B35,BB$4,VLOOKUP($E35,'Help Page'!$L:$P,3,0))))</f>
        <v/>
      </c>
      <c r="BC35" s="76" t="str">
        <f>IF($B35 = 0,"",IF(_xll.CbondsDealsNumber($B35,BC$4,VLOOKUP($E35,'Help Page'!$L:$P,3,0))="Нет данных",0,_xll.CbondsDealsNumber($B35,BC$4,VLOOKUP($E35,'Help Page'!$L:$P,3,0))))</f>
        <v/>
      </c>
      <c r="BD35" s="76" t="str">
        <f>IF($B35 = 0,"",IF(_xll.CbondsDealsNumber($B35,BD$4,VLOOKUP($E35,'Help Page'!$L:$P,3,0))="Нет данных",0,_xll.CbondsDealsNumber($B35,BD$4,VLOOKUP($E35,'Help Page'!$L:$P,3,0))))</f>
        <v/>
      </c>
      <c r="BE35" s="76" t="str">
        <f>IF($B35 = 0,"",IF(_xll.CbondsDealsNumber($B35,BE$4,VLOOKUP($E35,'Help Page'!$L:$P,3,0))="Нет данных",0,_xll.CbondsDealsNumber($B35,BE$4,VLOOKUP($E35,'Help Page'!$L:$P,3,0))))</f>
        <v/>
      </c>
      <c r="BF35" s="76" t="str">
        <f>IF($B35 = 0,"",IF(_xll.CbondsDealsNumber($B35,BF$4,VLOOKUP($E35,'Help Page'!$L:$P,3,0))="Нет данных",0,_xll.CbondsDealsNumber($B35,BF$4,VLOOKUP($E35,'Help Page'!$L:$P,3,0))))</f>
        <v/>
      </c>
      <c r="BG35" s="76" t="str">
        <f>IF($B35 = 0,"",IF(_xll.CbondsDealsNumber($B35,BG$4,VLOOKUP($E35,'Help Page'!$L:$P,3,0))="Нет данных",0,_xll.CbondsDealsNumber($B35,BG$4,VLOOKUP($E35,'Help Page'!$L:$P,3,0))))</f>
        <v/>
      </c>
      <c r="BH35" s="76" t="str">
        <f>IF($B35 = 0,"",IF(_xll.CbondsDealsNumber($B35,BH$4,VLOOKUP($E35,'Help Page'!$L:$P,3,0))="Нет данных",0,_xll.CbondsDealsNumber($B35,BH$4,VLOOKUP($E35,'Help Page'!$L:$P,3,0))))</f>
        <v/>
      </c>
      <c r="BI35" s="76" t="str">
        <f>IF($B35 = 0,"",IF(_xll.CbondsDealsNumber($B35,BI$4,VLOOKUP($E35,'Help Page'!$L:$P,3,0))="Нет данных",0,_xll.CbondsDealsNumber($B35,BI$4,VLOOKUP($E35,'Help Page'!$L:$P,3,0))))</f>
        <v/>
      </c>
      <c r="BJ35" s="76" t="str">
        <f>IF($B35 = 0,"",IF(_xll.CbondsDealsNumber($B35,BJ$4,VLOOKUP($E35,'Help Page'!$L:$P,3,0))="Нет данных",0,_xll.CbondsDealsNumber($B35,BJ$4,VLOOKUP($E35,'Help Page'!$L:$P,3,0))))</f>
        <v/>
      </c>
      <c r="BK35" s="76" t="str">
        <f>IF($B35 = 0,"",IF(_xll.CbondsDealsNumber($B35,BK$4,VLOOKUP($E35,'Help Page'!$L:$P,3,0))="Нет данных",0,_xll.CbondsDealsNumber($B35,BK$4,VLOOKUP($E35,'Help Page'!$L:$P,3,0))))</f>
        <v/>
      </c>
      <c r="BL35" s="76" t="str">
        <f>IF($B35 = 0,"",IF(_xll.CbondsDealsNumber($B35,BL$4,VLOOKUP($E35,'Help Page'!$L:$P,3,0))="Нет данных",0,_xll.CbondsDealsNumber($B35,BL$4,VLOOKUP($E35,'Help Page'!$L:$P,3,0))))</f>
        <v/>
      </c>
      <c r="BM35" s="76" t="str">
        <f>IF($B35 = 0,"",IF(_xll.CbondsDealsNumber($B35,BM$4,VLOOKUP($E35,'Help Page'!$L:$P,3,0))="Нет данных",0,_xll.CbondsDealsNumber($B35,BM$4,VLOOKUP($E35,'Help Page'!$L:$P,3,0))))</f>
        <v/>
      </c>
      <c r="BN35" s="76" t="str">
        <f>IF($B35 = 0,"",IF(_xll.CbondsDealsNumber($B35,BN$4,VLOOKUP($E35,'Help Page'!$L:$P,3,0))="Нет данных",0,_xll.CbondsDealsNumber($B35,BN$4,VLOOKUP($E35,'Help Page'!$L:$P,3,0))))</f>
        <v/>
      </c>
      <c r="BO35" s="156">
        <f>SUM(AK35:BN35)</f>
        <v>0</v>
      </c>
      <c r="BP35" s="156">
        <f>COUNTIF(AK35:BN35, "&gt;0")</f>
        <v>0</v>
      </c>
    </row>
    <row r="36" spans="1:68" x14ac:dyDescent="0.3">
      <c r="A36" s="18">
        <v>6</v>
      </c>
      <c r="B36" s="143">
        <f>Calculation!$J$31</f>
        <v>0</v>
      </c>
      <c r="C36" s="143" t="str">
        <f>IF($B36 = 0,"",_xll.CbondsCurrency(B36))</f>
        <v/>
      </c>
      <c r="D36" s="148" t="str">
        <f>IF($B36 = 0,"",_xll.ReferenceParams(B36,"SumMarketVal"))</f>
        <v/>
      </c>
      <c r="E36" s="143" t="s">
        <v>2077</v>
      </c>
      <c r="F36" s="23" t="str">
        <f>IF($B36 = 0,"",IF(_xll.CbondsTradingVolume($B36,F$4,VLOOKUP($E36,'Help Page'!$L:$P,3,0))="Нет данных",0,_xll.CbondsTradingVolume($B36,F$4,VLOOKUP($E36,'Help Page'!$L:$P,3,0))))</f>
        <v/>
      </c>
      <c r="G36" s="23" t="str">
        <f>IF($B36 = 0,"",IF(_xll.CbondsTradingVolume($B36,G$4,VLOOKUP($E36,'Help Page'!$L:$P,3,0))="Нет данных",0,_xll.CbondsTradingVolume($B36,G$4,VLOOKUP($E36,'Help Page'!$L:$P,3,0))))</f>
        <v/>
      </c>
      <c r="H36" s="23" t="str">
        <f>IF($B36 = 0,"",IF(_xll.CbondsTradingVolume($B36,H$4,VLOOKUP($E36,'Help Page'!$L:$P,3,0))="Нет данных",0,_xll.CbondsTradingVolume($B36,H$4,VLOOKUP($E36,'Help Page'!$L:$P,3,0))))</f>
        <v/>
      </c>
      <c r="I36" s="23" t="str">
        <f>IF($B36 = 0,"",IF(_xll.CbondsTradingVolume($B36,I$4,VLOOKUP($E36,'Help Page'!$L:$P,3,0))="Нет данных",0,_xll.CbondsTradingVolume($B36,I$4,VLOOKUP($E36,'Help Page'!$L:$P,3,0))))</f>
        <v/>
      </c>
      <c r="J36" s="23" t="str">
        <f>IF($B36 = 0,"",IF(_xll.CbondsTradingVolume($B36,J$4,VLOOKUP($E36,'Help Page'!$L:$P,3,0))="Нет данных",0,_xll.CbondsTradingVolume($B36,J$4,VLOOKUP($E36,'Help Page'!$L:$P,3,0))))</f>
        <v/>
      </c>
      <c r="K36" s="23" t="str">
        <f>IF($B36 = 0,"",IF(_xll.CbondsTradingVolume($B36,K$4,VLOOKUP($E36,'Help Page'!$L:$P,3,0))="Нет данных",0,_xll.CbondsTradingVolume($B36,K$4,VLOOKUP($E36,'Help Page'!$L:$P,3,0))))</f>
        <v/>
      </c>
      <c r="L36" s="23" t="str">
        <f>IF($B36 = 0,"",IF(_xll.CbondsTradingVolume($B36,L$4,VLOOKUP($E36,'Help Page'!$L:$P,3,0))="Нет данных",0,_xll.CbondsTradingVolume($B36,L$4,VLOOKUP($E36,'Help Page'!$L:$P,3,0))))</f>
        <v/>
      </c>
      <c r="M36" s="23" t="str">
        <f>IF($B36 = 0,"",IF(_xll.CbondsTradingVolume($B36,M$4,VLOOKUP($E36,'Help Page'!$L:$P,3,0))="Нет данных",0,_xll.CbondsTradingVolume($B36,M$4,VLOOKUP($E36,'Help Page'!$L:$P,3,0))))</f>
        <v/>
      </c>
      <c r="N36" s="23" t="str">
        <f>IF($B36 = 0,"",IF(_xll.CbondsTradingVolume($B36,N$4,VLOOKUP($E36,'Help Page'!$L:$P,3,0))="Нет данных",0,_xll.CbondsTradingVolume($B36,N$4,VLOOKUP($E36,'Help Page'!$L:$P,3,0))))</f>
        <v/>
      </c>
      <c r="O36" s="23" t="str">
        <f>IF($B36 = 0,"",IF(_xll.CbondsTradingVolume($B36,O$4,VLOOKUP($E36,'Help Page'!$L:$P,3,0))="Нет данных",0,_xll.CbondsTradingVolume($B36,O$4,VLOOKUP($E36,'Help Page'!$L:$P,3,0))))</f>
        <v/>
      </c>
      <c r="P36" s="23" t="str">
        <f>IF($B36 = 0,"",IF(_xll.CbondsTradingVolume($B36,P$4,VLOOKUP($E36,'Help Page'!$L:$P,3,0))="Нет данных",0,_xll.CbondsTradingVolume($B36,P$4,VLOOKUP($E36,'Help Page'!$L:$P,3,0))))</f>
        <v/>
      </c>
      <c r="Q36" s="23" t="str">
        <f>IF($B36 = 0,"",IF(_xll.CbondsTradingVolume($B36,Q$4,VLOOKUP($E36,'Help Page'!$L:$P,3,0))="Нет данных",0,_xll.CbondsTradingVolume($B36,Q$4,VLOOKUP($E36,'Help Page'!$L:$P,3,0))))</f>
        <v/>
      </c>
      <c r="R36" s="23" t="str">
        <f>IF($B36 = 0,"",IF(_xll.CbondsTradingVolume($B36,R$4,VLOOKUP($E36,'Help Page'!$L:$P,3,0))="Нет данных",0,_xll.CbondsTradingVolume($B36,R$4,VLOOKUP($E36,'Help Page'!$L:$P,3,0))))</f>
        <v/>
      </c>
      <c r="S36" s="23" t="str">
        <f>IF($B36 = 0,"",IF(_xll.CbondsTradingVolume($B36,S$4,VLOOKUP($E36,'Help Page'!$L:$P,3,0))="Нет данных",0,_xll.CbondsTradingVolume($B36,S$4,VLOOKUP($E36,'Help Page'!$L:$P,3,0))))</f>
        <v/>
      </c>
      <c r="T36" s="23" t="str">
        <f>IF($B36 = 0,"",IF(_xll.CbondsTradingVolume($B36,T$4,VLOOKUP($E36,'Help Page'!$L:$P,3,0))="Нет данных",0,_xll.CbondsTradingVolume($B36,T$4,VLOOKUP($E36,'Help Page'!$L:$P,3,0))))</f>
        <v/>
      </c>
      <c r="U36" s="23" t="str">
        <f>IF($B36 = 0,"",IF(_xll.CbondsTradingVolume($B36,U$4,VLOOKUP($E36,'Help Page'!$L:$P,3,0))="Нет данных",0,_xll.CbondsTradingVolume($B36,U$4,VLOOKUP($E36,'Help Page'!$L:$P,3,0))))</f>
        <v/>
      </c>
      <c r="V36" s="23" t="str">
        <f>IF($B36 = 0,"",IF(_xll.CbondsTradingVolume($B36,V$4,VLOOKUP($E36,'Help Page'!$L:$P,3,0))="Нет данных",0,_xll.CbondsTradingVolume($B36,V$4,VLOOKUP($E36,'Help Page'!$L:$P,3,0))))</f>
        <v/>
      </c>
      <c r="W36" s="23" t="str">
        <f>IF($B36 = 0,"",IF(_xll.CbondsTradingVolume($B36,W$4,VLOOKUP($E36,'Help Page'!$L:$P,3,0))="Нет данных",0,_xll.CbondsTradingVolume($B36,W$4,VLOOKUP($E36,'Help Page'!$L:$P,3,0))))</f>
        <v/>
      </c>
      <c r="X36" s="23" t="str">
        <f>IF($B36 = 0,"",IF(_xll.CbondsTradingVolume($B36,X$4,VLOOKUP($E36,'Help Page'!$L:$P,3,0))="Нет данных",0,_xll.CbondsTradingVolume($B36,X$4,VLOOKUP($E36,'Help Page'!$L:$P,3,0))))</f>
        <v/>
      </c>
      <c r="Y36" s="23" t="str">
        <f>IF($B36 = 0,"",IF(_xll.CbondsTradingVolume($B36,Y$4,VLOOKUP($E36,'Help Page'!$L:$P,3,0))="Нет данных",0,_xll.CbondsTradingVolume($B36,Y$4,VLOOKUP($E36,'Help Page'!$L:$P,3,0))))</f>
        <v/>
      </c>
      <c r="Z36" s="23" t="str">
        <f>IF($B36 = 0,"",IF(_xll.CbondsTradingVolume($B36,Z$4,VLOOKUP($E36,'Help Page'!$L:$P,3,0))="Нет данных",0,_xll.CbondsTradingVolume($B36,Z$4,VLOOKUP($E36,'Help Page'!$L:$P,3,0))))</f>
        <v/>
      </c>
      <c r="AA36" s="23" t="str">
        <f>IF($B36 = 0,"",IF(_xll.CbondsTradingVolume($B36,AA$4,VLOOKUP($E36,'Help Page'!$L:$P,3,0))="Нет данных",0,_xll.CbondsTradingVolume($B36,AA$4,VLOOKUP($E36,'Help Page'!$L:$P,3,0))))</f>
        <v/>
      </c>
      <c r="AB36" s="23" t="str">
        <f>IF($B36 = 0,"",IF(_xll.CbondsTradingVolume($B36,AB$4,VLOOKUP($E36,'Help Page'!$L:$P,3,0))="Нет данных",0,_xll.CbondsTradingVolume($B36,AB$4,VLOOKUP($E36,'Help Page'!$L:$P,3,0))))</f>
        <v/>
      </c>
      <c r="AC36" s="23" t="str">
        <f>IF($B36 = 0,"",IF(_xll.CbondsTradingVolume($B36,AC$4,VLOOKUP($E36,'Help Page'!$L:$P,3,0))="Нет данных",0,_xll.CbondsTradingVolume($B36,AC$4,VLOOKUP($E36,'Help Page'!$L:$P,3,0))))</f>
        <v/>
      </c>
      <c r="AD36" s="23" t="str">
        <f>IF($B36 = 0,"",IF(_xll.CbondsTradingVolume($B36,AD$4,VLOOKUP($E36,'Help Page'!$L:$P,3,0))="Нет данных",0,_xll.CbondsTradingVolume($B36,AD$4,VLOOKUP($E36,'Help Page'!$L:$P,3,0))))</f>
        <v/>
      </c>
      <c r="AE36" s="23" t="str">
        <f>IF($B36 = 0,"",IF(_xll.CbondsTradingVolume($B36,AE$4,VLOOKUP($E36,'Help Page'!$L:$P,3,0))="Нет данных",0,_xll.CbondsTradingVolume($B36,AE$4,VLOOKUP($E36,'Help Page'!$L:$P,3,0))))</f>
        <v/>
      </c>
      <c r="AF36" s="23" t="str">
        <f>IF($B36 = 0,"",IF(_xll.CbondsTradingVolume($B36,AF$4,VLOOKUP($E36,'Help Page'!$L:$P,3,0))="Нет данных",0,_xll.CbondsTradingVolume($B36,AF$4,VLOOKUP($E36,'Help Page'!$L:$P,3,0))))</f>
        <v/>
      </c>
      <c r="AG36" s="23" t="str">
        <f>IF($B36 = 0,"",IF(_xll.CbondsTradingVolume($B36,AG$4,VLOOKUP($E36,'Help Page'!$L:$P,3,0))="Нет данных",0,_xll.CbondsTradingVolume($B36,AG$4,VLOOKUP($E36,'Help Page'!$L:$P,3,0))))</f>
        <v/>
      </c>
      <c r="AH36" s="23" t="str">
        <f>IF($B36 = 0,"",IF(_xll.CbondsTradingVolume($B36,AH$4,VLOOKUP($E36,'Help Page'!$L:$P,3,0))="Нет данных",0,_xll.CbondsTradingVolume($B36,AH$4,VLOOKUP($E36,'Help Page'!$L:$P,3,0))))</f>
        <v/>
      </c>
      <c r="AI36" s="23" t="str">
        <f>IF($B36 = 0,"",IF(_xll.CbondsTradingVolume($B36,AI$4,VLOOKUP($E36,'Help Page'!$L:$P,3,0))="Нет данных",0,_xll.CbondsTradingVolume($B36,AI$4,VLOOKUP($E36,'Help Page'!$L:$P,3,0))))</f>
        <v/>
      </c>
      <c r="AJ36" s="171">
        <f>SUM(F36:AI36)*VLOOKUP($E36,'Help Page'!$L:$P,5,0)</f>
        <v>0</v>
      </c>
      <c r="AK36" s="76" t="str">
        <f>IF($B36 = 0,"",IF(_xll.CbondsDealsNumber($B36,AK$4,VLOOKUP($E36,'Help Page'!$L:$P,3,0))="Нет данных",0,_xll.CbondsDealsNumber($B36,AK$4,VLOOKUP($E36,'Help Page'!$L:$P,3,0))))</f>
        <v/>
      </c>
      <c r="AL36" s="76" t="str">
        <f>IF($B36 = 0,"",IF(_xll.CbondsDealsNumber($B36,AL$4,VLOOKUP($E36,'Help Page'!$L:$P,3,0))="Нет данных",0,_xll.CbondsDealsNumber($B36,AL$4,VLOOKUP($E36,'Help Page'!$L:$P,3,0))))</f>
        <v/>
      </c>
      <c r="AM36" s="76" t="str">
        <f>IF($B36 = 0,"",IF(_xll.CbondsDealsNumber($B36,AM$4,VLOOKUP($E36,'Help Page'!$L:$P,3,0))="Нет данных",0,_xll.CbondsDealsNumber($B36,AM$4,VLOOKUP($E36,'Help Page'!$L:$P,3,0))))</f>
        <v/>
      </c>
      <c r="AN36" s="76" t="str">
        <f>IF($B36 = 0,"",IF(_xll.CbondsDealsNumber($B36,AN$4,VLOOKUP($E36,'Help Page'!$L:$P,3,0))="Нет данных",0,_xll.CbondsDealsNumber($B36,AN$4,VLOOKUP($E36,'Help Page'!$L:$P,3,0))))</f>
        <v/>
      </c>
      <c r="AO36" s="76" t="str">
        <f>IF($B36 = 0,"",IF(_xll.CbondsDealsNumber($B36,AO$4,VLOOKUP($E36,'Help Page'!$L:$P,3,0))="Нет данных",0,_xll.CbondsDealsNumber($B36,AO$4,VLOOKUP($E36,'Help Page'!$L:$P,3,0))))</f>
        <v/>
      </c>
      <c r="AP36" s="76" t="str">
        <f>IF($B36 = 0,"",IF(_xll.CbondsDealsNumber($B36,AP$4,VLOOKUP($E36,'Help Page'!$L:$P,3,0))="Нет данных",0,_xll.CbondsDealsNumber($B36,AP$4,VLOOKUP($E36,'Help Page'!$L:$P,3,0))))</f>
        <v/>
      </c>
      <c r="AQ36" s="76" t="str">
        <f>IF($B36 = 0,"",IF(_xll.CbondsDealsNumber($B36,AQ$4,VLOOKUP($E36,'Help Page'!$L:$P,3,0))="Нет данных",0,_xll.CbondsDealsNumber($B36,AQ$4,VLOOKUP($E36,'Help Page'!$L:$P,3,0))))</f>
        <v/>
      </c>
      <c r="AR36" s="76" t="str">
        <f>IF($B36 = 0,"",IF(_xll.CbondsDealsNumber($B36,AR$4,VLOOKUP($E36,'Help Page'!$L:$P,3,0))="Нет данных",0,_xll.CbondsDealsNumber($B36,AR$4,VLOOKUP($E36,'Help Page'!$L:$P,3,0))))</f>
        <v/>
      </c>
      <c r="AS36" s="76" t="str">
        <f>IF($B36 = 0,"",IF(_xll.CbondsDealsNumber($B36,AS$4,VLOOKUP($E36,'Help Page'!$L:$P,3,0))="Нет данных",0,_xll.CbondsDealsNumber($B36,AS$4,VLOOKUP($E36,'Help Page'!$L:$P,3,0))))</f>
        <v/>
      </c>
      <c r="AT36" s="76" t="str">
        <f>IF($B36 = 0,"",IF(_xll.CbondsDealsNumber($B36,AT$4,VLOOKUP($E36,'Help Page'!$L:$P,3,0))="Нет данных",0,_xll.CbondsDealsNumber($B36,AT$4,VLOOKUP($E36,'Help Page'!$L:$P,3,0))))</f>
        <v/>
      </c>
      <c r="AU36" s="76" t="str">
        <f>IF($B36 = 0,"",IF(_xll.CbondsDealsNumber($B36,AU$4,VLOOKUP($E36,'Help Page'!$L:$P,3,0))="Нет данных",0,_xll.CbondsDealsNumber($B36,AU$4,VLOOKUP($E36,'Help Page'!$L:$P,3,0))))</f>
        <v/>
      </c>
      <c r="AV36" s="76" t="str">
        <f>IF($B36 = 0,"",IF(_xll.CbondsDealsNumber($B36,AV$4,VLOOKUP($E36,'Help Page'!$L:$P,3,0))="Нет данных",0,_xll.CbondsDealsNumber($B36,AV$4,VLOOKUP($E36,'Help Page'!$L:$P,3,0))))</f>
        <v/>
      </c>
      <c r="AW36" s="76" t="str">
        <f>IF($B36 = 0,"",IF(_xll.CbondsDealsNumber($B36,AW$4,VLOOKUP($E36,'Help Page'!$L:$P,3,0))="Нет данных",0,_xll.CbondsDealsNumber($B36,AW$4,VLOOKUP($E36,'Help Page'!$L:$P,3,0))))</f>
        <v/>
      </c>
      <c r="AX36" s="76" t="str">
        <f>IF($B36 = 0,"",IF(_xll.CbondsDealsNumber($B36,AX$4,VLOOKUP($E36,'Help Page'!$L:$P,3,0))="Нет данных",0,_xll.CbondsDealsNumber($B36,AX$4,VLOOKUP($E36,'Help Page'!$L:$P,3,0))))</f>
        <v/>
      </c>
      <c r="AY36" s="76" t="str">
        <f>IF($B36 = 0,"",IF(_xll.CbondsDealsNumber($B36,AY$4,VLOOKUP($E36,'Help Page'!$L:$P,3,0))="Нет данных",0,_xll.CbondsDealsNumber($B36,AY$4,VLOOKUP($E36,'Help Page'!$L:$P,3,0))))</f>
        <v/>
      </c>
      <c r="AZ36" s="76" t="str">
        <f>IF($B36 = 0,"",IF(_xll.CbondsDealsNumber($B36,AZ$4,VLOOKUP($E36,'Help Page'!$L:$P,3,0))="Нет данных",0,_xll.CbondsDealsNumber($B36,AZ$4,VLOOKUP($E36,'Help Page'!$L:$P,3,0))))</f>
        <v/>
      </c>
      <c r="BA36" s="76" t="str">
        <f>IF($B36 = 0,"",IF(_xll.CbondsDealsNumber($B36,BA$4,VLOOKUP($E36,'Help Page'!$L:$P,3,0))="Нет данных",0,_xll.CbondsDealsNumber($B36,BA$4,VLOOKUP($E36,'Help Page'!$L:$P,3,0))))</f>
        <v/>
      </c>
      <c r="BB36" s="76" t="str">
        <f>IF($B36 = 0,"",IF(_xll.CbondsDealsNumber($B36,BB$4,VLOOKUP($E36,'Help Page'!$L:$P,3,0))="Нет данных",0,_xll.CbondsDealsNumber($B36,BB$4,VLOOKUP($E36,'Help Page'!$L:$P,3,0))))</f>
        <v/>
      </c>
      <c r="BC36" s="76" t="str">
        <f>IF($B36 = 0,"",IF(_xll.CbondsDealsNumber($B36,BC$4,VLOOKUP($E36,'Help Page'!$L:$P,3,0))="Нет данных",0,_xll.CbondsDealsNumber($B36,BC$4,VLOOKUP($E36,'Help Page'!$L:$P,3,0))))</f>
        <v/>
      </c>
      <c r="BD36" s="76" t="str">
        <f>IF($B36 = 0,"",IF(_xll.CbondsDealsNumber($B36,BD$4,VLOOKUP($E36,'Help Page'!$L:$P,3,0))="Нет данных",0,_xll.CbondsDealsNumber($B36,BD$4,VLOOKUP($E36,'Help Page'!$L:$P,3,0))))</f>
        <v/>
      </c>
      <c r="BE36" s="76" t="str">
        <f>IF($B36 = 0,"",IF(_xll.CbondsDealsNumber($B36,BE$4,VLOOKUP($E36,'Help Page'!$L:$P,3,0))="Нет данных",0,_xll.CbondsDealsNumber($B36,BE$4,VLOOKUP($E36,'Help Page'!$L:$P,3,0))))</f>
        <v/>
      </c>
      <c r="BF36" s="76" t="str">
        <f>IF($B36 = 0,"",IF(_xll.CbondsDealsNumber($B36,BF$4,VLOOKUP($E36,'Help Page'!$L:$P,3,0))="Нет данных",0,_xll.CbondsDealsNumber($B36,BF$4,VLOOKUP($E36,'Help Page'!$L:$P,3,0))))</f>
        <v/>
      </c>
      <c r="BG36" s="76" t="str">
        <f>IF($B36 = 0,"",IF(_xll.CbondsDealsNumber($B36,BG$4,VLOOKUP($E36,'Help Page'!$L:$P,3,0))="Нет данных",0,_xll.CbondsDealsNumber($B36,BG$4,VLOOKUP($E36,'Help Page'!$L:$P,3,0))))</f>
        <v/>
      </c>
      <c r="BH36" s="76" t="str">
        <f>IF($B36 = 0,"",IF(_xll.CbondsDealsNumber($B36,BH$4,VLOOKUP($E36,'Help Page'!$L:$P,3,0))="Нет данных",0,_xll.CbondsDealsNumber($B36,BH$4,VLOOKUP($E36,'Help Page'!$L:$P,3,0))))</f>
        <v/>
      </c>
      <c r="BI36" s="76" t="str">
        <f>IF($B36 = 0,"",IF(_xll.CbondsDealsNumber($B36,BI$4,VLOOKUP($E36,'Help Page'!$L:$P,3,0))="Нет данных",0,_xll.CbondsDealsNumber($B36,BI$4,VLOOKUP($E36,'Help Page'!$L:$P,3,0))))</f>
        <v/>
      </c>
      <c r="BJ36" s="76" t="str">
        <f>IF($B36 = 0,"",IF(_xll.CbondsDealsNumber($B36,BJ$4,VLOOKUP($E36,'Help Page'!$L:$P,3,0))="Нет данных",0,_xll.CbondsDealsNumber($B36,BJ$4,VLOOKUP($E36,'Help Page'!$L:$P,3,0))))</f>
        <v/>
      </c>
      <c r="BK36" s="76" t="str">
        <f>IF($B36 = 0,"",IF(_xll.CbondsDealsNumber($B36,BK$4,VLOOKUP($E36,'Help Page'!$L:$P,3,0))="Нет данных",0,_xll.CbondsDealsNumber($B36,BK$4,VLOOKUP($E36,'Help Page'!$L:$P,3,0))))</f>
        <v/>
      </c>
      <c r="BL36" s="76" t="str">
        <f>IF($B36 = 0,"",IF(_xll.CbondsDealsNumber($B36,BL$4,VLOOKUP($E36,'Help Page'!$L:$P,3,0))="Нет данных",0,_xll.CbondsDealsNumber($B36,BL$4,VLOOKUP($E36,'Help Page'!$L:$P,3,0))))</f>
        <v/>
      </c>
      <c r="BM36" s="76" t="str">
        <f>IF($B36 = 0,"",IF(_xll.CbondsDealsNumber($B36,BM$4,VLOOKUP($E36,'Help Page'!$L:$P,3,0))="Нет данных",0,_xll.CbondsDealsNumber($B36,BM$4,VLOOKUP($E36,'Help Page'!$L:$P,3,0))))</f>
        <v/>
      </c>
      <c r="BN36" s="76" t="str">
        <f>IF($B36 = 0,"",IF(_xll.CbondsDealsNumber($B36,BN$4,VLOOKUP($E36,'Help Page'!$L:$P,3,0))="Нет данных",0,_xll.CbondsDealsNumber($B36,BN$4,VLOOKUP($E36,'Help Page'!$L:$P,3,0))))</f>
        <v/>
      </c>
      <c r="BO36" s="156">
        <f t="shared" ref="BO36:BO38" si="15">SUM(AK36:BN36)</f>
        <v>0</v>
      </c>
      <c r="BP36" s="156">
        <f>COUNTIF(AK36:BN36, "&gt;0")</f>
        <v>0</v>
      </c>
    </row>
    <row r="37" spans="1:68" x14ac:dyDescent="0.3">
      <c r="A37" s="18">
        <v>6</v>
      </c>
      <c r="B37" s="143">
        <f>Calculation!$J$31</f>
        <v>0</v>
      </c>
      <c r="C37" s="143" t="str">
        <f>IF($B37 = 0,"",_xll.CbondsCurrency(B37))</f>
        <v/>
      </c>
      <c r="D37" s="148" t="str">
        <f>IF($B37 = 0,"",_xll.ReferenceParams(B37,"SumMarketVal"))</f>
        <v/>
      </c>
      <c r="E37" s="143" t="s">
        <v>2078</v>
      </c>
      <c r="F37" s="23" t="str">
        <f>IF($B37 = 0,"",IF(_xll.CbondsTradingVolume($B37,F$4,VLOOKUP($E37,'Help Page'!$L:$P,3,0))="Нет данных",0,_xll.CbondsTradingVolume($B37,F$4,VLOOKUP($E37,'Help Page'!$L:$P,3,0))))</f>
        <v/>
      </c>
      <c r="G37" s="23" t="str">
        <f>IF($B37 = 0,"",IF(_xll.CbondsTradingVolume($B37,G$4,VLOOKUP($E37,'Help Page'!$L:$P,3,0))="Нет данных",0,_xll.CbondsTradingVolume($B37,G$4,VLOOKUP($E37,'Help Page'!$L:$P,3,0))))</f>
        <v/>
      </c>
      <c r="H37" s="23" t="str">
        <f>IF($B37 = 0,"",IF(_xll.CbondsTradingVolume($B37,H$4,VLOOKUP($E37,'Help Page'!$L:$P,3,0))="Нет данных",0,_xll.CbondsTradingVolume($B37,H$4,VLOOKUP($E37,'Help Page'!$L:$P,3,0))))</f>
        <v/>
      </c>
      <c r="I37" s="23" t="str">
        <f>IF($B37 = 0,"",IF(_xll.CbondsTradingVolume($B37,I$4,VLOOKUP($E37,'Help Page'!$L:$P,3,0))="Нет данных",0,_xll.CbondsTradingVolume($B37,I$4,VLOOKUP($E37,'Help Page'!$L:$P,3,0))))</f>
        <v/>
      </c>
      <c r="J37" s="23" t="str">
        <f>IF($B37 = 0,"",IF(_xll.CbondsTradingVolume($B37,J$4,VLOOKUP($E37,'Help Page'!$L:$P,3,0))="Нет данных",0,_xll.CbondsTradingVolume($B37,J$4,VLOOKUP($E37,'Help Page'!$L:$P,3,0))))</f>
        <v/>
      </c>
      <c r="K37" s="23" t="str">
        <f>IF($B37 = 0,"",IF(_xll.CbondsTradingVolume($B37,K$4,VLOOKUP($E37,'Help Page'!$L:$P,3,0))="Нет данных",0,_xll.CbondsTradingVolume($B37,K$4,VLOOKUP($E37,'Help Page'!$L:$P,3,0))))</f>
        <v/>
      </c>
      <c r="L37" s="23" t="str">
        <f>IF($B37 = 0,"",IF(_xll.CbondsTradingVolume($B37,L$4,VLOOKUP($E37,'Help Page'!$L:$P,3,0))="Нет данных",0,_xll.CbondsTradingVolume($B37,L$4,VLOOKUP($E37,'Help Page'!$L:$P,3,0))))</f>
        <v/>
      </c>
      <c r="M37" s="23" t="str">
        <f>IF($B37 = 0,"",IF(_xll.CbondsTradingVolume($B37,M$4,VLOOKUP($E37,'Help Page'!$L:$P,3,0))="Нет данных",0,_xll.CbondsTradingVolume($B37,M$4,VLOOKUP($E37,'Help Page'!$L:$P,3,0))))</f>
        <v/>
      </c>
      <c r="N37" s="23" t="str">
        <f>IF($B37 = 0,"",IF(_xll.CbondsTradingVolume($B37,N$4,VLOOKUP($E37,'Help Page'!$L:$P,3,0))="Нет данных",0,_xll.CbondsTradingVolume($B37,N$4,VLOOKUP($E37,'Help Page'!$L:$P,3,0))))</f>
        <v/>
      </c>
      <c r="O37" s="23" t="str">
        <f>IF($B37 = 0,"",IF(_xll.CbondsTradingVolume($B37,O$4,VLOOKUP($E37,'Help Page'!$L:$P,3,0))="Нет данных",0,_xll.CbondsTradingVolume($B37,O$4,VLOOKUP($E37,'Help Page'!$L:$P,3,0))))</f>
        <v/>
      </c>
      <c r="P37" s="23" t="str">
        <f>IF($B37 = 0,"",IF(_xll.CbondsTradingVolume($B37,P$4,VLOOKUP($E37,'Help Page'!$L:$P,3,0))="Нет данных",0,_xll.CbondsTradingVolume($B37,P$4,VLOOKUP($E37,'Help Page'!$L:$P,3,0))))</f>
        <v/>
      </c>
      <c r="Q37" s="23" t="str">
        <f>IF($B37 = 0,"",IF(_xll.CbondsTradingVolume($B37,Q$4,VLOOKUP($E37,'Help Page'!$L:$P,3,0))="Нет данных",0,_xll.CbondsTradingVolume($B37,Q$4,VLOOKUP($E37,'Help Page'!$L:$P,3,0))))</f>
        <v/>
      </c>
      <c r="R37" s="23" t="str">
        <f>IF($B37 = 0,"",IF(_xll.CbondsTradingVolume($B37,R$4,VLOOKUP($E37,'Help Page'!$L:$P,3,0))="Нет данных",0,_xll.CbondsTradingVolume($B37,R$4,VLOOKUP($E37,'Help Page'!$L:$P,3,0))))</f>
        <v/>
      </c>
      <c r="S37" s="23" t="str">
        <f>IF($B37 = 0,"",IF(_xll.CbondsTradingVolume($B37,S$4,VLOOKUP($E37,'Help Page'!$L:$P,3,0))="Нет данных",0,_xll.CbondsTradingVolume($B37,S$4,VLOOKUP($E37,'Help Page'!$L:$P,3,0))))</f>
        <v/>
      </c>
      <c r="T37" s="23" t="str">
        <f>IF($B37 = 0,"",IF(_xll.CbondsTradingVolume($B37,T$4,VLOOKUP($E37,'Help Page'!$L:$P,3,0))="Нет данных",0,_xll.CbondsTradingVolume($B37,T$4,VLOOKUP($E37,'Help Page'!$L:$P,3,0))))</f>
        <v/>
      </c>
      <c r="U37" s="23" t="str">
        <f>IF($B37 = 0,"",IF(_xll.CbondsTradingVolume($B37,U$4,VLOOKUP($E37,'Help Page'!$L:$P,3,0))="Нет данных",0,_xll.CbondsTradingVolume($B37,U$4,VLOOKUP($E37,'Help Page'!$L:$P,3,0))))</f>
        <v/>
      </c>
      <c r="V37" s="23" t="str">
        <f>IF($B37 = 0,"",IF(_xll.CbondsTradingVolume($B37,V$4,VLOOKUP($E37,'Help Page'!$L:$P,3,0))="Нет данных",0,_xll.CbondsTradingVolume($B37,V$4,VLOOKUP($E37,'Help Page'!$L:$P,3,0))))</f>
        <v/>
      </c>
      <c r="W37" s="23" t="str">
        <f>IF($B37 = 0,"",IF(_xll.CbondsTradingVolume($B37,W$4,VLOOKUP($E37,'Help Page'!$L:$P,3,0))="Нет данных",0,_xll.CbondsTradingVolume($B37,W$4,VLOOKUP($E37,'Help Page'!$L:$P,3,0))))</f>
        <v/>
      </c>
      <c r="X37" s="23" t="str">
        <f>IF($B37 = 0,"",IF(_xll.CbondsTradingVolume($B37,X$4,VLOOKUP($E37,'Help Page'!$L:$P,3,0))="Нет данных",0,_xll.CbondsTradingVolume($B37,X$4,VLOOKUP($E37,'Help Page'!$L:$P,3,0))))</f>
        <v/>
      </c>
      <c r="Y37" s="23" t="str">
        <f>IF($B37 = 0,"",IF(_xll.CbondsTradingVolume($B37,Y$4,VLOOKUP($E37,'Help Page'!$L:$P,3,0))="Нет данных",0,_xll.CbondsTradingVolume($B37,Y$4,VLOOKUP($E37,'Help Page'!$L:$P,3,0))))</f>
        <v/>
      </c>
      <c r="Z37" s="23" t="str">
        <f>IF($B37 = 0,"",IF(_xll.CbondsTradingVolume($B37,Z$4,VLOOKUP($E37,'Help Page'!$L:$P,3,0))="Нет данных",0,_xll.CbondsTradingVolume($B37,Z$4,VLOOKUP($E37,'Help Page'!$L:$P,3,0))))</f>
        <v/>
      </c>
      <c r="AA37" s="23" t="str">
        <f>IF($B37 = 0,"",IF(_xll.CbondsTradingVolume($B37,AA$4,VLOOKUP($E37,'Help Page'!$L:$P,3,0))="Нет данных",0,_xll.CbondsTradingVolume($B37,AA$4,VLOOKUP($E37,'Help Page'!$L:$P,3,0))))</f>
        <v/>
      </c>
      <c r="AB37" s="23" t="str">
        <f>IF($B37 = 0,"",IF(_xll.CbondsTradingVolume($B37,AB$4,VLOOKUP($E37,'Help Page'!$L:$P,3,0))="Нет данных",0,_xll.CbondsTradingVolume($B37,AB$4,VLOOKUP($E37,'Help Page'!$L:$P,3,0))))</f>
        <v/>
      </c>
      <c r="AC37" s="23" t="str">
        <f>IF($B37 = 0,"",IF(_xll.CbondsTradingVolume($B37,AC$4,VLOOKUP($E37,'Help Page'!$L:$P,3,0))="Нет данных",0,_xll.CbondsTradingVolume($B37,AC$4,VLOOKUP($E37,'Help Page'!$L:$P,3,0))))</f>
        <v/>
      </c>
      <c r="AD37" s="23" t="str">
        <f>IF($B37 = 0,"",IF(_xll.CbondsTradingVolume($B37,AD$4,VLOOKUP($E37,'Help Page'!$L:$P,3,0))="Нет данных",0,_xll.CbondsTradingVolume($B37,AD$4,VLOOKUP($E37,'Help Page'!$L:$P,3,0))))</f>
        <v/>
      </c>
      <c r="AE37" s="23" t="str">
        <f>IF($B37 = 0,"",IF(_xll.CbondsTradingVolume($B37,AE$4,VLOOKUP($E37,'Help Page'!$L:$P,3,0))="Нет данных",0,_xll.CbondsTradingVolume($B37,AE$4,VLOOKUP($E37,'Help Page'!$L:$P,3,0))))</f>
        <v/>
      </c>
      <c r="AF37" s="23" t="str">
        <f>IF($B37 = 0,"",IF(_xll.CbondsTradingVolume($B37,AF$4,VLOOKUP($E37,'Help Page'!$L:$P,3,0))="Нет данных",0,_xll.CbondsTradingVolume($B37,AF$4,VLOOKUP($E37,'Help Page'!$L:$P,3,0))))</f>
        <v/>
      </c>
      <c r="AG37" s="23" t="str">
        <f>IF($B37 = 0,"",IF(_xll.CbondsTradingVolume($B37,AG$4,VLOOKUP($E37,'Help Page'!$L:$P,3,0))="Нет данных",0,_xll.CbondsTradingVolume($B37,AG$4,VLOOKUP($E37,'Help Page'!$L:$P,3,0))))</f>
        <v/>
      </c>
      <c r="AH37" s="23" t="str">
        <f>IF($B37 = 0,"",IF(_xll.CbondsTradingVolume($B37,AH$4,VLOOKUP($E37,'Help Page'!$L:$P,3,0))="Нет данных",0,_xll.CbondsTradingVolume($B37,AH$4,VLOOKUP($E37,'Help Page'!$L:$P,3,0))))</f>
        <v/>
      </c>
      <c r="AI37" s="23" t="str">
        <f>IF($B37 = 0,"",IF(_xll.CbondsTradingVolume($B37,AI$4,VLOOKUP($E37,'Help Page'!$L:$P,3,0))="Нет данных",0,_xll.CbondsTradingVolume($B37,AI$4,VLOOKUP($E37,'Help Page'!$L:$P,3,0))))</f>
        <v/>
      </c>
      <c r="AJ37" s="171">
        <f>SUM(F37:AI37)*VLOOKUP($E37,'Help Page'!$L:$P,5,0)</f>
        <v>0</v>
      </c>
      <c r="AK37" s="76" t="str">
        <f>IF($B37 = 0,"",IF(_xll.CbondsDealsNumber($B37,AK$4,VLOOKUP($E37,'Help Page'!$L:$P,3,0))="Нет данных",0,_xll.CbondsDealsNumber($B37,AK$4,VLOOKUP($E37,'Help Page'!$L:$P,3,0))))</f>
        <v/>
      </c>
      <c r="AL37" s="76" t="str">
        <f>IF($B37 = 0,"",IF(_xll.CbondsDealsNumber($B37,AL$4,VLOOKUP($E37,'Help Page'!$L:$P,3,0))="Нет данных",0,_xll.CbondsDealsNumber($B37,AL$4,VLOOKUP($E37,'Help Page'!$L:$P,3,0))))</f>
        <v/>
      </c>
      <c r="AM37" s="76" t="str">
        <f>IF($B37 = 0,"",IF(_xll.CbondsDealsNumber($B37,AM$4,VLOOKUP($E37,'Help Page'!$L:$P,3,0))="Нет данных",0,_xll.CbondsDealsNumber($B37,AM$4,VLOOKUP($E37,'Help Page'!$L:$P,3,0))))</f>
        <v/>
      </c>
      <c r="AN37" s="76" t="str">
        <f>IF($B37 = 0,"",IF(_xll.CbondsDealsNumber($B37,AN$4,VLOOKUP($E37,'Help Page'!$L:$P,3,0))="Нет данных",0,_xll.CbondsDealsNumber($B37,AN$4,VLOOKUP($E37,'Help Page'!$L:$P,3,0))))</f>
        <v/>
      </c>
      <c r="AO37" s="76" t="str">
        <f>IF($B37 = 0,"",IF(_xll.CbondsDealsNumber($B37,AO$4,VLOOKUP($E37,'Help Page'!$L:$P,3,0))="Нет данных",0,_xll.CbondsDealsNumber($B37,AO$4,VLOOKUP($E37,'Help Page'!$L:$P,3,0))))</f>
        <v/>
      </c>
      <c r="AP37" s="76" t="str">
        <f>IF($B37 = 0,"",IF(_xll.CbondsDealsNumber($B37,AP$4,VLOOKUP($E37,'Help Page'!$L:$P,3,0))="Нет данных",0,_xll.CbondsDealsNumber($B37,AP$4,VLOOKUP($E37,'Help Page'!$L:$P,3,0))))</f>
        <v/>
      </c>
      <c r="AQ37" s="76" t="str">
        <f>IF($B37 = 0,"",IF(_xll.CbondsDealsNumber($B37,AQ$4,VLOOKUP($E37,'Help Page'!$L:$P,3,0))="Нет данных",0,_xll.CbondsDealsNumber($B37,AQ$4,VLOOKUP($E37,'Help Page'!$L:$P,3,0))))</f>
        <v/>
      </c>
      <c r="AR37" s="76" t="str">
        <f>IF($B37 = 0,"",IF(_xll.CbondsDealsNumber($B37,AR$4,VLOOKUP($E37,'Help Page'!$L:$P,3,0))="Нет данных",0,_xll.CbondsDealsNumber($B37,AR$4,VLOOKUP($E37,'Help Page'!$L:$P,3,0))))</f>
        <v/>
      </c>
      <c r="AS37" s="76" t="str">
        <f>IF($B37 = 0,"",IF(_xll.CbondsDealsNumber($B37,AS$4,VLOOKUP($E37,'Help Page'!$L:$P,3,0))="Нет данных",0,_xll.CbondsDealsNumber($B37,AS$4,VLOOKUP($E37,'Help Page'!$L:$P,3,0))))</f>
        <v/>
      </c>
      <c r="AT37" s="76" t="str">
        <f>IF($B37 = 0,"",IF(_xll.CbondsDealsNumber($B37,AT$4,VLOOKUP($E37,'Help Page'!$L:$P,3,0))="Нет данных",0,_xll.CbondsDealsNumber($B37,AT$4,VLOOKUP($E37,'Help Page'!$L:$P,3,0))))</f>
        <v/>
      </c>
      <c r="AU37" s="76" t="str">
        <f>IF($B37 = 0,"",IF(_xll.CbondsDealsNumber($B37,AU$4,VLOOKUP($E37,'Help Page'!$L:$P,3,0))="Нет данных",0,_xll.CbondsDealsNumber($B37,AU$4,VLOOKUP($E37,'Help Page'!$L:$P,3,0))))</f>
        <v/>
      </c>
      <c r="AV37" s="76" t="str">
        <f>IF($B37 = 0,"",IF(_xll.CbondsDealsNumber($B37,AV$4,VLOOKUP($E37,'Help Page'!$L:$P,3,0))="Нет данных",0,_xll.CbondsDealsNumber($B37,AV$4,VLOOKUP($E37,'Help Page'!$L:$P,3,0))))</f>
        <v/>
      </c>
      <c r="AW37" s="76" t="str">
        <f>IF($B37 = 0,"",IF(_xll.CbondsDealsNumber($B37,AW$4,VLOOKUP($E37,'Help Page'!$L:$P,3,0))="Нет данных",0,_xll.CbondsDealsNumber($B37,AW$4,VLOOKUP($E37,'Help Page'!$L:$P,3,0))))</f>
        <v/>
      </c>
      <c r="AX37" s="76" t="str">
        <f>IF($B37 = 0,"",IF(_xll.CbondsDealsNumber($B37,AX$4,VLOOKUP($E37,'Help Page'!$L:$P,3,0))="Нет данных",0,_xll.CbondsDealsNumber($B37,AX$4,VLOOKUP($E37,'Help Page'!$L:$P,3,0))))</f>
        <v/>
      </c>
      <c r="AY37" s="76" t="str">
        <f>IF($B37 = 0,"",IF(_xll.CbondsDealsNumber($B37,AY$4,VLOOKUP($E37,'Help Page'!$L:$P,3,0))="Нет данных",0,_xll.CbondsDealsNumber($B37,AY$4,VLOOKUP($E37,'Help Page'!$L:$P,3,0))))</f>
        <v/>
      </c>
      <c r="AZ37" s="76" t="str">
        <f>IF($B37 = 0,"",IF(_xll.CbondsDealsNumber($B37,AZ$4,VLOOKUP($E37,'Help Page'!$L:$P,3,0))="Нет данных",0,_xll.CbondsDealsNumber($B37,AZ$4,VLOOKUP($E37,'Help Page'!$L:$P,3,0))))</f>
        <v/>
      </c>
      <c r="BA37" s="76" t="str">
        <f>IF($B37 = 0,"",IF(_xll.CbondsDealsNumber($B37,BA$4,VLOOKUP($E37,'Help Page'!$L:$P,3,0))="Нет данных",0,_xll.CbondsDealsNumber($B37,BA$4,VLOOKUP($E37,'Help Page'!$L:$P,3,0))))</f>
        <v/>
      </c>
      <c r="BB37" s="76" t="str">
        <f>IF($B37 = 0,"",IF(_xll.CbondsDealsNumber($B37,BB$4,VLOOKUP($E37,'Help Page'!$L:$P,3,0))="Нет данных",0,_xll.CbondsDealsNumber($B37,BB$4,VLOOKUP($E37,'Help Page'!$L:$P,3,0))))</f>
        <v/>
      </c>
      <c r="BC37" s="76" t="str">
        <f>IF($B37 = 0,"",IF(_xll.CbondsDealsNumber($B37,BC$4,VLOOKUP($E37,'Help Page'!$L:$P,3,0))="Нет данных",0,_xll.CbondsDealsNumber($B37,BC$4,VLOOKUP($E37,'Help Page'!$L:$P,3,0))))</f>
        <v/>
      </c>
      <c r="BD37" s="76" t="str">
        <f>IF($B37 = 0,"",IF(_xll.CbondsDealsNumber($B37,BD$4,VLOOKUP($E37,'Help Page'!$L:$P,3,0))="Нет данных",0,_xll.CbondsDealsNumber($B37,BD$4,VLOOKUP($E37,'Help Page'!$L:$P,3,0))))</f>
        <v/>
      </c>
      <c r="BE37" s="76" t="str">
        <f>IF($B37 = 0,"",IF(_xll.CbondsDealsNumber($B37,BE$4,VLOOKUP($E37,'Help Page'!$L:$P,3,0))="Нет данных",0,_xll.CbondsDealsNumber($B37,BE$4,VLOOKUP($E37,'Help Page'!$L:$P,3,0))))</f>
        <v/>
      </c>
      <c r="BF37" s="76" t="str">
        <f>IF($B37 = 0,"",IF(_xll.CbondsDealsNumber($B37,BF$4,VLOOKUP($E37,'Help Page'!$L:$P,3,0))="Нет данных",0,_xll.CbondsDealsNumber($B37,BF$4,VLOOKUP($E37,'Help Page'!$L:$P,3,0))))</f>
        <v/>
      </c>
      <c r="BG37" s="76" t="str">
        <f>IF($B37 = 0,"",IF(_xll.CbondsDealsNumber($B37,BG$4,VLOOKUP($E37,'Help Page'!$L:$P,3,0))="Нет данных",0,_xll.CbondsDealsNumber($B37,BG$4,VLOOKUP($E37,'Help Page'!$L:$P,3,0))))</f>
        <v/>
      </c>
      <c r="BH37" s="76" t="str">
        <f>IF($B37 = 0,"",IF(_xll.CbondsDealsNumber($B37,BH$4,VLOOKUP($E37,'Help Page'!$L:$P,3,0))="Нет данных",0,_xll.CbondsDealsNumber($B37,BH$4,VLOOKUP($E37,'Help Page'!$L:$P,3,0))))</f>
        <v/>
      </c>
      <c r="BI37" s="76" t="str">
        <f>IF($B37 = 0,"",IF(_xll.CbondsDealsNumber($B37,BI$4,VLOOKUP($E37,'Help Page'!$L:$P,3,0))="Нет данных",0,_xll.CbondsDealsNumber($B37,BI$4,VLOOKUP($E37,'Help Page'!$L:$P,3,0))))</f>
        <v/>
      </c>
      <c r="BJ37" s="76" t="str">
        <f>IF($B37 = 0,"",IF(_xll.CbondsDealsNumber($B37,BJ$4,VLOOKUP($E37,'Help Page'!$L:$P,3,0))="Нет данных",0,_xll.CbondsDealsNumber($B37,BJ$4,VLOOKUP($E37,'Help Page'!$L:$P,3,0))))</f>
        <v/>
      </c>
      <c r="BK37" s="76" t="str">
        <f>IF($B37 = 0,"",IF(_xll.CbondsDealsNumber($B37,BK$4,VLOOKUP($E37,'Help Page'!$L:$P,3,0))="Нет данных",0,_xll.CbondsDealsNumber($B37,BK$4,VLOOKUP($E37,'Help Page'!$L:$P,3,0))))</f>
        <v/>
      </c>
      <c r="BL37" s="76" t="str">
        <f>IF($B37 = 0,"",IF(_xll.CbondsDealsNumber($B37,BL$4,VLOOKUP($E37,'Help Page'!$L:$P,3,0))="Нет данных",0,_xll.CbondsDealsNumber($B37,BL$4,VLOOKUP($E37,'Help Page'!$L:$P,3,0))))</f>
        <v/>
      </c>
      <c r="BM37" s="76" t="str">
        <f>IF($B37 = 0,"",IF(_xll.CbondsDealsNumber($B37,BM$4,VLOOKUP($E37,'Help Page'!$L:$P,3,0))="Нет данных",0,_xll.CbondsDealsNumber($B37,BM$4,VLOOKUP($E37,'Help Page'!$L:$P,3,0))))</f>
        <v/>
      </c>
      <c r="BN37" s="76" t="str">
        <f>IF($B37 = 0,"",IF(_xll.CbondsDealsNumber($B37,BN$4,VLOOKUP($E37,'Help Page'!$L:$P,3,0))="Нет данных",0,_xll.CbondsDealsNumber($B37,BN$4,VLOOKUP($E37,'Help Page'!$L:$P,3,0))))</f>
        <v/>
      </c>
      <c r="BO37" s="156">
        <f t="shared" si="15"/>
        <v>0</v>
      </c>
      <c r="BP37" s="156">
        <f t="shared" ref="BP37" si="16">COUNTIF(AK37:BN37, "&gt;0")</f>
        <v>0</v>
      </c>
    </row>
    <row r="38" spans="1:68" x14ac:dyDescent="0.3">
      <c r="A38" s="18">
        <v>6</v>
      </c>
      <c r="B38" s="143">
        <f>Calculation!$J$31</f>
        <v>0</v>
      </c>
      <c r="C38" s="143" t="str">
        <f>IF($B38 = 0,"",_xll.CbondsCurrency(B38))</f>
        <v/>
      </c>
      <c r="D38" s="148" t="str">
        <f>IF($B38 = 0,"",_xll.ReferenceParams(B38,"SumMarketVal"))</f>
        <v/>
      </c>
      <c r="E38" s="143" t="s">
        <v>2079</v>
      </c>
      <c r="F38" s="23" t="str">
        <f>IF($B38 = 0,"",IF(_xll.CbondsTradingVolume($B38,F$4,VLOOKUP($E38,'Help Page'!$L:$P,3,0))="Нет данных",0,_xll.CbondsTradingVolume($B38,F$4,VLOOKUP($E38,'Help Page'!$L:$P,3,0))))</f>
        <v/>
      </c>
      <c r="G38" s="23" t="str">
        <f>IF($B38 = 0,"",IF(_xll.CbondsTradingVolume($B38,G$4,VLOOKUP($E38,'Help Page'!$L:$P,3,0))="Нет данных",0,_xll.CbondsTradingVolume($B38,G$4,VLOOKUP($E38,'Help Page'!$L:$P,3,0))))</f>
        <v/>
      </c>
      <c r="H38" s="23" t="str">
        <f>IF($B38 = 0,"",IF(_xll.CbondsTradingVolume($B38,H$4,VLOOKUP($E38,'Help Page'!$L:$P,3,0))="Нет данных",0,_xll.CbondsTradingVolume($B38,H$4,VLOOKUP($E38,'Help Page'!$L:$P,3,0))))</f>
        <v/>
      </c>
      <c r="I38" s="23" t="str">
        <f>IF($B38 = 0,"",IF(_xll.CbondsTradingVolume($B38,I$4,VLOOKUP($E38,'Help Page'!$L:$P,3,0))="Нет данных",0,_xll.CbondsTradingVolume($B38,I$4,VLOOKUP($E38,'Help Page'!$L:$P,3,0))))</f>
        <v/>
      </c>
      <c r="J38" s="23" t="str">
        <f>IF($B38 = 0,"",IF(_xll.CbondsTradingVolume($B38,J$4,VLOOKUP($E38,'Help Page'!$L:$P,3,0))="Нет данных",0,_xll.CbondsTradingVolume($B38,J$4,VLOOKUP($E38,'Help Page'!$L:$P,3,0))))</f>
        <v/>
      </c>
      <c r="K38" s="23" t="str">
        <f>IF($B38 = 0,"",IF(_xll.CbondsTradingVolume($B38,K$4,VLOOKUP($E38,'Help Page'!$L:$P,3,0))="Нет данных",0,_xll.CbondsTradingVolume($B38,K$4,VLOOKUP($E38,'Help Page'!$L:$P,3,0))))</f>
        <v/>
      </c>
      <c r="L38" s="23" t="str">
        <f>IF($B38 = 0,"",IF(_xll.CbondsTradingVolume($B38,L$4,VLOOKUP($E38,'Help Page'!$L:$P,3,0))="Нет данных",0,_xll.CbondsTradingVolume($B38,L$4,VLOOKUP($E38,'Help Page'!$L:$P,3,0))))</f>
        <v/>
      </c>
      <c r="M38" s="23" t="str">
        <f>IF($B38 = 0,"",IF(_xll.CbondsTradingVolume($B38,M$4,VLOOKUP($E38,'Help Page'!$L:$P,3,0))="Нет данных",0,_xll.CbondsTradingVolume($B38,M$4,VLOOKUP($E38,'Help Page'!$L:$P,3,0))))</f>
        <v/>
      </c>
      <c r="N38" s="23" t="str">
        <f>IF($B38 = 0,"",IF(_xll.CbondsTradingVolume($B38,N$4,VLOOKUP($E38,'Help Page'!$L:$P,3,0))="Нет данных",0,_xll.CbondsTradingVolume($B38,N$4,VLOOKUP($E38,'Help Page'!$L:$P,3,0))))</f>
        <v/>
      </c>
      <c r="O38" s="23" t="str">
        <f>IF($B38 = 0,"",IF(_xll.CbondsTradingVolume($B38,O$4,VLOOKUP($E38,'Help Page'!$L:$P,3,0))="Нет данных",0,_xll.CbondsTradingVolume($B38,O$4,VLOOKUP($E38,'Help Page'!$L:$P,3,0))))</f>
        <v/>
      </c>
      <c r="P38" s="23" t="str">
        <f>IF($B38 = 0,"",IF(_xll.CbondsTradingVolume($B38,P$4,VLOOKUP($E38,'Help Page'!$L:$P,3,0))="Нет данных",0,_xll.CbondsTradingVolume($B38,P$4,VLOOKUP($E38,'Help Page'!$L:$P,3,0))))</f>
        <v/>
      </c>
      <c r="Q38" s="23" t="str">
        <f>IF($B38 = 0,"",IF(_xll.CbondsTradingVolume($B38,Q$4,VLOOKUP($E38,'Help Page'!$L:$P,3,0))="Нет данных",0,_xll.CbondsTradingVolume($B38,Q$4,VLOOKUP($E38,'Help Page'!$L:$P,3,0))))</f>
        <v/>
      </c>
      <c r="R38" s="23" t="str">
        <f>IF($B38 = 0,"",IF(_xll.CbondsTradingVolume($B38,R$4,VLOOKUP($E38,'Help Page'!$L:$P,3,0))="Нет данных",0,_xll.CbondsTradingVolume($B38,R$4,VLOOKUP($E38,'Help Page'!$L:$P,3,0))))</f>
        <v/>
      </c>
      <c r="S38" s="23" t="str">
        <f>IF($B38 = 0,"",IF(_xll.CbondsTradingVolume($B38,S$4,VLOOKUP($E38,'Help Page'!$L:$P,3,0))="Нет данных",0,_xll.CbondsTradingVolume($B38,S$4,VLOOKUP($E38,'Help Page'!$L:$P,3,0))))</f>
        <v/>
      </c>
      <c r="T38" s="23" t="str">
        <f>IF($B38 = 0,"",IF(_xll.CbondsTradingVolume($B38,T$4,VLOOKUP($E38,'Help Page'!$L:$P,3,0))="Нет данных",0,_xll.CbondsTradingVolume($B38,T$4,VLOOKUP($E38,'Help Page'!$L:$P,3,0))))</f>
        <v/>
      </c>
      <c r="U38" s="23" t="str">
        <f>IF($B38 = 0,"",IF(_xll.CbondsTradingVolume($B38,U$4,VLOOKUP($E38,'Help Page'!$L:$P,3,0))="Нет данных",0,_xll.CbondsTradingVolume($B38,U$4,VLOOKUP($E38,'Help Page'!$L:$P,3,0))))</f>
        <v/>
      </c>
      <c r="V38" s="23" t="str">
        <f>IF($B38 = 0,"",IF(_xll.CbondsTradingVolume($B38,V$4,VLOOKUP($E38,'Help Page'!$L:$P,3,0))="Нет данных",0,_xll.CbondsTradingVolume($B38,V$4,VLOOKUP($E38,'Help Page'!$L:$P,3,0))))</f>
        <v/>
      </c>
      <c r="W38" s="23" t="str">
        <f>IF($B38 = 0,"",IF(_xll.CbondsTradingVolume($B38,W$4,VLOOKUP($E38,'Help Page'!$L:$P,3,0))="Нет данных",0,_xll.CbondsTradingVolume($B38,W$4,VLOOKUP($E38,'Help Page'!$L:$P,3,0))))</f>
        <v/>
      </c>
      <c r="X38" s="23" t="str">
        <f>IF($B38 = 0,"",IF(_xll.CbondsTradingVolume($B38,X$4,VLOOKUP($E38,'Help Page'!$L:$P,3,0))="Нет данных",0,_xll.CbondsTradingVolume($B38,X$4,VLOOKUP($E38,'Help Page'!$L:$P,3,0))))</f>
        <v/>
      </c>
      <c r="Y38" s="23" t="str">
        <f>IF($B38 = 0,"",IF(_xll.CbondsTradingVolume($B38,Y$4,VLOOKUP($E38,'Help Page'!$L:$P,3,0))="Нет данных",0,_xll.CbondsTradingVolume($B38,Y$4,VLOOKUP($E38,'Help Page'!$L:$P,3,0))))</f>
        <v/>
      </c>
      <c r="Z38" s="23" t="str">
        <f>IF($B38 = 0,"",IF(_xll.CbondsTradingVolume($B38,Z$4,VLOOKUP($E38,'Help Page'!$L:$P,3,0))="Нет данных",0,_xll.CbondsTradingVolume($B38,Z$4,VLOOKUP($E38,'Help Page'!$L:$P,3,0))))</f>
        <v/>
      </c>
      <c r="AA38" s="23" t="str">
        <f>IF($B38 = 0,"",IF(_xll.CbondsTradingVolume($B38,AA$4,VLOOKUP($E38,'Help Page'!$L:$P,3,0))="Нет данных",0,_xll.CbondsTradingVolume($B38,AA$4,VLOOKUP($E38,'Help Page'!$L:$P,3,0))))</f>
        <v/>
      </c>
      <c r="AB38" s="23" t="str">
        <f>IF($B38 = 0,"",IF(_xll.CbondsTradingVolume($B38,AB$4,VLOOKUP($E38,'Help Page'!$L:$P,3,0))="Нет данных",0,_xll.CbondsTradingVolume($B38,AB$4,VLOOKUP($E38,'Help Page'!$L:$P,3,0))))</f>
        <v/>
      </c>
      <c r="AC38" s="23" t="str">
        <f>IF($B38 = 0,"",IF(_xll.CbondsTradingVolume($B38,AC$4,VLOOKUP($E38,'Help Page'!$L:$P,3,0))="Нет данных",0,_xll.CbondsTradingVolume($B38,AC$4,VLOOKUP($E38,'Help Page'!$L:$P,3,0))))</f>
        <v/>
      </c>
      <c r="AD38" s="23" t="str">
        <f>IF($B38 = 0,"",IF(_xll.CbondsTradingVolume($B38,AD$4,VLOOKUP($E38,'Help Page'!$L:$P,3,0))="Нет данных",0,_xll.CbondsTradingVolume($B38,AD$4,VLOOKUP($E38,'Help Page'!$L:$P,3,0))))</f>
        <v/>
      </c>
      <c r="AE38" s="23" t="str">
        <f>IF($B38 = 0,"",IF(_xll.CbondsTradingVolume($B38,AE$4,VLOOKUP($E38,'Help Page'!$L:$P,3,0))="Нет данных",0,_xll.CbondsTradingVolume($B38,AE$4,VLOOKUP($E38,'Help Page'!$L:$P,3,0))))</f>
        <v/>
      </c>
      <c r="AF38" s="23" t="str">
        <f>IF($B38 = 0,"",IF(_xll.CbondsTradingVolume($B38,AF$4,VLOOKUP($E38,'Help Page'!$L:$P,3,0))="Нет данных",0,_xll.CbondsTradingVolume($B38,AF$4,VLOOKUP($E38,'Help Page'!$L:$P,3,0))))</f>
        <v/>
      </c>
      <c r="AG38" s="23" t="str">
        <f>IF($B38 = 0,"",IF(_xll.CbondsTradingVolume($B38,AG$4,VLOOKUP($E38,'Help Page'!$L:$P,3,0))="Нет данных",0,_xll.CbondsTradingVolume($B38,AG$4,VLOOKUP($E38,'Help Page'!$L:$P,3,0))))</f>
        <v/>
      </c>
      <c r="AH38" s="23" t="str">
        <f>IF($B38 = 0,"",IF(_xll.CbondsTradingVolume($B38,AH$4,VLOOKUP($E38,'Help Page'!$L:$P,3,0))="Нет данных",0,_xll.CbondsTradingVolume($B38,AH$4,VLOOKUP($E38,'Help Page'!$L:$P,3,0))))</f>
        <v/>
      </c>
      <c r="AI38" s="23" t="str">
        <f>IF($B38 = 0,"",IF(_xll.CbondsTradingVolume($B38,AI$4,VLOOKUP($E38,'Help Page'!$L:$P,3,0))="Нет данных",0,_xll.CbondsTradingVolume($B38,AI$4,VLOOKUP($E38,'Help Page'!$L:$P,3,0))))</f>
        <v/>
      </c>
      <c r="AJ38" s="171">
        <f>SUM(F38:AI38)*VLOOKUP($E38,'Help Page'!$L:$P,5,0)</f>
        <v>0</v>
      </c>
      <c r="AK38" s="76" t="str">
        <f>IF($B38 = 0,"",IF(_xll.CbondsDealsNumber($B38,AK$4,VLOOKUP($E38,'Help Page'!$L:$P,3,0))="Нет данных",0,_xll.CbondsDealsNumber($B38,AK$4,VLOOKUP($E38,'Help Page'!$L:$P,3,0))))</f>
        <v/>
      </c>
      <c r="AL38" s="76" t="str">
        <f>IF($B38 = 0,"",IF(_xll.CbondsDealsNumber($B38,AL$4,VLOOKUP($E38,'Help Page'!$L:$P,3,0))="Нет данных",0,_xll.CbondsDealsNumber($B38,AL$4,VLOOKUP($E38,'Help Page'!$L:$P,3,0))))</f>
        <v/>
      </c>
      <c r="AM38" s="157" t="str">
        <f>IF($B38 = 0,"",IF(_xll.CbondsDealsNumber($B38,AM$4,VLOOKUP($E38,'Help Page'!$L:$P,3,0))="Нет данных",0,_xll.CbondsDealsNumber($B38,AM$4,VLOOKUP($E38,'Help Page'!$L:$P,3,0))))</f>
        <v/>
      </c>
      <c r="AN38" s="157" t="str">
        <f>IF($B38 = 0,"",IF(_xll.CbondsDealsNumber($B38,AN$4,VLOOKUP($E38,'Help Page'!$L:$P,3,0))="Нет данных",0,_xll.CbondsDealsNumber($B38,AN$4,VLOOKUP($E38,'Help Page'!$L:$P,3,0))))</f>
        <v/>
      </c>
      <c r="AO38" s="157" t="str">
        <f>IF($B38 = 0,"",IF(_xll.CbondsDealsNumber($B38,AO$4,VLOOKUP($E38,'Help Page'!$L:$P,3,0))="Нет данных",0,_xll.CbondsDealsNumber($B38,AO$4,VLOOKUP($E38,'Help Page'!$L:$P,3,0))))</f>
        <v/>
      </c>
      <c r="AP38" s="157" t="str">
        <f>IF($B38 = 0,"",IF(_xll.CbondsDealsNumber($B38,AP$4,VLOOKUP($E38,'Help Page'!$L:$P,3,0))="Нет данных",0,_xll.CbondsDealsNumber($B38,AP$4,VLOOKUP($E38,'Help Page'!$L:$P,3,0))))</f>
        <v/>
      </c>
      <c r="AQ38" s="76" t="str">
        <f>IF($B38 = 0,"",IF(_xll.CbondsDealsNumber($B38,AQ$4,VLOOKUP($E38,'Help Page'!$L:$P,3,0))="Нет данных",0,_xll.CbondsDealsNumber($B38,AQ$4,VLOOKUP($E38,'Help Page'!$L:$P,3,0))))</f>
        <v/>
      </c>
      <c r="AR38" s="76" t="str">
        <f>IF($B38 = 0,"",IF(_xll.CbondsDealsNumber($B38,AR$4,VLOOKUP($E38,'Help Page'!$L:$P,3,0))="Нет данных",0,_xll.CbondsDealsNumber($B38,AR$4,VLOOKUP($E38,'Help Page'!$L:$P,3,0))))</f>
        <v/>
      </c>
      <c r="AS38" s="76" t="str">
        <f>IF($B38 = 0,"",IF(_xll.CbondsDealsNumber($B38,AS$4,VLOOKUP($E38,'Help Page'!$L:$P,3,0))="Нет данных",0,_xll.CbondsDealsNumber($B38,AS$4,VLOOKUP($E38,'Help Page'!$L:$P,3,0))))</f>
        <v/>
      </c>
      <c r="AT38" s="157" t="str">
        <f>IF($B38 = 0,"",IF(_xll.CbondsDealsNumber($B38,AT$4,VLOOKUP($E38,'Help Page'!$L:$P,3,0))="Нет данных",0,_xll.CbondsDealsNumber($B38,AT$4,VLOOKUP($E38,'Help Page'!$L:$P,3,0))))</f>
        <v/>
      </c>
      <c r="AU38" s="157" t="str">
        <f>IF($B38 = 0,"",IF(_xll.CbondsDealsNumber($B38,AU$4,VLOOKUP($E38,'Help Page'!$L:$P,3,0))="Нет данных",0,_xll.CbondsDealsNumber($B38,AU$4,VLOOKUP($E38,'Help Page'!$L:$P,3,0))))</f>
        <v/>
      </c>
      <c r="AV38" s="157" t="str">
        <f>IF($B38 = 0,"",IF(_xll.CbondsDealsNumber($B38,AV$4,VLOOKUP($E38,'Help Page'!$L:$P,3,0))="Нет данных",0,_xll.CbondsDealsNumber($B38,AV$4,VLOOKUP($E38,'Help Page'!$L:$P,3,0))))</f>
        <v/>
      </c>
      <c r="AW38" s="157" t="str">
        <f>IF($B38 = 0,"",IF(_xll.CbondsDealsNumber($B38,AW$4,VLOOKUP($E38,'Help Page'!$L:$P,3,0))="Нет данных",0,_xll.CbondsDealsNumber($B38,AW$4,VLOOKUP($E38,'Help Page'!$L:$P,3,0))))</f>
        <v/>
      </c>
      <c r="AX38" s="157" t="str">
        <f>IF($B38 = 0,"",IF(_xll.CbondsDealsNumber($B38,AX$4,VLOOKUP($E38,'Help Page'!$L:$P,3,0))="Нет данных",0,_xll.CbondsDealsNumber($B38,AX$4,VLOOKUP($E38,'Help Page'!$L:$P,3,0))))</f>
        <v/>
      </c>
      <c r="AY38" s="76" t="str">
        <f>IF($B38 = 0,"",IF(_xll.CbondsDealsNumber($B38,AY$4,VLOOKUP($E38,'Help Page'!$L:$P,3,0))="Нет данных",0,_xll.CbondsDealsNumber($B38,AY$4,VLOOKUP($E38,'Help Page'!$L:$P,3,0))))</f>
        <v/>
      </c>
      <c r="AZ38" s="76" t="str">
        <f>IF($B38 = 0,"",IF(_xll.CbondsDealsNumber($B38,AZ$4,VLOOKUP($E38,'Help Page'!$L:$P,3,0))="Нет данных",0,_xll.CbondsDealsNumber($B38,AZ$4,VLOOKUP($E38,'Help Page'!$L:$P,3,0))))</f>
        <v/>
      </c>
      <c r="BA38" s="157" t="str">
        <f>IF($B38 = 0,"",IF(_xll.CbondsDealsNumber($B38,BA$4,VLOOKUP($E38,'Help Page'!$L:$P,3,0))="Нет данных",0,_xll.CbondsDealsNumber($B38,BA$4,VLOOKUP($E38,'Help Page'!$L:$P,3,0))))</f>
        <v/>
      </c>
      <c r="BB38" s="157" t="str">
        <f>IF($B38 = 0,"",IF(_xll.CbondsDealsNumber($B38,BB$4,VLOOKUP($E38,'Help Page'!$L:$P,3,0))="Нет данных",0,_xll.CbondsDealsNumber($B38,BB$4,VLOOKUP($E38,'Help Page'!$L:$P,3,0))))</f>
        <v/>
      </c>
      <c r="BC38" s="157" t="str">
        <f>IF($B38 = 0,"",IF(_xll.CbondsDealsNumber($B38,BC$4,VLOOKUP($E38,'Help Page'!$L:$P,3,0))="Нет данных",0,_xll.CbondsDealsNumber($B38,BC$4,VLOOKUP($E38,'Help Page'!$L:$P,3,0))))</f>
        <v/>
      </c>
      <c r="BD38" s="157" t="str">
        <f>IF($B38 = 0,"",IF(_xll.CbondsDealsNumber($B38,BD$4,VLOOKUP($E38,'Help Page'!$L:$P,3,0))="Нет данных",0,_xll.CbondsDealsNumber($B38,BD$4,VLOOKUP($E38,'Help Page'!$L:$P,3,0))))</f>
        <v/>
      </c>
      <c r="BE38" s="157" t="str">
        <f>IF($B38 = 0,"",IF(_xll.CbondsDealsNumber($B38,BE$4,VLOOKUP($E38,'Help Page'!$L:$P,3,0))="Нет данных",0,_xll.CbondsDealsNumber($B38,BE$4,VLOOKUP($E38,'Help Page'!$L:$P,3,0))))</f>
        <v/>
      </c>
      <c r="BF38" s="76" t="str">
        <f>IF($B38 = 0,"",IF(_xll.CbondsDealsNumber($B38,BF$4,VLOOKUP($E38,'Help Page'!$L:$P,3,0))="Нет данных",0,_xll.CbondsDealsNumber($B38,BF$4,VLOOKUP($E38,'Help Page'!$L:$P,3,0))))</f>
        <v/>
      </c>
      <c r="BG38" s="76" t="str">
        <f>IF($B38 = 0,"",IF(_xll.CbondsDealsNumber($B38,BG$4,VLOOKUP($E38,'Help Page'!$L:$P,3,0))="Нет данных",0,_xll.CbondsDealsNumber($B38,BG$4,VLOOKUP($E38,'Help Page'!$L:$P,3,0))))</f>
        <v/>
      </c>
      <c r="BH38" s="157" t="str">
        <f>IF($B38 = 0,"",IF(_xll.CbondsDealsNumber($B38,BH$4,VLOOKUP($E38,'Help Page'!$L:$P,3,0))="Нет данных",0,_xll.CbondsDealsNumber($B38,BH$4,VLOOKUP($E38,'Help Page'!$L:$P,3,0))))</f>
        <v/>
      </c>
      <c r="BI38" s="157" t="str">
        <f>IF($B38 = 0,"",IF(_xll.CbondsDealsNumber($B38,BI$4,VLOOKUP($E38,'Help Page'!$L:$P,3,0))="Нет данных",0,_xll.CbondsDealsNumber($B38,BI$4,VLOOKUP($E38,'Help Page'!$L:$P,3,0))))</f>
        <v/>
      </c>
      <c r="BJ38" s="157" t="str">
        <f>IF($B38 = 0,"",IF(_xll.CbondsDealsNumber($B38,BJ$4,VLOOKUP($E38,'Help Page'!$L:$P,3,0))="Нет данных",0,_xll.CbondsDealsNumber($B38,BJ$4,VLOOKUP($E38,'Help Page'!$L:$P,3,0))))</f>
        <v/>
      </c>
      <c r="BK38" s="157" t="str">
        <f>IF($B38 = 0,"",IF(_xll.CbondsDealsNumber($B38,BK$4,VLOOKUP($E38,'Help Page'!$L:$P,3,0))="Нет данных",0,_xll.CbondsDealsNumber($B38,BK$4,VLOOKUP($E38,'Help Page'!$L:$P,3,0))))</f>
        <v/>
      </c>
      <c r="BL38" s="157" t="str">
        <f>IF($B38 = 0,"",IF(_xll.CbondsDealsNumber($B38,BL$4,VLOOKUP($E38,'Help Page'!$L:$P,3,0))="Нет данных",0,_xll.CbondsDealsNumber($B38,BL$4,VLOOKUP($E38,'Help Page'!$L:$P,3,0))))</f>
        <v/>
      </c>
      <c r="BM38" s="76" t="str">
        <f>IF($B38 = 0,"",IF(_xll.CbondsDealsNumber($B38,BM$4,VLOOKUP($E38,'Help Page'!$L:$P,3,0))="Нет данных",0,_xll.CbondsDealsNumber($B38,BM$4,VLOOKUP($E38,'Help Page'!$L:$P,3,0))))</f>
        <v/>
      </c>
      <c r="BN38" s="76" t="str">
        <f>IF($B38 = 0,"",IF(_xll.CbondsDealsNumber($B38,BN$4,VLOOKUP($E38,'Help Page'!$L:$P,3,0))="Нет данных",0,_xll.CbondsDealsNumber($B38,BN$4,VLOOKUP($E38,'Help Page'!$L:$P,3,0))))</f>
        <v/>
      </c>
      <c r="BO38" s="156">
        <f t="shared" si="15"/>
        <v>0</v>
      </c>
      <c r="BP38" s="156">
        <f>COUNTIF(AK38:BN38, "&gt;0")</f>
        <v>0</v>
      </c>
    </row>
    <row r="39" spans="1:68" x14ac:dyDescent="0.3">
      <c r="A39" s="18" t="s">
        <v>2086</v>
      </c>
      <c r="B39" s="143"/>
      <c r="C39" s="143"/>
      <c r="D39" s="148"/>
      <c r="E39" s="158" t="s">
        <v>2081</v>
      </c>
      <c r="F39" s="159" t="str">
        <f>IF(B35 = 0,"",IF(AJ39 = 0, "торгов нет", IF(MAX(AJ35:AJ38) = AJ35,E35,IF(MAX(AJ35:AJ38) = AJ36,E36,IF(MAX(AJ35:AJ38) = AJ37,E37,E38)))))</f>
        <v/>
      </c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172" t="str">
        <f>IF($B35 = 0,"",SUM(AJ35:AJ38)/VLOOKUP(C35,'Help Page'!$M:$Q,4,0)/D35)</f>
        <v/>
      </c>
      <c r="AK39" s="160">
        <f>SUM(AK35:AK38)</f>
        <v>0</v>
      </c>
      <c r="AL39" s="160">
        <f t="shared" ref="AL39:BN39" si="17">SUM(AL35:AL38)</f>
        <v>0</v>
      </c>
      <c r="AM39" s="160">
        <f t="shared" si="17"/>
        <v>0</v>
      </c>
      <c r="AN39" s="160">
        <f t="shared" si="17"/>
        <v>0</v>
      </c>
      <c r="AO39" s="160">
        <f t="shared" si="17"/>
        <v>0</v>
      </c>
      <c r="AP39" s="160">
        <f t="shared" si="17"/>
        <v>0</v>
      </c>
      <c r="AQ39" s="160">
        <f t="shared" si="17"/>
        <v>0</v>
      </c>
      <c r="AR39" s="160">
        <f t="shared" si="17"/>
        <v>0</v>
      </c>
      <c r="AS39" s="160">
        <f t="shared" si="17"/>
        <v>0</v>
      </c>
      <c r="AT39" s="160">
        <f t="shared" si="17"/>
        <v>0</v>
      </c>
      <c r="AU39" s="160">
        <f t="shared" si="17"/>
        <v>0</v>
      </c>
      <c r="AV39" s="160">
        <f t="shared" si="17"/>
        <v>0</v>
      </c>
      <c r="AW39" s="160">
        <f t="shared" si="17"/>
        <v>0</v>
      </c>
      <c r="AX39" s="160">
        <f t="shared" si="17"/>
        <v>0</v>
      </c>
      <c r="AY39" s="160">
        <f t="shared" si="17"/>
        <v>0</v>
      </c>
      <c r="AZ39" s="160">
        <f t="shared" si="17"/>
        <v>0</v>
      </c>
      <c r="BA39" s="160">
        <f t="shared" si="17"/>
        <v>0</v>
      </c>
      <c r="BB39" s="160">
        <f t="shared" si="17"/>
        <v>0</v>
      </c>
      <c r="BC39" s="160">
        <f t="shared" si="17"/>
        <v>0</v>
      </c>
      <c r="BD39" s="160">
        <f t="shared" si="17"/>
        <v>0</v>
      </c>
      <c r="BE39" s="160">
        <f t="shared" si="17"/>
        <v>0</v>
      </c>
      <c r="BF39" s="160">
        <f t="shared" si="17"/>
        <v>0</v>
      </c>
      <c r="BG39" s="160">
        <f t="shared" si="17"/>
        <v>0</v>
      </c>
      <c r="BH39" s="160">
        <f t="shared" si="17"/>
        <v>0</v>
      </c>
      <c r="BI39" s="160">
        <f t="shared" si="17"/>
        <v>0</v>
      </c>
      <c r="BJ39" s="160">
        <f t="shared" si="17"/>
        <v>0</v>
      </c>
      <c r="BK39" s="160">
        <f t="shared" si="17"/>
        <v>0</v>
      </c>
      <c r="BL39" s="160">
        <f t="shared" si="17"/>
        <v>0</v>
      </c>
      <c r="BM39" s="160">
        <f t="shared" si="17"/>
        <v>0</v>
      </c>
      <c r="BN39" s="160">
        <f t="shared" si="17"/>
        <v>0</v>
      </c>
      <c r="BO39" s="161" t="str">
        <f>IF($B35 = 0,"",SUM(BO35:BO38))</f>
        <v/>
      </c>
      <c r="BP39" s="161" t="str">
        <f>IF($B35 = 0,"",COUNTIF(AK39:BN39, "&gt;0"))</f>
        <v/>
      </c>
    </row>
    <row r="40" spans="1:68" x14ac:dyDescent="0.3">
      <c r="A40" s="18"/>
      <c r="B40" s="162"/>
      <c r="C40" s="162"/>
      <c r="D40" s="163"/>
      <c r="E40" s="162"/>
      <c r="F40" s="164"/>
      <c r="G40" s="164"/>
      <c r="H40" s="164"/>
      <c r="I40" s="164"/>
      <c r="J40" s="164"/>
      <c r="K40" s="164"/>
      <c r="L40" s="164"/>
      <c r="M40" s="164"/>
      <c r="N40" s="164"/>
      <c r="O40" s="164"/>
      <c r="P40" s="164"/>
      <c r="Q40" s="164"/>
      <c r="R40" s="164"/>
      <c r="S40" s="164"/>
      <c r="T40" s="164"/>
      <c r="U40" s="164"/>
      <c r="V40" s="164"/>
      <c r="W40" s="164"/>
      <c r="X40" s="164"/>
      <c r="Y40" s="164"/>
      <c r="Z40" s="164"/>
      <c r="AA40" s="164"/>
      <c r="AB40" s="164"/>
      <c r="AC40" s="164"/>
      <c r="AD40" s="164"/>
      <c r="AE40" s="164"/>
      <c r="AF40" s="164"/>
      <c r="AG40" s="164"/>
      <c r="AH40" s="164"/>
      <c r="AI40" s="164"/>
      <c r="AJ40" s="171"/>
      <c r="AK40" s="164"/>
      <c r="AL40" s="164"/>
      <c r="AM40" s="164"/>
      <c r="AN40" s="164"/>
      <c r="AO40" s="164"/>
      <c r="AP40" s="164"/>
      <c r="AQ40" s="164"/>
      <c r="AR40" s="164"/>
      <c r="AS40" s="164"/>
      <c r="AT40" s="164"/>
      <c r="AU40" s="164"/>
      <c r="AV40" s="164"/>
      <c r="AW40" s="164"/>
      <c r="AX40" s="164"/>
      <c r="AY40" s="164"/>
      <c r="AZ40" s="164"/>
      <c r="BA40" s="164"/>
      <c r="BB40" s="164"/>
      <c r="BC40" s="164"/>
      <c r="BD40" s="164"/>
      <c r="BE40" s="164"/>
      <c r="BF40" s="164"/>
      <c r="BG40" s="164"/>
      <c r="BH40" s="164"/>
      <c r="BI40" s="164"/>
      <c r="BJ40" s="164"/>
      <c r="BK40" s="164"/>
      <c r="BL40" s="164"/>
      <c r="BM40" s="164"/>
      <c r="BN40" s="164"/>
      <c r="BO40" s="156"/>
      <c r="BP40" s="156"/>
    </row>
    <row r="41" spans="1:68" x14ac:dyDescent="0.3">
      <c r="A41" s="18">
        <v>7</v>
      </c>
      <c r="B41" s="143">
        <f>Calculation!$J$32</f>
        <v>0</v>
      </c>
      <c r="C41" s="143" t="str">
        <f>IF($B41 = 0,"",_xll.CbondsCurrency(B41))</f>
        <v/>
      </c>
      <c r="D41" s="148" t="str">
        <f>IF($B41 = 0,"",_xll.ReferenceParams(B41,"SumMarketVal"))</f>
        <v/>
      </c>
      <c r="E41" s="143" t="s">
        <v>2076</v>
      </c>
      <c r="F41" s="23" t="str">
        <f>IF($B41 = 0,"",IF(_xll.CbondsTradingVolume($B41,F$4,VLOOKUP($E41,'Help Page'!$L:$P,3,0))="Нет данных",0,_xll.CbondsTradingVolume($B41,F$4,VLOOKUP($E41,'Help Page'!$L:$P,3,0))))</f>
        <v/>
      </c>
      <c r="G41" s="23" t="str">
        <f>IF($B41 = 0,"",IF(_xll.CbondsTradingVolume($B41,G$4,VLOOKUP($E41,'Help Page'!$L:$P,3,0))="Нет данных",0,_xll.CbondsTradingVolume($B41,G$4,VLOOKUP($E41,'Help Page'!$L:$P,3,0))))</f>
        <v/>
      </c>
      <c r="H41" s="23" t="str">
        <f>IF($B41 = 0,"",IF(_xll.CbondsTradingVolume($B41,H$4,VLOOKUP($E41,'Help Page'!$L:$P,3,0))="Нет данных",0,_xll.CbondsTradingVolume($B41,H$4,VLOOKUP($E41,'Help Page'!$L:$P,3,0))))</f>
        <v/>
      </c>
      <c r="I41" s="23" t="str">
        <f>IF($B41 = 0,"",IF(_xll.CbondsTradingVolume($B41,I$4,VLOOKUP($E41,'Help Page'!$L:$P,3,0))="Нет данных",0,_xll.CbondsTradingVolume($B41,I$4,VLOOKUP($E41,'Help Page'!$L:$P,3,0))))</f>
        <v/>
      </c>
      <c r="J41" s="23" t="str">
        <f>IF($B41 = 0,"",IF(_xll.CbondsTradingVolume($B41,J$4,VLOOKUP($E41,'Help Page'!$L:$P,3,0))="Нет данных",0,_xll.CbondsTradingVolume($B41,J$4,VLOOKUP($E41,'Help Page'!$L:$P,3,0))))</f>
        <v/>
      </c>
      <c r="K41" s="23" t="str">
        <f>IF($B41 = 0,"",IF(_xll.CbondsTradingVolume($B41,K$4,VLOOKUP($E41,'Help Page'!$L:$P,3,0))="Нет данных",0,_xll.CbondsTradingVolume($B41,K$4,VLOOKUP($E41,'Help Page'!$L:$P,3,0))))</f>
        <v/>
      </c>
      <c r="L41" s="23" t="str">
        <f>IF($B41 = 0,"",IF(_xll.CbondsTradingVolume($B41,L$4,VLOOKUP($E41,'Help Page'!$L:$P,3,0))="Нет данных",0,_xll.CbondsTradingVolume($B41,L$4,VLOOKUP($E41,'Help Page'!$L:$P,3,0))))</f>
        <v/>
      </c>
      <c r="M41" s="23" t="str">
        <f>IF($B41 = 0,"",IF(_xll.CbondsTradingVolume($B41,M$4,VLOOKUP($E41,'Help Page'!$L:$P,3,0))="Нет данных",0,_xll.CbondsTradingVolume($B41,M$4,VLOOKUP($E41,'Help Page'!$L:$P,3,0))))</f>
        <v/>
      </c>
      <c r="N41" s="23" t="str">
        <f>IF($B41 = 0,"",IF(_xll.CbondsTradingVolume($B41,N$4,VLOOKUP($E41,'Help Page'!$L:$P,3,0))="Нет данных",0,_xll.CbondsTradingVolume($B41,N$4,VLOOKUP($E41,'Help Page'!$L:$P,3,0))))</f>
        <v/>
      </c>
      <c r="O41" s="23" t="str">
        <f>IF($B41 = 0,"",IF(_xll.CbondsTradingVolume($B41,O$4,VLOOKUP($E41,'Help Page'!$L:$P,3,0))="Нет данных",0,_xll.CbondsTradingVolume($B41,O$4,VLOOKUP($E41,'Help Page'!$L:$P,3,0))))</f>
        <v/>
      </c>
      <c r="P41" s="23" t="str">
        <f>IF($B41 = 0,"",IF(_xll.CbondsTradingVolume($B41,P$4,VLOOKUP($E41,'Help Page'!$L:$P,3,0))="Нет данных",0,_xll.CbondsTradingVolume($B41,P$4,VLOOKUP($E41,'Help Page'!$L:$P,3,0))))</f>
        <v/>
      </c>
      <c r="Q41" s="23" t="str">
        <f>IF($B41 = 0,"",IF(_xll.CbondsTradingVolume($B41,Q$4,VLOOKUP($E41,'Help Page'!$L:$P,3,0))="Нет данных",0,_xll.CbondsTradingVolume($B41,Q$4,VLOOKUP($E41,'Help Page'!$L:$P,3,0))))</f>
        <v/>
      </c>
      <c r="R41" s="23" t="str">
        <f>IF($B41 = 0,"",IF(_xll.CbondsTradingVolume($B41,R$4,VLOOKUP($E41,'Help Page'!$L:$P,3,0))="Нет данных",0,_xll.CbondsTradingVolume($B41,R$4,VLOOKUP($E41,'Help Page'!$L:$P,3,0))))</f>
        <v/>
      </c>
      <c r="S41" s="23" t="str">
        <f>IF($B41 = 0,"",IF(_xll.CbondsTradingVolume($B41,S$4,VLOOKUP($E41,'Help Page'!$L:$P,3,0))="Нет данных",0,_xll.CbondsTradingVolume($B41,S$4,VLOOKUP($E41,'Help Page'!$L:$P,3,0))))</f>
        <v/>
      </c>
      <c r="T41" s="23" t="str">
        <f>IF($B41 = 0,"",IF(_xll.CbondsTradingVolume($B41,T$4,VLOOKUP($E41,'Help Page'!$L:$P,3,0))="Нет данных",0,_xll.CbondsTradingVolume($B41,T$4,VLOOKUP($E41,'Help Page'!$L:$P,3,0))))</f>
        <v/>
      </c>
      <c r="U41" s="23" t="str">
        <f>IF($B41 = 0,"",IF(_xll.CbondsTradingVolume($B41,U$4,VLOOKUP($E41,'Help Page'!$L:$P,3,0))="Нет данных",0,_xll.CbondsTradingVolume($B41,U$4,VLOOKUP($E41,'Help Page'!$L:$P,3,0))))</f>
        <v/>
      </c>
      <c r="V41" s="23" t="str">
        <f>IF($B41 = 0,"",IF(_xll.CbondsTradingVolume($B41,V$4,VLOOKUP($E41,'Help Page'!$L:$P,3,0))="Нет данных",0,_xll.CbondsTradingVolume($B41,V$4,VLOOKUP($E41,'Help Page'!$L:$P,3,0))))</f>
        <v/>
      </c>
      <c r="W41" s="23" t="str">
        <f>IF($B41 = 0,"",IF(_xll.CbondsTradingVolume($B41,W$4,VLOOKUP($E41,'Help Page'!$L:$P,3,0))="Нет данных",0,_xll.CbondsTradingVolume($B41,W$4,VLOOKUP($E41,'Help Page'!$L:$P,3,0))))</f>
        <v/>
      </c>
      <c r="X41" s="23" t="str">
        <f>IF($B41 = 0,"",IF(_xll.CbondsTradingVolume($B41,X$4,VLOOKUP($E41,'Help Page'!$L:$P,3,0))="Нет данных",0,_xll.CbondsTradingVolume($B41,X$4,VLOOKUP($E41,'Help Page'!$L:$P,3,0))))</f>
        <v/>
      </c>
      <c r="Y41" s="23" t="str">
        <f>IF($B41 = 0,"",IF(_xll.CbondsTradingVolume($B41,Y$4,VLOOKUP($E41,'Help Page'!$L:$P,3,0))="Нет данных",0,_xll.CbondsTradingVolume($B41,Y$4,VLOOKUP($E41,'Help Page'!$L:$P,3,0))))</f>
        <v/>
      </c>
      <c r="Z41" s="23" t="str">
        <f>IF($B41 = 0,"",IF(_xll.CbondsTradingVolume($B41,Z$4,VLOOKUP($E41,'Help Page'!$L:$P,3,0))="Нет данных",0,_xll.CbondsTradingVolume($B41,Z$4,VLOOKUP($E41,'Help Page'!$L:$P,3,0))))</f>
        <v/>
      </c>
      <c r="AA41" s="23" t="str">
        <f>IF($B41 = 0,"",IF(_xll.CbondsTradingVolume($B41,AA$4,VLOOKUP($E41,'Help Page'!$L:$P,3,0))="Нет данных",0,_xll.CbondsTradingVolume($B41,AA$4,VLOOKUP($E41,'Help Page'!$L:$P,3,0))))</f>
        <v/>
      </c>
      <c r="AB41" s="23" t="str">
        <f>IF($B41 = 0,"",IF(_xll.CbondsTradingVolume($B41,AB$4,VLOOKUP($E41,'Help Page'!$L:$P,3,0))="Нет данных",0,_xll.CbondsTradingVolume($B41,AB$4,VLOOKUP($E41,'Help Page'!$L:$P,3,0))))</f>
        <v/>
      </c>
      <c r="AC41" s="23" t="str">
        <f>IF($B41 = 0,"",IF(_xll.CbondsTradingVolume($B41,AC$4,VLOOKUP($E41,'Help Page'!$L:$P,3,0))="Нет данных",0,_xll.CbondsTradingVolume($B41,AC$4,VLOOKUP($E41,'Help Page'!$L:$P,3,0))))</f>
        <v/>
      </c>
      <c r="AD41" s="23" t="str">
        <f>IF($B41 = 0,"",IF(_xll.CbondsTradingVolume($B41,AD$4,VLOOKUP($E41,'Help Page'!$L:$P,3,0))="Нет данных",0,_xll.CbondsTradingVolume($B41,AD$4,VLOOKUP($E41,'Help Page'!$L:$P,3,0))))</f>
        <v/>
      </c>
      <c r="AE41" s="23" t="str">
        <f>IF($B41 = 0,"",IF(_xll.CbondsTradingVolume($B41,AE$4,VLOOKUP($E41,'Help Page'!$L:$P,3,0))="Нет данных",0,_xll.CbondsTradingVolume($B41,AE$4,VLOOKUP($E41,'Help Page'!$L:$P,3,0))))</f>
        <v/>
      </c>
      <c r="AF41" s="23" t="str">
        <f>IF($B41 = 0,"",IF(_xll.CbondsTradingVolume($B41,AF$4,VLOOKUP($E41,'Help Page'!$L:$P,3,0))="Нет данных",0,_xll.CbondsTradingVolume($B41,AF$4,VLOOKUP($E41,'Help Page'!$L:$P,3,0))))</f>
        <v/>
      </c>
      <c r="AG41" s="23" t="str">
        <f>IF($B41 = 0,"",IF(_xll.CbondsTradingVolume($B41,AG$4,VLOOKUP($E41,'Help Page'!$L:$P,3,0))="Нет данных",0,_xll.CbondsTradingVolume($B41,AG$4,VLOOKUP($E41,'Help Page'!$L:$P,3,0))))</f>
        <v/>
      </c>
      <c r="AH41" s="23" t="str">
        <f>IF($B41 = 0,"",IF(_xll.CbondsTradingVolume($B41,AH$4,VLOOKUP($E41,'Help Page'!$L:$P,3,0))="Нет данных",0,_xll.CbondsTradingVolume($B41,AH$4,VLOOKUP($E41,'Help Page'!$L:$P,3,0))))</f>
        <v/>
      </c>
      <c r="AI41" s="23" t="str">
        <f>IF($B41 = 0,"",IF(_xll.CbondsTradingVolume($B41,AI$4,VLOOKUP($E41,'Help Page'!$L:$P,3,0))="Нет данных",0,_xll.CbondsTradingVolume($B41,AI$4,VLOOKUP($E41,'Help Page'!$L:$P,3,0))))</f>
        <v/>
      </c>
      <c r="AJ41" s="171">
        <f>SUM(F41:AI41)*VLOOKUP($E41,'Help Page'!$L:$P,5,0)</f>
        <v>0</v>
      </c>
      <c r="AK41" s="76" t="str">
        <f>IF($B41 = 0,"",IF(_xll.CbondsDealsNumber($B41,AK$4,VLOOKUP($E41,'Help Page'!$L:$P,3,0))="Нет данных",0,_xll.CbondsDealsNumber($B41,AK$4,VLOOKUP($E41,'Help Page'!$L:$P,3,0))))</f>
        <v/>
      </c>
      <c r="AL41" s="76" t="str">
        <f>IF($B41 = 0,"",IF(_xll.CbondsDealsNumber($B41,AL$4,VLOOKUP($E41,'Help Page'!$L:$P,3,0))="Нет данных",0,_xll.CbondsDealsNumber($B41,AL$4,VLOOKUP($E41,'Help Page'!$L:$P,3,0))))</f>
        <v/>
      </c>
      <c r="AM41" s="76" t="str">
        <f>IF($B41 = 0,"",IF(_xll.CbondsDealsNumber($B41,AM$4,VLOOKUP($E41,'Help Page'!$L:$P,3,0))="Нет данных",0,_xll.CbondsDealsNumber($B41,AM$4,VLOOKUP($E41,'Help Page'!$L:$P,3,0))))</f>
        <v/>
      </c>
      <c r="AN41" s="76" t="str">
        <f>IF($B41 = 0,"",IF(_xll.CbondsDealsNumber($B41,AN$4,VLOOKUP($E41,'Help Page'!$L:$P,3,0))="Нет данных",0,_xll.CbondsDealsNumber($B41,AN$4,VLOOKUP($E41,'Help Page'!$L:$P,3,0))))</f>
        <v/>
      </c>
      <c r="AO41" s="76" t="str">
        <f>IF($B41 = 0,"",IF(_xll.CbondsDealsNumber($B41,AO$4,VLOOKUP($E41,'Help Page'!$L:$P,3,0))="Нет данных",0,_xll.CbondsDealsNumber($B41,AO$4,VLOOKUP($E41,'Help Page'!$L:$P,3,0))))</f>
        <v/>
      </c>
      <c r="AP41" s="76" t="str">
        <f>IF($B41 = 0,"",IF(_xll.CbondsDealsNumber($B41,AP$4,VLOOKUP($E41,'Help Page'!$L:$P,3,0))="Нет данных",0,_xll.CbondsDealsNumber($B41,AP$4,VLOOKUP($E41,'Help Page'!$L:$P,3,0))))</f>
        <v/>
      </c>
      <c r="AQ41" s="76" t="str">
        <f>IF($B41 = 0,"",IF(_xll.CbondsDealsNumber($B41,AQ$4,VLOOKUP($E41,'Help Page'!$L:$P,3,0))="Нет данных",0,_xll.CbondsDealsNumber($B41,AQ$4,VLOOKUP($E41,'Help Page'!$L:$P,3,0))))</f>
        <v/>
      </c>
      <c r="AR41" s="76" t="str">
        <f>IF($B41 = 0,"",IF(_xll.CbondsDealsNumber($B41,AR$4,VLOOKUP($E41,'Help Page'!$L:$P,3,0))="Нет данных",0,_xll.CbondsDealsNumber($B41,AR$4,VLOOKUP($E41,'Help Page'!$L:$P,3,0))))</f>
        <v/>
      </c>
      <c r="AS41" s="76" t="str">
        <f>IF($B41 = 0,"",IF(_xll.CbondsDealsNumber($B41,AS$4,VLOOKUP($E41,'Help Page'!$L:$P,3,0))="Нет данных",0,_xll.CbondsDealsNumber($B41,AS$4,VLOOKUP($E41,'Help Page'!$L:$P,3,0))))</f>
        <v/>
      </c>
      <c r="AT41" s="76" t="str">
        <f>IF($B41 = 0,"",IF(_xll.CbondsDealsNumber($B41,AT$4,VLOOKUP($E41,'Help Page'!$L:$P,3,0))="Нет данных",0,_xll.CbondsDealsNumber($B41,AT$4,VLOOKUP($E41,'Help Page'!$L:$P,3,0))))</f>
        <v/>
      </c>
      <c r="AU41" s="76" t="str">
        <f>IF($B41 = 0,"",IF(_xll.CbondsDealsNumber($B41,AU$4,VLOOKUP($E41,'Help Page'!$L:$P,3,0))="Нет данных",0,_xll.CbondsDealsNumber($B41,AU$4,VLOOKUP($E41,'Help Page'!$L:$P,3,0))))</f>
        <v/>
      </c>
      <c r="AV41" s="76" t="str">
        <f>IF($B41 = 0,"",IF(_xll.CbondsDealsNumber($B41,AV$4,VLOOKUP($E41,'Help Page'!$L:$P,3,0))="Нет данных",0,_xll.CbondsDealsNumber($B41,AV$4,VLOOKUP($E41,'Help Page'!$L:$P,3,0))))</f>
        <v/>
      </c>
      <c r="AW41" s="76" t="str">
        <f>IF($B41 = 0,"",IF(_xll.CbondsDealsNumber($B41,AW$4,VLOOKUP($E41,'Help Page'!$L:$P,3,0))="Нет данных",0,_xll.CbondsDealsNumber($B41,AW$4,VLOOKUP($E41,'Help Page'!$L:$P,3,0))))</f>
        <v/>
      </c>
      <c r="AX41" s="76" t="str">
        <f>IF($B41 = 0,"",IF(_xll.CbondsDealsNumber($B41,AX$4,VLOOKUP($E41,'Help Page'!$L:$P,3,0))="Нет данных",0,_xll.CbondsDealsNumber($B41,AX$4,VLOOKUP($E41,'Help Page'!$L:$P,3,0))))</f>
        <v/>
      </c>
      <c r="AY41" s="76" t="str">
        <f>IF($B41 = 0,"",IF(_xll.CbondsDealsNumber($B41,AY$4,VLOOKUP($E41,'Help Page'!$L:$P,3,0))="Нет данных",0,_xll.CbondsDealsNumber($B41,AY$4,VLOOKUP($E41,'Help Page'!$L:$P,3,0))))</f>
        <v/>
      </c>
      <c r="AZ41" s="76" t="str">
        <f>IF($B41 = 0,"",IF(_xll.CbondsDealsNumber($B41,AZ$4,VLOOKUP($E41,'Help Page'!$L:$P,3,0))="Нет данных",0,_xll.CbondsDealsNumber($B41,AZ$4,VLOOKUP($E41,'Help Page'!$L:$P,3,0))))</f>
        <v/>
      </c>
      <c r="BA41" s="76" t="str">
        <f>IF($B41 = 0,"",IF(_xll.CbondsDealsNumber($B41,BA$4,VLOOKUP($E41,'Help Page'!$L:$P,3,0))="Нет данных",0,_xll.CbondsDealsNumber($B41,BA$4,VLOOKUP($E41,'Help Page'!$L:$P,3,0))))</f>
        <v/>
      </c>
      <c r="BB41" s="76" t="str">
        <f>IF($B41 = 0,"",IF(_xll.CbondsDealsNumber($B41,BB$4,VLOOKUP($E41,'Help Page'!$L:$P,3,0))="Нет данных",0,_xll.CbondsDealsNumber($B41,BB$4,VLOOKUP($E41,'Help Page'!$L:$P,3,0))))</f>
        <v/>
      </c>
      <c r="BC41" s="76" t="str">
        <f>IF($B41 = 0,"",IF(_xll.CbondsDealsNumber($B41,BC$4,VLOOKUP($E41,'Help Page'!$L:$P,3,0))="Нет данных",0,_xll.CbondsDealsNumber($B41,BC$4,VLOOKUP($E41,'Help Page'!$L:$P,3,0))))</f>
        <v/>
      </c>
      <c r="BD41" s="76" t="str">
        <f>IF($B41 = 0,"",IF(_xll.CbondsDealsNumber($B41,BD$4,VLOOKUP($E41,'Help Page'!$L:$P,3,0))="Нет данных",0,_xll.CbondsDealsNumber($B41,BD$4,VLOOKUP($E41,'Help Page'!$L:$P,3,0))))</f>
        <v/>
      </c>
      <c r="BE41" s="76" t="str">
        <f>IF($B41 = 0,"",IF(_xll.CbondsDealsNumber($B41,BE$4,VLOOKUP($E41,'Help Page'!$L:$P,3,0))="Нет данных",0,_xll.CbondsDealsNumber($B41,BE$4,VLOOKUP($E41,'Help Page'!$L:$P,3,0))))</f>
        <v/>
      </c>
      <c r="BF41" s="76" t="str">
        <f>IF($B41 = 0,"",IF(_xll.CbondsDealsNumber($B41,BF$4,VLOOKUP($E41,'Help Page'!$L:$P,3,0))="Нет данных",0,_xll.CbondsDealsNumber($B41,BF$4,VLOOKUP($E41,'Help Page'!$L:$P,3,0))))</f>
        <v/>
      </c>
      <c r="BG41" s="76" t="str">
        <f>IF($B41 = 0,"",IF(_xll.CbondsDealsNumber($B41,BG$4,VLOOKUP($E41,'Help Page'!$L:$P,3,0))="Нет данных",0,_xll.CbondsDealsNumber($B41,BG$4,VLOOKUP($E41,'Help Page'!$L:$P,3,0))))</f>
        <v/>
      </c>
      <c r="BH41" s="76" t="str">
        <f>IF($B41 = 0,"",IF(_xll.CbondsDealsNumber($B41,BH$4,VLOOKUP($E41,'Help Page'!$L:$P,3,0))="Нет данных",0,_xll.CbondsDealsNumber($B41,BH$4,VLOOKUP($E41,'Help Page'!$L:$P,3,0))))</f>
        <v/>
      </c>
      <c r="BI41" s="76" t="str">
        <f>IF($B41 = 0,"",IF(_xll.CbondsDealsNumber($B41,BI$4,VLOOKUP($E41,'Help Page'!$L:$P,3,0))="Нет данных",0,_xll.CbondsDealsNumber($B41,BI$4,VLOOKUP($E41,'Help Page'!$L:$P,3,0))))</f>
        <v/>
      </c>
      <c r="BJ41" s="76" t="str">
        <f>IF($B41 = 0,"",IF(_xll.CbondsDealsNumber($B41,BJ$4,VLOOKUP($E41,'Help Page'!$L:$P,3,0))="Нет данных",0,_xll.CbondsDealsNumber($B41,BJ$4,VLOOKUP($E41,'Help Page'!$L:$P,3,0))))</f>
        <v/>
      </c>
      <c r="BK41" s="76" t="str">
        <f>IF($B41 = 0,"",IF(_xll.CbondsDealsNumber($B41,BK$4,VLOOKUP($E41,'Help Page'!$L:$P,3,0))="Нет данных",0,_xll.CbondsDealsNumber($B41,BK$4,VLOOKUP($E41,'Help Page'!$L:$P,3,0))))</f>
        <v/>
      </c>
      <c r="BL41" s="76" t="str">
        <f>IF($B41 = 0,"",IF(_xll.CbondsDealsNumber($B41,BL$4,VLOOKUP($E41,'Help Page'!$L:$P,3,0))="Нет данных",0,_xll.CbondsDealsNumber($B41,BL$4,VLOOKUP($E41,'Help Page'!$L:$P,3,0))))</f>
        <v/>
      </c>
      <c r="BM41" s="76" t="str">
        <f>IF($B41 = 0,"",IF(_xll.CbondsDealsNumber($B41,BM$4,VLOOKUP($E41,'Help Page'!$L:$P,3,0))="Нет данных",0,_xll.CbondsDealsNumber($B41,BM$4,VLOOKUP($E41,'Help Page'!$L:$P,3,0))))</f>
        <v/>
      </c>
      <c r="BN41" s="76" t="str">
        <f>IF($B41 = 0,"",IF(_xll.CbondsDealsNumber($B41,BN$4,VLOOKUP($E41,'Help Page'!$L:$P,3,0))="Нет данных",0,_xll.CbondsDealsNumber($B41,BN$4,VLOOKUP($E41,'Help Page'!$L:$P,3,0))))</f>
        <v/>
      </c>
      <c r="BO41" s="156">
        <f>SUM(AK41:BN41)</f>
        <v>0</v>
      </c>
      <c r="BP41" s="156">
        <f>COUNTIF(AK41:BN41, "&gt;0")</f>
        <v>0</v>
      </c>
    </row>
    <row r="42" spans="1:68" x14ac:dyDescent="0.3">
      <c r="A42" s="18">
        <v>7</v>
      </c>
      <c r="B42" s="143">
        <f>Calculation!$J$32</f>
        <v>0</v>
      </c>
      <c r="C42" s="143" t="str">
        <f>IF($B42 = 0,"",_xll.CbondsCurrency(B42))</f>
        <v/>
      </c>
      <c r="D42" s="148" t="str">
        <f>IF($B42 = 0,"",_xll.ReferenceParams(B42,"SumMarketVal"))</f>
        <v/>
      </c>
      <c r="E42" s="143" t="s">
        <v>2077</v>
      </c>
      <c r="F42" s="23" t="str">
        <f>IF($B42 = 0,"",IF(_xll.CbondsTradingVolume($B42,F$4,VLOOKUP($E42,'Help Page'!$L:$P,3,0))="Нет данных",0,_xll.CbondsTradingVolume($B42,F$4,VLOOKUP($E42,'Help Page'!$L:$P,3,0))))</f>
        <v/>
      </c>
      <c r="G42" s="23" t="str">
        <f>IF($B42 = 0,"",IF(_xll.CbondsTradingVolume($B42,G$4,VLOOKUP($E42,'Help Page'!$L:$P,3,0))="Нет данных",0,_xll.CbondsTradingVolume($B42,G$4,VLOOKUP($E42,'Help Page'!$L:$P,3,0))))</f>
        <v/>
      </c>
      <c r="H42" s="23" t="str">
        <f>IF($B42 = 0,"",IF(_xll.CbondsTradingVolume($B42,H$4,VLOOKUP($E42,'Help Page'!$L:$P,3,0))="Нет данных",0,_xll.CbondsTradingVolume($B42,H$4,VLOOKUP($E42,'Help Page'!$L:$P,3,0))))</f>
        <v/>
      </c>
      <c r="I42" s="23" t="str">
        <f>IF($B42 = 0,"",IF(_xll.CbondsTradingVolume($B42,I$4,VLOOKUP($E42,'Help Page'!$L:$P,3,0))="Нет данных",0,_xll.CbondsTradingVolume($B42,I$4,VLOOKUP($E42,'Help Page'!$L:$P,3,0))))</f>
        <v/>
      </c>
      <c r="J42" s="23" t="str">
        <f>IF($B42 = 0,"",IF(_xll.CbondsTradingVolume($B42,J$4,VLOOKUP($E42,'Help Page'!$L:$P,3,0))="Нет данных",0,_xll.CbondsTradingVolume($B42,J$4,VLOOKUP($E42,'Help Page'!$L:$P,3,0))))</f>
        <v/>
      </c>
      <c r="K42" s="23" t="str">
        <f>IF($B42 = 0,"",IF(_xll.CbondsTradingVolume($B42,K$4,VLOOKUP($E42,'Help Page'!$L:$P,3,0))="Нет данных",0,_xll.CbondsTradingVolume($B42,K$4,VLOOKUP($E42,'Help Page'!$L:$P,3,0))))</f>
        <v/>
      </c>
      <c r="L42" s="23" t="str">
        <f>IF($B42 = 0,"",IF(_xll.CbondsTradingVolume($B42,L$4,VLOOKUP($E42,'Help Page'!$L:$P,3,0))="Нет данных",0,_xll.CbondsTradingVolume($B42,L$4,VLOOKUP($E42,'Help Page'!$L:$P,3,0))))</f>
        <v/>
      </c>
      <c r="M42" s="23" t="str">
        <f>IF($B42 = 0,"",IF(_xll.CbondsTradingVolume($B42,M$4,VLOOKUP($E42,'Help Page'!$L:$P,3,0))="Нет данных",0,_xll.CbondsTradingVolume($B42,M$4,VLOOKUP($E42,'Help Page'!$L:$P,3,0))))</f>
        <v/>
      </c>
      <c r="N42" s="23" t="str">
        <f>IF($B42 = 0,"",IF(_xll.CbondsTradingVolume($B42,N$4,VLOOKUP($E42,'Help Page'!$L:$P,3,0))="Нет данных",0,_xll.CbondsTradingVolume($B42,N$4,VLOOKUP($E42,'Help Page'!$L:$P,3,0))))</f>
        <v/>
      </c>
      <c r="O42" s="23" t="str">
        <f>IF($B42 = 0,"",IF(_xll.CbondsTradingVolume($B42,O$4,VLOOKUP($E42,'Help Page'!$L:$P,3,0))="Нет данных",0,_xll.CbondsTradingVolume($B42,O$4,VLOOKUP($E42,'Help Page'!$L:$P,3,0))))</f>
        <v/>
      </c>
      <c r="P42" s="23" t="str">
        <f>IF($B42 = 0,"",IF(_xll.CbondsTradingVolume($B42,P$4,VLOOKUP($E42,'Help Page'!$L:$P,3,0))="Нет данных",0,_xll.CbondsTradingVolume($B42,P$4,VLOOKUP($E42,'Help Page'!$L:$P,3,0))))</f>
        <v/>
      </c>
      <c r="Q42" s="23" t="str">
        <f>IF($B42 = 0,"",IF(_xll.CbondsTradingVolume($B42,Q$4,VLOOKUP($E42,'Help Page'!$L:$P,3,0))="Нет данных",0,_xll.CbondsTradingVolume($B42,Q$4,VLOOKUP($E42,'Help Page'!$L:$P,3,0))))</f>
        <v/>
      </c>
      <c r="R42" s="23" t="str">
        <f>IF($B42 = 0,"",IF(_xll.CbondsTradingVolume($B42,R$4,VLOOKUP($E42,'Help Page'!$L:$P,3,0))="Нет данных",0,_xll.CbondsTradingVolume($B42,R$4,VLOOKUP($E42,'Help Page'!$L:$P,3,0))))</f>
        <v/>
      </c>
      <c r="S42" s="23" t="str">
        <f>IF($B42 = 0,"",IF(_xll.CbondsTradingVolume($B42,S$4,VLOOKUP($E42,'Help Page'!$L:$P,3,0))="Нет данных",0,_xll.CbondsTradingVolume($B42,S$4,VLOOKUP($E42,'Help Page'!$L:$P,3,0))))</f>
        <v/>
      </c>
      <c r="T42" s="23" t="str">
        <f>IF($B42 = 0,"",IF(_xll.CbondsTradingVolume($B42,T$4,VLOOKUP($E42,'Help Page'!$L:$P,3,0))="Нет данных",0,_xll.CbondsTradingVolume($B42,T$4,VLOOKUP($E42,'Help Page'!$L:$P,3,0))))</f>
        <v/>
      </c>
      <c r="U42" s="23" t="str">
        <f>IF($B42 = 0,"",IF(_xll.CbondsTradingVolume($B42,U$4,VLOOKUP($E42,'Help Page'!$L:$P,3,0))="Нет данных",0,_xll.CbondsTradingVolume($B42,U$4,VLOOKUP($E42,'Help Page'!$L:$P,3,0))))</f>
        <v/>
      </c>
      <c r="V42" s="23" t="str">
        <f>IF($B42 = 0,"",IF(_xll.CbondsTradingVolume($B42,V$4,VLOOKUP($E42,'Help Page'!$L:$P,3,0))="Нет данных",0,_xll.CbondsTradingVolume($B42,V$4,VLOOKUP($E42,'Help Page'!$L:$P,3,0))))</f>
        <v/>
      </c>
      <c r="W42" s="23" t="str">
        <f>IF($B42 = 0,"",IF(_xll.CbondsTradingVolume($B42,W$4,VLOOKUP($E42,'Help Page'!$L:$P,3,0))="Нет данных",0,_xll.CbondsTradingVolume($B42,W$4,VLOOKUP($E42,'Help Page'!$L:$P,3,0))))</f>
        <v/>
      </c>
      <c r="X42" s="23" t="str">
        <f>IF($B42 = 0,"",IF(_xll.CbondsTradingVolume($B42,X$4,VLOOKUP($E42,'Help Page'!$L:$P,3,0))="Нет данных",0,_xll.CbondsTradingVolume($B42,X$4,VLOOKUP($E42,'Help Page'!$L:$P,3,0))))</f>
        <v/>
      </c>
      <c r="Y42" s="23" t="str">
        <f>IF($B42 = 0,"",IF(_xll.CbondsTradingVolume($B42,Y$4,VLOOKUP($E42,'Help Page'!$L:$P,3,0))="Нет данных",0,_xll.CbondsTradingVolume($B42,Y$4,VLOOKUP($E42,'Help Page'!$L:$P,3,0))))</f>
        <v/>
      </c>
      <c r="Z42" s="23" t="str">
        <f>IF($B42 = 0,"",IF(_xll.CbondsTradingVolume($B42,Z$4,VLOOKUP($E42,'Help Page'!$L:$P,3,0))="Нет данных",0,_xll.CbondsTradingVolume($B42,Z$4,VLOOKUP($E42,'Help Page'!$L:$P,3,0))))</f>
        <v/>
      </c>
      <c r="AA42" s="23" t="str">
        <f>IF($B42 = 0,"",IF(_xll.CbondsTradingVolume($B42,AA$4,VLOOKUP($E42,'Help Page'!$L:$P,3,0))="Нет данных",0,_xll.CbondsTradingVolume($B42,AA$4,VLOOKUP($E42,'Help Page'!$L:$P,3,0))))</f>
        <v/>
      </c>
      <c r="AB42" s="23" t="str">
        <f>IF($B42 = 0,"",IF(_xll.CbondsTradingVolume($B42,AB$4,VLOOKUP($E42,'Help Page'!$L:$P,3,0))="Нет данных",0,_xll.CbondsTradingVolume($B42,AB$4,VLOOKUP($E42,'Help Page'!$L:$P,3,0))))</f>
        <v/>
      </c>
      <c r="AC42" s="23" t="str">
        <f>IF($B42 = 0,"",IF(_xll.CbondsTradingVolume($B42,AC$4,VLOOKUP($E42,'Help Page'!$L:$P,3,0))="Нет данных",0,_xll.CbondsTradingVolume($B42,AC$4,VLOOKUP($E42,'Help Page'!$L:$P,3,0))))</f>
        <v/>
      </c>
      <c r="AD42" s="23" t="str">
        <f>IF($B42 = 0,"",IF(_xll.CbondsTradingVolume($B42,AD$4,VLOOKUP($E42,'Help Page'!$L:$P,3,0))="Нет данных",0,_xll.CbondsTradingVolume($B42,AD$4,VLOOKUP($E42,'Help Page'!$L:$P,3,0))))</f>
        <v/>
      </c>
      <c r="AE42" s="23" t="str">
        <f>IF($B42 = 0,"",IF(_xll.CbondsTradingVolume($B42,AE$4,VLOOKUP($E42,'Help Page'!$L:$P,3,0))="Нет данных",0,_xll.CbondsTradingVolume($B42,AE$4,VLOOKUP($E42,'Help Page'!$L:$P,3,0))))</f>
        <v/>
      </c>
      <c r="AF42" s="23" t="str">
        <f>IF($B42 = 0,"",IF(_xll.CbondsTradingVolume($B42,AF$4,VLOOKUP($E42,'Help Page'!$L:$P,3,0))="Нет данных",0,_xll.CbondsTradingVolume($B42,AF$4,VLOOKUP($E42,'Help Page'!$L:$P,3,0))))</f>
        <v/>
      </c>
      <c r="AG42" s="23" t="str">
        <f>IF($B42 = 0,"",IF(_xll.CbondsTradingVolume($B42,AG$4,VLOOKUP($E42,'Help Page'!$L:$P,3,0))="Нет данных",0,_xll.CbondsTradingVolume($B42,AG$4,VLOOKUP($E42,'Help Page'!$L:$P,3,0))))</f>
        <v/>
      </c>
      <c r="AH42" s="23" t="str">
        <f>IF($B42 = 0,"",IF(_xll.CbondsTradingVolume($B42,AH$4,VLOOKUP($E42,'Help Page'!$L:$P,3,0))="Нет данных",0,_xll.CbondsTradingVolume($B42,AH$4,VLOOKUP($E42,'Help Page'!$L:$P,3,0))))</f>
        <v/>
      </c>
      <c r="AI42" s="23" t="str">
        <f>IF($B42 = 0,"",IF(_xll.CbondsTradingVolume($B42,AI$4,VLOOKUP($E42,'Help Page'!$L:$P,3,0))="Нет данных",0,_xll.CbondsTradingVolume($B42,AI$4,VLOOKUP($E42,'Help Page'!$L:$P,3,0))))</f>
        <v/>
      </c>
      <c r="AJ42" s="171">
        <f>SUM(F42:AI42)*VLOOKUP($E42,'Help Page'!$L:$P,5,0)</f>
        <v>0</v>
      </c>
      <c r="AK42" s="76" t="str">
        <f>IF($B42 = 0,"",IF(_xll.CbondsDealsNumber($B42,AK$4,VLOOKUP($E42,'Help Page'!$L:$P,3,0))="Нет данных",0,_xll.CbondsDealsNumber($B42,AK$4,VLOOKUP($E42,'Help Page'!$L:$P,3,0))))</f>
        <v/>
      </c>
      <c r="AL42" s="76" t="str">
        <f>IF($B42 = 0,"",IF(_xll.CbondsDealsNumber($B42,AL$4,VLOOKUP($E42,'Help Page'!$L:$P,3,0))="Нет данных",0,_xll.CbondsDealsNumber($B42,AL$4,VLOOKUP($E42,'Help Page'!$L:$P,3,0))))</f>
        <v/>
      </c>
      <c r="AM42" s="76" t="str">
        <f>IF($B42 = 0,"",IF(_xll.CbondsDealsNumber($B42,AM$4,VLOOKUP($E42,'Help Page'!$L:$P,3,0))="Нет данных",0,_xll.CbondsDealsNumber($B42,AM$4,VLOOKUP($E42,'Help Page'!$L:$P,3,0))))</f>
        <v/>
      </c>
      <c r="AN42" s="76" t="str">
        <f>IF($B42 = 0,"",IF(_xll.CbondsDealsNumber($B42,AN$4,VLOOKUP($E42,'Help Page'!$L:$P,3,0))="Нет данных",0,_xll.CbondsDealsNumber($B42,AN$4,VLOOKUP($E42,'Help Page'!$L:$P,3,0))))</f>
        <v/>
      </c>
      <c r="AO42" s="76" t="str">
        <f>IF($B42 = 0,"",IF(_xll.CbondsDealsNumber($B42,AO$4,VLOOKUP($E42,'Help Page'!$L:$P,3,0))="Нет данных",0,_xll.CbondsDealsNumber($B42,AO$4,VLOOKUP($E42,'Help Page'!$L:$P,3,0))))</f>
        <v/>
      </c>
      <c r="AP42" s="76" t="str">
        <f>IF($B42 = 0,"",IF(_xll.CbondsDealsNumber($B42,AP$4,VLOOKUP($E42,'Help Page'!$L:$P,3,0))="Нет данных",0,_xll.CbondsDealsNumber($B42,AP$4,VLOOKUP($E42,'Help Page'!$L:$P,3,0))))</f>
        <v/>
      </c>
      <c r="AQ42" s="76" t="str">
        <f>IF($B42 = 0,"",IF(_xll.CbondsDealsNumber($B42,AQ$4,VLOOKUP($E42,'Help Page'!$L:$P,3,0))="Нет данных",0,_xll.CbondsDealsNumber($B42,AQ$4,VLOOKUP($E42,'Help Page'!$L:$P,3,0))))</f>
        <v/>
      </c>
      <c r="AR42" s="76" t="str">
        <f>IF($B42 = 0,"",IF(_xll.CbondsDealsNumber($B42,AR$4,VLOOKUP($E42,'Help Page'!$L:$P,3,0))="Нет данных",0,_xll.CbondsDealsNumber($B42,AR$4,VLOOKUP($E42,'Help Page'!$L:$P,3,0))))</f>
        <v/>
      </c>
      <c r="AS42" s="76" t="str">
        <f>IF($B42 = 0,"",IF(_xll.CbondsDealsNumber($B42,AS$4,VLOOKUP($E42,'Help Page'!$L:$P,3,0))="Нет данных",0,_xll.CbondsDealsNumber($B42,AS$4,VLOOKUP($E42,'Help Page'!$L:$P,3,0))))</f>
        <v/>
      </c>
      <c r="AT42" s="76" t="str">
        <f>IF($B42 = 0,"",IF(_xll.CbondsDealsNumber($B42,AT$4,VLOOKUP($E42,'Help Page'!$L:$P,3,0))="Нет данных",0,_xll.CbondsDealsNumber($B42,AT$4,VLOOKUP($E42,'Help Page'!$L:$P,3,0))))</f>
        <v/>
      </c>
      <c r="AU42" s="76" t="str">
        <f>IF($B42 = 0,"",IF(_xll.CbondsDealsNumber($B42,AU$4,VLOOKUP($E42,'Help Page'!$L:$P,3,0))="Нет данных",0,_xll.CbondsDealsNumber($B42,AU$4,VLOOKUP($E42,'Help Page'!$L:$P,3,0))))</f>
        <v/>
      </c>
      <c r="AV42" s="76" t="str">
        <f>IF($B42 = 0,"",IF(_xll.CbondsDealsNumber($B42,AV$4,VLOOKUP($E42,'Help Page'!$L:$P,3,0))="Нет данных",0,_xll.CbondsDealsNumber($B42,AV$4,VLOOKUP($E42,'Help Page'!$L:$P,3,0))))</f>
        <v/>
      </c>
      <c r="AW42" s="76" t="str">
        <f>IF($B42 = 0,"",IF(_xll.CbondsDealsNumber($B42,AW$4,VLOOKUP($E42,'Help Page'!$L:$P,3,0))="Нет данных",0,_xll.CbondsDealsNumber($B42,AW$4,VLOOKUP($E42,'Help Page'!$L:$P,3,0))))</f>
        <v/>
      </c>
      <c r="AX42" s="76" t="str">
        <f>IF($B42 = 0,"",IF(_xll.CbondsDealsNumber($B42,AX$4,VLOOKUP($E42,'Help Page'!$L:$P,3,0))="Нет данных",0,_xll.CbondsDealsNumber($B42,AX$4,VLOOKUP($E42,'Help Page'!$L:$P,3,0))))</f>
        <v/>
      </c>
      <c r="AY42" s="76" t="str">
        <f>IF($B42 = 0,"",IF(_xll.CbondsDealsNumber($B42,AY$4,VLOOKUP($E42,'Help Page'!$L:$P,3,0))="Нет данных",0,_xll.CbondsDealsNumber($B42,AY$4,VLOOKUP($E42,'Help Page'!$L:$P,3,0))))</f>
        <v/>
      </c>
      <c r="AZ42" s="76" t="str">
        <f>IF($B42 = 0,"",IF(_xll.CbondsDealsNumber($B42,AZ$4,VLOOKUP($E42,'Help Page'!$L:$P,3,0))="Нет данных",0,_xll.CbondsDealsNumber($B42,AZ$4,VLOOKUP($E42,'Help Page'!$L:$P,3,0))))</f>
        <v/>
      </c>
      <c r="BA42" s="76" t="str">
        <f>IF($B42 = 0,"",IF(_xll.CbondsDealsNumber($B42,BA$4,VLOOKUP($E42,'Help Page'!$L:$P,3,0))="Нет данных",0,_xll.CbondsDealsNumber($B42,BA$4,VLOOKUP($E42,'Help Page'!$L:$P,3,0))))</f>
        <v/>
      </c>
      <c r="BB42" s="76" t="str">
        <f>IF($B42 = 0,"",IF(_xll.CbondsDealsNumber($B42,BB$4,VLOOKUP($E42,'Help Page'!$L:$P,3,0))="Нет данных",0,_xll.CbondsDealsNumber($B42,BB$4,VLOOKUP($E42,'Help Page'!$L:$P,3,0))))</f>
        <v/>
      </c>
      <c r="BC42" s="76" t="str">
        <f>IF($B42 = 0,"",IF(_xll.CbondsDealsNumber($B42,BC$4,VLOOKUP($E42,'Help Page'!$L:$P,3,0))="Нет данных",0,_xll.CbondsDealsNumber($B42,BC$4,VLOOKUP($E42,'Help Page'!$L:$P,3,0))))</f>
        <v/>
      </c>
      <c r="BD42" s="76" t="str">
        <f>IF($B42 = 0,"",IF(_xll.CbondsDealsNumber($B42,BD$4,VLOOKUP($E42,'Help Page'!$L:$P,3,0))="Нет данных",0,_xll.CbondsDealsNumber($B42,BD$4,VLOOKUP($E42,'Help Page'!$L:$P,3,0))))</f>
        <v/>
      </c>
      <c r="BE42" s="76" t="str">
        <f>IF($B42 = 0,"",IF(_xll.CbondsDealsNumber($B42,BE$4,VLOOKUP($E42,'Help Page'!$L:$P,3,0))="Нет данных",0,_xll.CbondsDealsNumber($B42,BE$4,VLOOKUP($E42,'Help Page'!$L:$P,3,0))))</f>
        <v/>
      </c>
      <c r="BF42" s="76" t="str">
        <f>IF($B42 = 0,"",IF(_xll.CbondsDealsNumber($B42,BF$4,VLOOKUP($E42,'Help Page'!$L:$P,3,0))="Нет данных",0,_xll.CbondsDealsNumber($B42,BF$4,VLOOKUP($E42,'Help Page'!$L:$P,3,0))))</f>
        <v/>
      </c>
      <c r="BG42" s="76" t="str">
        <f>IF($B42 = 0,"",IF(_xll.CbondsDealsNumber($B42,BG$4,VLOOKUP($E42,'Help Page'!$L:$P,3,0))="Нет данных",0,_xll.CbondsDealsNumber($B42,BG$4,VLOOKUP($E42,'Help Page'!$L:$P,3,0))))</f>
        <v/>
      </c>
      <c r="BH42" s="76" t="str">
        <f>IF($B42 = 0,"",IF(_xll.CbondsDealsNumber($B42,BH$4,VLOOKUP($E42,'Help Page'!$L:$P,3,0))="Нет данных",0,_xll.CbondsDealsNumber($B42,BH$4,VLOOKUP($E42,'Help Page'!$L:$P,3,0))))</f>
        <v/>
      </c>
      <c r="BI42" s="76" t="str">
        <f>IF($B42 = 0,"",IF(_xll.CbondsDealsNumber($B42,BI$4,VLOOKUP($E42,'Help Page'!$L:$P,3,0))="Нет данных",0,_xll.CbondsDealsNumber($B42,BI$4,VLOOKUP($E42,'Help Page'!$L:$P,3,0))))</f>
        <v/>
      </c>
      <c r="BJ42" s="76" t="str">
        <f>IF($B42 = 0,"",IF(_xll.CbondsDealsNumber($B42,BJ$4,VLOOKUP($E42,'Help Page'!$L:$P,3,0))="Нет данных",0,_xll.CbondsDealsNumber($B42,BJ$4,VLOOKUP($E42,'Help Page'!$L:$P,3,0))))</f>
        <v/>
      </c>
      <c r="BK42" s="76" t="str">
        <f>IF($B42 = 0,"",IF(_xll.CbondsDealsNumber($B42,BK$4,VLOOKUP($E42,'Help Page'!$L:$P,3,0))="Нет данных",0,_xll.CbondsDealsNumber($B42,BK$4,VLOOKUP($E42,'Help Page'!$L:$P,3,0))))</f>
        <v/>
      </c>
      <c r="BL42" s="76" t="str">
        <f>IF($B42 = 0,"",IF(_xll.CbondsDealsNumber($B42,BL$4,VLOOKUP($E42,'Help Page'!$L:$P,3,0))="Нет данных",0,_xll.CbondsDealsNumber($B42,BL$4,VLOOKUP($E42,'Help Page'!$L:$P,3,0))))</f>
        <v/>
      </c>
      <c r="BM42" s="76" t="str">
        <f>IF($B42 = 0,"",IF(_xll.CbondsDealsNumber($B42,BM$4,VLOOKUP($E42,'Help Page'!$L:$P,3,0))="Нет данных",0,_xll.CbondsDealsNumber($B42,BM$4,VLOOKUP($E42,'Help Page'!$L:$P,3,0))))</f>
        <v/>
      </c>
      <c r="BN42" s="76" t="str">
        <f>IF($B42 = 0,"",IF(_xll.CbondsDealsNumber($B42,BN$4,VLOOKUP($E42,'Help Page'!$L:$P,3,0))="Нет данных",0,_xll.CbondsDealsNumber($B42,BN$4,VLOOKUP($E42,'Help Page'!$L:$P,3,0))))</f>
        <v/>
      </c>
      <c r="BO42" s="156">
        <f t="shared" ref="BO42:BO44" si="18">SUM(AK42:BN42)</f>
        <v>0</v>
      </c>
      <c r="BP42" s="156">
        <f>COUNTIF(AK42:BN42, "&gt;0")</f>
        <v>0</v>
      </c>
    </row>
    <row r="43" spans="1:68" x14ac:dyDescent="0.3">
      <c r="A43" s="18">
        <v>7</v>
      </c>
      <c r="B43" s="143">
        <f>Calculation!$J$32</f>
        <v>0</v>
      </c>
      <c r="C43" s="143" t="str">
        <f>IF($B43 = 0,"",_xll.CbondsCurrency(B43))</f>
        <v/>
      </c>
      <c r="D43" s="148" t="str">
        <f>IF($B43 = 0,"",_xll.ReferenceParams(B43,"SumMarketVal"))</f>
        <v/>
      </c>
      <c r="E43" s="143" t="s">
        <v>2078</v>
      </c>
      <c r="F43" s="23" t="str">
        <f>IF($B43 = 0,"",IF(_xll.CbondsTradingVolume($B43,F$4,VLOOKUP($E43,'Help Page'!$L:$P,3,0))="Нет данных",0,_xll.CbondsTradingVolume($B43,F$4,VLOOKUP($E43,'Help Page'!$L:$P,3,0))))</f>
        <v/>
      </c>
      <c r="G43" s="23" t="str">
        <f>IF($B43 = 0,"",IF(_xll.CbondsTradingVolume($B43,G$4,VLOOKUP($E43,'Help Page'!$L:$P,3,0))="Нет данных",0,_xll.CbondsTradingVolume($B43,G$4,VLOOKUP($E43,'Help Page'!$L:$P,3,0))))</f>
        <v/>
      </c>
      <c r="H43" s="23" t="str">
        <f>IF($B43 = 0,"",IF(_xll.CbondsTradingVolume($B43,H$4,VLOOKUP($E43,'Help Page'!$L:$P,3,0))="Нет данных",0,_xll.CbondsTradingVolume($B43,H$4,VLOOKUP($E43,'Help Page'!$L:$P,3,0))))</f>
        <v/>
      </c>
      <c r="I43" s="23" t="str">
        <f>IF($B43 = 0,"",IF(_xll.CbondsTradingVolume($B43,I$4,VLOOKUP($E43,'Help Page'!$L:$P,3,0))="Нет данных",0,_xll.CbondsTradingVolume($B43,I$4,VLOOKUP($E43,'Help Page'!$L:$P,3,0))))</f>
        <v/>
      </c>
      <c r="J43" s="23" t="str">
        <f>IF($B43 = 0,"",IF(_xll.CbondsTradingVolume($B43,J$4,VLOOKUP($E43,'Help Page'!$L:$P,3,0))="Нет данных",0,_xll.CbondsTradingVolume($B43,J$4,VLOOKUP($E43,'Help Page'!$L:$P,3,0))))</f>
        <v/>
      </c>
      <c r="K43" s="23" t="str">
        <f>IF($B43 = 0,"",IF(_xll.CbondsTradingVolume($B43,K$4,VLOOKUP($E43,'Help Page'!$L:$P,3,0))="Нет данных",0,_xll.CbondsTradingVolume($B43,K$4,VLOOKUP($E43,'Help Page'!$L:$P,3,0))))</f>
        <v/>
      </c>
      <c r="L43" s="23" t="str">
        <f>IF($B43 = 0,"",IF(_xll.CbondsTradingVolume($B43,L$4,VLOOKUP($E43,'Help Page'!$L:$P,3,0))="Нет данных",0,_xll.CbondsTradingVolume($B43,L$4,VLOOKUP($E43,'Help Page'!$L:$P,3,0))))</f>
        <v/>
      </c>
      <c r="M43" s="23" t="str">
        <f>IF($B43 = 0,"",IF(_xll.CbondsTradingVolume($B43,M$4,VLOOKUP($E43,'Help Page'!$L:$P,3,0))="Нет данных",0,_xll.CbondsTradingVolume($B43,M$4,VLOOKUP($E43,'Help Page'!$L:$P,3,0))))</f>
        <v/>
      </c>
      <c r="N43" s="23" t="str">
        <f>IF($B43 = 0,"",IF(_xll.CbondsTradingVolume($B43,N$4,VLOOKUP($E43,'Help Page'!$L:$P,3,0))="Нет данных",0,_xll.CbondsTradingVolume($B43,N$4,VLOOKUP($E43,'Help Page'!$L:$P,3,0))))</f>
        <v/>
      </c>
      <c r="O43" s="23" t="str">
        <f>IF($B43 = 0,"",IF(_xll.CbondsTradingVolume($B43,O$4,VLOOKUP($E43,'Help Page'!$L:$P,3,0))="Нет данных",0,_xll.CbondsTradingVolume($B43,O$4,VLOOKUP($E43,'Help Page'!$L:$P,3,0))))</f>
        <v/>
      </c>
      <c r="P43" s="23" t="str">
        <f>IF($B43 = 0,"",IF(_xll.CbondsTradingVolume($B43,P$4,VLOOKUP($E43,'Help Page'!$L:$P,3,0))="Нет данных",0,_xll.CbondsTradingVolume($B43,P$4,VLOOKUP($E43,'Help Page'!$L:$P,3,0))))</f>
        <v/>
      </c>
      <c r="Q43" s="23" t="str">
        <f>IF($B43 = 0,"",IF(_xll.CbondsTradingVolume($B43,Q$4,VLOOKUP($E43,'Help Page'!$L:$P,3,0))="Нет данных",0,_xll.CbondsTradingVolume($B43,Q$4,VLOOKUP($E43,'Help Page'!$L:$P,3,0))))</f>
        <v/>
      </c>
      <c r="R43" s="23" t="str">
        <f>IF($B43 = 0,"",IF(_xll.CbondsTradingVolume($B43,R$4,VLOOKUP($E43,'Help Page'!$L:$P,3,0))="Нет данных",0,_xll.CbondsTradingVolume($B43,R$4,VLOOKUP($E43,'Help Page'!$L:$P,3,0))))</f>
        <v/>
      </c>
      <c r="S43" s="23" t="str">
        <f>IF($B43 = 0,"",IF(_xll.CbondsTradingVolume($B43,S$4,VLOOKUP($E43,'Help Page'!$L:$P,3,0))="Нет данных",0,_xll.CbondsTradingVolume($B43,S$4,VLOOKUP($E43,'Help Page'!$L:$P,3,0))))</f>
        <v/>
      </c>
      <c r="T43" s="23" t="str">
        <f>IF($B43 = 0,"",IF(_xll.CbondsTradingVolume($B43,T$4,VLOOKUP($E43,'Help Page'!$L:$P,3,0))="Нет данных",0,_xll.CbondsTradingVolume($B43,T$4,VLOOKUP($E43,'Help Page'!$L:$P,3,0))))</f>
        <v/>
      </c>
      <c r="U43" s="23" t="str">
        <f>IF($B43 = 0,"",IF(_xll.CbondsTradingVolume($B43,U$4,VLOOKUP($E43,'Help Page'!$L:$P,3,0))="Нет данных",0,_xll.CbondsTradingVolume($B43,U$4,VLOOKUP($E43,'Help Page'!$L:$P,3,0))))</f>
        <v/>
      </c>
      <c r="V43" s="23" t="str">
        <f>IF($B43 = 0,"",IF(_xll.CbondsTradingVolume($B43,V$4,VLOOKUP($E43,'Help Page'!$L:$P,3,0))="Нет данных",0,_xll.CbondsTradingVolume($B43,V$4,VLOOKUP($E43,'Help Page'!$L:$P,3,0))))</f>
        <v/>
      </c>
      <c r="W43" s="23" t="str">
        <f>IF($B43 = 0,"",IF(_xll.CbondsTradingVolume($B43,W$4,VLOOKUP($E43,'Help Page'!$L:$P,3,0))="Нет данных",0,_xll.CbondsTradingVolume($B43,W$4,VLOOKUP($E43,'Help Page'!$L:$P,3,0))))</f>
        <v/>
      </c>
      <c r="X43" s="23" t="str">
        <f>IF($B43 = 0,"",IF(_xll.CbondsTradingVolume($B43,X$4,VLOOKUP($E43,'Help Page'!$L:$P,3,0))="Нет данных",0,_xll.CbondsTradingVolume($B43,X$4,VLOOKUP($E43,'Help Page'!$L:$P,3,0))))</f>
        <v/>
      </c>
      <c r="Y43" s="23" t="str">
        <f>IF($B43 = 0,"",IF(_xll.CbondsTradingVolume($B43,Y$4,VLOOKUP($E43,'Help Page'!$L:$P,3,0))="Нет данных",0,_xll.CbondsTradingVolume($B43,Y$4,VLOOKUP($E43,'Help Page'!$L:$P,3,0))))</f>
        <v/>
      </c>
      <c r="Z43" s="23" t="str">
        <f>IF($B43 = 0,"",IF(_xll.CbondsTradingVolume($B43,Z$4,VLOOKUP($E43,'Help Page'!$L:$P,3,0))="Нет данных",0,_xll.CbondsTradingVolume($B43,Z$4,VLOOKUP($E43,'Help Page'!$L:$P,3,0))))</f>
        <v/>
      </c>
      <c r="AA43" s="23" t="str">
        <f>IF($B43 = 0,"",IF(_xll.CbondsTradingVolume($B43,AA$4,VLOOKUP($E43,'Help Page'!$L:$P,3,0))="Нет данных",0,_xll.CbondsTradingVolume($B43,AA$4,VLOOKUP($E43,'Help Page'!$L:$P,3,0))))</f>
        <v/>
      </c>
      <c r="AB43" s="23" t="str">
        <f>IF($B43 = 0,"",IF(_xll.CbondsTradingVolume($B43,AB$4,VLOOKUP($E43,'Help Page'!$L:$P,3,0))="Нет данных",0,_xll.CbondsTradingVolume($B43,AB$4,VLOOKUP($E43,'Help Page'!$L:$P,3,0))))</f>
        <v/>
      </c>
      <c r="AC43" s="23" t="str">
        <f>IF($B43 = 0,"",IF(_xll.CbondsTradingVolume($B43,AC$4,VLOOKUP($E43,'Help Page'!$L:$P,3,0))="Нет данных",0,_xll.CbondsTradingVolume($B43,AC$4,VLOOKUP($E43,'Help Page'!$L:$P,3,0))))</f>
        <v/>
      </c>
      <c r="AD43" s="23" t="str">
        <f>IF($B43 = 0,"",IF(_xll.CbondsTradingVolume($B43,AD$4,VLOOKUP($E43,'Help Page'!$L:$P,3,0))="Нет данных",0,_xll.CbondsTradingVolume($B43,AD$4,VLOOKUP($E43,'Help Page'!$L:$P,3,0))))</f>
        <v/>
      </c>
      <c r="AE43" s="23" t="str">
        <f>IF($B43 = 0,"",IF(_xll.CbondsTradingVolume($B43,AE$4,VLOOKUP($E43,'Help Page'!$L:$P,3,0))="Нет данных",0,_xll.CbondsTradingVolume($B43,AE$4,VLOOKUP($E43,'Help Page'!$L:$P,3,0))))</f>
        <v/>
      </c>
      <c r="AF43" s="23" t="str">
        <f>IF($B43 = 0,"",IF(_xll.CbondsTradingVolume($B43,AF$4,VLOOKUP($E43,'Help Page'!$L:$P,3,0))="Нет данных",0,_xll.CbondsTradingVolume($B43,AF$4,VLOOKUP($E43,'Help Page'!$L:$P,3,0))))</f>
        <v/>
      </c>
      <c r="AG43" s="23" t="str">
        <f>IF($B43 = 0,"",IF(_xll.CbondsTradingVolume($B43,AG$4,VLOOKUP($E43,'Help Page'!$L:$P,3,0))="Нет данных",0,_xll.CbondsTradingVolume($B43,AG$4,VLOOKUP($E43,'Help Page'!$L:$P,3,0))))</f>
        <v/>
      </c>
      <c r="AH43" s="23" t="str">
        <f>IF($B43 = 0,"",IF(_xll.CbondsTradingVolume($B43,AH$4,VLOOKUP($E43,'Help Page'!$L:$P,3,0))="Нет данных",0,_xll.CbondsTradingVolume($B43,AH$4,VLOOKUP($E43,'Help Page'!$L:$P,3,0))))</f>
        <v/>
      </c>
      <c r="AI43" s="23" t="str">
        <f>IF($B43 = 0,"",IF(_xll.CbondsTradingVolume($B43,AI$4,VLOOKUP($E43,'Help Page'!$L:$P,3,0))="Нет данных",0,_xll.CbondsTradingVolume($B43,AI$4,VLOOKUP($E43,'Help Page'!$L:$P,3,0))))</f>
        <v/>
      </c>
      <c r="AJ43" s="171">
        <f>SUM(F43:AI43)*VLOOKUP($E43,'Help Page'!$L:$P,5,0)</f>
        <v>0</v>
      </c>
      <c r="AK43" s="76" t="str">
        <f>IF($B43 = 0,"",IF(_xll.CbondsDealsNumber($B43,AK$4,VLOOKUP($E43,'Help Page'!$L:$P,3,0))="Нет данных",0,_xll.CbondsDealsNumber($B43,AK$4,VLOOKUP($E43,'Help Page'!$L:$P,3,0))))</f>
        <v/>
      </c>
      <c r="AL43" s="76" t="str">
        <f>IF($B43 = 0,"",IF(_xll.CbondsDealsNumber($B43,AL$4,VLOOKUP($E43,'Help Page'!$L:$P,3,0))="Нет данных",0,_xll.CbondsDealsNumber($B43,AL$4,VLOOKUP($E43,'Help Page'!$L:$P,3,0))))</f>
        <v/>
      </c>
      <c r="AM43" s="76" t="str">
        <f>IF($B43 = 0,"",IF(_xll.CbondsDealsNumber($B43,AM$4,VLOOKUP($E43,'Help Page'!$L:$P,3,0))="Нет данных",0,_xll.CbondsDealsNumber($B43,AM$4,VLOOKUP($E43,'Help Page'!$L:$P,3,0))))</f>
        <v/>
      </c>
      <c r="AN43" s="76" t="str">
        <f>IF($B43 = 0,"",IF(_xll.CbondsDealsNumber($B43,AN$4,VLOOKUP($E43,'Help Page'!$L:$P,3,0))="Нет данных",0,_xll.CbondsDealsNumber($B43,AN$4,VLOOKUP($E43,'Help Page'!$L:$P,3,0))))</f>
        <v/>
      </c>
      <c r="AO43" s="76" t="str">
        <f>IF($B43 = 0,"",IF(_xll.CbondsDealsNumber($B43,AO$4,VLOOKUP($E43,'Help Page'!$L:$P,3,0))="Нет данных",0,_xll.CbondsDealsNumber($B43,AO$4,VLOOKUP($E43,'Help Page'!$L:$P,3,0))))</f>
        <v/>
      </c>
      <c r="AP43" s="76" t="str">
        <f>IF($B43 = 0,"",IF(_xll.CbondsDealsNumber($B43,AP$4,VLOOKUP($E43,'Help Page'!$L:$P,3,0))="Нет данных",0,_xll.CbondsDealsNumber($B43,AP$4,VLOOKUP($E43,'Help Page'!$L:$P,3,0))))</f>
        <v/>
      </c>
      <c r="AQ43" s="76" t="str">
        <f>IF($B43 = 0,"",IF(_xll.CbondsDealsNumber($B43,AQ$4,VLOOKUP($E43,'Help Page'!$L:$P,3,0))="Нет данных",0,_xll.CbondsDealsNumber($B43,AQ$4,VLOOKUP($E43,'Help Page'!$L:$P,3,0))))</f>
        <v/>
      </c>
      <c r="AR43" s="76" t="str">
        <f>IF($B43 = 0,"",IF(_xll.CbondsDealsNumber($B43,AR$4,VLOOKUP($E43,'Help Page'!$L:$P,3,0))="Нет данных",0,_xll.CbondsDealsNumber($B43,AR$4,VLOOKUP($E43,'Help Page'!$L:$P,3,0))))</f>
        <v/>
      </c>
      <c r="AS43" s="76" t="str">
        <f>IF($B43 = 0,"",IF(_xll.CbondsDealsNumber($B43,AS$4,VLOOKUP($E43,'Help Page'!$L:$P,3,0))="Нет данных",0,_xll.CbondsDealsNumber($B43,AS$4,VLOOKUP($E43,'Help Page'!$L:$P,3,0))))</f>
        <v/>
      </c>
      <c r="AT43" s="76" t="str">
        <f>IF($B43 = 0,"",IF(_xll.CbondsDealsNumber($B43,AT$4,VLOOKUP($E43,'Help Page'!$L:$P,3,0))="Нет данных",0,_xll.CbondsDealsNumber($B43,AT$4,VLOOKUP($E43,'Help Page'!$L:$P,3,0))))</f>
        <v/>
      </c>
      <c r="AU43" s="76" t="str">
        <f>IF($B43 = 0,"",IF(_xll.CbondsDealsNumber($B43,AU$4,VLOOKUP($E43,'Help Page'!$L:$P,3,0))="Нет данных",0,_xll.CbondsDealsNumber($B43,AU$4,VLOOKUP($E43,'Help Page'!$L:$P,3,0))))</f>
        <v/>
      </c>
      <c r="AV43" s="76" t="str">
        <f>IF($B43 = 0,"",IF(_xll.CbondsDealsNumber($B43,AV$4,VLOOKUP($E43,'Help Page'!$L:$P,3,0))="Нет данных",0,_xll.CbondsDealsNumber($B43,AV$4,VLOOKUP($E43,'Help Page'!$L:$P,3,0))))</f>
        <v/>
      </c>
      <c r="AW43" s="76" t="str">
        <f>IF($B43 = 0,"",IF(_xll.CbondsDealsNumber($B43,AW$4,VLOOKUP($E43,'Help Page'!$L:$P,3,0))="Нет данных",0,_xll.CbondsDealsNumber($B43,AW$4,VLOOKUP($E43,'Help Page'!$L:$P,3,0))))</f>
        <v/>
      </c>
      <c r="AX43" s="76" t="str">
        <f>IF($B43 = 0,"",IF(_xll.CbondsDealsNumber($B43,AX$4,VLOOKUP($E43,'Help Page'!$L:$P,3,0))="Нет данных",0,_xll.CbondsDealsNumber($B43,AX$4,VLOOKUP($E43,'Help Page'!$L:$P,3,0))))</f>
        <v/>
      </c>
      <c r="AY43" s="76" t="str">
        <f>IF($B43 = 0,"",IF(_xll.CbondsDealsNumber($B43,AY$4,VLOOKUP($E43,'Help Page'!$L:$P,3,0))="Нет данных",0,_xll.CbondsDealsNumber($B43,AY$4,VLOOKUP($E43,'Help Page'!$L:$P,3,0))))</f>
        <v/>
      </c>
      <c r="AZ43" s="76" t="str">
        <f>IF($B43 = 0,"",IF(_xll.CbondsDealsNumber($B43,AZ$4,VLOOKUP($E43,'Help Page'!$L:$P,3,0))="Нет данных",0,_xll.CbondsDealsNumber($B43,AZ$4,VLOOKUP($E43,'Help Page'!$L:$P,3,0))))</f>
        <v/>
      </c>
      <c r="BA43" s="76" t="str">
        <f>IF($B43 = 0,"",IF(_xll.CbondsDealsNumber($B43,BA$4,VLOOKUP($E43,'Help Page'!$L:$P,3,0))="Нет данных",0,_xll.CbondsDealsNumber($B43,BA$4,VLOOKUP($E43,'Help Page'!$L:$P,3,0))))</f>
        <v/>
      </c>
      <c r="BB43" s="76" t="str">
        <f>IF($B43 = 0,"",IF(_xll.CbondsDealsNumber($B43,BB$4,VLOOKUP($E43,'Help Page'!$L:$P,3,0))="Нет данных",0,_xll.CbondsDealsNumber($B43,BB$4,VLOOKUP($E43,'Help Page'!$L:$P,3,0))))</f>
        <v/>
      </c>
      <c r="BC43" s="76" t="str">
        <f>IF($B43 = 0,"",IF(_xll.CbondsDealsNumber($B43,BC$4,VLOOKUP($E43,'Help Page'!$L:$P,3,0))="Нет данных",0,_xll.CbondsDealsNumber($B43,BC$4,VLOOKUP($E43,'Help Page'!$L:$P,3,0))))</f>
        <v/>
      </c>
      <c r="BD43" s="76" t="str">
        <f>IF($B43 = 0,"",IF(_xll.CbondsDealsNumber($B43,BD$4,VLOOKUP($E43,'Help Page'!$L:$P,3,0))="Нет данных",0,_xll.CbondsDealsNumber($B43,BD$4,VLOOKUP($E43,'Help Page'!$L:$P,3,0))))</f>
        <v/>
      </c>
      <c r="BE43" s="76" t="str">
        <f>IF($B43 = 0,"",IF(_xll.CbondsDealsNumber($B43,BE$4,VLOOKUP($E43,'Help Page'!$L:$P,3,0))="Нет данных",0,_xll.CbondsDealsNumber($B43,BE$4,VLOOKUP($E43,'Help Page'!$L:$P,3,0))))</f>
        <v/>
      </c>
      <c r="BF43" s="76" t="str">
        <f>IF($B43 = 0,"",IF(_xll.CbondsDealsNumber($B43,BF$4,VLOOKUP($E43,'Help Page'!$L:$P,3,0))="Нет данных",0,_xll.CbondsDealsNumber($B43,BF$4,VLOOKUP($E43,'Help Page'!$L:$P,3,0))))</f>
        <v/>
      </c>
      <c r="BG43" s="76" t="str">
        <f>IF($B43 = 0,"",IF(_xll.CbondsDealsNumber($B43,BG$4,VLOOKUP($E43,'Help Page'!$L:$P,3,0))="Нет данных",0,_xll.CbondsDealsNumber($B43,BG$4,VLOOKUP($E43,'Help Page'!$L:$P,3,0))))</f>
        <v/>
      </c>
      <c r="BH43" s="76" t="str">
        <f>IF($B43 = 0,"",IF(_xll.CbondsDealsNumber($B43,BH$4,VLOOKUP($E43,'Help Page'!$L:$P,3,0))="Нет данных",0,_xll.CbondsDealsNumber($B43,BH$4,VLOOKUP($E43,'Help Page'!$L:$P,3,0))))</f>
        <v/>
      </c>
      <c r="BI43" s="76" t="str">
        <f>IF($B43 = 0,"",IF(_xll.CbondsDealsNumber($B43,BI$4,VLOOKUP($E43,'Help Page'!$L:$P,3,0))="Нет данных",0,_xll.CbondsDealsNumber($B43,BI$4,VLOOKUP($E43,'Help Page'!$L:$P,3,0))))</f>
        <v/>
      </c>
      <c r="BJ43" s="76" t="str">
        <f>IF($B43 = 0,"",IF(_xll.CbondsDealsNumber($B43,BJ$4,VLOOKUP($E43,'Help Page'!$L:$P,3,0))="Нет данных",0,_xll.CbondsDealsNumber($B43,BJ$4,VLOOKUP($E43,'Help Page'!$L:$P,3,0))))</f>
        <v/>
      </c>
      <c r="BK43" s="76" t="str">
        <f>IF($B43 = 0,"",IF(_xll.CbondsDealsNumber($B43,BK$4,VLOOKUP($E43,'Help Page'!$L:$P,3,0))="Нет данных",0,_xll.CbondsDealsNumber($B43,BK$4,VLOOKUP($E43,'Help Page'!$L:$P,3,0))))</f>
        <v/>
      </c>
      <c r="BL43" s="76" t="str">
        <f>IF($B43 = 0,"",IF(_xll.CbondsDealsNumber($B43,BL$4,VLOOKUP($E43,'Help Page'!$L:$P,3,0))="Нет данных",0,_xll.CbondsDealsNumber($B43,BL$4,VLOOKUP($E43,'Help Page'!$L:$P,3,0))))</f>
        <v/>
      </c>
      <c r="BM43" s="76" t="str">
        <f>IF($B43 = 0,"",IF(_xll.CbondsDealsNumber($B43,BM$4,VLOOKUP($E43,'Help Page'!$L:$P,3,0))="Нет данных",0,_xll.CbondsDealsNumber($B43,BM$4,VLOOKUP($E43,'Help Page'!$L:$P,3,0))))</f>
        <v/>
      </c>
      <c r="BN43" s="76" t="str">
        <f>IF($B43 = 0,"",IF(_xll.CbondsDealsNumber($B43,BN$4,VLOOKUP($E43,'Help Page'!$L:$P,3,0))="Нет данных",0,_xll.CbondsDealsNumber($B43,BN$4,VLOOKUP($E43,'Help Page'!$L:$P,3,0))))</f>
        <v/>
      </c>
      <c r="BO43" s="156">
        <f t="shared" si="18"/>
        <v>0</v>
      </c>
      <c r="BP43" s="156">
        <f t="shared" ref="BP43" si="19">COUNTIF(AK43:BN43, "&gt;0")</f>
        <v>0</v>
      </c>
    </row>
    <row r="44" spans="1:68" x14ac:dyDescent="0.3">
      <c r="A44" s="18">
        <v>7</v>
      </c>
      <c r="B44" s="143">
        <f>Calculation!$J$32</f>
        <v>0</v>
      </c>
      <c r="C44" s="143" t="str">
        <f>IF($B44 = 0,"",_xll.CbondsCurrency(B44))</f>
        <v/>
      </c>
      <c r="D44" s="148" t="str">
        <f>IF($B44 = 0,"",_xll.ReferenceParams(B44,"SumMarketVal"))</f>
        <v/>
      </c>
      <c r="E44" s="143" t="s">
        <v>2079</v>
      </c>
      <c r="F44" s="23" t="str">
        <f>IF($B44 = 0,"",IF(_xll.CbondsTradingVolume($B44,F$4,VLOOKUP($E44,'Help Page'!$L:$P,3,0))="Нет данных",0,_xll.CbondsTradingVolume($B44,F$4,VLOOKUP($E44,'Help Page'!$L:$P,3,0))))</f>
        <v/>
      </c>
      <c r="G44" s="23" t="str">
        <f>IF($B44 = 0,"",IF(_xll.CbondsTradingVolume($B44,G$4,VLOOKUP($E44,'Help Page'!$L:$P,3,0))="Нет данных",0,_xll.CbondsTradingVolume($B44,G$4,VLOOKUP($E44,'Help Page'!$L:$P,3,0))))</f>
        <v/>
      </c>
      <c r="H44" s="23" t="str">
        <f>IF($B44 = 0,"",IF(_xll.CbondsTradingVolume($B44,H$4,VLOOKUP($E44,'Help Page'!$L:$P,3,0))="Нет данных",0,_xll.CbondsTradingVolume($B44,H$4,VLOOKUP($E44,'Help Page'!$L:$P,3,0))))</f>
        <v/>
      </c>
      <c r="I44" s="23" t="str">
        <f>IF($B44 = 0,"",IF(_xll.CbondsTradingVolume($B44,I$4,VLOOKUP($E44,'Help Page'!$L:$P,3,0))="Нет данных",0,_xll.CbondsTradingVolume($B44,I$4,VLOOKUP($E44,'Help Page'!$L:$P,3,0))))</f>
        <v/>
      </c>
      <c r="J44" s="23" t="str">
        <f>IF($B44 = 0,"",IF(_xll.CbondsTradingVolume($B44,J$4,VLOOKUP($E44,'Help Page'!$L:$P,3,0))="Нет данных",0,_xll.CbondsTradingVolume($B44,J$4,VLOOKUP($E44,'Help Page'!$L:$P,3,0))))</f>
        <v/>
      </c>
      <c r="K44" s="23" t="str">
        <f>IF($B44 = 0,"",IF(_xll.CbondsTradingVolume($B44,K$4,VLOOKUP($E44,'Help Page'!$L:$P,3,0))="Нет данных",0,_xll.CbondsTradingVolume($B44,K$4,VLOOKUP($E44,'Help Page'!$L:$P,3,0))))</f>
        <v/>
      </c>
      <c r="L44" s="23" t="str">
        <f>IF($B44 = 0,"",IF(_xll.CbondsTradingVolume($B44,L$4,VLOOKUP($E44,'Help Page'!$L:$P,3,0))="Нет данных",0,_xll.CbondsTradingVolume($B44,L$4,VLOOKUP($E44,'Help Page'!$L:$P,3,0))))</f>
        <v/>
      </c>
      <c r="M44" s="23" t="str">
        <f>IF($B44 = 0,"",IF(_xll.CbondsTradingVolume($B44,M$4,VLOOKUP($E44,'Help Page'!$L:$P,3,0))="Нет данных",0,_xll.CbondsTradingVolume($B44,M$4,VLOOKUP($E44,'Help Page'!$L:$P,3,0))))</f>
        <v/>
      </c>
      <c r="N44" s="23" t="str">
        <f>IF($B44 = 0,"",IF(_xll.CbondsTradingVolume($B44,N$4,VLOOKUP($E44,'Help Page'!$L:$P,3,0))="Нет данных",0,_xll.CbondsTradingVolume($B44,N$4,VLOOKUP($E44,'Help Page'!$L:$P,3,0))))</f>
        <v/>
      </c>
      <c r="O44" s="23" t="str">
        <f>IF($B44 = 0,"",IF(_xll.CbondsTradingVolume($B44,O$4,VLOOKUP($E44,'Help Page'!$L:$P,3,0))="Нет данных",0,_xll.CbondsTradingVolume($B44,O$4,VLOOKUP($E44,'Help Page'!$L:$P,3,0))))</f>
        <v/>
      </c>
      <c r="P44" s="23" t="str">
        <f>IF($B44 = 0,"",IF(_xll.CbondsTradingVolume($B44,P$4,VLOOKUP($E44,'Help Page'!$L:$P,3,0))="Нет данных",0,_xll.CbondsTradingVolume($B44,P$4,VLOOKUP($E44,'Help Page'!$L:$P,3,0))))</f>
        <v/>
      </c>
      <c r="Q44" s="23" t="str">
        <f>IF($B44 = 0,"",IF(_xll.CbondsTradingVolume($B44,Q$4,VLOOKUP($E44,'Help Page'!$L:$P,3,0))="Нет данных",0,_xll.CbondsTradingVolume($B44,Q$4,VLOOKUP($E44,'Help Page'!$L:$P,3,0))))</f>
        <v/>
      </c>
      <c r="R44" s="23" t="str">
        <f>IF($B44 = 0,"",IF(_xll.CbondsTradingVolume($B44,R$4,VLOOKUP($E44,'Help Page'!$L:$P,3,0))="Нет данных",0,_xll.CbondsTradingVolume($B44,R$4,VLOOKUP($E44,'Help Page'!$L:$P,3,0))))</f>
        <v/>
      </c>
      <c r="S44" s="23" t="str">
        <f>IF($B44 = 0,"",IF(_xll.CbondsTradingVolume($B44,S$4,VLOOKUP($E44,'Help Page'!$L:$P,3,0))="Нет данных",0,_xll.CbondsTradingVolume($B44,S$4,VLOOKUP($E44,'Help Page'!$L:$P,3,0))))</f>
        <v/>
      </c>
      <c r="T44" s="23" t="str">
        <f>IF($B44 = 0,"",IF(_xll.CbondsTradingVolume($B44,T$4,VLOOKUP($E44,'Help Page'!$L:$P,3,0))="Нет данных",0,_xll.CbondsTradingVolume($B44,T$4,VLOOKUP($E44,'Help Page'!$L:$P,3,0))))</f>
        <v/>
      </c>
      <c r="U44" s="23" t="str">
        <f>IF($B44 = 0,"",IF(_xll.CbondsTradingVolume($B44,U$4,VLOOKUP($E44,'Help Page'!$L:$P,3,0))="Нет данных",0,_xll.CbondsTradingVolume($B44,U$4,VLOOKUP($E44,'Help Page'!$L:$P,3,0))))</f>
        <v/>
      </c>
      <c r="V44" s="23" t="str">
        <f>IF($B44 = 0,"",IF(_xll.CbondsTradingVolume($B44,V$4,VLOOKUP($E44,'Help Page'!$L:$P,3,0))="Нет данных",0,_xll.CbondsTradingVolume($B44,V$4,VLOOKUP($E44,'Help Page'!$L:$P,3,0))))</f>
        <v/>
      </c>
      <c r="W44" s="23" t="str">
        <f>IF($B44 = 0,"",IF(_xll.CbondsTradingVolume($B44,W$4,VLOOKUP($E44,'Help Page'!$L:$P,3,0))="Нет данных",0,_xll.CbondsTradingVolume($B44,W$4,VLOOKUP($E44,'Help Page'!$L:$P,3,0))))</f>
        <v/>
      </c>
      <c r="X44" s="23" t="str">
        <f>IF($B44 = 0,"",IF(_xll.CbondsTradingVolume($B44,X$4,VLOOKUP($E44,'Help Page'!$L:$P,3,0))="Нет данных",0,_xll.CbondsTradingVolume($B44,X$4,VLOOKUP($E44,'Help Page'!$L:$P,3,0))))</f>
        <v/>
      </c>
      <c r="Y44" s="23" t="str">
        <f>IF($B44 = 0,"",IF(_xll.CbondsTradingVolume($B44,Y$4,VLOOKUP($E44,'Help Page'!$L:$P,3,0))="Нет данных",0,_xll.CbondsTradingVolume($B44,Y$4,VLOOKUP($E44,'Help Page'!$L:$P,3,0))))</f>
        <v/>
      </c>
      <c r="Z44" s="23" t="str">
        <f>IF($B44 = 0,"",IF(_xll.CbondsTradingVolume($B44,Z$4,VLOOKUP($E44,'Help Page'!$L:$P,3,0))="Нет данных",0,_xll.CbondsTradingVolume($B44,Z$4,VLOOKUP($E44,'Help Page'!$L:$P,3,0))))</f>
        <v/>
      </c>
      <c r="AA44" s="23" t="str">
        <f>IF($B44 = 0,"",IF(_xll.CbondsTradingVolume($B44,AA$4,VLOOKUP($E44,'Help Page'!$L:$P,3,0))="Нет данных",0,_xll.CbondsTradingVolume($B44,AA$4,VLOOKUP($E44,'Help Page'!$L:$P,3,0))))</f>
        <v/>
      </c>
      <c r="AB44" s="23" t="str">
        <f>IF($B44 = 0,"",IF(_xll.CbondsTradingVolume($B44,AB$4,VLOOKUP($E44,'Help Page'!$L:$P,3,0))="Нет данных",0,_xll.CbondsTradingVolume($B44,AB$4,VLOOKUP($E44,'Help Page'!$L:$P,3,0))))</f>
        <v/>
      </c>
      <c r="AC44" s="23" t="str">
        <f>IF($B44 = 0,"",IF(_xll.CbondsTradingVolume($B44,AC$4,VLOOKUP($E44,'Help Page'!$L:$P,3,0))="Нет данных",0,_xll.CbondsTradingVolume($B44,AC$4,VLOOKUP($E44,'Help Page'!$L:$P,3,0))))</f>
        <v/>
      </c>
      <c r="AD44" s="23" t="str">
        <f>IF($B44 = 0,"",IF(_xll.CbondsTradingVolume($B44,AD$4,VLOOKUP($E44,'Help Page'!$L:$P,3,0))="Нет данных",0,_xll.CbondsTradingVolume($B44,AD$4,VLOOKUP($E44,'Help Page'!$L:$P,3,0))))</f>
        <v/>
      </c>
      <c r="AE44" s="23" t="str">
        <f>IF($B44 = 0,"",IF(_xll.CbondsTradingVolume($B44,AE$4,VLOOKUP($E44,'Help Page'!$L:$P,3,0))="Нет данных",0,_xll.CbondsTradingVolume($B44,AE$4,VLOOKUP($E44,'Help Page'!$L:$P,3,0))))</f>
        <v/>
      </c>
      <c r="AF44" s="23" t="str">
        <f>IF($B44 = 0,"",IF(_xll.CbondsTradingVolume($B44,AF$4,VLOOKUP($E44,'Help Page'!$L:$P,3,0))="Нет данных",0,_xll.CbondsTradingVolume($B44,AF$4,VLOOKUP($E44,'Help Page'!$L:$P,3,0))))</f>
        <v/>
      </c>
      <c r="AG44" s="23" t="str">
        <f>IF($B44 = 0,"",IF(_xll.CbondsTradingVolume($B44,AG$4,VLOOKUP($E44,'Help Page'!$L:$P,3,0))="Нет данных",0,_xll.CbondsTradingVolume($B44,AG$4,VLOOKUP($E44,'Help Page'!$L:$P,3,0))))</f>
        <v/>
      </c>
      <c r="AH44" s="23" t="str">
        <f>IF($B44 = 0,"",IF(_xll.CbondsTradingVolume($B44,AH$4,VLOOKUP($E44,'Help Page'!$L:$P,3,0))="Нет данных",0,_xll.CbondsTradingVolume($B44,AH$4,VLOOKUP($E44,'Help Page'!$L:$P,3,0))))</f>
        <v/>
      </c>
      <c r="AI44" s="23" t="str">
        <f>IF($B44 = 0,"",IF(_xll.CbondsTradingVolume($B44,AI$4,VLOOKUP($E44,'Help Page'!$L:$P,3,0))="Нет данных",0,_xll.CbondsTradingVolume($B44,AI$4,VLOOKUP($E44,'Help Page'!$L:$P,3,0))))</f>
        <v/>
      </c>
      <c r="AJ44" s="171">
        <f>SUM(F44:AI44)*VLOOKUP($E44,'Help Page'!$L:$P,5,0)</f>
        <v>0</v>
      </c>
      <c r="AK44" s="76" t="str">
        <f>IF($B44 = 0,"",IF(_xll.CbondsDealsNumber($B44,AK$4,VLOOKUP($E44,'Help Page'!$L:$P,3,0))="Нет данных",0,_xll.CbondsDealsNumber($B44,AK$4,VLOOKUP($E44,'Help Page'!$L:$P,3,0))))</f>
        <v/>
      </c>
      <c r="AL44" s="76" t="str">
        <f>IF($B44 = 0,"",IF(_xll.CbondsDealsNumber($B44,AL$4,VLOOKUP($E44,'Help Page'!$L:$P,3,0))="Нет данных",0,_xll.CbondsDealsNumber($B44,AL$4,VLOOKUP($E44,'Help Page'!$L:$P,3,0))))</f>
        <v/>
      </c>
      <c r="AM44" s="157" t="str">
        <f>IF($B44 = 0,"",IF(_xll.CbondsDealsNumber($B44,AM$4,VLOOKUP($E44,'Help Page'!$L:$P,3,0))="Нет данных",0,_xll.CbondsDealsNumber($B44,AM$4,VLOOKUP($E44,'Help Page'!$L:$P,3,0))))</f>
        <v/>
      </c>
      <c r="AN44" s="157" t="str">
        <f>IF($B44 = 0,"",IF(_xll.CbondsDealsNumber($B44,AN$4,VLOOKUP($E44,'Help Page'!$L:$P,3,0))="Нет данных",0,_xll.CbondsDealsNumber($B44,AN$4,VLOOKUP($E44,'Help Page'!$L:$P,3,0))))</f>
        <v/>
      </c>
      <c r="AO44" s="157" t="str">
        <f>IF($B44 = 0,"",IF(_xll.CbondsDealsNumber($B44,AO$4,VLOOKUP($E44,'Help Page'!$L:$P,3,0))="Нет данных",0,_xll.CbondsDealsNumber($B44,AO$4,VLOOKUP($E44,'Help Page'!$L:$P,3,0))))</f>
        <v/>
      </c>
      <c r="AP44" s="157" t="str">
        <f>IF($B44 = 0,"",IF(_xll.CbondsDealsNumber($B44,AP$4,VLOOKUP($E44,'Help Page'!$L:$P,3,0))="Нет данных",0,_xll.CbondsDealsNumber($B44,AP$4,VLOOKUP($E44,'Help Page'!$L:$P,3,0))))</f>
        <v/>
      </c>
      <c r="AQ44" s="76" t="str">
        <f>IF($B44 = 0,"",IF(_xll.CbondsDealsNumber($B44,AQ$4,VLOOKUP($E44,'Help Page'!$L:$P,3,0))="Нет данных",0,_xll.CbondsDealsNumber($B44,AQ$4,VLOOKUP($E44,'Help Page'!$L:$P,3,0))))</f>
        <v/>
      </c>
      <c r="AR44" s="76" t="str">
        <f>IF($B44 = 0,"",IF(_xll.CbondsDealsNumber($B44,AR$4,VLOOKUP($E44,'Help Page'!$L:$P,3,0))="Нет данных",0,_xll.CbondsDealsNumber($B44,AR$4,VLOOKUP($E44,'Help Page'!$L:$P,3,0))))</f>
        <v/>
      </c>
      <c r="AS44" s="76" t="str">
        <f>IF($B44 = 0,"",IF(_xll.CbondsDealsNumber($B44,AS$4,VLOOKUP($E44,'Help Page'!$L:$P,3,0))="Нет данных",0,_xll.CbondsDealsNumber($B44,AS$4,VLOOKUP($E44,'Help Page'!$L:$P,3,0))))</f>
        <v/>
      </c>
      <c r="AT44" s="157" t="str">
        <f>IF($B44 = 0,"",IF(_xll.CbondsDealsNumber($B44,AT$4,VLOOKUP($E44,'Help Page'!$L:$P,3,0))="Нет данных",0,_xll.CbondsDealsNumber($B44,AT$4,VLOOKUP($E44,'Help Page'!$L:$P,3,0))))</f>
        <v/>
      </c>
      <c r="AU44" s="157" t="str">
        <f>IF($B44 = 0,"",IF(_xll.CbondsDealsNumber($B44,AU$4,VLOOKUP($E44,'Help Page'!$L:$P,3,0))="Нет данных",0,_xll.CbondsDealsNumber($B44,AU$4,VLOOKUP($E44,'Help Page'!$L:$P,3,0))))</f>
        <v/>
      </c>
      <c r="AV44" s="157" t="str">
        <f>IF($B44 = 0,"",IF(_xll.CbondsDealsNumber($B44,AV$4,VLOOKUP($E44,'Help Page'!$L:$P,3,0))="Нет данных",0,_xll.CbondsDealsNumber($B44,AV$4,VLOOKUP($E44,'Help Page'!$L:$P,3,0))))</f>
        <v/>
      </c>
      <c r="AW44" s="157" t="str">
        <f>IF($B44 = 0,"",IF(_xll.CbondsDealsNumber($B44,AW$4,VLOOKUP($E44,'Help Page'!$L:$P,3,0))="Нет данных",0,_xll.CbondsDealsNumber($B44,AW$4,VLOOKUP($E44,'Help Page'!$L:$P,3,0))))</f>
        <v/>
      </c>
      <c r="AX44" s="157" t="str">
        <f>IF($B44 = 0,"",IF(_xll.CbondsDealsNumber($B44,AX$4,VLOOKUP($E44,'Help Page'!$L:$P,3,0))="Нет данных",0,_xll.CbondsDealsNumber($B44,AX$4,VLOOKUP($E44,'Help Page'!$L:$P,3,0))))</f>
        <v/>
      </c>
      <c r="AY44" s="76" t="str">
        <f>IF($B44 = 0,"",IF(_xll.CbondsDealsNumber($B44,AY$4,VLOOKUP($E44,'Help Page'!$L:$P,3,0))="Нет данных",0,_xll.CbondsDealsNumber($B44,AY$4,VLOOKUP($E44,'Help Page'!$L:$P,3,0))))</f>
        <v/>
      </c>
      <c r="AZ44" s="76" t="str">
        <f>IF($B44 = 0,"",IF(_xll.CbondsDealsNumber($B44,AZ$4,VLOOKUP($E44,'Help Page'!$L:$P,3,0))="Нет данных",0,_xll.CbondsDealsNumber($B44,AZ$4,VLOOKUP($E44,'Help Page'!$L:$P,3,0))))</f>
        <v/>
      </c>
      <c r="BA44" s="157" t="str">
        <f>IF($B44 = 0,"",IF(_xll.CbondsDealsNumber($B44,BA$4,VLOOKUP($E44,'Help Page'!$L:$P,3,0))="Нет данных",0,_xll.CbondsDealsNumber($B44,BA$4,VLOOKUP($E44,'Help Page'!$L:$P,3,0))))</f>
        <v/>
      </c>
      <c r="BB44" s="157" t="str">
        <f>IF($B44 = 0,"",IF(_xll.CbondsDealsNumber($B44,BB$4,VLOOKUP($E44,'Help Page'!$L:$P,3,0))="Нет данных",0,_xll.CbondsDealsNumber($B44,BB$4,VLOOKUP($E44,'Help Page'!$L:$P,3,0))))</f>
        <v/>
      </c>
      <c r="BC44" s="157" t="str">
        <f>IF($B44 = 0,"",IF(_xll.CbondsDealsNumber($B44,BC$4,VLOOKUP($E44,'Help Page'!$L:$P,3,0))="Нет данных",0,_xll.CbondsDealsNumber($B44,BC$4,VLOOKUP($E44,'Help Page'!$L:$P,3,0))))</f>
        <v/>
      </c>
      <c r="BD44" s="157" t="str">
        <f>IF($B44 = 0,"",IF(_xll.CbondsDealsNumber($B44,BD$4,VLOOKUP($E44,'Help Page'!$L:$P,3,0))="Нет данных",0,_xll.CbondsDealsNumber($B44,BD$4,VLOOKUP($E44,'Help Page'!$L:$P,3,0))))</f>
        <v/>
      </c>
      <c r="BE44" s="157" t="str">
        <f>IF($B44 = 0,"",IF(_xll.CbondsDealsNumber($B44,BE$4,VLOOKUP($E44,'Help Page'!$L:$P,3,0))="Нет данных",0,_xll.CbondsDealsNumber($B44,BE$4,VLOOKUP($E44,'Help Page'!$L:$P,3,0))))</f>
        <v/>
      </c>
      <c r="BF44" s="76" t="str">
        <f>IF($B44 = 0,"",IF(_xll.CbondsDealsNumber($B44,BF$4,VLOOKUP($E44,'Help Page'!$L:$P,3,0))="Нет данных",0,_xll.CbondsDealsNumber($B44,BF$4,VLOOKUP($E44,'Help Page'!$L:$P,3,0))))</f>
        <v/>
      </c>
      <c r="BG44" s="76" t="str">
        <f>IF($B44 = 0,"",IF(_xll.CbondsDealsNumber($B44,BG$4,VLOOKUP($E44,'Help Page'!$L:$P,3,0))="Нет данных",0,_xll.CbondsDealsNumber($B44,BG$4,VLOOKUP($E44,'Help Page'!$L:$P,3,0))))</f>
        <v/>
      </c>
      <c r="BH44" s="157" t="str">
        <f>IF($B44 = 0,"",IF(_xll.CbondsDealsNumber($B44,BH$4,VLOOKUP($E44,'Help Page'!$L:$P,3,0))="Нет данных",0,_xll.CbondsDealsNumber($B44,BH$4,VLOOKUP($E44,'Help Page'!$L:$P,3,0))))</f>
        <v/>
      </c>
      <c r="BI44" s="157" t="str">
        <f>IF($B44 = 0,"",IF(_xll.CbondsDealsNumber($B44,BI$4,VLOOKUP($E44,'Help Page'!$L:$P,3,0))="Нет данных",0,_xll.CbondsDealsNumber($B44,BI$4,VLOOKUP($E44,'Help Page'!$L:$P,3,0))))</f>
        <v/>
      </c>
      <c r="BJ44" s="157" t="str">
        <f>IF($B44 = 0,"",IF(_xll.CbondsDealsNumber($B44,BJ$4,VLOOKUP($E44,'Help Page'!$L:$P,3,0))="Нет данных",0,_xll.CbondsDealsNumber($B44,BJ$4,VLOOKUP($E44,'Help Page'!$L:$P,3,0))))</f>
        <v/>
      </c>
      <c r="BK44" s="157" t="str">
        <f>IF($B44 = 0,"",IF(_xll.CbondsDealsNumber($B44,BK$4,VLOOKUP($E44,'Help Page'!$L:$P,3,0))="Нет данных",0,_xll.CbondsDealsNumber($B44,BK$4,VLOOKUP($E44,'Help Page'!$L:$P,3,0))))</f>
        <v/>
      </c>
      <c r="BL44" s="157" t="str">
        <f>IF($B44 = 0,"",IF(_xll.CbondsDealsNumber($B44,BL$4,VLOOKUP($E44,'Help Page'!$L:$P,3,0))="Нет данных",0,_xll.CbondsDealsNumber($B44,BL$4,VLOOKUP($E44,'Help Page'!$L:$P,3,0))))</f>
        <v/>
      </c>
      <c r="BM44" s="76" t="str">
        <f>IF($B44 = 0,"",IF(_xll.CbondsDealsNumber($B44,BM$4,VLOOKUP($E44,'Help Page'!$L:$P,3,0))="Нет данных",0,_xll.CbondsDealsNumber($B44,BM$4,VLOOKUP($E44,'Help Page'!$L:$P,3,0))))</f>
        <v/>
      </c>
      <c r="BN44" s="76" t="str">
        <f>IF($B44 = 0,"",IF(_xll.CbondsDealsNumber($B44,BN$4,VLOOKUP($E44,'Help Page'!$L:$P,3,0))="Нет данных",0,_xll.CbondsDealsNumber($B44,BN$4,VLOOKUP($E44,'Help Page'!$L:$P,3,0))))</f>
        <v/>
      </c>
      <c r="BO44" s="156">
        <f t="shared" si="18"/>
        <v>0</v>
      </c>
      <c r="BP44" s="156">
        <f>COUNTIF(AK44:BN44, "&gt;0")</f>
        <v>0</v>
      </c>
    </row>
    <row r="45" spans="1:68" x14ac:dyDescent="0.3">
      <c r="A45" s="18" t="s">
        <v>2087</v>
      </c>
      <c r="B45" s="143"/>
      <c r="C45" s="143"/>
      <c r="D45" s="148"/>
      <c r="E45" s="158" t="s">
        <v>2081</v>
      </c>
      <c r="F45" s="159" t="str">
        <f>IF(B41 = 0,"",IF(AJ45 = 0, "торгов нет", IF(MAX(AJ41:AJ44) = AJ41,E41,IF(MAX(AJ41:AJ44) = AJ42,E42,IF(MAX(AJ41:AJ44) = AJ43,E43,E44)))))</f>
        <v/>
      </c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172" t="str">
        <f>IF($B41 = 0,"",SUM(AJ41:AJ44)/VLOOKUP(C41,'Help Page'!$M:$Q,4,0)/D41)</f>
        <v/>
      </c>
      <c r="AK45" s="160">
        <f>SUM(AK41:AK44)</f>
        <v>0</v>
      </c>
      <c r="AL45" s="160">
        <f t="shared" ref="AL45:BN45" si="20">SUM(AL41:AL44)</f>
        <v>0</v>
      </c>
      <c r="AM45" s="160">
        <f t="shared" si="20"/>
        <v>0</v>
      </c>
      <c r="AN45" s="160">
        <f t="shared" si="20"/>
        <v>0</v>
      </c>
      <c r="AO45" s="160">
        <f t="shared" si="20"/>
        <v>0</v>
      </c>
      <c r="AP45" s="160">
        <f t="shared" si="20"/>
        <v>0</v>
      </c>
      <c r="AQ45" s="160">
        <f t="shared" si="20"/>
        <v>0</v>
      </c>
      <c r="AR45" s="160">
        <f t="shared" si="20"/>
        <v>0</v>
      </c>
      <c r="AS45" s="160">
        <f t="shared" si="20"/>
        <v>0</v>
      </c>
      <c r="AT45" s="160">
        <f t="shared" si="20"/>
        <v>0</v>
      </c>
      <c r="AU45" s="160">
        <f t="shared" si="20"/>
        <v>0</v>
      </c>
      <c r="AV45" s="160">
        <f t="shared" si="20"/>
        <v>0</v>
      </c>
      <c r="AW45" s="160">
        <f t="shared" si="20"/>
        <v>0</v>
      </c>
      <c r="AX45" s="160">
        <f t="shared" si="20"/>
        <v>0</v>
      </c>
      <c r="AY45" s="160">
        <f t="shared" si="20"/>
        <v>0</v>
      </c>
      <c r="AZ45" s="160">
        <f t="shared" si="20"/>
        <v>0</v>
      </c>
      <c r="BA45" s="160">
        <f t="shared" si="20"/>
        <v>0</v>
      </c>
      <c r="BB45" s="160">
        <f t="shared" si="20"/>
        <v>0</v>
      </c>
      <c r="BC45" s="160">
        <f t="shared" si="20"/>
        <v>0</v>
      </c>
      <c r="BD45" s="160">
        <f t="shared" si="20"/>
        <v>0</v>
      </c>
      <c r="BE45" s="160">
        <f t="shared" si="20"/>
        <v>0</v>
      </c>
      <c r="BF45" s="160">
        <f t="shared" si="20"/>
        <v>0</v>
      </c>
      <c r="BG45" s="160">
        <f t="shared" si="20"/>
        <v>0</v>
      </c>
      <c r="BH45" s="160">
        <f t="shared" si="20"/>
        <v>0</v>
      </c>
      <c r="BI45" s="160">
        <f t="shared" si="20"/>
        <v>0</v>
      </c>
      <c r="BJ45" s="160">
        <f t="shared" si="20"/>
        <v>0</v>
      </c>
      <c r="BK45" s="160">
        <f t="shared" si="20"/>
        <v>0</v>
      </c>
      <c r="BL45" s="160">
        <f t="shared" si="20"/>
        <v>0</v>
      </c>
      <c r="BM45" s="160">
        <f t="shared" si="20"/>
        <v>0</v>
      </c>
      <c r="BN45" s="160">
        <f t="shared" si="20"/>
        <v>0</v>
      </c>
      <c r="BO45" s="161" t="str">
        <f>IF($B41 = 0,"",SUM(BO41:BO44))</f>
        <v/>
      </c>
      <c r="BP45" s="161" t="str">
        <f>IF($B41 = 0,"",COUNTIF(AK45:BN45, "&gt;0"))</f>
        <v/>
      </c>
    </row>
    <row r="46" spans="1:68" x14ac:dyDescent="0.3">
      <c r="A46" s="18"/>
      <c r="B46" s="162"/>
      <c r="C46" s="162"/>
      <c r="D46" s="163"/>
      <c r="E46" s="162"/>
      <c r="F46" s="164"/>
      <c r="G46" s="164"/>
      <c r="H46" s="164"/>
      <c r="I46" s="164"/>
      <c r="J46" s="164"/>
      <c r="K46" s="164"/>
      <c r="L46" s="164"/>
      <c r="M46" s="164"/>
      <c r="N46" s="164"/>
      <c r="O46" s="164"/>
      <c r="P46" s="164"/>
      <c r="Q46" s="164"/>
      <c r="R46" s="164"/>
      <c r="S46" s="164"/>
      <c r="T46" s="164"/>
      <c r="U46" s="164"/>
      <c r="V46" s="164"/>
      <c r="W46" s="164"/>
      <c r="X46" s="164"/>
      <c r="Y46" s="164"/>
      <c r="Z46" s="164"/>
      <c r="AA46" s="164"/>
      <c r="AB46" s="164"/>
      <c r="AC46" s="164"/>
      <c r="AD46" s="164"/>
      <c r="AE46" s="164"/>
      <c r="AF46" s="164"/>
      <c r="AG46" s="164"/>
      <c r="AH46" s="164"/>
      <c r="AI46" s="164"/>
      <c r="AJ46" s="171"/>
      <c r="AK46" s="164"/>
      <c r="AL46" s="164"/>
      <c r="AM46" s="164"/>
      <c r="AN46" s="164"/>
      <c r="AO46" s="164"/>
      <c r="AP46" s="164"/>
      <c r="AQ46" s="164"/>
      <c r="AR46" s="164"/>
      <c r="AS46" s="164"/>
      <c r="AT46" s="164"/>
      <c r="AU46" s="164"/>
      <c r="AV46" s="164"/>
      <c r="AW46" s="164"/>
      <c r="AX46" s="164"/>
      <c r="AY46" s="164"/>
      <c r="AZ46" s="164"/>
      <c r="BA46" s="164"/>
      <c r="BB46" s="164"/>
      <c r="BC46" s="164"/>
      <c r="BD46" s="164"/>
      <c r="BE46" s="164"/>
      <c r="BF46" s="164"/>
      <c r="BG46" s="164"/>
      <c r="BH46" s="164"/>
      <c r="BI46" s="164"/>
      <c r="BJ46" s="164"/>
      <c r="BK46" s="164"/>
      <c r="BL46" s="164"/>
      <c r="BM46" s="164"/>
      <c r="BN46" s="164"/>
      <c r="BO46" s="156"/>
      <c r="BP46" s="156"/>
    </row>
  </sheetData>
  <mergeCells count="2">
    <mergeCell ref="F2:AI2"/>
    <mergeCell ref="AK2:BN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tabColor theme="7" tint="0.59999389629810485"/>
  </sheetPr>
  <dimension ref="B2:R65"/>
  <sheetViews>
    <sheetView workbookViewId="0">
      <selection activeCell="D6" sqref="D6"/>
    </sheetView>
  </sheetViews>
  <sheetFormatPr defaultRowHeight="14.4" x14ac:dyDescent="0.3"/>
  <cols>
    <col min="2" max="2" width="14.88671875" bestFit="1" customWidth="1"/>
    <col min="3" max="4" width="17.5546875" customWidth="1"/>
    <col min="5" max="5" width="14" customWidth="1"/>
    <col min="6" max="6" width="11.109375" customWidth="1"/>
    <col min="7" max="7" width="14.44140625" customWidth="1"/>
    <col min="8" max="8" width="10.5546875" customWidth="1"/>
    <col min="9" max="9" width="19" customWidth="1"/>
    <col min="10" max="10" width="10.33203125" customWidth="1"/>
    <col min="11" max="11" width="18.44140625" customWidth="1"/>
    <col min="12" max="12" width="16.44140625" bestFit="1" customWidth="1"/>
    <col min="13" max="13" width="20.6640625" bestFit="1" customWidth="1"/>
    <col min="14" max="15" width="7.33203125" customWidth="1"/>
    <col min="16" max="16" width="12.88671875" customWidth="1"/>
    <col min="17" max="17" width="14.33203125" bestFit="1" customWidth="1"/>
    <col min="18" max="18" width="17.109375" customWidth="1"/>
    <col min="19" max="19" width="9.109375" customWidth="1"/>
    <col min="20" max="20" width="16" bestFit="1" customWidth="1"/>
    <col min="21" max="21" width="20.33203125" bestFit="1" customWidth="1"/>
    <col min="22" max="22" width="13.88671875" customWidth="1"/>
    <col min="23" max="23" width="16" bestFit="1" customWidth="1"/>
  </cols>
  <sheetData>
    <row r="2" spans="2:18" ht="21" x14ac:dyDescent="0.4">
      <c r="B2" s="120" t="s">
        <v>2049</v>
      </c>
      <c r="C2" s="121"/>
      <c r="D2" s="121"/>
      <c r="E2" s="121"/>
      <c r="F2" s="121"/>
      <c r="G2" s="121"/>
      <c r="K2" s="122" t="s">
        <v>2050</v>
      </c>
      <c r="P2" s="122" t="s">
        <v>2051</v>
      </c>
    </row>
    <row r="4" spans="2:18" x14ac:dyDescent="0.3">
      <c r="I4" s="105" t="s">
        <v>1285</v>
      </c>
      <c r="K4" s="123" t="s">
        <v>1275</v>
      </c>
      <c r="L4" s="123" t="s">
        <v>1276</v>
      </c>
      <c r="M4" s="123" t="s">
        <v>1277</v>
      </c>
      <c r="P4" s="123" t="s">
        <v>0</v>
      </c>
      <c r="Q4" s="123" t="s">
        <v>596</v>
      </c>
      <c r="R4" s="123" t="s">
        <v>542</v>
      </c>
    </row>
    <row r="5" spans="2:18" x14ac:dyDescent="0.3">
      <c r="B5" s="95" t="s">
        <v>1262</v>
      </c>
      <c r="C5" s="95" t="s">
        <v>1260</v>
      </c>
      <c r="D5" s="95" t="s">
        <v>1261</v>
      </c>
      <c r="E5" s="95" t="s">
        <v>1271</v>
      </c>
      <c r="K5" s="127">
        <f>_xll.CbondsLastPrice($C$31,C16,$C$33)</f>
        <v>96.616600000000005</v>
      </c>
      <c r="L5" s="127">
        <f>_xll.CbondsClosePrice($C$31,C16,$C$33)</f>
        <v>96.448099999999997</v>
      </c>
      <c r="M5" s="127">
        <f>_xll.CbondsIndicativePrice($C$31,C16,$C$33)</f>
        <v>96.337699999999998</v>
      </c>
      <c r="P5" s="127">
        <f>_xll.EfirEndOfDay(,$C16,P$4,"LAST_TRADE_DATE",,$C$31,,0)</f>
        <v>96.616600000000005</v>
      </c>
      <c r="Q5" s="127">
        <f>_xll.EfirEndOfDay(,$C16,Q$4,"LAST_TRADE_DATE",,$C$31,,0)</f>
        <v>95.189400000000006</v>
      </c>
      <c r="R5" s="127">
        <f>_xll.EfirEndOfDay(,$C16,R$4,"LAST_TRADE_DATE",,$C$31,,0)</f>
        <v>96.65</v>
      </c>
    </row>
    <row r="6" spans="2:18" x14ac:dyDescent="0.3">
      <c r="B6" s="96" t="s">
        <v>1265</v>
      </c>
      <c r="C6" s="109">
        <f>P5</f>
        <v>96.616600000000005</v>
      </c>
      <c r="D6" s="81">
        <f>_xll.CbondsLastPrice(C31,C32,135)</f>
        <v>96.616600000000005</v>
      </c>
      <c r="E6" s="81" t="str">
        <f>IF(ABS(C6-D6) &lt; 0.01%, "Ок", "Ноуп")</f>
        <v>Ок</v>
      </c>
      <c r="K6" s="31">
        <f>_xll.CbondsLastPrice($C$31,C17,$C$33)</f>
        <v>95.324600000000004</v>
      </c>
      <c r="L6" s="31">
        <f>_xll.CbondsClosePrice($C$31,C17,$C$33)</f>
        <v>95.8</v>
      </c>
      <c r="M6" s="31">
        <f>_xll.CbondsIndicativePrice($C$31,C17,$C$33)</f>
        <v>95.707999999999998</v>
      </c>
      <c r="P6" s="132">
        <f>_xll.EfirEndOfDay(,$C17,P$4,"LAST_TRADE_DATE",,$C$31,,0)</f>
        <v>95.324600000000004</v>
      </c>
      <c r="Q6" s="132">
        <f>_xll.EfirEndOfDay(,$C17,Q$4,"LAST_TRADE_DATE",,$C$31,,0)</f>
        <v>95.198899999999995</v>
      </c>
      <c r="R6" s="132">
        <f>_xll.EfirEndOfDay(,$C17,R$4,"LAST_TRADE_DATE",,$C$31,,0)</f>
        <v>95.46</v>
      </c>
    </row>
    <row r="7" spans="2:18" x14ac:dyDescent="0.3">
      <c r="B7" s="96" t="s">
        <v>2053</v>
      </c>
      <c r="C7" s="98">
        <f>IF(IFERROR(Calculation!$B$10+1,"нет оферты") = "нет оферты", P21,P37)</f>
        <v>5.9200766199999998E-2</v>
      </c>
      <c r="D7" s="199">
        <f>IF(_xll.CbondsLastYTM(C31,C32,135) &lt;&gt; "нет данных", _xll.CbondsLastYTM(C31,C32,135), _xll.CbondsLastYTP(C31, C32, C33))</f>
        <v>5.9348172447268997E-2</v>
      </c>
      <c r="E7" s="81" t="str">
        <f>IF(ABS(C7-D7) &lt; 0.01%, "Ок", "Ноуп")</f>
        <v>Ноуп</v>
      </c>
      <c r="K7" s="31">
        <f>_xll.CbondsLastPrice($C$31,C18,$C$33)</f>
        <v>95.905500000000004</v>
      </c>
      <c r="L7" s="31">
        <f>_xll.CbondsClosePrice($C$31,C18,$C$33)</f>
        <v>95.905500000000004</v>
      </c>
      <c r="M7" s="31">
        <f>_xll.CbondsIndicativePrice($C$31,C18,$C$33)</f>
        <v>95.820599999999999</v>
      </c>
      <c r="P7" s="132">
        <f>_xll.EfirEndOfDay(,$C18,P$4,"LAST_TRADE_DATE",,$C$31,,0)</f>
        <v>95.905500000000004</v>
      </c>
      <c r="Q7" s="132">
        <f>_xll.EfirEndOfDay(,$C18,Q$4,"LAST_TRADE_DATE",,$C$31,,0)</f>
        <v>95.3</v>
      </c>
      <c r="R7" s="132">
        <f>_xll.EfirEndOfDay(,$C18,R$4,"LAST_TRADE_DATE",,$C$31,,0)</f>
        <v>96.37</v>
      </c>
    </row>
    <row r="8" spans="2:18" x14ac:dyDescent="0.3">
      <c r="B8" s="96" t="s">
        <v>1268</v>
      </c>
      <c r="C8" s="109">
        <f>IF(IFERROR(Calculation!$B$10+1,"нет оферты") = "нет оферты", P53,Q53)</f>
        <v>601</v>
      </c>
      <c r="D8" s="109">
        <f>IF(_xll.CbondsDuration(C31,C32,135) &lt;&gt; "нет данных", _xll.CbondsDuration(C31,C32,135), _xll.CbondsDurationToPutCall(C31, C32, C33))</f>
        <v>601.39642170836999</v>
      </c>
      <c r="E8" s="81" t="str">
        <f>IF(ABS(C8-D8) &lt; 1, "Ок", "Ноуп")</f>
        <v>Ок</v>
      </c>
      <c r="K8" s="31">
        <f>_xll.CbondsLastPrice($C$31,C19,$C$33)</f>
        <v>95.32</v>
      </c>
      <c r="L8" s="31">
        <f>_xll.CbondsClosePrice($C$31,C19,$C$33)</f>
        <v>96.997399999999999</v>
      </c>
      <c r="M8" s="31">
        <f>_xll.CbondsIndicativePrice($C$31,C19,$C$33)</f>
        <v>96.735399999999998</v>
      </c>
      <c r="P8" s="132">
        <f>_xll.EfirEndOfDay(,$C19,P$4,"LAST_TRADE_DATE",,$C$31,,0)</f>
        <v>95.32</v>
      </c>
      <c r="Q8" s="132">
        <f>_xll.EfirEndOfDay(,$C19,Q$4,"LAST_TRADE_DATE",,$C$31,,0)</f>
        <v>95.103099999999998</v>
      </c>
      <c r="R8" s="132">
        <f>_xll.EfirEndOfDay(,$C19,R$4,"LAST_TRADE_DATE",,$C$31,,0)</f>
        <v>96.44</v>
      </c>
    </row>
    <row r="9" spans="2:18" x14ac:dyDescent="0.3">
      <c r="B9" s="96" t="s">
        <v>1266</v>
      </c>
      <c r="C9" s="97">
        <f>Calculation!B7</f>
        <v>44820</v>
      </c>
      <c r="D9" s="97">
        <f>_xll.CbondsPlacementDate(C31)</f>
        <v>44820</v>
      </c>
      <c r="E9" s="81" t="str">
        <f>IF((C9-D9)&lt;1, "Ок", "Ноуп")</f>
        <v>Ок</v>
      </c>
      <c r="K9" s="31">
        <f>_xll.CbondsLastPrice($C$31,C20,$C$33)</f>
        <v>97.7</v>
      </c>
      <c r="L9" s="31">
        <f>_xll.CbondsClosePrice($C$31,C20,$C$33)</f>
        <v>97.566599999999994</v>
      </c>
      <c r="M9" s="31">
        <f>_xll.CbondsIndicativePrice($C$31,C20,$C$33)</f>
        <v>97.6768</v>
      </c>
      <c r="P9" s="132">
        <f>_xll.EfirEndOfDay(,$C20,P$4,"LAST_TRADE_DATE",,$C$31,,0)</f>
        <v>97.7</v>
      </c>
      <c r="Q9" s="132">
        <f>_xll.EfirEndOfDay(,$C20,Q$4,"LAST_TRADE_DATE",,$C$31,,0)</f>
        <v>96.998400000000004</v>
      </c>
      <c r="R9" s="132">
        <f>_xll.EfirEndOfDay(,$C20,R$4,"LAST_TRADE_DATE",,$C$31,,0)</f>
        <v>97.63</v>
      </c>
    </row>
    <row r="10" spans="2:18" x14ac:dyDescent="0.3">
      <c r="B10" s="96" t="s">
        <v>1267</v>
      </c>
      <c r="C10" s="97">
        <f>Calculation!B9</f>
        <v>46640</v>
      </c>
      <c r="D10" s="97">
        <f>_xll.CbondsMaturityDate(C31)</f>
        <v>46640</v>
      </c>
      <c r="E10" s="81" t="str">
        <f>IF((C10-D10)&lt;1, "Ок", "Ноуп")</f>
        <v>Ок</v>
      </c>
      <c r="K10" s="31">
        <f>_xll.CbondsLastPrice($C$31,C21,$C$33)</f>
        <v>94.79</v>
      </c>
      <c r="L10" s="31">
        <f>_xll.CbondsClosePrice($C$31,C21,$C$33)</f>
        <v>96.5</v>
      </c>
      <c r="M10" s="31">
        <f>_xll.CbondsIndicativePrice($C$31,C21,$C$33)</f>
        <v>96.138900000000007</v>
      </c>
      <c r="P10" s="132">
        <f>_xll.EfirEndOfDay(,$C21,P$4,"LAST_TRADE_DATE",,$C$31,,0)</f>
        <v>94.79</v>
      </c>
      <c r="Q10" s="132">
        <f>_xll.EfirEndOfDay(,$C21,Q$4,"LAST_TRADE_DATE",,$C$31,,0)</f>
        <v>94.8</v>
      </c>
      <c r="R10" s="132">
        <f>_xll.EfirEndOfDay(,$C21,R$4,"LAST_TRADE_DATE",,$C$31,,0)</f>
        <v>94.23</v>
      </c>
    </row>
    <row r="11" spans="2:18" x14ac:dyDescent="0.3">
      <c r="B11" s="96" t="s">
        <v>1269</v>
      </c>
      <c r="C11" s="97" t="str">
        <f>IF(Calculation!B25 &lt;&gt; "",IFERROR(Calculation!B25,""),"оферты нет")</f>
        <v>оферты нет</v>
      </c>
      <c r="D11" s="138" t="str">
        <f>IF(_xll.CbondsCallDate(C31) &lt;&gt; "нет данных", _xll.CbondsCallDate(C31), IF(_xll.CbondsPutDate(C31)&lt;&gt; "нет данных", _xll.CbondsPutDate(C31), "оферты нет"))</f>
        <v>оферты нет</v>
      </c>
      <c r="E11" s="81" t="str">
        <f t="shared" ref="E11" si="0">IF(C11=D11, "Ок", "Ноуп")</f>
        <v>Ок</v>
      </c>
      <c r="K11" s="31">
        <f>_xll.CbondsLastPrice($C$31,C22,$C$33)</f>
        <v>96.753799999999998</v>
      </c>
      <c r="L11" s="31">
        <f>_xll.CbondsClosePrice($C$31,C22,$C$33)</f>
        <v>96.091499999999996</v>
      </c>
      <c r="M11" s="31">
        <f>_xll.CbondsIndicativePrice($C$31,C22,$C$33)</f>
        <v>96.301100000000005</v>
      </c>
      <c r="P11" s="132">
        <f>_xll.EfirEndOfDay(,$C22,P$4,"LAST_TRADE_DATE",,$C$31,,0)</f>
        <v>96.068100000000001</v>
      </c>
      <c r="Q11" s="132">
        <f>_xll.EfirEndOfDay(,$C22,Q$4,"LAST_TRADE_DATE",,$C$31,,0)</f>
        <v>97.206999999999994</v>
      </c>
      <c r="R11" s="132">
        <f>_xll.EfirEndOfDay(,$C22,R$4,"LAST_TRADE_DATE",,$C$31,,0)</f>
        <v>96.1</v>
      </c>
    </row>
    <row r="12" spans="2:18" x14ac:dyDescent="0.3">
      <c r="K12" s="31">
        <f>_xll.CbondsLastPrice($C$31,C23,$C$33)</f>
        <v>97.294200000000004</v>
      </c>
      <c r="L12" s="31">
        <f>_xll.CbondsClosePrice($C$31,C23,$C$33)</f>
        <v>96.2898</v>
      </c>
      <c r="M12" s="31">
        <f>_xll.CbondsIndicativePrice($C$31,C23,$C$33)</f>
        <v>96.452500000000001</v>
      </c>
      <c r="P12" s="132">
        <f>_xll.EfirEndOfDay(,$C23,P$4,"LAST_TRADE_DATE",,$C$31,,0)</f>
        <v>94.454999999999998</v>
      </c>
      <c r="Q12" s="132">
        <f>_xll.EfirEndOfDay(,$C23,Q$4,"LAST_TRADE_DATE",,$C$31,,0)</f>
        <v>95.208100000000002</v>
      </c>
      <c r="R12" s="132">
        <f>_xll.EfirEndOfDay(,$C23,R$4,"LAST_TRADE_DATE",,$C$31,,0)</f>
        <v>95.26</v>
      </c>
    </row>
    <row r="13" spans="2:18" x14ac:dyDescent="0.3">
      <c r="K13" s="31">
        <f>_xll.CbondsLastPrice($C$31,C24,$C$33)</f>
        <v>94.916200000000003</v>
      </c>
      <c r="L13" s="31">
        <f>_xll.CbondsClosePrice($C$31,C24,$C$33)</f>
        <v>95.76</v>
      </c>
      <c r="M13" s="31">
        <f>_xll.CbondsIndicativePrice($C$31,C24,$C$33)</f>
        <v>95.357799999999997</v>
      </c>
      <c r="P13" s="132">
        <f>_xll.EfirEndOfDay(,$C24,P$4,"LAST_TRADE_DATE",,$C$31,,0)</f>
        <v>94.916200000000003</v>
      </c>
      <c r="Q13" s="132">
        <f>_xll.EfirEndOfDay(,$C24,Q$4,"LAST_TRADE_DATE",,$C$31,,0)</f>
        <v>93.832599999999999</v>
      </c>
      <c r="R13" s="132">
        <f>_xll.EfirEndOfDay(,$C24,R$4,"LAST_TRADE_DATE",,$C$31,,0)</f>
        <v>94.58</v>
      </c>
    </row>
    <row r="14" spans="2:18" x14ac:dyDescent="0.3">
      <c r="K14" s="31">
        <f>_xll.CbondsLastPrice($C$31,C25,$C$33)</f>
        <v>94</v>
      </c>
      <c r="L14" s="31">
        <f>_xll.CbondsClosePrice($C$31,C25,$C$33)</f>
        <v>92.4</v>
      </c>
      <c r="M14" s="31">
        <f>_xll.CbondsIndicativePrice($C$31,C25,$C$33)</f>
        <v>92.181899999999999</v>
      </c>
      <c r="P14" s="132">
        <f>_xll.EfirEndOfDay(,$C25,P$4,"LAST_TRADE_DATE",,$C$31,,0)</f>
        <v>92.743300000000005</v>
      </c>
      <c r="Q14" s="132">
        <f>_xll.EfirEndOfDay(,$C25,Q$4,"LAST_TRADE_DATE",,$C$31,,0)</f>
        <v>90.697100000000006</v>
      </c>
      <c r="R14" s="132">
        <f>_xll.EfirEndOfDay(,$C25,R$4,"LAST_TRADE_DATE",,$C$31,,0)</f>
        <v>92.05</v>
      </c>
    </row>
    <row r="15" spans="2:18" x14ac:dyDescent="0.3">
      <c r="B15" s="95" t="str">
        <f>Calculation!K5</f>
        <v>Date</v>
      </c>
      <c r="C15" s="95" t="str">
        <f>Calculation!L5</f>
        <v>Date Calc</v>
      </c>
      <c r="K15" s="31">
        <f>_xll.CbondsLastPrice($C$31,C26,$C$33)</f>
        <v>94.2</v>
      </c>
      <c r="L15" s="31">
        <f>_xll.CbondsClosePrice($C$31,C26,$C$33)</f>
        <v>94.2</v>
      </c>
      <c r="M15" s="31">
        <f>_xll.CbondsIndicativePrice($C$31,C26,$C$33)</f>
        <v>91.501199999999997</v>
      </c>
      <c r="P15" s="132">
        <f>_xll.EfirEndOfDay(,$C26,P$4,"LAST_TRADE_DATE",,$C$31,,0)</f>
        <v>92.5535</v>
      </c>
      <c r="Q15" s="132">
        <f>_xll.EfirEndOfDay(,$C26,Q$4,"LAST_TRADE_DATE",,$C$31,,0)</f>
        <v>93.519599999999997</v>
      </c>
      <c r="R15" s="132">
        <f>_xll.EfirEndOfDay(,$C26,R$4,"LAST_TRADE_DATE",,$C$31,,0)</f>
        <v>93.3</v>
      </c>
    </row>
    <row r="16" spans="2:18" x14ac:dyDescent="0.3">
      <c r="B16" s="106">
        <f>Calculation!K6</f>
        <v>46023</v>
      </c>
      <c r="C16" s="106">
        <f>Calculation!L6</f>
        <v>46021</v>
      </c>
      <c r="K16" s="31">
        <f>_xll.CbondsLastPrice($C$31,C27,$C$33)</f>
        <v>90</v>
      </c>
      <c r="L16" s="31">
        <f>_xll.CbondsClosePrice($C$31,C27,$C$33)</f>
        <v>89.241</v>
      </c>
      <c r="M16" s="31">
        <f>_xll.CbondsIndicativePrice($C$31,C27,$C$33)</f>
        <v>89.3202</v>
      </c>
      <c r="P16" s="132">
        <f>_xll.EfirEndOfDay(,$C27,P$4,"LAST_TRADE_DATE",,$C$31,,0)</f>
        <v>90</v>
      </c>
      <c r="Q16" s="132">
        <f>_xll.EfirEndOfDay(,$C27,Q$4,"LAST_TRADE_DATE",,$C$31,,0)</f>
        <v>87.121600000000001</v>
      </c>
      <c r="R16" s="132">
        <f>_xll.EfirEndOfDay(,$C27,R$4,"LAST_TRADE_DATE",,$C$31,,0)</f>
        <v>90</v>
      </c>
    </row>
    <row r="17" spans="2:18" x14ac:dyDescent="0.3">
      <c r="B17" s="20">
        <f>Calculation!K7</f>
        <v>45992</v>
      </c>
      <c r="C17" s="20">
        <f>Calculation!L7</f>
        <v>45989</v>
      </c>
      <c r="K17" s="31">
        <f>_xll.CbondsLastPrice($C$31,C28,$C$33)</f>
        <v>90.449799999999996</v>
      </c>
      <c r="L17" s="31">
        <f>_xll.CbondsClosePrice($C$31,C28,$C$33)</f>
        <v>85.44</v>
      </c>
      <c r="M17" s="31">
        <f>_xll.CbondsIndicativePrice($C$31,C28,$C$33)</f>
        <v>85.7333</v>
      </c>
      <c r="P17" s="132">
        <f>_xll.EfirEndOfDay(,$C28,P$4,"LAST_TRADE_DATE",,$C$31,,0)</f>
        <v>90.449799999999996</v>
      </c>
      <c r="Q17" s="132">
        <f>_xll.EfirEndOfDay(,$C28,Q$4,"LAST_TRADE_DATE",,$C$31,,0)</f>
        <v>88</v>
      </c>
      <c r="R17" s="132">
        <f>_xll.EfirEndOfDay(,$C28,R$4,"LAST_TRADE_DATE",,$C$31,,0)</f>
        <v>89.97</v>
      </c>
    </row>
    <row r="18" spans="2:18" x14ac:dyDescent="0.3">
      <c r="B18" s="20">
        <f>Calculation!K8</f>
        <v>45962</v>
      </c>
      <c r="C18" s="20">
        <f>Calculation!L8</f>
        <v>45961</v>
      </c>
    </row>
    <row r="19" spans="2:18" x14ac:dyDescent="0.3">
      <c r="B19" s="20">
        <f>Calculation!K9</f>
        <v>45931</v>
      </c>
      <c r="C19" s="20">
        <f>Calculation!L9</f>
        <v>45930</v>
      </c>
    </row>
    <row r="20" spans="2:18" x14ac:dyDescent="0.3">
      <c r="B20" s="20">
        <f>Calculation!K10</f>
        <v>45901</v>
      </c>
      <c r="C20" s="20">
        <f>Calculation!L10</f>
        <v>45898</v>
      </c>
      <c r="I20" s="105" t="s">
        <v>1286</v>
      </c>
      <c r="K20" s="123" t="s">
        <v>1278</v>
      </c>
      <c r="L20" s="123" t="s">
        <v>1279</v>
      </c>
      <c r="M20" s="123" t="s">
        <v>1280</v>
      </c>
      <c r="P20" s="123" t="s">
        <v>55</v>
      </c>
      <c r="Q20" s="123"/>
      <c r="R20" s="123" t="s">
        <v>1058</v>
      </c>
    </row>
    <row r="21" spans="2:18" x14ac:dyDescent="0.3">
      <c r="B21" s="20">
        <f>Calculation!K11</f>
        <v>45870</v>
      </c>
      <c r="C21" s="20">
        <f>Calculation!L11</f>
        <v>45869</v>
      </c>
      <c r="K21" s="197">
        <f>_xll.CbondsLastYTM($C$31,$C16,$C$33)</f>
        <v>5.9348172447268997E-2</v>
      </c>
      <c r="L21" s="197">
        <f>_xll.CbondsLastYTM($C$31,$C16,$C$33)</f>
        <v>5.9348172447268997E-2</v>
      </c>
      <c r="M21" s="197">
        <f>_xll.CbondsLastYTM($C$31,$C16,$C$33)</f>
        <v>5.9348172447268997E-2</v>
      </c>
      <c r="P21" s="195">
        <f>_xll.EfirEndOfDay(,$C16,P$20,"LAST_TRADE_DATE",,$C$31,,0)/100</f>
        <v>5.9200766199999998E-2</v>
      </c>
      <c r="Q21" s="128"/>
      <c r="R21" s="195">
        <f>_xll.EfirEndOfDay(,$C16,R$20,"LAST_TRADE_DATE",,$C$31,,0)/100</f>
        <v>5.9961982699999999E-2</v>
      </c>
    </row>
    <row r="22" spans="2:18" x14ac:dyDescent="0.3">
      <c r="B22" s="20">
        <f>Calculation!K12</f>
        <v>45839</v>
      </c>
      <c r="C22" s="20">
        <f>Calculation!L12</f>
        <v>45838</v>
      </c>
      <c r="K22" s="200">
        <f>_xll.CbondsLastYTM($C$31,$C17,$C$33)</f>
        <v>6.6543518252150005E-2</v>
      </c>
      <c r="L22" s="200">
        <f>_xll.CbondsLastYTM($C$31,$C17,$C$33)</f>
        <v>6.6543518252150005E-2</v>
      </c>
      <c r="M22" s="200">
        <f>_xll.CbondsLastYTM($C$31,$C17,$C$33)</f>
        <v>6.6543518252150005E-2</v>
      </c>
      <c r="P22" s="196">
        <f>_xll.EfirEndOfDay(,$C17,P$20,"LAST_TRADE_DATE",,$C$31,,0)/100</f>
        <v>6.6543523800000004E-2</v>
      </c>
      <c r="Q22" s="129"/>
      <c r="R22" s="196">
        <f>_xll.EfirEndOfDay(,$C17,R$20,"LAST_TRADE_DATE",,$C$31,,0)/100</f>
        <v>6.4891812100000001E-2</v>
      </c>
    </row>
    <row r="23" spans="2:18" x14ac:dyDescent="0.3">
      <c r="B23" s="20">
        <f>Calculation!K13</f>
        <v>45809</v>
      </c>
      <c r="C23" s="20">
        <f>Calculation!L13</f>
        <v>45807</v>
      </c>
      <c r="K23" s="200">
        <f>_xll.CbondsLastYTM($C$31,$C18,$C$33)</f>
        <v>6.1786891364558998E-2</v>
      </c>
      <c r="L23" s="200">
        <f>_xll.CbondsLastYTM($C$31,$C18,$C$33)</f>
        <v>6.1786891364558998E-2</v>
      </c>
      <c r="M23" s="200">
        <f>_xll.CbondsLastYTM($C$31,$C18,$C$33)</f>
        <v>6.1786891364558998E-2</v>
      </c>
      <c r="P23" s="196">
        <f>_xll.EfirEndOfDay(,$C18,P$20,"LAST_TRADE_DATE",,$C$31,,0)/100</f>
        <v>6.1786900200000001E-2</v>
      </c>
      <c r="Q23" s="129"/>
      <c r="R23" s="196">
        <f>_xll.EfirEndOfDay(,$C18,R$20,"LAST_TRADE_DATE",,$C$31,,0)/100</f>
        <v>5.8333571099999995E-2</v>
      </c>
    </row>
    <row r="24" spans="2:18" x14ac:dyDescent="0.3">
      <c r="B24" s="20">
        <f>Calculation!K14</f>
        <v>45778</v>
      </c>
      <c r="C24" s="20">
        <f>Calculation!L14</f>
        <v>45777</v>
      </c>
      <c r="K24" s="200">
        <f>_xll.CbondsLastYTM($C$31,$C19,$C$33)</f>
        <v>6.4213318352372997E-2</v>
      </c>
      <c r="L24" s="200">
        <f>_xll.CbondsLastYTM($C$31,$C19,$C$33)</f>
        <v>6.4213318352372997E-2</v>
      </c>
      <c r="M24" s="200">
        <f>_xll.CbondsLastYTM($C$31,$C19,$C$33)</f>
        <v>6.4213318352372997E-2</v>
      </c>
      <c r="P24" s="196">
        <f>_xll.EfirEndOfDay(,$C19,P$20,"LAST_TRADE_DATE",,$C$31,,0)/100</f>
        <v>6.4213310900000001E-2</v>
      </c>
      <c r="Q24" s="129"/>
      <c r="R24" s="196">
        <f>_xll.EfirEndOfDay(,$C19,R$20,"LAST_TRADE_DATE",,$C$31,,0)/100</f>
        <v>5.72103583E-2</v>
      </c>
    </row>
    <row r="25" spans="2:18" x14ac:dyDescent="0.3">
      <c r="B25" s="20">
        <f>Calculation!K15</f>
        <v>45748</v>
      </c>
      <c r="C25" s="20">
        <f>Calculation!L15</f>
        <v>45747</v>
      </c>
      <c r="K25" s="200">
        <f>_xll.CbondsLastYTM($C$31,$C20,$C$33)</f>
        <v>4.9833877460524999E-2</v>
      </c>
      <c r="L25" s="200">
        <f>_xll.CbondsLastYTM($C$31,$C20,$C$33)</f>
        <v>4.9833877460524999E-2</v>
      </c>
      <c r="M25" s="200">
        <f>_xll.CbondsLastYTM($C$31,$C20,$C$33)</f>
        <v>4.9833877460524999E-2</v>
      </c>
      <c r="P25" s="196">
        <f>_xll.EfirEndOfDay(,$C20,P$20,"LAST_TRADE_DATE",,$C$31,,0)/100</f>
        <v>4.98338532E-2</v>
      </c>
      <c r="Q25" s="129"/>
      <c r="R25" s="196">
        <f>_xll.EfirEndOfDay(,$C20,R$20,"LAST_TRADE_DATE",,$C$31,,0)/100</f>
        <v>4.9416958299999994E-2</v>
      </c>
    </row>
    <row r="26" spans="2:18" x14ac:dyDescent="0.3">
      <c r="B26" s="20">
        <f>Calculation!K16</f>
        <v>45717</v>
      </c>
      <c r="C26" s="20">
        <f>Calculation!L16</f>
        <v>45716</v>
      </c>
      <c r="K26" s="200">
        <f>_xll.CbondsLastYTM($C$31,$C21,$C$33)</f>
        <v>6.5050147863110003E-2</v>
      </c>
      <c r="L26" s="200">
        <f>_xll.CbondsLastYTM($C$31,$C21,$C$33)</f>
        <v>6.5050147863110003E-2</v>
      </c>
      <c r="M26" s="200">
        <f>_xll.CbondsLastYTM($C$31,$C21,$C$33)</f>
        <v>6.5050147863110003E-2</v>
      </c>
      <c r="P26" s="196">
        <f>_xll.EfirEndOfDay(,$C21,P$20,"LAST_TRADE_DATE",,$C$31,,0)/100</f>
        <v>6.5050129700000001E-2</v>
      </c>
      <c r="Q26" s="129"/>
      <c r="R26" s="196">
        <f>_xll.EfirEndOfDay(,$C21,R$20,"LAST_TRADE_DATE",,$C$31,,0)/100</f>
        <v>6.7882359099999998E-2</v>
      </c>
    </row>
    <row r="27" spans="2:18" x14ac:dyDescent="0.3">
      <c r="B27" s="20">
        <f>Calculation!K17</f>
        <v>45689</v>
      </c>
      <c r="C27" s="20">
        <f>Calculation!L17</f>
        <v>45688</v>
      </c>
      <c r="K27" s="200">
        <f>_xll.CbondsLastYTM($C$31,$C22,$C$33)</f>
        <v>5.3773406859478998E-2</v>
      </c>
      <c r="L27" s="200">
        <f>_xll.CbondsLastYTM($C$31,$C22,$C$33)</f>
        <v>5.3773406859478998E-2</v>
      </c>
      <c r="M27" s="200">
        <f>_xll.CbondsLastYTM($C$31,$C22,$C$33)</f>
        <v>5.3773406859478998E-2</v>
      </c>
      <c r="P27" s="196">
        <f>_xll.EfirEndOfDay(,$C22,P$20,"LAST_TRADE_DATE",,$C$31,,0)/100</f>
        <v>5.7243628999999997E-2</v>
      </c>
      <c r="Q27" s="129"/>
      <c r="R27" s="196">
        <f>_xll.EfirEndOfDay(,$C22,R$20,"LAST_TRADE_DATE",,$C$31,,0)/100</f>
        <v>5.6807874899999999E-2</v>
      </c>
    </row>
    <row r="28" spans="2:18" x14ac:dyDescent="0.3">
      <c r="B28" s="20">
        <f>Calculation!K18</f>
        <v>45658</v>
      </c>
      <c r="C28" s="20">
        <f>Calculation!L18</f>
        <v>45656</v>
      </c>
      <c r="K28" s="200">
        <f>_xll.CbondsLastYTM($C$31,$C23,$C$33)</f>
        <v>5.0517223906135E-2</v>
      </c>
      <c r="L28" s="200">
        <f>_xll.CbondsLastYTM($C$31,$C23,$C$33)</f>
        <v>5.0517223906135E-2</v>
      </c>
      <c r="M28" s="200">
        <f>_xll.CbondsLastYTM($C$31,$C23,$C$33)</f>
        <v>5.0517223906135E-2</v>
      </c>
      <c r="P28" s="196">
        <f>_xll.EfirEndOfDay(,$C23,P$20,"LAST_TRADE_DATE",,$C$31,,0)/100</f>
        <v>6.47466919E-2</v>
      </c>
      <c r="Q28" s="129"/>
      <c r="R28" s="196">
        <f>_xll.EfirEndOfDay(,$C23,R$20,"LAST_TRADE_DATE",,$C$31,,0)/100</f>
        <v>6.0101081599999995E-2</v>
      </c>
    </row>
    <row r="29" spans="2:18" x14ac:dyDescent="0.3">
      <c r="K29" s="200">
        <f>_xll.CbondsLastYTM($C$31,$C24,$C$33)</f>
        <v>6.1577410005853997E-2</v>
      </c>
      <c r="L29" s="200">
        <f>_xll.CbondsLastYTM($C$31,$C24,$C$33)</f>
        <v>6.1577410005853997E-2</v>
      </c>
      <c r="M29" s="200">
        <f>_xll.CbondsLastYTM($C$31,$C24,$C$33)</f>
        <v>6.1577410005853997E-2</v>
      </c>
      <c r="P29" s="196">
        <f>_xll.EfirEndOfDay(,$C24,P$20,"LAST_TRADE_DATE",,$C$31,,0)/100</f>
        <v>6.1577404400000008E-2</v>
      </c>
      <c r="Q29" s="129"/>
      <c r="R29" s="196">
        <f>_xll.EfirEndOfDay(,$C24,R$20,"LAST_TRADE_DATE",,$C$31,,0)/100</f>
        <v>6.3022481300000002E-2</v>
      </c>
    </row>
    <row r="30" spans="2:18" x14ac:dyDescent="0.3">
      <c r="K30" s="200">
        <f>_xll.CbondsLastYTM($C$31,$C25,$C$33)</f>
        <v>6.5191544356362999E-2</v>
      </c>
      <c r="L30" s="200">
        <f>_xll.CbondsLastYTM($C$31,$C25,$C$33)</f>
        <v>6.5191544356362999E-2</v>
      </c>
      <c r="M30" s="200">
        <f>_xll.CbondsLastYTM($C$31,$C25,$C$33)</f>
        <v>6.5191544356362999E-2</v>
      </c>
      <c r="P30" s="196">
        <f>_xll.EfirEndOfDay(,$C25,P$20,"LAST_TRADE_DATE",,$C$31,,0)/100</f>
        <v>7.1208315600000002E-2</v>
      </c>
      <c r="Q30" s="129"/>
      <c r="R30" s="196">
        <f>_xll.EfirEndOfDay(,$C25,R$20,"LAST_TRADE_DATE",,$C$31,,0)/100</f>
        <v>7.5252114699999997E-2</v>
      </c>
    </row>
    <row r="31" spans="2:18" x14ac:dyDescent="0.3">
      <c r="B31" s="124" t="s">
        <v>1</v>
      </c>
      <c r="C31" s="124" t="str">
        <f>Calculation!B1</f>
        <v>RU000A1057D4</v>
      </c>
      <c r="K31" s="200">
        <f>_xll.CbondsLastYTM($C$31,$C26,$C$33)</f>
        <v>6.3356269238890997E-2</v>
      </c>
      <c r="L31" s="200">
        <f>_xll.CbondsLastYTM($C$31,$C26,$C$33)</f>
        <v>6.3356269238890997E-2</v>
      </c>
      <c r="M31" s="200">
        <f>_xll.CbondsLastYTM($C$31,$C26,$C$33)</f>
        <v>6.3356269238890997E-2</v>
      </c>
      <c r="P31" s="196">
        <f>_xll.EfirEndOfDay(,$C26,P$20,"LAST_TRADE_DATE",,$C$31,,0)/100</f>
        <v>7.1088686900000003E-2</v>
      </c>
      <c r="Q31" s="129"/>
      <c r="R31" s="196">
        <f>_xll.EfirEndOfDay(,$C26,R$20,"LAST_TRADE_DATE",,$C$31,,0)/100</f>
        <v>6.7407253299999997E-2</v>
      </c>
    </row>
    <row r="32" spans="2:18" x14ac:dyDescent="0.3">
      <c r="B32" s="124" t="s">
        <v>1263</v>
      </c>
      <c r="C32" s="125">
        <f>Calculation!L6</f>
        <v>46021</v>
      </c>
      <c r="K32" s="200">
        <f>_xll.CbondsLastYTM($C$31,$C27,$C$33)</f>
        <v>8.2241128494566995E-2</v>
      </c>
      <c r="L32" s="200">
        <f>_xll.CbondsLastYTM($C$31,$C27,$C$33)</f>
        <v>8.2241128494566995E-2</v>
      </c>
      <c r="M32" s="200">
        <f>_xll.CbondsLastYTM($C$31,$C27,$C$33)</f>
        <v>8.2241128494566995E-2</v>
      </c>
      <c r="P32" s="196">
        <f>_xll.EfirEndOfDay(,$C27,P$20,"LAST_TRADE_DATE",,$C$31,,0)/100</f>
        <v>8.2241152900000003E-2</v>
      </c>
      <c r="Q32" s="129"/>
      <c r="R32" s="196">
        <f>_xll.EfirEndOfDay(,$C27,R$20,"LAST_TRADE_DATE",,$C$31,,0)/100</f>
        <v>8.3231919500000001E-2</v>
      </c>
    </row>
    <row r="33" spans="2:18" x14ac:dyDescent="0.3">
      <c r="B33" s="124" t="s">
        <v>1264</v>
      </c>
      <c r="C33" s="124">
        <v>135</v>
      </c>
      <c r="K33" s="200">
        <f>_xll.CbondsLastYTM($C$31,$C28,$C$33)</f>
        <v>7.8742618257562E-2</v>
      </c>
      <c r="L33" s="200">
        <f>_xll.CbondsLastYTM($C$31,$C28,$C$33)</f>
        <v>7.8742618257562E-2</v>
      </c>
      <c r="M33" s="200">
        <f>_xll.CbondsLastYTM($C$31,$C28,$C$33)</f>
        <v>7.8742618257562E-2</v>
      </c>
      <c r="P33" s="196">
        <f>_xll.EfirEndOfDay(,$C28,P$20,"LAST_TRADE_DATE",,$C$31,,0)/100</f>
        <v>7.8742595400000004E-2</v>
      </c>
      <c r="Q33" s="129"/>
      <c r="R33" s="196">
        <f>_xll.EfirEndOfDay(,$C28,R$20,"LAST_TRADE_DATE",,$C$31,,0)/100</f>
        <v>8.2312207200000001E-2</v>
      </c>
    </row>
    <row r="36" spans="2:18" x14ac:dyDescent="0.3">
      <c r="I36" s="105" t="s">
        <v>1287</v>
      </c>
      <c r="K36" s="123" t="s">
        <v>1281</v>
      </c>
      <c r="L36" s="123" t="s">
        <v>1282</v>
      </c>
      <c r="M36" s="123" t="s">
        <v>1283</v>
      </c>
      <c r="P36" s="123" t="s">
        <v>361</v>
      </c>
      <c r="Q36" s="123"/>
      <c r="R36" s="123" t="s">
        <v>980</v>
      </c>
    </row>
    <row r="37" spans="2:18" x14ac:dyDescent="0.3">
      <c r="K37" s="130" t="str">
        <f>_xll.CbondsLastYTP($C$31,$C16,$C$33)</f>
        <v>Нет данных</v>
      </c>
      <c r="L37" s="130" t="str">
        <f>_xll.CbondsLastYTP($C$31,$C16,$C$33)</f>
        <v>Нет данных</v>
      </c>
      <c r="M37" s="130" t="str">
        <f>_xll.CbondsLastYTP($C$31,$C16,$C$33)</f>
        <v>Нет данных</v>
      </c>
      <c r="P37" s="195" t="e">
        <f>_xll.EfirEndOfDay(,$C16,P$36,"LAST_TRADE_DATE",,$C$31,,0)/100</f>
        <v>#VALUE!</v>
      </c>
      <c r="Q37" s="195"/>
      <c r="R37" s="195" t="e">
        <f>_xll.EfirEndOfDay(,$C16,R$36,"LAST_TRADE_DATE",,$C$31,,0)/100</f>
        <v>#VALUE!</v>
      </c>
    </row>
    <row r="38" spans="2:18" x14ac:dyDescent="0.3">
      <c r="K38" s="131" t="str">
        <f>_xll.CbondsLastYTP($C$31,$C17,$C$33)</f>
        <v>Нет данных</v>
      </c>
      <c r="L38" s="131" t="str">
        <f>_xll.CbondsLastYTP($C$31,$C17,$C$33)</f>
        <v>Нет данных</v>
      </c>
      <c r="M38" s="131" t="str">
        <f>_xll.CbondsLastYTP($C$31,$C17,$C$33)</f>
        <v>Нет данных</v>
      </c>
      <c r="P38" s="196" t="e">
        <f>_xll.EfirEndOfDay(,$C17,P$36,"LAST_TRADE_DATE",,$C$31,,0)/100</f>
        <v>#VALUE!</v>
      </c>
      <c r="Q38" s="196"/>
      <c r="R38" s="196" t="e">
        <f>_xll.EfirEndOfDay(,$C17,R$36,"LAST_TRADE_DATE",,$C$31,,0)/100</f>
        <v>#VALUE!</v>
      </c>
    </row>
    <row r="39" spans="2:18" x14ac:dyDescent="0.3">
      <c r="K39" s="131" t="str">
        <f>_xll.CbondsLastYTP($C$31,$C18,$C$33)</f>
        <v>Нет данных</v>
      </c>
      <c r="L39" s="131" t="str">
        <f>_xll.CbondsLastYTP($C$31,$C18,$C$33)</f>
        <v>Нет данных</v>
      </c>
      <c r="M39" s="131" t="str">
        <f>_xll.CbondsLastYTP($C$31,$C18,$C$33)</f>
        <v>Нет данных</v>
      </c>
      <c r="P39" s="196" t="e">
        <f>_xll.EfirEndOfDay(,$C18,P$36,"LAST_TRADE_DATE",,$C$31,,0)/100</f>
        <v>#VALUE!</v>
      </c>
      <c r="Q39" s="196"/>
      <c r="R39" s="196" t="e">
        <f>_xll.EfirEndOfDay(,$C18,R$36,"LAST_TRADE_DATE",,$C$31,,0)/100</f>
        <v>#VALUE!</v>
      </c>
    </row>
    <row r="40" spans="2:18" x14ac:dyDescent="0.3">
      <c r="K40" s="131" t="str">
        <f>_xll.CbondsLastYTP($C$31,$C19,$C$33)</f>
        <v>Нет данных</v>
      </c>
      <c r="L40" s="131" t="str">
        <f>_xll.CbondsLastYTP($C$31,$C19,$C$33)</f>
        <v>Нет данных</v>
      </c>
      <c r="M40" s="131" t="str">
        <f>_xll.CbondsLastYTP($C$31,$C19,$C$33)</f>
        <v>Нет данных</v>
      </c>
      <c r="P40" s="196" t="e">
        <f>_xll.EfirEndOfDay(,$C19,P$36,"LAST_TRADE_DATE",,$C$31,,0)/100</f>
        <v>#VALUE!</v>
      </c>
      <c r="Q40" s="196"/>
      <c r="R40" s="196" t="e">
        <f>_xll.EfirEndOfDay(,$C19,R$36,"LAST_TRADE_DATE",,$C$31,,0)/100</f>
        <v>#VALUE!</v>
      </c>
    </row>
    <row r="41" spans="2:18" x14ac:dyDescent="0.3">
      <c r="K41" s="131" t="str">
        <f>_xll.CbondsLastYTP($C$31,$C20,$C$33)</f>
        <v>Нет данных</v>
      </c>
      <c r="L41" s="131" t="str">
        <f>_xll.CbondsLastYTP($C$31,$C20,$C$33)</f>
        <v>Нет данных</v>
      </c>
      <c r="M41" s="131" t="str">
        <f>_xll.CbondsLastYTP($C$31,$C20,$C$33)</f>
        <v>Нет данных</v>
      </c>
      <c r="P41" s="196" t="e">
        <f>_xll.EfirEndOfDay(,$C20,P$36,"LAST_TRADE_DATE",,$C$31,,0)/100</f>
        <v>#VALUE!</v>
      </c>
      <c r="Q41" s="196"/>
      <c r="R41" s="196" t="e">
        <f>_xll.EfirEndOfDay(,$C20,R$36,"LAST_TRADE_DATE",,$C$31,,0)/100</f>
        <v>#VALUE!</v>
      </c>
    </row>
    <row r="42" spans="2:18" x14ac:dyDescent="0.3">
      <c r="K42" s="131" t="str">
        <f>_xll.CbondsLastYTP($C$31,$C21,$C$33)</f>
        <v>Нет данных</v>
      </c>
      <c r="L42" s="131" t="str">
        <f>_xll.CbondsLastYTP($C$31,$C21,$C$33)</f>
        <v>Нет данных</v>
      </c>
      <c r="M42" s="131" t="str">
        <f>_xll.CbondsLastYTP($C$31,$C21,$C$33)</f>
        <v>Нет данных</v>
      </c>
      <c r="P42" s="196" t="e">
        <f>_xll.EfirEndOfDay(,$C21,P$36,"LAST_TRADE_DATE",,$C$31,,0)/100</f>
        <v>#VALUE!</v>
      </c>
      <c r="Q42" s="196"/>
      <c r="R42" s="196" t="e">
        <f>_xll.EfirEndOfDay(,$C21,R$36,"LAST_TRADE_DATE",,$C$31,,0)/100</f>
        <v>#VALUE!</v>
      </c>
    </row>
    <row r="43" spans="2:18" x14ac:dyDescent="0.3">
      <c r="K43" s="131" t="str">
        <f>_xll.CbondsLastYTP($C$31,$C22,$C$33)</f>
        <v>Нет данных</v>
      </c>
      <c r="L43" s="131" t="str">
        <f>_xll.CbondsLastYTP($C$31,$C22,$C$33)</f>
        <v>Нет данных</v>
      </c>
      <c r="M43" s="131" t="str">
        <f>_xll.CbondsLastYTP($C$31,$C22,$C$33)</f>
        <v>Нет данных</v>
      </c>
      <c r="P43" s="196" t="e">
        <f>_xll.EfirEndOfDay(,$C22,P$36,"LAST_TRADE_DATE",,$C$31,,0)/100</f>
        <v>#VALUE!</v>
      </c>
      <c r="Q43" s="196"/>
      <c r="R43" s="196" t="e">
        <f>_xll.EfirEndOfDay(,$C22,R$36,"LAST_TRADE_DATE",,$C$31,,0)/100</f>
        <v>#VALUE!</v>
      </c>
    </row>
    <row r="44" spans="2:18" x14ac:dyDescent="0.3">
      <c r="K44" s="131" t="str">
        <f>_xll.CbondsLastYTP($C$31,$C23,$C$33)</f>
        <v>Нет данных</v>
      </c>
      <c r="L44" s="131" t="str">
        <f>_xll.CbondsLastYTP($C$31,$C23,$C$33)</f>
        <v>Нет данных</v>
      </c>
      <c r="M44" s="131" t="str">
        <f>_xll.CbondsLastYTP($C$31,$C23,$C$33)</f>
        <v>Нет данных</v>
      </c>
      <c r="P44" s="196" t="e">
        <f>_xll.EfirEndOfDay(,$C23,P$36,"LAST_TRADE_DATE",,$C$31,,0)/100</f>
        <v>#VALUE!</v>
      </c>
      <c r="Q44" s="196"/>
      <c r="R44" s="196" t="e">
        <f>_xll.EfirEndOfDay(,$C23,R$36,"LAST_TRADE_DATE",,$C$31,,0)/100</f>
        <v>#VALUE!</v>
      </c>
    </row>
    <row r="45" spans="2:18" x14ac:dyDescent="0.3">
      <c r="K45" s="131" t="str">
        <f>_xll.CbondsLastYTP($C$31,$C24,$C$33)</f>
        <v>Нет данных</v>
      </c>
      <c r="L45" s="131" t="str">
        <f>_xll.CbondsLastYTP($C$31,$C24,$C$33)</f>
        <v>Нет данных</v>
      </c>
      <c r="M45" s="131" t="str">
        <f>_xll.CbondsLastYTP($C$31,$C24,$C$33)</f>
        <v>Нет данных</v>
      </c>
      <c r="P45" s="196" t="e">
        <f>_xll.EfirEndOfDay(,$C24,P$36,"LAST_TRADE_DATE",,$C$31,,0)/100</f>
        <v>#VALUE!</v>
      </c>
      <c r="Q45" s="196"/>
      <c r="R45" s="196" t="e">
        <f>_xll.EfirEndOfDay(,$C24,R$36,"LAST_TRADE_DATE",,$C$31,,0)/100</f>
        <v>#VALUE!</v>
      </c>
    </row>
    <row r="46" spans="2:18" x14ac:dyDescent="0.3">
      <c r="K46" s="131" t="str">
        <f>_xll.CbondsLastYTP($C$31,$C25,$C$33)</f>
        <v>Нет данных</v>
      </c>
      <c r="L46" s="131" t="str">
        <f>_xll.CbondsLastYTP($C$31,$C25,$C$33)</f>
        <v>Нет данных</v>
      </c>
      <c r="M46" s="131" t="str">
        <f>_xll.CbondsLastYTP($C$31,$C25,$C$33)</f>
        <v>Нет данных</v>
      </c>
      <c r="P46" s="196" t="e">
        <f>_xll.EfirEndOfDay(,$C25,P$36,"LAST_TRADE_DATE",,$C$31,,0)/100</f>
        <v>#VALUE!</v>
      </c>
      <c r="Q46" s="196"/>
      <c r="R46" s="196" t="e">
        <f>_xll.EfirEndOfDay(,$C25,R$36,"LAST_TRADE_DATE",,$C$31,,0)/100</f>
        <v>#VALUE!</v>
      </c>
    </row>
    <row r="47" spans="2:18" x14ac:dyDescent="0.3">
      <c r="K47" s="131" t="str">
        <f>_xll.CbondsLastYTP($C$31,$C26,$C$33)</f>
        <v>Нет данных</v>
      </c>
      <c r="L47" s="131" t="str">
        <f>_xll.CbondsLastYTP($C$31,$C26,$C$33)</f>
        <v>Нет данных</v>
      </c>
      <c r="M47" s="131" t="str">
        <f>_xll.CbondsLastYTP($C$31,$C26,$C$33)</f>
        <v>Нет данных</v>
      </c>
      <c r="P47" s="196" t="e">
        <f>_xll.EfirEndOfDay(,$C26,P$36,"LAST_TRADE_DATE",,$C$31,,0)/100</f>
        <v>#VALUE!</v>
      </c>
      <c r="Q47" s="196"/>
      <c r="R47" s="196" t="e">
        <f>_xll.EfirEndOfDay(,$C26,R$36,"LAST_TRADE_DATE",,$C$31,,0)/100</f>
        <v>#VALUE!</v>
      </c>
    </row>
    <row r="48" spans="2:18" x14ac:dyDescent="0.3">
      <c r="K48" s="131" t="str">
        <f>_xll.CbondsLastYTP($C$31,$C27,$C$33)</f>
        <v>Нет данных</v>
      </c>
      <c r="L48" s="131" t="str">
        <f>_xll.CbondsLastYTP($C$31,$C27,$C$33)</f>
        <v>Нет данных</v>
      </c>
      <c r="M48" s="131" t="str">
        <f>_xll.CbondsLastYTP($C$31,$C27,$C$33)</f>
        <v>Нет данных</v>
      </c>
      <c r="P48" s="196" t="e">
        <f>_xll.EfirEndOfDay(,$C27,P$36,"LAST_TRADE_DATE",,$C$31,,0)/100</f>
        <v>#VALUE!</v>
      </c>
      <c r="Q48" s="196"/>
      <c r="R48" s="196" t="e">
        <f>_xll.EfirEndOfDay(,$C27,R$36,"LAST_TRADE_DATE",,$C$31,,0)/100</f>
        <v>#VALUE!</v>
      </c>
    </row>
    <row r="49" spans="9:18" x14ac:dyDescent="0.3">
      <c r="K49" s="131" t="str">
        <f>_xll.CbondsLastYTP($C$31,$C28,$C$33)</f>
        <v>Нет данных</v>
      </c>
      <c r="L49" s="131" t="str">
        <f>_xll.CbondsLastYTP($C$31,$C28,$C$33)</f>
        <v>Нет данных</v>
      </c>
      <c r="M49" s="131" t="str">
        <f>_xll.CbondsLastYTP($C$31,$C28,$C$33)</f>
        <v>Нет данных</v>
      </c>
      <c r="P49" s="196" t="e">
        <f>_xll.EfirEndOfDay(,$C28,P$36,"LAST_TRADE_DATE",,$C$31,,0)/100</f>
        <v>#VALUE!</v>
      </c>
      <c r="Q49" s="196"/>
      <c r="R49" s="196" t="e">
        <f>_xll.EfirEndOfDay(,$C28,R$36,"LAST_TRADE_DATE",,$C$31,,0)/100</f>
        <v>#VALUE!</v>
      </c>
    </row>
    <row r="52" spans="9:18" x14ac:dyDescent="0.3">
      <c r="I52" s="105" t="s">
        <v>65</v>
      </c>
      <c r="K52" s="95" t="s">
        <v>1268</v>
      </c>
      <c r="L52" s="95" t="s">
        <v>1284</v>
      </c>
      <c r="M52" s="95" t="s">
        <v>1288</v>
      </c>
      <c r="P52" s="95" t="s">
        <v>65</v>
      </c>
      <c r="Q52" s="95" t="s">
        <v>362</v>
      </c>
      <c r="R52" s="95" t="s">
        <v>1288</v>
      </c>
    </row>
    <row r="53" spans="9:18" x14ac:dyDescent="0.3">
      <c r="K53" s="126">
        <f>_xll.CbondsDuration($C$31,C16,$C$33)</f>
        <v>601.39642170836999</v>
      </c>
      <c r="L53" s="126" t="str">
        <f>_xll.CbondsDurationToPutCall($C$31,C16,$C$33)</f>
        <v>Нет данных</v>
      </c>
      <c r="M53" s="126">
        <f>IF(K53= "нет данных",L53/365,K53/365)</f>
        <v>1.6476614293379999</v>
      </c>
      <c r="P53" s="126">
        <f>_xll.EfirEndOfDay(,$C16,P$52,"LAST_TRADE_DATE",,$C$31,,0)</f>
        <v>601</v>
      </c>
      <c r="Q53" s="126" t="str">
        <f>_xll.EfirEndOfDay(,$C16,Q$52,"LAST_TRADE_DATE",,$C$31,,0)</f>
        <v/>
      </c>
      <c r="R53" s="126">
        <f>IF(K53= "нет данных",Q53/365,P53/365)</f>
        <v>1.6465753424657534</v>
      </c>
    </row>
    <row r="54" spans="9:18" x14ac:dyDescent="0.3">
      <c r="K54" s="31">
        <f>_xll.CbondsDuration($C$31,C17,$C$33)</f>
        <v>627.44278378802005</v>
      </c>
      <c r="L54" s="31" t="str">
        <f>_xll.CbondsDurationToPutCall($C$31,C17,$C$33)</f>
        <v>Нет данных</v>
      </c>
      <c r="M54" s="31">
        <f t="shared" ref="M54:M65" si="1">IF(K54= "нет данных",L54/365,K54/365)</f>
        <v>1.7190213254466302</v>
      </c>
      <c r="P54" s="132">
        <f>_xll.EfirEndOfDay(,$C17,P$52,"LAST_TRADE_DATE",,$C$31,,0)</f>
        <v>627</v>
      </c>
      <c r="Q54" s="132" t="str">
        <f>_xll.EfirEndOfDay(,$C17,Q$52,"LAST_TRADE_DATE",,$C$31,,0)</f>
        <v/>
      </c>
      <c r="R54" s="132">
        <f t="shared" ref="R54:R65" si="2">IF(K54= "нет данных",Q54/365,P54/365)</f>
        <v>1.7178082191780821</v>
      </c>
    </row>
    <row r="55" spans="9:18" x14ac:dyDescent="0.3">
      <c r="K55" s="31">
        <f>_xll.CbondsDuration($C$31,C18,$C$33)</f>
        <v>655.48949111597005</v>
      </c>
      <c r="L55" s="31" t="str">
        <f>_xll.CbondsDurationToPutCall($C$31,C18,$C$33)</f>
        <v>Нет данных</v>
      </c>
      <c r="M55" s="31">
        <f t="shared" si="1"/>
        <v>1.7958616194958084</v>
      </c>
      <c r="P55" s="132">
        <f>_xll.EfirEndOfDay(,$C18,P$52,"LAST_TRADE_DATE",,$C$31,,0)</f>
        <v>656</v>
      </c>
      <c r="Q55" s="132" t="str">
        <f>_xll.EfirEndOfDay(,$C18,Q$52,"LAST_TRADE_DATE",,$C$31,,0)</f>
        <v/>
      </c>
      <c r="R55" s="132">
        <f t="shared" si="2"/>
        <v>1.7972602739726027</v>
      </c>
    </row>
    <row r="56" spans="9:18" x14ac:dyDescent="0.3">
      <c r="K56" s="31">
        <f>_xll.CbondsDuration($C$31,C19,$C$33)</f>
        <v>686.65800293458005</v>
      </c>
      <c r="L56" s="31" t="str">
        <f>_xll.CbondsDurationToPutCall($C$31,C19,$C$33)</f>
        <v>Нет данных</v>
      </c>
      <c r="M56" s="31">
        <f t="shared" si="1"/>
        <v>1.8812548025604934</v>
      </c>
      <c r="P56" s="132">
        <f>_xll.EfirEndOfDay(,$C19,P$52,"LAST_TRADE_DATE",,$C$31,,0)</f>
        <v>686</v>
      </c>
      <c r="Q56" s="132" t="str">
        <f>_xll.EfirEndOfDay(,$C19,Q$52,"LAST_TRADE_DATE",,$C$31,,0)</f>
        <v/>
      </c>
      <c r="R56" s="132">
        <f t="shared" si="2"/>
        <v>1.8794520547945206</v>
      </c>
    </row>
    <row r="57" spans="9:18" x14ac:dyDescent="0.3">
      <c r="K57" s="31">
        <f>_xll.CbondsDuration($C$31,C20,$C$33)</f>
        <v>712.22720116057997</v>
      </c>
      <c r="L57" s="31" t="str">
        <f>_xll.CbondsDurationToPutCall($C$31,C20,$C$33)</f>
        <v>Нет данных</v>
      </c>
      <c r="M57" s="31">
        <f t="shared" si="1"/>
        <v>1.9513074004399451</v>
      </c>
      <c r="P57" s="132">
        <f>_xll.EfirEndOfDay(,$C20,P$52,"LAST_TRADE_DATE",,$C$31,,0)</f>
        <v>712</v>
      </c>
      <c r="Q57" s="132" t="str">
        <f>_xll.EfirEndOfDay(,$C20,Q$52,"LAST_TRADE_DATE",,$C$31,,0)</f>
        <v/>
      </c>
      <c r="R57" s="132">
        <f t="shared" si="2"/>
        <v>1.9506849315068493</v>
      </c>
    </row>
    <row r="58" spans="9:18" x14ac:dyDescent="0.3">
      <c r="K58" s="31">
        <f>_xll.CbondsDuration($C$31,C21,$C$33)</f>
        <v>740.93207747912004</v>
      </c>
      <c r="L58" s="31" t="str">
        <f>_xll.CbondsDurationToPutCall($C$31,C21,$C$33)</f>
        <v>Нет данных</v>
      </c>
      <c r="M58" s="31">
        <f t="shared" si="1"/>
        <v>2.0299508972030686</v>
      </c>
      <c r="P58" s="132">
        <f>_xll.EfirEndOfDay(,$C21,P$52,"LAST_TRADE_DATE",,$C$31,,0)</f>
        <v>741</v>
      </c>
      <c r="Q58" s="132" t="str">
        <f>_xll.EfirEndOfDay(,$C21,Q$52,"LAST_TRADE_DATE",,$C$31,,0)</f>
        <v/>
      </c>
      <c r="R58" s="132">
        <f t="shared" si="2"/>
        <v>2.0301369863013701</v>
      </c>
    </row>
    <row r="59" spans="9:18" x14ac:dyDescent="0.3">
      <c r="K59" s="31">
        <f>_xll.CbondsDuration($C$31,C22,$C$33)</f>
        <v>771.99279777651998</v>
      </c>
      <c r="L59" s="31" t="str">
        <f>_xll.CbondsDurationToPutCall($C$31,C22,$C$33)</f>
        <v>Нет данных</v>
      </c>
      <c r="M59" s="31">
        <f t="shared" si="1"/>
        <v>2.1150487610315616</v>
      </c>
      <c r="P59" s="132">
        <f>_xll.EfirEndOfDay(,$C22,P$52,"LAST_TRADE_DATE",,$C$31,,0)</f>
        <v>775</v>
      </c>
      <c r="Q59" s="132" t="str">
        <f>_xll.EfirEndOfDay(,$C22,Q$52,"LAST_TRADE_DATE",,$C$31,,0)</f>
        <v/>
      </c>
      <c r="R59" s="132">
        <f t="shared" si="2"/>
        <v>2.1232876712328768</v>
      </c>
    </row>
    <row r="60" spans="9:18" x14ac:dyDescent="0.3">
      <c r="K60" s="31">
        <f>_xll.CbondsDuration($C$31,C23,$C$33)</f>
        <v>795.58060530520004</v>
      </c>
      <c r="L60" s="31" t="str">
        <f>_xll.CbondsDurationToPutCall($C$31,C23,$C$33)</f>
        <v>Нет данных</v>
      </c>
      <c r="M60" s="31">
        <f t="shared" si="1"/>
        <v>2.1796728912471233</v>
      </c>
      <c r="P60" s="132">
        <f>_xll.EfirEndOfDay(,$C23,P$52,"LAST_TRADE_DATE",,$C$31,,0)</f>
        <v>796</v>
      </c>
      <c r="Q60" s="132" t="str">
        <f>_xll.EfirEndOfDay(,$C23,Q$52,"LAST_TRADE_DATE",,$C$31,,0)</f>
        <v/>
      </c>
      <c r="R60" s="132">
        <f t="shared" si="2"/>
        <v>2.1808219178082191</v>
      </c>
    </row>
    <row r="61" spans="9:18" x14ac:dyDescent="0.3">
      <c r="K61" s="31">
        <f>_xll.CbondsDuration($C$31,C24,$C$33)</f>
        <v>825.32969111261002</v>
      </c>
      <c r="L61" s="31" t="str">
        <f>_xll.CbondsDurationToPutCall($C$31,C24,$C$33)</f>
        <v>Нет данных</v>
      </c>
      <c r="M61" s="31">
        <f t="shared" si="1"/>
        <v>2.2611772359249591</v>
      </c>
      <c r="P61" s="132">
        <f>_xll.EfirEndOfDay(,$C24,P$52,"LAST_TRADE_DATE",,$C$31,,0)</f>
        <v>825</v>
      </c>
      <c r="Q61" s="132" t="str">
        <f>_xll.EfirEndOfDay(,$C24,Q$52,"LAST_TRADE_DATE",,$C$31,,0)</f>
        <v/>
      </c>
      <c r="R61" s="132">
        <f t="shared" si="2"/>
        <v>2.2602739726027399</v>
      </c>
    </row>
    <row r="62" spans="9:18" x14ac:dyDescent="0.3">
      <c r="K62" s="31">
        <f>_xll.CbondsDuration($C$31,C25,$C$33)</f>
        <v>854.54685270799996</v>
      </c>
      <c r="L62" s="31" t="str">
        <f>_xll.CbondsDurationToPutCall($C$31,C25,$C$33)</f>
        <v>Нет данных</v>
      </c>
      <c r="M62" s="31">
        <f t="shared" si="1"/>
        <v>2.3412242539945205</v>
      </c>
      <c r="P62" s="132">
        <f>_xll.EfirEndOfDay(,$C25,P$52,"LAST_TRADE_DATE",,$C$31,,0)</f>
        <v>858</v>
      </c>
      <c r="Q62" s="132" t="str">
        <f>_xll.EfirEndOfDay(,$C25,Q$52,"LAST_TRADE_DATE",,$C$31,,0)</f>
        <v/>
      </c>
      <c r="R62" s="132">
        <f t="shared" si="2"/>
        <v>2.3506849315068492</v>
      </c>
    </row>
    <row r="63" spans="9:18" x14ac:dyDescent="0.3">
      <c r="K63" s="31">
        <f>_xll.CbondsDuration($C$31,C26,$C$33)</f>
        <v>876.75275221815002</v>
      </c>
      <c r="L63" s="31" t="str">
        <f>_xll.CbondsDurationToPutCall($C$31,C26,$C$33)</f>
        <v>Нет данных</v>
      </c>
      <c r="M63" s="31">
        <f t="shared" si="1"/>
        <v>2.4020623348442465</v>
      </c>
      <c r="P63" s="132">
        <f>_xll.EfirEndOfDay(,$C26,P$52,"LAST_TRADE_DATE",,$C$31,,0)</f>
        <v>878</v>
      </c>
      <c r="Q63" s="132" t="str">
        <f>_xll.EfirEndOfDay(,$C26,Q$52,"LAST_TRADE_DATE",,$C$31,,0)</f>
        <v/>
      </c>
      <c r="R63" s="132">
        <f t="shared" si="2"/>
        <v>2.4054794520547946</v>
      </c>
    </row>
    <row r="64" spans="9:18" x14ac:dyDescent="0.3">
      <c r="K64" s="31">
        <f>_xll.CbondsDuration($C$31,C27,$C$33)</f>
        <v>904.07602230130999</v>
      </c>
      <c r="L64" s="31" t="str">
        <f>_xll.CbondsDurationToPutCall($C$31,C27,$C$33)</f>
        <v>Нет данных</v>
      </c>
      <c r="M64" s="31">
        <f t="shared" si="1"/>
        <v>2.4769206090446847</v>
      </c>
      <c r="P64" s="132">
        <f>_xll.EfirEndOfDay(,$C27,P$52,"LAST_TRADE_DATE",,$C$31,,0)</f>
        <v>904</v>
      </c>
      <c r="Q64" s="132" t="str">
        <f>_xll.EfirEndOfDay(,$C27,Q$52,"LAST_TRADE_DATE",,$C$31,,0)</f>
        <v/>
      </c>
      <c r="R64" s="132">
        <f t="shared" si="2"/>
        <v>2.4767123287671233</v>
      </c>
    </row>
    <row r="65" spans="11:18" x14ac:dyDescent="0.3">
      <c r="K65" s="31">
        <f>_xll.CbondsDuration($C$31,C28,$C$33)</f>
        <v>934.91368733171998</v>
      </c>
      <c r="L65" s="31" t="str">
        <f>_xll.CbondsDurationToPutCall($C$31,C28,$C$33)</f>
        <v>Нет данных</v>
      </c>
      <c r="M65" s="31">
        <f t="shared" si="1"/>
        <v>2.5614073625526577</v>
      </c>
      <c r="P65" s="132">
        <f>_xll.EfirEndOfDay(,$C28,P$52,"LAST_TRADE_DATE",,$C$31,,0)</f>
        <v>937</v>
      </c>
      <c r="Q65" s="132" t="str">
        <f>_xll.EfirEndOfDay(,$C28,Q$52,"LAST_TRADE_DATE",,$C$31,,0)</f>
        <v/>
      </c>
      <c r="R65" s="132">
        <f t="shared" si="2"/>
        <v>2.5671232876712327</v>
      </c>
    </row>
  </sheetData>
  <conditionalFormatting sqref="E6:E11">
    <cfRule type="cellIs" dxfId="1" priority="1" operator="equal">
      <formula>"Ноуп"</formula>
    </cfRule>
    <cfRule type="cellIs" dxfId="0" priority="2" operator="equal">
      <formula>"Ок"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>
    <tabColor theme="4" tint="0.79998168889431442"/>
  </sheetPr>
  <dimension ref="A1:H192"/>
  <sheetViews>
    <sheetView workbookViewId="0"/>
  </sheetViews>
  <sheetFormatPr defaultRowHeight="14.4" x14ac:dyDescent="0.3"/>
  <cols>
    <col min="2" max="2" width="15.33203125" bestFit="1" customWidth="1"/>
    <col min="3" max="3" width="25.33203125" bestFit="1" customWidth="1"/>
    <col min="4" max="4" width="59.109375" bestFit="1" customWidth="1"/>
    <col min="6" max="6" width="21.5546875" bestFit="1" customWidth="1"/>
    <col min="7" max="7" width="22.44140625" bestFit="1" customWidth="1"/>
    <col min="8" max="8" width="255.6640625" bestFit="1" customWidth="1"/>
  </cols>
  <sheetData>
    <row r="1" spans="1:8" x14ac:dyDescent="0.3">
      <c r="A1" s="79" t="str">
        <f>_xll.BondDateFields()</f>
        <v>Группа</v>
      </c>
      <c r="B1" s="79" t="s">
        <v>332</v>
      </c>
      <c r="C1" s="79" t="s">
        <v>369</v>
      </c>
      <c r="D1" s="79" t="s">
        <v>370</v>
      </c>
      <c r="E1" s="79"/>
      <c r="F1" s="79" t="str">
        <f>_xll.EfirFields()</f>
        <v>name</v>
      </c>
      <c r="G1" s="79" t="s">
        <v>514</v>
      </c>
      <c r="H1" s="79" t="s">
        <v>515</v>
      </c>
    </row>
    <row r="2" spans="1:8" x14ac:dyDescent="0.3">
      <c r="A2" t="s">
        <v>371</v>
      </c>
      <c r="B2" t="s">
        <v>372</v>
      </c>
      <c r="C2" t="s">
        <v>373</v>
      </c>
      <c r="D2" t="s">
        <v>374</v>
      </c>
      <c r="F2" t="s">
        <v>516</v>
      </c>
      <c r="G2" t="s">
        <v>492</v>
      </c>
      <c r="H2" t="s">
        <v>517</v>
      </c>
    </row>
    <row r="3" spans="1:8" x14ac:dyDescent="0.3">
      <c r="A3" t="s">
        <v>371</v>
      </c>
      <c r="B3" t="s">
        <v>375</v>
      </c>
      <c r="C3" t="s">
        <v>376</v>
      </c>
      <c r="D3" t="s">
        <v>377</v>
      </c>
      <c r="F3" t="s">
        <v>518</v>
      </c>
      <c r="G3" t="s">
        <v>519</v>
      </c>
      <c r="H3" t="s">
        <v>520</v>
      </c>
    </row>
    <row r="4" spans="1:8" x14ac:dyDescent="0.3">
      <c r="A4" t="s">
        <v>371</v>
      </c>
      <c r="B4" t="s">
        <v>378</v>
      </c>
      <c r="C4" t="s">
        <v>379</v>
      </c>
      <c r="D4" t="s">
        <v>380</v>
      </c>
      <c r="F4" t="s">
        <v>521</v>
      </c>
      <c r="G4" t="s">
        <v>522</v>
      </c>
      <c r="H4" t="s">
        <v>523</v>
      </c>
    </row>
    <row r="5" spans="1:8" x14ac:dyDescent="0.3">
      <c r="A5" t="s">
        <v>371</v>
      </c>
      <c r="B5" t="s">
        <v>381</v>
      </c>
      <c r="C5" t="s">
        <v>382</v>
      </c>
      <c r="D5" t="s">
        <v>383</v>
      </c>
      <c r="F5" t="s">
        <v>524</v>
      </c>
      <c r="G5" t="s">
        <v>525</v>
      </c>
      <c r="H5" t="s">
        <v>526</v>
      </c>
    </row>
    <row r="6" spans="1:8" x14ac:dyDescent="0.3">
      <c r="A6" t="s">
        <v>371</v>
      </c>
      <c r="B6" t="s">
        <v>384</v>
      </c>
      <c r="C6" t="s">
        <v>385</v>
      </c>
      <c r="D6" t="s">
        <v>386</v>
      </c>
      <c r="F6" t="s">
        <v>527</v>
      </c>
      <c r="G6" t="s">
        <v>528</v>
      </c>
      <c r="H6" t="s">
        <v>529</v>
      </c>
    </row>
    <row r="7" spans="1:8" x14ac:dyDescent="0.3">
      <c r="A7" t="s">
        <v>387</v>
      </c>
      <c r="B7" t="s">
        <v>388</v>
      </c>
      <c r="C7" t="s">
        <v>389</v>
      </c>
      <c r="D7" t="s">
        <v>390</v>
      </c>
      <c r="F7" t="s">
        <v>530</v>
      </c>
      <c r="G7" t="s">
        <v>531</v>
      </c>
      <c r="H7" t="s">
        <v>532</v>
      </c>
    </row>
    <row r="8" spans="1:8" x14ac:dyDescent="0.3">
      <c r="A8" t="s">
        <v>387</v>
      </c>
      <c r="B8" t="s">
        <v>391</v>
      </c>
      <c r="C8" t="s">
        <v>392</v>
      </c>
      <c r="D8" t="s">
        <v>393</v>
      </c>
      <c r="F8" t="s">
        <v>533</v>
      </c>
      <c r="G8" t="s">
        <v>534</v>
      </c>
      <c r="H8" t="s">
        <v>535</v>
      </c>
    </row>
    <row r="9" spans="1:8" x14ac:dyDescent="0.3">
      <c r="A9" t="s">
        <v>387</v>
      </c>
      <c r="B9" t="s">
        <v>394</v>
      </c>
      <c r="C9" t="s">
        <v>395</v>
      </c>
      <c r="D9" t="s">
        <v>396</v>
      </c>
      <c r="F9" t="s">
        <v>536</v>
      </c>
      <c r="G9" t="s">
        <v>537</v>
      </c>
      <c r="H9" t="s">
        <v>538</v>
      </c>
    </row>
    <row r="10" spans="1:8" x14ac:dyDescent="0.3">
      <c r="A10" t="s">
        <v>387</v>
      </c>
      <c r="B10" t="s">
        <v>397</v>
      </c>
      <c r="C10" t="s">
        <v>398</v>
      </c>
      <c r="D10" t="s">
        <v>399</v>
      </c>
      <c r="F10" t="s">
        <v>539</v>
      </c>
      <c r="G10" t="s">
        <v>540</v>
      </c>
      <c r="H10" t="s">
        <v>541</v>
      </c>
    </row>
    <row r="11" spans="1:8" x14ac:dyDescent="0.3">
      <c r="A11" t="s">
        <v>387</v>
      </c>
      <c r="B11" t="s">
        <v>400</v>
      </c>
      <c r="C11" t="s">
        <v>401</v>
      </c>
      <c r="D11" t="s">
        <v>402</v>
      </c>
      <c r="F11" t="s">
        <v>542</v>
      </c>
      <c r="G11" t="s">
        <v>543</v>
      </c>
      <c r="H11" t="s">
        <v>544</v>
      </c>
    </row>
    <row r="12" spans="1:8" x14ac:dyDescent="0.3">
      <c r="A12" t="s">
        <v>387</v>
      </c>
      <c r="B12" t="s">
        <v>345</v>
      </c>
      <c r="C12" t="s">
        <v>403</v>
      </c>
      <c r="D12" t="s">
        <v>404</v>
      </c>
      <c r="F12" t="s">
        <v>545</v>
      </c>
      <c r="G12" t="s">
        <v>546</v>
      </c>
      <c r="H12" t="s">
        <v>547</v>
      </c>
    </row>
    <row r="13" spans="1:8" x14ac:dyDescent="0.3">
      <c r="A13" t="s">
        <v>387</v>
      </c>
      <c r="B13" t="s">
        <v>405</v>
      </c>
      <c r="C13" t="s">
        <v>406</v>
      </c>
      <c r="D13" t="s">
        <v>407</v>
      </c>
      <c r="F13" t="s">
        <v>548</v>
      </c>
      <c r="G13" t="s">
        <v>549</v>
      </c>
      <c r="H13" t="s">
        <v>550</v>
      </c>
    </row>
    <row r="14" spans="1:8" x14ac:dyDescent="0.3">
      <c r="A14" t="s">
        <v>387</v>
      </c>
      <c r="B14" t="s">
        <v>408</v>
      </c>
      <c r="C14" t="s">
        <v>409</v>
      </c>
      <c r="D14" t="s">
        <v>410</v>
      </c>
      <c r="F14" t="s">
        <v>551</v>
      </c>
      <c r="G14" t="s">
        <v>552</v>
      </c>
      <c r="H14" t="s">
        <v>553</v>
      </c>
    </row>
    <row r="15" spans="1:8" x14ac:dyDescent="0.3">
      <c r="A15" t="s">
        <v>387</v>
      </c>
      <c r="B15" t="s">
        <v>411</v>
      </c>
      <c r="C15" t="s">
        <v>412</v>
      </c>
      <c r="D15" t="s">
        <v>413</v>
      </c>
      <c r="F15" t="s">
        <v>554</v>
      </c>
      <c r="G15" t="s">
        <v>555</v>
      </c>
      <c r="H15" t="s">
        <v>556</v>
      </c>
    </row>
    <row r="16" spans="1:8" x14ac:dyDescent="0.3">
      <c r="A16" t="s">
        <v>387</v>
      </c>
      <c r="B16" t="s">
        <v>414</v>
      </c>
      <c r="C16" t="s">
        <v>415</v>
      </c>
      <c r="D16" t="s">
        <v>416</v>
      </c>
      <c r="F16" t="s">
        <v>557</v>
      </c>
      <c r="G16" t="s">
        <v>558</v>
      </c>
      <c r="H16" t="s">
        <v>559</v>
      </c>
    </row>
    <row r="17" spans="1:8" x14ac:dyDescent="0.3">
      <c r="A17" t="s">
        <v>387</v>
      </c>
      <c r="B17" t="s">
        <v>417</v>
      </c>
      <c r="C17" t="s">
        <v>418</v>
      </c>
      <c r="D17" t="s">
        <v>419</v>
      </c>
      <c r="F17" t="s">
        <v>560</v>
      </c>
      <c r="G17" t="s">
        <v>561</v>
      </c>
      <c r="H17" t="s">
        <v>562</v>
      </c>
    </row>
    <row r="18" spans="1:8" x14ac:dyDescent="0.3">
      <c r="A18" t="s">
        <v>420</v>
      </c>
      <c r="B18" t="s">
        <v>347</v>
      </c>
      <c r="C18" t="s">
        <v>32</v>
      </c>
      <c r="D18" t="s">
        <v>421</v>
      </c>
      <c r="F18" t="s">
        <v>563</v>
      </c>
      <c r="G18" t="s">
        <v>564</v>
      </c>
      <c r="H18" t="s">
        <v>565</v>
      </c>
    </row>
    <row r="19" spans="1:8" x14ac:dyDescent="0.3">
      <c r="A19" t="s">
        <v>420</v>
      </c>
      <c r="B19" t="s">
        <v>422</v>
      </c>
      <c r="C19" t="s">
        <v>423</v>
      </c>
      <c r="D19" t="s">
        <v>424</v>
      </c>
      <c r="F19" t="s">
        <v>566</v>
      </c>
      <c r="G19" t="s">
        <v>567</v>
      </c>
      <c r="H19" t="s">
        <v>568</v>
      </c>
    </row>
    <row r="20" spans="1:8" x14ac:dyDescent="0.3">
      <c r="A20" t="s">
        <v>420</v>
      </c>
      <c r="B20" t="s">
        <v>425</v>
      </c>
      <c r="C20" t="s">
        <v>426</v>
      </c>
      <c r="D20" t="s">
        <v>427</v>
      </c>
      <c r="F20" t="s">
        <v>569</v>
      </c>
      <c r="G20" t="s">
        <v>373</v>
      </c>
      <c r="H20" t="s">
        <v>373</v>
      </c>
    </row>
    <row r="21" spans="1:8" x14ac:dyDescent="0.3">
      <c r="A21" t="s">
        <v>420</v>
      </c>
      <c r="B21" t="s">
        <v>428</v>
      </c>
      <c r="C21" t="s">
        <v>429</v>
      </c>
      <c r="D21" t="s">
        <v>407</v>
      </c>
      <c r="F21" t="s">
        <v>570</v>
      </c>
      <c r="G21" t="s">
        <v>571</v>
      </c>
      <c r="H21" t="s">
        <v>571</v>
      </c>
    </row>
    <row r="22" spans="1:8" x14ac:dyDescent="0.3">
      <c r="A22" t="s">
        <v>420</v>
      </c>
      <c r="B22" t="s">
        <v>430</v>
      </c>
      <c r="C22" t="s">
        <v>431</v>
      </c>
      <c r="D22" t="s">
        <v>432</v>
      </c>
      <c r="F22" t="s">
        <v>572</v>
      </c>
      <c r="G22" t="s">
        <v>573</v>
      </c>
      <c r="H22" t="s">
        <v>574</v>
      </c>
    </row>
    <row r="23" spans="1:8" x14ac:dyDescent="0.3">
      <c r="A23" t="s">
        <v>433</v>
      </c>
      <c r="B23" t="s">
        <v>434</v>
      </c>
      <c r="C23" t="s">
        <v>435</v>
      </c>
      <c r="D23" t="s">
        <v>436</v>
      </c>
      <c r="F23" t="s">
        <v>575</v>
      </c>
      <c r="G23" t="s">
        <v>576</v>
      </c>
      <c r="H23" t="s">
        <v>577</v>
      </c>
    </row>
    <row r="24" spans="1:8" x14ac:dyDescent="0.3">
      <c r="A24" t="s">
        <v>433</v>
      </c>
      <c r="B24" t="s">
        <v>346</v>
      </c>
      <c r="C24" t="s">
        <v>437</v>
      </c>
      <c r="D24" t="s">
        <v>438</v>
      </c>
      <c r="F24" t="s">
        <v>578</v>
      </c>
      <c r="G24" t="s">
        <v>579</v>
      </c>
      <c r="H24" t="s">
        <v>580</v>
      </c>
    </row>
    <row r="25" spans="1:8" x14ac:dyDescent="0.3">
      <c r="A25" t="s">
        <v>433</v>
      </c>
      <c r="B25" t="s">
        <v>439</v>
      </c>
      <c r="C25" t="s">
        <v>440</v>
      </c>
      <c r="D25" t="s">
        <v>441</v>
      </c>
      <c r="F25" t="s">
        <v>581</v>
      </c>
      <c r="G25" t="s">
        <v>582</v>
      </c>
      <c r="H25" t="s">
        <v>583</v>
      </c>
    </row>
    <row r="26" spans="1:8" x14ac:dyDescent="0.3">
      <c r="A26" t="s">
        <v>433</v>
      </c>
      <c r="B26" t="s">
        <v>442</v>
      </c>
      <c r="C26" t="s">
        <v>443</v>
      </c>
      <c r="D26" t="s">
        <v>444</v>
      </c>
      <c r="F26" t="s">
        <v>584</v>
      </c>
      <c r="G26" t="s">
        <v>585</v>
      </c>
      <c r="H26" t="s">
        <v>586</v>
      </c>
    </row>
    <row r="27" spans="1:8" x14ac:dyDescent="0.3">
      <c r="A27" t="s">
        <v>433</v>
      </c>
      <c r="B27" t="s">
        <v>445</v>
      </c>
      <c r="C27" t="s">
        <v>446</v>
      </c>
      <c r="D27" t="s">
        <v>447</v>
      </c>
      <c r="F27" t="s">
        <v>587</v>
      </c>
      <c r="G27" t="s">
        <v>588</v>
      </c>
      <c r="H27" t="s">
        <v>589</v>
      </c>
    </row>
    <row r="28" spans="1:8" x14ac:dyDescent="0.3">
      <c r="A28" t="s">
        <v>448</v>
      </c>
      <c r="B28" t="s">
        <v>449</v>
      </c>
      <c r="C28" t="s">
        <v>450</v>
      </c>
      <c r="D28" t="s">
        <v>451</v>
      </c>
      <c r="F28" t="s">
        <v>590</v>
      </c>
      <c r="G28" t="s">
        <v>591</v>
      </c>
      <c r="H28" t="s">
        <v>592</v>
      </c>
    </row>
    <row r="29" spans="1:8" x14ac:dyDescent="0.3">
      <c r="A29" t="s">
        <v>448</v>
      </c>
      <c r="B29" t="s">
        <v>452</v>
      </c>
      <c r="C29" t="s">
        <v>453</v>
      </c>
      <c r="D29" t="s">
        <v>454</v>
      </c>
      <c r="F29" t="s">
        <v>593</v>
      </c>
      <c r="G29" t="s">
        <v>594</v>
      </c>
      <c r="H29" t="s">
        <v>595</v>
      </c>
    </row>
    <row r="30" spans="1:8" x14ac:dyDescent="0.3">
      <c r="A30" t="s">
        <v>448</v>
      </c>
      <c r="B30" t="s">
        <v>455</v>
      </c>
      <c r="C30" t="s">
        <v>456</v>
      </c>
      <c r="D30" t="s">
        <v>457</v>
      </c>
      <c r="F30" t="s">
        <v>596</v>
      </c>
      <c r="G30" t="s">
        <v>597</v>
      </c>
      <c r="H30" t="s">
        <v>598</v>
      </c>
    </row>
    <row r="31" spans="1:8" x14ac:dyDescent="0.3">
      <c r="A31" t="s">
        <v>448</v>
      </c>
      <c r="B31" t="s">
        <v>458</v>
      </c>
      <c r="C31" t="s">
        <v>459</v>
      </c>
      <c r="D31" t="s">
        <v>460</v>
      </c>
      <c r="F31" t="s">
        <v>599</v>
      </c>
      <c r="G31" t="s">
        <v>600</v>
      </c>
      <c r="H31" t="s">
        <v>601</v>
      </c>
    </row>
    <row r="32" spans="1:8" x14ac:dyDescent="0.3">
      <c r="A32" t="s">
        <v>461</v>
      </c>
      <c r="B32" t="s">
        <v>462</v>
      </c>
      <c r="C32" t="s">
        <v>463</v>
      </c>
      <c r="D32" t="s">
        <v>464</v>
      </c>
      <c r="F32" t="s">
        <v>602</v>
      </c>
      <c r="G32" t="s">
        <v>59</v>
      </c>
      <c r="H32" t="s">
        <v>603</v>
      </c>
    </row>
    <row r="33" spans="1:8" x14ac:dyDescent="0.3">
      <c r="A33" t="s">
        <v>461</v>
      </c>
      <c r="B33" t="s">
        <v>465</v>
      </c>
      <c r="C33" t="s">
        <v>466</v>
      </c>
      <c r="D33" t="s">
        <v>467</v>
      </c>
      <c r="F33" t="s">
        <v>604</v>
      </c>
      <c r="G33" t="s">
        <v>605</v>
      </c>
      <c r="H33" t="s">
        <v>606</v>
      </c>
    </row>
    <row r="34" spans="1:8" x14ac:dyDescent="0.3">
      <c r="A34" t="s">
        <v>461</v>
      </c>
      <c r="B34" t="s">
        <v>468</v>
      </c>
      <c r="C34" t="s">
        <v>469</v>
      </c>
      <c r="D34" t="s">
        <v>470</v>
      </c>
      <c r="F34" t="s">
        <v>607</v>
      </c>
      <c r="G34" t="s">
        <v>608</v>
      </c>
      <c r="H34" t="s">
        <v>609</v>
      </c>
    </row>
    <row r="35" spans="1:8" x14ac:dyDescent="0.3">
      <c r="A35" t="s">
        <v>461</v>
      </c>
      <c r="B35" t="s">
        <v>471</v>
      </c>
      <c r="C35" t="s">
        <v>472</v>
      </c>
      <c r="D35" t="s">
        <v>473</v>
      </c>
      <c r="F35" t="s">
        <v>610</v>
      </c>
      <c r="G35" t="s">
        <v>611</v>
      </c>
      <c r="H35" t="s">
        <v>612</v>
      </c>
    </row>
    <row r="36" spans="1:8" x14ac:dyDescent="0.3">
      <c r="A36" t="s">
        <v>474</v>
      </c>
      <c r="B36" t="s">
        <v>475</v>
      </c>
      <c r="C36" t="s">
        <v>476</v>
      </c>
      <c r="D36" t="s">
        <v>477</v>
      </c>
      <c r="F36" t="s">
        <v>387</v>
      </c>
      <c r="G36" t="s">
        <v>613</v>
      </c>
      <c r="H36" t="s">
        <v>614</v>
      </c>
    </row>
    <row r="37" spans="1:8" x14ac:dyDescent="0.3">
      <c r="A37" t="s">
        <v>474</v>
      </c>
      <c r="B37" t="s">
        <v>478</v>
      </c>
      <c r="C37" t="s">
        <v>479</v>
      </c>
      <c r="D37" t="s">
        <v>480</v>
      </c>
      <c r="F37" t="s">
        <v>615</v>
      </c>
      <c r="G37" t="s">
        <v>395</v>
      </c>
      <c r="H37" t="s">
        <v>616</v>
      </c>
    </row>
    <row r="38" spans="1:8" x14ac:dyDescent="0.3">
      <c r="A38" t="s">
        <v>474</v>
      </c>
      <c r="B38" t="s">
        <v>481</v>
      </c>
      <c r="C38" t="s">
        <v>482</v>
      </c>
      <c r="D38" t="s">
        <v>483</v>
      </c>
      <c r="F38" t="s">
        <v>617</v>
      </c>
      <c r="G38" t="s">
        <v>618</v>
      </c>
      <c r="H38" t="s">
        <v>619</v>
      </c>
    </row>
    <row r="39" spans="1:8" x14ac:dyDescent="0.3">
      <c r="A39" t="s">
        <v>474</v>
      </c>
      <c r="B39" t="s">
        <v>484</v>
      </c>
      <c r="C39" t="s">
        <v>485</v>
      </c>
      <c r="D39" t="s">
        <v>486</v>
      </c>
      <c r="F39" t="s">
        <v>620</v>
      </c>
      <c r="G39" t="s">
        <v>621</v>
      </c>
      <c r="H39" t="s">
        <v>622</v>
      </c>
    </row>
    <row r="40" spans="1:8" x14ac:dyDescent="0.3">
      <c r="A40" t="s">
        <v>474</v>
      </c>
      <c r="B40" t="s">
        <v>487</v>
      </c>
      <c r="C40" t="s">
        <v>488</v>
      </c>
      <c r="D40" t="s">
        <v>489</v>
      </c>
      <c r="F40" t="s">
        <v>623</v>
      </c>
      <c r="G40" t="s">
        <v>624</v>
      </c>
      <c r="H40" t="s">
        <v>625</v>
      </c>
    </row>
    <row r="41" spans="1:8" x14ac:dyDescent="0.3">
      <c r="A41" t="s">
        <v>490</v>
      </c>
      <c r="B41" t="s">
        <v>491</v>
      </c>
      <c r="C41" t="s">
        <v>492</v>
      </c>
      <c r="D41" t="s">
        <v>493</v>
      </c>
      <c r="F41" t="s">
        <v>626</v>
      </c>
      <c r="G41" t="s">
        <v>627</v>
      </c>
      <c r="H41" t="s">
        <v>627</v>
      </c>
    </row>
    <row r="42" spans="1:8" x14ac:dyDescent="0.3">
      <c r="A42" t="s">
        <v>490</v>
      </c>
      <c r="B42" t="s">
        <v>494</v>
      </c>
      <c r="C42" t="s">
        <v>495</v>
      </c>
      <c r="D42" t="s">
        <v>496</v>
      </c>
      <c r="F42" t="s">
        <v>628</v>
      </c>
      <c r="G42" t="s">
        <v>629</v>
      </c>
      <c r="H42" t="s">
        <v>630</v>
      </c>
    </row>
    <row r="43" spans="1:8" x14ac:dyDescent="0.3">
      <c r="A43" t="s">
        <v>490</v>
      </c>
      <c r="B43" t="s">
        <v>348</v>
      </c>
      <c r="C43" t="s">
        <v>497</v>
      </c>
      <c r="D43" t="s">
        <v>498</v>
      </c>
      <c r="F43" t="s">
        <v>631</v>
      </c>
      <c r="G43" t="s">
        <v>632</v>
      </c>
      <c r="H43" t="s">
        <v>633</v>
      </c>
    </row>
    <row r="44" spans="1:8" x14ac:dyDescent="0.3">
      <c r="A44" t="s">
        <v>490</v>
      </c>
      <c r="B44" t="s">
        <v>499</v>
      </c>
      <c r="C44" t="s">
        <v>500</v>
      </c>
      <c r="D44" t="s">
        <v>501</v>
      </c>
      <c r="F44" t="s">
        <v>634</v>
      </c>
      <c r="G44" t="s">
        <v>635</v>
      </c>
      <c r="H44" t="s">
        <v>636</v>
      </c>
    </row>
    <row r="45" spans="1:8" x14ac:dyDescent="0.3">
      <c r="A45" t="s">
        <v>490</v>
      </c>
      <c r="B45" t="s">
        <v>502</v>
      </c>
      <c r="C45" t="s">
        <v>503</v>
      </c>
      <c r="D45" t="s">
        <v>504</v>
      </c>
      <c r="F45" t="s">
        <v>637</v>
      </c>
      <c r="G45" t="s">
        <v>638</v>
      </c>
      <c r="H45" t="s">
        <v>639</v>
      </c>
    </row>
    <row r="46" spans="1:8" x14ac:dyDescent="0.3">
      <c r="A46" t="s">
        <v>490</v>
      </c>
      <c r="B46" t="s">
        <v>505</v>
      </c>
      <c r="C46" t="s">
        <v>506</v>
      </c>
      <c r="D46" t="s">
        <v>507</v>
      </c>
      <c r="F46" t="s">
        <v>640</v>
      </c>
      <c r="G46" t="s">
        <v>641</v>
      </c>
      <c r="H46" t="s">
        <v>642</v>
      </c>
    </row>
    <row r="47" spans="1:8" x14ac:dyDescent="0.3">
      <c r="A47" t="s">
        <v>490</v>
      </c>
      <c r="B47" t="s">
        <v>508</v>
      </c>
      <c r="C47" t="s">
        <v>509</v>
      </c>
      <c r="D47" t="s">
        <v>510</v>
      </c>
      <c r="F47" t="s">
        <v>643</v>
      </c>
      <c r="G47" t="s">
        <v>644</v>
      </c>
      <c r="H47" t="s">
        <v>645</v>
      </c>
    </row>
    <row r="48" spans="1:8" x14ac:dyDescent="0.3">
      <c r="A48" t="s">
        <v>490</v>
      </c>
      <c r="B48" t="s">
        <v>511</v>
      </c>
      <c r="C48" t="s">
        <v>512</v>
      </c>
      <c r="D48" t="s">
        <v>513</v>
      </c>
      <c r="F48" t="s">
        <v>646</v>
      </c>
      <c r="G48" t="s">
        <v>647</v>
      </c>
      <c r="H48" t="s">
        <v>648</v>
      </c>
    </row>
    <row r="49" spans="6:8" x14ac:dyDescent="0.3">
      <c r="F49" t="s">
        <v>649</v>
      </c>
      <c r="G49" t="s">
        <v>650</v>
      </c>
      <c r="H49" t="s">
        <v>651</v>
      </c>
    </row>
    <row r="50" spans="6:8" x14ac:dyDescent="0.3">
      <c r="F50" t="s">
        <v>652</v>
      </c>
      <c r="G50" t="s">
        <v>653</v>
      </c>
      <c r="H50" t="s">
        <v>654</v>
      </c>
    </row>
    <row r="51" spans="6:8" x14ac:dyDescent="0.3">
      <c r="F51" t="s">
        <v>655</v>
      </c>
      <c r="G51" t="s">
        <v>656</v>
      </c>
      <c r="H51" t="s">
        <v>657</v>
      </c>
    </row>
    <row r="52" spans="6:8" x14ac:dyDescent="0.3">
      <c r="F52" t="s">
        <v>658</v>
      </c>
      <c r="G52" t="s">
        <v>659</v>
      </c>
      <c r="H52" t="s">
        <v>660</v>
      </c>
    </row>
    <row r="53" spans="6:8" x14ac:dyDescent="0.3">
      <c r="F53" t="s">
        <v>661</v>
      </c>
      <c r="G53" t="s">
        <v>662</v>
      </c>
      <c r="H53" t="s">
        <v>663</v>
      </c>
    </row>
    <row r="54" spans="6:8" x14ac:dyDescent="0.3">
      <c r="F54" t="s">
        <v>664</v>
      </c>
      <c r="G54" t="s">
        <v>665</v>
      </c>
      <c r="H54" t="s">
        <v>666</v>
      </c>
    </row>
    <row r="55" spans="6:8" x14ac:dyDescent="0.3">
      <c r="F55" t="s">
        <v>667</v>
      </c>
      <c r="G55" t="s">
        <v>668</v>
      </c>
      <c r="H55" t="s">
        <v>669</v>
      </c>
    </row>
    <row r="56" spans="6:8" x14ac:dyDescent="0.3">
      <c r="F56" t="s">
        <v>670</v>
      </c>
      <c r="G56" t="s">
        <v>671</v>
      </c>
      <c r="H56" t="s">
        <v>672</v>
      </c>
    </row>
    <row r="57" spans="6:8" x14ac:dyDescent="0.3">
      <c r="F57" t="s">
        <v>65</v>
      </c>
      <c r="G57" t="s">
        <v>673</v>
      </c>
      <c r="H57" t="s">
        <v>674</v>
      </c>
    </row>
    <row r="58" spans="6:8" x14ac:dyDescent="0.3">
      <c r="F58" t="s">
        <v>675</v>
      </c>
      <c r="G58" t="s">
        <v>676</v>
      </c>
      <c r="H58" t="s">
        <v>677</v>
      </c>
    </row>
    <row r="59" spans="6:8" x14ac:dyDescent="0.3">
      <c r="F59" t="s">
        <v>678</v>
      </c>
      <c r="G59" t="s">
        <v>679</v>
      </c>
      <c r="H59" t="s">
        <v>680</v>
      </c>
    </row>
    <row r="60" spans="6:8" x14ac:dyDescent="0.3">
      <c r="F60" t="s">
        <v>362</v>
      </c>
      <c r="G60" t="s">
        <v>681</v>
      </c>
      <c r="H60" t="s">
        <v>682</v>
      </c>
    </row>
    <row r="61" spans="6:8" x14ac:dyDescent="0.3">
      <c r="F61" t="s">
        <v>683</v>
      </c>
      <c r="G61" t="s">
        <v>684</v>
      </c>
      <c r="H61" t="s">
        <v>685</v>
      </c>
    </row>
    <row r="62" spans="6:8" x14ac:dyDescent="0.3">
      <c r="F62" t="s">
        <v>686</v>
      </c>
      <c r="G62" t="s">
        <v>376</v>
      </c>
      <c r="H62" t="s">
        <v>687</v>
      </c>
    </row>
    <row r="63" spans="6:8" x14ac:dyDescent="0.3">
      <c r="F63" t="s">
        <v>688</v>
      </c>
      <c r="G63" t="s">
        <v>689</v>
      </c>
      <c r="H63" t="s">
        <v>690</v>
      </c>
    </row>
    <row r="64" spans="6:8" x14ac:dyDescent="0.3">
      <c r="F64" t="s">
        <v>691</v>
      </c>
      <c r="G64" t="s">
        <v>692</v>
      </c>
      <c r="H64" t="s">
        <v>693</v>
      </c>
    </row>
    <row r="65" spans="6:8" x14ac:dyDescent="0.3">
      <c r="F65" t="s">
        <v>694</v>
      </c>
      <c r="G65" t="s">
        <v>695</v>
      </c>
      <c r="H65" t="s">
        <v>695</v>
      </c>
    </row>
    <row r="66" spans="6:8" x14ac:dyDescent="0.3">
      <c r="F66" t="s">
        <v>696</v>
      </c>
      <c r="G66" t="s">
        <v>697</v>
      </c>
      <c r="H66" t="s">
        <v>698</v>
      </c>
    </row>
    <row r="67" spans="6:8" x14ac:dyDescent="0.3">
      <c r="F67" t="s">
        <v>699</v>
      </c>
      <c r="G67" t="s">
        <v>700</v>
      </c>
      <c r="H67" t="s">
        <v>701</v>
      </c>
    </row>
    <row r="68" spans="6:8" x14ac:dyDescent="0.3">
      <c r="F68" t="s">
        <v>702</v>
      </c>
      <c r="G68" t="s">
        <v>703</v>
      </c>
      <c r="H68" t="s">
        <v>704</v>
      </c>
    </row>
    <row r="69" spans="6:8" x14ac:dyDescent="0.3">
      <c r="F69" t="s">
        <v>705</v>
      </c>
      <c r="G69" t="s">
        <v>706</v>
      </c>
      <c r="H69" t="s">
        <v>707</v>
      </c>
    </row>
    <row r="70" spans="6:8" x14ac:dyDescent="0.3">
      <c r="F70" t="s">
        <v>708</v>
      </c>
      <c r="G70" t="s">
        <v>709</v>
      </c>
      <c r="H70" t="s">
        <v>710</v>
      </c>
    </row>
    <row r="71" spans="6:8" x14ac:dyDescent="0.3">
      <c r="F71" t="s">
        <v>711</v>
      </c>
      <c r="G71" t="s">
        <v>712</v>
      </c>
      <c r="H71" t="s">
        <v>712</v>
      </c>
    </row>
    <row r="72" spans="6:8" x14ac:dyDescent="0.3">
      <c r="F72" t="s">
        <v>713</v>
      </c>
      <c r="G72" t="s">
        <v>714</v>
      </c>
      <c r="H72" t="s">
        <v>715</v>
      </c>
    </row>
    <row r="73" spans="6:8" x14ac:dyDescent="0.3">
      <c r="F73" t="s">
        <v>716</v>
      </c>
      <c r="G73" t="s">
        <v>717</v>
      </c>
      <c r="H73" t="s">
        <v>718</v>
      </c>
    </row>
    <row r="74" spans="6:8" x14ac:dyDescent="0.3">
      <c r="F74" t="s">
        <v>719</v>
      </c>
      <c r="G74" t="s">
        <v>720</v>
      </c>
      <c r="H74" t="s">
        <v>721</v>
      </c>
    </row>
    <row r="75" spans="6:8" x14ac:dyDescent="0.3">
      <c r="F75" t="s">
        <v>722</v>
      </c>
      <c r="G75" t="s">
        <v>723</v>
      </c>
      <c r="H75" t="s">
        <v>724</v>
      </c>
    </row>
    <row r="76" spans="6:8" x14ac:dyDescent="0.3">
      <c r="F76" t="s">
        <v>725</v>
      </c>
      <c r="G76" t="s">
        <v>726</v>
      </c>
      <c r="H76" t="s">
        <v>727</v>
      </c>
    </row>
    <row r="77" spans="6:8" x14ac:dyDescent="0.3">
      <c r="F77" t="s">
        <v>728</v>
      </c>
      <c r="G77" t="s">
        <v>729</v>
      </c>
      <c r="H77" t="s">
        <v>730</v>
      </c>
    </row>
    <row r="78" spans="6:8" x14ac:dyDescent="0.3">
      <c r="F78" t="s">
        <v>731</v>
      </c>
      <c r="G78" t="s">
        <v>732</v>
      </c>
      <c r="H78" t="s">
        <v>733</v>
      </c>
    </row>
    <row r="79" spans="6:8" x14ac:dyDescent="0.3">
      <c r="F79" t="s">
        <v>734</v>
      </c>
      <c r="G79" t="s">
        <v>735</v>
      </c>
      <c r="H79" t="s">
        <v>736</v>
      </c>
    </row>
    <row r="80" spans="6:8" x14ac:dyDescent="0.3">
      <c r="F80" t="s">
        <v>1</v>
      </c>
      <c r="G80" t="s">
        <v>1</v>
      </c>
      <c r="H80" t="s">
        <v>737</v>
      </c>
    </row>
    <row r="81" spans="6:8" x14ac:dyDescent="0.3">
      <c r="F81" t="s">
        <v>738</v>
      </c>
      <c r="G81" t="s">
        <v>2</v>
      </c>
      <c r="H81" t="s">
        <v>2</v>
      </c>
    </row>
    <row r="82" spans="6:8" x14ac:dyDescent="0.3">
      <c r="F82" t="s">
        <v>739</v>
      </c>
      <c r="G82" t="s">
        <v>740</v>
      </c>
      <c r="H82" t="s">
        <v>741</v>
      </c>
    </row>
    <row r="83" spans="6:8" x14ac:dyDescent="0.3">
      <c r="F83" t="s">
        <v>0</v>
      </c>
      <c r="G83" t="s">
        <v>742</v>
      </c>
      <c r="H83" t="s">
        <v>743</v>
      </c>
    </row>
    <row r="84" spans="6:8" x14ac:dyDescent="0.3">
      <c r="F84" t="s">
        <v>744</v>
      </c>
      <c r="G84" t="s">
        <v>745</v>
      </c>
      <c r="H84" t="s">
        <v>746</v>
      </c>
    </row>
    <row r="85" spans="6:8" x14ac:dyDescent="0.3">
      <c r="F85" t="s">
        <v>747</v>
      </c>
      <c r="G85" t="s">
        <v>748</v>
      </c>
      <c r="H85" t="s">
        <v>749</v>
      </c>
    </row>
    <row r="86" spans="6:8" x14ac:dyDescent="0.3">
      <c r="F86" t="s">
        <v>750</v>
      </c>
      <c r="G86" t="s">
        <v>751</v>
      </c>
      <c r="H86" t="s">
        <v>752</v>
      </c>
    </row>
    <row r="87" spans="6:8" x14ac:dyDescent="0.3">
      <c r="F87" t="s">
        <v>55</v>
      </c>
      <c r="G87" t="s">
        <v>753</v>
      </c>
      <c r="H87" t="s">
        <v>754</v>
      </c>
    </row>
    <row r="88" spans="6:8" x14ac:dyDescent="0.3">
      <c r="F88" t="s">
        <v>755</v>
      </c>
      <c r="G88" t="s">
        <v>756</v>
      </c>
      <c r="H88" t="s">
        <v>757</v>
      </c>
    </row>
    <row r="89" spans="6:8" x14ac:dyDescent="0.3">
      <c r="F89" t="s">
        <v>758</v>
      </c>
      <c r="G89" t="s">
        <v>759</v>
      </c>
      <c r="H89" t="s">
        <v>760</v>
      </c>
    </row>
    <row r="90" spans="6:8" x14ac:dyDescent="0.3">
      <c r="F90" t="s">
        <v>761</v>
      </c>
      <c r="G90" t="s">
        <v>762</v>
      </c>
      <c r="H90" t="s">
        <v>763</v>
      </c>
    </row>
    <row r="91" spans="6:8" x14ac:dyDescent="0.3">
      <c r="F91" t="s">
        <v>764</v>
      </c>
      <c r="G91" t="s">
        <v>765</v>
      </c>
      <c r="H91" t="s">
        <v>766</v>
      </c>
    </row>
    <row r="92" spans="6:8" x14ac:dyDescent="0.3">
      <c r="F92" t="s">
        <v>767</v>
      </c>
      <c r="G92" t="s">
        <v>768</v>
      </c>
      <c r="H92" t="s">
        <v>769</v>
      </c>
    </row>
    <row r="93" spans="6:8" x14ac:dyDescent="0.3">
      <c r="F93" t="s">
        <v>770</v>
      </c>
      <c r="G93" t="s">
        <v>771</v>
      </c>
      <c r="H93" t="s">
        <v>772</v>
      </c>
    </row>
    <row r="94" spans="6:8" x14ac:dyDescent="0.3">
      <c r="F94" t="s">
        <v>773</v>
      </c>
      <c r="G94" t="s">
        <v>774</v>
      </c>
      <c r="H94" t="s">
        <v>775</v>
      </c>
    </row>
    <row r="95" spans="6:8" x14ac:dyDescent="0.3">
      <c r="F95" t="s">
        <v>776</v>
      </c>
      <c r="G95" t="s">
        <v>32</v>
      </c>
      <c r="H95" t="s">
        <v>777</v>
      </c>
    </row>
    <row r="96" spans="6:8" x14ac:dyDescent="0.3">
      <c r="F96" t="s">
        <v>778</v>
      </c>
      <c r="G96" t="s">
        <v>779</v>
      </c>
      <c r="H96" t="s">
        <v>780</v>
      </c>
    </row>
    <row r="97" spans="6:8" x14ac:dyDescent="0.3">
      <c r="F97" t="s">
        <v>781</v>
      </c>
      <c r="G97" t="s">
        <v>782</v>
      </c>
      <c r="H97" t="s">
        <v>783</v>
      </c>
    </row>
    <row r="98" spans="6:8" x14ac:dyDescent="0.3">
      <c r="F98" t="s">
        <v>784</v>
      </c>
      <c r="G98" t="s">
        <v>785</v>
      </c>
      <c r="H98" t="s">
        <v>786</v>
      </c>
    </row>
    <row r="99" spans="6:8" x14ac:dyDescent="0.3">
      <c r="F99" t="s">
        <v>787</v>
      </c>
      <c r="G99" t="s">
        <v>788</v>
      </c>
      <c r="H99" t="s">
        <v>789</v>
      </c>
    </row>
    <row r="100" spans="6:8" x14ac:dyDescent="0.3">
      <c r="F100" t="s">
        <v>790</v>
      </c>
      <c r="G100" t="s">
        <v>791</v>
      </c>
      <c r="H100" t="s">
        <v>792</v>
      </c>
    </row>
    <row r="101" spans="6:8" x14ac:dyDescent="0.3">
      <c r="F101" t="s">
        <v>793</v>
      </c>
      <c r="G101" t="s">
        <v>794</v>
      </c>
      <c r="H101" t="s">
        <v>1419</v>
      </c>
    </row>
    <row r="102" spans="6:8" x14ac:dyDescent="0.3">
      <c r="F102" t="s">
        <v>795</v>
      </c>
      <c r="G102" t="s">
        <v>796</v>
      </c>
      <c r="H102" t="s">
        <v>797</v>
      </c>
    </row>
    <row r="103" spans="6:8" x14ac:dyDescent="0.3">
      <c r="F103" t="s">
        <v>798</v>
      </c>
      <c r="G103" t="s">
        <v>799</v>
      </c>
      <c r="H103" t="s">
        <v>800</v>
      </c>
    </row>
    <row r="104" spans="6:8" x14ac:dyDescent="0.3">
      <c r="F104" t="s">
        <v>801</v>
      </c>
      <c r="G104" t="s">
        <v>802</v>
      </c>
      <c r="H104" t="s">
        <v>803</v>
      </c>
    </row>
    <row r="105" spans="6:8" x14ac:dyDescent="0.3">
      <c r="F105" t="s">
        <v>804</v>
      </c>
      <c r="G105" t="s">
        <v>805</v>
      </c>
      <c r="H105" t="s">
        <v>806</v>
      </c>
    </row>
    <row r="106" spans="6:8" x14ac:dyDescent="0.3">
      <c r="F106" t="s">
        <v>807</v>
      </c>
      <c r="G106" t="s">
        <v>808</v>
      </c>
      <c r="H106" t="s">
        <v>809</v>
      </c>
    </row>
    <row r="107" spans="6:8" x14ac:dyDescent="0.3">
      <c r="F107" t="s">
        <v>810</v>
      </c>
      <c r="G107" t="s">
        <v>811</v>
      </c>
      <c r="H107" t="s">
        <v>812</v>
      </c>
    </row>
    <row r="108" spans="6:8" x14ac:dyDescent="0.3">
      <c r="F108" t="s">
        <v>813</v>
      </c>
      <c r="G108" t="s">
        <v>814</v>
      </c>
      <c r="H108" t="s">
        <v>815</v>
      </c>
    </row>
    <row r="109" spans="6:8" x14ac:dyDescent="0.3">
      <c r="F109" t="s">
        <v>816</v>
      </c>
      <c r="G109" t="s">
        <v>817</v>
      </c>
      <c r="H109" t="s">
        <v>818</v>
      </c>
    </row>
    <row r="110" spans="6:8" x14ac:dyDescent="0.3">
      <c r="F110" t="s">
        <v>819</v>
      </c>
      <c r="G110" t="s">
        <v>820</v>
      </c>
      <c r="H110" t="s">
        <v>1420</v>
      </c>
    </row>
    <row r="111" spans="6:8" x14ac:dyDescent="0.3">
      <c r="F111" t="s">
        <v>821</v>
      </c>
      <c r="G111" t="s">
        <v>822</v>
      </c>
      <c r="H111" t="s">
        <v>823</v>
      </c>
    </row>
    <row r="112" spans="6:8" x14ac:dyDescent="0.3">
      <c r="F112" t="s">
        <v>824</v>
      </c>
      <c r="G112" t="s">
        <v>825</v>
      </c>
      <c r="H112" t="s">
        <v>826</v>
      </c>
    </row>
    <row r="113" spans="6:8" x14ac:dyDescent="0.3">
      <c r="F113" t="s">
        <v>827</v>
      </c>
      <c r="G113" t="s">
        <v>828</v>
      </c>
      <c r="H113" t="s">
        <v>829</v>
      </c>
    </row>
    <row r="114" spans="6:8" x14ac:dyDescent="0.3">
      <c r="F114" t="s">
        <v>830</v>
      </c>
      <c r="G114" t="s">
        <v>831</v>
      </c>
      <c r="H114" t="s">
        <v>832</v>
      </c>
    </row>
    <row r="115" spans="6:8" x14ac:dyDescent="0.3">
      <c r="F115" t="s">
        <v>833</v>
      </c>
      <c r="G115" t="s">
        <v>834</v>
      </c>
      <c r="H115" t="s">
        <v>835</v>
      </c>
    </row>
    <row r="116" spans="6:8" x14ac:dyDescent="0.3">
      <c r="F116" t="s">
        <v>836</v>
      </c>
      <c r="G116" t="s">
        <v>837</v>
      </c>
      <c r="H116" t="s">
        <v>838</v>
      </c>
    </row>
    <row r="117" spans="6:8" x14ac:dyDescent="0.3">
      <c r="F117" t="s">
        <v>839</v>
      </c>
      <c r="G117" t="s">
        <v>840</v>
      </c>
      <c r="H117" t="s">
        <v>841</v>
      </c>
    </row>
    <row r="118" spans="6:8" x14ac:dyDescent="0.3">
      <c r="F118" t="s">
        <v>842</v>
      </c>
      <c r="G118" t="s">
        <v>843</v>
      </c>
      <c r="H118" t="s">
        <v>844</v>
      </c>
    </row>
    <row r="119" spans="6:8" x14ac:dyDescent="0.3">
      <c r="F119" t="s">
        <v>845</v>
      </c>
      <c r="G119" t="s">
        <v>846</v>
      </c>
      <c r="H119" t="s">
        <v>847</v>
      </c>
    </row>
    <row r="120" spans="6:8" x14ac:dyDescent="0.3">
      <c r="F120" t="s">
        <v>848</v>
      </c>
      <c r="G120" t="s">
        <v>849</v>
      </c>
      <c r="H120" t="s">
        <v>850</v>
      </c>
    </row>
    <row r="121" spans="6:8" x14ac:dyDescent="0.3">
      <c r="F121" t="s">
        <v>851</v>
      </c>
      <c r="G121" t="s">
        <v>852</v>
      </c>
      <c r="H121" t="s">
        <v>853</v>
      </c>
    </row>
    <row r="122" spans="6:8" x14ac:dyDescent="0.3">
      <c r="F122" t="s">
        <v>854</v>
      </c>
      <c r="G122" t="s">
        <v>855</v>
      </c>
      <c r="H122" t="s">
        <v>856</v>
      </c>
    </row>
    <row r="123" spans="6:8" x14ac:dyDescent="0.3">
      <c r="F123" t="s">
        <v>857</v>
      </c>
      <c r="G123" t="s">
        <v>858</v>
      </c>
      <c r="H123" t="s">
        <v>859</v>
      </c>
    </row>
    <row r="124" spans="6:8" x14ac:dyDescent="0.3">
      <c r="F124" t="s">
        <v>860</v>
      </c>
      <c r="G124" t="s">
        <v>861</v>
      </c>
      <c r="H124" t="s">
        <v>862</v>
      </c>
    </row>
    <row r="125" spans="6:8" x14ac:dyDescent="0.3">
      <c r="F125" t="s">
        <v>863</v>
      </c>
      <c r="G125" t="s">
        <v>864</v>
      </c>
      <c r="H125" t="s">
        <v>865</v>
      </c>
    </row>
    <row r="126" spans="6:8" x14ac:dyDescent="0.3">
      <c r="F126" t="s">
        <v>866</v>
      </c>
      <c r="G126" t="s">
        <v>867</v>
      </c>
      <c r="H126" t="s">
        <v>868</v>
      </c>
    </row>
    <row r="127" spans="6:8" x14ac:dyDescent="0.3">
      <c r="F127" t="s">
        <v>869</v>
      </c>
      <c r="G127" t="s">
        <v>4</v>
      </c>
      <c r="H127" t="s">
        <v>4</v>
      </c>
    </row>
    <row r="128" spans="6:8" x14ac:dyDescent="0.3">
      <c r="F128" t="s">
        <v>870</v>
      </c>
      <c r="G128" t="s">
        <v>871</v>
      </c>
      <c r="H128" t="s">
        <v>872</v>
      </c>
    </row>
    <row r="129" spans="6:8" x14ac:dyDescent="0.3">
      <c r="F129" t="s">
        <v>873</v>
      </c>
      <c r="G129" t="s">
        <v>874</v>
      </c>
      <c r="H129" t="s">
        <v>875</v>
      </c>
    </row>
    <row r="130" spans="6:8" x14ac:dyDescent="0.3">
      <c r="F130" t="s">
        <v>56</v>
      </c>
      <c r="G130" t="s">
        <v>876</v>
      </c>
      <c r="H130" t="s">
        <v>877</v>
      </c>
    </row>
    <row r="131" spans="6:8" x14ac:dyDescent="0.3">
      <c r="F131" t="s">
        <v>878</v>
      </c>
      <c r="G131" t="s">
        <v>879</v>
      </c>
      <c r="H131" t="s">
        <v>880</v>
      </c>
    </row>
    <row r="132" spans="6:8" x14ac:dyDescent="0.3">
      <c r="F132" t="s">
        <v>881</v>
      </c>
      <c r="G132" t="s">
        <v>882</v>
      </c>
      <c r="H132" t="s">
        <v>883</v>
      </c>
    </row>
    <row r="133" spans="6:8" x14ac:dyDescent="0.3">
      <c r="F133" t="s">
        <v>884</v>
      </c>
      <c r="G133" t="s">
        <v>885</v>
      </c>
      <c r="H133" t="s">
        <v>886</v>
      </c>
    </row>
    <row r="134" spans="6:8" x14ac:dyDescent="0.3">
      <c r="F134" t="s">
        <v>887</v>
      </c>
      <c r="G134" t="s">
        <v>888</v>
      </c>
      <c r="H134" t="s">
        <v>889</v>
      </c>
    </row>
    <row r="135" spans="6:8" x14ac:dyDescent="0.3">
      <c r="F135" t="s">
        <v>890</v>
      </c>
      <c r="G135" t="s">
        <v>891</v>
      </c>
      <c r="H135" t="s">
        <v>891</v>
      </c>
    </row>
    <row r="136" spans="6:8" x14ac:dyDescent="0.3">
      <c r="F136" t="s">
        <v>892</v>
      </c>
      <c r="G136" t="s">
        <v>893</v>
      </c>
      <c r="H136" t="s">
        <v>894</v>
      </c>
    </row>
    <row r="137" spans="6:8" x14ac:dyDescent="0.3">
      <c r="F137" t="s">
        <v>895</v>
      </c>
      <c r="G137" t="s">
        <v>896</v>
      </c>
      <c r="H137" t="s">
        <v>897</v>
      </c>
    </row>
    <row r="138" spans="6:8" x14ac:dyDescent="0.3">
      <c r="F138" t="s">
        <v>898</v>
      </c>
      <c r="G138" t="s">
        <v>899</v>
      </c>
      <c r="H138" t="s">
        <v>900</v>
      </c>
    </row>
    <row r="139" spans="6:8" x14ac:dyDescent="0.3">
      <c r="F139" t="s">
        <v>54</v>
      </c>
      <c r="G139" t="s">
        <v>901</v>
      </c>
      <c r="H139" t="s">
        <v>902</v>
      </c>
    </row>
    <row r="140" spans="6:8" x14ac:dyDescent="0.3">
      <c r="F140" t="s">
        <v>903</v>
      </c>
      <c r="G140" t="s">
        <v>904</v>
      </c>
      <c r="H140" t="s">
        <v>905</v>
      </c>
    </row>
    <row r="141" spans="6:8" x14ac:dyDescent="0.3">
      <c r="F141" t="s">
        <v>906</v>
      </c>
      <c r="G141" t="s">
        <v>907</v>
      </c>
      <c r="H141" t="s">
        <v>908</v>
      </c>
    </row>
    <row r="142" spans="6:8" x14ac:dyDescent="0.3">
      <c r="F142" t="s">
        <v>909</v>
      </c>
      <c r="G142" t="s">
        <v>910</v>
      </c>
      <c r="H142" t="s">
        <v>911</v>
      </c>
    </row>
    <row r="143" spans="6:8" x14ac:dyDescent="0.3">
      <c r="F143" t="s">
        <v>912</v>
      </c>
      <c r="G143" t="s">
        <v>913</v>
      </c>
      <c r="H143" t="s">
        <v>914</v>
      </c>
    </row>
    <row r="144" spans="6:8" x14ac:dyDescent="0.3">
      <c r="F144" t="s">
        <v>915</v>
      </c>
      <c r="G144" t="s">
        <v>916</v>
      </c>
      <c r="H144" t="s">
        <v>917</v>
      </c>
    </row>
    <row r="145" spans="6:8" x14ac:dyDescent="0.3">
      <c r="F145" t="s">
        <v>918</v>
      </c>
      <c r="G145" t="s">
        <v>919</v>
      </c>
      <c r="H145" t="s">
        <v>920</v>
      </c>
    </row>
    <row r="146" spans="6:8" x14ac:dyDescent="0.3">
      <c r="F146" t="s">
        <v>921</v>
      </c>
      <c r="G146" t="s">
        <v>922</v>
      </c>
      <c r="H146" t="s">
        <v>923</v>
      </c>
    </row>
    <row r="147" spans="6:8" x14ac:dyDescent="0.3">
      <c r="F147" t="s">
        <v>924</v>
      </c>
      <c r="G147" t="s">
        <v>925</v>
      </c>
      <c r="H147" t="s">
        <v>926</v>
      </c>
    </row>
    <row r="148" spans="6:8" x14ac:dyDescent="0.3">
      <c r="F148" t="s">
        <v>927</v>
      </c>
      <c r="G148" t="s">
        <v>928</v>
      </c>
      <c r="H148" t="s">
        <v>929</v>
      </c>
    </row>
    <row r="149" spans="6:8" x14ac:dyDescent="0.3">
      <c r="F149" t="s">
        <v>930</v>
      </c>
      <c r="G149" t="s">
        <v>931</v>
      </c>
      <c r="H149" t="s">
        <v>932</v>
      </c>
    </row>
    <row r="150" spans="6:8" x14ac:dyDescent="0.3">
      <c r="F150" t="s">
        <v>933</v>
      </c>
      <c r="G150" t="s">
        <v>934</v>
      </c>
      <c r="H150" t="s">
        <v>935</v>
      </c>
    </row>
    <row r="151" spans="6:8" x14ac:dyDescent="0.3">
      <c r="F151" t="s">
        <v>936</v>
      </c>
      <c r="G151" t="s">
        <v>937</v>
      </c>
      <c r="H151" t="s">
        <v>938</v>
      </c>
    </row>
    <row r="152" spans="6:8" x14ac:dyDescent="0.3">
      <c r="F152" t="s">
        <v>939</v>
      </c>
      <c r="G152" t="s">
        <v>940</v>
      </c>
      <c r="H152" t="s">
        <v>941</v>
      </c>
    </row>
    <row r="153" spans="6:8" x14ac:dyDescent="0.3">
      <c r="F153" t="s">
        <v>942</v>
      </c>
      <c r="G153" t="s">
        <v>943</v>
      </c>
      <c r="H153" t="s">
        <v>944</v>
      </c>
    </row>
    <row r="154" spans="6:8" x14ac:dyDescent="0.3">
      <c r="F154" t="s">
        <v>945</v>
      </c>
      <c r="G154" t="s">
        <v>946</v>
      </c>
      <c r="H154" t="s">
        <v>947</v>
      </c>
    </row>
    <row r="155" spans="6:8" x14ac:dyDescent="0.3">
      <c r="F155" t="s">
        <v>948</v>
      </c>
      <c r="G155" t="s">
        <v>949</v>
      </c>
      <c r="H155" t="s">
        <v>950</v>
      </c>
    </row>
    <row r="156" spans="6:8" x14ac:dyDescent="0.3">
      <c r="F156" t="s">
        <v>951</v>
      </c>
      <c r="G156" t="s">
        <v>952</v>
      </c>
      <c r="H156" t="s">
        <v>953</v>
      </c>
    </row>
    <row r="157" spans="6:8" x14ac:dyDescent="0.3">
      <c r="F157" t="s">
        <v>954</v>
      </c>
      <c r="G157" t="s">
        <v>955</v>
      </c>
      <c r="H157" t="s">
        <v>956</v>
      </c>
    </row>
    <row r="158" spans="6:8" x14ac:dyDescent="0.3">
      <c r="F158" t="s">
        <v>957</v>
      </c>
      <c r="G158" t="s">
        <v>958</v>
      </c>
      <c r="H158" t="s">
        <v>959</v>
      </c>
    </row>
    <row r="159" spans="6:8" x14ac:dyDescent="0.3">
      <c r="F159" t="s">
        <v>960</v>
      </c>
      <c r="G159" t="s">
        <v>961</v>
      </c>
      <c r="H159" t="s">
        <v>962</v>
      </c>
    </row>
    <row r="160" spans="6:8" x14ac:dyDescent="0.3">
      <c r="F160" t="s">
        <v>963</v>
      </c>
      <c r="G160" t="s">
        <v>964</v>
      </c>
      <c r="H160" t="s">
        <v>965</v>
      </c>
    </row>
    <row r="161" spans="6:8" x14ac:dyDescent="0.3">
      <c r="F161" t="s">
        <v>966</v>
      </c>
      <c r="G161" t="s">
        <v>967</v>
      </c>
      <c r="H161" t="s">
        <v>968</v>
      </c>
    </row>
    <row r="162" spans="6:8" x14ac:dyDescent="0.3">
      <c r="F162" t="s">
        <v>969</v>
      </c>
      <c r="G162" t="s">
        <v>970</v>
      </c>
      <c r="H162" t="s">
        <v>971</v>
      </c>
    </row>
    <row r="163" spans="6:8" x14ac:dyDescent="0.3">
      <c r="F163" t="s">
        <v>972</v>
      </c>
      <c r="G163" t="s">
        <v>973</v>
      </c>
      <c r="H163" t="s">
        <v>974</v>
      </c>
    </row>
    <row r="164" spans="6:8" x14ac:dyDescent="0.3">
      <c r="F164" t="s">
        <v>361</v>
      </c>
      <c r="G164" t="s">
        <v>975</v>
      </c>
      <c r="H164" t="s">
        <v>976</v>
      </c>
    </row>
    <row r="165" spans="6:8" x14ac:dyDescent="0.3">
      <c r="F165" t="s">
        <v>977</v>
      </c>
      <c r="G165" t="s">
        <v>978</v>
      </c>
      <c r="H165" t="s">
        <v>979</v>
      </c>
    </row>
    <row r="166" spans="6:8" x14ac:dyDescent="0.3">
      <c r="F166" t="s">
        <v>980</v>
      </c>
      <c r="G166" t="s">
        <v>981</v>
      </c>
      <c r="H166" t="s">
        <v>982</v>
      </c>
    </row>
    <row r="167" spans="6:8" x14ac:dyDescent="0.3">
      <c r="F167" t="s">
        <v>983</v>
      </c>
      <c r="G167" t="s">
        <v>984</v>
      </c>
      <c r="H167" t="s">
        <v>985</v>
      </c>
    </row>
    <row r="168" spans="6:8" x14ac:dyDescent="0.3">
      <c r="F168" t="s">
        <v>986</v>
      </c>
      <c r="G168" t="s">
        <v>987</v>
      </c>
      <c r="H168" t="s">
        <v>988</v>
      </c>
    </row>
    <row r="169" spans="6:8" x14ac:dyDescent="0.3">
      <c r="F169" t="s">
        <v>989</v>
      </c>
      <c r="G169" t="s">
        <v>990</v>
      </c>
      <c r="H169" t="s">
        <v>991</v>
      </c>
    </row>
    <row r="170" spans="6:8" x14ac:dyDescent="0.3">
      <c r="F170" t="s">
        <v>992</v>
      </c>
      <c r="G170" t="s">
        <v>993</v>
      </c>
      <c r="H170" t="s">
        <v>994</v>
      </c>
    </row>
    <row r="171" spans="6:8" x14ac:dyDescent="0.3">
      <c r="F171" t="s">
        <v>995</v>
      </c>
      <c r="G171" t="s">
        <v>996</v>
      </c>
      <c r="H171" t="s">
        <v>997</v>
      </c>
    </row>
    <row r="172" spans="6:8" x14ac:dyDescent="0.3">
      <c r="F172" t="s">
        <v>998</v>
      </c>
      <c r="G172" t="s">
        <v>999</v>
      </c>
      <c r="H172" t="s">
        <v>1000</v>
      </c>
    </row>
    <row r="173" spans="6:8" x14ac:dyDescent="0.3">
      <c r="F173" t="s">
        <v>1001</v>
      </c>
      <c r="G173" t="s">
        <v>1002</v>
      </c>
      <c r="H173" t="s">
        <v>1003</v>
      </c>
    </row>
    <row r="174" spans="6:8" x14ac:dyDescent="0.3">
      <c r="F174" t="s">
        <v>1004</v>
      </c>
      <c r="G174" t="s">
        <v>1005</v>
      </c>
      <c r="H174" t="s">
        <v>1006</v>
      </c>
    </row>
    <row r="175" spans="6:8" x14ac:dyDescent="0.3">
      <c r="F175" t="s">
        <v>1007</v>
      </c>
      <c r="G175" t="s">
        <v>1008</v>
      </c>
      <c r="H175" t="s">
        <v>1009</v>
      </c>
    </row>
    <row r="176" spans="6:8" x14ac:dyDescent="0.3">
      <c r="F176" t="s">
        <v>1010</v>
      </c>
      <c r="G176" t="s">
        <v>1011</v>
      </c>
      <c r="H176" t="s">
        <v>1012</v>
      </c>
    </row>
    <row r="177" spans="6:8" x14ac:dyDescent="0.3">
      <c r="F177" t="s">
        <v>1013</v>
      </c>
      <c r="G177" t="s">
        <v>1014</v>
      </c>
      <c r="H177" t="s">
        <v>1015</v>
      </c>
    </row>
    <row r="178" spans="6:8" x14ac:dyDescent="0.3">
      <c r="F178" t="s">
        <v>1016</v>
      </c>
      <c r="G178" t="s">
        <v>1017</v>
      </c>
      <c r="H178" t="s">
        <v>1018</v>
      </c>
    </row>
    <row r="179" spans="6:8" x14ac:dyDescent="0.3">
      <c r="F179" t="s">
        <v>1019</v>
      </c>
      <c r="G179" t="s">
        <v>1020</v>
      </c>
      <c r="H179" t="s">
        <v>1021</v>
      </c>
    </row>
    <row r="180" spans="6:8" x14ac:dyDescent="0.3">
      <c r="F180" t="s">
        <v>1022</v>
      </c>
      <c r="G180" t="s">
        <v>1023</v>
      </c>
      <c r="H180" t="s">
        <v>1024</v>
      </c>
    </row>
    <row r="181" spans="6:8" x14ac:dyDescent="0.3">
      <c r="F181" t="s">
        <v>1025</v>
      </c>
      <c r="G181" t="s">
        <v>1026</v>
      </c>
      <c r="H181" t="s">
        <v>1027</v>
      </c>
    </row>
    <row r="182" spans="6:8" x14ac:dyDescent="0.3">
      <c r="F182" t="s">
        <v>1028</v>
      </c>
      <c r="G182" t="s">
        <v>1029</v>
      </c>
      <c r="H182" t="s">
        <v>1030</v>
      </c>
    </row>
    <row r="183" spans="6:8" x14ac:dyDescent="0.3">
      <c r="F183" t="s">
        <v>1031</v>
      </c>
      <c r="G183" t="s">
        <v>1032</v>
      </c>
      <c r="H183" t="s">
        <v>1033</v>
      </c>
    </row>
    <row r="184" spans="6:8" x14ac:dyDescent="0.3">
      <c r="F184" t="s">
        <v>1034</v>
      </c>
      <c r="G184" t="s">
        <v>1035</v>
      </c>
      <c r="H184" t="s">
        <v>1036</v>
      </c>
    </row>
    <row r="185" spans="6:8" x14ac:dyDescent="0.3">
      <c r="F185" t="s">
        <v>1037</v>
      </c>
      <c r="G185" t="s">
        <v>1038</v>
      </c>
      <c r="H185" t="s">
        <v>1039</v>
      </c>
    </row>
    <row r="186" spans="6:8" x14ac:dyDescent="0.3">
      <c r="F186" t="s">
        <v>1040</v>
      </c>
      <c r="G186" t="s">
        <v>1041</v>
      </c>
      <c r="H186" t="s">
        <v>1042</v>
      </c>
    </row>
    <row r="187" spans="6:8" x14ac:dyDescent="0.3">
      <c r="F187" t="s">
        <v>1043</v>
      </c>
      <c r="G187" t="s">
        <v>1044</v>
      </c>
      <c r="H187" t="s">
        <v>1045</v>
      </c>
    </row>
    <row r="188" spans="6:8" x14ac:dyDescent="0.3">
      <c r="F188" t="s">
        <v>1046</v>
      </c>
      <c r="G188" t="s">
        <v>1047</v>
      </c>
      <c r="H188" t="s">
        <v>1048</v>
      </c>
    </row>
    <row r="189" spans="6:8" x14ac:dyDescent="0.3">
      <c r="F189" t="s">
        <v>1049</v>
      </c>
      <c r="G189" t="s">
        <v>1050</v>
      </c>
      <c r="H189" t="s">
        <v>1051</v>
      </c>
    </row>
    <row r="190" spans="6:8" x14ac:dyDescent="0.3">
      <c r="F190" t="s">
        <v>1052</v>
      </c>
      <c r="G190" t="s">
        <v>1053</v>
      </c>
      <c r="H190" t="s">
        <v>1054</v>
      </c>
    </row>
    <row r="191" spans="6:8" x14ac:dyDescent="0.3">
      <c r="F191" t="s">
        <v>1055</v>
      </c>
      <c r="G191" t="s">
        <v>1056</v>
      </c>
      <c r="H191" t="s">
        <v>1057</v>
      </c>
    </row>
    <row r="192" spans="6:8" x14ac:dyDescent="0.3">
      <c r="F192" t="s">
        <v>1058</v>
      </c>
      <c r="G192" t="s">
        <v>1059</v>
      </c>
      <c r="H192" t="s">
        <v>1060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>
    <tabColor theme="4" tint="0.59999389629810485"/>
  </sheetPr>
  <dimension ref="A1:G324"/>
  <sheetViews>
    <sheetView workbookViewId="0"/>
  </sheetViews>
  <sheetFormatPr defaultRowHeight="14.4" x14ac:dyDescent="0.3"/>
  <cols>
    <col min="1" max="1" width="16.5546875" bestFit="1" customWidth="1"/>
    <col min="2" max="2" width="9.6640625" customWidth="1"/>
    <col min="3" max="3" width="25.6640625" bestFit="1" customWidth="1"/>
    <col min="4" max="4" width="35.109375" bestFit="1" customWidth="1"/>
    <col min="6" max="6" width="74" style="82" customWidth="1"/>
    <col min="7" max="7" width="90" style="82" customWidth="1"/>
  </cols>
  <sheetData>
    <row r="1" spans="1:7" x14ac:dyDescent="0.3">
      <c r="A1" s="83" t="str">
        <f>_xll.MainReferenceFields("Bond")</f>
        <v>Код группы полей</v>
      </c>
      <c r="B1" s="83" t="s">
        <v>1421</v>
      </c>
      <c r="C1" s="83" t="s">
        <v>1067</v>
      </c>
      <c r="D1" s="83" t="s">
        <v>1068</v>
      </c>
      <c r="E1" s="83" t="s">
        <v>1422</v>
      </c>
      <c r="F1" s="84" t="s">
        <v>1069</v>
      </c>
      <c r="G1" s="84" t="s">
        <v>1070</v>
      </c>
    </row>
    <row r="2" spans="1:7" x14ac:dyDescent="0.3">
      <c r="A2" t="s">
        <v>1072</v>
      </c>
      <c r="B2" t="s">
        <v>1071</v>
      </c>
      <c r="C2" t="s">
        <v>1423</v>
      </c>
      <c r="D2" t="s">
        <v>1124</v>
      </c>
      <c r="F2" s="82" t="s">
        <v>1073</v>
      </c>
    </row>
    <row r="3" spans="1:7" x14ac:dyDescent="0.3">
      <c r="A3" t="s">
        <v>1072</v>
      </c>
      <c r="B3" t="s">
        <v>1071</v>
      </c>
      <c r="C3" t="s">
        <v>1424</v>
      </c>
      <c r="D3" t="s">
        <v>1425</v>
      </c>
      <c r="F3" s="82" t="s">
        <v>1074</v>
      </c>
    </row>
    <row r="4" spans="1:7" ht="28.8" x14ac:dyDescent="0.3">
      <c r="A4" t="s">
        <v>1072</v>
      </c>
      <c r="B4" t="s">
        <v>1071</v>
      </c>
      <c r="C4" t="s">
        <v>1426</v>
      </c>
      <c r="D4" t="s">
        <v>2138</v>
      </c>
      <c r="F4" s="82" t="s">
        <v>1075</v>
      </c>
      <c r="G4" s="82" t="s">
        <v>1076</v>
      </c>
    </row>
    <row r="5" spans="1:7" x14ac:dyDescent="0.3">
      <c r="A5" t="s">
        <v>1072</v>
      </c>
      <c r="B5" t="s">
        <v>1071</v>
      </c>
      <c r="C5" t="s">
        <v>1427</v>
      </c>
      <c r="D5" t="s">
        <v>1428</v>
      </c>
      <c r="F5" s="82" t="s">
        <v>1077</v>
      </c>
      <c r="G5" s="82" t="s">
        <v>1078</v>
      </c>
    </row>
    <row r="6" spans="1:7" x14ac:dyDescent="0.3">
      <c r="A6" t="s">
        <v>1072</v>
      </c>
      <c r="B6" t="s">
        <v>1071</v>
      </c>
      <c r="C6" t="s">
        <v>1429</v>
      </c>
      <c r="D6" t="s">
        <v>1103</v>
      </c>
      <c r="F6" s="82" t="s">
        <v>1079</v>
      </c>
      <c r="G6" s="82" t="s">
        <v>1080</v>
      </c>
    </row>
    <row r="7" spans="1:7" x14ac:dyDescent="0.3">
      <c r="A7" t="s">
        <v>1072</v>
      </c>
      <c r="B7" t="s">
        <v>1071</v>
      </c>
      <c r="C7" t="s">
        <v>1430</v>
      </c>
      <c r="D7" t="s">
        <v>1431</v>
      </c>
      <c r="F7" s="82" t="s">
        <v>1081</v>
      </c>
      <c r="G7" s="82" t="s">
        <v>1082</v>
      </c>
    </row>
    <row r="8" spans="1:7" ht="28.8" x14ac:dyDescent="0.3">
      <c r="A8" t="s">
        <v>1072</v>
      </c>
      <c r="B8" t="s">
        <v>1071</v>
      </c>
      <c r="C8" t="s">
        <v>1432</v>
      </c>
      <c r="D8" t="s">
        <v>1100</v>
      </c>
      <c r="F8" s="82" t="s">
        <v>1083</v>
      </c>
    </row>
    <row r="9" spans="1:7" x14ac:dyDescent="0.3">
      <c r="A9" t="s">
        <v>1072</v>
      </c>
      <c r="B9" t="s">
        <v>1071</v>
      </c>
      <c r="C9" t="s">
        <v>1433</v>
      </c>
      <c r="D9" t="s">
        <v>1434</v>
      </c>
      <c r="F9" s="82" t="s">
        <v>1084</v>
      </c>
    </row>
    <row r="10" spans="1:7" ht="28.8" x14ac:dyDescent="0.3">
      <c r="A10" t="s">
        <v>1072</v>
      </c>
      <c r="B10" t="s">
        <v>1071</v>
      </c>
      <c r="C10" t="s">
        <v>1435</v>
      </c>
      <c r="D10" t="s">
        <v>1436</v>
      </c>
      <c r="F10" s="82" t="s">
        <v>1085</v>
      </c>
    </row>
    <row r="11" spans="1:7" x14ac:dyDescent="0.3">
      <c r="A11" t="s">
        <v>1072</v>
      </c>
      <c r="B11" t="s">
        <v>1071</v>
      </c>
      <c r="C11" t="s">
        <v>1437</v>
      </c>
      <c r="D11" t="s">
        <v>1438</v>
      </c>
      <c r="F11" s="82" t="s">
        <v>1086</v>
      </c>
      <c r="G11" s="82" t="s">
        <v>1087</v>
      </c>
    </row>
    <row r="12" spans="1:7" x14ac:dyDescent="0.3">
      <c r="A12" t="s">
        <v>1072</v>
      </c>
      <c r="B12" t="s">
        <v>1071</v>
      </c>
      <c r="C12" t="s">
        <v>1439</v>
      </c>
      <c r="D12" t="s">
        <v>1096</v>
      </c>
      <c r="F12" s="82" t="s">
        <v>1088</v>
      </c>
    </row>
    <row r="13" spans="1:7" x14ac:dyDescent="0.3">
      <c r="A13" t="s">
        <v>1072</v>
      </c>
      <c r="B13" t="s">
        <v>1071</v>
      </c>
      <c r="C13" t="s">
        <v>1440</v>
      </c>
      <c r="D13" t="s">
        <v>1441</v>
      </c>
      <c r="F13" s="82" t="s">
        <v>1089</v>
      </c>
    </row>
    <row r="14" spans="1:7" x14ac:dyDescent="0.3">
      <c r="A14" t="s">
        <v>1072</v>
      </c>
      <c r="B14" t="s">
        <v>1071</v>
      </c>
      <c r="C14" t="s">
        <v>1229</v>
      </c>
      <c r="D14" t="s">
        <v>1230</v>
      </c>
      <c r="F14" s="82" t="s">
        <v>1090</v>
      </c>
    </row>
    <row r="15" spans="1:7" x14ac:dyDescent="0.3">
      <c r="A15" t="s">
        <v>1072</v>
      </c>
      <c r="B15" t="s">
        <v>1071</v>
      </c>
      <c r="C15" t="s">
        <v>1223</v>
      </c>
      <c r="D15" t="s">
        <v>1442</v>
      </c>
      <c r="F15" s="82" t="s">
        <v>1091</v>
      </c>
    </row>
    <row r="16" spans="1:7" x14ac:dyDescent="0.3">
      <c r="A16" t="s">
        <v>1072</v>
      </c>
      <c r="B16" t="s">
        <v>1071</v>
      </c>
      <c r="C16" t="s">
        <v>1443</v>
      </c>
      <c r="D16" t="s">
        <v>1444</v>
      </c>
      <c r="F16" s="82" t="s">
        <v>1092</v>
      </c>
    </row>
    <row r="17" spans="1:7" x14ac:dyDescent="0.3">
      <c r="A17" t="s">
        <v>1072</v>
      </c>
      <c r="B17" t="s">
        <v>1071</v>
      </c>
      <c r="C17" t="s">
        <v>1445</v>
      </c>
      <c r="D17" t="s">
        <v>1446</v>
      </c>
      <c r="F17" s="82" t="s">
        <v>1093</v>
      </c>
    </row>
    <row r="18" spans="1:7" x14ac:dyDescent="0.3">
      <c r="A18" t="s">
        <v>1072</v>
      </c>
      <c r="B18" t="s">
        <v>1447</v>
      </c>
      <c r="C18" t="s">
        <v>1448</v>
      </c>
      <c r="D18" t="s">
        <v>1449</v>
      </c>
      <c r="F18" s="82" t="s">
        <v>1094</v>
      </c>
    </row>
    <row r="19" spans="1:7" x14ac:dyDescent="0.3">
      <c r="A19" t="s">
        <v>1072</v>
      </c>
      <c r="B19" t="s">
        <v>1447</v>
      </c>
      <c r="C19" t="s">
        <v>1450</v>
      </c>
      <c r="D19" t="s">
        <v>1451</v>
      </c>
      <c r="F19" s="82" t="s">
        <v>1095</v>
      </c>
    </row>
    <row r="20" spans="1:7" x14ac:dyDescent="0.3">
      <c r="A20" t="s">
        <v>1072</v>
      </c>
      <c r="B20" t="s">
        <v>1447</v>
      </c>
      <c r="C20" t="s">
        <v>1452</v>
      </c>
      <c r="D20" t="s">
        <v>1453</v>
      </c>
      <c r="F20" s="82" t="s">
        <v>1096</v>
      </c>
    </row>
    <row r="21" spans="1:7" x14ac:dyDescent="0.3">
      <c r="A21" t="s">
        <v>1072</v>
      </c>
      <c r="B21" t="s">
        <v>1447</v>
      </c>
      <c r="C21" t="s">
        <v>1454</v>
      </c>
      <c r="D21" t="s">
        <v>1455</v>
      </c>
      <c r="F21" s="82" t="s">
        <v>1097</v>
      </c>
    </row>
    <row r="22" spans="1:7" x14ac:dyDescent="0.3">
      <c r="A22" t="s">
        <v>1072</v>
      </c>
      <c r="B22" t="s">
        <v>1447</v>
      </c>
      <c r="C22" t="s">
        <v>1456</v>
      </c>
      <c r="D22" t="s">
        <v>1081</v>
      </c>
      <c r="F22" s="82" t="s">
        <v>1098</v>
      </c>
    </row>
    <row r="23" spans="1:7" x14ac:dyDescent="0.3">
      <c r="A23" t="s">
        <v>1072</v>
      </c>
      <c r="B23" t="s">
        <v>1447</v>
      </c>
      <c r="C23" t="s">
        <v>1457</v>
      </c>
      <c r="D23" t="s">
        <v>1129</v>
      </c>
      <c r="F23" s="82" t="s">
        <v>1099</v>
      </c>
    </row>
    <row r="24" spans="1:7" x14ac:dyDescent="0.3">
      <c r="A24" t="s">
        <v>1072</v>
      </c>
      <c r="B24" t="s">
        <v>1447</v>
      </c>
      <c r="C24" t="s">
        <v>1458</v>
      </c>
      <c r="D24" t="s">
        <v>1459</v>
      </c>
      <c r="F24" s="82" t="s">
        <v>1100</v>
      </c>
    </row>
    <row r="25" spans="1:7" x14ac:dyDescent="0.3">
      <c r="A25" t="s">
        <v>1072</v>
      </c>
      <c r="B25" t="s">
        <v>1447</v>
      </c>
      <c r="C25" t="s">
        <v>1460</v>
      </c>
      <c r="D25" t="s">
        <v>1461</v>
      </c>
      <c r="F25" s="82" t="s">
        <v>1102</v>
      </c>
    </row>
    <row r="26" spans="1:7" x14ac:dyDescent="0.3">
      <c r="A26" t="s">
        <v>1072</v>
      </c>
      <c r="B26" t="s">
        <v>1447</v>
      </c>
      <c r="C26" t="s">
        <v>1462</v>
      </c>
      <c r="D26" t="s">
        <v>1463</v>
      </c>
      <c r="F26" s="82" t="s">
        <v>1103</v>
      </c>
    </row>
    <row r="27" spans="1:7" x14ac:dyDescent="0.3">
      <c r="A27" t="s">
        <v>1072</v>
      </c>
      <c r="B27" t="s">
        <v>1447</v>
      </c>
      <c r="C27" t="s">
        <v>1464</v>
      </c>
      <c r="D27" t="s">
        <v>1465</v>
      </c>
      <c r="F27" s="82" t="s">
        <v>1104</v>
      </c>
    </row>
    <row r="28" spans="1:7" x14ac:dyDescent="0.3">
      <c r="A28" t="s">
        <v>1072</v>
      </c>
      <c r="B28" t="s">
        <v>1447</v>
      </c>
      <c r="C28" t="s">
        <v>1466</v>
      </c>
      <c r="D28" t="s">
        <v>1467</v>
      </c>
      <c r="F28" s="82" t="s">
        <v>1105</v>
      </c>
      <c r="G28" s="82" t="s">
        <v>1106</v>
      </c>
    </row>
    <row r="29" spans="1:7" x14ac:dyDescent="0.3">
      <c r="A29" t="s">
        <v>1072</v>
      </c>
      <c r="B29" t="s">
        <v>1447</v>
      </c>
      <c r="C29" t="s">
        <v>1468</v>
      </c>
      <c r="D29" t="s">
        <v>1469</v>
      </c>
      <c r="F29" s="82" t="s">
        <v>1107</v>
      </c>
    </row>
    <row r="30" spans="1:7" x14ac:dyDescent="0.3">
      <c r="A30" t="s">
        <v>1072</v>
      </c>
      <c r="B30" t="s">
        <v>1447</v>
      </c>
      <c r="C30" t="s">
        <v>1470</v>
      </c>
      <c r="D30" t="s">
        <v>1090</v>
      </c>
      <c r="F30" s="82" t="s">
        <v>1108</v>
      </c>
    </row>
    <row r="31" spans="1:7" x14ac:dyDescent="0.3">
      <c r="A31" t="s">
        <v>1072</v>
      </c>
      <c r="B31" t="s">
        <v>1447</v>
      </c>
      <c r="C31" t="s">
        <v>1471</v>
      </c>
      <c r="D31" t="s">
        <v>1472</v>
      </c>
      <c r="F31" s="82" t="s">
        <v>1109</v>
      </c>
    </row>
    <row r="32" spans="1:7" x14ac:dyDescent="0.3">
      <c r="A32" t="s">
        <v>1072</v>
      </c>
      <c r="B32" t="s">
        <v>1447</v>
      </c>
      <c r="C32" t="s">
        <v>1473</v>
      </c>
      <c r="D32" t="s">
        <v>1180</v>
      </c>
      <c r="F32" s="82" t="s">
        <v>1110</v>
      </c>
    </row>
    <row r="33" spans="1:7" ht="28.8" x14ac:dyDescent="0.3">
      <c r="A33" t="s">
        <v>1072</v>
      </c>
      <c r="B33" t="s">
        <v>1447</v>
      </c>
      <c r="C33" t="s">
        <v>1474</v>
      </c>
      <c r="D33" t="s">
        <v>1179</v>
      </c>
      <c r="F33" s="82" t="s">
        <v>1111</v>
      </c>
      <c r="G33" s="82" t="s">
        <v>1112</v>
      </c>
    </row>
    <row r="34" spans="1:7" x14ac:dyDescent="0.3">
      <c r="A34" t="s">
        <v>1072</v>
      </c>
      <c r="B34" t="s">
        <v>1447</v>
      </c>
      <c r="C34" t="s">
        <v>1475</v>
      </c>
      <c r="D34" t="s">
        <v>1476</v>
      </c>
      <c r="F34" s="82" t="s">
        <v>1113</v>
      </c>
    </row>
    <row r="35" spans="1:7" x14ac:dyDescent="0.3">
      <c r="A35" t="s">
        <v>1072</v>
      </c>
      <c r="B35" t="s">
        <v>1447</v>
      </c>
      <c r="C35" t="s">
        <v>2139</v>
      </c>
      <c r="D35" t="s">
        <v>2140</v>
      </c>
      <c r="F35" s="82" t="s">
        <v>1114</v>
      </c>
    </row>
    <row r="36" spans="1:7" x14ac:dyDescent="0.3">
      <c r="A36" t="s">
        <v>1072</v>
      </c>
      <c r="B36" t="s">
        <v>1447</v>
      </c>
      <c r="C36" t="s">
        <v>2141</v>
      </c>
      <c r="D36" t="s">
        <v>2142</v>
      </c>
      <c r="F36" s="82" t="s">
        <v>1115</v>
      </c>
    </row>
    <row r="37" spans="1:7" x14ac:dyDescent="0.3">
      <c r="A37" t="s">
        <v>1072</v>
      </c>
      <c r="B37" t="s">
        <v>1447</v>
      </c>
      <c r="C37" t="s">
        <v>1477</v>
      </c>
      <c r="D37" t="s">
        <v>1478</v>
      </c>
      <c r="F37" s="82" t="s">
        <v>1116</v>
      </c>
    </row>
    <row r="38" spans="1:7" x14ac:dyDescent="0.3">
      <c r="A38" t="s">
        <v>1072</v>
      </c>
      <c r="B38" t="s">
        <v>1479</v>
      </c>
      <c r="C38" t="s">
        <v>1480</v>
      </c>
      <c r="D38" t="s">
        <v>1481</v>
      </c>
      <c r="F38" s="82" t="s">
        <v>1117</v>
      </c>
    </row>
    <row r="39" spans="1:7" x14ac:dyDescent="0.3">
      <c r="A39" t="s">
        <v>1072</v>
      </c>
      <c r="B39" t="s">
        <v>1479</v>
      </c>
      <c r="C39" t="s">
        <v>1482</v>
      </c>
      <c r="D39" t="s">
        <v>1483</v>
      </c>
      <c r="F39" s="82" t="s">
        <v>1118</v>
      </c>
    </row>
    <row r="40" spans="1:7" x14ac:dyDescent="0.3">
      <c r="A40" t="s">
        <v>1072</v>
      </c>
      <c r="B40" t="s">
        <v>1479</v>
      </c>
      <c r="C40" t="s">
        <v>1484</v>
      </c>
      <c r="D40" t="s">
        <v>1485</v>
      </c>
      <c r="F40" s="82" t="s">
        <v>1119</v>
      </c>
    </row>
    <row r="41" spans="1:7" x14ac:dyDescent="0.3">
      <c r="A41" t="s">
        <v>1072</v>
      </c>
      <c r="B41" t="s">
        <v>1486</v>
      </c>
      <c r="C41" t="s">
        <v>1487</v>
      </c>
      <c r="D41" t="s">
        <v>1488</v>
      </c>
      <c r="F41" s="82" t="s">
        <v>1120</v>
      </c>
    </row>
    <row r="42" spans="1:7" x14ac:dyDescent="0.3">
      <c r="A42" t="s">
        <v>1072</v>
      </c>
      <c r="B42" t="s">
        <v>1486</v>
      </c>
      <c r="C42" t="s">
        <v>1489</v>
      </c>
      <c r="D42" t="s">
        <v>1490</v>
      </c>
      <c r="F42" s="82" t="s">
        <v>1121</v>
      </c>
    </row>
    <row r="43" spans="1:7" x14ac:dyDescent="0.3">
      <c r="A43" t="s">
        <v>1072</v>
      </c>
      <c r="B43" t="s">
        <v>869</v>
      </c>
      <c r="C43" t="s">
        <v>1491</v>
      </c>
      <c r="D43" t="s">
        <v>1235</v>
      </c>
      <c r="F43" s="82" t="s">
        <v>1122</v>
      </c>
    </row>
    <row r="44" spans="1:7" x14ac:dyDescent="0.3">
      <c r="A44" t="s">
        <v>1072</v>
      </c>
      <c r="B44" t="s">
        <v>869</v>
      </c>
      <c r="C44" t="s">
        <v>1236</v>
      </c>
      <c r="D44" t="s">
        <v>1237</v>
      </c>
      <c r="F44" s="82" t="s">
        <v>1123</v>
      </c>
    </row>
    <row r="45" spans="1:7" ht="28.8" x14ac:dyDescent="0.3">
      <c r="A45" t="s">
        <v>1072</v>
      </c>
      <c r="B45" t="s">
        <v>869</v>
      </c>
      <c r="C45" t="s">
        <v>1492</v>
      </c>
      <c r="D45" t="s">
        <v>2143</v>
      </c>
      <c r="F45" s="82" t="s">
        <v>1124</v>
      </c>
      <c r="G45" s="82" t="s">
        <v>1125</v>
      </c>
    </row>
    <row r="46" spans="1:7" x14ac:dyDescent="0.3">
      <c r="A46" t="s">
        <v>1072</v>
      </c>
      <c r="B46" t="s">
        <v>1493</v>
      </c>
      <c r="C46" t="s">
        <v>1494</v>
      </c>
      <c r="D46" t="s">
        <v>1495</v>
      </c>
      <c r="F46" s="82" t="s">
        <v>1126</v>
      </c>
    </row>
    <row r="47" spans="1:7" x14ac:dyDescent="0.3">
      <c r="A47" t="s">
        <v>1072</v>
      </c>
      <c r="B47" t="s">
        <v>1493</v>
      </c>
      <c r="C47" t="s">
        <v>1496</v>
      </c>
      <c r="D47" t="s">
        <v>1497</v>
      </c>
      <c r="F47" s="82" t="s">
        <v>1127</v>
      </c>
    </row>
    <row r="48" spans="1:7" x14ac:dyDescent="0.3">
      <c r="A48" t="s">
        <v>1072</v>
      </c>
      <c r="B48" t="s">
        <v>1493</v>
      </c>
      <c r="C48" t="s">
        <v>1498</v>
      </c>
      <c r="D48" t="s">
        <v>1499</v>
      </c>
      <c r="F48" s="82" t="s">
        <v>1128</v>
      </c>
    </row>
    <row r="49" spans="1:7" x14ac:dyDescent="0.3">
      <c r="A49" t="s">
        <v>1101</v>
      </c>
      <c r="B49" t="s">
        <v>1500</v>
      </c>
      <c r="C49" t="s">
        <v>1501</v>
      </c>
      <c r="D49" t="s">
        <v>1502</v>
      </c>
      <c r="F49" s="82" t="s">
        <v>1129</v>
      </c>
    </row>
    <row r="50" spans="1:7" x14ac:dyDescent="0.3">
      <c r="A50" t="s">
        <v>1101</v>
      </c>
      <c r="B50" t="s">
        <v>1500</v>
      </c>
      <c r="C50" t="s">
        <v>1219</v>
      </c>
      <c r="D50" t="s">
        <v>1220</v>
      </c>
      <c r="F50" s="82" t="s">
        <v>1130</v>
      </c>
    </row>
    <row r="51" spans="1:7" x14ac:dyDescent="0.3">
      <c r="A51" t="s">
        <v>1101</v>
      </c>
      <c r="B51" t="s">
        <v>1500</v>
      </c>
      <c r="C51" t="s">
        <v>1503</v>
      </c>
      <c r="D51" t="s">
        <v>1504</v>
      </c>
      <c r="F51" s="82" t="s">
        <v>1131</v>
      </c>
      <c r="G51" s="82" t="s">
        <v>1132</v>
      </c>
    </row>
    <row r="52" spans="1:7" x14ac:dyDescent="0.3">
      <c r="A52" t="s">
        <v>1101</v>
      </c>
      <c r="B52" t="s">
        <v>1500</v>
      </c>
      <c r="C52" t="s">
        <v>1505</v>
      </c>
      <c r="D52" t="s">
        <v>1506</v>
      </c>
      <c r="F52" s="82" t="s">
        <v>1133</v>
      </c>
      <c r="G52" s="82" t="s">
        <v>1134</v>
      </c>
    </row>
    <row r="53" spans="1:7" x14ac:dyDescent="0.3">
      <c r="A53" t="s">
        <v>1101</v>
      </c>
      <c r="B53" t="s">
        <v>1507</v>
      </c>
      <c r="C53" t="s">
        <v>1508</v>
      </c>
      <c r="D53" t="s">
        <v>1509</v>
      </c>
      <c r="F53" s="82" t="s">
        <v>1135</v>
      </c>
    </row>
    <row r="54" spans="1:7" x14ac:dyDescent="0.3">
      <c r="A54" t="s">
        <v>1101</v>
      </c>
      <c r="B54" t="s">
        <v>1507</v>
      </c>
      <c r="C54" t="s">
        <v>1510</v>
      </c>
      <c r="D54" t="s">
        <v>1511</v>
      </c>
      <c r="F54" s="82" t="s">
        <v>1136</v>
      </c>
    </row>
    <row r="55" spans="1:7" x14ac:dyDescent="0.3">
      <c r="A55" t="s">
        <v>1101</v>
      </c>
      <c r="B55" t="s">
        <v>1507</v>
      </c>
      <c r="C55" t="s">
        <v>1512</v>
      </c>
      <c r="D55" t="s">
        <v>1513</v>
      </c>
      <c r="E55" t="s">
        <v>1514</v>
      </c>
      <c r="F55" s="82" t="s">
        <v>1137</v>
      </c>
    </row>
    <row r="56" spans="1:7" ht="43.2" x14ac:dyDescent="0.3">
      <c r="A56" t="s">
        <v>1101</v>
      </c>
      <c r="B56" t="s">
        <v>1507</v>
      </c>
      <c r="C56" t="s">
        <v>1515</v>
      </c>
      <c r="D56" t="s">
        <v>1516</v>
      </c>
      <c r="F56" s="82" t="s">
        <v>1138</v>
      </c>
      <c r="G56" s="82" t="s">
        <v>1139</v>
      </c>
    </row>
    <row r="57" spans="1:7" x14ac:dyDescent="0.3">
      <c r="A57" t="s">
        <v>1101</v>
      </c>
      <c r="B57" t="s">
        <v>1507</v>
      </c>
      <c r="C57" t="s">
        <v>1517</v>
      </c>
      <c r="D57" t="s">
        <v>1518</v>
      </c>
      <c r="F57" s="82" t="s">
        <v>1140</v>
      </c>
    </row>
    <row r="58" spans="1:7" x14ac:dyDescent="0.3">
      <c r="A58" t="s">
        <v>1101</v>
      </c>
      <c r="B58" t="s">
        <v>1507</v>
      </c>
      <c r="C58" t="s">
        <v>1519</v>
      </c>
      <c r="D58" t="s">
        <v>1520</v>
      </c>
      <c r="F58" s="82" t="s">
        <v>1141</v>
      </c>
      <c r="G58" s="82" t="s">
        <v>1142</v>
      </c>
    </row>
    <row r="59" spans="1:7" x14ac:dyDescent="0.3">
      <c r="A59" t="s">
        <v>1101</v>
      </c>
      <c r="B59" t="s">
        <v>1507</v>
      </c>
      <c r="C59" t="s">
        <v>1521</v>
      </c>
      <c r="D59" t="s">
        <v>1522</v>
      </c>
      <c r="F59" s="82" t="s">
        <v>1143</v>
      </c>
    </row>
    <row r="60" spans="1:7" x14ac:dyDescent="0.3">
      <c r="A60" t="s">
        <v>1101</v>
      </c>
      <c r="B60" t="s">
        <v>1507</v>
      </c>
      <c r="C60" t="s">
        <v>1523</v>
      </c>
      <c r="D60" t="s">
        <v>1524</v>
      </c>
      <c r="F60" s="82" t="s">
        <v>1144</v>
      </c>
    </row>
    <row r="61" spans="1:7" x14ac:dyDescent="0.3">
      <c r="A61" t="s">
        <v>1101</v>
      </c>
      <c r="B61" t="s">
        <v>1507</v>
      </c>
      <c r="C61" t="s">
        <v>1525</v>
      </c>
      <c r="D61" t="s">
        <v>1526</v>
      </c>
      <c r="F61" s="82" t="s">
        <v>1145</v>
      </c>
    </row>
    <row r="62" spans="1:7" x14ac:dyDescent="0.3">
      <c r="A62" t="s">
        <v>1101</v>
      </c>
      <c r="B62" t="s">
        <v>1507</v>
      </c>
      <c r="C62" t="s">
        <v>1527</v>
      </c>
      <c r="D62" t="s">
        <v>1109</v>
      </c>
      <c r="F62" s="82" t="s">
        <v>1146</v>
      </c>
    </row>
    <row r="63" spans="1:7" x14ac:dyDescent="0.3">
      <c r="A63" t="s">
        <v>1101</v>
      </c>
      <c r="B63" t="s">
        <v>1507</v>
      </c>
      <c r="C63" t="s">
        <v>1528</v>
      </c>
      <c r="D63" t="s">
        <v>1529</v>
      </c>
      <c r="F63" s="82" t="s">
        <v>1147</v>
      </c>
    </row>
    <row r="64" spans="1:7" x14ac:dyDescent="0.3">
      <c r="A64" t="s">
        <v>1101</v>
      </c>
      <c r="B64" t="s">
        <v>1507</v>
      </c>
      <c r="C64" t="s">
        <v>1530</v>
      </c>
      <c r="D64" t="s">
        <v>1531</v>
      </c>
      <c r="F64" s="82" t="s">
        <v>1148</v>
      </c>
    </row>
    <row r="65" spans="1:7" ht="28.8" x14ac:dyDescent="0.3">
      <c r="A65" t="s">
        <v>1101</v>
      </c>
      <c r="B65" t="s">
        <v>798</v>
      </c>
      <c r="C65" t="s">
        <v>1532</v>
      </c>
      <c r="D65" t="s">
        <v>1533</v>
      </c>
      <c r="F65" s="82" t="s">
        <v>1111</v>
      </c>
      <c r="G65" s="82" t="s">
        <v>1112</v>
      </c>
    </row>
    <row r="66" spans="1:7" x14ac:dyDescent="0.3">
      <c r="A66" t="s">
        <v>1101</v>
      </c>
      <c r="B66" t="s">
        <v>798</v>
      </c>
      <c r="C66" t="s">
        <v>1534</v>
      </c>
      <c r="D66" t="s">
        <v>1535</v>
      </c>
      <c r="F66" s="82" t="s">
        <v>1149</v>
      </c>
    </row>
    <row r="67" spans="1:7" x14ac:dyDescent="0.3">
      <c r="A67" t="s">
        <v>1101</v>
      </c>
      <c r="B67" t="s">
        <v>798</v>
      </c>
      <c r="C67" t="s">
        <v>1536</v>
      </c>
      <c r="D67" t="s">
        <v>1537</v>
      </c>
      <c r="F67" s="82" t="s">
        <v>1150</v>
      </c>
    </row>
    <row r="68" spans="1:7" x14ac:dyDescent="0.3">
      <c r="A68" t="s">
        <v>1101</v>
      </c>
      <c r="B68" t="s">
        <v>798</v>
      </c>
      <c r="C68" t="s">
        <v>1221</v>
      </c>
      <c r="D68" t="s">
        <v>1222</v>
      </c>
      <c r="F68" s="82" t="s">
        <v>1151</v>
      </c>
      <c r="G68" s="82" t="s">
        <v>1152</v>
      </c>
    </row>
    <row r="69" spans="1:7" ht="28.8" x14ac:dyDescent="0.3">
      <c r="A69" t="s">
        <v>1101</v>
      </c>
      <c r="B69" t="s">
        <v>798</v>
      </c>
      <c r="C69" t="s">
        <v>1538</v>
      </c>
      <c r="D69" t="s">
        <v>1539</v>
      </c>
      <c r="F69" s="82" t="s">
        <v>1111</v>
      </c>
      <c r="G69" s="82" t="s">
        <v>1112</v>
      </c>
    </row>
    <row r="70" spans="1:7" x14ac:dyDescent="0.3">
      <c r="A70" t="s">
        <v>1540</v>
      </c>
      <c r="B70" t="s">
        <v>1541</v>
      </c>
      <c r="C70" t="s">
        <v>1542</v>
      </c>
      <c r="D70" t="s">
        <v>1543</v>
      </c>
      <c r="F70" s="82" t="s">
        <v>1153</v>
      </c>
    </row>
    <row r="71" spans="1:7" x14ac:dyDescent="0.3">
      <c r="A71" t="s">
        <v>1540</v>
      </c>
      <c r="B71" t="s">
        <v>1541</v>
      </c>
      <c r="C71" t="s">
        <v>1544</v>
      </c>
      <c r="D71" t="s">
        <v>1545</v>
      </c>
      <c r="F71" s="82" t="s">
        <v>1154</v>
      </c>
    </row>
    <row r="72" spans="1:7" ht="28.8" x14ac:dyDescent="0.3">
      <c r="A72" t="s">
        <v>1540</v>
      </c>
      <c r="B72" t="s">
        <v>1541</v>
      </c>
      <c r="C72" t="s">
        <v>1546</v>
      </c>
      <c r="D72" t="s">
        <v>1547</v>
      </c>
      <c r="F72" s="82" t="s">
        <v>1111</v>
      </c>
      <c r="G72" s="82" t="s">
        <v>1112</v>
      </c>
    </row>
    <row r="73" spans="1:7" x14ac:dyDescent="0.3">
      <c r="A73" t="s">
        <v>1540</v>
      </c>
      <c r="B73" t="s">
        <v>1541</v>
      </c>
      <c r="C73" t="s">
        <v>1548</v>
      </c>
      <c r="D73" t="s">
        <v>1549</v>
      </c>
      <c r="F73" s="82" t="s">
        <v>1155</v>
      </c>
    </row>
    <row r="74" spans="1:7" x14ac:dyDescent="0.3">
      <c r="A74" t="s">
        <v>1540</v>
      </c>
      <c r="B74" t="s">
        <v>1541</v>
      </c>
      <c r="C74" t="s">
        <v>1550</v>
      </c>
      <c r="D74" t="s">
        <v>1551</v>
      </c>
      <c r="F74" s="82" t="s">
        <v>1156</v>
      </c>
      <c r="G74" s="82" t="s">
        <v>1157</v>
      </c>
    </row>
    <row r="75" spans="1:7" ht="28.8" x14ac:dyDescent="0.3">
      <c r="A75" t="s">
        <v>1540</v>
      </c>
      <c r="B75" t="s">
        <v>1541</v>
      </c>
      <c r="C75" t="s">
        <v>1552</v>
      </c>
      <c r="D75" t="s">
        <v>1553</v>
      </c>
      <c r="F75" s="82" t="s">
        <v>1158</v>
      </c>
    </row>
    <row r="76" spans="1:7" x14ac:dyDescent="0.3">
      <c r="A76" t="s">
        <v>1540</v>
      </c>
      <c r="B76" t="s">
        <v>1541</v>
      </c>
      <c r="C76" t="s">
        <v>1554</v>
      </c>
      <c r="D76" t="s">
        <v>1140</v>
      </c>
      <c r="F76" s="82" t="s">
        <v>2</v>
      </c>
    </row>
    <row r="77" spans="1:7" x14ac:dyDescent="0.3">
      <c r="A77" t="s">
        <v>1540</v>
      </c>
      <c r="B77" t="s">
        <v>1541</v>
      </c>
      <c r="C77" t="s">
        <v>1555</v>
      </c>
      <c r="D77" t="s">
        <v>1158</v>
      </c>
      <c r="F77" s="82" t="s">
        <v>1159</v>
      </c>
    </row>
    <row r="78" spans="1:7" x14ac:dyDescent="0.3">
      <c r="A78" t="s">
        <v>1540</v>
      </c>
      <c r="B78" t="s">
        <v>1541</v>
      </c>
      <c r="C78" t="s">
        <v>1994</v>
      </c>
      <c r="D78" t="s">
        <v>1995</v>
      </c>
      <c r="F78" s="82" t="s">
        <v>1160</v>
      </c>
      <c r="G78" s="82" t="s">
        <v>1161</v>
      </c>
    </row>
    <row r="79" spans="1:7" x14ac:dyDescent="0.3">
      <c r="A79" t="s">
        <v>1540</v>
      </c>
      <c r="B79" t="s">
        <v>1556</v>
      </c>
      <c r="C79" t="s">
        <v>1557</v>
      </c>
      <c r="D79" t="s">
        <v>1558</v>
      </c>
      <c r="F79" s="82" t="s">
        <v>1162</v>
      </c>
    </row>
    <row r="80" spans="1:7" x14ac:dyDescent="0.3">
      <c r="A80" t="s">
        <v>1540</v>
      </c>
      <c r="B80" t="s">
        <v>1556</v>
      </c>
      <c r="C80" t="s">
        <v>1559</v>
      </c>
      <c r="D80" t="s">
        <v>1133</v>
      </c>
      <c r="F80" s="82" t="s">
        <v>1163</v>
      </c>
      <c r="G80" s="82" t="s">
        <v>1164</v>
      </c>
    </row>
    <row r="81" spans="1:7" x14ac:dyDescent="0.3">
      <c r="A81" t="s">
        <v>1540</v>
      </c>
      <c r="B81" t="s">
        <v>1556</v>
      </c>
      <c r="C81" t="s">
        <v>1560</v>
      </c>
      <c r="D81" t="s">
        <v>1130</v>
      </c>
      <c r="F81" s="82" t="s">
        <v>1165</v>
      </c>
    </row>
    <row r="82" spans="1:7" x14ac:dyDescent="0.3">
      <c r="A82" t="s">
        <v>1540</v>
      </c>
      <c r="B82" t="s">
        <v>1556</v>
      </c>
      <c r="C82" t="s">
        <v>1561</v>
      </c>
      <c r="D82" t="s">
        <v>1135</v>
      </c>
      <c r="F82" s="82" t="s">
        <v>1166</v>
      </c>
      <c r="G82" s="82" t="s">
        <v>1167</v>
      </c>
    </row>
    <row r="83" spans="1:7" x14ac:dyDescent="0.3">
      <c r="A83" t="s">
        <v>1540</v>
      </c>
      <c r="B83" t="s">
        <v>1556</v>
      </c>
      <c r="C83" t="s">
        <v>1562</v>
      </c>
      <c r="D83" t="s">
        <v>1563</v>
      </c>
      <c r="F83" s="82" t="s">
        <v>1168</v>
      </c>
    </row>
    <row r="84" spans="1:7" x14ac:dyDescent="0.3">
      <c r="A84" t="s">
        <v>1540</v>
      </c>
      <c r="B84" t="s">
        <v>387</v>
      </c>
      <c r="C84" t="s">
        <v>1564</v>
      </c>
      <c r="D84" t="s">
        <v>1144</v>
      </c>
      <c r="F84" s="82" t="s">
        <v>1169</v>
      </c>
    </row>
    <row r="85" spans="1:7" x14ac:dyDescent="0.3">
      <c r="A85" t="s">
        <v>1540</v>
      </c>
      <c r="B85" t="s">
        <v>387</v>
      </c>
      <c r="C85" t="s">
        <v>1565</v>
      </c>
      <c r="D85" t="s">
        <v>1159</v>
      </c>
      <c r="F85" s="82" t="s">
        <v>1170</v>
      </c>
    </row>
    <row r="86" spans="1:7" x14ac:dyDescent="0.3">
      <c r="A86" t="s">
        <v>1540</v>
      </c>
      <c r="B86" t="s">
        <v>387</v>
      </c>
      <c r="C86" t="s">
        <v>1566</v>
      </c>
      <c r="D86" t="s">
        <v>1154</v>
      </c>
      <c r="F86" s="82" t="s">
        <v>1171</v>
      </c>
    </row>
    <row r="87" spans="1:7" x14ac:dyDescent="0.3">
      <c r="A87" t="s">
        <v>1540</v>
      </c>
      <c r="B87" t="s">
        <v>387</v>
      </c>
      <c r="C87" t="s">
        <v>1567</v>
      </c>
      <c r="D87" t="s">
        <v>1568</v>
      </c>
      <c r="F87" s="82" t="s">
        <v>1172</v>
      </c>
    </row>
    <row r="88" spans="1:7" x14ac:dyDescent="0.3">
      <c r="A88" t="s">
        <v>1540</v>
      </c>
      <c r="B88" t="s">
        <v>387</v>
      </c>
      <c r="C88" t="s">
        <v>1569</v>
      </c>
      <c r="D88" t="s">
        <v>1570</v>
      </c>
      <c r="F88" s="82" t="s">
        <v>1173</v>
      </c>
      <c r="G88" s="82" t="s">
        <v>1174</v>
      </c>
    </row>
    <row r="89" spans="1:7" x14ac:dyDescent="0.3">
      <c r="A89" t="s">
        <v>1540</v>
      </c>
      <c r="B89" t="s">
        <v>387</v>
      </c>
      <c r="C89" t="s">
        <v>1571</v>
      </c>
      <c r="D89" t="s">
        <v>1572</v>
      </c>
      <c r="F89" s="82" t="s">
        <v>1175</v>
      </c>
    </row>
    <row r="90" spans="1:7" x14ac:dyDescent="0.3">
      <c r="A90" t="s">
        <v>1540</v>
      </c>
      <c r="B90" t="s">
        <v>387</v>
      </c>
      <c r="C90" t="s">
        <v>1233</v>
      </c>
      <c r="D90" t="s">
        <v>1573</v>
      </c>
      <c r="F90" s="82" t="s">
        <v>1176</v>
      </c>
    </row>
    <row r="91" spans="1:7" x14ac:dyDescent="0.3">
      <c r="A91" t="s">
        <v>1540</v>
      </c>
      <c r="B91" t="s">
        <v>387</v>
      </c>
      <c r="C91" t="s">
        <v>1217</v>
      </c>
      <c r="D91" t="s">
        <v>1218</v>
      </c>
      <c r="F91" s="82" t="s">
        <v>1177</v>
      </c>
    </row>
    <row r="92" spans="1:7" ht="28.8" x14ac:dyDescent="0.3">
      <c r="A92" t="s">
        <v>1540</v>
      </c>
      <c r="B92" t="s">
        <v>387</v>
      </c>
      <c r="C92" t="s">
        <v>417</v>
      </c>
      <c r="D92" t="s">
        <v>1574</v>
      </c>
      <c r="F92" s="82" t="s">
        <v>1111</v>
      </c>
      <c r="G92" s="82" t="s">
        <v>1112</v>
      </c>
    </row>
    <row r="93" spans="1:7" ht="28.8" x14ac:dyDescent="0.3">
      <c r="A93" t="s">
        <v>1540</v>
      </c>
      <c r="B93" t="s">
        <v>1575</v>
      </c>
      <c r="C93" t="s">
        <v>1576</v>
      </c>
      <c r="D93" t="s">
        <v>1577</v>
      </c>
      <c r="F93" s="82" t="s">
        <v>1178</v>
      </c>
    </row>
    <row r="94" spans="1:7" x14ac:dyDescent="0.3">
      <c r="A94" t="s">
        <v>1540</v>
      </c>
      <c r="B94" t="s">
        <v>1575</v>
      </c>
      <c r="C94" t="s">
        <v>1578</v>
      </c>
      <c r="D94" t="s">
        <v>1579</v>
      </c>
      <c r="F94" s="82" t="s">
        <v>1179</v>
      </c>
    </row>
    <row r="95" spans="1:7" x14ac:dyDescent="0.3">
      <c r="A95" t="s">
        <v>1540</v>
      </c>
      <c r="B95" t="s">
        <v>1575</v>
      </c>
      <c r="C95" t="s">
        <v>1580</v>
      </c>
      <c r="D95" t="s">
        <v>1581</v>
      </c>
      <c r="F95" s="82" t="s">
        <v>1180</v>
      </c>
    </row>
    <row r="96" spans="1:7" x14ac:dyDescent="0.3">
      <c r="A96" t="s">
        <v>1540</v>
      </c>
      <c r="B96" t="s">
        <v>1575</v>
      </c>
      <c r="C96" t="s">
        <v>1582</v>
      </c>
      <c r="D96" t="s">
        <v>1583</v>
      </c>
      <c r="F96" s="82" t="s">
        <v>1181</v>
      </c>
    </row>
    <row r="97" spans="1:7" x14ac:dyDescent="0.3">
      <c r="A97" t="s">
        <v>1540</v>
      </c>
      <c r="B97" t="s">
        <v>1575</v>
      </c>
      <c r="C97" t="s">
        <v>1584</v>
      </c>
      <c r="D97" t="s">
        <v>1585</v>
      </c>
      <c r="F97" s="82" t="s">
        <v>1182</v>
      </c>
    </row>
    <row r="98" spans="1:7" x14ac:dyDescent="0.3">
      <c r="A98" t="s">
        <v>1540</v>
      </c>
      <c r="B98" t="s">
        <v>1575</v>
      </c>
      <c r="C98" t="s">
        <v>1586</v>
      </c>
      <c r="D98" t="s">
        <v>1587</v>
      </c>
      <c r="F98" s="82" t="s">
        <v>1184</v>
      </c>
    </row>
    <row r="99" spans="1:7" ht="28.8" x14ac:dyDescent="0.3">
      <c r="A99" t="s">
        <v>1540</v>
      </c>
      <c r="B99" t="s">
        <v>1575</v>
      </c>
      <c r="C99" t="s">
        <v>1588</v>
      </c>
      <c r="D99" t="s">
        <v>1589</v>
      </c>
      <c r="F99" s="82" t="s">
        <v>1111</v>
      </c>
      <c r="G99" s="82" t="s">
        <v>1112</v>
      </c>
    </row>
    <row r="100" spans="1:7" x14ac:dyDescent="0.3">
      <c r="A100" t="s">
        <v>1540</v>
      </c>
      <c r="B100" t="s">
        <v>1575</v>
      </c>
      <c r="C100" t="s">
        <v>1590</v>
      </c>
      <c r="D100" t="s">
        <v>1591</v>
      </c>
      <c r="F100" s="82" t="s">
        <v>1184</v>
      </c>
    </row>
    <row r="101" spans="1:7" x14ac:dyDescent="0.3">
      <c r="A101" t="s">
        <v>1540</v>
      </c>
      <c r="B101" t="s">
        <v>1575</v>
      </c>
      <c r="C101" t="s">
        <v>1592</v>
      </c>
      <c r="D101" t="s">
        <v>1593</v>
      </c>
      <c r="F101" s="82" t="s">
        <v>1185</v>
      </c>
    </row>
    <row r="102" spans="1:7" ht="28.8" x14ac:dyDescent="0.3">
      <c r="A102" t="s">
        <v>1540</v>
      </c>
      <c r="B102" t="s">
        <v>1575</v>
      </c>
      <c r="C102" t="s">
        <v>1992</v>
      </c>
      <c r="D102" t="s">
        <v>1993</v>
      </c>
      <c r="F102" s="82" t="s">
        <v>1111</v>
      </c>
      <c r="G102" s="82" t="s">
        <v>1112</v>
      </c>
    </row>
    <row r="103" spans="1:7" x14ac:dyDescent="0.3">
      <c r="A103" t="s">
        <v>1540</v>
      </c>
      <c r="B103" t="s">
        <v>1594</v>
      </c>
      <c r="C103" t="s">
        <v>1595</v>
      </c>
      <c r="D103" t="s">
        <v>1596</v>
      </c>
      <c r="F103" s="82" t="s">
        <v>1185</v>
      </c>
    </row>
    <row r="104" spans="1:7" x14ac:dyDescent="0.3">
      <c r="A104" t="s">
        <v>1540</v>
      </c>
      <c r="B104" t="s">
        <v>1594</v>
      </c>
      <c r="C104" t="s">
        <v>378</v>
      </c>
      <c r="D104" t="s">
        <v>1210</v>
      </c>
      <c r="F104" s="82" t="s">
        <v>1186</v>
      </c>
    </row>
    <row r="105" spans="1:7" x14ac:dyDescent="0.3">
      <c r="A105" t="s">
        <v>1540</v>
      </c>
      <c r="B105" t="s">
        <v>1594</v>
      </c>
      <c r="C105" t="s">
        <v>1597</v>
      </c>
      <c r="D105" t="s">
        <v>1128</v>
      </c>
      <c r="F105" s="82" t="s">
        <v>1187</v>
      </c>
    </row>
    <row r="106" spans="1:7" x14ac:dyDescent="0.3">
      <c r="A106" t="s">
        <v>1540</v>
      </c>
      <c r="B106" t="s">
        <v>1594</v>
      </c>
      <c r="C106" t="s">
        <v>1598</v>
      </c>
      <c r="D106" t="s">
        <v>1599</v>
      </c>
      <c r="F106" s="82" t="s">
        <v>1188</v>
      </c>
    </row>
    <row r="107" spans="1:7" ht="28.8" x14ac:dyDescent="0.3">
      <c r="A107" t="s">
        <v>1540</v>
      </c>
      <c r="B107" t="s">
        <v>1600</v>
      </c>
      <c r="C107" t="s">
        <v>1601</v>
      </c>
      <c r="D107" t="s">
        <v>1602</v>
      </c>
      <c r="F107" s="82" t="s">
        <v>1111</v>
      </c>
      <c r="G107" s="82" t="s">
        <v>1112</v>
      </c>
    </row>
    <row r="108" spans="1:7" x14ac:dyDescent="0.3">
      <c r="A108" t="s">
        <v>1540</v>
      </c>
      <c r="B108" t="s">
        <v>1600</v>
      </c>
      <c r="C108" t="s">
        <v>1603</v>
      </c>
      <c r="D108" t="s">
        <v>1604</v>
      </c>
      <c r="F108" s="82" t="s">
        <v>1189</v>
      </c>
    </row>
    <row r="109" spans="1:7" x14ac:dyDescent="0.3">
      <c r="A109" t="s">
        <v>1540</v>
      </c>
      <c r="B109" t="s">
        <v>1600</v>
      </c>
      <c r="C109" t="s">
        <v>1605</v>
      </c>
      <c r="D109" t="s">
        <v>1606</v>
      </c>
      <c r="F109" s="82" t="s">
        <v>1190</v>
      </c>
    </row>
    <row r="110" spans="1:7" ht="28.8" x14ac:dyDescent="0.3">
      <c r="A110" t="s">
        <v>1540</v>
      </c>
      <c r="B110" t="s">
        <v>892</v>
      </c>
      <c r="C110" t="s">
        <v>1607</v>
      </c>
      <c r="D110" t="s">
        <v>1608</v>
      </c>
      <c r="F110" s="82" t="s">
        <v>1191</v>
      </c>
    </row>
    <row r="111" spans="1:7" ht="28.8" x14ac:dyDescent="0.3">
      <c r="A111" t="s">
        <v>1540</v>
      </c>
      <c r="B111" t="s">
        <v>892</v>
      </c>
      <c r="C111" t="s">
        <v>1609</v>
      </c>
      <c r="D111" t="s">
        <v>1610</v>
      </c>
      <c r="F111" s="82" t="s">
        <v>1111</v>
      </c>
      <c r="G111" s="82" t="s">
        <v>1112</v>
      </c>
    </row>
    <row r="112" spans="1:7" x14ac:dyDescent="0.3">
      <c r="A112" t="s">
        <v>1540</v>
      </c>
      <c r="B112" t="s">
        <v>892</v>
      </c>
      <c r="C112" t="s">
        <v>1611</v>
      </c>
      <c r="D112" t="s">
        <v>1612</v>
      </c>
      <c r="F112" s="82" t="s">
        <v>1192</v>
      </c>
    </row>
    <row r="113" spans="1:7" x14ac:dyDescent="0.3">
      <c r="A113" t="s">
        <v>1540</v>
      </c>
      <c r="B113" t="s">
        <v>892</v>
      </c>
      <c r="C113" t="s">
        <v>1613</v>
      </c>
      <c r="D113" t="s">
        <v>1614</v>
      </c>
      <c r="F113" s="82" t="s">
        <v>1193</v>
      </c>
    </row>
    <row r="114" spans="1:7" x14ac:dyDescent="0.3">
      <c r="A114" t="s">
        <v>1540</v>
      </c>
      <c r="B114" t="s">
        <v>892</v>
      </c>
      <c r="C114" t="s">
        <v>1615</v>
      </c>
      <c r="D114" t="s">
        <v>1120</v>
      </c>
      <c r="F114" s="82" t="s">
        <v>1194</v>
      </c>
    </row>
    <row r="115" spans="1:7" ht="28.8" x14ac:dyDescent="0.3">
      <c r="A115" t="s">
        <v>1616</v>
      </c>
      <c r="B115" t="s">
        <v>1617</v>
      </c>
      <c r="C115" t="s">
        <v>1618</v>
      </c>
      <c r="D115" t="s">
        <v>1619</v>
      </c>
      <c r="F115" s="82" t="s">
        <v>1111</v>
      </c>
      <c r="G115" s="82" t="s">
        <v>1112</v>
      </c>
    </row>
    <row r="116" spans="1:7" x14ac:dyDescent="0.3">
      <c r="A116" t="s">
        <v>1616</v>
      </c>
      <c r="B116" t="s">
        <v>1617</v>
      </c>
      <c r="C116" t="s">
        <v>1620</v>
      </c>
      <c r="D116" t="s">
        <v>1209</v>
      </c>
      <c r="F116" s="82" t="s">
        <v>1195</v>
      </c>
    </row>
    <row r="117" spans="1:7" x14ac:dyDescent="0.3">
      <c r="A117" t="s">
        <v>1616</v>
      </c>
      <c r="B117" t="s">
        <v>1617</v>
      </c>
      <c r="C117" t="s">
        <v>1621</v>
      </c>
      <c r="D117" t="s">
        <v>1206</v>
      </c>
      <c r="F117" s="82" t="s">
        <v>1196</v>
      </c>
    </row>
    <row r="118" spans="1:7" x14ac:dyDescent="0.3">
      <c r="A118" t="s">
        <v>1616</v>
      </c>
      <c r="B118" t="s">
        <v>1617</v>
      </c>
      <c r="C118" t="s">
        <v>1622</v>
      </c>
      <c r="D118" t="s">
        <v>1623</v>
      </c>
      <c r="F118" s="82" t="s">
        <v>1197</v>
      </c>
    </row>
    <row r="119" spans="1:7" x14ac:dyDescent="0.3">
      <c r="A119" t="s">
        <v>1616</v>
      </c>
      <c r="B119" t="s">
        <v>1624</v>
      </c>
      <c r="C119" t="s">
        <v>1625</v>
      </c>
      <c r="D119" t="s">
        <v>1204</v>
      </c>
      <c r="F119" s="82" t="s">
        <v>1198</v>
      </c>
    </row>
    <row r="120" spans="1:7" ht="28.8" x14ac:dyDescent="0.3">
      <c r="A120" t="s">
        <v>1616</v>
      </c>
      <c r="B120" t="s">
        <v>1624</v>
      </c>
      <c r="C120" t="s">
        <v>1626</v>
      </c>
      <c r="D120" t="s">
        <v>1207</v>
      </c>
      <c r="F120" s="82" t="s">
        <v>1111</v>
      </c>
      <c r="G120" s="82" t="s">
        <v>1112</v>
      </c>
    </row>
    <row r="121" spans="1:7" x14ac:dyDescent="0.3">
      <c r="A121" t="s">
        <v>1616</v>
      </c>
      <c r="B121" t="s">
        <v>1624</v>
      </c>
      <c r="C121" t="s">
        <v>1627</v>
      </c>
      <c r="D121" t="s">
        <v>1628</v>
      </c>
      <c r="F121" s="82" t="s">
        <v>1199</v>
      </c>
    </row>
    <row r="122" spans="1:7" x14ac:dyDescent="0.3">
      <c r="A122" t="s">
        <v>1616</v>
      </c>
      <c r="B122" t="s">
        <v>1624</v>
      </c>
      <c r="C122" t="s">
        <v>1629</v>
      </c>
      <c r="D122" t="s">
        <v>1630</v>
      </c>
      <c r="F122" s="82" t="s">
        <v>1200</v>
      </c>
    </row>
    <row r="123" spans="1:7" x14ac:dyDescent="0.3">
      <c r="A123" t="s">
        <v>1631</v>
      </c>
      <c r="B123" t="s">
        <v>433</v>
      </c>
      <c r="C123" t="s">
        <v>346</v>
      </c>
      <c r="D123" t="s">
        <v>1632</v>
      </c>
      <c r="F123" s="82" t="s">
        <v>1201</v>
      </c>
    </row>
    <row r="124" spans="1:7" x14ac:dyDescent="0.3">
      <c r="A124" t="s">
        <v>1631</v>
      </c>
      <c r="B124" t="s">
        <v>433</v>
      </c>
      <c r="C124" t="s">
        <v>434</v>
      </c>
      <c r="D124" t="s">
        <v>1633</v>
      </c>
      <c r="F124" s="82" t="s">
        <v>1202</v>
      </c>
    </row>
    <row r="125" spans="1:7" ht="28.8" x14ac:dyDescent="0.3">
      <c r="A125" t="s">
        <v>1631</v>
      </c>
      <c r="B125" t="s">
        <v>387</v>
      </c>
      <c r="C125" t="s">
        <v>1634</v>
      </c>
      <c r="D125" t="s">
        <v>1205</v>
      </c>
      <c r="F125" s="82" t="s">
        <v>1111</v>
      </c>
      <c r="G125" s="82" t="s">
        <v>1112</v>
      </c>
    </row>
    <row r="126" spans="1:7" x14ac:dyDescent="0.3">
      <c r="A126" t="s">
        <v>1631</v>
      </c>
      <c r="B126" t="s">
        <v>387</v>
      </c>
      <c r="C126" t="s">
        <v>1635</v>
      </c>
      <c r="D126" t="s">
        <v>1190</v>
      </c>
      <c r="F126" s="82" t="s">
        <v>1203</v>
      </c>
    </row>
    <row r="127" spans="1:7" x14ac:dyDescent="0.3">
      <c r="A127" t="s">
        <v>1631</v>
      </c>
      <c r="B127" t="s">
        <v>420</v>
      </c>
      <c r="C127" t="s">
        <v>1636</v>
      </c>
      <c r="D127" t="s">
        <v>1637</v>
      </c>
      <c r="F127" s="82" t="s">
        <v>1204</v>
      </c>
    </row>
    <row r="128" spans="1:7" x14ac:dyDescent="0.3">
      <c r="A128" t="s">
        <v>1631</v>
      </c>
      <c r="B128" t="s">
        <v>420</v>
      </c>
      <c r="C128" t="s">
        <v>1638</v>
      </c>
      <c r="D128" t="s">
        <v>1639</v>
      </c>
      <c r="F128" s="82" t="s">
        <v>1205</v>
      </c>
    </row>
    <row r="129" spans="1:7" x14ac:dyDescent="0.3">
      <c r="A129" t="s">
        <v>1631</v>
      </c>
      <c r="B129" t="s">
        <v>420</v>
      </c>
      <c r="C129" t="s">
        <v>1640</v>
      </c>
      <c r="D129" t="s">
        <v>1641</v>
      </c>
      <c r="F129" s="82" t="s">
        <v>1206</v>
      </c>
    </row>
    <row r="130" spans="1:7" x14ac:dyDescent="0.3">
      <c r="A130" t="s">
        <v>1631</v>
      </c>
      <c r="B130" t="s">
        <v>420</v>
      </c>
      <c r="C130" t="s">
        <v>1642</v>
      </c>
      <c r="D130" t="s">
        <v>1643</v>
      </c>
      <c r="F130" s="82" t="s">
        <v>1207</v>
      </c>
    </row>
    <row r="131" spans="1:7" x14ac:dyDescent="0.3">
      <c r="A131" t="s">
        <v>1631</v>
      </c>
      <c r="B131" t="s">
        <v>420</v>
      </c>
      <c r="C131" t="s">
        <v>1644</v>
      </c>
      <c r="D131" t="s">
        <v>1645</v>
      </c>
      <c r="F131" s="82" t="s">
        <v>1208</v>
      </c>
    </row>
    <row r="132" spans="1:7" x14ac:dyDescent="0.3">
      <c r="A132" t="s">
        <v>1631</v>
      </c>
      <c r="B132" t="s">
        <v>420</v>
      </c>
      <c r="C132" t="s">
        <v>1646</v>
      </c>
      <c r="D132" t="s">
        <v>1196</v>
      </c>
      <c r="F132" s="82" t="s">
        <v>1209</v>
      </c>
    </row>
    <row r="133" spans="1:7" x14ac:dyDescent="0.3">
      <c r="A133" t="s">
        <v>1631</v>
      </c>
      <c r="B133" t="s">
        <v>420</v>
      </c>
      <c r="C133" t="s">
        <v>1647</v>
      </c>
      <c r="D133" t="s">
        <v>1193</v>
      </c>
      <c r="F133" s="82" t="s">
        <v>1210</v>
      </c>
      <c r="G133" s="82" t="s">
        <v>1211</v>
      </c>
    </row>
    <row r="134" spans="1:7" ht="28.8" x14ac:dyDescent="0.3">
      <c r="A134" t="s">
        <v>1631</v>
      </c>
      <c r="B134" t="s">
        <v>420</v>
      </c>
      <c r="C134" t="s">
        <v>1648</v>
      </c>
      <c r="D134" t="s">
        <v>1191</v>
      </c>
      <c r="F134" s="82" t="s">
        <v>1212</v>
      </c>
    </row>
    <row r="135" spans="1:7" ht="28.8" x14ac:dyDescent="0.3">
      <c r="A135" t="s">
        <v>1631</v>
      </c>
      <c r="B135" t="s">
        <v>1649</v>
      </c>
      <c r="C135" t="s">
        <v>1650</v>
      </c>
      <c r="D135" t="s">
        <v>1185</v>
      </c>
      <c r="F135" s="82" t="s">
        <v>1213</v>
      </c>
    </row>
    <row r="136" spans="1:7" x14ac:dyDescent="0.3">
      <c r="A136" t="s">
        <v>1631</v>
      </c>
      <c r="B136" t="s">
        <v>1649</v>
      </c>
      <c r="C136" t="s">
        <v>1651</v>
      </c>
      <c r="D136" t="s">
        <v>1652</v>
      </c>
      <c r="F136" s="82" t="s">
        <v>1214</v>
      </c>
    </row>
    <row r="137" spans="1:7" x14ac:dyDescent="0.3">
      <c r="A137" t="s">
        <v>1631</v>
      </c>
      <c r="B137" t="s">
        <v>1649</v>
      </c>
      <c r="C137" t="s">
        <v>1653</v>
      </c>
      <c r="D137" t="s">
        <v>1654</v>
      </c>
      <c r="F137" s="82" t="s">
        <v>1215</v>
      </c>
    </row>
    <row r="138" spans="1:7" x14ac:dyDescent="0.3">
      <c r="A138" t="s">
        <v>1631</v>
      </c>
      <c r="B138" t="s">
        <v>1649</v>
      </c>
      <c r="C138" t="s">
        <v>1655</v>
      </c>
      <c r="D138" t="s">
        <v>1656</v>
      </c>
      <c r="F138" s="82" t="s">
        <v>1216</v>
      </c>
    </row>
    <row r="139" spans="1:7" x14ac:dyDescent="0.3">
      <c r="A139" t="s">
        <v>1631</v>
      </c>
      <c r="B139" t="s">
        <v>1649</v>
      </c>
      <c r="C139" t="s">
        <v>1657</v>
      </c>
      <c r="D139" t="s">
        <v>1658</v>
      </c>
      <c r="F139" s="82" t="s">
        <v>1218</v>
      </c>
    </row>
    <row r="140" spans="1:7" x14ac:dyDescent="0.3">
      <c r="A140" t="s">
        <v>1631</v>
      </c>
      <c r="B140" t="s">
        <v>1649</v>
      </c>
      <c r="C140" t="s">
        <v>1659</v>
      </c>
      <c r="D140" t="s">
        <v>1182</v>
      </c>
      <c r="F140" s="82" t="s">
        <v>1220</v>
      </c>
    </row>
    <row r="141" spans="1:7" x14ac:dyDescent="0.3">
      <c r="A141" t="s">
        <v>1631</v>
      </c>
      <c r="B141" t="s">
        <v>1649</v>
      </c>
      <c r="C141" t="s">
        <v>1660</v>
      </c>
      <c r="D141" t="s">
        <v>1184</v>
      </c>
      <c r="F141" s="82" t="s">
        <v>1222</v>
      </c>
    </row>
    <row r="142" spans="1:7" x14ac:dyDescent="0.3">
      <c r="A142" t="s">
        <v>1631</v>
      </c>
      <c r="B142" t="s">
        <v>1649</v>
      </c>
      <c r="C142" t="s">
        <v>1661</v>
      </c>
      <c r="D142" t="s">
        <v>1662</v>
      </c>
      <c r="F142" s="82" t="s">
        <v>1224</v>
      </c>
    </row>
    <row r="143" spans="1:7" ht="43.2" x14ac:dyDescent="0.3">
      <c r="A143" t="s">
        <v>1631</v>
      </c>
      <c r="B143" t="s">
        <v>1663</v>
      </c>
      <c r="C143" t="s">
        <v>1664</v>
      </c>
      <c r="D143" t="s">
        <v>1665</v>
      </c>
      <c r="F143" s="82" t="s">
        <v>1226</v>
      </c>
    </row>
    <row r="144" spans="1:7" x14ac:dyDescent="0.3">
      <c r="A144" t="s">
        <v>1631</v>
      </c>
      <c r="B144" t="s">
        <v>1663</v>
      </c>
      <c r="C144" t="s">
        <v>1666</v>
      </c>
      <c r="D144" t="s">
        <v>1667</v>
      </c>
      <c r="F144" s="82" t="s">
        <v>1228</v>
      </c>
    </row>
    <row r="145" spans="1:6" ht="28.8" x14ac:dyDescent="0.3">
      <c r="A145" t="s">
        <v>1631</v>
      </c>
      <c r="B145" t="s">
        <v>1663</v>
      </c>
      <c r="C145" t="s">
        <v>1668</v>
      </c>
      <c r="D145" t="s">
        <v>1669</v>
      </c>
      <c r="F145" s="82" t="s">
        <v>1230</v>
      </c>
    </row>
    <row r="146" spans="1:6" ht="28.8" x14ac:dyDescent="0.3">
      <c r="A146" t="s">
        <v>1631</v>
      </c>
      <c r="B146" t="s">
        <v>1663</v>
      </c>
      <c r="C146" t="s">
        <v>1670</v>
      </c>
      <c r="D146" t="s">
        <v>1177</v>
      </c>
      <c r="F146" s="82" t="s">
        <v>1232</v>
      </c>
    </row>
    <row r="147" spans="1:6" x14ac:dyDescent="0.3">
      <c r="A147" t="s">
        <v>1631</v>
      </c>
      <c r="B147" t="s">
        <v>1663</v>
      </c>
      <c r="C147" t="s">
        <v>1671</v>
      </c>
      <c r="D147" t="s">
        <v>1175</v>
      </c>
      <c r="F147" s="82" t="s">
        <v>1234</v>
      </c>
    </row>
    <row r="148" spans="1:6" x14ac:dyDescent="0.3">
      <c r="A148" t="s">
        <v>1631</v>
      </c>
      <c r="B148" t="s">
        <v>1672</v>
      </c>
      <c r="C148" t="s">
        <v>1673</v>
      </c>
      <c r="D148" t="s">
        <v>1674</v>
      </c>
      <c r="F148" s="82" t="s">
        <v>1235</v>
      </c>
    </row>
    <row r="149" spans="1:6" x14ac:dyDescent="0.3">
      <c r="A149" t="s">
        <v>1631</v>
      </c>
      <c r="B149" t="s">
        <v>1672</v>
      </c>
      <c r="C149" t="s">
        <v>1675</v>
      </c>
      <c r="D149" t="s">
        <v>1676</v>
      </c>
      <c r="F149" s="82" t="s">
        <v>1237</v>
      </c>
    </row>
    <row r="150" spans="1:6" x14ac:dyDescent="0.3">
      <c r="A150" t="s">
        <v>1631</v>
      </c>
      <c r="B150" t="s">
        <v>1672</v>
      </c>
      <c r="C150" t="s">
        <v>1677</v>
      </c>
      <c r="D150" t="s">
        <v>1678</v>
      </c>
      <c r="F150" s="82" t="s">
        <v>1239</v>
      </c>
    </row>
    <row r="151" spans="1:6" x14ac:dyDescent="0.3">
      <c r="A151" t="s">
        <v>1631</v>
      </c>
      <c r="B151" t="s">
        <v>1672</v>
      </c>
      <c r="C151" t="s">
        <v>1679</v>
      </c>
      <c r="D151" t="s">
        <v>1680</v>
      </c>
    </row>
    <row r="152" spans="1:6" x14ac:dyDescent="0.3">
      <c r="A152" t="s">
        <v>1631</v>
      </c>
      <c r="B152" t="s">
        <v>1681</v>
      </c>
      <c r="C152" t="s">
        <v>1682</v>
      </c>
      <c r="D152" t="s">
        <v>1197</v>
      </c>
    </row>
    <row r="153" spans="1:6" x14ac:dyDescent="0.3">
      <c r="A153" t="s">
        <v>1631</v>
      </c>
      <c r="B153" t="s">
        <v>1681</v>
      </c>
      <c r="C153" t="s">
        <v>1683</v>
      </c>
      <c r="D153" t="s">
        <v>1200</v>
      </c>
    </row>
    <row r="154" spans="1:6" x14ac:dyDescent="0.3">
      <c r="A154" t="s">
        <v>1631</v>
      </c>
      <c r="B154" t="s">
        <v>1681</v>
      </c>
      <c r="C154" t="s">
        <v>1684</v>
      </c>
      <c r="D154" t="s">
        <v>1685</v>
      </c>
    </row>
    <row r="155" spans="1:6" x14ac:dyDescent="0.3">
      <c r="A155" t="s">
        <v>1631</v>
      </c>
      <c r="B155" t="s">
        <v>1681</v>
      </c>
      <c r="C155" t="s">
        <v>1686</v>
      </c>
      <c r="D155" t="s">
        <v>1687</v>
      </c>
    </row>
    <row r="156" spans="1:6" x14ac:dyDescent="0.3">
      <c r="A156" t="s">
        <v>1631</v>
      </c>
      <c r="B156" t="s">
        <v>1681</v>
      </c>
      <c r="C156" t="s">
        <v>1688</v>
      </c>
      <c r="D156" t="s">
        <v>1689</v>
      </c>
    </row>
    <row r="157" spans="1:6" x14ac:dyDescent="0.3">
      <c r="A157" t="s">
        <v>1631</v>
      </c>
      <c r="B157" t="s">
        <v>1681</v>
      </c>
      <c r="C157" t="s">
        <v>1690</v>
      </c>
      <c r="D157" t="s">
        <v>1691</v>
      </c>
    </row>
    <row r="158" spans="1:6" x14ac:dyDescent="0.3">
      <c r="A158" t="s">
        <v>1631</v>
      </c>
      <c r="B158" t="s">
        <v>1681</v>
      </c>
      <c r="C158" t="s">
        <v>1692</v>
      </c>
      <c r="D158" t="s">
        <v>1693</v>
      </c>
    </row>
    <row r="159" spans="1:6" x14ac:dyDescent="0.3">
      <c r="A159" t="s">
        <v>1631</v>
      </c>
      <c r="B159" t="s">
        <v>1681</v>
      </c>
      <c r="C159" t="s">
        <v>1694</v>
      </c>
      <c r="D159" t="s">
        <v>1198</v>
      </c>
    </row>
    <row r="160" spans="1:6" x14ac:dyDescent="0.3">
      <c r="A160" t="s">
        <v>1631</v>
      </c>
      <c r="B160" t="s">
        <v>1681</v>
      </c>
      <c r="C160" t="s">
        <v>1695</v>
      </c>
      <c r="D160" t="s">
        <v>1201</v>
      </c>
    </row>
    <row r="161" spans="1:5" x14ac:dyDescent="0.3">
      <c r="A161" t="s">
        <v>1696</v>
      </c>
      <c r="C161" t="s">
        <v>1697</v>
      </c>
      <c r="D161" t="s">
        <v>1698</v>
      </c>
    </row>
    <row r="162" spans="1:5" x14ac:dyDescent="0.3">
      <c r="A162" t="s">
        <v>1696</v>
      </c>
      <c r="C162" t="s">
        <v>1699</v>
      </c>
      <c r="D162" t="s">
        <v>1700</v>
      </c>
    </row>
    <row r="163" spans="1:5" x14ac:dyDescent="0.3">
      <c r="A163" t="s">
        <v>1696</v>
      </c>
      <c r="C163" t="s">
        <v>1701</v>
      </c>
      <c r="D163" t="s">
        <v>1702</v>
      </c>
    </row>
    <row r="164" spans="1:5" x14ac:dyDescent="0.3">
      <c r="A164" t="s">
        <v>1696</v>
      </c>
      <c r="C164" t="s">
        <v>1703</v>
      </c>
      <c r="D164" t="s">
        <v>1704</v>
      </c>
    </row>
    <row r="165" spans="1:5" x14ac:dyDescent="0.3">
      <c r="A165" t="s">
        <v>1696</v>
      </c>
      <c r="C165" t="s">
        <v>1705</v>
      </c>
      <c r="D165" t="s">
        <v>1706</v>
      </c>
    </row>
    <row r="166" spans="1:5" x14ac:dyDescent="0.3">
      <c r="A166" t="s">
        <v>1696</v>
      </c>
      <c r="C166" t="s">
        <v>1707</v>
      </c>
      <c r="D166" t="s">
        <v>1708</v>
      </c>
    </row>
    <row r="167" spans="1:5" x14ac:dyDescent="0.3">
      <c r="A167" t="s">
        <v>1696</v>
      </c>
      <c r="C167" t="s">
        <v>1709</v>
      </c>
      <c r="D167" t="s">
        <v>1710</v>
      </c>
    </row>
    <row r="168" spans="1:5" x14ac:dyDescent="0.3">
      <c r="A168" t="s">
        <v>1696</v>
      </c>
      <c r="C168" t="s">
        <v>1711</v>
      </c>
      <c r="D168" t="s">
        <v>1712</v>
      </c>
    </row>
    <row r="169" spans="1:5" x14ac:dyDescent="0.3">
      <c r="A169" t="s">
        <v>1696</v>
      </c>
      <c r="C169" t="s">
        <v>1713</v>
      </c>
      <c r="D169" t="s">
        <v>1714</v>
      </c>
    </row>
    <row r="170" spans="1:5" x14ac:dyDescent="0.3">
      <c r="A170" t="s">
        <v>1696</v>
      </c>
      <c r="C170" t="s">
        <v>1715</v>
      </c>
      <c r="D170" t="s">
        <v>1716</v>
      </c>
    </row>
    <row r="171" spans="1:5" x14ac:dyDescent="0.3">
      <c r="A171" t="s">
        <v>1696</v>
      </c>
      <c r="C171" t="s">
        <v>1717</v>
      </c>
      <c r="D171" t="s">
        <v>1718</v>
      </c>
    </row>
    <row r="172" spans="1:5" x14ac:dyDescent="0.3">
      <c r="A172" t="s">
        <v>1696</v>
      </c>
      <c r="C172" t="s">
        <v>1719</v>
      </c>
      <c r="D172" t="s">
        <v>1720</v>
      </c>
    </row>
    <row r="173" spans="1:5" x14ac:dyDescent="0.3">
      <c r="A173" t="s">
        <v>1696</v>
      </c>
      <c r="C173" t="s">
        <v>1721</v>
      </c>
      <c r="D173" t="s">
        <v>1722</v>
      </c>
      <c r="E173" t="s">
        <v>1723</v>
      </c>
    </row>
    <row r="174" spans="1:5" x14ac:dyDescent="0.3">
      <c r="A174" t="s">
        <v>1724</v>
      </c>
      <c r="B174" t="s">
        <v>1725</v>
      </c>
      <c r="C174" t="s">
        <v>1726</v>
      </c>
      <c r="D174" t="s">
        <v>1168</v>
      </c>
    </row>
    <row r="175" spans="1:5" x14ac:dyDescent="0.3">
      <c r="A175" t="s">
        <v>1724</v>
      </c>
      <c r="B175" t="s">
        <v>1725</v>
      </c>
      <c r="C175" t="s">
        <v>1727</v>
      </c>
      <c r="D175" t="s">
        <v>1728</v>
      </c>
    </row>
    <row r="176" spans="1:5" x14ac:dyDescent="0.3">
      <c r="A176" t="s">
        <v>1724</v>
      </c>
      <c r="B176" t="s">
        <v>1725</v>
      </c>
      <c r="C176" t="s">
        <v>1729</v>
      </c>
      <c r="D176" t="s">
        <v>1730</v>
      </c>
    </row>
    <row r="177" spans="1:4" x14ac:dyDescent="0.3">
      <c r="A177" t="s">
        <v>1724</v>
      </c>
      <c r="B177" t="s">
        <v>1725</v>
      </c>
      <c r="C177" t="s">
        <v>1731</v>
      </c>
      <c r="D177" t="s">
        <v>1732</v>
      </c>
    </row>
    <row r="178" spans="1:4" x14ac:dyDescent="0.3">
      <c r="A178" t="s">
        <v>1724</v>
      </c>
      <c r="B178" t="s">
        <v>1725</v>
      </c>
      <c r="C178" t="s">
        <v>1733</v>
      </c>
      <c r="D178" t="s">
        <v>1734</v>
      </c>
    </row>
    <row r="179" spans="1:4" x14ac:dyDescent="0.3">
      <c r="A179" t="s">
        <v>1724</v>
      </c>
      <c r="B179" t="s">
        <v>1725</v>
      </c>
      <c r="C179" t="s">
        <v>1735</v>
      </c>
      <c r="D179" t="s">
        <v>1736</v>
      </c>
    </row>
    <row r="180" spans="1:4" x14ac:dyDescent="0.3">
      <c r="A180" t="s">
        <v>1724</v>
      </c>
      <c r="B180" t="s">
        <v>1725</v>
      </c>
      <c r="C180" t="s">
        <v>1737</v>
      </c>
      <c r="D180" t="s">
        <v>1738</v>
      </c>
    </row>
    <row r="181" spans="1:4" x14ac:dyDescent="0.3">
      <c r="A181" t="s">
        <v>1724</v>
      </c>
      <c r="B181" t="s">
        <v>1725</v>
      </c>
      <c r="C181" t="s">
        <v>1739</v>
      </c>
      <c r="D181" t="s">
        <v>1740</v>
      </c>
    </row>
    <row r="182" spans="1:4" x14ac:dyDescent="0.3">
      <c r="A182" t="s">
        <v>1741</v>
      </c>
      <c r="B182" t="s">
        <v>1742</v>
      </c>
      <c r="C182" t="s">
        <v>1743</v>
      </c>
      <c r="D182" t="s">
        <v>1744</v>
      </c>
    </row>
    <row r="183" spans="1:4" x14ac:dyDescent="0.3">
      <c r="A183" t="s">
        <v>1741</v>
      </c>
      <c r="B183" t="s">
        <v>1742</v>
      </c>
      <c r="C183" t="s">
        <v>1745</v>
      </c>
      <c r="D183" t="s">
        <v>1746</v>
      </c>
    </row>
    <row r="184" spans="1:4" x14ac:dyDescent="0.3">
      <c r="A184" t="s">
        <v>1741</v>
      </c>
      <c r="B184" t="s">
        <v>1742</v>
      </c>
      <c r="C184" t="s">
        <v>1747</v>
      </c>
      <c r="D184" t="s">
        <v>1748</v>
      </c>
    </row>
    <row r="185" spans="1:4" x14ac:dyDescent="0.3">
      <c r="A185" t="s">
        <v>1724</v>
      </c>
      <c r="B185" t="s">
        <v>1749</v>
      </c>
      <c r="C185" t="s">
        <v>1750</v>
      </c>
      <c r="D185" t="s">
        <v>1751</v>
      </c>
    </row>
    <row r="186" spans="1:4" x14ac:dyDescent="0.3">
      <c r="A186" t="s">
        <v>1724</v>
      </c>
      <c r="B186" t="s">
        <v>1749</v>
      </c>
      <c r="C186" t="s">
        <v>1752</v>
      </c>
      <c r="D186" t="s">
        <v>1753</v>
      </c>
    </row>
    <row r="187" spans="1:4" x14ac:dyDescent="0.3">
      <c r="A187" t="s">
        <v>1724</v>
      </c>
      <c r="B187" t="s">
        <v>1749</v>
      </c>
      <c r="C187" t="s">
        <v>1754</v>
      </c>
      <c r="D187" t="s">
        <v>1755</v>
      </c>
    </row>
    <row r="188" spans="1:4" x14ac:dyDescent="0.3">
      <c r="A188" t="s">
        <v>1724</v>
      </c>
      <c r="B188" t="s">
        <v>1749</v>
      </c>
      <c r="C188" t="s">
        <v>1756</v>
      </c>
      <c r="D188" t="s">
        <v>1757</v>
      </c>
    </row>
    <row r="189" spans="1:4" x14ac:dyDescent="0.3">
      <c r="A189" t="s">
        <v>1724</v>
      </c>
      <c r="B189" t="s">
        <v>1758</v>
      </c>
      <c r="C189" t="s">
        <v>1759</v>
      </c>
      <c r="D189" t="s">
        <v>1173</v>
      </c>
    </row>
    <row r="190" spans="1:4" x14ac:dyDescent="0.3">
      <c r="A190" t="s">
        <v>1724</v>
      </c>
      <c r="B190" t="s">
        <v>1758</v>
      </c>
      <c r="C190" t="s">
        <v>1760</v>
      </c>
      <c r="D190" t="s">
        <v>1761</v>
      </c>
    </row>
    <row r="191" spans="1:4" x14ac:dyDescent="0.3">
      <c r="A191" t="s">
        <v>1724</v>
      </c>
      <c r="B191" t="s">
        <v>738</v>
      </c>
      <c r="C191" t="s">
        <v>1762</v>
      </c>
      <c r="D191" t="s">
        <v>1763</v>
      </c>
    </row>
    <row r="192" spans="1:4" x14ac:dyDescent="0.3">
      <c r="A192" t="s">
        <v>1724</v>
      </c>
      <c r="B192" t="s">
        <v>738</v>
      </c>
      <c r="C192" t="s">
        <v>1764</v>
      </c>
      <c r="D192" t="s">
        <v>1765</v>
      </c>
    </row>
    <row r="193" spans="1:4" x14ac:dyDescent="0.3">
      <c r="A193" t="s">
        <v>1724</v>
      </c>
      <c r="B193" t="s">
        <v>738</v>
      </c>
      <c r="C193" t="s">
        <v>1766</v>
      </c>
      <c r="D193" t="s">
        <v>1767</v>
      </c>
    </row>
    <row r="194" spans="1:4" x14ac:dyDescent="0.3">
      <c r="A194" t="s">
        <v>1724</v>
      </c>
      <c r="B194" t="s">
        <v>738</v>
      </c>
      <c r="C194" t="s">
        <v>1768</v>
      </c>
      <c r="D194" t="s">
        <v>1769</v>
      </c>
    </row>
    <row r="195" spans="1:4" x14ac:dyDescent="0.3">
      <c r="A195" t="s">
        <v>1724</v>
      </c>
      <c r="B195" t="s">
        <v>738</v>
      </c>
      <c r="C195" t="s">
        <v>1770</v>
      </c>
      <c r="D195" t="s">
        <v>1771</v>
      </c>
    </row>
    <row r="196" spans="1:4" x14ac:dyDescent="0.3">
      <c r="A196" t="s">
        <v>1724</v>
      </c>
      <c r="B196" t="s">
        <v>738</v>
      </c>
      <c r="C196" t="s">
        <v>1772</v>
      </c>
      <c r="D196" t="s">
        <v>1773</v>
      </c>
    </row>
    <row r="197" spans="1:4" x14ac:dyDescent="0.3">
      <c r="A197" t="s">
        <v>1724</v>
      </c>
      <c r="B197" t="s">
        <v>738</v>
      </c>
      <c r="C197" t="s">
        <v>1774</v>
      </c>
      <c r="D197" t="s">
        <v>1775</v>
      </c>
    </row>
    <row r="198" spans="1:4" x14ac:dyDescent="0.3">
      <c r="A198" t="s">
        <v>1724</v>
      </c>
      <c r="B198" t="s">
        <v>738</v>
      </c>
      <c r="C198" t="s">
        <v>1225</v>
      </c>
      <c r="D198" t="s">
        <v>1776</v>
      </c>
    </row>
    <row r="199" spans="1:4" x14ac:dyDescent="0.3">
      <c r="A199" t="s">
        <v>1724</v>
      </c>
      <c r="B199" t="s">
        <v>738</v>
      </c>
      <c r="C199" t="s">
        <v>1227</v>
      </c>
      <c r="D199" t="s">
        <v>1228</v>
      </c>
    </row>
    <row r="200" spans="1:4" x14ac:dyDescent="0.3">
      <c r="A200" t="s">
        <v>1724</v>
      </c>
      <c r="B200" t="s">
        <v>738</v>
      </c>
      <c r="C200" t="s">
        <v>1777</v>
      </c>
      <c r="D200" t="s">
        <v>1778</v>
      </c>
    </row>
    <row r="201" spans="1:4" x14ac:dyDescent="0.3">
      <c r="A201" t="s">
        <v>1724</v>
      </c>
      <c r="B201" t="s">
        <v>738</v>
      </c>
      <c r="C201" t="s">
        <v>1779</v>
      </c>
      <c r="D201" t="s">
        <v>1780</v>
      </c>
    </row>
    <row r="202" spans="1:4" x14ac:dyDescent="0.3">
      <c r="A202" t="s">
        <v>1724</v>
      </c>
      <c r="B202" t="s">
        <v>738</v>
      </c>
      <c r="C202" t="s">
        <v>1781</v>
      </c>
      <c r="D202" t="s">
        <v>1782</v>
      </c>
    </row>
    <row r="203" spans="1:4" x14ac:dyDescent="0.3">
      <c r="A203" t="s">
        <v>1724</v>
      </c>
      <c r="B203" t="s">
        <v>738</v>
      </c>
      <c r="C203" t="s">
        <v>1783</v>
      </c>
      <c r="D203" t="s">
        <v>1784</v>
      </c>
    </row>
    <row r="204" spans="1:4" x14ac:dyDescent="0.3">
      <c r="A204" t="s">
        <v>1724</v>
      </c>
      <c r="B204" t="s">
        <v>738</v>
      </c>
      <c r="C204" t="s">
        <v>1785</v>
      </c>
      <c r="D204" t="s">
        <v>1786</v>
      </c>
    </row>
    <row r="205" spans="1:4" x14ac:dyDescent="0.3">
      <c r="A205" t="s">
        <v>1724</v>
      </c>
      <c r="B205" t="s">
        <v>1787</v>
      </c>
      <c r="C205" t="s">
        <v>1788</v>
      </c>
      <c r="D205" t="s">
        <v>1789</v>
      </c>
    </row>
    <row r="206" spans="1:4" x14ac:dyDescent="0.3">
      <c r="A206" t="s">
        <v>1724</v>
      </c>
      <c r="B206" t="s">
        <v>1787</v>
      </c>
      <c r="C206" t="s">
        <v>1790</v>
      </c>
      <c r="D206" t="s">
        <v>1791</v>
      </c>
    </row>
    <row r="207" spans="1:4" x14ac:dyDescent="0.3">
      <c r="A207" t="s">
        <v>1724</v>
      </c>
      <c r="B207" t="s">
        <v>1787</v>
      </c>
      <c r="C207" t="s">
        <v>1792</v>
      </c>
      <c r="D207" t="s">
        <v>1793</v>
      </c>
    </row>
    <row r="208" spans="1:4" x14ac:dyDescent="0.3">
      <c r="A208" t="s">
        <v>1741</v>
      </c>
      <c r="B208" t="s">
        <v>1794</v>
      </c>
      <c r="C208" t="s">
        <v>1795</v>
      </c>
      <c r="D208" t="s">
        <v>1796</v>
      </c>
    </row>
    <row r="209" spans="1:4" x14ac:dyDescent="0.3">
      <c r="A209" t="s">
        <v>1741</v>
      </c>
      <c r="B209" t="s">
        <v>1794</v>
      </c>
      <c r="C209" t="s">
        <v>1797</v>
      </c>
      <c r="D209" t="s">
        <v>1798</v>
      </c>
    </row>
    <row r="210" spans="1:4" x14ac:dyDescent="0.3">
      <c r="A210" t="s">
        <v>1741</v>
      </c>
      <c r="B210" t="s">
        <v>1794</v>
      </c>
      <c r="C210" t="s">
        <v>1799</v>
      </c>
      <c r="D210" t="s">
        <v>1800</v>
      </c>
    </row>
    <row r="211" spans="1:4" x14ac:dyDescent="0.3">
      <c r="A211" t="s">
        <v>1741</v>
      </c>
      <c r="B211" t="s">
        <v>1794</v>
      </c>
      <c r="C211" t="s">
        <v>1801</v>
      </c>
      <c r="D211" t="s">
        <v>1802</v>
      </c>
    </row>
    <row r="212" spans="1:4" x14ac:dyDescent="0.3">
      <c r="A212" t="s">
        <v>1741</v>
      </c>
      <c r="B212" t="s">
        <v>1794</v>
      </c>
      <c r="C212" t="s">
        <v>1803</v>
      </c>
      <c r="D212" t="s">
        <v>1804</v>
      </c>
    </row>
    <row r="213" spans="1:4" x14ac:dyDescent="0.3">
      <c r="A213" t="s">
        <v>1741</v>
      </c>
      <c r="B213" t="s">
        <v>1794</v>
      </c>
      <c r="C213" t="s">
        <v>1805</v>
      </c>
      <c r="D213" t="s">
        <v>1806</v>
      </c>
    </row>
    <row r="214" spans="1:4" x14ac:dyDescent="0.3">
      <c r="A214" t="s">
        <v>1741</v>
      </c>
      <c r="B214" t="s">
        <v>1794</v>
      </c>
      <c r="C214" t="s">
        <v>1807</v>
      </c>
      <c r="D214" t="s">
        <v>1808</v>
      </c>
    </row>
    <row r="215" spans="1:4" x14ac:dyDescent="0.3">
      <c r="A215" t="s">
        <v>1741</v>
      </c>
      <c r="B215" t="s">
        <v>1794</v>
      </c>
      <c r="C215" t="s">
        <v>1809</v>
      </c>
      <c r="D215" t="s">
        <v>1810</v>
      </c>
    </row>
    <row r="216" spans="1:4" x14ac:dyDescent="0.3">
      <c r="A216" t="s">
        <v>1741</v>
      </c>
      <c r="B216" t="s">
        <v>1794</v>
      </c>
      <c r="C216" t="s">
        <v>1811</v>
      </c>
      <c r="D216" t="s">
        <v>1812</v>
      </c>
    </row>
    <row r="217" spans="1:4" x14ac:dyDescent="0.3">
      <c r="A217" t="s">
        <v>1741</v>
      </c>
      <c r="B217" t="s">
        <v>1794</v>
      </c>
      <c r="C217" t="s">
        <v>1813</v>
      </c>
      <c r="D217" t="s">
        <v>1814</v>
      </c>
    </row>
    <row r="218" spans="1:4" x14ac:dyDescent="0.3">
      <c r="A218" t="s">
        <v>1741</v>
      </c>
      <c r="B218" t="s">
        <v>1794</v>
      </c>
      <c r="C218" t="s">
        <v>1815</v>
      </c>
      <c r="D218" t="s">
        <v>1816</v>
      </c>
    </row>
    <row r="219" spans="1:4" x14ac:dyDescent="0.3">
      <c r="A219" t="s">
        <v>1741</v>
      </c>
      <c r="B219" t="s">
        <v>1794</v>
      </c>
      <c r="C219" t="s">
        <v>1817</v>
      </c>
      <c r="D219" t="s">
        <v>1818</v>
      </c>
    </row>
    <row r="220" spans="1:4" x14ac:dyDescent="0.3">
      <c r="A220" t="s">
        <v>1741</v>
      </c>
      <c r="B220" t="s">
        <v>1794</v>
      </c>
      <c r="C220" t="s">
        <v>1819</v>
      </c>
      <c r="D220" t="s">
        <v>1820</v>
      </c>
    </row>
    <row r="221" spans="1:4" x14ac:dyDescent="0.3">
      <c r="A221" t="s">
        <v>1741</v>
      </c>
      <c r="B221" t="s">
        <v>1794</v>
      </c>
      <c r="C221" t="s">
        <v>1821</v>
      </c>
      <c r="D221" t="s">
        <v>1822</v>
      </c>
    </row>
    <row r="222" spans="1:4" x14ac:dyDescent="0.3">
      <c r="A222" t="s">
        <v>1741</v>
      </c>
      <c r="B222" t="s">
        <v>1794</v>
      </c>
      <c r="C222" t="s">
        <v>1823</v>
      </c>
      <c r="D222" t="s">
        <v>1824</v>
      </c>
    </row>
    <row r="223" spans="1:4" x14ac:dyDescent="0.3">
      <c r="A223" t="s">
        <v>1741</v>
      </c>
      <c r="B223" t="s">
        <v>1794</v>
      </c>
      <c r="C223" t="s">
        <v>1825</v>
      </c>
      <c r="D223" t="s">
        <v>1826</v>
      </c>
    </row>
    <row r="224" spans="1:4" x14ac:dyDescent="0.3">
      <c r="A224" t="s">
        <v>1741</v>
      </c>
      <c r="B224" t="s">
        <v>1794</v>
      </c>
      <c r="C224" t="s">
        <v>1996</v>
      </c>
      <c r="D224" t="s">
        <v>1997</v>
      </c>
    </row>
    <row r="225" spans="1:4" x14ac:dyDescent="0.3">
      <c r="A225" t="s">
        <v>1741</v>
      </c>
      <c r="B225" t="s">
        <v>1794</v>
      </c>
      <c r="C225" t="s">
        <v>1998</v>
      </c>
      <c r="D225" t="s">
        <v>1999</v>
      </c>
    </row>
    <row r="226" spans="1:4" x14ac:dyDescent="0.3">
      <c r="A226" t="s">
        <v>1741</v>
      </c>
      <c r="B226" t="s">
        <v>1794</v>
      </c>
      <c r="C226" t="s">
        <v>2000</v>
      </c>
      <c r="D226" t="s">
        <v>2001</v>
      </c>
    </row>
    <row r="227" spans="1:4" x14ac:dyDescent="0.3">
      <c r="A227" t="s">
        <v>1741</v>
      </c>
      <c r="B227" t="s">
        <v>1794</v>
      </c>
      <c r="C227" t="s">
        <v>2002</v>
      </c>
      <c r="D227" t="s">
        <v>2003</v>
      </c>
    </row>
    <row r="228" spans="1:4" x14ac:dyDescent="0.3">
      <c r="A228" t="s">
        <v>1741</v>
      </c>
      <c r="B228" t="s">
        <v>1827</v>
      </c>
      <c r="C228" t="s">
        <v>1828</v>
      </c>
      <c r="D228" t="s">
        <v>1829</v>
      </c>
    </row>
    <row r="229" spans="1:4" x14ac:dyDescent="0.3">
      <c r="A229" t="s">
        <v>1741</v>
      </c>
      <c r="B229" t="s">
        <v>1827</v>
      </c>
      <c r="C229" t="s">
        <v>1830</v>
      </c>
      <c r="D229" t="s">
        <v>1831</v>
      </c>
    </row>
    <row r="230" spans="1:4" x14ac:dyDescent="0.3">
      <c r="A230" t="s">
        <v>1741</v>
      </c>
      <c r="B230" t="s">
        <v>1827</v>
      </c>
      <c r="C230" t="s">
        <v>1832</v>
      </c>
      <c r="D230" t="s">
        <v>1833</v>
      </c>
    </row>
    <row r="231" spans="1:4" x14ac:dyDescent="0.3">
      <c r="A231" t="s">
        <v>1741</v>
      </c>
      <c r="B231" t="s">
        <v>1827</v>
      </c>
      <c r="C231" t="s">
        <v>1834</v>
      </c>
      <c r="D231" t="s">
        <v>1835</v>
      </c>
    </row>
    <row r="232" spans="1:4" x14ac:dyDescent="0.3">
      <c r="A232" t="s">
        <v>1741</v>
      </c>
      <c r="B232" t="s">
        <v>1827</v>
      </c>
      <c r="C232" t="s">
        <v>1836</v>
      </c>
      <c r="D232" t="s">
        <v>1837</v>
      </c>
    </row>
    <row r="233" spans="1:4" x14ac:dyDescent="0.3">
      <c r="A233" t="s">
        <v>1741</v>
      </c>
      <c r="B233" t="s">
        <v>1827</v>
      </c>
      <c r="C233" t="s">
        <v>1838</v>
      </c>
      <c r="D233" t="s">
        <v>1839</v>
      </c>
    </row>
    <row r="234" spans="1:4" x14ac:dyDescent="0.3">
      <c r="A234" t="s">
        <v>1741</v>
      </c>
      <c r="B234" t="s">
        <v>1827</v>
      </c>
      <c r="C234" t="s">
        <v>1840</v>
      </c>
      <c r="D234" t="s">
        <v>1841</v>
      </c>
    </row>
    <row r="235" spans="1:4" x14ac:dyDescent="0.3">
      <c r="A235" t="s">
        <v>1741</v>
      </c>
      <c r="B235" t="s">
        <v>1827</v>
      </c>
      <c r="C235" t="s">
        <v>1842</v>
      </c>
      <c r="D235" t="s">
        <v>1843</v>
      </c>
    </row>
    <row r="236" spans="1:4" x14ac:dyDescent="0.3">
      <c r="A236" t="s">
        <v>1741</v>
      </c>
      <c r="B236" t="s">
        <v>1827</v>
      </c>
      <c r="C236" t="s">
        <v>2004</v>
      </c>
      <c r="D236" t="s">
        <v>2005</v>
      </c>
    </row>
    <row r="237" spans="1:4" x14ac:dyDescent="0.3">
      <c r="A237" t="s">
        <v>1741</v>
      </c>
      <c r="B237" t="s">
        <v>1827</v>
      </c>
      <c r="C237" t="s">
        <v>2006</v>
      </c>
      <c r="D237" t="s">
        <v>2007</v>
      </c>
    </row>
    <row r="238" spans="1:4" x14ac:dyDescent="0.3">
      <c r="A238" t="s">
        <v>1741</v>
      </c>
      <c r="B238" t="s">
        <v>1827</v>
      </c>
      <c r="C238" t="s">
        <v>2008</v>
      </c>
      <c r="D238" t="s">
        <v>2009</v>
      </c>
    </row>
    <row r="239" spans="1:4" x14ac:dyDescent="0.3">
      <c r="A239" t="s">
        <v>1741</v>
      </c>
      <c r="B239" t="s">
        <v>1827</v>
      </c>
      <c r="C239" t="s">
        <v>2010</v>
      </c>
      <c r="D239" t="s">
        <v>2011</v>
      </c>
    </row>
    <row r="240" spans="1:4" x14ac:dyDescent="0.3">
      <c r="A240" t="s">
        <v>1741</v>
      </c>
      <c r="B240" t="s">
        <v>1827</v>
      </c>
      <c r="C240" t="s">
        <v>2012</v>
      </c>
      <c r="D240" t="s">
        <v>2013</v>
      </c>
    </row>
    <row r="241" spans="1:4" x14ac:dyDescent="0.3">
      <c r="A241" t="s">
        <v>1844</v>
      </c>
      <c r="B241" t="s">
        <v>1071</v>
      </c>
      <c r="C241" t="s">
        <v>1845</v>
      </c>
      <c r="D241" t="s">
        <v>1846</v>
      </c>
    </row>
    <row r="242" spans="1:4" x14ac:dyDescent="0.3">
      <c r="A242" t="s">
        <v>1844</v>
      </c>
      <c r="B242" t="s">
        <v>1071</v>
      </c>
      <c r="C242" t="s">
        <v>1847</v>
      </c>
      <c r="D242" t="s">
        <v>1848</v>
      </c>
    </row>
    <row r="243" spans="1:4" x14ac:dyDescent="0.3">
      <c r="A243" t="s">
        <v>1844</v>
      </c>
      <c r="B243" t="s">
        <v>1071</v>
      </c>
      <c r="C243" t="s">
        <v>1849</v>
      </c>
      <c r="D243" t="s">
        <v>1850</v>
      </c>
    </row>
    <row r="244" spans="1:4" x14ac:dyDescent="0.3">
      <c r="A244" t="s">
        <v>1844</v>
      </c>
      <c r="B244" t="s">
        <v>1071</v>
      </c>
      <c r="C244" t="s">
        <v>1851</v>
      </c>
      <c r="D244" t="s">
        <v>1852</v>
      </c>
    </row>
    <row r="245" spans="1:4" x14ac:dyDescent="0.3">
      <c r="A245" t="s">
        <v>1844</v>
      </c>
      <c r="B245" t="s">
        <v>1071</v>
      </c>
      <c r="C245" t="s">
        <v>1853</v>
      </c>
      <c r="D245" t="s">
        <v>1854</v>
      </c>
    </row>
    <row r="246" spans="1:4" x14ac:dyDescent="0.3">
      <c r="A246" t="s">
        <v>1844</v>
      </c>
      <c r="B246" t="s">
        <v>1071</v>
      </c>
      <c r="C246" t="s">
        <v>1855</v>
      </c>
      <c r="D246" t="s">
        <v>1856</v>
      </c>
    </row>
    <row r="247" spans="1:4" x14ac:dyDescent="0.3">
      <c r="A247" t="s">
        <v>1844</v>
      </c>
      <c r="B247" t="s">
        <v>1071</v>
      </c>
      <c r="C247" t="s">
        <v>1857</v>
      </c>
      <c r="D247" t="s">
        <v>1858</v>
      </c>
    </row>
    <row r="248" spans="1:4" x14ac:dyDescent="0.3">
      <c r="A248" t="s">
        <v>1844</v>
      </c>
      <c r="B248" t="s">
        <v>738</v>
      </c>
      <c r="C248" t="s">
        <v>1859</v>
      </c>
      <c r="D248" t="s">
        <v>1860</v>
      </c>
    </row>
    <row r="249" spans="1:4" x14ac:dyDescent="0.3">
      <c r="A249" t="s">
        <v>1844</v>
      </c>
      <c r="B249" t="s">
        <v>738</v>
      </c>
      <c r="C249" t="s">
        <v>1861</v>
      </c>
      <c r="D249" t="s">
        <v>1862</v>
      </c>
    </row>
    <row r="250" spans="1:4" x14ac:dyDescent="0.3">
      <c r="A250" t="s">
        <v>1844</v>
      </c>
      <c r="B250" t="s">
        <v>738</v>
      </c>
      <c r="C250" t="s">
        <v>1863</v>
      </c>
      <c r="D250" t="s">
        <v>1864</v>
      </c>
    </row>
    <row r="251" spans="1:4" x14ac:dyDescent="0.3">
      <c r="A251" t="s">
        <v>1844</v>
      </c>
      <c r="B251" t="s">
        <v>738</v>
      </c>
      <c r="C251" t="s">
        <v>1865</v>
      </c>
      <c r="D251" t="s">
        <v>1866</v>
      </c>
    </row>
    <row r="252" spans="1:4" x14ac:dyDescent="0.3">
      <c r="A252" t="s">
        <v>1844</v>
      </c>
      <c r="B252" t="s">
        <v>738</v>
      </c>
      <c r="C252" t="s">
        <v>1867</v>
      </c>
      <c r="D252" t="s">
        <v>1868</v>
      </c>
    </row>
    <row r="253" spans="1:4" x14ac:dyDescent="0.3">
      <c r="A253" t="s">
        <v>1844</v>
      </c>
      <c r="B253" t="s">
        <v>738</v>
      </c>
      <c r="C253" t="s">
        <v>1869</v>
      </c>
      <c r="D253" t="s">
        <v>1870</v>
      </c>
    </row>
    <row r="254" spans="1:4" x14ac:dyDescent="0.3">
      <c r="A254" t="s">
        <v>1844</v>
      </c>
      <c r="B254" t="s">
        <v>738</v>
      </c>
      <c r="C254" t="s">
        <v>1871</v>
      </c>
      <c r="D254" t="s">
        <v>1872</v>
      </c>
    </row>
    <row r="255" spans="1:4" x14ac:dyDescent="0.3">
      <c r="A255" t="s">
        <v>1873</v>
      </c>
      <c r="B255" t="s">
        <v>1874</v>
      </c>
      <c r="C255" t="s">
        <v>1875</v>
      </c>
      <c r="D255" t="s">
        <v>1876</v>
      </c>
    </row>
    <row r="256" spans="1:4" x14ac:dyDescent="0.3">
      <c r="A256" t="s">
        <v>1873</v>
      </c>
      <c r="B256" t="s">
        <v>1874</v>
      </c>
      <c r="C256" t="s">
        <v>1231</v>
      </c>
      <c r="D256" t="s">
        <v>1232</v>
      </c>
    </row>
    <row r="257" spans="1:4" x14ac:dyDescent="0.3">
      <c r="A257" t="s">
        <v>1873</v>
      </c>
      <c r="B257" t="s">
        <v>1874</v>
      </c>
      <c r="C257" t="s">
        <v>1877</v>
      </c>
      <c r="D257" t="s">
        <v>1878</v>
      </c>
    </row>
    <row r="258" spans="1:4" x14ac:dyDescent="0.3">
      <c r="A258" t="s">
        <v>1873</v>
      </c>
      <c r="B258" t="s">
        <v>1879</v>
      </c>
      <c r="C258" t="s">
        <v>1880</v>
      </c>
      <c r="D258" t="s">
        <v>1881</v>
      </c>
    </row>
    <row r="259" spans="1:4" x14ac:dyDescent="0.3">
      <c r="A259" t="s">
        <v>1873</v>
      </c>
      <c r="B259" t="s">
        <v>1882</v>
      </c>
      <c r="C259" t="s">
        <v>1238</v>
      </c>
      <c r="D259" t="s">
        <v>1239</v>
      </c>
    </row>
    <row r="260" spans="1:4" x14ac:dyDescent="0.3">
      <c r="A260" t="s">
        <v>1883</v>
      </c>
      <c r="B260" t="s">
        <v>1884</v>
      </c>
      <c r="C260" t="s">
        <v>1885</v>
      </c>
      <c r="D260" t="s">
        <v>1886</v>
      </c>
    </row>
    <row r="261" spans="1:4" x14ac:dyDescent="0.3">
      <c r="A261" t="s">
        <v>1883</v>
      </c>
      <c r="B261" t="s">
        <v>1884</v>
      </c>
      <c r="C261" t="s">
        <v>1887</v>
      </c>
      <c r="D261" t="s">
        <v>1888</v>
      </c>
    </row>
    <row r="262" spans="1:4" x14ac:dyDescent="0.3">
      <c r="A262" t="s">
        <v>1883</v>
      </c>
      <c r="B262" t="s">
        <v>1884</v>
      </c>
      <c r="C262" t="s">
        <v>1889</v>
      </c>
      <c r="D262" t="s">
        <v>1890</v>
      </c>
    </row>
    <row r="263" spans="1:4" x14ac:dyDescent="0.3">
      <c r="A263" t="s">
        <v>1883</v>
      </c>
      <c r="B263" t="s">
        <v>1884</v>
      </c>
      <c r="C263" t="s">
        <v>1891</v>
      </c>
      <c r="D263" t="s">
        <v>1892</v>
      </c>
    </row>
    <row r="264" spans="1:4" x14ac:dyDescent="0.3">
      <c r="A264" t="s">
        <v>1883</v>
      </c>
      <c r="B264" t="s">
        <v>1884</v>
      </c>
      <c r="C264" t="s">
        <v>1893</v>
      </c>
      <c r="D264" t="s">
        <v>1894</v>
      </c>
    </row>
    <row r="265" spans="1:4" x14ac:dyDescent="0.3">
      <c r="A265" t="s">
        <v>1883</v>
      </c>
      <c r="B265" t="s">
        <v>1895</v>
      </c>
      <c r="C265" t="s">
        <v>1896</v>
      </c>
      <c r="D265" t="s">
        <v>1897</v>
      </c>
    </row>
    <row r="266" spans="1:4" x14ac:dyDescent="0.3">
      <c r="A266" t="s">
        <v>1883</v>
      </c>
      <c r="B266" t="s">
        <v>1895</v>
      </c>
      <c r="C266" t="s">
        <v>1898</v>
      </c>
      <c r="D266" t="s">
        <v>1899</v>
      </c>
    </row>
    <row r="267" spans="1:4" x14ac:dyDescent="0.3">
      <c r="A267" t="s">
        <v>1883</v>
      </c>
      <c r="B267" t="s">
        <v>1895</v>
      </c>
      <c r="C267" t="s">
        <v>1900</v>
      </c>
      <c r="D267" t="s">
        <v>1901</v>
      </c>
    </row>
    <row r="268" spans="1:4" x14ac:dyDescent="0.3">
      <c r="A268" t="s">
        <v>1883</v>
      </c>
      <c r="B268" t="s">
        <v>1895</v>
      </c>
      <c r="C268" t="s">
        <v>1902</v>
      </c>
      <c r="D268" t="s">
        <v>1903</v>
      </c>
    </row>
    <row r="269" spans="1:4" x14ac:dyDescent="0.3">
      <c r="A269" t="s">
        <v>1883</v>
      </c>
      <c r="B269" t="s">
        <v>1904</v>
      </c>
      <c r="C269" t="s">
        <v>1905</v>
      </c>
      <c r="D269" t="s">
        <v>1906</v>
      </c>
    </row>
    <row r="270" spans="1:4" x14ac:dyDescent="0.3">
      <c r="A270" t="s">
        <v>1883</v>
      </c>
      <c r="B270" t="s">
        <v>1904</v>
      </c>
      <c r="C270" t="s">
        <v>1907</v>
      </c>
      <c r="D270" t="s">
        <v>1908</v>
      </c>
    </row>
    <row r="271" spans="1:4" x14ac:dyDescent="0.3">
      <c r="A271" t="s">
        <v>1883</v>
      </c>
      <c r="B271" t="s">
        <v>1904</v>
      </c>
      <c r="C271" t="s">
        <v>1909</v>
      </c>
      <c r="D271" t="s">
        <v>1910</v>
      </c>
    </row>
    <row r="272" spans="1:4" x14ac:dyDescent="0.3">
      <c r="A272" t="s">
        <v>1883</v>
      </c>
      <c r="B272" t="s">
        <v>1904</v>
      </c>
      <c r="C272" t="s">
        <v>1911</v>
      </c>
      <c r="D272" t="s">
        <v>1912</v>
      </c>
    </row>
    <row r="273" spans="1:4" x14ac:dyDescent="0.3">
      <c r="A273" t="s">
        <v>1883</v>
      </c>
      <c r="B273" t="s">
        <v>1904</v>
      </c>
      <c r="C273" t="s">
        <v>1913</v>
      </c>
      <c r="D273" t="s">
        <v>1914</v>
      </c>
    </row>
    <row r="274" spans="1:4" x14ac:dyDescent="0.3">
      <c r="A274" t="s">
        <v>1883</v>
      </c>
      <c r="B274" t="s">
        <v>1915</v>
      </c>
      <c r="C274" t="s">
        <v>1916</v>
      </c>
      <c r="D274" t="s">
        <v>1917</v>
      </c>
    </row>
    <row r="275" spans="1:4" x14ac:dyDescent="0.3">
      <c r="A275" t="s">
        <v>1883</v>
      </c>
      <c r="B275" t="s">
        <v>1915</v>
      </c>
      <c r="C275" t="s">
        <v>352</v>
      </c>
      <c r="D275" t="s">
        <v>1918</v>
      </c>
    </row>
    <row r="276" spans="1:4" x14ac:dyDescent="0.3">
      <c r="A276" t="s">
        <v>1883</v>
      </c>
      <c r="B276" t="s">
        <v>1915</v>
      </c>
      <c r="C276" t="s">
        <v>1919</v>
      </c>
      <c r="D276" t="s">
        <v>1920</v>
      </c>
    </row>
    <row r="277" spans="1:4" x14ac:dyDescent="0.3">
      <c r="A277" t="s">
        <v>1883</v>
      </c>
      <c r="B277" t="s">
        <v>1915</v>
      </c>
      <c r="C277" t="s">
        <v>1921</v>
      </c>
      <c r="D277" t="s">
        <v>1922</v>
      </c>
    </row>
    <row r="278" spans="1:4" x14ac:dyDescent="0.3">
      <c r="A278" t="s">
        <v>1883</v>
      </c>
      <c r="B278" t="s">
        <v>1915</v>
      </c>
      <c r="C278" t="s">
        <v>1923</v>
      </c>
      <c r="D278" t="s">
        <v>1924</v>
      </c>
    </row>
    <row r="279" spans="1:4" x14ac:dyDescent="0.3">
      <c r="A279" t="s">
        <v>1883</v>
      </c>
      <c r="B279" t="s">
        <v>1915</v>
      </c>
      <c r="C279" t="s">
        <v>1925</v>
      </c>
      <c r="D279" t="s">
        <v>1926</v>
      </c>
    </row>
    <row r="280" spans="1:4" x14ac:dyDescent="0.3">
      <c r="A280" t="s">
        <v>1883</v>
      </c>
      <c r="B280" t="s">
        <v>1915</v>
      </c>
      <c r="C280" t="s">
        <v>1927</v>
      </c>
      <c r="D280" t="s">
        <v>1928</v>
      </c>
    </row>
    <row r="281" spans="1:4" x14ac:dyDescent="0.3">
      <c r="A281" t="s">
        <v>1883</v>
      </c>
      <c r="B281" t="s">
        <v>1915</v>
      </c>
      <c r="C281" t="s">
        <v>1929</v>
      </c>
      <c r="D281" t="s">
        <v>1930</v>
      </c>
    </row>
    <row r="282" spans="1:4" x14ac:dyDescent="0.3">
      <c r="A282" t="s">
        <v>1883</v>
      </c>
      <c r="B282" t="s">
        <v>1915</v>
      </c>
      <c r="C282" t="s">
        <v>1931</v>
      </c>
      <c r="D282" t="s">
        <v>1932</v>
      </c>
    </row>
    <row r="283" spans="1:4" x14ac:dyDescent="0.3">
      <c r="A283" t="s">
        <v>1883</v>
      </c>
      <c r="B283" t="s">
        <v>1915</v>
      </c>
      <c r="C283" t="s">
        <v>1933</v>
      </c>
      <c r="D283" t="s">
        <v>1934</v>
      </c>
    </row>
    <row r="284" spans="1:4" x14ac:dyDescent="0.3">
      <c r="A284" t="s">
        <v>1883</v>
      </c>
      <c r="B284" t="s">
        <v>1915</v>
      </c>
      <c r="C284" t="s">
        <v>1935</v>
      </c>
      <c r="D284" t="s">
        <v>1936</v>
      </c>
    </row>
    <row r="285" spans="1:4" x14ac:dyDescent="0.3">
      <c r="A285" t="s">
        <v>1883</v>
      </c>
      <c r="B285" t="s">
        <v>1915</v>
      </c>
      <c r="C285" t="s">
        <v>1937</v>
      </c>
      <c r="D285" t="s">
        <v>1938</v>
      </c>
    </row>
    <row r="286" spans="1:4" x14ac:dyDescent="0.3">
      <c r="A286" t="s">
        <v>1883</v>
      </c>
      <c r="B286" t="s">
        <v>1915</v>
      </c>
      <c r="C286" t="s">
        <v>1939</v>
      </c>
      <c r="D286" t="s">
        <v>1940</v>
      </c>
    </row>
    <row r="287" spans="1:4" x14ac:dyDescent="0.3">
      <c r="A287" t="s">
        <v>1883</v>
      </c>
      <c r="B287" t="s">
        <v>1915</v>
      </c>
      <c r="C287" t="s">
        <v>1941</v>
      </c>
      <c r="D287" t="s">
        <v>1942</v>
      </c>
    </row>
    <row r="288" spans="1:4" x14ac:dyDescent="0.3">
      <c r="A288" t="s">
        <v>1883</v>
      </c>
      <c r="B288" t="s">
        <v>1915</v>
      </c>
      <c r="C288" t="s">
        <v>1943</v>
      </c>
      <c r="D288" t="s">
        <v>1944</v>
      </c>
    </row>
    <row r="289" spans="1:4" x14ac:dyDescent="0.3">
      <c r="A289" t="s">
        <v>1883</v>
      </c>
      <c r="B289" t="s">
        <v>1915</v>
      </c>
      <c r="C289" t="s">
        <v>1945</v>
      </c>
      <c r="D289" t="s">
        <v>1946</v>
      </c>
    </row>
    <row r="290" spans="1:4" x14ac:dyDescent="0.3">
      <c r="A290" t="s">
        <v>1883</v>
      </c>
      <c r="B290" t="s">
        <v>1915</v>
      </c>
      <c r="C290" t="s">
        <v>1947</v>
      </c>
      <c r="D290" t="s">
        <v>1948</v>
      </c>
    </row>
    <row r="291" spans="1:4" x14ac:dyDescent="0.3">
      <c r="A291" t="s">
        <v>1883</v>
      </c>
      <c r="B291" t="s">
        <v>1915</v>
      </c>
      <c r="C291" t="s">
        <v>2014</v>
      </c>
      <c r="D291" t="s">
        <v>2015</v>
      </c>
    </row>
    <row r="292" spans="1:4" x14ac:dyDescent="0.3">
      <c r="A292" t="s">
        <v>1883</v>
      </c>
      <c r="B292" t="s">
        <v>1915</v>
      </c>
      <c r="C292" t="s">
        <v>2016</v>
      </c>
      <c r="D292" t="s">
        <v>2017</v>
      </c>
    </row>
    <row r="293" spans="1:4" x14ac:dyDescent="0.3">
      <c r="A293" t="s">
        <v>1883</v>
      </c>
      <c r="B293" t="s">
        <v>1915</v>
      </c>
      <c r="C293" t="s">
        <v>2018</v>
      </c>
      <c r="D293" t="s">
        <v>2019</v>
      </c>
    </row>
    <row r="294" spans="1:4" x14ac:dyDescent="0.3">
      <c r="A294" t="s">
        <v>1883</v>
      </c>
      <c r="B294" t="s">
        <v>1915</v>
      </c>
      <c r="C294" t="s">
        <v>2020</v>
      </c>
      <c r="D294" t="s">
        <v>2021</v>
      </c>
    </row>
    <row r="295" spans="1:4" x14ac:dyDescent="0.3">
      <c r="A295" t="s">
        <v>1883</v>
      </c>
      <c r="B295" t="s">
        <v>1915</v>
      </c>
      <c r="C295" t="s">
        <v>2022</v>
      </c>
      <c r="D295" t="s">
        <v>2023</v>
      </c>
    </row>
    <row r="296" spans="1:4" x14ac:dyDescent="0.3">
      <c r="A296" t="s">
        <v>1883</v>
      </c>
      <c r="B296" t="s">
        <v>1540</v>
      </c>
      <c r="C296" t="s">
        <v>1949</v>
      </c>
      <c r="D296" t="s">
        <v>1950</v>
      </c>
    </row>
    <row r="297" spans="1:4" x14ac:dyDescent="0.3">
      <c r="A297" t="s">
        <v>1883</v>
      </c>
      <c r="B297" t="s">
        <v>1540</v>
      </c>
      <c r="C297" t="s">
        <v>1951</v>
      </c>
      <c r="D297" t="s">
        <v>1952</v>
      </c>
    </row>
    <row r="298" spans="1:4" x14ac:dyDescent="0.3">
      <c r="A298" t="s">
        <v>1883</v>
      </c>
      <c r="B298" t="s">
        <v>1540</v>
      </c>
      <c r="C298" t="s">
        <v>1953</v>
      </c>
      <c r="D298" t="s">
        <v>1954</v>
      </c>
    </row>
    <row r="299" spans="1:4" x14ac:dyDescent="0.3">
      <c r="A299" t="s">
        <v>1883</v>
      </c>
      <c r="B299" t="s">
        <v>1540</v>
      </c>
      <c r="C299" t="s">
        <v>1955</v>
      </c>
      <c r="D299" t="s">
        <v>1956</v>
      </c>
    </row>
    <row r="300" spans="1:4" x14ac:dyDescent="0.3">
      <c r="A300" t="s">
        <v>1883</v>
      </c>
      <c r="B300" t="s">
        <v>1540</v>
      </c>
      <c r="C300" t="s">
        <v>1957</v>
      </c>
      <c r="D300" t="s">
        <v>1958</v>
      </c>
    </row>
    <row r="301" spans="1:4" x14ac:dyDescent="0.3">
      <c r="A301" t="s">
        <v>1883</v>
      </c>
      <c r="B301" t="s">
        <v>1959</v>
      </c>
      <c r="C301" t="s">
        <v>1960</v>
      </c>
      <c r="D301" t="s">
        <v>1961</v>
      </c>
    </row>
    <row r="302" spans="1:4" x14ac:dyDescent="0.3">
      <c r="A302" t="s">
        <v>1883</v>
      </c>
      <c r="B302" t="s">
        <v>1959</v>
      </c>
      <c r="C302" t="s">
        <v>1962</v>
      </c>
      <c r="D302" t="s">
        <v>1963</v>
      </c>
    </row>
    <row r="303" spans="1:4" x14ac:dyDescent="0.3">
      <c r="A303" t="s">
        <v>1883</v>
      </c>
      <c r="B303" t="s">
        <v>1959</v>
      </c>
      <c r="C303" t="s">
        <v>1964</v>
      </c>
      <c r="D303" t="s">
        <v>1965</v>
      </c>
    </row>
    <row r="304" spans="1:4" x14ac:dyDescent="0.3">
      <c r="A304" t="s">
        <v>1883</v>
      </c>
      <c r="B304" t="s">
        <v>1959</v>
      </c>
      <c r="C304" t="s">
        <v>1966</v>
      </c>
      <c r="D304" t="s">
        <v>1967</v>
      </c>
    </row>
    <row r="305" spans="1:4" x14ac:dyDescent="0.3">
      <c r="A305" t="s">
        <v>1883</v>
      </c>
      <c r="B305" t="s">
        <v>1959</v>
      </c>
      <c r="C305" t="s">
        <v>2024</v>
      </c>
      <c r="D305" t="s">
        <v>2025</v>
      </c>
    </row>
    <row r="306" spans="1:4" x14ac:dyDescent="0.3">
      <c r="A306" t="s">
        <v>1883</v>
      </c>
      <c r="B306" t="s">
        <v>1959</v>
      </c>
      <c r="C306" t="s">
        <v>2026</v>
      </c>
      <c r="D306" t="s">
        <v>2027</v>
      </c>
    </row>
    <row r="307" spans="1:4" x14ac:dyDescent="0.3">
      <c r="A307" t="s">
        <v>1883</v>
      </c>
      <c r="B307" t="s">
        <v>1959</v>
      </c>
      <c r="C307" t="s">
        <v>2028</v>
      </c>
      <c r="D307" t="s">
        <v>2029</v>
      </c>
    </row>
    <row r="308" spans="1:4" x14ac:dyDescent="0.3">
      <c r="A308" t="s">
        <v>1883</v>
      </c>
      <c r="B308" t="s">
        <v>1959</v>
      </c>
      <c r="C308" t="s">
        <v>2030</v>
      </c>
      <c r="D308" t="s">
        <v>2031</v>
      </c>
    </row>
    <row r="309" spans="1:4" x14ac:dyDescent="0.3">
      <c r="A309" t="s">
        <v>1883</v>
      </c>
      <c r="B309" t="s">
        <v>1959</v>
      </c>
      <c r="C309" t="s">
        <v>2032</v>
      </c>
      <c r="D309" t="s">
        <v>2033</v>
      </c>
    </row>
    <row r="310" spans="1:4" x14ac:dyDescent="0.3">
      <c r="A310" t="s">
        <v>1883</v>
      </c>
      <c r="B310" t="s">
        <v>1959</v>
      </c>
      <c r="C310" t="s">
        <v>2034</v>
      </c>
      <c r="D310" t="s">
        <v>2035</v>
      </c>
    </row>
    <row r="311" spans="1:4" x14ac:dyDescent="0.3">
      <c r="A311" t="s">
        <v>1883</v>
      </c>
      <c r="B311" t="s">
        <v>1959</v>
      </c>
      <c r="C311" t="s">
        <v>2036</v>
      </c>
      <c r="D311" t="s">
        <v>2037</v>
      </c>
    </row>
    <row r="312" spans="1:4" x14ac:dyDescent="0.3">
      <c r="A312" t="s">
        <v>1883</v>
      </c>
      <c r="B312" t="s">
        <v>1959</v>
      </c>
      <c r="C312" t="s">
        <v>2038</v>
      </c>
      <c r="D312" t="s">
        <v>2039</v>
      </c>
    </row>
    <row r="313" spans="1:4" x14ac:dyDescent="0.3">
      <c r="A313" t="s">
        <v>1883</v>
      </c>
      <c r="B313" t="s">
        <v>1968</v>
      </c>
      <c r="C313" t="s">
        <v>1969</v>
      </c>
      <c r="D313" t="s">
        <v>1970</v>
      </c>
    </row>
    <row r="314" spans="1:4" x14ac:dyDescent="0.3">
      <c r="A314" t="s">
        <v>1883</v>
      </c>
      <c r="B314" t="s">
        <v>1968</v>
      </c>
      <c r="C314" t="s">
        <v>1971</v>
      </c>
      <c r="D314" t="s">
        <v>1214</v>
      </c>
    </row>
    <row r="315" spans="1:4" x14ac:dyDescent="0.3">
      <c r="A315" t="s">
        <v>1883</v>
      </c>
      <c r="B315" t="s">
        <v>1968</v>
      </c>
      <c r="C315" t="s">
        <v>1972</v>
      </c>
      <c r="D315" t="s">
        <v>1973</v>
      </c>
    </row>
    <row r="316" spans="1:4" x14ac:dyDescent="0.3">
      <c r="A316" t="s">
        <v>1883</v>
      </c>
      <c r="B316" t="s">
        <v>1968</v>
      </c>
      <c r="C316" t="s">
        <v>1974</v>
      </c>
      <c r="D316" t="s">
        <v>1975</v>
      </c>
    </row>
    <row r="317" spans="1:4" x14ac:dyDescent="0.3">
      <c r="A317" t="s">
        <v>1883</v>
      </c>
      <c r="B317" t="s">
        <v>1968</v>
      </c>
      <c r="C317" t="s">
        <v>1976</v>
      </c>
      <c r="D317" t="s">
        <v>1977</v>
      </c>
    </row>
    <row r="318" spans="1:4" x14ac:dyDescent="0.3">
      <c r="A318" t="s">
        <v>1883</v>
      </c>
      <c r="B318" t="s">
        <v>1681</v>
      </c>
      <c r="C318" t="s">
        <v>1978</v>
      </c>
      <c r="D318" t="s">
        <v>1979</v>
      </c>
    </row>
    <row r="319" spans="1:4" x14ac:dyDescent="0.3">
      <c r="A319" t="s">
        <v>1883</v>
      </c>
      <c r="B319" t="s">
        <v>1681</v>
      </c>
      <c r="C319" t="s">
        <v>1980</v>
      </c>
      <c r="D319" t="s">
        <v>1981</v>
      </c>
    </row>
    <row r="320" spans="1:4" x14ac:dyDescent="0.3">
      <c r="A320" t="s">
        <v>1883</v>
      </c>
      <c r="B320" t="s">
        <v>1681</v>
      </c>
      <c r="C320" t="s">
        <v>1982</v>
      </c>
      <c r="D320" t="s">
        <v>1983</v>
      </c>
    </row>
    <row r="321" spans="1:4" x14ac:dyDescent="0.3">
      <c r="A321" t="s">
        <v>1883</v>
      </c>
      <c r="B321" t="s">
        <v>1681</v>
      </c>
      <c r="C321" t="s">
        <v>1984</v>
      </c>
      <c r="D321" t="s">
        <v>1985</v>
      </c>
    </row>
    <row r="322" spans="1:4" x14ac:dyDescent="0.3">
      <c r="A322" t="s">
        <v>1883</v>
      </c>
      <c r="B322" t="s">
        <v>1681</v>
      </c>
      <c r="C322" t="s">
        <v>1986</v>
      </c>
      <c r="D322" t="s">
        <v>1987</v>
      </c>
    </row>
    <row r="323" spans="1:4" x14ac:dyDescent="0.3">
      <c r="A323" t="s">
        <v>1883</v>
      </c>
      <c r="B323" t="s">
        <v>1681</v>
      </c>
      <c r="C323" t="s">
        <v>1988</v>
      </c>
      <c r="D323" t="s">
        <v>1989</v>
      </c>
    </row>
    <row r="324" spans="1:4" x14ac:dyDescent="0.3">
      <c r="A324" t="s">
        <v>1883</v>
      </c>
      <c r="B324" t="s">
        <v>1681</v>
      </c>
      <c r="C324" t="s">
        <v>1990</v>
      </c>
      <c r="D324" t="s">
        <v>1991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43</vt:i4>
      </vt:variant>
    </vt:vector>
  </HeadingPairs>
  <TitlesOfParts>
    <vt:vector size="50" baseType="lpstr">
      <vt:lpstr>Calculation</vt:lpstr>
      <vt:lpstr>Template</vt:lpstr>
      <vt:lpstr>Help Page</vt:lpstr>
      <vt:lpstr>Activity</vt:lpstr>
      <vt:lpstr>Double test</vt:lpstr>
      <vt:lpstr>Instruction</vt:lpstr>
      <vt:lpstr>Instruction 2</vt:lpstr>
      <vt:lpstr>acra_garant</vt:lpstr>
      <vt:lpstr>acra_issue</vt:lpstr>
      <vt:lpstr>acra_issuer</vt:lpstr>
      <vt:lpstr>axe1x_max</vt:lpstr>
      <vt:lpstr>axe1x_min</vt:lpstr>
      <vt:lpstr>axe1y_max</vt:lpstr>
      <vt:lpstr>axe1y_min</vt:lpstr>
      <vt:lpstr>axe2x_max</vt:lpstr>
      <vt:lpstr>axe2x_min</vt:lpstr>
      <vt:lpstr>axe2y_max</vt:lpstr>
      <vt:lpstr>axe2y_min</vt:lpstr>
      <vt:lpstr>axe3x_max</vt:lpstr>
      <vt:lpstr>axe3x_min</vt:lpstr>
      <vt:lpstr>axe3y_max</vt:lpstr>
      <vt:lpstr>axe3y_min</vt:lpstr>
      <vt:lpstr>axe4x_max</vt:lpstr>
      <vt:lpstr>axe4x_min</vt:lpstr>
      <vt:lpstr>axe4y_max</vt:lpstr>
      <vt:lpstr>axe4y_min</vt:lpstr>
      <vt:lpstr>bonds_out</vt:lpstr>
      <vt:lpstr>chart1</vt:lpstr>
      <vt:lpstr>chart2</vt:lpstr>
      <vt:lpstr>chart3</vt:lpstr>
      <vt:lpstr>chart4</vt:lpstr>
      <vt:lpstr>Date</vt:lpstr>
      <vt:lpstr>duration</vt:lpstr>
      <vt:lpstr>expert_garant</vt:lpstr>
      <vt:lpstr>expert_issue</vt:lpstr>
      <vt:lpstr>expert_issuer</vt:lpstr>
      <vt:lpstr>exspert_garant</vt:lpstr>
      <vt:lpstr>ISIN</vt:lpstr>
      <vt:lpstr>ncr_garant</vt:lpstr>
      <vt:lpstr>ncr_issue</vt:lpstr>
      <vt:lpstr>ncr_issuer</vt:lpstr>
      <vt:lpstr>r_garant</vt:lpstr>
      <vt:lpstr>r_issue</vt:lpstr>
      <vt:lpstr>r_issuer</vt:lpstr>
      <vt:lpstr>raex_garant</vt:lpstr>
      <vt:lpstr>raex_issue</vt:lpstr>
      <vt:lpstr>raex_issuer</vt:lpstr>
      <vt:lpstr>ratings_garant</vt:lpstr>
      <vt:lpstr>ratings_issue</vt:lpstr>
      <vt:lpstr>ratings_issuer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Windows-пользователь</dc:creator>
  <cp:lastModifiedBy>Габов Максим Валерьевич</cp:lastModifiedBy>
  <dcterms:created xsi:type="dcterms:W3CDTF">2022-03-05T15:30:31Z</dcterms:created>
  <dcterms:modified xsi:type="dcterms:W3CDTF">2026-01-13T14:04:49Z</dcterms:modified>
</cp:coreProperties>
</file>