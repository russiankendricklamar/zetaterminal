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gabovmv\Desktop\Шаблоны\"/>
    </mc:Choice>
  </mc:AlternateContent>
  <bookViews>
    <workbookView xWindow="0" yWindow="0" windowWidth="28800" windowHeight="11832" activeTab="1"/>
  </bookViews>
  <sheets>
    <sheet name="Calculation" sheetId="4" r:id="rId1"/>
    <sheet name="Template" sheetId="1" r:id="rId2"/>
    <sheet name="Help Page" sheetId="10" r:id="rId3"/>
  </sheets>
  <definedNames>
    <definedName name="acra_issuer">Template!$B$10</definedName>
    <definedName name="axe1x_max">Calculation!$U$27</definedName>
    <definedName name="axe1x_min">Calculation!$T$27</definedName>
    <definedName name="axe1y_max">Calculation!$W$27</definedName>
    <definedName name="axe1y_min">Calculation!$V$27</definedName>
    <definedName name="axe2x_max">Calculation!$U$28</definedName>
    <definedName name="axe2x_min">Calculation!$T$28</definedName>
    <definedName name="axe2y_max">Calculation!$W$28</definedName>
    <definedName name="axe2y_min">Calculation!$V$28</definedName>
    <definedName name="axe2z_max">Calculation!$Y$28</definedName>
    <definedName name="axe2z_min">Calculation!$X$28</definedName>
    <definedName name="betta">Template!$B$34</definedName>
    <definedName name="chart1">Template!$A$35</definedName>
    <definedName name="chart2">Template!$A$52</definedName>
    <definedName name="Date">Template!$C$21</definedName>
    <definedName name="expert_issuer">Template!$B$9</definedName>
    <definedName name="free_float">Template!$B$18</definedName>
    <definedName name="ISIN">Template!$B$2</definedName>
    <definedName name="koef">Template!$B$6</definedName>
    <definedName name="ncr_issuer">Template!$B$11</definedName>
    <definedName name="r_issuer">Template!$A$8</definedName>
    <definedName name="raex_issuer">Template!$B$12</definedName>
    <definedName name="ratings_issuer">Template!$A$8</definedName>
    <definedName name="tradings">Template!$B$7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" i="4" l="1"/>
  <c r="A64" i="1" l="1"/>
  <c r="B5" i="1" l="1"/>
  <c r="AU7" i="4"/>
  <c r="AV7" i="4"/>
  <c r="AW7" i="4"/>
  <c r="AX7" i="4"/>
  <c r="AY7" i="4"/>
  <c r="AZ7" i="4"/>
  <c r="AU8" i="4"/>
  <c r="AT8" i="4" s="1"/>
  <c r="AV8" i="4"/>
  <c r="AW8" i="4"/>
  <c r="AX8" i="4"/>
  <c r="AY8" i="4"/>
  <c r="AZ8" i="4"/>
  <c r="AU9" i="4"/>
  <c r="AT9" i="4" s="1"/>
  <c r="AV9" i="4"/>
  <c r="AW9" i="4"/>
  <c r="AX9" i="4"/>
  <c r="AY9" i="4"/>
  <c r="AZ9" i="4"/>
  <c r="AU10" i="4"/>
  <c r="AT10" i="4" s="1"/>
  <c r="AV10" i="4"/>
  <c r="AW10" i="4"/>
  <c r="AX10" i="4"/>
  <c r="AY10" i="4"/>
  <c r="AZ10" i="4"/>
  <c r="AU11" i="4"/>
  <c r="AV11" i="4"/>
  <c r="AW11" i="4"/>
  <c r="AX11" i="4"/>
  <c r="AY11" i="4"/>
  <c r="AZ11" i="4"/>
  <c r="AU12" i="4"/>
  <c r="AT12" i="4" s="1"/>
  <c r="AV12" i="4"/>
  <c r="AW12" i="4"/>
  <c r="AX12" i="4"/>
  <c r="AY12" i="4"/>
  <c r="AZ12" i="4"/>
  <c r="AU13" i="4"/>
  <c r="AV13" i="4"/>
  <c r="AW13" i="4"/>
  <c r="AX13" i="4"/>
  <c r="AY13" i="4"/>
  <c r="AZ13" i="4"/>
  <c r="AU14" i="4"/>
  <c r="AT14" i="4" s="1"/>
  <c r="AV14" i="4"/>
  <c r="AW14" i="4"/>
  <c r="AX14" i="4"/>
  <c r="AY14" i="4"/>
  <c r="AZ14" i="4"/>
  <c r="AU15" i="4"/>
  <c r="AV15" i="4"/>
  <c r="AW15" i="4"/>
  <c r="AX15" i="4"/>
  <c r="AY15" i="4"/>
  <c r="AZ15" i="4"/>
  <c r="AU16" i="4"/>
  <c r="AT16" i="4" s="1"/>
  <c r="AV16" i="4"/>
  <c r="AW16" i="4"/>
  <c r="AX16" i="4"/>
  <c r="AY16" i="4"/>
  <c r="AZ16" i="4"/>
  <c r="AU17" i="4"/>
  <c r="AT17" i="4" s="1"/>
  <c r="AV17" i="4"/>
  <c r="AW17" i="4"/>
  <c r="AX17" i="4"/>
  <c r="AY17" i="4"/>
  <c r="AZ17" i="4"/>
  <c r="AU18" i="4"/>
  <c r="AT18" i="4" s="1"/>
  <c r="AV18" i="4"/>
  <c r="AW18" i="4"/>
  <c r="AX18" i="4"/>
  <c r="AY18" i="4"/>
  <c r="AZ18" i="4"/>
  <c r="AU19" i="4"/>
  <c r="AV19" i="4"/>
  <c r="AW19" i="4"/>
  <c r="AX19" i="4"/>
  <c r="AY19" i="4"/>
  <c r="AZ19" i="4"/>
  <c r="AU20" i="4"/>
  <c r="AT20" i="4" s="1"/>
  <c r="AV20" i="4"/>
  <c r="AW20" i="4"/>
  <c r="AX20" i="4"/>
  <c r="AY20" i="4"/>
  <c r="AZ20" i="4"/>
  <c r="AU21" i="4"/>
  <c r="AT21" i="4" s="1"/>
  <c r="AV21" i="4"/>
  <c r="AW21" i="4"/>
  <c r="AX21" i="4"/>
  <c r="AY21" i="4"/>
  <c r="AZ21" i="4"/>
  <c r="AU22" i="4"/>
  <c r="AT22" i="4" s="1"/>
  <c r="AV22" i="4"/>
  <c r="AW22" i="4"/>
  <c r="AX22" i="4"/>
  <c r="AY22" i="4"/>
  <c r="AZ22" i="4"/>
  <c r="AU23" i="4"/>
  <c r="AV23" i="4"/>
  <c r="AW23" i="4"/>
  <c r="AX23" i="4"/>
  <c r="AY23" i="4"/>
  <c r="AZ23" i="4"/>
  <c r="AU24" i="4"/>
  <c r="AT24" i="4" s="1"/>
  <c r="AV24" i="4"/>
  <c r="AW24" i="4"/>
  <c r="AX24" i="4"/>
  <c r="AY24" i="4"/>
  <c r="AZ24" i="4"/>
  <c r="AU25" i="4"/>
  <c r="AT25" i="4" s="1"/>
  <c r="AV25" i="4"/>
  <c r="AW25" i="4"/>
  <c r="AX25" i="4"/>
  <c r="AY25" i="4"/>
  <c r="AZ25" i="4"/>
  <c r="AU26" i="4"/>
  <c r="AT26" i="4" s="1"/>
  <c r="AV26" i="4"/>
  <c r="AW26" i="4"/>
  <c r="AX26" i="4"/>
  <c r="AY26" i="4"/>
  <c r="AZ26" i="4"/>
  <c r="AU27" i="4"/>
  <c r="AV27" i="4"/>
  <c r="AW27" i="4"/>
  <c r="AX27" i="4"/>
  <c r="AY27" i="4"/>
  <c r="AZ27" i="4"/>
  <c r="AU28" i="4"/>
  <c r="AT28" i="4" s="1"/>
  <c r="AV28" i="4"/>
  <c r="AW28" i="4"/>
  <c r="AX28" i="4"/>
  <c r="AY28" i="4"/>
  <c r="AZ28" i="4"/>
  <c r="AU29" i="4"/>
  <c r="AT29" i="4" s="1"/>
  <c r="AV29" i="4"/>
  <c r="AW29" i="4"/>
  <c r="AX29" i="4"/>
  <c r="AY29" i="4"/>
  <c r="AZ29" i="4"/>
  <c r="AU30" i="4"/>
  <c r="AT30" i="4" s="1"/>
  <c r="AV30" i="4"/>
  <c r="AW30" i="4"/>
  <c r="AX30" i="4"/>
  <c r="AY30" i="4"/>
  <c r="AZ30" i="4"/>
  <c r="AU31" i="4"/>
  <c r="AV31" i="4"/>
  <c r="AW31" i="4"/>
  <c r="AX31" i="4"/>
  <c r="AY31" i="4"/>
  <c r="AZ31" i="4"/>
  <c r="AU32" i="4"/>
  <c r="AT32" i="4" s="1"/>
  <c r="AV32" i="4"/>
  <c r="AW32" i="4"/>
  <c r="AX32" i="4"/>
  <c r="AY32" i="4"/>
  <c r="AZ32" i="4"/>
  <c r="AU33" i="4"/>
  <c r="AV33" i="4"/>
  <c r="AW33" i="4"/>
  <c r="AX33" i="4"/>
  <c r="AY33" i="4"/>
  <c r="AZ33" i="4"/>
  <c r="AU34" i="4"/>
  <c r="AT34" i="4" s="1"/>
  <c r="AV34" i="4"/>
  <c r="AW34" i="4"/>
  <c r="AX34" i="4"/>
  <c r="AY34" i="4"/>
  <c r="AZ34" i="4"/>
  <c r="AU35" i="4"/>
  <c r="AV35" i="4"/>
  <c r="AW35" i="4"/>
  <c r="AX35" i="4"/>
  <c r="AY35" i="4"/>
  <c r="AZ35" i="4"/>
  <c r="AU36" i="4"/>
  <c r="AT36" i="4" s="1"/>
  <c r="AV36" i="4"/>
  <c r="AW36" i="4"/>
  <c r="AX36" i="4"/>
  <c r="AY36" i="4"/>
  <c r="AZ36" i="4"/>
  <c r="AU37" i="4"/>
  <c r="AT37" i="4" s="1"/>
  <c r="AV37" i="4"/>
  <c r="AW37" i="4"/>
  <c r="AX37" i="4"/>
  <c r="AY37" i="4"/>
  <c r="AZ37" i="4"/>
  <c r="AU38" i="4"/>
  <c r="AT38" i="4" s="1"/>
  <c r="AV38" i="4"/>
  <c r="AW38" i="4"/>
  <c r="AX38" i="4"/>
  <c r="AY38" i="4"/>
  <c r="AZ38" i="4"/>
  <c r="AU39" i="4"/>
  <c r="AT39" i="4" s="1"/>
  <c r="AV39" i="4"/>
  <c r="AW39" i="4"/>
  <c r="AX39" i="4"/>
  <c r="AY39" i="4"/>
  <c r="AZ39" i="4"/>
  <c r="AU40" i="4"/>
  <c r="AT40" i="4" s="1"/>
  <c r="AV40" i="4"/>
  <c r="AW40" i="4"/>
  <c r="AX40" i="4"/>
  <c r="AY40" i="4"/>
  <c r="AZ40" i="4"/>
  <c r="AU41" i="4"/>
  <c r="AV41" i="4"/>
  <c r="AW41" i="4"/>
  <c r="AX41" i="4"/>
  <c r="AY41" i="4"/>
  <c r="AZ41" i="4"/>
  <c r="AU42" i="4"/>
  <c r="AT42" i="4" s="1"/>
  <c r="AV42" i="4"/>
  <c r="AW42" i="4"/>
  <c r="AX42" i="4"/>
  <c r="AY42" i="4"/>
  <c r="AZ42" i="4"/>
  <c r="AU43" i="4"/>
  <c r="AT43" i="4" s="1"/>
  <c r="AV43" i="4"/>
  <c r="AW43" i="4"/>
  <c r="AX43" i="4"/>
  <c r="AY43" i="4"/>
  <c r="AZ43" i="4"/>
  <c r="AU44" i="4"/>
  <c r="AT44" i="4" s="1"/>
  <c r="AV44" i="4"/>
  <c r="AW44" i="4"/>
  <c r="AX44" i="4"/>
  <c r="AY44" i="4"/>
  <c r="AZ44" i="4"/>
  <c r="AU45" i="4"/>
  <c r="AT45" i="4" s="1"/>
  <c r="AV45" i="4"/>
  <c r="AW45" i="4"/>
  <c r="AX45" i="4"/>
  <c r="AY45" i="4"/>
  <c r="AZ45" i="4"/>
  <c r="AU46" i="4"/>
  <c r="AT46" i="4" s="1"/>
  <c r="AV46" i="4"/>
  <c r="AW46" i="4"/>
  <c r="AX46" i="4"/>
  <c r="AY46" i="4"/>
  <c r="AZ46" i="4"/>
  <c r="AU47" i="4"/>
  <c r="AT47" i="4" s="1"/>
  <c r="AV47" i="4"/>
  <c r="AW47" i="4"/>
  <c r="AX47" i="4"/>
  <c r="AY47" i="4"/>
  <c r="AZ47" i="4"/>
  <c r="AU48" i="4"/>
  <c r="AT48" i="4" s="1"/>
  <c r="AV48" i="4"/>
  <c r="AW48" i="4"/>
  <c r="AX48" i="4"/>
  <c r="AY48" i="4"/>
  <c r="AZ48" i="4"/>
  <c r="AU49" i="4"/>
  <c r="AT49" i="4" s="1"/>
  <c r="AV49" i="4"/>
  <c r="AW49" i="4"/>
  <c r="AX49" i="4"/>
  <c r="AY49" i="4"/>
  <c r="AZ49" i="4"/>
  <c r="AU50" i="4"/>
  <c r="AT50" i="4" s="1"/>
  <c r="AV50" i="4"/>
  <c r="AW50" i="4"/>
  <c r="AX50" i="4"/>
  <c r="AY50" i="4"/>
  <c r="AZ50" i="4"/>
  <c r="AU51" i="4"/>
  <c r="AT51" i="4" s="1"/>
  <c r="AV51" i="4"/>
  <c r="AW51" i="4"/>
  <c r="AX51" i="4"/>
  <c r="AY51" i="4"/>
  <c r="AZ51" i="4"/>
  <c r="AU52" i="4"/>
  <c r="AT52" i="4" s="1"/>
  <c r="AV52" i="4"/>
  <c r="AW52" i="4"/>
  <c r="AX52" i="4"/>
  <c r="AY52" i="4"/>
  <c r="AZ52" i="4"/>
  <c r="AU53" i="4"/>
  <c r="AT53" i="4" s="1"/>
  <c r="AV53" i="4"/>
  <c r="AW53" i="4"/>
  <c r="AX53" i="4"/>
  <c r="AY53" i="4"/>
  <c r="AZ53" i="4"/>
  <c r="AT41" i="4"/>
  <c r="AT35" i="4"/>
  <c r="AT7" i="4"/>
  <c r="AT11" i="4"/>
  <c r="AT13" i="4"/>
  <c r="AT15" i="4"/>
  <c r="AT19" i="4"/>
  <c r="AT23" i="4"/>
  <c r="AT27" i="4"/>
  <c r="AT31" i="4"/>
  <c r="AT33" i="4"/>
  <c r="AL49" i="4"/>
  <c r="AL50" i="4"/>
  <c r="AL51" i="4"/>
  <c r="AL52" i="4"/>
  <c r="AL53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6" i="4"/>
  <c r="B15" i="4"/>
  <c r="AM5" i="4"/>
  <c r="B50" i="1" l="1"/>
  <c r="B49" i="1"/>
  <c r="T6" i="4" l="1"/>
  <c r="U27" i="4" s="1"/>
  <c r="M1" i="4"/>
  <c r="K1" i="4"/>
  <c r="C27" i="1"/>
  <c r="B21" i="4"/>
  <c r="B14" i="4"/>
  <c r="T27" i="4" l="1"/>
  <c r="N1" i="4"/>
  <c r="T28" i="4"/>
  <c r="T12" i="4"/>
  <c r="T13" i="4" s="1"/>
  <c r="C21" i="1"/>
  <c r="B21" i="1"/>
  <c r="U28" i="4"/>
  <c r="B15" i="1"/>
  <c r="L1" i="4"/>
  <c r="A10" i="1"/>
  <c r="A11" i="1"/>
  <c r="A12" i="1"/>
  <c r="A9" i="1"/>
  <c r="B4" i="1"/>
  <c r="A1" i="1" l="1"/>
  <c r="B3" i="1"/>
  <c r="B2" i="1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AZ6" i="4"/>
  <c r="AY6" i="4"/>
  <c r="AX6" i="4"/>
  <c r="AW6" i="4"/>
  <c r="AV6" i="4"/>
  <c r="AU6" i="4"/>
  <c r="AT6" i="4" s="1"/>
  <c r="B3" i="4"/>
  <c r="E2" i="4"/>
  <c r="B9" i="4"/>
  <c r="B7" i="4"/>
  <c r="B8" i="4"/>
  <c r="T2" i="4"/>
  <c r="I2" i="4"/>
  <c r="F2" i="4"/>
  <c r="M2" i="4"/>
  <c r="K2" i="4"/>
  <c r="H2" i="4"/>
  <c r="B14" i="1" l="1"/>
  <c r="B1" i="1"/>
  <c r="BE15" i="4"/>
  <c r="C9" i="1" s="1"/>
  <c r="T20" i="4"/>
  <c r="B17" i="1"/>
  <c r="E3" i="4"/>
  <c r="BE18" i="4"/>
  <c r="C12" i="1" s="1"/>
  <c r="BE17" i="4"/>
  <c r="C11" i="1" s="1"/>
  <c r="BE16" i="4"/>
  <c r="C10" i="1" s="1"/>
  <c r="BD18" i="4"/>
  <c r="B12" i="1" s="1"/>
  <c r="BD17" i="4"/>
  <c r="B11" i="1" s="1"/>
  <c r="BD16" i="4"/>
  <c r="B10" i="1" s="1"/>
  <c r="BD15" i="4"/>
  <c r="B9" i="1" s="1"/>
  <c r="F3" i="4"/>
  <c r="V6" i="4"/>
  <c r="B12" i="4"/>
  <c r="M3" i="4"/>
  <c r="B11" i="4"/>
  <c r="I3" i="4"/>
  <c r="B10" i="4"/>
  <c r="K3" i="4"/>
  <c r="H3" i="4"/>
  <c r="B16" i="1" l="1"/>
  <c r="O1" i="10"/>
  <c r="T8" i="4"/>
  <c r="A31" i="1"/>
  <c r="B31" i="1"/>
  <c r="B13" i="4"/>
  <c r="E4" i="4"/>
  <c r="L4" i="10"/>
  <c r="K4" i="4"/>
  <c r="L3" i="10"/>
  <c r="I4" i="4"/>
  <c r="L2" i="10"/>
  <c r="M4" i="4"/>
  <c r="F4" i="4"/>
  <c r="H4" i="4"/>
  <c r="U8" i="4" l="1"/>
  <c r="C28" i="1" s="1"/>
  <c r="E5" i="4"/>
  <c r="H5" i="4"/>
  <c r="I5" i="4"/>
  <c r="F5" i="4"/>
  <c r="M5" i="4"/>
  <c r="K5" i="4"/>
  <c r="E6" i="4" l="1"/>
  <c r="M6" i="4"/>
  <c r="K6" i="4"/>
  <c r="I6" i="4"/>
  <c r="H6" i="4"/>
  <c r="F6" i="4"/>
  <c r="E7" i="4" l="1"/>
  <c r="H7" i="4"/>
  <c r="M7" i="4"/>
  <c r="F7" i="4"/>
  <c r="I7" i="4"/>
  <c r="K7" i="4"/>
  <c r="E8" i="4" l="1"/>
  <c r="K8" i="4"/>
  <c r="I8" i="4"/>
  <c r="H8" i="4"/>
  <c r="M8" i="4"/>
  <c r="F8" i="4"/>
  <c r="E9" i="4" l="1"/>
  <c r="H9" i="4"/>
  <c r="I9" i="4"/>
  <c r="K9" i="4"/>
  <c r="F9" i="4"/>
  <c r="M9" i="4"/>
  <c r="E10" i="4" l="1"/>
  <c r="H10" i="4"/>
  <c r="K10" i="4"/>
  <c r="I10" i="4"/>
  <c r="F10" i="4"/>
  <c r="M10" i="4"/>
  <c r="E11" i="4" l="1"/>
  <c r="M11" i="4"/>
  <c r="K11" i="4"/>
  <c r="F11" i="4"/>
  <c r="H11" i="4"/>
  <c r="I11" i="4"/>
  <c r="E12" i="4" l="1"/>
  <c r="K12" i="4"/>
  <c r="M12" i="4"/>
  <c r="I12" i="4"/>
  <c r="H12" i="4"/>
  <c r="F12" i="4"/>
  <c r="E13" i="4" l="1"/>
  <c r="M13" i="4"/>
  <c r="K13" i="4"/>
  <c r="I13" i="4"/>
  <c r="F13" i="4"/>
  <c r="H13" i="4"/>
  <c r="E14" i="4" l="1"/>
  <c r="K14" i="4"/>
  <c r="M14" i="4"/>
  <c r="I14" i="4"/>
  <c r="F14" i="4"/>
  <c r="H14" i="4"/>
  <c r="E15" i="4" l="1"/>
  <c r="M15" i="4"/>
  <c r="K15" i="4"/>
  <c r="H15" i="4"/>
  <c r="I15" i="4"/>
  <c r="F15" i="4"/>
  <c r="E16" i="4" l="1"/>
  <c r="K16" i="4"/>
  <c r="M16" i="4"/>
  <c r="H16" i="4"/>
  <c r="F16" i="4"/>
  <c r="I16" i="4"/>
  <c r="E17" i="4" l="1"/>
  <c r="M17" i="4"/>
  <c r="K17" i="4"/>
  <c r="H17" i="4"/>
  <c r="F17" i="4"/>
  <c r="I17" i="4"/>
  <c r="E18" i="4" l="1"/>
  <c r="M18" i="4"/>
  <c r="H18" i="4"/>
  <c r="I18" i="4"/>
  <c r="F18" i="4"/>
  <c r="K18" i="4"/>
  <c r="E19" i="4" l="1"/>
  <c r="B19" i="1"/>
  <c r="H19" i="4"/>
  <c r="I19" i="4"/>
  <c r="F19" i="4"/>
  <c r="M19" i="4"/>
  <c r="K19" i="4"/>
  <c r="E20" i="4" l="1"/>
  <c r="B27" i="1"/>
  <c r="B28" i="1"/>
  <c r="I20" i="4"/>
  <c r="H20" i="4"/>
  <c r="F20" i="4"/>
  <c r="K20" i="4"/>
  <c r="M20" i="4"/>
  <c r="E21" i="4" l="1"/>
  <c r="K21" i="4"/>
  <c r="M21" i="4"/>
  <c r="H21" i="4"/>
  <c r="F21" i="4"/>
  <c r="I21" i="4"/>
  <c r="E22" i="4" l="1"/>
  <c r="M22" i="4"/>
  <c r="I22" i="4"/>
  <c r="F22" i="4"/>
  <c r="H22" i="4"/>
  <c r="K22" i="4"/>
  <c r="E23" i="4" l="1"/>
  <c r="F23" i="4"/>
  <c r="K23" i="4"/>
  <c r="M23" i="4"/>
  <c r="H23" i="4"/>
  <c r="I23" i="4"/>
  <c r="E24" i="4" l="1"/>
  <c r="F24" i="4"/>
  <c r="H24" i="4"/>
  <c r="I24" i="4"/>
  <c r="K24" i="4"/>
  <c r="M24" i="4"/>
  <c r="E25" i="4" l="1"/>
  <c r="M25" i="4"/>
  <c r="I25" i="4"/>
  <c r="H25" i="4"/>
  <c r="F25" i="4"/>
  <c r="K25" i="4"/>
  <c r="E26" i="4" l="1"/>
  <c r="K26" i="4"/>
  <c r="F26" i="4"/>
  <c r="I26" i="4"/>
  <c r="M26" i="4"/>
  <c r="H26" i="4"/>
  <c r="E27" i="4" l="1"/>
  <c r="M27" i="4"/>
  <c r="K27" i="4"/>
  <c r="H27" i="4"/>
  <c r="I27" i="4"/>
  <c r="F27" i="4"/>
  <c r="E28" i="4" l="1"/>
  <c r="K28" i="4"/>
  <c r="H28" i="4"/>
  <c r="I28" i="4"/>
  <c r="M28" i="4"/>
  <c r="F28" i="4"/>
  <c r="E29" i="4" l="1"/>
  <c r="M29" i="4"/>
  <c r="K29" i="4"/>
  <c r="I29" i="4"/>
  <c r="H29" i="4"/>
  <c r="F29" i="4"/>
  <c r="E30" i="4" l="1"/>
  <c r="M30" i="4"/>
  <c r="F30" i="4"/>
  <c r="K30" i="4"/>
  <c r="I30" i="4"/>
  <c r="H30" i="4"/>
  <c r="E31" i="4" l="1"/>
  <c r="K31" i="4"/>
  <c r="F31" i="4"/>
  <c r="I31" i="4"/>
  <c r="M31" i="4"/>
  <c r="H31" i="4"/>
  <c r="E32" i="4" l="1"/>
  <c r="K32" i="4"/>
  <c r="I32" i="4"/>
  <c r="H32" i="4"/>
  <c r="M32" i="4"/>
  <c r="F32" i="4"/>
  <c r="E33" i="4" l="1"/>
  <c r="M33" i="4"/>
  <c r="K33" i="4"/>
  <c r="I33" i="4"/>
  <c r="H33" i="4"/>
  <c r="F33" i="4"/>
  <c r="E34" i="4" l="1"/>
  <c r="M34" i="4"/>
  <c r="K34" i="4"/>
  <c r="I34" i="4"/>
  <c r="H34" i="4"/>
  <c r="F34" i="4"/>
  <c r="E35" i="4" l="1"/>
  <c r="M35" i="4"/>
  <c r="F35" i="4"/>
  <c r="K35" i="4"/>
  <c r="H35" i="4"/>
  <c r="I35" i="4"/>
  <c r="E36" i="4" l="1"/>
  <c r="F36" i="4"/>
  <c r="M36" i="4"/>
  <c r="K36" i="4"/>
  <c r="I36" i="4"/>
  <c r="H36" i="4"/>
  <c r="E37" i="4" l="1"/>
  <c r="F37" i="4"/>
  <c r="K37" i="4"/>
  <c r="H37" i="4"/>
  <c r="I37" i="4"/>
  <c r="M37" i="4"/>
  <c r="E38" i="4" l="1"/>
  <c r="F38" i="4"/>
  <c r="M38" i="4"/>
  <c r="K38" i="4"/>
  <c r="I38" i="4"/>
  <c r="H38" i="4"/>
  <c r="E39" i="4" l="1"/>
  <c r="F39" i="4"/>
  <c r="K39" i="4"/>
  <c r="I39" i="4"/>
  <c r="H39" i="4"/>
  <c r="M39" i="4"/>
  <c r="E40" i="4" l="1"/>
  <c r="F40" i="4"/>
  <c r="M40" i="4"/>
  <c r="K40" i="4"/>
  <c r="H40" i="4"/>
  <c r="I40" i="4"/>
  <c r="E41" i="4" l="1"/>
  <c r="I41" i="4"/>
  <c r="K41" i="4"/>
  <c r="F41" i="4"/>
  <c r="H41" i="4"/>
  <c r="M41" i="4"/>
  <c r="E42" i="4" l="1"/>
  <c r="F42" i="4"/>
  <c r="K42" i="4"/>
  <c r="I42" i="4"/>
  <c r="H42" i="4"/>
  <c r="M42" i="4"/>
  <c r="E43" i="4" l="1"/>
  <c r="F43" i="4"/>
  <c r="M43" i="4"/>
  <c r="K43" i="4"/>
  <c r="I43" i="4"/>
  <c r="H43" i="4"/>
  <c r="E44" i="4" l="1"/>
  <c r="K44" i="4"/>
  <c r="H44" i="4"/>
  <c r="I44" i="4"/>
  <c r="M44" i="4"/>
  <c r="F44" i="4"/>
  <c r="E45" i="4" l="1"/>
  <c r="F45" i="4"/>
  <c r="M45" i="4"/>
  <c r="K45" i="4"/>
  <c r="I45" i="4"/>
  <c r="H45" i="4"/>
  <c r="E46" i="4" l="1"/>
  <c r="F46" i="4"/>
  <c r="K46" i="4"/>
  <c r="I46" i="4"/>
  <c r="H46" i="4"/>
  <c r="M46" i="4"/>
  <c r="E47" i="4" l="1"/>
  <c r="F47" i="4"/>
  <c r="K47" i="4"/>
  <c r="H47" i="4"/>
  <c r="I47" i="4"/>
  <c r="M47" i="4"/>
  <c r="E48" i="4" l="1"/>
  <c r="F48" i="4"/>
  <c r="K48" i="4"/>
  <c r="I48" i="4"/>
  <c r="H48" i="4"/>
  <c r="M48" i="4"/>
  <c r="E49" i="4" l="1"/>
  <c r="I49" i="4"/>
  <c r="M49" i="4"/>
  <c r="K49" i="4"/>
  <c r="F49" i="4"/>
  <c r="H49" i="4"/>
  <c r="E50" i="4" l="1"/>
  <c r="K50" i="4"/>
  <c r="H50" i="4"/>
  <c r="I50" i="4"/>
  <c r="M50" i="4"/>
  <c r="F50" i="4"/>
  <c r="E51" i="4" l="1"/>
  <c r="M51" i="4"/>
  <c r="F51" i="4"/>
  <c r="K51" i="4"/>
  <c r="H51" i="4"/>
  <c r="I51" i="4"/>
  <c r="E52" i="4" l="1"/>
  <c r="M52" i="4"/>
  <c r="K52" i="4"/>
  <c r="I52" i="4"/>
  <c r="H52" i="4"/>
  <c r="F52" i="4"/>
  <c r="E53" i="4" l="1"/>
  <c r="M53" i="4"/>
  <c r="F53" i="4"/>
  <c r="K53" i="4"/>
  <c r="H53" i="4"/>
  <c r="I53" i="4"/>
  <c r="E54" i="4" l="1"/>
  <c r="M54" i="4"/>
  <c r="K54" i="4"/>
  <c r="H54" i="4"/>
  <c r="I54" i="4"/>
  <c r="F54" i="4"/>
  <c r="E55" i="4" l="1"/>
  <c r="K55" i="4"/>
  <c r="H55" i="4"/>
  <c r="I55" i="4"/>
  <c r="F55" i="4"/>
  <c r="M55" i="4"/>
  <c r="E56" i="4" l="1"/>
  <c r="K56" i="4"/>
  <c r="H56" i="4"/>
  <c r="I56" i="4"/>
  <c r="M56" i="4"/>
  <c r="F56" i="4"/>
  <c r="E57" i="4" l="1"/>
  <c r="M57" i="4"/>
  <c r="H57" i="4"/>
  <c r="I57" i="4"/>
  <c r="F57" i="4"/>
  <c r="K57" i="4"/>
  <c r="E58" i="4" l="1"/>
  <c r="K58" i="4"/>
  <c r="H58" i="4"/>
  <c r="I58" i="4"/>
  <c r="F58" i="4"/>
  <c r="M58" i="4"/>
  <c r="E59" i="4" l="1"/>
  <c r="K59" i="4"/>
  <c r="H59" i="4"/>
  <c r="I59" i="4"/>
  <c r="M59" i="4"/>
  <c r="F59" i="4"/>
  <c r="E60" i="4" l="1"/>
  <c r="F60" i="4"/>
  <c r="K60" i="4"/>
  <c r="I60" i="4"/>
  <c r="H60" i="4"/>
  <c r="M60" i="4"/>
  <c r="E61" i="4" l="1"/>
  <c r="F61" i="4"/>
  <c r="M61" i="4"/>
  <c r="K61" i="4"/>
  <c r="H61" i="4"/>
  <c r="I61" i="4"/>
  <c r="E62" i="4" l="1"/>
  <c r="F62" i="4"/>
  <c r="K62" i="4"/>
  <c r="H62" i="4"/>
  <c r="I62" i="4"/>
  <c r="M62" i="4"/>
  <c r="E63" i="4" l="1"/>
  <c r="F63" i="4"/>
  <c r="K63" i="4"/>
  <c r="H63" i="4"/>
  <c r="I63" i="4"/>
  <c r="M63" i="4"/>
  <c r="E64" i="4" l="1"/>
  <c r="F64" i="4"/>
  <c r="K64" i="4"/>
  <c r="H64" i="4"/>
  <c r="I64" i="4"/>
  <c r="M64" i="4"/>
  <c r="E65" i="4" l="1"/>
  <c r="F65" i="4"/>
  <c r="K65" i="4"/>
  <c r="I65" i="4"/>
  <c r="H65" i="4"/>
  <c r="M65" i="4"/>
  <c r="E66" i="4" l="1"/>
  <c r="F66" i="4"/>
  <c r="K66" i="4"/>
  <c r="H66" i="4"/>
  <c r="I66" i="4"/>
  <c r="M66" i="4"/>
  <c r="E67" i="4" l="1"/>
  <c r="F67" i="4"/>
  <c r="K67" i="4"/>
  <c r="H67" i="4"/>
  <c r="I67" i="4"/>
  <c r="M67" i="4"/>
  <c r="E68" i="4" l="1"/>
  <c r="H68" i="4"/>
  <c r="M68" i="4"/>
  <c r="K68" i="4"/>
  <c r="I68" i="4"/>
  <c r="F68" i="4"/>
  <c r="E69" i="4" l="1"/>
  <c r="M69" i="4"/>
  <c r="H69" i="4"/>
  <c r="K69" i="4"/>
  <c r="I69" i="4"/>
  <c r="F69" i="4"/>
  <c r="E70" i="4" l="1"/>
  <c r="I70" i="4"/>
  <c r="M70" i="4"/>
  <c r="K70" i="4"/>
  <c r="H70" i="4"/>
  <c r="F70" i="4"/>
  <c r="E71" i="4" l="1"/>
  <c r="I71" i="4"/>
  <c r="K71" i="4"/>
  <c r="H71" i="4"/>
  <c r="F71" i="4"/>
  <c r="M71" i="4"/>
  <c r="E72" i="4" l="1"/>
  <c r="F72" i="4"/>
  <c r="M72" i="4"/>
  <c r="K72" i="4"/>
  <c r="H72" i="4"/>
  <c r="I72" i="4"/>
  <c r="E73" i="4" l="1"/>
  <c r="H73" i="4"/>
  <c r="M73" i="4"/>
  <c r="K73" i="4"/>
  <c r="I73" i="4"/>
  <c r="F73" i="4"/>
  <c r="E74" i="4" l="1"/>
  <c r="K74" i="4"/>
  <c r="H74" i="4"/>
  <c r="F74" i="4"/>
  <c r="I74" i="4"/>
  <c r="M74" i="4"/>
  <c r="E75" i="4" l="1"/>
  <c r="K75" i="4"/>
  <c r="I75" i="4"/>
  <c r="F75" i="4"/>
  <c r="H75" i="4"/>
  <c r="M75" i="4"/>
  <c r="E76" i="4" l="1"/>
  <c r="M76" i="4"/>
  <c r="K76" i="4"/>
  <c r="H76" i="4"/>
  <c r="F76" i="4"/>
  <c r="I76" i="4"/>
  <c r="E77" i="4" l="1"/>
  <c r="K77" i="4"/>
  <c r="H77" i="4"/>
  <c r="I77" i="4"/>
  <c r="M77" i="4"/>
  <c r="F77" i="4"/>
  <c r="E78" i="4" l="1"/>
  <c r="M78" i="4"/>
  <c r="K78" i="4"/>
  <c r="F78" i="4"/>
  <c r="I78" i="4"/>
  <c r="H78" i="4"/>
  <c r="E79" i="4" l="1"/>
  <c r="M79" i="4"/>
  <c r="K79" i="4"/>
  <c r="H79" i="4"/>
  <c r="I79" i="4"/>
  <c r="F79" i="4"/>
  <c r="E80" i="4" l="1"/>
  <c r="K80" i="4"/>
  <c r="I80" i="4"/>
  <c r="H80" i="4"/>
  <c r="F80" i="4"/>
  <c r="M80" i="4"/>
  <c r="E81" i="4" l="1"/>
  <c r="K81" i="4"/>
  <c r="I81" i="4"/>
  <c r="H81" i="4"/>
  <c r="F81" i="4"/>
  <c r="M81" i="4"/>
  <c r="E82" i="4" l="1"/>
  <c r="I82" i="4"/>
  <c r="M82" i="4"/>
  <c r="K82" i="4"/>
  <c r="F82" i="4"/>
  <c r="H82" i="4"/>
  <c r="E83" i="4" l="1"/>
  <c r="I83" i="4"/>
  <c r="K83" i="4"/>
  <c r="F83" i="4"/>
  <c r="H83" i="4"/>
  <c r="M83" i="4"/>
  <c r="E84" i="4" l="1"/>
  <c r="F84" i="4"/>
  <c r="M84" i="4"/>
  <c r="H84" i="4"/>
  <c r="I84" i="4"/>
  <c r="K84" i="4"/>
  <c r="E85" i="4" l="1"/>
  <c r="M85" i="4"/>
  <c r="K85" i="4"/>
  <c r="H85" i="4"/>
  <c r="F85" i="4"/>
  <c r="I85" i="4"/>
  <c r="E86" i="4" l="1"/>
  <c r="I86" i="4"/>
  <c r="H86" i="4"/>
  <c r="M86" i="4"/>
  <c r="F86" i="4"/>
  <c r="K86" i="4"/>
  <c r="E87" i="4" l="1"/>
  <c r="I87" i="4"/>
  <c r="H87" i="4"/>
  <c r="K87" i="4"/>
  <c r="F87" i="4"/>
  <c r="M87" i="4"/>
  <c r="E88" i="4" l="1"/>
  <c r="I88" i="4"/>
  <c r="H88" i="4"/>
  <c r="K88" i="4"/>
  <c r="F88" i="4"/>
  <c r="M88" i="4"/>
  <c r="E89" i="4" l="1"/>
  <c r="I89" i="4"/>
  <c r="H89" i="4"/>
  <c r="M89" i="4"/>
  <c r="F89" i="4"/>
  <c r="K89" i="4"/>
  <c r="E90" i="4" l="1"/>
  <c r="I90" i="4"/>
  <c r="H90" i="4"/>
  <c r="K90" i="4"/>
  <c r="F90" i="4"/>
  <c r="M90" i="4"/>
  <c r="E91" i="4" l="1"/>
  <c r="I91" i="4"/>
  <c r="K91" i="4"/>
  <c r="F91" i="4"/>
  <c r="H91" i="4"/>
  <c r="M91" i="4"/>
  <c r="E92" i="4" l="1"/>
  <c r="I92" i="4"/>
  <c r="H92" i="4"/>
  <c r="K92" i="4"/>
  <c r="F92" i="4"/>
  <c r="M92" i="4"/>
  <c r="E93" i="4" l="1"/>
  <c r="I93" i="4"/>
  <c r="H93" i="4"/>
  <c r="K93" i="4"/>
  <c r="F93" i="4"/>
  <c r="M93" i="4"/>
  <c r="E94" i="4" l="1"/>
  <c r="F94" i="4"/>
  <c r="H94" i="4"/>
  <c r="K94" i="4"/>
  <c r="I94" i="4"/>
  <c r="M94" i="4"/>
  <c r="E95" i="4" l="1"/>
  <c r="K95" i="4"/>
  <c r="H95" i="4"/>
  <c r="F95" i="4"/>
  <c r="I95" i="4"/>
  <c r="M95" i="4"/>
  <c r="E96" i="4" l="1"/>
  <c r="H96" i="4"/>
  <c r="M96" i="4"/>
  <c r="I96" i="4"/>
  <c r="K96" i="4"/>
  <c r="F96" i="4"/>
  <c r="E97" i="4" l="1"/>
  <c r="M97" i="4"/>
  <c r="K97" i="4"/>
  <c r="H97" i="4"/>
  <c r="F97" i="4"/>
  <c r="I97" i="4"/>
  <c r="E98" i="4" l="1"/>
  <c r="M98" i="4"/>
  <c r="K98" i="4"/>
  <c r="I98" i="4"/>
  <c r="F98" i="4"/>
  <c r="H98" i="4"/>
  <c r="E99" i="4" l="1"/>
  <c r="M99" i="4"/>
  <c r="K99" i="4"/>
  <c r="H99" i="4"/>
  <c r="F99" i="4"/>
  <c r="I99" i="4"/>
  <c r="E100" i="4" l="1"/>
  <c r="K100" i="4"/>
  <c r="I100" i="4"/>
  <c r="F100" i="4"/>
  <c r="H100" i="4"/>
  <c r="M100" i="4"/>
  <c r="E101" i="4" l="1"/>
  <c r="K101" i="4"/>
  <c r="I101" i="4"/>
  <c r="F101" i="4"/>
  <c r="H101" i="4"/>
  <c r="M101" i="4"/>
  <c r="E102" i="4" l="1"/>
  <c r="M102" i="4"/>
  <c r="K102" i="4"/>
  <c r="I102" i="4"/>
  <c r="F102" i="4"/>
  <c r="H102" i="4"/>
  <c r="E103" i="4" l="1"/>
  <c r="M103" i="4"/>
  <c r="K103" i="4"/>
  <c r="I103" i="4"/>
  <c r="F103" i="4"/>
  <c r="H103" i="4"/>
  <c r="E104" i="4" l="1"/>
  <c r="M104" i="4"/>
  <c r="K104" i="4"/>
  <c r="F104" i="4"/>
  <c r="H104" i="4"/>
  <c r="I104" i="4"/>
  <c r="E105" i="4" l="1"/>
  <c r="M105" i="4"/>
  <c r="K105" i="4"/>
  <c r="F105" i="4"/>
  <c r="H105" i="4"/>
  <c r="I105" i="4"/>
  <c r="E106" i="4" l="1"/>
  <c r="K106" i="4"/>
  <c r="F106" i="4"/>
  <c r="I106" i="4"/>
  <c r="H106" i="4"/>
  <c r="M106" i="4"/>
  <c r="E107" i="4" l="1"/>
  <c r="M107" i="4"/>
  <c r="I107" i="4"/>
  <c r="H107" i="4"/>
  <c r="F107" i="4"/>
  <c r="K107" i="4"/>
  <c r="E108" i="4" l="1"/>
  <c r="K108" i="4"/>
  <c r="F108" i="4"/>
  <c r="I108" i="4"/>
  <c r="M108" i="4"/>
  <c r="H108" i="4"/>
  <c r="E109" i="4" l="1"/>
  <c r="M109" i="4"/>
  <c r="H109" i="4"/>
  <c r="K109" i="4"/>
  <c r="I109" i="4"/>
  <c r="F109" i="4"/>
  <c r="E110" i="4" l="1"/>
  <c r="M110" i="4"/>
  <c r="K110" i="4"/>
  <c r="I110" i="4"/>
  <c r="H110" i="4"/>
  <c r="F110" i="4"/>
  <c r="E111" i="4" l="1"/>
  <c r="K111" i="4"/>
  <c r="I111" i="4"/>
  <c r="F111" i="4"/>
  <c r="H111" i="4"/>
  <c r="M111" i="4"/>
  <c r="E112" i="4" l="1"/>
  <c r="M112" i="4"/>
  <c r="I112" i="4"/>
  <c r="K112" i="4"/>
  <c r="H112" i="4"/>
  <c r="F112" i="4"/>
  <c r="E113" i="4" l="1"/>
  <c r="M113" i="4"/>
  <c r="K113" i="4"/>
  <c r="I113" i="4"/>
  <c r="F113" i="4"/>
  <c r="H113" i="4"/>
  <c r="E114" i="4" l="1"/>
  <c r="K114" i="4"/>
  <c r="I114" i="4"/>
  <c r="F114" i="4"/>
  <c r="M114" i="4"/>
  <c r="H114" i="4"/>
  <c r="E115" i="4" l="1"/>
  <c r="K115" i="4"/>
  <c r="F115" i="4"/>
  <c r="H115" i="4"/>
  <c r="M115" i="4"/>
  <c r="I115" i="4"/>
  <c r="E116" i="4" l="1"/>
  <c r="M116" i="4"/>
  <c r="K116" i="4"/>
  <c r="H116" i="4"/>
  <c r="I116" i="4"/>
  <c r="F116" i="4"/>
  <c r="E117" i="4" l="1"/>
  <c r="H117" i="4"/>
  <c r="M117" i="4"/>
  <c r="K117" i="4"/>
  <c r="I117" i="4"/>
  <c r="F117" i="4"/>
  <c r="E118" i="4" l="1"/>
  <c r="M118" i="4"/>
  <c r="F118" i="4"/>
  <c r="K118" i="4"/>
  <c r="H118" i="4"/>
  <c r="I118" i="4"/>
  <c r="E119" i="4" l="1"/>
  <c r="M119" i="4"/>
  <c r="K119" i="4"/>
  <c r="I119" i="4"/>
  <c r="H119" i="4"/>
  <c r="F119" i="4"/>
  <c r="E120" i="4" l="1"/>
  <c r="M120" i="4"/>
  <c r="K120" i="4"/>
  <c r="F120" i="4"/>
  <c r="I120" i="4"/>
  <c r="H120" i="4"/>
  <c r="E121" i="4" l="1"/>
  <c r="K121" i="4"/>
  <c r="H121" i="4"/>
  <c r="I121" i="4"/>
  <c r="M121" i="4"/>
  <c r="F121" i="4"/>
  <c r="E122" i="4" l="1"/>
  <c r="M122" i="4"/>
  <c r="K122" i="4"/>
  <c r="F122" i="4"/>
  <c r="I122" i="4"/>
  <c r="H122" i="4"/>
  <c r="E123" i="4" l="1"/>
  <c r="K123" i="4"/>
  <c r="I123" i="4"/>
  <c r="F123" i="4"/>
  <c r="M123" i="4"/>
  <c r="H123" i="4"/>
  <c r="E124" i="4" l="1"/>
  <c r="M124" i="4"/>
  <c r="K124" i="4"/>
  <c r="I124" i="4"/>
  <c r="F124" i="4"/>
  <c r="H124" i="4"/>
  <c r="E125" i="4" l="1"/>
  <c r="K125" i="4"/>
  <c r="H125" i="4"/>
  <c r="I125" i="4"/>
  <c r="F125" i="4"/>
  <c r="M125" i="4"/>
  <c r="E126" i="4" l="1"/>
  <c r="K126" i="4"/>
  <c r="I126" i="4"/>
  <c r="F126" i="4"/>
  <c r="H126" i="4"/>
  <c r="M126" i="4"/>
  <c r="E127" i="4" l="1"/>
  <c r="K127" i="4"/>
  <c r="F127" i="4"/>
  <c r="I127" i="4"/>
  <c r="H127" i="4"/>
  <c r="M127" i="4"/>
  <c r="E128" i="4" l="1"/>
  <c r="K128" i="4"/>
  <c r="F128" i="4"/>
  <c r="I128" i="4"/>
  <c r="M128" i="4"/>
  <c r="H128" i="4"/>
  <c r="E129" i="4" l="1"/>
  <c r="M129" i="4"/>
  <c r="K129" i="4"/>
  <c r="F129" i="4"/>
  <c r="I129" i="4"/>
  <c r="H129" i="4"/>
  <c r="E130" i="4" l="1"/>
  <c r="M130" i="4"/>
  <c r="K130" i="4"/>
  <c r="I130" i="4"/>
  <c r="H130" i="4"/>
  <c r="F130" i="4"/>
  <c r="E131" i="4" l="1"/>
  <c r="M131" i="4"/>
  <c r="K131" i="4"/>
  <c r="F131" i="4"/>
  <c r="I131" i="4"/>
  <c r="H131" i="4"/>
  <c r="E132" i="4" l="1"/>
  <c r="K132" i="4"/>
  <c r="F132" i="4"/>
  <c r="I132" i="4"/>
  <c r="M132" i="4"/>
  <c r="H132" i="4"/>
  <c r="E133" i="4" l="1"/>
  <c r="M133" i="4"/>
  <c r="K133" i="4"/>
  <c r="F133" i="4"/>
  <c r="H133" i="4"/>
  <c r="I133" i="4"/>
  <c r="E134" i="4" l="1"/>
  <c r="K134" i="4"/>
  <c r="I134" i="4"/>
  <c r="F134" i="4"/>
  <c r="M134" i="4"/>
  <c r="H134" i="4"/>
  <c r="E135" i="4" l="1"/>
  <c r="M135" i="4"/>
  <c r="K135" i="4"/>
  <c r="F135" i="4"/>
  <c r="H135" i="4"/>
  <c r="I135" i="4"/>
  <c r="E136" i="4" l="1"/>
  <c r="M136" i="4"/>
  <c r="K136" i="4"/>
  <c r="H136" i="4"/>
  <c r="I136" i="4"/>
  <c r="F136" i="4"/>
  <c r="E137" i="4" l="1"/>
  <c r="M137" i="4"/>
  <c r="K137" i="4"/>
  <c r="I137" i="4"/>
  <c r="F137" i="4"/>
  <c r="H137" i="4"/>
  <c r="E138" i="4" l="1"/>
  <c r="M138" i="4"/>
  <c r="K138" i="4"/>
  <c r="I138" i="4"/>
  <c r="F138" i="4"/>
  <c r="H138" i="4"/>
  <c r="E139" i="4" l="1"/>
  <c r="K139" i="4"/>
  <c r="I139" i="4"/>
  <c r="F139" i="4"/>
  <c r="M139" i="4"/>
  <c r="H139" i="4"/>
  <c r="E140" i="4" l="1"/>
  <c r="K140" i="4"/>
  <c r="H140" i="4"/>
  <c r="I140" i="4"/>
  <c r="M140" i="4"/>
  <c r="F140" i="4"/>
  <c r="E141" i="4" l="1"/>
  <c r="M141" i="4"/>
  <c r="I141" i="4"/>
  <c r="H141" i="4"/>
  <c r="K141" i="4"/>
  <c r="F141" i="4"/>
  <c r="E142" i="4" l="1"/>
  <c r="K142" i="4"/>
  <c r="H142" i="4"/>
  <c r="I142" i="4"/>
  <c r="M142" i="4"/>
  <c r="F142" i="4"/>
  <c r="E143" i="4" l="1"/>
  <c r="M143" i="4"/>
  <c r="K143" i="4"/>
  <c r="F143" i="4"/>
  <c r="I143" i="4"/>
  <c r="H143" i="4"/>
  <c r="E144" i="4" l="1"/>
  <c r="M144" i="4"/>
  <c r="K144" i="4"/>
  <c r="I144" i="4"/>
  <c r="F144" i="4"/>
  <c r="H144" i="4"/>
  <c r="E145" i="4" l="1"/>
  <c r="K145" i="4"/>
  <c r="F145" i="4"/>
  <c r="I145" i="4"/>
  <c r="H145" i="4"/>
  <c r="M145" i="4"/>
  <c r="E146" i="4" l="1"/>
  <c r="K146" i="4"/>
  <c r="I146" i="4"/>
  <c r="F146" i="4"/>
  <c r="M146" i="4"/>
  <c r="H146" i="4"/>
  <c r="E147" i="4" l="1"/>
  <c r="M147" i="4"/>
  <c r="K147" i="4"/>
  <c r="I147" i="4"/>
  <c r="F147" i="4"/>
  <c r="H147" i="4"/>
  <c r="E148" i="4" l="1"/>
  <c r="K148" i="4"/>
  <c r="I148" i="4"/>
  <c r="F148" i="4"/>
  <c r="H148" i="4"/>
  <c r="M148" i="4"/>
  <c r="E149" i="4" l="1"/>
  <c r="M149" i="4"/>
  <c r="K149" i="4"/>
  <c r="F149" i="4"/>
  <c r="I149" i="4"/>
  <c r="H149" i="4"/>
  <c r="E150" i="4" l="1"/>
  <c r="M150" i="4"/>
  <c r="K150" i="4"/>
  <c r="I150" i="4"/>
  <c r="F150" i="4"/>
  <c r="H150" i="4"/>
  <c r="E151" i="4" l="1"/>
  <c r="M151" i="4"/>
  <c r="K151" i="4"/>
  <c r="F151" i="4"/>
  <c r="H151" i="4"/>
  <c r="I151" i="4"/>
  <c r="E152" i="4" l="1"/>
  <c r="K152" i="4"/>
  <c r="M152" i="4"/>
  <c r="F152" i="4"/>
  <c r="I152" i="4"/>
  <c r="H152" i="4"/>
  <c r="E153" i="4" l="1"/>
  <c r="K153" i="4"/>
  <c r="H153" i="4"/>
  <c r="F153" i="4"/>
  <c r="I153" i="4"/>
  <c r="M153" i="4"/>
  <c r="E154" i="4" l="1"/>
  <c r="M154" i="4"/>
  <c r="K154" i="4"/>
  <c r="I154" i="4"/>
  <c r="H154" i="4"/>
  <c r="F154" i="4"/>
  <c r="E155" i="4" l="1"/>
  <c r="M155" i="4"/>
  <c r="K155" i="4"/>
  <c r="F155" i="4"/>
  <c r="I155" i="4"/>
  <c r="H155" i="4"/>
  <c r="E156" i="4" l="1"/>
  <c r="M156" i="4"/>
  <c r="K156" i="4"/>
  <c r="F156" i="4"/>
  <c r="I156" i="4"/>
  <c r="H156" i="4"/>
  <c r="E157" i="4" l="1"/>
  <c r="K157" i="4"/>
  <c r="F157" i="4"/>
  <c r="I157" i="4"/>
  <c r="H157" i="4"/>
  <c r="M157" i="4"/>
  <c r="E158" i="4" l="1"/>
  <c r="M158" i="4"/>
  <c r="K158" i="4"/>
  <c r="I158" i="4"/>
  <c r="F158" i="4"/>
  <c r="H158" i="4"/>
  <c r="E159" i="4" l="1"/>
  <c r="K159" i="4"/>
  <c r="H159" i="4"/>
  <c r="F159" i="4"/>
  <c r="M159" i="4"/>
  <c r="I159" i="4"/>
  <c r="E160" i="4" l="1"/>
  <c r="K160" i="4"/>
  <c r="I160" i="4"/>
  <c r="F160" i="4"/>
  <c r="H160" i="4"/>
  <c r="M160" i="4"/>
  <c r="E161" i="4" l="1"/>
  <c r="K161" i="4"/>
  <c r="I161" i="4"/>
  <c r="F161" i="4"/>
  <c r="H161" i="4"/>
  <c r="M161" i="4"/>
  <c r="E162" i="4" l="1"/>
  <c r="M162" i="4"/>
  <c r="K162" i="4"/>
  <c r="F162" i="4"/>
  <c r="I162" i="4"/>
  <c r="H162" i="4"/>
  <c r="E163" i="4" l="1"/>
  <c r="K163" i="4"/>
  <c r="H163" i="4"/>
  <c r="I163" i="4"/>
  <c r="M163" i="4"/>
  <c r="F163" i="4"/>
  <c r="E164" i="4" l="1"/>
  <c r="K164" i="4"/>
  <c r="M164" i="4"/>
  <c r="F164" i="4"/>
  <c r="I164" i="4"/>
  <c r="H164" i="4"/>
  <c r="E165" i="4" l="1"/>
  <c r="M165" i="4"/>
  <c r="K165" i="4"/>
  <c r="I165" i="4"/>
  <c r="F165" i="4"/>
  <c r="H165" i="4"/>
  <c r="E166" i="4" l="1"/>
  <c r="K166" i="4"/>
  <c r="F166" i="4"/>
  <c r="I166" i="4"/>
  <c r="M166" i="4"/>
  <c r="H166" i="4"/>
  <c r="E167" i="4" l="1"/>
  <c r="M167" i="4"/>
  <c r="F167" i="4"/>
  <c r="K167" i="4"/>
  <c r="I167" i="4"/>
  <c r="H167" i="4"/>
  <c r="E168" i="4" l="1"/>
  <c r="K168" i="4"/>
  <c r="I168" i="4"/>
  <c r="H168" i="4"/>
  <c r="F168" i="4"/>
  <c r="M168" i="4"/>
  <c r="E169" i="4" l="1"/>
  <c r="M169" i="4"/>
  <c r="K169" i="4"/>
  <c r="F169" i="4"/>
  <c r="I169" i="4"/>
  <c r="H169" i="4"/>
  <c r="E170" i="4" l="1"/>
  <c r="M170" i="4"/>
  <c r="F170" i="4"/>
  <c r="K170" i="4"/>
  <c r="I170" i="4"/>
  <c r="H170" i="4"/>
  <c r="E171" i="4" l="1"/>
  <c r="K171" i="4"/>
  <c r="F171" i="4"/>
  <c r="I171" i="4"/>
  <c r="M171" i="4"/>
  <c r="H171" i="4"/>
  <c r="E172" i="4" l="1"/>
  <c r="M172" i="4"/>
  <c r="K172" i="4"/>
  <c r="I172" i="4"/>
  <c r="F172" i="4"/>
  <c r="H172" i="4"/>
  <c r="E173" i="4" l="1"/>
  <c r="M173" i="4"/>
  <c r="K173" i="4"/>
  <c r="I173" i="4"/>
  <c r="F173" i="4"/>
  <c r="H173" i="4"/>
  <c r="E174" i="4" l="1"/>
  <c r="M174" i="4"/>
  <c r="H174" i="4"/>
  <c r="K174" i="4"/>
  <c r="I174" i="4"/>
  <c r="F174" i="4"/>
  <c r="E175" i="4" l="1"/>
  <c r="K175" i="4"/>
  <c r="I175" i="4"/>
  <c r="F175" i="4"/>
  <c r="H175" i="4"/>
  <c r="M175" i="4"/>
  <c r="E176" i="4" l="1"/>
  <c r="M176" i="4"/>
  <c r="K176" i="4"/>
  <c r="I176" i="4"/>
  <c r="H176" i="4"/>
  <c r="F176" i="4"/>
  <c r="E177" i="4" l="1"/>
  <c r="K177" i="4"/>
  <c r="H177" i="4"/>
  <c r="I177" i="4"/>
  <c r="M177" i="4"/>
  <c r="F177" i="4"/>
  <c r="E178" i="4" l="1"/>
  <c r="M178" i="4"/>
  <c r="K178" i="4"/>
  <c r="H178" i="4"/>
  <c r="I178" i="4"/>
  <c r="F178" i="4"/>
  <c r="E179" i="4" l="1"/>
  <c r="K179" i="4"/>
  <c r="F179" i="4"/>
  <c r="I179" i="4"/>
  <c r="M179" i="4"/>
  <c r="H179" i="4"/>
  <c r="E180" i="4" l="1"/>
  <c r="M180" i="4"/>
  <c r="K180" i="4"/>
  <c r="H180" i="4"/>
  <c r="F180" i="4"/>
  <c r="I180" i="4"/>
  <c r="E181" i="4" l="1"/>
  <c r="M181" i="4"/>
  <c r="K181" i="4"/>
  <c r="F181" i="4"/>
  <c r="I181" i="4"/>
  <c r="H181" i="4"/>
  <c r="E182" i="4" l="1"/>
  <c r="K182" i="4"/>
  <c r="F182" i="4"/>
  <c r="I182" i="4"/>
  <c r="M182" i="4"/>
  <c r="H182" i="4"/>
  <c r="E183" i="4" l="1"/>
  <c r="M183" i="4"/>
  <c r="K183" i="4"/>
  <c r="F183" i="4"/>
  <c r="I183" i="4"/>
  <c r="H183" i="4"/>
  <c r="E184" i="4" l="1"/>
  <c r="K184" i="4"/>
  <c r="F184" i="4"/>
  <c r="H184" i="4"/>
  <c r="I184" i="4"/>
  <c r="M184" i="4"/>
  <c r="E185" i="4" l="1"/>
  <c r="K185" i="4"/>
  <c r="F185" i="4"/>
  <c r="I185" i="4"/>
  <c r="M185" i="4"/>
  <c r="H185" i="4"/>
  <c r="E186" i="4" l="1"/>
  <c r="K186" i="4"/>
  <c r="I186" i="4"/>
  <c r="F186" i="4"/>
  <c r="M186" i="4"/>
  <c r="H186" i="4"/>
  <c r="E187" i="4" l="1"/>
  <c r="M187" i="4"/>
  <c r="K187" i="4"/>
  <c r="F187" i="4"/>
  <c r="I187" i="4"/>
  <c r="H187" i="4"/>
  <c r="E188" i="4" l="1"/>
  <c r="M188" i="4"/>
  <c r="K188" i="4"/>
  <c r="H188" i="4"/>
  <c r="F188" i="4"/>
  <c r="I188" i="4"/>
  <c r="E189" i="4" l="1"/>
  <c r="K189" i="4"/>
  <c r="I189" i="4"/>
  <c r="H189" i="4"/>
  <c r="F189" i="4"/>
  <c r="M189" i="4"/>
  <c r="E190" i="4" l="1"/>
  <c r="M190" i="4"/>
  <c r="K190" i="4"/>
  <c r="I190" i="4"/>
  <c r="H190" i="4"/>
  <c r="F190" i="4"/>
  <c r="E191" i="4" l="1"/>
  <c r="M191" i="4"/>
  <c r="K191" i="4"/>
  <c r="F191" i="4"/>
  <c r="H191" i="4"/>
  <c r="I191" i="4"/>
  <c r="E192" i="4" l="1"/>
  <c r="K192" i="4"/>
  <c r="I192" i="4"/>
  <c r="H192" i="4"/>
  <c r="F192" i="4"/>
  <c r="M192" i="4"/>
  <c r="E193" i="4" l="1"/>
  <c r="M193" i="4"/>
  <c r="K193" i="4"/>
  <c r="H193" i="4"/>
  <c r="I193" i="4"/>
  <c r="F193" i="4"/>
  <c r="E194" i="4" l="1"/>
  <c r="M194" i="4"/>
  <c r="K194" i="4"/>
  <c r="I194" i="4"/>
  <c r="F194" i="4"/>
  <c r="H194" i="4"/>
  <c r="E195" i="4" l="1"/>
  <c r="M195" i="4"/>
  <c r="K195" i="4"/>
  <c r="I195" i="4"/>
  <c r="F195" i="4"/>
  <c r="H195" i="4"/>
  <c r="E196" i="4" l="1"/>
  <c r="K196" i="4"/>
  <c r="I196" i="4"/>
  <c r="F196" i="4"/>
  <c r="H196" i="4"/>
  <c r="M196" i="4"/>
  <c r="E197" i="4" l="1"/>
  <c r="K197" i="4"/>
  <c r="F197" i="4"/>
  <c r="I197" i="4"/>
  <c r="H197" i="4"/>
  <c r="M197" i="4"/>
  <c r="E198" i="4" l="1"/>
  <c r="M198" i="4"/>
  <c r="K198" i="4"/>
  <c r="F198" i="4"/>
  <c r="I198" i="4"/>
  <c r="H198" i="4"/>
  <c r="E199" i="4" l="1"/>
  <c r="M199" i="4"/>
  <c r="K199" i="4"/>
  <c r="F199" i="4"/>
  <c r="H199" i="4"/>
  <c r="I199" i="4"/>
  <c r="E200" i="4" l="1"/>
  <c r="M200" i="4"/>
  <c r="H200" i="4"/>
  <c r="K200" i="4"/>
  <c r="I200" i="4"/>
  <c r="F200" i="4"/>
  <c r="E201" i="4" l="1"/>
  <c r="M201" i="4"/>
  <c r="K201" i="4"/>
  <c r="H201" i="4"/>
  <c r="I201" i="4"/>
  <c r="F201" i="4"/>
  <c r="E202" i="4" l="1"/>
  <c r="M202" i="4"/>
  <c r="F202" i="4"/>
  <c r="K202" i="4"/>
  <c r="H202" i="4"/>
  <c r="I202" i="4"/>
  <c r="E203" i="4" l="1"/>
  <c r="M203" i="4"/>
  <c r="K203" i="4"/>
  <c r="I203" i="4"/>
  <c r="H203" i="4"/>
  <c r="F203" i="4"/>
  <c r="E204" i="4" l="1"/>
  <c r="M204" i="4"/>
  <c r="K204" i="4"/>
  <c r="I204" i="4"/>
  <c r="H204" i="4"/>
  <c r="F204" i="4"/>
  <c r="E205" i="4" l="1"/>
  <c r="M205" i="4"/>
  <c r="K205" i="4"/>
  <c r="F205" i="4"/>
  <c r="I205" i="4"/>
  <c r="H205" i="4"/>
  <c r="E206" i="4" l="1"/>
  <c r="M206" i="4"/>
  <c r="K206" i="4"/>
  <c r="I206" i="4"/>
  <c r="H206" i="4"/>
  <c r="F206" i="4"/>
  <c r="E207" i="4" l="1"/>
  <c r="M207" i="4"/>
  <c r="K207" i="4"/>
  <c r="F207" i="4"/>
  <c r="I207" i="4"/>
  <c r="H207" i="4"/>
  <c r="E208" i="4" l="1"/>
  <c r="M208" i="4"/>
  <c r="K208" i="4"/>
  <c r="I208" i="4"/>
  <c r="H208" i="4"/>
  <c r="F208" i="4"/>
  <c r="E209" i="4" l="1"/>
  <c r="K209" i="4"/>
  <c r="I209" i="4"/>
  <c r="H209" i="4"/>
  <c r="F209" i="4"/>
  <c r="M209" i="4"/>
  <c r="E210" i="4" l="1"/>
  <c r="M210" i="4"/>
  <c r="K210" i="4"/>
  <c r="I210" i="4"/>
  <c r="H210" i="4"/>
  <c r="F210" i="4"/>
  <c r="E211" i="4" l="1"/>
  <c r="K211" i="4"/>
  <c r="I211" i="4"/>
  <c r="H211" i="4"/>
  <c r="F211" i="4"/>
  <c r="M211" i="4"/>
  <c r="E212" i="4" l="1"/>
  <c r="K212" i="4"/>
  <c r="F212" i="4"/>
  <c r="I212" i="4"/>
  <c r="H212" i="4"/>
  <c r="M212" i="4"/>
  <c r="E213" i="4" l="1"/>
  <c r="M213" i="4"/>
  <c r="K213" i="4"/>
  <c r="F213" i="4"/>
  <c r="H213" i="4"/>
  <c r="I213" i="4"/>
  <c r="E214" i="4" l="1"/>
  <c r="K214" i="4"/>
  <c r="I214" i="4"/>
  <c r="F214" i="4"/>
  <c r="M214" i="4"/>
  <c r="H214" i="4"/>
  <c r="E215" i="4" l="1"/>
  <c r="M215" i="4"/>
  <c r="K215" i="4"/>
  <c r="H215" i="4"/>
  <c r="I215" i="4"/>
  <c r="F215" i="4"/>
  <c r="E216" i="4" l="1"/>
  <c r="M216" i="4"/>
  <c r="K216" i="4"/>
  <c r="H216" i="4"/>
  <c r="I216" i="4"/>
  <c r="F216" i="4"/>
  <c r="E217" i="4" l="1"/>
  <c r="M217" i="4"/>
  <c r="K217" i="4"/>
  <c r="I217" i="4"/>
  <c r="F217" i="4"/>
  <c r="H217" i="4"/>
  <c r="E218" i="4" l="1"/>
  <c r="M218" i="4"/>
  <c r="K218" i="4"/>
  <c r="H218" i="4"/>
  <c r="I218" i="4"/>
  <c r="F218" i="4"/>
  <c r="E219" i="4" l="1"/>
  <c r="K219" i="4"/>
  <c r="F219" i="4"/>
  <c r="H219" i="4"/>
  <c r="M219" i="4"/>
  <c r="I219" i="4"/>
  <c r="E220" i="4" l="1"/>
  <c r="M220" i="4"/>
  <c r="K220" i="4"/>
  <c r="F220" i="4"/>
  <c r="I220" i="4"/>
  <c r="H220" i="4"/>
  <c r="E221" i="4" l="1"/>
  <c r="M221" i="4"/>
  <c r="K221" i="4"/>
  <c r="I221" i="4"/>
  <c r="F221" i="4"/>
  <c r="H221" i="4"/>
  <c r="E222" i="4" l="1"/>
  <c r="M222" i="4"/>
  <c r="K222" i="4"/>
  <c r="H222" i="4"/>
  <c r="I222" i="4"/>
  <c r="F222" i="4"/>
  <c r="E223" i="4" l="1"/>
  <c r="M223" i="4"/>
  <c r="K223" i="4"/>
  <c r="I223" i="4"/>
  <c r="H223" i="4"/>
  <c r="F223" i="4"/>
  <c r="E224" i="4" l="1"/>
  <c r="K224" i="4"/>
  <c r="I224" i="4"/>
  <c r="H224" i="4"/>
  <c r="F224" i="4"/>
  <c r="M224" i="4"/>
  <c r="E225" i="4" l="1"/>
  <c r="M225" i="4"/>
  <c r="K225" i="4"/>
  <c r="F225" i="4"/>
  <c r="I225" i="4"/>
  <c r="H225" i="4"/>
  <c r="E226" i="4" l="1"/>
  <c r="M226" i="4"/>
  <c r="K226" i="4"/>
  <c r="H226" i="4"/>
  <c r="I226" i="4"/>
  <c r="F226" i="4"/>
  <c r="E227" i="4" l="1"/>
  <c r="K227" i="4"/>
  <c r="F227" i="4"/>
  <c r="I227" i="4"/>
  <c r="H227" i="4"/>
  <c r="M227" i="4"/>
  <c r="E228" i="4" l="1"/>
  <c r="K228" i="4"/>
  <c r="H228" i="4"/>
  <c r="I228" i="4"/>
  <c r="M228" i="4"/>
  <c r="F228" i="4"/>
  <c r="E229" i="4" l="1"/>
  <c r="K229" i="4"/>
  <c r="I229" i="4"/>
  <c r="F229" i="4"/>
  <c r="H229" i="4"/>
  <c r="M229" i="4"/>
  <c r="E230" i="4" l="1"/>
  <c r="K230" i="4"/>
  <c r="H230" i="4"/>
  <c r="I230" i="4"/>
  <c r="M230" i="4"/>
  <c r="F230" i="4"/>
  <c r="E231" i="4" l="1"/>
  <c r="M231" i="4"/>
  <c r="K231" i="4"/>
  <c r="H231" i="4"/>
  <c r="F231" i="4"/>
  <c r="I231" i="4"/>
  <c r="E232" i="4" l="1"/>
  <c r="K232" i="4"/>
  <c r="I232" i="4"/>
  <c r="H232" i="4"/>
  <c r="M232" i="4"/>
  <c r="F232" i="4"/>
  <c r="E233" i="4" l="1"/>
  <c r="M233" i="4"/>
  <c r="K233" i="4"/>
  <c r="F233" i="4"/>
  <c r="I233" i="4"/>
  <c r="H233" i="4"/>
  <c r="E234" i="4" l="1"/>
  <c r="K234" i="4"/>
  <c r="F234" i="4"/>
  <c r="I234" i="4"/>
  <c r="H234" i="4"/>
  <c r="M234" i="4"/>
  <c r="E235" i="4" l="1"/>
  <c r="M235" i="4"/>
  <c r="K235" i="4"/>
  <c r="I235" i="4"/>
  <c r="F235" i="4"/>
  <c r="H235" i="4"/>
  <c r="E236" i="4" l="1"/>
  <c r="K236" i="4"/>
  <c r="H236" i="4"/>
  <c r="I236" i="4"/>
  <c r="M236" i="4"/>
  <c r="F236" i="4"/>
  <c r="E237" i="4" l="1"/>
  <c r="M237" i="4"/>
  <c r="K237" i="4"/>
  <c r="I237" i="4"/>
  <c r="F237" i="4"/>
  <c r="H237" i="4"/>
  <c r="E238" i="4" l="1"/>
  <c r="K238" i="4"/>
  <c r="I238" i="4"/>
  <c r="F238" i="4"/>
  <c r="M238" i="4"/>
  <c r="H238" i="4"/>
  <c r="E239" i="4" l="1"/>
  <c r="K239" i="4"/>
  <c r="I239" i="4"/>
  <c r="H239" i="4"/>
  <c r="M239" i="4"/>
  <c r="F239" i="4"/>
  <c r="E240" i="4" l="1"/>
  <c r="K240" i="4"/>
  <c r="I240" i="4"/>
  <c r="H240" i="4"/>
  <c r="F240" i="4"/>
  <c r="M240" i="4"/>
  <c r="E241" i="4" l="1"/>
  <c r="M241" i="4"/>
  <c r="K241" i="4"/>
  <c r="I241" i="4"/>
  <c r="H241" i="4"/>
  <c r="F241" i="4"/>
  <c r="E242" i="4" l="1"/>
  <c r="M242" i="4"/>
  <c r="I242" i="4"/>
  <c r="K242" i="4"/>
  <c r="H242" i="4"/>
  <c r="F242" i="4"/>
  <c r="E243" i="4" l="1"/>
  <c r="K243" i="4"/>
  <c r="H243" i="4"/>
  <c r="I243" i="4"/>
  <c r="M243" i="4"/>
  <c r="F243" i="4"/>
  <c r="E244" i="4" l="1"/>
  <c r="K244" i="4"/>
  <c r="H244" i="4"/>
  <c r="F244" i="4"/>
  <c r="I244" i="4"/>
  <c r="M244" i="4"/>
  <c r="E245" i="4" l="1"/>
  <c r="M245" i="4"/>
  <c r="K245" i="4"/>
  <c r="I245" i="4"/>
  <c r="F245" i="4"/>
  <c r="H245" i="4"/>
  <c r="E246" i="4" l="1"/>
  <c r="M246" i="4"/>
  <c r="K246" i="4"/>
  <c r="H246" i="4"/>
  <c r="I246" i="4"/>
  <c r="F246" i="4"/>
  <c r="E247" i="4" l="1"/>
  <c r="K247" i="4"/>
  <c r="H247" i="4"/>
  <c r="F247" i="4"/>
  <c r="M247" i="4"/>
  <c r="I247" i="4"/>
  <c r="E248" i="4" l="1"/>
  <c r="K248" i="4"/>
  <c r="H248" i="4"/>
  <c r="I248" i="4"/>
  <c r="F248" i="4"/>
  <c r="M248" i="4"/>
  <c r="E249" i="4" l="1"/>
  <c r="K249" i="4"/>
  <c r="I249" i="4"/>
  <c r="H249" i="4"/>
  <c r="F249" i="4"/>
  <c r="M249" i="4"/>
  <c r="E250" i="4" l="1"/>
  <c r="M250" i="4"/>
  <c r="K250" i="4"/>
  <c r="I250" i="4"/>
  <c r="H250" i="4"/>
  <c r="F250" i="4"/>
  <c r="E251" i="4" l="1"/>
  <c r="M251" i="4"/>
  <c r="K251" i="4"/>
  <c r="I251" i="4"/>
  <c r="F251" i="4"/>
  <c r="H251" i="4"/>
  <c r="E252" i="4" l="1"/>
  <c r="K252" i="4"/>
  <c r="I252" i="4"/>
  <c r="F252" i="4"/>
  <c r="M252" i="4"/>
  <c r="H252" i="4"/>
  <c r="E253" i="4" l="1"/>
  <c r="M253" i="4"/>
  <c r="K253" i="4"/>
  <c r="I253" i="4"/>
  <c r="H253" i="4"/>
  <c r="F253" i="4"/>
  <c r="E254" i="4" l="1"/>
  <c r="I254" i="4"/>
  <c r="K254" i="4"/>
  <c r="F254" i="4"/>
  <c r="H254" i="4"/>
  <c r="M254" i="4"/>
  <c r="E255" i="4" l="1"/>
  <c r="K255" i="4"/>
  <c r="I255" i="4"/>
  <c r="H255" i="4"/>
  <c r="M255" i="4"/>
  <c r="F255" i="4"/>
  <c r="E256" i="4" l="1"/>
  <c r="K256" i="4"/>
  <c r="I256" i="4"/>
  <c r="F256" i="4"/>
  <c r="H256" i="4"/>
  <c r="M256" i="4"/>
  <c r="E257" i="4" l="1"/>
  <c r="M257" i="4"/>
  <c r="K257" i="4"/>
  <c r="F257" i="4"/>
  <c r="I257" i="4"/>
  <c r="H257" i="4"/>
  <c r="E258" i="4" l="1"/>
  <c r="M258" i="4"/>
  <c r="K258" i="4"/>
  <c r="I258" i="4"/>
  <c r="H258" i="4"/>
  <c r="F258" i="4"/>
  <c r="E259" i="4" l="1"/>
  <c r="K259" i="4"/>
  <c r="F259" i="4"/>
  <c r="I259" i="4"/>
  <c r="H259" i="4"/>
  <c r="M259" i="4"/>
  <c r="E260" i="4" l="1"/>
  <c r="K260" i="4"/>
  <c r="F260" i="4"/>
  <c r="I260" i="4"/>
  <c r="M260" i="4"/>
  <c r="H260" i="4"/>
  <c r="E261" i="4" l="1"/>
  <c r="K261" i="4"/>
  <c r="H261" i="4"/>
  <c r="I261" i="4"/>
  <c r="M261" i="4"/>
  <c r="F261" i="4"/>
  <c r="E262" i="4" l="1"/>
  <c r="K262" i="4"/>
  <c r="H262" i="4"/>
  <c r="I262" i="4"/>
  <c r="M262" i="4"/>
  <c r="F262" i="4"/>
  <c r="E263" i="4" l="1"/>
  <c r="M263" i="4"/>
  <c r="K263" i="4"/>
  <c r="H263" i="4"/>
  <c r="F263" i="4"/>
  <c r="I263" i="4"/>
  <c r="E264" i="4" l="1"/>
  <c r="M264" i="4"/>
  <c r="K264" i="4"/>
  <c r="I264" i="4"/>
  <c r="F264" i="4"/>
  <c r="H264" i="4"/>
  <c r="E265" i="4" l="1"/>
  <c r="K265" i="4"/>
  <c r="I265" i="4"/>
  <c r="F265" i="4"/>
  <c r="M265" i="4"/>
  <c r="H265" i="4"/>
  <c r="E266" i="4" l="1"/>
  <c r="M266" i="4"/>
  <c r="K266" i="4"/>
  <c r="I266" i="4"/>
  <c r="F266" i="4"/>
  <c r="H266" i="4"/>
  <c r="E267" i="4" l="1"/>
  <c r="K267" i="4"/>
  <c r="I267" i="4"/>
  <c r="H267" i="4"/>
  <c r="F267" i="4"/>
  <c r="M267" i="4"/>
  <c r="E268" i="4" l="1"/>
  <c r="M268" i="4"/>
  <c r="K268" i="4"/>
  <c r="H268" i="4"/>
  <c r="I268" i="4"/>
  <c r="F268" i="4"/>
  <c r="E269" i="4" l="1"/>
  <c r="H269" i="4"/>
  <c r="M269" i="4"/>
  <c r="K269" i="4"/>
  <c r="I269" i="4"/>
  <c r="F269" i="4"/>
  <c r="E270" i="4" l="1"/>
  <c r="M270" i="4"/>
  <c r="K270" i="4"/>
  <c r="I270" i="4"/>
  <c r="F270" i="4"/>
  <c r="H270" i="4"/>
  <c r="E271" i="4" l="1"/>
  <c r="K271" i="4"/>
  <c r="I271" i="4"/>
  <c r="F271" i="4"/>
  <c r="M271" i="4"/>
  <c r="H271" i="4"/>
  <c r="E272" i="4" l="1"/>
  <c r="M272" i="4"/>
  <c r="K272" i="4"/>
  <c r="I272" i="4"/>
  <c r="F272" i="4"/>
  <c r="H272" i="4"/>
  <c r="E273" i="4" l="1"/>
  <c r="M273" i="4"/>
  <c r="K273" i="4"/>
  <c r="I273" i="4"/>
  <c r="F273" i="4"/>
  <c r="H273" i="4"/>
  <c r="E274" i="4" l="1"/>
  <c r="M274" i="4"/>
  <c r="K274" i="4"/>
  <c r="F274" i="4"/>
  <c r="I274" i="4"/>
  <c r="H274" i="4"/>
  <c r="E275" i="4" l="1"/>
  <c r="K275" i="4"/>
  <c r="F275" i="4"/>
  <c r="I275" i="4"/>
  <c r="M275" i="4"/>
  <c r="H275" i="4"/>
  <c r="E276" i="4" l="1"/>
  <c r="I276" i="4"/>
  <c r="M276" i="4"/>
  <c r="K276" i="4"/>
  <c r="F276" i="4"/>
  <c r="H276" i="4"/>
  <c r="E277" i="4" l="1"/>
  <c r="K277" i="4"/>
  <c r="I277" i="4"/>
  <c r="F277" i="4"/>
  <c r="M277" i="4"/>
  <c r="H277" i="4"/>
  <c r="E278" i="4" l="1"/>
  <c r="K278" i="4"/>
  <c r="I278" i="4"/>
  <c r="F278" i="4"/>
  <c r="H278" i="4"/>
  <c r="M278" i="4"/>
  <c r="E279" i="4" l="1"/>
  <c r="M279" i="4"/>
  <c r="K279" i="4"/>
  <c r="H279" i="4"/>
  <c r="F279" i="4"/>
  <c r="I279" i="4"/>
  <c r="E280" i="4" l="1"/>
  <c r="M280" i="4"/>
  <c r="F280" i="4"/>
  <c r="K280" i="4"/>
  <c r="H280" i="4"/>
  <c r="I280" i="4"/>
  <c r="E281" i="4" l="1"/>
  <c r="M281" i="4"/>
  <c r="K281" i="4"/>
  <c r="I281" i="4"/>
  <c r="H281" i="4"/>
  <c r="F281" i="4"/>
  <c r="E282" i="4" l="1"/>
  <c r="M282" i="4"/>
  <c r="K282" i="4"/>
  <c r="F282" i="4"/>
  <c r="H282" i="4"/>
  <c r="I282" i="4"/>
  <c r="E283" i="4" l="1"/>
  <c r="M283" i="4"/>
  <c r="K283" i="4"/>
  <c r="I283" i="4"/>
  <c r="H283" i="4"/>
  <c r="F283" i="4"/>
  <c r="E284" i="4" l="1"/>
  <c r="K284" i="4"/>
  <c r="I284" i="4"/>
  <c r="F284" i="4"/>
  <c r="M284" i="4"/>
  <c r="H284" i="4"/>
  <c r="E285" i="4" l="1"/>
  <c r="M285" i="4"/>
  <c r="K285" i="4"/>
  <c r="I285" i="4"/>
  <c r="H285" i="4"/>
  <c r="F285" i="4"/>
  <c r="E286" i="4" l="1"/>
  <c r="M286" i="4"/>
  <c r="K286" i="4"/>
  <c r="F286" i="4"/>
  <c r="I286" i="4"/>
  <c r="H286" i="4"/>
  <c r="E287" i="4" l="1"/>
  <c r="K287" i="4"/>
  <c r="F287" i="4"/>
  <c r="H287" i="4"/>
  <c r="I287" i="4"/>
  <c r="M287" i="4"/>
  <c r="E288" i="4" l="1"/>
  <c r="M288" i="4"/>
  <c r="K288" i="4"/>
  <c r="F288" i="4"/>
  <c r="I288" i="4"/>
  <c r="H288" i="4"/>
  <c r="E289" i="4" l="1"/>
  <c r="H289" i="4"/>
  <c r="M289" i="4"/>
  <c r="I289" i="4"/>
  <c r="K289" i="4"/>
  <c r="F289" i="4"/>
  <c r="E290" i="4" l="1"/>
  <c r="K290" i="4"/>
  <c r="I290" i="4"/>
  <c r="H290" i="4"/>
  <c r="F290" i="4"/>
  <c r="M290" i="4"/>
  <c r="E291" i="4" l="1"/>
  <c r="F291" i="4"/>
  <c r="H291" i="4"/>
  <c r="I291" i="4"/>
  <c r="K291" i="4"/>
  <c r="M291" i="4"/>
  <c r="E292" i="4" l="1"/>
  <c r="F292" i="4"/>
  <c r="K292" i="4"/>
  <c r="I292" i="4"/>
  <c r="H292" i="4"/>
  <c r="M292" i="4"/>
  <c r="E293" i="4" l="1"/>
  <c r="F293" i="4"/>
  <c r="M293" i="4"/>
  <c r="H293" i="4"/>
  <c r="K293" i="4"/>
  <c r="I293" i="4"/>
  <c r="E294" i="4" l="1"/>
  <c r="F294" i="4"/>
  <c r="H294" i="4"/>
  <c r="K294" i="4"/>
  <c r="I294" i="4"/>
  <c r="M294" i="4"/>
  <c r="E295" i="4" l="1"/>
  <c r="K295" i="4"/>
  <c r="H295" i="4"/>
  <c r="I295" i="4"/>
  <c r="M295" i="4"/>
  <c r="F295" i="4"/>
  <c r="E296" i="4" l="1"/>
  <c r="K296" i="4"/>
  <c r="H296" i="4"/>
  <c r="I296" i="4"/>
  <c r="F296" i="4"/>
  <c r="M296" i="4"/>
  <c r="E297" i="4" l="1"/>
  <c r="H297" i="4"/>
  <c r="K297" i="4"/>
  <c r="I297" i="4"/>
  <c r="F297" i="4"/>
  <c r="M297" i="4"/>
  <c r="E298" i="4" l="1"/>
  <c r="K298" i="4"/>
  <c r="H298" i="4"/>
  <c r="I298" i="4"/>
  <c r="M298" i="4"/>
  <c r="F298" i="4"/>
  <c r="E299" i="4" l="1"/>
  <c r="K299" i="4"/>
  <c r="I299" i="4"/>
  <c r="F299" i="4"/>
  <c r="M299" i="4"/>
  <c r="H299" i="4"/>
  <c r="E300" i="4" l="1"/>
  <c r="M300" i="4"/>
  <c r="I300" i="4"/>
  <c r="K300" i="4"/>
  <c r="F300" i="4"/>
  <c r="H300" i="4"/>
  <c r="E301" i="4" l="1"/>
  <c r="I301" i="4"/>
  <c r="K301" i="4"/>
  <c r="F301" i="4"/>
  <c r="H301" i="4"/>
  <c r="M301" i="4"/>
  <c r="E302" i="4" l="1"/>
  <c r="M302" i="4"/>
  <c r="K302" i="4"/>
  <c r="I302" i="4"/>
  <c r="F302" i="4"/>
  <c r="H302" i="4"/>
  <c r="E303" i="4" l="1"/>
  <c r="M303" i="4"/>
  <c r="K303" i="4"/>
  <c r="H303" i="4"/>
  <c r="I303" i="4"/>
  <c r="F303" i="4"/>
  <c r="E304" i="4" l="1"/>
  <c r="I304" i="4"/>
  <c r="M304" i="4"/>
  <c r="K304" i="4"/>
  <c r="F304" i="4"/>
  <c r="H304" i="4"/>
  <c r="E305" i="4" l="1"/>
  <c r="K305" i="4"/>
  <c r="I305" i="4"/>
  <c r="F305" i="4"/>
  <c r="M305" i="4"/>
  <c r="H305" i="4"/>
  <c r="E306" i="4" l="1"/>
  <c r="I306" i="4"/>
  <c r="K306" i="4"/>
  <c r="F306" i="4"/>
  <c r="H306" i="4"/>
  <c r="M306" i="4"/>
  <c r="E307" i="4" l="1"/>
  <c r="I307" i="4"/>
  <c r="M307" i="4"/>
  <c r="K307" i="4"/>
  <c r="F307" i="4"/>
  <c r="H307" i="4"/>
  <c r="E308" i="4" l="1"/>
  <c r="M308" i="4"/>
  <c r="K308" i="4"/>
  <c r="H308" i="4"/>
  <c r="I308" i="4"/>
  <c r="F308" i="4"/>
  <c r="E309" i="4" l="1"/>
  <c r="K309" i="4"/>
  <c r="H309" i="4"/>
  <c r="I309" i="4"/>
  <c r="M309" i="4"/>
  <c r="F309" i="4"/>
  <c r="E310" i="4" l="1"/>
  <c r="I310" i="4"/>
  <c r="K310" i="4"/>
  <c r="H310" i="4"/>
  <c r="F310" i="4"/>
  <c r="M310" i="4"/>
  <c r="E311" i="4" l="1"/>
  <c r="M311" i="4"/>
  <c r="K311" i="4"/>
  <c r="H311" i="4"/>
  <c r="I311" i="4"/>
  <c r="F311" i="4"/>
  <c r="E312" i="4" l="1"/>
  <c r="K312" i="4"/>
  <c r="I312" i="4"/>
  <c r="F312" i="4"/>
  <c r="M312" i="4"/>
  <c r="H312" i="4"/>
  <c r="E313" i="4" l="1"/>
  <c r="K313" i="4"/>
  <c r="I313" i="4"/>
  <c r="F313" i="4"/>
  <c r="M313" i="4"/>
  <c r="H313" i="4"/>
  <c r="E314" i="4" l="1"/>
  <c r="K314" i="4"/>
  <c r="F314" i="4"/>
  <c r="I314" i="4"/>
  <c r="M314" i="4"/>
  <c r="H314" i="4"/>
  <c r="E315" i="4" l="1"/>
  <c r="M315" i="4"/>
  <c r="K315" i="4"/>
  <c r="F315" i="4"/>
  <c r="I315" i="4"/>
  <c r="H315" i="4"/>
  <c r="E316" i="4" l="1"/>
  <c r="K316" i="4"/>
  <c r="H316" i="4"/>
  <c r="I316" i="4"/>
  <c r="M316" i="4"/>
  <c r="F316" i="4"/>
  <c r="E317" i="4" l="1"/>
  <c r="K317" i="4"/>
  <c r="F317" i="4"/>
  <c r="H317" i="4"/>
  <c r="M317" i="4"/>
  <c r="I317" i="4"/>
  <c r="E318" i="4" l="1"/>
  <c r="M318" i="4"/>
  <c r="K318" i="4"/>
  <c r="H318" i="4"/>
  <c r="I318" i="4"/>
  <c r="F318" i="4"/>
  <c r="E319" i="4" l="1"/>
  <c r="K319" i="4"/>
  <c r="I319" i="4"/>
  <c r="F319" i="4"/>
  <c r="H319" i="4"/>
  <c r="M319" i="4"/>
  <c r="E320" i="4" l="1"/>
  <c r="K320" i="4"/>
  <c r="I320" i="4"/>
  <c r="F320" i="4"/>
  <c r="M320" i="4"/>
  <c r="H320" i="4"/>
  <c r="E321" i="4" l="1"/>
  <c r="K321" i="4"/>
  <c r="I321" i="4"/>
  <c r="F321" i="4"/>
  <c r="M321" i="4"/>
  <c r="H321" i="4"/>
  <c r="E322" i="4" l="1"/>
  <c r="M322" i="4"/>
  <c r="K322" i="4"/>
  <c r="I322" i="4"/>
  <c r="F322" i="4"/>
  <c r="H322" i="4"/>
  <c r="E323" i="4" l="1"/>
  <c r="K323" i="4"/>
  <c r="I323" i="4"/>
  <c r="H323" i="4"/>
  <c r="M323" i="4"/>
  <c r="F323" i="4"/>
  <c r="E324" i="4" l="1"/>
  <c r="I324" i="4"/>
  <c r="M324" i="4"/>
  <c r="K324" i="4"/>
  <c r="F324" i="4"/>
  <c r="H324" i="4"/>
  <c r="E325" i="4" l="1"/>
  <c r="M325" i="4"/>
  <c r="K325" i="4"/>
  <c r="I325" i="4"/>
  <c r="H325" i="4"/>
  <c r="F325" i="4"/>
  <c r="E326" i="4" l="1"/>
  <c r="K326" i="4"/>
  <c r="I326" i="4"/>
  <c r="F326" i="4"/>
  <c r="H326" i="4"/>
  <c r="M326" i="4"/>
  <c r="E327" i="4" l="1"/>
  <c r="K327" i="4"/>
  <c r="H327" i="4"/>
  <c r="F327" i="4"/>
  <c r="I327" i="4"/>
  <c r="M327" i="4"/>
  <c r="E328" i="4" l="1"/>
  <c r="K328" i="4"/>
  <c r="I328" i="4"/>
  <c r="F328" i="4"/>
  <c r="M328" i="4"/>
  <c r="H328" i="4"/>
  <c r="E329" i="4" l="1"/>
  <c r="K329" i="4"/>
  <c r="I329" i="4"/>
  <c r="F329" i="4"/>
  <c r="H329" i="4"/>
  <c r="M329" i="4"/>
  <c r="E330" i="4" l="1"/>
  <c r="K330" i="4"/>
  <c r="I330" i="4"/>
  <c r="H330" i="4"/>
  <c r="F330" i="4"/>
  <c r="M330" i="4"/>
  <c r="E331" i="4" l="1"/>
  <c r="M331" i="4"/>
  <c r="H331" i="4"/>
  <c r="K331" i="4"/>
  <c r="F331" i="4"/>
  <c r="I331" i="4"/>
  <c r="E332" i="4" l="1"/>
  <c r="M332" i="4"/>
  <c r="K332" i="4"/>
  <c r="F332" i="4"/>
  <c r="I332" i="4"/>
  <c r="H332" i="4"/>
  <c r="E333" i="4" l="1"/>
  <c r="M333" i="4"/>
  <c r="K333" i="4"/>
  <c r="I333" i="4"/>
  <c r="F333" i="4"/>
  <c r="H333" i="4"/>
  <c r="E334" i="4" l="1"/>
  <c r="K334" i="4"/>
  <c r="H334" i="4"/>
  <c r="F334" i="4"/>
  <c r="M334" i="4"/>
  <c r="I334" i="4"/>
  <c r="E335" i="4" l="1"/>
  <c r="M335" i="4"/>
  <c r="K335" i="4"/>
  <c r="I335" i="4"/>
  <c r="F335" i="4"/>
  <c r="H335" i="4"/>
  <c r="E336" i="4" l="1"/>
  <c r="K336" i="4"/>
  <c r="I336" i="4"/>
  <c r="H336" i="4"/>
  <c r="M336" i="4"/>
  <c r="F336" i="4"/>
  <c r="E337" i="4" l="1"/>
  <c r="K337" i="4"/>
  <c r="F337" i="4"/>
  <c r="I337" i="4"/>
  <c r="H337" i="4"/>
  <c r="M337" i="4"/>
  <c r="E338" i="4" l="1"/>
  <c r="K338" i="4"/>
  <c r="F338" i="4"/>
  <c r="I338" i="4"/>
  <c r="H338" i="4"/>
  <c r="M338" i="4"/>
  <c r="E339" i="4" l="1"/>
  <c r="M339" i="4"/>
  <c r="K339" i="4"/>
  <c r="H339" i="4"/>
  <c r="I339" i="4"/>
  <c r="F339" i="4"/>
  <c r="E340" i="4" l="1"/>
  <c r="K340" i="4"/>
  <c r="I340" i="4"/>
  <c r="F340" i="4"/>
  <c r="H340" i="4"/>
  <c r="M340" i="4"/>
  <c r="E341" i="4" l="1"/>
  <c r="K341" i="4"/>
  <c r="H341" i="4"/>
  <c r="F341" i="4"/>
  <c r="M341" i="4"/>
  <c r="I341" i="4"/>
  <c r="E342" i="4" l="1"/>
  <c r="K342" i="4"/>
  <c r="I342" i="4"/>
  <c r="F342" i="4"/>
  <c r="M342" i="4"/>
  <c r="H342" i="4"/>
  <c r="E343" i="4" l="1"/>
  <c r="K343" i="4"/>
  <c r="I343" i="4"/>
  <c r="F343" i="4"/>
  <c r="H343" i="4"/>
  <c r="M343" i="4"/>
  <c r="E344" i="4" l="1"/>
  <c r="K344" i="4"/>
  <c r="F344" i="4"/>
  <c r="I344" i="4"/>
  <c r="M344" i="4"/>
  <c r="H344" i="4"/>
  <c r="E345" i="4" l="1"/>
  <c r="M345" i="4"/>
  <c r="K345" i="4"/>
  <c r="I345" i="4"/>
  <c r="F345" i="4"/>
  <c r="H345" i="4"/>
  <c r="E346" i="4" l="1"/>
  <c r="M346" i="4"/>
  <c r="K346" i="4"/>
  <c r="F346" i="4"/>
  <c r="I346" i="4"/>
  <c r="H346" i="4"/>
  <c r="E347" i="4" l="1"/>
  <c r="M347" i="4"/>
  <c r="K347" i="4"/>
  <c r="I347" i="4"/>
  <c r="F347" i="4"/>
  <c r="H347" i="4"/>
  <c r="E348" i="4" l="1"/>
  <c r="M348" i="4"/>
  <c r="K348" i="4"/>
  <c r="I348" i="4"/>
  <c r="F348" i="4"/>
  <c r="H348" i="4"/>
  <c r="E349" i="4" l="1"/>
  <c r="M349" i="4"/>
  <c r="K349" i="4"/>
  <c r="I349" i="4"/>
  <c r="F349" i="4"/>
  <c r="H349" i="4"/>
  <c r="E350" i="4" l="1"/>
  <c r="K350" i="4"/>
  <c r="I350" i="4"/>
  <c r="F350" i="4"/>
  <c r="M350" i="4"/>
  <c r="H350" i="4"/>
  <c r="E351" i="4" l="1"/>
  <c r="K351" i="4"/>
  <c r="F351" i="4"/>
  <c r="H351" i="4"/>
  <c r="M351" i="4"/>
  <c r="I351" i="4"/>
  <c r="E352" i="4" l="1"/>
  <c r="K352" i="4"/>
  <c r="F352" i="4"/>
  <c r="I352" i="4"/>
  <c r="M352" i="4"/>
  <c r="H352" i="4"/>
  <c r="E353" i="4" l="1"/>
  <c r="K353" i="4"/>
  <c r="F353" i="4"/>
  <c r="H353" i="4"/>
  <c r="M353" i="4"/>
  <c r="I353" i="4"/>
  <c r="E354" i="4" l="1"/>
  <c r="K354" i="4"/>
  <c r="H354" i="4"/>
  <c r="I354" i="4"/>
  <c r="M354" i="4"/>
  <c r="F354" i="4"/>
  <c r="E355" i="4" l="1"/>
  <c r="K355" i="4"/>
  <c r="I355" i="4"/>
  <c r="H355" i="4"/>
  <c r="M355" i="4"/>
  <c r="F355" i="4"/>
  <c r="E356" i="4" l="1"/>
  <c r="K356" i="4"/>
  <c r="I356" i="4"/>
  <c r="F356" i="4"/>
  <c r="M356" i="4"/>
  <c r="H356" i="4"/>
  <c r="E357" i="4" l="1"/>
  <c r="M357" i="4"/>
  <c r="K357" i="4"/>
  <c r="I357" i="4"/>
  <c r="F357" i="4"/>
  <c r="H357" i="4"/>
  <c r="E358" i="4" l="1"/>
  <c r="M358" i="4"/>
  <c r="K358" i="4"/>
  <c r="F358" i="4"/>
  <c r="H358" i="4"/>
  <c r="I358" i="4"/>
  <c r="E359" i="4" l="1"/>
  <c r="M359" i="4"/>
  <c r="K359" i="4"/>
  <c r="F359" i="4"/>
  <c r="I359" i="4"/>
  <c r="H359" i="4"/>
  <c r="E360" i="4" l="1"/>
  <c r="M360" i="4"/>
  <c r="K360" i="4"/>
  <c r="I360" i="4"/>
  <c r="H360" i="4"/>
  <c r="F360" i="4"/>
  <c r="E361" i="4" l="1"/>
  <c r="M361" i="4"/>
  <c r="K361" i="4"/>
  <c r="I361" i="4"/>
  <c r="F361" i="4"/>
  <c r="H361" i="4"/>
  <c r="E362" i="4" l="1"/>
  <c r="K362" i="4"/>
  <c r="H362" i="4"/>
  <c r="F362" i="4"/>
  <c r="M362" i="4"/>
  <c r="I362" i="4"/>
  <c r="E363" i="4" l="1"/>
  <c r="M363" i="4"/>
  <c r="K363" i="4"/>
  <c r="F363" i="4"/>
  <c r="I363" i="4"/>
  <c r="H363" i="4"/>
  <c r="E364" i="4" l="1"/>
  <c r="M364" i="4"/>
  <c r="H364" i="4"/>
  <c r="K364" i="4"/>
  <c r="F364" i="4"/>
  <c r="I364" i="4"/>
  <c r="E365" i="4" l="1"/>
  <c r="M365" i="4"/>
  <c r="K365" i="4"/>
  <c r="F365" i="4"/>
  <c r="I365" i="4"/>
  <c r="H365" i="4"/>
  <c r="E366" i="4" l="1"/>
  <c r="M366" i="4"/>
  <c r="K366" i="4"/>
  <c r="F366" i="4"/>
  <c r="I366" i="4"/>
  <c r="H366" i="4"/>
  <c r="E367" i="4" l="1"/>
  <c r="K367" i="4"/>
  <c r="H367" i="4"/>
  <c r="F367" i="4"/>
  <c r="I367" i="4"/>
  <c r="M367" i="4"/>
  <c r="E368" i="4" l="1"/>
  <c r="K368" i="4"/>
  <c r="H368" i="4"/>
  <c r="F368" i="4"/>
  <c r="M368" i="4"/>
  <c r="I368" i="4"/>
  <c r="E369" i="4" l="1"/>
  <c r="M369" i="4"/>
  <c r="H369" i="4"/>
  <c r="K369" i="4"/>
  <c r="I369" i="4"/>
  <c r="F369" i="4"/>
  <c r="E370" i="4" l="1"/>
  <c r="M370" i="4"/>
  <c r="K370" i="4"/>
  <c r="I370" i="4"/>
  <c r="F370" i="4"/>
  <c r="H370" i="4"/>
  <c r="E371" i="4" l="1"/>
  <c r="M371" i="4"/>
  <c r="K371" i="4"/>
  <c r="F371" i="4"/>
  <c r="H371" i="4"/>
  <c r="I371" i="4"/>
  <c r="E372" i="4" l="1"/>
  <c r="K372" i="4"/>
  <c r="F372" i="4"/>
  <c r="I372" i="4"/>
  <c r="H372" i="4"/>
  <c r="M372" i="4"/>
  <c r="E373" i="4" l="1"/>
  <c r="K373" i="4"/>
  <c r="I373" i="4"/>
  <c r="H373" i="4"/>
  <c r="M373" i="4"/>
  <c r="F373" i="4"/>
  <c r="V16" i="4" l="1"/>
  <c r="B32" i="1" s="1"/>
  <c r="V19" i="4"/>
  <c r="B33" i="1" s="1"/>
  <c r="T16" i="4"/>
  <c r="C25" i="1" s="1"/>
  <c r="B25" i="1" s="1"/>
  <c r="T17" i="4"/>
  <c r="C26" i="1" s="1"/>
  <c r="B26" i="1" s="1"/>
  <c r="W28" i="4"/>
  <c r="V28" i="4"/>
  <c r="N373" i="4"/>
  <c r="N372" i="4" s="1"/>
  <c r="N371" i="4" s="1"/>
  <c r="N370" i="4" s="1"/>
  <c r="N369" i="4" s="1"/>
  <c r="N368" i="4" s="1"/>
  <c r="N367" i="4" s="1"/>
  <c r="N366" i="4" s="1"/>
  <c r="N365" i="4" s="1"/>
  <c r="N364" i="4" s="1"/>
  <c r="N363" i="4" s="1"/>
  <c r="N362" i="4" s="1"/>
  <c r="N361" i="4" s="1"/>
  <c r="N360" i="4" s="1"/>
  <c r="N359" i="4" s="1"/>
  <c r="N358" i="4" s="1"/>
  <c r="N357" i="4" s="1"/>
  <c r="N356" i="4" s="1"/>
  <c r="N355" i="4" s="1"/>
  <c r="N354" i="4" s="1"/>
  <c r="N353" i="4" s="1"/>
  <c r="N352" i="4" s="1"/>
  <c r="N351" i="4" s="1"/>
  <c r="N350" i="4" s="1"/>
  <c r="N349" i="4" s="1"/>
  <c r="N348" i="4" s="1"/>
  <c r="N347" i="4" s="1"/>
  <c r="N346" i="4" s="1"/>
  <c r="N345" i="4" s="1"/>
  <c r="N344" i="4" s="1"/>
  <c r="N343" i="4" s="1"/>
  <c r="N342" i="4" s="1"/>
  <c r="N341" i="4" s="1"/>
  <c r="N340" i="4" s="1"/>
  <c r="N339" i="4" s="1"/>
  <c r="N338" i="4" s="1"/>
  <c r="N337" i="4" s="1"/>
  <c r="N336" i="4" s="1"/>
  <c r="N335" i="4" s="1"/>
  <c r="N334" i="4" s="1"/>
  <c r="N333" i="4" s="1"/>
  <c r="N332" i="4" s="1"/>
  <c r="N331" i="4" s="1"/>
  <c r="N330" i="4" s="1"/>
  <c r="N329" i="4" s="1"/>
  <c r="N328" i="4" s="1"/>
  <c r="N327" i="4" s="1"/>
  <c r="N326" i="4" s="1"/>
  <c r="N325" i="4" s="1"/>
  <c r="N324" i="4" s="1"/>
  <c r="N323" i="4" s="1"/>
  <c r="N322" i="4" s="1"/>
  <c r="N321" i="4" s="1"/>
  <c r="N320" i="4" s="1"/>
  <c r="N319" i="4" s="1"/>
  <c r="N318" i="4" s="1"/>
  <c r="N317" i="4" s="1"/>
  <c r="N316" i="4" s="1"/>
  <c r="N315" i="4" s="1"/>
  <c r="N314" i="4" s="1"/>
  <c r="N313" i="4" s="1"/>
  <c r="N312" i="4" s="1"/>
  <c r="N311" i="4" s="1"/>
  <c r="N310" i="4" s="1"/>
  <c r="N309" i="4" s="1"/>
  <c r="N308" i="4" s="1"/>
  <c r="N307" i="4" s="1"/>
  <c r="N306" i="4" s="1"/>
  <c r="N305" i="4" s="1"/>
  <c r="N304" i="4" s="1"/>
  <c r="N303" i="4" s="1"/>
  <c r="N302" i="4" s="1"/>
  <c r="N301" i="4" s="1"/>
  <c r="N300" i="4" s="1"/>
  <c r="N299" i="4" s="1"/>
  <c r="N298" i="4" s="1"/>
  <c r="N297" i="4" s="1"/>
  <c r="N296" i="4" s="1"/>
  <c r="N295" i="4" s="1"/>
  <c r="N294" i="4" s="1"/>
  <c r="N293" i="4" s="1"/>
  <c r="N292" i="4" s="1"/>
  <c r="N291" i="4" s="1"/>
  <c r="N290" i="4" s="1"/>
  <c r="N289" i="4" s="1"/>
  <c r="N288" i="4" s="1"/>
  <c r="N287" i="4" s="1"/>
  <c r="N286" i="4" s="1"/>
  <c r="N285" i="4" s="1"/>
  <c r="N284" i="4" s="1"/>
  <c r="N283" i="4" s="1"/>
  <c r="N282" i="4" s="1"/>
  <c r="N281" i="4" s="1"/>
  <c r="N280" i="4" s="1"/>
  <c r="N279" i="4" s="1"/>
  <c r="N278" i="4" s="1"/>
  <c r="N277" i="4" s="1"/>
  <c r="N276" i="4" s="1"/>
  <c r="N275" i="4" s="1"/>
  <c r="N274" i="4" s="1"/>
  <c r="N273" i="4" s="1"/>
  <c r="N272" i="4" s="1"/>
  <c r="N271" i="4" s="1"/>
  <c r="N270" i="4" s="1"/>
  <c r="N269" i="4" s="1"/>
  <c r="N268" i="4" s="1"/>
  <c r="N267" i="4" s="1"/>
  <c r="N266" i="4" s="1"/>
  <c r="N265" i="4" s="1"/>
  <c r="N264" i="4" s="1"/>
  <c r="N263" i="4" s="1"/>
  <c r="N262" i="4" s="1"/>
  <c r="N261" i="4" s="1"/>
  <c r="N260" i="4" s="1"/>
  <c r="N259" i="4" s="1"/>
  <c r="N258" i="4" s="1"/>
  <c r="N257" i="4" s="1"/>
  <c r="N256" i="4" s="1"/>
  <c r="N255" i="4" s="1"/>
  <c r="N254" i="4" s="1"/>
  <c r="N253" i="4" s="1"/>
  <c r="N252" i="4" s="1"/>
  <c r="N251" i="4" s="1"/>
  <c r="N250" i="4" s="1"/>
  <c r="N249" i="4" s="1"/>
  <c r="N248" i="4" s="1"/>
  <c r="N247" i="4" s="1"/>
  <c r="N246" i="4" s="1"/>
  <c r="N245" i="4" s="1"/>
  <c r="N244" i="4" s="1"/>
  <c r="N243" i="4" s="1"/>
  <c r="N242" i="4" s="1"/>
  <c r="N241" i="4" s="1"/>
  <c r="N240" i="4" s="1"/>
  <c r="N239" i="4" s="1"/>
  <c r="N238" i="4" s="1"/>
  <c r="N237" i="4" s="1"/>
  <c r="N236" i="4" s="1"/>
  <c r="N235" i="4" s="1"/>
  <c r="N234" i="4" s="1"/>
  <c r="N233" i="4" s="1"/>
  <c r="N232" i="4" s="1"/>
  <c r="N231" i="4" s="1"/>
  <c r="N230" i="4" s="1"/>
  <c r="N229" i="4" s="1"/>
  <c r="N228" i="4" s="1"/>
  <c r="N227" i="4" s="1"/>
  <c r="N226" i="4" s="1"/>
  <c r="N225" i="4" s="1"/>
  <c r="N224" i="4" s="1"/>
  <c r="N223" i="4" s="1"/>
  <c r="N222" i="4" s="1"/>
  <c r="N221" i="4" s="1"/>
  <c r="N220" i="4" s="1"/>
  <c r="N219" i="4" s="1"/>
  <c r="N218" i="4" s="1"/>
  <c r="N217" i="4" s="1"/>
  <c r="N216" i="4" s="1"/>
  <c r="N215" i="4" s="1"/>
  <c r="N214" i="4" s="1"/>
  <c r="N213" i="4" s="1"/>
  <c r="N212" i="4" s="1"/>
  <c r="N211" i="4" s="1"/>
  <c r="N210" i="4" s="1"/>
  <c r="N209" i="4" s="1"/>
  <c r="N208" i="4" s="1"/>
  <c r="N207" i="4" s="1"/>
  <c r="N206" i="4" s="1"/>
  <c r="N205" i="4" s="1"/>
  <c r="N204" i="4" s="1"/>
  <c r="N203" i="4" s="1"/>
  <c r="N202" i="4" s="1"/>
  <c r="N201" i="4" s="1"/>
  <c r="N200" i="4" s="1"/>
  <c r="N199" i="4" s="1"/>
  <c r="N198" i="4" s="1"/>
  <c r="N197" i="4" s="1"/>
  <c r="N196" i="4" s="1"/>
  <c r="N195" i="4" s="1"/>
  <c r="N194" i="4" s="1"/>
  <c r="N193" i="4" s="1"/>
  <c r="N192" i="4" s="1"/>
  <c r="N191" i="4" s="1"/>
  <c r="N190" i="4" s="1"/>
  <c r="N189" i="4" s="1"/>
  <c r="N188" i="4" s="1"/>
  <c r="N187" i="4" s="1"/>
  <c r="N186" i="4" s="1"/>
  <c r="N185" i="4" s="1"/>
  <c r="N184" i="4" s="1"/>
  <c r="N183" i="4" s="1"/>
  <c r="N182" i="4" s="1"/>
  <c r="N181" i="4" s="1"/>
  <c r="N180" i="4" s="1"/>
  <c r="N179" i="4" s="1"/>
  <c r="N178" i="4" s="1"/>
  <c r="N177" i="4" s="1"/>
  <c r="N176" i="4" s="1"/>
  <c r="N175" i="4" s="1"/>
  <c r="N174" i="4" s="1"/>
  <c r="N173" i="4" s="1"/>
  <c r="N172" i="4" s="1"/>
  <c r="N171" i="4" s="1"/>
  <c r="N170" i="4" s="1"/>
  <c r="N169" i="4" s="1"/>
  <c r="N168" i="4" s="1"/>
  <c r="N167" i="4" s="1"/>
  <c r="N166" i="4" s="1"/>
  <c r="N165" i="4" s="1"/>
  <c r="N164" i="4" s="1"/>
  <c r="N163" i="4" s="1"/>
  <c r="N162" i="4" s="1"/>
  <c r="N161" i="4" s="1"/>
  <c r="N160" i="4" s="1"/>
  <c r="N159" i="4" s="1"/>
  <c r="N158" i="4" s="1"/>
  <c r="N157" i="4" s="1"/>
  <c r="N156" i="4" s="1"/>
  <c r="N155" i="4" s="1"/>
  <c r="N154" i="4" s="1"/>
  <c r="N153" i="4" s="1"/>
  <c r="N152" i="4" s="1"/>
  <c r="N151" i="4" s="1"/>
  <c r="N150" i="4" s="1"/>
  <c r="N149" i="4" s="1"/>
  <c r="N148" i="4" s="1"/>
  <c r="N147" i="4" s="1"/>
  <c r="N146" i="4" s="1"/>
  <c r="N145" i="4" s="1"/>
  <c r="N144" i="4" s="1"/>
  <c r="N143" i="4" s="1"/>
  <c r="N142" i="4" s="1"/>
  <c r="N141" i="4" s="1"/>
  <c r="N140" i="4" s="1"/>
  <c r="N139" i="4" s="1"/>
  <c r="N138" i="4" s="1"/>
  <c r="N137" i="4" s="1"/>
  <c r="N136" i="4" s="1"/>
  <c r="N135" i="4" s="1"/>
  <c r="N134" i="4" s="1"/>
  <c r="N133" i="4" s="1"/>
  <c r="N132" i="4" s="1"/>
  <c r="N131" i="4" s="1"/>
  <c r="N130" i="4" s="1"/>
  <c r="N129" i="4" s="1"/>
  <c r="N128" i="4" s="1"/>
  <c r="N127" i="4" s="1"/>
  <c r="N126" i="4" s="1"/>
  <c r="N125" i="4" s="1"/>
  <c r="N124" i="4" s="1"/>
  <c r="N123" i="4" s="1"/>
  <c r="N122" i="4" s="1"/>
  <c r="N121" i="4" s="1"/>
  <c r="N120" i="4" s="1"/>
  <c r="N119" i="4" s="1"/>
  <c r="N118" i="4" s="1"/>
  <c r="N117" i="4" s="1"/>
  <c r="N116" i="4" s="1"/>
  <c r="N115" i="4" s="1"/>
  <c r="N114" i="4" s="1"/>
  <c r="N113" i="4" s="1"/>
  <c r="N112" i="4" s="1"/>
  <c r="N111" i="4" s="1"/>
  <c r="N110" i="4" s="1"/>
  <c r="N109" i="4" s="1"/>
  <c r="N108" i="4" s="1"/>
  <c r="N107" i="4" s="1"/>
  <c r="N106" i="4" s="1"/>
  <c r="N105" i="4" s="1"/>
  <c r="N104" i="4" s="1"/>
  <c r="N103" i="4" s="1"/>
  <c r="N102" i="4" s="1"/>
  <c r="N101" i="4" s="1"/>
  <c r="N100" i="4" s="1"/>
  <c r="N99" i="4" s="1"/>
  <c r="N98" i="4" s="1"/>
  <c r="N97" i="4" s="1"/>
  <c r="N96" i="4" s="1"/>
  <c r="N95" i="4" s="1"/>
  <c r="N94" i="4" s="1"/>
  <c r="N93" i="4" s="1"/>
  <c r="N92" i="4" s="1"/>
  <c r="N91" i="4" s="1"/>
  <c r="N90" i="4" s="1"/>
  <c r="N89" i="4" s="1"/>
  <c r="N88" i="4" s="1"/>
  <c r="N87" i="4" s="1"/>
  <c r="N86" i="4" s="1"/>
  <c r="N85" i="4" s="1"/>
  <c r="N84" i="4" s="1"/>
  <c r="N83" i="4" s="1"/>
  <c r="N82" i="4" s="1"/>
  <c r="N81" i="4" s="1"/>
  <c r="N80" i="4" s="1"/>
  <c r="N79" i="4" s="1"/>
  <c r="N78" i="4" s="1"/>
  <c r="N77" i="4" s="1"/>
  <c r="N76" i="4" s="1"/>
  <c r="N75" i="4" s="1"/>
  <c r="N74" i="4" s="1"/>
  <c r="N73" i="4" s="1"/>
  <c r="N72" i="4" s="1"/>
  <c r="N71" i="4" s="1"/>
  <c r="N70" i="4" s="1"/>
  <c r="N69" i="4" s="1"/>
  <c r="N68" i="4" s="1"/>
  <c r="N67" i="4" s="1"/>
  <c r="N66" i="4" s="1"/>
  <c r="N65" i="4" s="1"/>
  <c r="N64" i="4" s="1"/>
  <c r="N63" i="4" s="1"/>
  <c r="N62" i="4" s="1"/>
  <c r="N61" i="4" s="1"/>
  <c r="N60" i="4" s="1"/>
  <c r="N59" i="4" s="1"/>
  <c r="N58" i="4" s="1"/>
  <c r="N57" i="4" s="1"/>
  <c r="N56" i="4" s="1"/>
  <c r="N55" i="4" s="1"/>
  <c r="N54" i="4" s="1"/>
  <c r="N53" i="4" s="1"/>
  <c r="N52" i="4" s="1"/>
  <c r="N51" i="4" s="1"/>
  <c r="N50" i="4" s="1"/>
  <c r="N49" i="4" s="1"/>
  <c r="N48" i="4" s="1"/>
  <c r="N47" i="4" s="1"/>
  <c r="N46" i="4" s="1"/>
  <c r="N45" i="4" s="1"/>
  <c r="N44" i="4" s="1"/>
  <c r="N43" i="4" s="1"/>
  <c r="N42" i="4" s="1"/>
  <c r="N41" i="4" s="1"/>
  <c r="N40" i="4" s="1"/>
  <c r="N39" i="4" s="1"/>
  <c r="N38" i="4" s="1"/>
  <c r="N37" i="4" s="1"/>
  <c r="N36" i="4" s="1"/>
  <c r="N35" i="4" s="1"/>
  <c r="N34" i="4" s="1"/>
  <c r="N33" i="4" s="1"/>
  <c r="N32" i="4" s="1"/>
  <c r="N31" i="4" s="1"/>
  <c r="N30" i="4" s="1"/>
  <c r="N29" i="4" s="1"/>
  <c r="N28" i="4" s="1"/>
  <c r="N27" i="4" s="1"/>
  <c r="N26" i="4" s="1"/>
  <c r="N25" i="4" s="1"/>
  <c r="N24" i="4" s="1"/>
  <c r="N23" i="4" s="1"/>
  <c r="N22" i="4" s="1"/>
  <c r="N21" i="4" s="1"/>
  <c r="N20" i="4" s="1"/>
  <c r="N19" i="4" s="1"/>
  <c r="N18" i="4" s="1"/>
  <c r="N17" i="4" s="1"/>
  <c r="N16" i="4" s="1"/>
  <c r="N15" i="4" s="1"/>
  <c r="N14" i="4" s="1"/>
  <c r="N13" i="4" s="1"/>
  <c r="N12" i="4" s="1"/>
  <c r="N11" i="4" s="1"/>
  <c r="N10" i="4" s="1"/>
  <c r="N9" i="4" s="1"/>
  <c r="N8" i="4" s="1"/>
  <c r="N7" i="4" s="1"/>
  <c r="N6" i="4" s="1"/>
  <c r="N5" i="4" s="1"/>
  <c r="N4" i="4" s="1"/>
  <c r="N3" i="4" s="1"/>
  <c r="N2" i="4" s="1"/>
  <c r="L373" i="4"/>
  <c r="L372" i="4" s="1"/>
  <c r="L371" i="4" s="1"/>
  <c r="L370" i="4" s="1"/>
  <c r="L369" i="4" s="1"/>
  <c r="L368" i="4" s="1"/>
  <c r="L367" i="4" s="1"/>
  <c r="L366" i="4" s="1"/>
  <c r="L365" i="4" s="1"/>
  <c r="L364" i="4" s="1"/>
  <c r="L363" i="4" s="1"/>
  <c r="L362" i="4" s="1"/>
  <c r="L361" i="4" s="1"/>
  <c r="L360" i="4" s="1"/>
  <c r="L359" i="4" s="1"/>
  <c r="L358" i="4" s="1"/>
  <c r="L357" i="4" s="1"/>
  <c r="L356" i="4" s="1"/>
  <c r="L355" i="4" s="1"/>
  <c r="L354" i="4" s="1"/>
  <c r="L353" i="4" s="1"/>
  <c r="L352" i="4" s="1"/>
  <c r="L351" i="4" s="1"/>
  <c r="L350" i="4" s="1"/>
  <c r="L349" i="4" s="1"/>
  <c r="L348" i="4" s="1"/>
  <c r="L347" i="4" s="1"/>
  <c r="L346" i="4" s="1"/>
  <c r="L345" i="4" s="1"/>
  <c r="L344" i="4" s="1"/>
  <c r="L343" i="4" s="1"/>
  <c r="L342" i="4" s="1"/>
  <c r="L341" i="4" s="1"/>
  <c r="L340" i="4" s="1"/>
  <c r="L339" i="4" s="1"/>
  <c r="L338" i="4" s="1"/>
  <c r="L337" i="4" s="1"/>
  <c r="L336" i="4" s="1"/>
  <c r="L335" i="4" s="1"/>
  <c r="L334" i="4" s="1"/>
  <c r="L333" i="4" s="1"/>
  <c r="L332" i="4" s="1"/>
  <c r="L331" i="4" s="1"/>
  <c r="L330" i="4" s="1"/>
  <c r="L329" i="4" s="1"/>
  <c r="L328" i="4" s="1"/>
  <c r="L327" i="4" s="1"/>
  <c r="L326" i="4" s="1"/>
  <c r="L325" i="4" s="1"/>
  <c r="L324" i="4" s="1"/>
  <c r="L323" i="4" s="1"/>
  <c r="L322" i="4" s="1"/>
  <c r="L321" i="4" s="1"/>
  <c r="L320" i="4" s="1"/>
  <c r="L319" i="4" s="1"/>
  <c r="L318" i="4" s="1"/>
  <c r="L317" i="4" s="1"/>
  <c r="L316" i="4" s="1"/>
  <c r="L315" i="4" s="1"/>
  <c r="L314" i="4" s="1"/>
  <c r="L313" i="4" s="1"/>
  <c r="L312" i="4" s="1"/>
  <c r="L311" i="4" s="1"/>
  <c r="L310" i="4" s="1"/>
  <c r="L309" i="4" s="1"/>
  <c r="L308" i="4" s="1"/>
  <c r="L307" i="4" s="1"/>
  <c r="L306" i="4" s="1"/>
  <c r="L305" i="4" s="1"/>
  <c r="L304" i="4" s="1"/>
  <c r="L303" i="4" s="1"/>
  <c r="L302" i="4" s="1"/>
  <c r="L301" i="4" s="1"/>
  <c r="L300" i="4" s="1"/>
  <c r="L299" i="4" s="1"/>
  <c r="L298" i="4" s="1"/>
  <c r="L297" i="4" s="1"/>
  <c r="L296" i="4" s="1"/>
  <c r="L295" i="4" s="1"/>
  <c r="L294" i="4" s="1"/>
  <c r="L293" i="4" s="1"/>
  <c r="L292" i="4" s="1"/>
  <c r="L291" i="4" s="1"/>
  <c r="L290" i="4" s="1"/>
  <c r="L289" i="4" s="1"/>
  <c r="L288" i="4" s="1"/>
  <c r="L287" i="4" s="1"/>
  <c r="L286" i="4" s="1"/>
  <c r="L285" i="4" s="1"/>
  <c r="L284" i="4" s="1"/>
  <c r="L283" i="4" s="1"/>
  <c r="L282" i="4" s="1"/>
  <c r="L281" i="4" s="1"/>
  <c r="L280" i="4" s="1"/>
  <c r="L279" i="4" s="1"/>
  <c r="L278" i="4" s="1"/>
  <c r="L277" i="4" s="1"/>
  <c r="L276" i="4" s="1"/>
  <c r="L275" i="4" s="1"/>
  <c r="L274" i="4" s="1"/>
  <c r="L273" i="4" s="1"/>
  <c r="L272" i="4" s="1"/>
  <c r="L271" i="4" s="1"/>
  <c r="L270" i="4" s="1"/>
  <c r="L269" i="4" s="1"/>
  <c r="L268" i="4" s="1"/>
  <c r="L267" i="4" s="1"/>
  <c r="L266" i="4" s="1"/>
  <c r="L265" i="4" s="1"/>
  <c r="L264" i="4" s="1"/>
  <c r="L263" i="4" s="1"/>
  <c r="L262" i="4" s="1"/>
  <c r="L261" i="4" s="1"/>
  <c r="L260" i="4" s="1"/>
  <c r="L259" i="4" s="1"/>
  <c r="L258" i="4" s="1"/>
  <c r="L257" i="4" s="1"/>
  <c r="L256" i="4" s="1"/>
  <c r="L255" i="4" s="1"/>
  <c r="L254" i="4" s="1"/>
  <c r="L253" i="4" s="1"/>
  <c r="L252" i="4" s="1"/>
  <c r="L251" i="4" s="1"/>
  <c r="L250" i="4" s="1"/>
  <c r="L249" i="4" s="1"/>
  <c r="L248" i="4" s="1"/>
  <c r="L247" i="4" s="1"/>
  <c r="L246" i="4" s="1"/>
  <c r="L245" i="4" s="1"/>
  <c r="L244" i="4" s="1"/>
  <c r="L243" i="4" s="1"/>
  <c r="L242" i="4" s="1"/>
  <c r="L241" i="4" s="1"/>
  <c r="L240" i="4" s="1"/>
  <c r="L239" i="4" s="1"/>
  <c r="L238" i="4" s="1"/>
  <c r="L237" i="4" s="1"/>
  <c r="L236" i="4" s="1"/>
  <c r="L235" i="4" s="1"/>
  <c r="L234" i="4" s="1"/>
  <c r="L233" i="4" s="1"/>
  <c r="L232" i="4" s="1"/>
  <c r="L231" i="4" s="1"/>
  <c r="L230" i="4" s="1"/>
  <c r="L229" i="4" s="1"/>
  <c r="L228" i="4" s="1"/>
  <c r="L227" i="4" s="1"/>
  <c r="L226" i="4" s="1"/>
  <c r="L225" i="4" s="1"/>
  <c r="L224" i="4" s="1"/>
  <c r="L223" i="4" s="1"/>
  <c r="L222" i="4" s="1"/>
  <c r="L221" i="4" s="1"/>
  <c r="L220" i="4" s="1"/>
  <c r="L219" i="4" s="1"/>
  <c r="L218" i="4" s="1"/>
  <c r="L217" i="4" s="1"/>
  <c r="L216" i="4" s="1"/>
  <c r="L215" i="4" s="1"/>
  <c r="L214" i="4" s="1"/>
  <c r="L213" i="4" s="1"/>
  <c r="L212" i="4" s="1"/>
  <c r="L211" i="4" s="1"/>
  <c r="L210" i="4" s="1"/>
  <c r="L209" i="4" s="1"/>
  <c r="L208" i="4" s="1"/>
  <c r="L207" i="4" s="1"/>
  <c r="L206" i="4" s="1"/>
  <c r="L205" i="4" s="1"/>
  <c r="L204" i="4" s="1"/>
  <c r="L203" i="4" s="1"/>
  <c r="L202" i="4" s="1"/>
  <c r="L201" i="4" s="1"/>
  <c r="L200" i="4" s="1"/>
  <c r="L199" i="4" s="1"/>
  <c r="L198" i="4" s="1"/>
  <c r="L197" i="4" s="1"/>
  <c r="L196" i="4" s="1"/>
  <c r="L195" i="4" s="1"/>
  <c r="L194" i="4" s="1"/>
  <c r="L193" i="4" s="1"/>
  <c r="L192" i="4" s="1"/>
  <c r="L191" i="4" s="1"/>
  <c r="L190" i="4" s="1"/>
  <c r="L189" i="4" s="1"/>
  <c r="L188" i="4" s="1"/>
  <c r="L187" i="4" s="1"/>
  <c r="L186" i="4" s="1"/>
  <c r="L185" i="4" s="1"/>
  <c r="L184" i="4" s="1"/>
  <c r="L183" i="4" s="1"/>
  <c r="L182" i="4" s="1"/>
  <c r="L181" i="4" s="1"/>
  <c r="L180" i="4" s="1"/>
  <c r="L179" i="4" s="1"/>
  <c r="L178" i="4" s="1"/>
  <c r="L177" i="4" s="1"/>
  <c r="L176" i="4" s="1"/>
  <c r="L175" i="4" s="1"/>
  <c r="L174" i="4" s="1"/>
  <c r="L173" i="4" s="1"/>
  <c r="L172" i="4" s="1"/>
  <c r="L171" i="4" s="1"/>
  <c r="L170" i="4" s="1"/>
  <c r="L169" i="4" s="1"/>
  <c r="L168" i="4" s="1"/>
  <c r="L167" i="4" s="1"/>
  <c r="L166" i="4" s="1"/>
  <c r="L165" i="4" s="1"/>
  <c r="L164" i="4" s="1"/>
  <c r="L163" i="4" s="1"/>
  <c r="L162" i="4" s="1"/>
  <c r="L161" i="4" s="1"/>
  <c r="L160" i="4" s="1"/>
  <c r="L159" i="4" s="1"/>
  <c r="L158" i="4" s="1"/>
  <c r="L157" i="4" s="1"/>
  <c r="L156" i="4" s="1"/>
  <c r="L155" i="4" s="1"/>
  <c r="L154" i="4" s="1"/>
  <c r="L153" i="4" s="1"/>
  <c r="L152" i="4" s="1"/>
  <c r="L151" i="4" s="1"/>
  <c r="L150" i="4" s="1"/>
  <c r="L149" i="4" s="1"/>
  <c r="L148" i="4" s="1"/>
  <c r="L147" i="4" s="1"/>
  <c r="L146" i="4" s="1"/>
  <c r="L145" i="4" s="1"/>
  <c r="L144" i="4" s="1"/>
  <c r="L143" i="4" s="1"/>
  <c r="L142" i="4" s="1"/>
  <c r="L141" i="4" s="1"/>
  <c r="L140" i="4" s="1"/>
  <c r="L139" i="4" s="1"/>
  <c r="L138" i="4" s="1"/>
  <c r="L137" i="4" s="1"/>
  <c r="L136" i="4" s="1"/>
  <c r="L135" i="4" s="1"/>
  <c r="L134" i="4" s="1"/>
  <c r="L133" i="4" s="1"/>
  <c r="L132" i="4" s="1"/>
  <c r="L131" i="4" s="1"/>
  <c r="L130" i="4" s="1"/>
  <c r="L129" i="4" s="1"/>
  <c r="L128" i="4" s="1"/>
  <c r="L127" i="4" s="1"/>
  <c r="L126" i="4" s="1"/>
  <c r="L125" i="4" s="1"/>
  <c r="L124" i="4" s="1"/>
  <c r="L123" i="4" s="1"/>
  <c r="L122" i="4" s="1"/>
  <c r="L121" i="4" s="1"/>
  <c r="L120" i="4" s="1"/>
  <c r="L119" i="4" s="1"/>
  <c r="L118" i="4" s="1"/>
  <c r="L117" i="4" s="1"/>
  <c r="L116" i="4" s="1"/>
  <c r="L115" i="4" s="1"/>
  <c r="L114" i="4" s="1"/>
  <c r="L113" i="4" s="1"/>
  <c r="L112" i="4" s="1"/>
  <c r="L111" i="4" s="1"/>
  <c r="L110" i="4" s="1"/>
  <c r="L109" i="4" s="1"/>
  <c r="L108" i="4" s="1"/>
  <c r="L107" i="4" s="1"/>
  <c r="L106" i="4" s="1"/>
  <c r="L105" i="4" s="1"/>
  <c r="L104" i="4" s="1"/>
  <c r="L103" i="4" s="1"/>
  <c r="L102" i="4" s="1"/>
  <c r="L101" i="4" s="1"/>
  <c r="L100" i="4" s="1"/>
  <c r="L99" i="4" s="1"/>
  <c r="L98" i="4" s="1"/>
  <c r="L97" i="4" s="1"/>
  <c r="L96" i="4" s="1"/>
  <c r="L95" i="4" s="1"/>
  <c r="L94" i="4" s="1"/>
  <c r="L93" i="4" s="1"/>
  <c r="L92" i="4" s="1"/>
  <c r="L91" i="4" s="1"/>
  <c r="L90" i="4" s="1"/>
  <c r="L89" i="4" s="1"/>
  <c r="L88" i="4" s="1"/>
  <c r="L87" i="4" s="1"/>
  <c r="L86" i="4" s="1"/>
  <c r="L85" i="4" s="1"/>
  <c r="L84" i="4" s="1"/>
  <c r="L83" i="4" s="1"/>
  <c r="L82" i="4" s="1"/>
  <c r="L81" i="4" s="1"/>
  <c r="L80" i="4" s="1"/>
  <c r="L79" i="4" s="1"/>
  <c r="L78" i="4" s="1"/>
  <c r="L77" i="4" s="1"/>
  <c r="L76" i="4" s="1"/>
  <c r="L75" i="4" s="1"/>
  <c r="L74" i="4" s="1"/>
  <c r="L73" i="4" s="1"/>
  <c r="L72" i="4" s="1"/>
  <c r="L71" i="4" s="1"/>
  <c r="L70" i="4" s="1"/>
  <c r="L69" i="4" s="1"/>
  <c r="L68" i="4" s="1"/>
  <c r="L67" i="4" s="1"/>
  <c r="L66" i="4" s="1"/>
  <c r="L65" i="4" s="1"/>
  <c r="L64" i="4" s="1"/>
  <c r="L63" i="4" s="1"/>
  <c r="L62" i="4" s="1"/>
  <c r="L61" i="4" s="1"/>
  <c r="L60" i="4" s="1"/>
  <c r="L59" i="4" s="1"/>
  <c r="L58" i="4" s="1"/>
  <c r="L57" i="4" s="1"/>
  <c r="L56" i="4" s="1"/>
  <c r="L55" i="4" s="1"/>
  <c r="L54" i="4" s="1"/>
  <c r="L53" i="4" s="1"/>
  <c r="L52" i="4" s="1"/>
  <c r="L51" i="4" s="1"/>
  <c r="L50" i="4" s="1"/>
  <c r="L49" i="4" s="1"/>
  <c r="L48" i="4" s="1"/>
  <c r="L47" i="4" s="1"/>
  <c r="L46" i="4" s="1"/>
  <c r="L45" i="4" s="1"/>
  <c r="L44" i="4" s="1"/>
  <c r="L43" i="4" s="1"/>
  <c r="L42" i="4" s="1"/>
  <c r="L41" i="4" s="1"/>
  <c r="L40" i="4" s="1"/>
  <c r="L39" i="4" s="1"/>
  <c r="L38" i="4" s="1"/>
  <c r="L37" i="4" s="1"/>
  <c r="L36" i="4" s="1"/>
  <c r="L35" i="4" s="1"/>
  <c r="L34" i="4" s="1"/>
  <c r="L33" i="4" s="1"/>
  <c r="L32" i="4" s="1"/>
  <c r="L31" i="4" s="1"/>
  <c r="L30" i="4" s="1"/>
  <c r="L29" i="4" s="1"/>
  <c r="L28" i="4" s="1"/>
  <c r="L27" i="4" s="1"/>
  <c r="L26" i="4" s="1"/>
  <c r="L25" i="4" s="1"/>
  <c r="L24" i="4" s="1"/>
  <c r="L23" i="4" s="1"/>
  <c r="L22" i="4" s="1"/>
  <c r="L21" i="4" s="1"/>
  <c r="L20" i="4" s="1"/>
  <c r="L19" i="4" s="1"/>
  <c r="L18" i="4" s="1"/>
  <c r="L17" i="4" s="1"/>
  <c r="L16" i="4" s="1"/>
  <c r="L15" i="4" s="1"/>
  <c r="L14" i="4" s="1"/>
  <c r="L13" i="4" s="1"/>
  <c r="L12" i="4" s="1"/>
  <c r="L11" i="4" s="1"/>
  <c r="L10" i="4" s="1"/>
  <c r="L9" i="4" s="1"/>
  <c r="L8" i="4" s="1"/>
  <c r="L7" i="4" s="1"/>
  <c r="L6" i="4" s="1"/>
  <c r="L5" i="4" s="1"/>
  <c r="L4" i="4" s="1"/>
  <c r="L3" i="4" s="1"/>
  <c r="L2" i="4" s="1"/>
  <c r="T22" i="4"/>
  <c r="B30" i="1" s="1"/>
  <c r="T15" i="4"/>
  <c r="V13" i="4"/>
  <c r="G373" i="4"/>
  <c r="G372" i="4" s="1"/>
  <c r="G371" i="4" s="1"/>
  <c r="G370" i="4" s="1"/>
  <c r="G369" i="4" s="1"/>
  <c r="G368" i="4" s="1"/>
  <c r="G367" i="4" s="1"/>
  <c r="G366" i="4" s="1"/>
  <c r="G365" i="4" s="1"/>
  <c r="G364" i="4" s="1"/>
  <c r="G363" i="4" s="1"/>
  <c r="G362" i="4" s="1"/>
  <c r="G361" i="4" s="1"/>
  <c r="G360" i="4" s="1"/>
  <c r="G359" i="4" s="1"/>
  <c r="G358" i="4" s="1"/>
  <c r="G357" i="4" s="1"/>
  <c r="G356" i="4" s="1"/>
  <c r="G355" i="4" s="1"/>
  <c r="G354" i="4" s="1"/>
  <c r="G353" i="4" s="1"/>
  <c r="G352" i="4" s="1"/>
  <c r="G351" i="4" s="1"/>
  <c r="G350" i="4" s="1"/>
  <c r="G349" i="4" s="1"/>
  <c r="G348" i="4" s="1"/>
  <c r="G347" i="4" s="1"/>
  <c r="G346" i="4" s="1"/>
  <c r="G345" i="4" s="1"/>
  <c r="G344" i="4" s="1"/>
  <c r="G343" i="4" s="1"/>
  <c r="G342" i="4" s="1"/>
  <c r="G341" i="4" s="1"/>
  <c r="G340" i="4" s="1"/>
  <c r="G339" i="4" s="1"/>
  <c r="G338" i="4" s="1"/>
  <c r="G337" i="4" s="1"/>
  <c r="G336" i="4" s="1"/>
  <c r="G335" i="4" s="1"/>
  <c r="G334" i="4" s="1"/>
  <c r="G333" i="4" s="1"/>
  <c r="G332" i="4" s="1"/>
  <c r="G331" i="4" s="1"/>
  <c r="G330" i="4" s="1"/>
  <c r="G329" i="4" s="1"/>
  <c r="G328" i="4" s="1"/>
  <c r="G327" i="4" s="1"/>
  <c r="G326" i="4" s="1"/>
  <c r="G325" i="4" s="1"/>
  <c r="G324" i="4" s="1"/>
  <c r="G323" i="4" s="1"/>
  <c r="G322" i="4" s="1"/>
  <c r="G321" i="4" s="1"/>
  <c r="G320" i="4" s="1"/>
  <c r="G319" i="4" s="1"/>
  <c r="G318" i="4" s="1"/>
  <c r="G317" i="4" s="1"/>
  <c r="G316" i="4" s="1"/>
  <c r="G315" i="4" s="1"/>
  <c r="G314" i="4" s="1"/>
  <c r="G313" i="4" s="1"/>
  <c r="G312" i="4" s="1"/>
  <c r="G311" i="4" s="1"/>
  <c r="G310" i="4" s="1"/>
  <c r="G309" i="4" s="1"/>
  <c r="G308" i="4" s="1"/>
  <c r="G307" i="4" s="1"/>
  <c r="G306" i="4" s="1"/>
  <c r="G305" i="4" s="1"/>
  <c r="G304" i="4" s="1"/>
  <c r="G303" i="4" s="1"/>
  <c r="G302" i="4" s="1"/>
  <c r="G301" i="4" s="1"/>
  <c r="G300" i="4" s="1"/>
  <c r="G299" i="4" s="1"/>
  <c r="G298" i="4" s="1"/>
  <c r="G297" i="4" s="1"/>
  <c r="G296" i="4" s="1"/>
  <c r="G295" i="4" s="1"/>
  <c r="G294" i="4" s="1"/>
  <c r="G293" i="4" s="1"/>
  <c r="G292" i="4" s="1"/>
  <c r="G291" i="4" s="1"/>
  <c r="G290" i="4" s="1"/>
  <c r="G289" i="4" s="1"/>
  <c r="G288" i="4" s="1"/>
  <c r="G287" i="4" s="1"/>
  <c r="G286" i="4" s="1"/>
  <c r="G285" i="4" s="1"/>
  <c r="G284" i="4" s="1"/>
  <c r="G283" i="4" s="1"/>
  <c r="G282" i="4" s="1"/>
  <c r="G281" i="4" s="1"/>
  <c r="G280" i="4" s="1"/>
  <c r="G279" i="4" s="1"/>
  <c r="G278" i="4" s="1"/>
  <c r="G277" i="4" s="1"/>
  <c r="G276" i="4" s="1"/>
  <c r="G275" i="4" s="1"/>
  <c r="G274" i="4" s="1"/>
  <c r="G273" i="4" s="1"/>
  <c r="G272" i="4" s="1"/>
  <c r="G271" i="4" s="1"/>
  <c r="G270" i="4" s="1"/>
  <c r="G269" i="4" s="1"/>
  <c r="G268" i="4" s="1"/>
  <c r="G267" i="4" s="1"/>
  <c r="G266" i="4" s="1"/>
  <c r="G265" i="4" s="1"/>
  <c r="G264" i="4" s="1"/>
  <c r="G263" i="4" s="1"/>
  <c r="G262" i="4" s="1"/>
  <c r="G261" i="4" s="1"/>
  <c r="G260" i="4" s="1"/>
  <c r="G259" i="4" s="1"/>
  <c r="G258" i="4" s="1"/>
  <c r="G257" i="4" s="1"/>
  <c r="G256" i="4" s="1"/>
  <c r="G255" i="4" s="1"/>
  <c r="G254" i="4" s="1"/>
  <c r="G253" i="4" s="1"/>
  <c r="G252" i="4" s="1"/>
  <c r="G251" i="4" s="1"/>
  <c r="G250" i="4" s="1"/>
  <c r="G249" i="4" s="1"/>
  <c r="G248" i="4" s="1"/>
  <c r="G247" i="4" s="1"/>
  <c r="G246" i="4" s="1"/>
  <c r="G245" i="4" s="1"/>
  <c r="G244" i="4" s="1"/>
  <c r="G243" i="4" s="1"/>
  <c r="G242" i="4" s="1"/>
  <c r="G241" i="4" s="1"/>
  <c r="G240" i="4" s="1"/>
  <c r="G239" i="4" s="1"/>
  <c r="G238" i="4" s="1"/>
  <c r="G237" i="4" s="1"/>
  <c r="G236" i="4" s="1"/>
  <c r="G235" i="4" s="1"/>
  <c r="G234" i="4" s="1"/>
  <c r="G233" i="4" s="1"/>
  <c r="G232" i="4" s="1"/>
  <c r="G231" i="4" s="1"/>
  <c r="G230" i="4" s="1"/>
  <c r="G229" i="4" s="1"/>
  <c r="G228" i="4" s="1"/>
  <c r="G227" i="4" s="1"/>
  <c r="G226" i="4" s="1"/>
  <c r="G225" i="4" s="1"/>
  <c r="G224" i="4" s="1"/>
  <c r="G223" i="4" s="1"/>
  <c r="G222" i="4" s="1"/>
  <c r="G221" i="4" s="1"/>
  <c r="G220" i="4" s="1"/>
  <c r="G219" i="4" s="1"/>
  <c r="G218" i="4" s="1"/>
  <c r="G217" i="4" s="1"/>
  <c r="G216" i="4" s="1"/>
  <c r="G215" i="4" s="1"/>
  <c r="G214" i="4" s="1"/>
  <c r="G213" i="4" s="1"/>
  <c r="G212" i="4" s="1"/>
  <c r="G211" i="4" s="1"/>
  <c r="G210" i="4" s="1"/>
  <c r="G209" i="4" s="1"/>
  <c r="G208" i="4" s="1"/>
  <c r="G207" i="4" s="1"/>
  <c r="G206" i="4" s="1"/>
  <c r="G205" i="4" s="1"/>
  <c r="G204" i="4" s="1"/>
  <c r="G203" i="4" s="1"/>
  <c r="G202" i="4" s="1"/>
  <c r="G201" i="4" s="1"/>
  <c r="G200" i="4" s="1"/>
  <c r="G199" i="4" s="1"/>
  <c r="G198" i="4" s="1"/>
  <c r="G197" i="4" s="1"/>
  <c r="G196" i="4" s="1"/>
  <c r="G195" i="4" s="1"/>
  <c r="G194" i="4" s="1"/>
  <c r="G193" i="4" s="1"/>
  <c r="G192" i="4" s="1"/>
  <c r="G191" i="4" s="1"/>
  <c r="G190" i="4" s="1"/>
  <c r="G189" i="4" s="1"/>
  <c r="G188" i="4" s="1"/>
  <c r="G187" i="4" s="1"/>
  <c r="G186" i="4" s="1"/>
  <c r="G185" i="4" s="1"/>
  <c r="G184" i="4" s="1"/>
  <c r="G183" i="4" s="1"/>
  <c r="G182" i="4" s="1"/>
  <c r="G181" i="4" s="1"/>
  <c r="G180" i="4" s="1"/>
  <c r="G179" i="4" s="1"/>
  <c r="G178" i="4" s="1"/>
  <c r="G177" i="4" s="1"/>
  <c r="G176" i="4" s="1"/>
  <c r="G175" i="4" s="1"/>
  <c r="G174" i="4" s="1"/>
  <c r="G173" i="4" s="1"/>
  <c r="G172" i="4" s="1"/>
  <c r="G171" i="4" s="1"/>
  <c r="G170" i="4" s="1"/>
  <c r="G169" i="4" s="1"/>
  <c r="G168" i="4" s="1"/>
  <c r="G167" i="4" s="1"/>
  <c r="G166" i="4" s="1"/>
  <c r="G165" i="4" s="1"/>
  <c r="G164" i="4" s="1"/>
  <c r="G163" i="4" s="1"/>
  <c r="G162" i="4" s="1"/>
  <c r="G161" i="4" s="1"/>
  <c r="G160" i="4" s="1"/>
  <c r="G159" i="4" s="1"/>
  <c r="G158" i="4" s="1"/>
  <c r="G157" i="4" s="1"/>
  <c r="G156" i="4" s="1"/>
  <c r="G155" i="4" s="1"/>
  <c r="G154" i="4" s="1"/>
  <c r="G153" i="4" s="1"/>
  <c r="G152" i="4" s="1"/>
  <c r="G151" i="4" s="1"/>
  <c r="G150" i="4" s="1"/>
  <c r="G149" i="4" s="1"/>
  <c r="G148" i="4" s="1"/>
  <c r="G147" i="4" s="1"/>
  <c r="G146" i="4" s="1"/>
  <c r="G145" i="4" s="1"/>
  <c r="G144" i="4" s="1"/>
  <c r="G143" i="4" s="1"/>
  <c r="G142" i="4" s="1"/>
  <c r="G141" i="4" s="1"/>
  <c r="G140" i="4" s="1"/>
  <c r="G139" i="4" s="1"/>
  <c r="G138" i="4" s="1"/>
  <c r="G137" i="4" s="1"/>
  <c r="G136" i="4" s="1"/>
  <c r="G135" i="4" s="1"/>
  <c r="G134" i="4" s="1"/>
  <c r="G133" i="4" s="1"/>
  <c r="G132" i="4" s="1"/>
  <c r="G131" i="4" s="1"/>
  <c r="G130" i="4" s="1"/>
  <c r="G129" i="4" s="1"/>
  <c r="G128" i="4" s="1"/>
  <c r="G127" i="4" s="1"/>
  <c r="G126" i="4" s="1"/>
  <c r="G125" i="4" s="1"/>
  <c r="G124" i="4" s="1"/>
  <c r="G123" i="4" s="1"/>
  <c r="G122" i="4" s="1"/>
  <c r="G121" i="4" s="1"/>
  <c r="G120" i="4" s="1"/>
  <c r="G119" i="4" s="1"/>
  <c r="G118" i="4" s="1"/>
  <c r="G117" i="4" s="1"/>
  <c r="G116" i="4" s="1"/>
  <c r="G115" i="4" s="1"/>
  <c r="G114" i="4" s="1"/>
  <c r="G113" i="4" s="1"/>
  <c r="G112" i="4" s="1"/>
  <c r="G111" i="4" s="1"/>
  <c r="G110" i="4" s="1"/>
  <c r="G109" i="4" s="1"/>
  <c r="G108" i="4" s="1"/>
  <c r="G107" i="4" s="1"/>
  <c r="G106" i="4" s="1"/>
  <c r="G105" i="4" s="1"/>
  <c r="G104" i="4" s="1"/>
  <c r="G103" i="4" s="1"/>
  <c r="G102" i="4" s="1"/>
  <c r="G101" i="4" s="1"/>
  <c r="G100" i="4" s="1"/>
  <c r="G99" i="4" s="1"/>
  <c r="G98" i="4" s="1"/>
  <c r="G97" i="4" s="1"/>
  <c r="G96" i="4" s="1"/>
  <c r="G95" i="4" s="1"/>
  <c r="G94" i="4" s="1"/>
  <c r="G93" i="4" s="1"/>
  <c r="G92" i="4" s="1"/>
  <c r="G91" i="4" s="1"/>
  <c r="G90" i="4" s="1"/>
  <c r="G89" i="4" s="1"/>
  <c r="G88" i="4" s="1"/>
  <c r="G87" i="4" s="1"/>
  <c r="G86" i="4" s="1"/>
  <c r="G85" i="4" s="1"/>
  <c r="G84" i="4" s="1"/>
  <c r="G83" i="4" s="1"/>
  <c r="G82" i="4" s="1"/>
  <c r="G81" i="4" s="1"/>
  <c r="G80" i="4" s="1"/>
  <c r="G79" i="4" s="1"/>
  <c r="G78" i="4" s="1"/>
  <c r="G77" i="4" s="1"/>
  <c r="G76" i="4" s="1"/>
  <c r="G75" i="4" s="1"/>
  <c r="G74" i="4" s="1"/>
  <c r="G73" i="4" s="1"/>
  <c r="G72" i="4" s="1"/>
  <c r="G71" i="4" s="1"/>
  <c r="G70" i="4" s="1"/>
  <c r="G69" i="4" s="1"/>
  <c r="G68" i="4" s="1"/>
  <c r="G67" i="4" s="1"/>
  <c r="G66" i="4" s="1"/>
  <c r="G65" i="4" s="1"/>
  <c r="G64" i="4" s="1"/>
  <c r="G63" i="4" s="1"/>
  <c r="G62" i="4" s="1"/>
  <c r="G61" i="4" s="1"/>
  <c r="G60" i="4" s="1"/>
  <c r="G59" i="4" s="1"/>
  <c r="G58" i="4" s="1"/>
  <c r="G57" i="4" s="1"/>
  <c r="G56" i="4" s="1"/>
  <c r="G55" i="4" s="1"/>
  <c r="G54" i="4" s="1"/>
  <c r="G53" i="4" s="1"/>
  <c r="G52" i="4" s="1"/>
  <c r="G51" i="4" s="1"/>
  <c r="G50" i="4" s="1"/>
  <c r="G49" i="4" s="1"/>
  <c r="G48" i="4" s="1"/>
  <c r="G47" i="4" s="1"/>
  <c r="G46" i="4" s="1"/>
  <c r="G45" i="4" s="1"/>
  <c r="G44" i="4" s="1"/>
  <c r="G43" i="4" s="1"/>
  <c r="G42" i="4" s="1"/>
  <c r="G41" i="4" s="1"/>
  <c r="G40" i="4" s="1"/>
  <c r="G39" i="4" s="1"/>
  <c r="G38" i="4" s="1"/>
  <c r="G37" i="4" s="1"/>
  <c r="G36" i="4" s="1"/>
  <c r="G35" i="4" s="1"/>
  <c r="G34" i="4" s="1"/>
  <c r="G33" i="4" s="1"/>
  <c r="G32" i="4" s="1"/>
  <c r="G31" i="4" s="1"/>
  <c r="G30" i="4" s="1"/>
  <c r="G29" i="4" s="1"/>
  <c r="G28" i="4" s="1"/>
  <c r="G27" i="4" s="1"/>
  <c r="G26" i="4" s="1"/>
  <c r="G25" i="4" s="1"/>
  <c r="G24" i="4" s="1"/>
  <c r="G23" i="4" s="1"/>
  <c r="G22" i="4" s="1"/>
  <c r="G21" i="4" s="1"/>
  <c r="G20" i="4" s="1"/>
  <c r="G19" i="4" s="1"/>
  <c r="G18" i="4" s="1"/>
  <c r="G17" i="4" s="1"/>
  <c r="G16" i="4" s="1"/>
  <c r="G15" i="4" s="1"/>
  <c r="G14" i="4" s="1"/>
  <c r="G13" i="4" s="1"/>
  <c r="G12" i="4" s="1"/>
  <c r="G11" i="4" s="1"/>
  <c r="G10" i="4" s="1"/>
  <c r="G9" i="4" s="1"/>
  <c r="G8" i="4" s="1"/>
  <c r="G7" i="4" s="1"/>
  <c r="G6" i="4" s="1"/>
  <c r="G5" i="4" s="1"/>
  <c r="G4" i="4" s="1"/>
  <c r="G3" i="4" s="1"/>
  <c r="G2" i="4" s="1"/>
  <c r="X28" i="4" l="1"/>
  <c r="Y28" i="4"/>
  <c r="C24" i="1"/>
  <c r="B24" i="1" s="1"/>
  <c r="B22" i="1" s="1"/>
  <c r="V27" i="4"/>
  <c r="W27" i="4"/>
</calcChain>
</file>

<file path=xl/sharedStrings.xml><?xml version="1.0" encoding="utf-8"?>
<sst xmlns="http://schemas.openxmlformats.org/spreadsheetml/2006/main" count="965" uniqueCount="542">
  <si>
    <t>ISIN</t>
  </si>
  <si>
    <t>Эмитент</t>
  </si>
  <si>
    <t>Кредитный рейтинг эмитента</t>
  </si>
  <si>
    <t>с</t>
  </si>
  <si>
    <t>по</t>
  </si>
  <si>
    <t xml:space="preserve">Анализируемый период </t>
  </si>
  <si>
    <t>Активность рынка</t>
  </si>
  <si>
    <t>Критерии активности</t>
  </si>
  <si>
    <t>USDRUB</t>
  </si>
  <si>
    <t>Коэффициент конвертации акций в депрасписки</t>
  </si>
  <si>
    <t>-</t>
  </si>
  <si>
    <t>Место обращения ц. б.</t>
  </si>
  <si>
    <t>Тип долевой ц.б.</t>
  </si>
  <si>
    <t>RAEX-Europe</t>
  </si>
  <si>
    <t>Рыночная капитализация, млн usd</t>
  </si>
  <si>
    <t>Количество акций в обращении, млн шт.</t>
  </si>
  <si>
    <t>Free-float, %</t>
  </si>
  <si>
    <t>Free-float, млн usd</t>
  </si>
  <si>
    <t>Кол-во торговых дней за месяц</t>
  </si>
  <si>
    <t>Кол-во сделок за 1 торговый день</t>
  </si>
  <si>
    <t>Объём сделок за 1 торговый день</t>
  </si>
  <si>
    <t>Free-float, млрд руб.</t>
  </si>
  <si>
    <t>Каждый день</t>
  </si>
  <si>
    <t>от 10</t>
  </si>
  <si>
    <t>от 0,0001% от объёма выпуска в свободном обращении</t>
  </si>
  <si>
    <t>от 10% от общего количества выпущенных акций</t>
  </si>
  <si>
    <t>от 1 млрд рублей</t>
  </si>
  <si>
    <t>Средний дневной объём торгов за 3 месяца (3m ADTV), млн. руб</t>
  </si>
  <si>
    <t>Входит в состав фондовых индексов</t>
  </si>
  <si>
    <t>Индекс широкого рынка</t>
  </si>
  <si>
    <t>Включает ТОП 100 ценных бумаг, отобранных на основании критериев ликвидности, капитализации и доли акций, коэффициент free-float которых составляет не менее 5%.</t>
  </si>
  <si>
    <t>Сравнение с фондовыми индексами</t>
  </si>
  <si>
    <t>Дата</t>
  </si>
  <si>
    <t>Оборот</t>
  </si>
  <si>
    <t>Количество сделок</t>
  </si>
  <si>
    <t>Период оценки</t>
  </si>
  <si>
    <t>1. Количество торговых дней за месяц</t>
  </si>
  <si>
    <t>2. Кол-во сделок за 1 торговый день</t>
  </si>
  <si>
    <t>3. Объём сделок за 1 торговый день</t>
  </si>
  <si>
    <t>3m</t>
  </si>
  <si>
    <t>3m ADTV</t>
  </si>
  <si>
    <t>АКРА</t>
  </si>
  <si>
    <t>Индекс МосБиржи металлов и добычи</t>
  </si>
  <si>
    <t>Индекс наиболее ликвидных акций российских эмитентов, экономическая деятельность которых относится к металлургической и горнодобывающей отрасли.</t>
  </si>
  <si>
    <t>Валюта</t>
  </si>
  <si>
    <t>Код биржи</t>
  </si>
  <si>
    <t>Индекс курса</t>
  </si>
  <si>
    <t>Курс</t>
  </si>
  <si>
    <t>RUB</t>
  </si>
  <si>
    <t>CNYRUB</t>
  </si>
  <si>
    <t>EURRUB</t>
  </si>
  <si>
    <t>TIME</t>
  </si>
  <si>
    <t>SHORTNAME_RUS</t>
  </si>
  <si>
    <t>FULLNAME_RUS</t>
  </si>
  <si>
    <t>End Date</t>
  </si>
  <si>
    <t>issuer</t>
  </si>
  <si>
    <t>Begin Date</t>
  </si>
  <si>
    <t>Рейтинг эмитента</t>
  </si>
  <si>
    <t>Рейтинг эмитента (значения)</t>
  </si>
  <si>
    <t>Date</t>
  </si>
  <si>
    <t>Date Calc</t>
  </si>
  <si>
    <t>Агенство</t>
  </si>
  <si>
    <t>Last</t>
  </si>
  <si>
    <t>Outlook</t>
  </si>
  <si>
    <t>Change</t>
  </si>
  <si>
    <t>Time</t>
  </si>
  <si>
    <t>Role</t>
  </si>
  <si>
    <t>Name</t>
  </si>
  <si>
    <t>Эмиссия</t>
  </si>
  <si>
    <t>Информация</t>
  </si>
  <si>
    <t>Подтвержден</t>
  </si>
  <si>
    <t>Снят</t>
  </si>
  <si>
    <t>снят</t>
  </si>
  <si>
    <t>Issuer</t>
  </si>
  <si>
    <t>Рейтинг</t>
  </si>
  <si>
    <t>Перевод</t>
  </si>
  <si>
    <t>Код</t>
  </si>
  <si>
    <t>BegDistDate</t>
  </si>
  <si>
    <t>AKRA-I-Cr&amp;D-LT-Nsc</t>
  </si>
  <si>
    <t>Стабильный</t>
  </si>
  <si>
    <t>Expert RA</t>
  </si>
  <si>
    <t>Эксперт РА</t>
  </si>
  <si>
    <t>IFX-I-Cr&amp;D-LT-Isc</t>
  </si>
  <si>
    <t>AKRA</t>
  </si>
  <si>
    <t>IFX-I-Cr&amp;D-LT-Nsc</t>
  </si>
  <si>
    <t>NCR</t>
  </si>
  <si>
    <t>НКР</t>
  </si>
  <si>
    <t>IFX-I-Cr&amp;D-LT-Isc-max</t>
  </si>
  <si>
    <t>IFX-I-Cr&amp;D-LT-Nsc-max</t>
  </si>
  <si>
    <t>Активность</t>
  </si>
  <si>
    <t>Гарант</t>
  </si>
  <si>
    <t>Биржа</t>
  </si>
  <si>
    <t>Границы графиков</t>
  </si>
  <si>
    <t>Ось X</t>
  </si>
  <si>
    <t>Ось Y</t>
  </si>
  <si>
    <t>Min</t>
  </si>
  <si>
    <t>Max</t>
  </si>
  <si>
    <t>Chart 1</t>
  </si>
  <si>
    <t>Chart 2</t>
  </si>
  <si>
    <t>Chart 3</t>
  </si>
  <si>
    <t>Chart 4</t>
  </si>
  <si>
    <t>RU0007661625</t>
  </si>
  <si>
    <t>"Газпром", ПАО</t>
  </si>
  <si>
    <t>EXP-C-Cr&amp;D-Nsc</t>
  </si>
  <si>
    <t>ruAAA</t>
  </si>
  <si>
    <t>AAA(RU)</t>
  </si>
  <si>
    <t>DGN-I-Cr&amp;D-LT-Isc-Icur</t>
  </si>
  <si>
    <t>AAA</t>
  </si>
  <si>
    <t>DGN-I-Cr&amp;D-LT-Isc-Ncur</t>
  </si>
  <si>
    <t>AKRA-I-SCA-LT-Nsc</t>
  </si>
  <si>
    <t>SECTOR_NAME</t>
  </si>
  <si>
    <t>Сектор</t>
  </si>
  <si>
    <t>Нефтегазовый</t>
  </si>
  <si>
    <t>Параметры ценной бумаги</t>
  </si>
  <si>
    <t>Stock name</t>
  </si>
  <si>
    <t>sectypenamebr_nrd</t>
  </si>
  <si>
    <t>moex_code</t>
  </si>
  <si>
    <t>listing_level</t>
  </si>
  <si>
    <t>Capitalization</t>
  </si>
  <si>
    <t>CapitalizationUSD</t>
  </si>
  <si>
    <t>MCAP</t>
  </si>
  <si>
    <t>AVG</t>
  </si>
  <si>
    <t>Anount size</t>
  </si>
  <si>
    <t>Summarketvol</t>
  </si>
  <si>
    <t>Актуальная рыночная информация</t>
  </si>
  <si>
    <t>Всего дней</t>
  </si>
  <si>
    <t>Индекс</t>
  </si>
  <si>
    <t>Описание</t>
  </si>
  <si>
    <t>Индекс МосБиржи</t>
  </si>
  <si>
    <t xml:space="preserve">Включает наиболее ликвидные акции крупнейших и динамично развивающихся российских эмитентов, представленных на Московской бирже. </t>
  </si>
  <si>
    <t>Индекс МосБиржи голубых фишек</t>
  </si>
  <si>
    <t>Является индикатором рынка 15 наиболее ликвидных акций российских компаний или так называемых «голубых фишек»</t>
  </si>
  <si>
    <t>Индекс МосБиржи нефти и газа</t>
  </si>
  <si>
    <t>Индекс наиболее ликвидных акций российских эмитентов, экономическая деятельность которых относится к нефтегазовому сектору экономики</t>
  </si>
  <si>
    <t>Индекс МосБиржи потребительского сектора</t>
  </si>
  <si>
    <t>Индекс наиболее ликвидных акций российских эмитентов, экономическая деятельность которых относится к сектору потребительских товаров и услуг</t>
  </si>
  <si>
    <t>Индекс МосБиржи средней и малой капитализации</t>
  </si>
  <si>
    <t>Индекс российского фондового рынка, в состав которого входят ликвидные акции компаний среднего и малого уровня капитализации, находящиеся в котировальных списках Московской Биржи</t>
  </si>
  <si>
    <t>Индекс МосБиржи строительных компаний</t>
  </si>
  <si>
    <t>Индекс наиболее ликвидных акций российских эмитентов, экономическая деятельность которых относится к сектору строительства</t>
  </si>
  <si>
    <t>Индекс МосБиржи телекоммуникаций</t>
  </si>
  <si>
    <t>Индекс наиболее ликвидных акций российских эмитентов, экономическая деятельность которых относится к телекоммуникационному сектору экономики</t>
  </si>
  <si>
    <t>Индекс МосБиржи транспорта</t>
  </si>
  <si>
    <t>Индекс наиболее ликвидных акций российских эмитентов, экономическая деятельность которых относится к химическому и нефтехимическому сектору</t>
  </si>
  <si>
    <t>Индекс наиболее ликвидных акций российских эмитентов, экономическая деятельность которых относится к деятельности российских транспортных компаний</t>
  </si>
  <si>
    <t>Индекс МосБиржи финансов</t>
  </si>
  <si>
    <t>Индекс наиболее ликвидных акций российских эмитентов, экономическая деятельность которых относится к финансовому сектору экономики</t>
  </si>
  <si>
    <t>Индекс МосБиржи химии и нефтехимии</t>
  </si>
  <si>
    <t>Индекс МосБиржи электроэнергетики</t>
  </si>
  <si>
    <t>Индекс наиболее ликвидных акций российских эмитентов, экономическая деятельность которых относится к сектору электроэнергетики</t>
  </si>
  <si>
    <t>Динамика рыночной цены компании</t>
  </si>
  <si>
    <t xml:space="preserve">Выручка Газпром в 1 полугодии 2024 г. увеличилась на 6.7% и составила 2926.82 млрд руб. Чистый убыток равен -480.64 млрд руб. </t>
  </si>
  <si>
    <t xml:space="preserve">"Газпром" не будет выплачивать дивиденды за 2023 год </t>
  </si>
  <si>
    <t xml:space="preserve">
28.07.2024
</t>
  </si>
  <si>
    <t>Ось Y2</t>
  </si>
  <si>
    <t>Уровень листинга на МосБирже</t>
  </si>
  <si>
    <t>Первое число месяца</t>
  </si>
  <si>
    <t>Первое число предыдущего месяца</t>
  </si>
  <si>
    <t>Дата выгрузки</t>
  </si>
  <si>
    <t>Кодовое имя</t>
  </si>
  <si>
    <t>Название агенства</t>
  </si>
  <si>
    <t>AKM-LC-Cr&amp;D</t>
  </si>
  <si>
    <t>AK&amp;M</t>
  </si>
  <si>
    <t>EXP-C-Cr&amp;D-Isc</t>
  </si>
  <si>
    <t>EXP-FC-Cr&amp;D-Isc</t>
  </si>
  <si>
    <t>EXP-HIM-R&amp;QS-Nsc</t>
  </si>
  <si>
    <t>EXP-IN-FS&amp;R-Isc</t>
  </si>
  <si>
    <t>EXP-LC-Cr&amp;D-Isc</t>
  </si>
  <si>
    <t>EXP-LC-Cr&amp;D-Nsc</t>
  </si>
  <si>
    <t>EXP-NPF-FS&amp;R-Nsc</t>
  </si>
  <si>
    <t>EXP-R-Cr&amp;D-LT-Isc</t>
  </si>
  <si>
    <t>EXP-R-Cr&amp;D-LT-Nsc</t>
  </si>
  <si>
    <t>FCH-I-Cr&amp;D-LT-KZsc</t>
  </si>
  <si>
    <t>Fitch Ratings</t>
  </si>
  <si>
    <t>FCH-I-Cr&amp;D-LT-UAsc</t>
  </si>
  <si>
    <t>FCH-I-Cr&amp;D-ShT-Nsc</t>
  </si>
  <si>
    <t>FCH-I-Dflt-ShT-Isc-Ncur</t>
  </si>
  <si>
    <t>MDS-B-Cr&amp;D-LT-Isc-b</t>
  </si>
  <si>
    <t>Moody's</t>
  </si>
  <si>
    <t>MDS-B-Cr&amp;D-LT-KZsc</t>
  </si>
  <si>
    <t>MDS-B-Cr&amp;D-LT-UAsc</t>
  </si>
  <si>
    <t>MDS-B-Cr&amp;D-ShT-Isc-b</t>
  </si>
  <si>
    <t>MDS-I-Cr&amp;D-LT-Isc</t>
  </si>
  <si>
    <t>MDS-I-Cr&amp;D-LT-Isc-b</t>
  </si>
  <si>
    <t>MDS-I-Cr&amp;D-LT-Isc-Ncur-b</t>
  </si>
  <si>
    <t>MDS-I-Cr&amp;D-ShT-Isc-Ncur</t>
  </si>
  <si>
    <t>MDS-Note-Isc-Icur-b</t>
  </si>
  <si>
    <t>MDS-Note-Isc-Ncur-b</t>
  </si>
  <si>
    <t>MDS-NoteS-Isc-Icur-b</t>
  </si>
  <si>
    <t>MDS-NoteS-Isc-Ncur-b</t>
  </si>
  <si>
    <t>MIRA-B-Cr&amp;D-LT-Nsc</t>
  </si>
  <si>
    <t>Moody's Interfax</t>
  </si>
  <si>
    <t>NRA-B-Cr&amp;D-Isc</t>
  </si>
  <si>
    <t>NRA</t>
  </si>
  <si>
    <t>NRA-I-Cr&amp;D-Isc</t>
  </si>
  <si>
    <t>NRA-LC-FS&amp;R</t>
  </si>
  <si>
    <t>NRA-MC-Cr&amp;D</t>
  </si>
  <si>
    <t>NRA-mkF-Cr&amp;D</t>
  </si>
  <si>
    <t>NRA-R-Cr&amp;D</t>
  </si>
  <si>
    <t>RUS-AM-FS&amp;R-Isc</t>
  </si>
  <si>
    <t>RusRating</t>
  </si>
  <si>
    <t>RUS-AM-FS&amp;R-Nsc</t>
  </si>
  <si>
    <t>S&amp;P-Bnd-ShT-Isc-Ncur</t>
  </si>
  <si>
    <t>Standard &amp; Poor's</t>
  </si>
  <si>
    <t>RUS-IC-FS&amp;R-Isc</t>
  </si>
  <si>
    <t>RUS-IC-FS&amp;R-Nsc</t>
  </si>
  <si>
    <t>NRA-HС-Cr&amp;D-Nsc</t>
  </si>
  <si>
    <t>MDS-Cp-RA-LT</t>
  </si>
  <si>
    <t>MDS-Cp-RA-ShT</t>
  </si>
  <si>
    <t>EXP-FC-Cr&amp;D-Nsc</t>
  </si>
  <si>
    <t>S&amp;P-Bnd-Nsc</t>
  </si>
  <si>
    <t>S&amp;P-Bnd-Isc-Icur</t>
  </si>
  <si>
    <t>MDS-Bnd-Isc-Ncur</t>
  </si>
  <si>
    <t>EXP-Bnd-Nsc</t>
  </si>
  <si>
    <t>FCH-Bnd-Nsc</t>
  </si>
  <si>
    <t>MIRA-Bnd-Nsc</t>
  </si>
  <si>
    <t>RUS-Bnd-Isc</t>
  </si>
  <si>
    <t>FCH-Bnd-Isc-Ncur</t>
  </si>
  <si>
    <t>IFX-Bnd-Isc</t>
  </si>
  <si>
    <t>Interfax</t>
  </si>
  <si>
    <t>IFX-Bnd-Nsc</t>
  </si>
  <si>
    <t>NRA-Bnd</t>
  </si>
  <si>
    <t>RUS-Bnd-Nsc</t>
  </si>
  <si>
    <t>IFX-Bnd-Isc-max</t>
  </si>
  <si>
    <t>IFX-Bnd-Nsc-max</t>
  </si>
  <si>
    <t>S&amp;P-Bnd-Isc-Ncur</t>
  </si>
  <si>
    <t>S&amp;P-Bnd-KZsc</t>
  </si>
  <si>
    <t>FCH-Bnd-KZsc</t>
  </si>
  <si>
    <t>OESR-CRC</t>
  </si>
  <si>
    <t>OECD</t>
  </si>
  <si>
    <t>RIA-Bnd</t>
  </si>
  <si>
    <t>RIA Rating</t>
  </si>
  <si>
    <t>MDS-BndS-Isc-Icur</t>
  </si>
  <si>
    <t>MDS-I-Cr&amp;D-LT-Isc-Icur</t>
  </si>
  <si>
    <t>MDS-B-Cr&amp;D-LT-Isc-Ncur</t>
  </si>
  <si>
    <t>S&amp;P-I-Cr&amp;D-ShT-Isc-Ncur</t>
  </si>
  <si>
    <t>EXP-B-Cr&amp;D-Isc</t>
  </si>
  <si>
    <t>MIRA-I-Corp-LT-Nsc</t>
  </si>
  <si>
    <t>EXP-FA-Cr&amp;D-Nsc</t>
  </si>
  <si>
    <t>EXP-mkF-FS&amp;R-Nsc</t>
  </si>
  <si>
    <t>MDS-Note-Isc-Icur</t>
  </si>
  <si>
    <t>FCH-I-ViR</t>
  </si>
  <si>
    <t>MDS-BndS-Isc-Ncur</t>
  </si>
  <si>
    <t>FCH-Bnd-ShT-Isc-Icur</t>
  </si>
  <si>
    <t>MDS-Bnd-ShT-Isc-Icur</t>
  </si>
  <si>
    <t>S&amp;P-Bnd-ShT-Isc-Icur</t>
  </si>
  <si>
    <t>MIRA-I-Corp-LT-Nsc-Icur</t>
  </si>
  <si>
    <t>NRA-INL-FS&amp;R</t>
  </si>
  <si>
    <t>AKM-Fund</t>
  </si>
  <si>
    <t>AKM-MCP</t>
  </si>
  <si>
    <t>EXP-MCP-Nsc</t>
  </si>
  <si>
    <t>RUS-MCP</t>
  </si>
  <si>
    <t>RUS-Fund-Nsc</t>
  </si>
  <si>
    <t>RUS-Fund-Isc</t>
  </si>
  <si>
    <t>S&amp;P-C-T&amp;C</t>
  </si>
  <si>
    <t>FCH-C-CC</t>
  </si>
  <si>
    <t>MDS-Bnd-CC-LT-Icur</t>
  </si>
  <si>
    <t>MDS-Bnk-CC-LT-Icur</t>
  </si>
  <si>
    <t>MDS-Bnd-CC-LT-Ncur</t>
  </si>
  <si>
    <t>MDS-Bnk-CC-LT-Ncur</t>
  </si>
  <si>
    <t>MDS-Bnd-CC-ShT-Icur</t>
  </si>
  <si>
    <t>MDS-Bnk-CC-ShT-Icur</t>
  </si>
  <si>
    <t>EXP-DP-Cr&amp;D-LT-Nsc</t>
  </si>
  <si>
    <t>MDS-B-Cr&amp;D-LT-Isc-Icur</t>
  </si>
  <si>
    <t>S&amp;P-I-Cr&amp;D-LT-Isc-Ncur</t>
  </si>
  <si>
    <t>S&amp;P-I-Cr&amp;D-LT-Nsc</t>
  </si>
  <si>
    <t>MDS-B-FS&amp;R</t>
  </si>
  <si>
    <t>S&amp;P-I-Corp</t>
  </si>
  <si>
    <t>MDS-I-Corp-LT-Isc-Icur</t>
  </si>
  <si>
    <t>FCH-I-Dflt-LT-Isc-Icur</t>
  </si>
  <si>
    <t>FCH-I-Indv</t>
  </si>
  <si>
    <t>FCH-I-Supp</t>
  </si>
  <si>
    <t>FCH-I-Dflt-LT-Isc-Ncur</t>
  </si>
  <si>
    <t>S&amp;P-I-Cr&amp;D-ShT-Isc-Icur</t>
  </si>
  <si>
    <t>MDS-I-Cr&amp;D-LT-Isc-Ncur</t>
  </si>
  <si>
    <t>FCH-I-Cr&amp;D-LT-Nsc</t>
  </si>
  <si>
    <t>MDS-I-Cr&amp;D-ShT-Isc-Icur</t>
  </si>
  <si>
    <t>FCH-IN-FS&amp;R-LT-Isc-Icur</t>
  </si>
  <si>
    <t>FCH-IN-FS&amp;R-LT-Isc-Ncur</t>
  </si>
  <si>
    <t>FCH-IN-FS&amp;R-LT-Nsc</t>
  </si>
  <si>
    <t>NRA-DP-Cr&amp;D</t>
  </si>
  <si>
    <t>MDS-IN-FS&amp;R-LT-Isc-Icur</t>
  </si>
  <si>
    <t>MDS-B-Cr&amp;D-ShT-Isc-Icur</t>
  </si>
  <si>
    <t>S&amp;P-IN-FS&amp;R-Isc-Ncur</t>
  </si>
  <si>
    <t>MDS-I-Corp-LT-Isc-Ncur</t>
  </si>
  <si>
    <t>MDS-B-Cr&amp;D-ShT-Isc-Ncur</t>
  </si>
  <si>
    <t>S&amp;P-I-Cr&amp;D-LT-UAsc</t>
  </si>
  <si>
    <t>S&amp;P-I-Cr&amp;D-LT-KZsc</t>
  </si>
  <si>
    <t>MDS-IN-FS&amp;R-LT-Isc-Ncur</t>
  </si>
  <si>
    <t>NRA-LC-Cr&amp;D</t>
  </si>
  <si>
    <t>NRA-DP-FS&amp;R</t>
  </si>
  <si>
    <t>MDS-I-Corp-LT-UAsc</t>
  </si>
  <si>
    <t>NRA-NPF-FS&amp;R</t>
  </si>
  <si>
    <t>MDS-NoteS-Isc-Icur</t>
  </si>
  <si>
    <t>RUS-mkF-Cr&amp;D-Nsc</t>
  </si>
  <si>
    <t>EXP-B-Cr&amp;D-Nsc</t>
  </si>
  <si>
    <t>EXP-IN-FS&amp;R-Nsc</t>
  </si>
  <si>
    <t>NRA-I-Cr&amp;D-Nsc</t>
  </si>
  <si>
    <t>RUS-B-Cr&amp;D-Isc</t>
  </si>
  <si>
    <t>NRA-B-Cr&amp;D-Nsc</t>
  </si>
  <si>
    <t>RUS-I-Cr&amp;D-Isc</t>
  </si>
  <si>
    <t>FCH-I-Cr&amp;D-ShT-KZsc</t>
  </si>
  <si>
    <t>NRA-IN-FS&amp;R</t>
  </si>
  <si>
    <t>NRA-AM-FS&amp;R</t>
  </si>
  <si>
    <t>NRA-IC-FS&amp;R</t>
  </si>
  <si>
    <t>EXP-IC-FS&amp;R-Nsc</t>
  </si>
  <si>
    <t>EXP-AM-R&amp;QS-Nsc</t>
  </si>
  <si>
    <t>RUS-I-Cr&amp;D-Nsc</t>
  </si>
  <si>
    <t>RUS-B-Cr&amp;D-Nsc</t>
  </si>
  <si>
    <t>MDS-I-Dflt-Isc</t>
  </si>
  <si>
    <t>MDS-I-Corp-LT-Kzsc</t>
  </si>
  <si>
    <t>MDS-I-Corp-LT-Isc</t>
  </si>
  <si>
    <t>AKM-I-Cr&amp;D</t>
  </si>
  <si>
    <t>AKM-DP-Cr&amp;D</t>
  </si>
  <si>
    <t>AKM-AM-Cr&amp;D</t>
  </si>
  <si>
    <t>AKM-R-Cr&amp;D</t>
  </si>
  <si>
    <t>RUS-NPF-FS&amp;R-Nsc</t>
  </si>
  <si>
    <t>RUS-NPF-FS&amp;R-Isc</t>
  </si>
  <si>
    <t>NRA-RG-FS&amp;R</t>
  </si>
  <si>
    <t>AKM-mkF-FS&amp;R</t>
  </si>
  <si>
    <t>MDS-I-Cr&amp;D</t>
  </si>
  <si>
    <t>RIA-B-Cr&amp;D</t>
  </si>
  <si>
    <t>RIA-IC-FS&amp;R</t>
  </si>
  <si>
    <t>RIA-R-Cr&amp;D</t>
  </si>
  <si>
    <t>AMB-I-FS&amp;R-LT-Isc</t>
  </si>
  <si>
    <t>A.M. Best Company</t>
  </si>
  <si>
    <t>AMB-I-Cr&amp;D-LT</t>
  </si>
  <si>
    <t>MDS-NoteS-Isc-Ncur</t>
  </si>
  <si>
    <t>FCH-I-SuppF</t>
  </si>
  <si>
    <t>MDS-IN-FS&amp;R-LT-Isc</t>
  </si>
  <si>
    <t>EXP-mkF-Cr&amp;D-Nsc</t>
  </si>
  <si>
    <t>JCR-I-Cr&amp;D-ShT-Isc-Ncur</t>
  </si>
  <si>
    <t>JCR</t>
  </si>
  <si>
    <t>NRA-AM-R&amp;QS-Nsc</t>
  </si>
  <si>
    <t>EXP-Note-S-Nsc</t>
  </si>
  <si>
    <t>MDS-Note-BNP-ShT-Isc-Ncur</t>
  </si>
  <si>
    <t>MDS-B-CDP-ShT-Isc-Ncur</t>
  </si>
  <si>
    <t>MDS-B-CDP-Isc-Icur</t>
  </si>
  <si>
    <t>MDS-B-CDP-Isc-Ncur</t>
  </si>
  <si>
    <t>MDS-Prnc-Shelf-Isc-Ncur</t>
  </si>
  <si>
    <t>MDS-Prnc-Isc-Icur</t>
  </si>
  <si>
    <t>MDS-Prnc-MTN-Isc-Icur</t>
  </si>
  <si>
    <t>MDS-Prnc-MTN-Isc-Ncur</t>
  </si>
  <si>
    <t>MDS-Prnc-Isc-Ncur</t>
  </si>
  <si>
    <t>NRA-C-Cr&amp;D-Nsc</t>
  </si>
  <si>
    <t>NRA-DP-R&amp;QS-Nsc</t>
  </si>
  <si>
    <t>NRA-ESG-Nsc</t>
  </si>
  <si>
    <t>EXP-INL-FS&amp;R-Isc</t>
  </si>
  <si>
    <t>AKRA-Bnd-I-Nsc</t>
  </si>
  <si>
    <t>AKM-Bnd</t>
  </si>
  <si>
    <t>MIRA-I-Cr&amp;D-LT-Nsc</t>
  </si>
  <si>
    <t>EXP-C-Cr&amp;D-BYsc</t>
  </si>
  <si>
    <t>MDS-IN-FS&amp;R-ShT-Isc</t>
  </si>
  <si>
    <t>NCR-Bnd-Nsc</t>
  </si>
  <si>
    <t>MDS-NoteJrSr-Isc-Icur</t>
  </si>
  <si>
    <t>MDS-NoteJrSr-Isc-Ncur</t>
  </si>
  <si>
    <t>MDS-NoteJrSr-MTN-Isc-Icur</t>
  </si>
  <si>
    <t>MDS-NoteJrSr-MTN-Isc-Ncur</t>
  </si>
  <si>
    <t>MDS-NoteJrSb-Isc-Icur</t>
  </si>
  <si>
    <t>MDS-NoteJrSb-Isc-Ncur</t>
  </si>
  <si>
    <t>MDS-NoteJrSb-MTN-Isc-Icur</t>
  </si>
  <si>
    <t>MDS-NoteJrSb-MTN-Isc-Ncur</t>
  </si>
  <si>
    <t>MDS-NoteJrSr-Shelf-Isc-Icur</t>
  </si>
  <si>
    <t>MDS-NoteJrSb-Shelf-Isc-Icur</t>
  </si>
  <si>
    <t>MDS-NoteSrSc-Isc-Icur</t>
  </si>
  <si>
    <t>MDS-NoteSrSc-Isc-Ncur</t>
  </si>
  <si>
    <t>MDS-NoteSrSc-MTN-Isc-Icur</t>
  </si>
  <si>
    <t>MDS-NoteSrSc-MTN-Isc-Ncur</t>
  </si>
  <si>
    <t>MDS-NoteSr-MTN-Isc-Icur</t>
  </si>
  <si>
    <t>MDS-NoteSr-MTN-Isc-Ncur</t>
  </si>
  <si>
    <t>MDS-BndC-Isc-Ncur</t>
  </si>
  <si>
    <t>MDS-NoteSrSr-Isc-Icur</t>
  </si>
  <si>
    <t>MDS-NoteSrSr-Isc-Ncur</t>
  </si>
  <si>
    <t>MDS-NoteSrSr-MTN-Isc-Icur</t>
  </si>
  <si>
    <t>AKM-B-Cr&amp;D</t>
  </si>
  <si>
    <t>AKM-AM-FS&amp;R</t>
  </si>
  <si>
    <t>AKM-MC-FS&amp;R</t>
  </si>
  <si>
    <t>AKM-PF-Cr&amp;D</t>
  </si>
  <si>
    <t>FCH-Bnd-RR</t>
  </si>
  <si>
    <t>S&amp;P-Bnd-RR</t>
  </si>
  <si>
    <t>MDS-Bnd-RR</t>
  </si>
  <si>
    <t>EXP-HC-Cr&amp;D-Nsc</t>
  </si>
  <si>
    <t>DBRS-I-Cr&amp;D-LT-Isc-Ncur</t>
  </si>
  <si>
    <t>DBRS</t>
  </si>
  <si>
    <t>DBRS-I-Cr&amp;D-ShT-Isc-Ncur</t>
  </si>
  <si>
    <t>EXP-Note-Nsc</t>
  </si>
  <si>
    <t>JCR-I-Cr&amp;D-LT-Isc</t>
  </si>
  <si>
    <t>AKRA-I-Cr&amp;D-LT-Isc-Icur</t>
  </si>
  <si>
    <t>AKRA-I-Cr&amp;D-LT-Isc-Ncur</t>
  </si>
  <si>
    <t>AKRA-I-Cr&amp;D-ShT-Isc-Icur</t>
  </si>
  <si>
    <t>AKRA-I-Cr&amp;D-ShT-Isc-Ncur</t>
  </si>
  <si>
    <t>MDS-NoteSrSr-MTN-Isc-Ncur</t>
  </si>
  <si>
    <t>MDS-NoteSr-Shelf-Isc-Icur</t>
  </si>
  <si>
    <t>MDS-NoteSr-Shelf-Isc-Ncur</t>
  </si>
  <si>
    <t>MDS-NoteSr-BNP-Isc-Ncur</t>
  </si>
  <si>
    <t>MDS-NoteSb-MTN-Isc-Icur</t>
  </si>
  <si>
    <t>MDS-NoteSb-MTN-Isc-Ncur</t>
  </si>
  <si>
    <t>MDS-NoteSb-Shelf-Isc-Icur</t>
  </si>
  <si>
    <t>MDS-NoteSb-Shelf-Isc-Ncur</t>
  </si>
  <si>
    <t>MDS-NoteSb-BNP-Isc-Ncur</t>
  </si>
  <si>
    <t>EXP-R-ESG-Nsc</t>
  </si>
  <si>
    <t>MDS-IN-FS&amp;R-ShT-Isc-Icur</t>
  </si>
  <si>
    <t>DGN-Bnd-LT-Isc-Ncur</t>
  </si>
  <si>
    <t>Dagong</t>
  </si>
  <si>
    <t>DGN-Bnd-LT-Isc-Icur</t>
  </si>
  <si>
    <t>DGN-Bnd-ShT-Isc-Icur</t>
  </si>
  <si>
    <t>DGN-Bnd-ShT-Isc-Ncur</t>
  </si>
  <si>
    <t>DBRS-I-Cr&amp;D-LT-Isc-Icur</t>
  </si>
  <si>
    <t>DBRS-I-Cr&amp;D-ShT-Isc-Icur</t>
  </si>
  <si>
    <t>DBRS-Note-LT-Isc</t>
  </si>
  <si>
    <t>DBRS-NoteS-LT-Isc</t>
  </si>
  <si>
    <t>JCR-I-Cr&amp;D-ShT-Isc-Icur</t>
  </si>
  <si>
    <t>JCR-Note-LT-Isc-Icur</t>
  </si>
  <si>
    <t>JCR-Note-ShT-Isc-Icur</t>
  </si>
  <si>
    <t>JCR-I-Cr&amp;D-LT-Isc-Icur</t>
  </si>
  <si>
    <t>JCR-I-Cr&amp;D-LT-Isc-Ncur</t>
  </si>
  <si>
    <t>NRA-NPF-R&amp;QS-Nsc</t>
  </si>
  <si>
    <t>NRA-IN-R&amp;QS-Nsc</t>
  </si>
  <si>
    <t>AKRA-I-SCA-LT-Isc</t>
  </si>
  <si>
    <t>AKRA-I-Cr&amp;D-LT-Isc</t>
  </si>
  <si>
    <t>MDS-I-SCAA</t>
  </si>
  <si>
    <t>MDS-Other-ShT-Isc-Icur-b</t>
  </si>
  <si>
    <t>MDS-Other-ShT-Isc-Ncur-b</t>
  </si>
  <si>
    <t>MDS-Other-ShT-Isc-Icur</t>
  </si>
  <si>
    <t>MDS-Other-ShT-Isc-Ncur</t>
  </si>
  <si>
    <t>NRA-Funds-Ncr</t>
  </si>
  <si>
    <t>AKRA-R-ESG-Nsc</t>
  </si>
  <si>
    <t>S&amp;P-I-Cr&amp;D-LT-Isc-Icur</t>
  </si>
  <si>
    <t>AKM-IN-FS&amp;R</t>
  </si>
  <si>
    <t>MDS-Note-Isc-Ncur</t>
  </si>
  <si>
    <t>DBRS-B-Cr&amp;D-LT-Isc-Icur</t>
  </si>
  <si>
    <t>DBRS-B-Cr&amp;D-ShT-Isc-Icur</t>
  </si>
  <si>
    <t>DBRS-Note-ShT-Isc</t>
  </si>
  <si>
    <t>MDS-Cp-RA-LT-Icur</t>
  </si>
  <si>
    <t>MDS-Cp-RA-LT-Ncur</t>
  </si>
  <si>
    <t>MDS-Cp-RA-ST-Icur</t>
  </si>
  <si>
    <t>MDS-Cp-RA-ST-Ncur</t>
  </si>
  <si>
    <t>S&amp;P-Cp-RA-LT-Icur</t>
  </si>
  <si>
    <t>S&amp;P-Cp-RA-LT-Ncur</t>
  </si>
  <si>
    <t>S&amp;P-Cp-RA-ST-Icur</t>
  </si>
  <si>
    <t>S&amp;P-Cp-RA-ST-Ncur</t>
  </si>
  <si>
    <t>NCR-C-Cr&amp;D-LT-Nsc</t>
  </si>
  <si>
    <t>NCR-I-SCA-LT-Nsc</t>
  </si>
  <si>
    <t>NRA-IС-R&amp;QS-Nsc</t>
  </si>
  <si>
    <t>S&amp;P-IN-FS&amp;R-Isc-Icur</t>
  </si>
  <si>
    <t>EXP-Bnd-Sf-Nsc</t>
  </si>
  <si>
    <t>AKRA-Bnd-Isc</t>
  </si>
  <si>
    <t>MDS-Cp-RA-LT-Icur-b</t>
  </si>
  <si>
    <t>MDS-Cp-RA-LT-Ncur-b</t>
  </si>
  <si>
    <t>MDS-Cp-RA-ST-Icur-b</t>
  </si>
  <si>
    <t>MDS-Cp-RA-ST-Ncur-b</t>
  </si>
  <si>
    <t>MDS-I-Cr&amp;D-ShT-Isc-Ncur-b</t>
  </si>
  <si>
    <t>MDS-Cp-RA-LT-b</t>
  </si>
  <si>
    <t>MDS-Cp-RA-ST-b</t>
  </si>
  <si>
    <t>MDS-I-Cr&amp;D-ShT-Isc</t>
  </si>
  <si>
    <t>EXP-PF-Cr&amp;D-Nsc</t>
  </si>
  <si>
    <t>AKRA-Bnd-Nsc</t>
  </si>
  <si>
    <t>AKRA-BndG-Nsc</t>
  </si>
  <si>
    <t>AKRA-BndS-Nsc</t>
  </si>
  <si>
    <t>NRA-DP-FS&amp;R-LT-Nsc</t>
  </si>
  <si>
    <t>NRA-NPF-FS&amp;R-LT-Nsc</t>
  </si>
  <si>
    <t>NRA-RG-R&amp;QS-LT-Nsc</t>
  </si>
  <si>
    <t>NRA-AM-R&amp;QS-LT-Nsc</t>
  </si>
  <si>
    <t>NRA-NPF-R&amp;QS-LT-Nsc</t>
  </si>
  <si>
    <t>NRA-IN-R&amp;QS-LT-Nsc</t>
  </si>
  <si>
    <t>NRA-IС-R&amp;QS-LT-Nsc</t>
  </si>
  <si>
    <t>NRA-Bnd-Ncr</t>
  </si>
  <si>
    <t>EXP-mkF-Cr&amp;D-KZsc</t>
  </si>
  <si>
    <t>EXP-B-Cr&amp;D-BYsc</t>
  </si>
  <si>
    <t>MDS-U-Cr&amp;D-LT-Isc</t>
  </si>
  <si>
    <t>NCR-R-ESG-Nsc</t>
  </si>
  <si>
    <t>NRA-LC-Cr&amp;D-Nsc</t>
  </si>
  <si>
    <t>MDS-BndJr-RR</t>
  </si>
  <si>
    <t>NCR-B-Cr&amp;D-LT-Nsc</t>
  </si>
  <si>
    <t>NCR-LC-Cr&amp;D-LT-Nsc</t>
  </si>
  <si>
    <t>NCR-IN-Cr&amp;D-LT-Nsc</t>
  </si>
  <si>
    <t>NCR-G-Cr&amp;D-LT-Nsc</t>
  </si>
  <si>
    <t>FCH-Bnd-Isc</t>
  </si>
  <si>
    <t>FCH-Bnd-UAsc</t>
  </si>
  <si>
    <t>S&amp;P-Bnd-UAsc</t>
  </si>
  <si>
    <t>MDS-B-Cr&amp;D-LT-Isc-Icur-b</t>
  </si>
  <si>
    <t>MDS-B-Cr&amp;D-ShT-Isc-Icur-b</t>
  </si>
  <si>
    <t>EXP-INL-FS&amp;R-Nsc</t>
  </si>
  <si>
    <t>NRA-mkF-FS&amp;R</t>
  </si>
  <si>
    <t>EXP-GC-FS&amp;R-Nsc</t>
  </si>
  <si>
    <t>EXP-NoteS-Nsc</t>
  </si>
  <si>
    <t>MDS-I-Cr&amp;D-LT-Isc-Icur-b</t>
  </si>
  <si>
    <t>MDS-I-Cr&amp;D-ShT-Isc-b</t>
  </si>
  <si>
    <t>AKRA-Bnd-Sf-Nsc</t>
  </si>
  <si>
    <t>MDS-B-Cr&amp;D-LT-Isc-Ncur-b</t>
  </si>
  <si>
    <t>MDS-B-Cr&amp;D-ShT-Isc-Ncur-b</t>
  </si>
  <si>
    <t>MDS-B-Cr&amp;D-LT-Isc</t>
  </si>
  <si>
    <t>MDS-B-Cr&amp;D-ShT-Isc</t>
  </si>
  <si>
    <t>MDS-NoteSr-MTN-Isc-Ncur-b</t>
  </si>
  <si>
    <t>S&amp;P-Bnd-Isc-Icur-p</t>
  </si>
  <si>
    <t>EXP-Funds-Nsc</t>
  </si>
  <si>
    <t>S&amp;P-Bnd-Isc-Ncur-p</t>
  </si>
  <si>
    <t>MDS-B-CDP-ShT-Isc-Icur</t>
  </si>
  <si>
    <t>AMB-Bnd-Isc</t>
  </si>
  <si>
    <t>EXP-Bnd-Isc</t>
  </si>
  <si>
    <t>MDS-Note-Isc</t>
  </si>
  <si>
    <t>NRA-IC-Cr&amp;D</t>
  </si>
  <si>
    <t>DGN-I-Cr&amp;D-ST-Isc-Icur</t>
  </si>
  <si>
    <t>DGN-I-Cr&amp;D-ST-Isc-Ncur</t>
  </si>
  <si>
    <t>FCH-I-Dflt-ShT-Isc-Icur</t>
  </si>
  <si>
    <t>NRA-HС-Cr&amp;D-Isc</t>
  </si>
  <si>
    <t>MDS-Bnd-Isc-Icur</t>
  </si>
  <si>
    <t>EXP-C-Cr&amp;D-KZsc</t>
  </si>
  <si>
    <t>NRA-IN-Cr&amp;D-Nsc</t>
  </si>
  <si>
    <t>MDS-NoteSrSc-Isc-Icur-b</t>
  </si>
  <si>
    <t>MDS-NoteSrSc-Isc-Ncur-b</t>
  </si>
  <si>
    <t>MDS-NoteSrSc-MTN-Isc-Icur-b</t>
  </si>
  <si>
    <t>MDS-NoteSr-MTN-Isc-Icur-b</t>
  </si>
  <si>
    <t>MDS-BndC-Isc-Icur</t>
  </si>
  <si>
    <t>NRA-IC-Cr&amp;D-Nsc</t>
  </si>
  <si>
    <t>AKRA-Funds-ESG-Nsc</t>
  </si>
  <si>
    <t>MDS-NoteJrSb-Shelf-Isc-Ncur</t>
  </si>
  <si>
    <t>Рыночные показатели</t>
  </si>
  <si>
    <t>Средняя цена акций за год</t>
  </si>
  <si>
    <t>Среднее</t>
  </si>
  <si>
    <t>Волатильность</t>
  </si>
  <si>
    <t>Волатильность курса акций за год</t>
  </si>
  <si>
    <t xml:space="preserve"> </t>
  </si>
  <si>
    <t>Порядок действий</t>
  </si>
  <si>
    <t>1. Авторизироваться в cbonds</t>
  </si>
  <si>
    <t>2. Вписать данные в жёлтых ячейках</t>
  </si>
  <si>
    <t>4. Добавить корпоративные события</t>
  </si>
  <si>
    <t>5. Активировать макрос и проверить подписи в графиках</t>
  </si>
  <si>
    <t>β–коэффициент</t>
  </si>
  <si>
    <t>3. Выбрать правильные индексы для ценной бумаги</t>
  </si>
  <si>
    <t>Московская биржа. Основная сессия
Московская биржи. Внебиржевые сделки
СПБ Биржа</t>
  </si>
  <si>
    <t>Индекс МосБиржи информационных технологий</t>
  </si>
  <si>
    <t>Индекс наиболее ликвидных акций российских эмитентов, экономическая деятельность которых относится к сектору информационных технологий</t>
  </si>
  <si>
    <t>Дата регистрации</t>
  </si>
  <si>
    <t>EXP-I-SCA-Nsc</t>
  </si>
  <si>
    <t>ruAA-</t>
  </si>
  <si>
    <t>Установлен</t>
  </si>
  <si>
    <t>EXP-DQ-Nsc</t>
  </si>
  <si>
    <t>A++.gq</t>
  </si>
  <si>
    <t>AKRA-C-Cr&amp;D-LT-Nsc</t>
  </si>
  <si>
    <t>aa+(ru)</t>
  </si>
  <si>
    <t>Повышен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</si>
</sst>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_(* #,##0_);_(* \(#,##0\);_(* &quot;-&quot;_);_(@_)"/>
    <numFmt numFmtId="165" formatCode="_(* #,##0.00_);_(* \(#,##0.00\);_(* &quot;-&quot;??_);_(@_)"/>
    <numFmt numFmtId="166" formatCode="dd\.mm\.yyyy"/>
    <numFmt numFmtId="167" formatCode="0.000"/>
    <numFmt numFmtId="168" formatCode="0.000%"/>
    <numFmt numFmtId="169" formatCode="0.0000%"/>
    <numFmt numFmtId="170" formatCode="d/m/yyyy;@"/>
    <numFmt numFmtId="171" formatCode="#,##0.0"/>
    <numFmt numFmtId="172" formatCode="0.0%"/>
    <numFmt numFmtId="173" formatCode="0.0"/>
    <numFmt numFmtId="174" formatCode="dd/mm/yyyy;@"/>
  </numFmts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name val="Calibri"/>
      <family val="2"/>
      <charset val="204"/>
    </font>
    <font>
      <sz val="11"/>
      <color theme="1"/>
      <name val="Calibri"/>
      <family val="2"/>
      <charset val="204"/>
    </font>
    <font>
      <i/>
      <sz val="11"/>
      <color rgb="FF7F7F7F"/>
      <name val="Verdana"/>
      <family val="2"/>
    </font>
    <font>
      <b/>
      <sz val="11"/>
      <color theme="1"/>
      <name val="Calibri"/>
      <family val="2"/>
      <charset val="204"/>
      <scheme val="minor"/>
    </font>
    <font>
      <b/>
      <sz val="11"/>
      <color theme="4" tint="-0.499984740745262"/>
      <name val="Calibri"/>
      <family val="2"/>
      <charset val="204"/>
    </font>
    <font>
      <b/>
      <sz val="11"/>
      <color indexed="8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b/>
      <sz val="11"/>
      <color rgb="FF0070C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b/>
      <sz val="10"/>
      <color theme="4" tint="-0.499984740745262"/>
      <name val="Calibri"/>
      <family val="2"/>
      <charset val="204"/>
    </font>
    <font>
      <sz val="10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1"/>
      <name val="Arial"/>
      <family val="2"/>
      <charset val="204"/>
    </font>
    <font>
      <sz val="10"/>
      <color rgb="FFFFFFFF"/>
      <name val="Arial"/>
      <family val="2"/>
      <charset val="204"/>
    </font>
    <font>
      <b/>
      <sz val="11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  <xf numFmtId="0" fontId="20" fillId="0" borderId="0">
      <alignment horizontal="left" vertical="center"/>
    </xf>
    <xf numFmtId="0" fontId="21" fillId="6" borderId="0">
      <alignment horizontal="center" vertical="center"/>
    </xf>
    <xf numFmtId="0" fontId="22" fillId="0" borderId="0">
      <alignment horizontal="left" vertical="center"/>
    </xf>
    <xf numFmtId="0" fontId="20" fillId="7" borderId="0">
      <alignment horizontal="left" vertical="center"/>
    </xf>
  </cellStyleXfs>
  <cellXfs count="148">
    <xf numFmtId="0" fontId="0" fillId="0" borderId="0" xfId="0"/>
    <xf numFmtId="0" fontId="2" fillId="0" borderId="0" xfId="0" applyFont="1"/>
    <xf numFmtId="0" fontId="4" fillId="0" borderId="0" xfId="0" applyFont="1"/>
    <xf numFmtId="166" fontId="4" fillId="0" borderId="0" xfId="0" applyNumberFormat="1" applyFont="1" applyAlignment="1">
      <alignment horizontal="center" vertical="center" wrapText="1"/>
    </xf>
    <xf numFmtId="0" fontId="3" fillId="0" borderId="2" xfId="0" applyFont="1" applyBorder="1" applyAlignment="1">
      <alignment vertical="center"/>
    </xf>
    <xf numFmtId="0" fontId="0" fillId="0" borderId="0" xfId="0" applyFo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" fillId="0" borderId="0" xfId="0" applyFont="1" applyBorder="1"/>
    <xf numFmtId="0" fontId="4" fillId="0" borderId="0" xfId="0" applyFont="1" applyFill="1" applyBorder="1" applyAlignment="1">
      <alignment vertical="center"/>
    </xf>
    <xf numFmtId="14" fontId="0" fillId="0" borderId="0" xfId="0" applyNumberFormat="1" applyFont="1" applyAlignment="1">
      <alignment horizontal="center" vertical="center"/>
    </xf>
    <xf numFmtId="0" fontId="3" fillId="0" borderId="1" xfId="2" applyFont="1" applyFill="1" applyBorder="1" applyAlignment="1">
      <alignment horizontal="left" vertical="center" wrapText="1"/>
    </xf>
    <xf numFmtId="0" fontId="2" fillId="0" borderId="0" xfId="0" applyFont="1" applyFill="1"/>
    <xf numFmtId="0" fontId="6" fillId="0" borderId="0" xfId="0" applyFont="1" applyAlignment="1">
      <alignment horizontal="center"/>
    </xf>
    <xf numFmtId="14" fontId="0" fillId="0" borderId="3" xfId="0" applyNumberFormat="1" applyBorder="1" applyAlignment="1">
      <alignment horizontal="center"/>
    </xf>
    <xf numFmtId="0" fontId="3" fillId="0" borderId="2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14" fontId="0" fillId="0" borderId="0" xfId="0" applyNumberFormat="1"/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0" fillId="0" borderId="3" xfId="0" applyNumberFormat="1" applyBorder="1"/>
    <xf numFmtId="0" fontId="0" fillId="0" borderId="3" xfId="0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14" fontId="12" fillId="0" borderId="3" xfId="0" applyNumberFormat="1" applyFont="1" applyBorder="1"/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 wrapText="1"/>
    </xf>
    <xf numFmtId="0" fontId="12" fillId="0" borderId="3" xfId="0" applyNumberFormat="1" applyFont="1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 wrapText="1"/>
    </xf>
    <xf numFmtId="0" fontId="0" fillId="0" borderId="0" xfId="0" applyNumberFormat="1"/>
    <xf numFmtId="14" fontId="11" fillId="0" borderId="3" xfId="0" applyNumberFormat="1" applyFont="1" applyFill="1" applyBorder="1" applyAlignment="1">
      <alignment horizontal="center" vertical="center"/>
    </xf>
    <xf numFmtId="14" fontId="0" fillId="0" borderId="3" xfId="0" applyNumberFormat="1" applyBorder="1"/>
    <xf numFmtId="14" fontId="11" fillId="0" borderId="0" xfId="0" applyNumberFormat="1" applyFont="1" applyAlignment="1">
      <alignment horizontal="center" vertical="center"/>
    </xf>
    <xf numFmtId="0" fontId="0" fillId="5" borderId="3" xfId="0" applyFill="1" applyBorder="1"/>
    <xf numFmtId="0" fontId="13" fillId="5" borderId="3" xfId="0" applyFont="1" applyFill="1" applyBorder="1" applyAlignment="1">
      <alignment horizontal="center" vertical="center"/>
    </xf>
    <xf numFmtId="0" fontId="6" fillId="5" borderId="3" xfId="0" applyNumberFormat="1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2" fontId="12" fillId="0" borderId="3" xfId="0" applyNumberFormat="1" applyFon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2" fontId="0" fillId="0" borderId="0" xfId="0" applyNumberFormat="1"/>
    <xf numFmtId="170" fontId="12" fillId="0" borderId="3" xfId="0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0" fillId="0" borderId="0" xfId="0" applyFill="1" applyBorder="1"/>
    <xf numFmtId="170" fontId="0" fillId="0" borderId="0" xfId="0" applyNumberFormat="1"/>
    <xf numFmtId="170" fontId="6" fillId="5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0" xfId="0" applyFont="1"/>
    <xf numFmtId="0" fontId="6" fillId="0" borderId="3" xfId="0" applyFont="1" applyBorder="1" applyAlignment="1">
      <alignment horizontal="center"/>
    </xf>
    <xf numFmtId="0" fontId="0" fillId="0" borderId="3" xfId="0" applyBorder="1"/>
    <xf numFmtId="10" fontId="0" fillId="0" borderId="3" xfId="0" applyNumberFormat="1" applyBorder="1" applyAlignment="1">
      <alignment horizontal="center"/>
    </xf>
    <xf numFmtId="0" fontId="0" fillId="0" borderId="4" xfId="0" applyNumberFormat="1" applyBorder="1"/>
    <xf numFmtId="0" fontId="14" fillId="0" borderId="0" xfId="0" applyFont="1" applyAlignment="1">
      <alignment horizontal="right"/>
    </xf>
    <xf numFmtId="14" fontId="14" fillId="0" borderId="0" xfId="0" applyNumberFormat="1" applyFont="1" applyAlignment="1">
      <alignment horizontal="right"/>
    </xf>
    <xf numFmtId="0" fontId="14" fillId="0" borderId="2" xfId="0" applyFont="1" applyBorder="1" applyAlignment="1">
      <alignment horizontal="right"/>
    </xf>
    <xf numFmtId="14" fontId="14" fillId="0" borderId="2" xfId="0" applyNumberFormat="1" applyFont="1" applyBorder="1" applyAlignment="1">
      <alignment horizontal="right"/>
    </xf>
    <xf numFmtId="0" fontId="15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6" fillId="0" borderId="1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4" fillId="0" borderId="0" xfId="0" applyFont="1"/>
    <xf numFmtId="0" fontId="14" fillId="0" borderId="0" xfId="0" applyFont="1" applyBorder="1" applyAlignment="1">
      <alignment wrapText="1"/>
    </xf>
    <xf numFmtId="0" fontId="14" fillId="0" borderId="0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166" fontId="14" fillId="0" borderId="0" xfId="0" applyNumberFormat="1" applyFont="1" applyFill="1" applyAlignment="1">
      <alignment horizontal="center"/>
    </xf>
    <xf numFmtId="14" fontId="14" fillId="0" borderId="0" xfId="0" applyNumberFormat="1" applyFont="1"/>
    <xf numFmtId="0" fontId="14" fillId="0" borderId="2" xfId="0" applyFont="1" applyBorder="1"/>
    <xf numFmtId="0" fontId="19" fillId="0" borderId="2" xfId="0" applyFont="1" applyBorder="1" applyAlignment="1">
      <alignment horizontal="center"/>
    </xf>
    <xf numFmtId="166" fontId="14" fillId="0" borderId="0" xfId="0" applyNumberFormat="1" applyFont="1" applyAlignment="1">
      <alignment horizontal="center"/>
    </xf>
    <xf numFmtId="0" fontId="16" fillId="0" borderId="0" xfId="2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8" fillId="0" borderId="2" xfId="2" applyFont="1" applyFill="1" applyBorder="1" applyAlignment="1">
      <alignment horizontal="center" vertical="center" wrapText="1"/>
    </xf>
    <xf numFmtId="3" fontId="18" fillId="0" borderId="0" xfId="2" applyNumberFormat="1" applyFon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 wrapText="1"/>
    </xf>
    <xf numFmtId="168" fontId="14" fillId="0" borderId="0" xfId="0" applyNumberFormat="1" applyFont="1" applyFill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 wrapText="1"/>
    </xf>
    <xf numFmtId="3" fontId="16" fillId="0" borderId="0" xfId="0" applyNumberFormat="1" applyFont="1" applyAlignment="1">
      <alignment vertical="center"/>
    </xf>
    <xf numFmtId="164" fontId="0" fillId="0" borderId="3" xfId="0" applyNumberFormat="1" applyBorder="1" applyAlignment="1">
      <alignment horizontal="center" vertical="center"/>
    </xf>
    <xf numFmtId="171" fontId="14" fillId="0" borderId="0" xfId="0" applyNumberFormat="1" applyFont="1" applyFill="1" applyAlignment="1">
      <alignment horizontal="center"/>
    </xf>
    <xf numFmtId="172" fontId="14" fillId="8" borderId="0" xfId="1" applyNumberFormat="1" applyFont="1" applyFill="1" applyAlignment="1">
      <alignment horizontal="center"/>
    </xf>
    <xf numFmtId="0" fontId="0" fillId="0" borderId="3" xfId="0" applyBorder="1" applyAlignment="1"/>
    <xf numFmtId="0" fontId="6" fillId="9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2" fontId="0" fillId="0" borderId="3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0" fontId="15" fillId="0" borderId="3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8" fillId="2" borderId="3" xfId="0" applyNumberFormat="1" applyFont="1" applyFill="1" applyBorder="1" applyAlignment="1" applyProtection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/>
    </xf>
    <xf numFmtId="173" fontId="15" fillId="0" borderId="0" xfId="1" applyNumberFormat="1" applyFont="1" applyFill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5" borderId="3" xfId="0" applyFont="1" applyFill="1" applyBorder="1" applyAlignment="1">
      <alignment vertical="center"/>
    </xf>
    <xf numFmtId="174" fontId="0" fillId="0" borderId="3" xfId="0" applyNumberFormat="1" applyBorder="1" applyAlignment="1">
      <alignment horizontal="center" vertical="center"/>
    </xf>
    <xf numFmtId="174" fontId="0" fillId="0" borderId="0" xfId="0" applyNumberFormat="1"/>
    <xf numFmtId="0" fontId="4" fillId="0" borderId="0" xfId="0" applyFont="1" applyFill="1" applyAlignment="1">
      <alignment horizontal="left" vertical="center"/>
    </xf>
    <xf numFmtId="14" fontId="0" fillId="10" borderId="3" xfId="0" applyNumberFormat="1" applyFill="1" applyBorder="1"/>
    <xf numFmtId="0" fontId="0" fillId="10" borderId="3" xfId="0" applyFill="1" applyBorder="1"/>
    <xf numFmtId="164" fontId="0" fillId="10" borderId="3" xfId="0" applyNumberFormat="1" applyFill="1" applyBorder="1"/>
    <xf numFmtId="169" fontId="0" fillId="10" borderId="3" xfId="1" applyNumberFormat="1" applyFont="1" applyFill="1" applyBorder="1"/>
    <xf numFmtId="167" fontId="0" fillId="10" borderId="3" xfId="0" applyNumberFormat="1" applyFill="1" applyBorder="1"/>
    <xf numFmtId="2" fontId="18" fillId="0" borderId="0" xfId="2" applyNumberFormat="1" applyFont="1" applyFill="1" applyBorder="1" applyAlignment="1">
      <alignment horizontal="center" vertical="center"/>
    </xf>
    <xf numFmtId="2" fontId="0" fillId="10" borderId="3" xfId="0" applyNumberForma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2" fillId="8" borderId="0" xfId="0" applyFont="1" applyFill="1"/>
    <xf numFmtId="14" fontId="14" fillId="0" borderId="0" xfId="0" applyNumberFormat="1" applyFont="1" applyFill="1" applyAlignment="1">
      <alignment horizontal="right"/>
    </xf>
    <xf numFmtId="0" fontId="14" fillId="0" borderId="0" xfId="0" applyFont="1" applyFill="1" applyBorder="1" applyAlignment="1">
      <alignment horizontal="left" vertical="center" wrapText="1"/>
    </xf>
    <xf numFmtId="2" fontId="15" fillId="8" borderId="0" xfId="1" applyNumberFormat="1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18" fillId="0" borderId="0" xfId="0" applyFont="1" applyFill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49" fontId="18" fillId="0" borderId="2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3" fontId="1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16" fillId="0" borderId="0" xfId="2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0" fontId="3" fillId="0" borderId="0" xfId="0" applyFont="1" applyAlignment="1">
      <alignment horizontal="left" vertical="center"/>
    </xf>
    <xf numFmtId="2" fontId="0" fillId="0" borderId="0" xfId="0" applyNumberFormat="1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wrapText="1"/>
    </xf>
  </cellXfs>
  <cellStyles count="8">
    <cellStyle name="CbondsStyleHeader" xfId="6"/>
    <cellStyle name="CbondsStyleOne" xfId="4"/>
    <cellStyle name="CbondsStyleThree" xfId="5"/>
    <cellStyle name="CbondsStyleTwo" xfId="7"/>
    <cellStyle name="Обычный" xfId="0" builtinId="0"/>
    <cellStyle name="Обычный 2" xfId="3"/>
    <cellStyle name="Пояснение" xfId="2" builtinId="53"/>
    <cellStyle name="Процентный" xfId="1" builtinId="5"/>
  </cellStyles>
  <dxfs count="9">
    <dxf>
      <font>
        <b/>
        <i val="0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F9E7"/>
      <color rgb="FFFFFBEF"/>
      <color rgb="FFFFF6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b="0">
                <a:solidFill>
                  <a:sysClr val="windowText" lastClr="000000"/>
                </a:solidFill>
              </a:rPr>
              <a:t>Динамика</a:t>
            </a:r>
            <a:r>
              <a:rPr lang="ru-RU" b="0" baseline="0">
                <a:solidFill>
                  <a:sysClr val="windowText" lastClr="000000"/>
                </a:solidFill>
              </a:rPr>
              <a:t> цен</a:t>
            </a:r>
            <a:endParaRPr lang="en-US" b="0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Calculation!$G$1</c:f>
              <c:strCache>
                <c:ptCount val="1"/>
                <c:pt idx="0">
                  <c:v>Динамика рыночной цены компании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Calculation!$E$2:$E$437</c:f>
              <c:numCache>
                <c:formatCode>m/d/yyyy</c:formatCode>
                <c:ptCount val="436"/>
                <c:pt idx="0">
                  <c:v>46023</c:v>
                </c:pt>
                <c:pt idx="1">
                  <c:v>46022</c:v>
                </c:pt>
                <c:pt idx="2">
                  <c:v>46021</c:v>
                </c:pt>
                <c:pt idx="3">
                  <c:v>46020</c:v>
                </c:pt>
                <c:pt idx="4">
                  <c:v>46019</c:v>
                </c:pt>
                <c:pt idx="5">
                  <c:v>46018</c:v>
                </c:pt>
                <c:pt idx="6">
                  <c:v>46017</c:v>
                </c:pt>
                <c:pt idx="7">
                  <c:v>46016</c:v>
                </c:pt>
                <c:pt idx="8">
                  <c:v>46015</c:v>
                </c:pt>
                <c:pt idx="9">
                  <c:v>46014</c:v>
                </c:pt>
                <c:pt idx="10">
                  <c:v>46013</c:v>
                </c:pt>
                <c:pt idx="11">
                  <c:v>46012</c:v>
                </c:pt>
                <c:pt idx="12">
                  <c:v>46011</c:v>
                </c:pt>
                <c:pt idx="13">
                  <c:v>46010</c:v>
                </c:pt>
                <c:pt idx="14">
                  <c:v>46009</c:v>
                </c:pt>
                <c:pt idx="15">
                  <c:v>46008</c:v>
                </c:pt>
                <c:pt idx="16">
                  <c:v>46007</c:v>
                </c:pt>
                <c:pt idx="17">
                  <c:v>46006</c:v>
                </c:pt>
                <c:pt idx="18">
                  <c:v>46005</c:v>
                </c:pt>
                <c:pt idx="19">
                  <c:v>46004</c:v>
                </c:pt>
                <c:pt idx="20">
                  <c:v>46003</c:v>
                </c:pt>
                <c:pt idx="21">
                  <c:v>46002</c:v>
                </c:pt>
                <c:pt idx="22">
                  <c:v>46001</c:v>
                </c:pt>
                <c:pt idx="23">
                  <c:v>46000</c:v>
                </c:pt>
                <c:pt idx="24">
                  <c:v>45999</c:v>
                </c:pt>
                <c:pt idx="25">
                  <c:v>45998</c:v>
                </c:pt>
                <c:pt idx="26">
                  <c:v>45997</c:v>
                </c:pt>
                <c:pt idx="27">
                  <c:v>45996</c:v>
                </c:pt>
                <c:pt idx="28">
                  <c:v>45995</c:v>
                </c:pt>
                <c:pt idx="29">
                  <c:v>45994</c:v>
                </c:pt>
                <c:pt idx="30">
                  <c:v>45993</c:v>
                </c:pt>
                <c:pt idx="31">
                  <c:v>45992</c:v>
                </c:pt>
                <c:pt idx="32">
                  <c:v>45991</c:v>
                </c:pt>
                <c:pt idx="33">
                  <c:v>45990</c:v>
                </c:pt>
                <c:pt idx="34">
                  <c:v>45989</c:v>
                </c:pt>
                <c:pt idx="35">
                  <c:v>45988</c:v>
                </c:pt>
                <c:pt idx="36">
                  <c:v>45987</c:v>
                </c:pt>
                <c:pt idx="37">
                  <c:v>45986</c:v>
                </c:pt>
                <c:pt idx="38">
                  <c:v>45985</c:v>
                </c:pt>
                <c:pt idx="39">
                  <c:v>45984</c:v>
                </c:pt>
                <c:pt idx="40">
                  <c:v>45983</c:v>
                </c:pt>
                <c:pt idx="41">
                  <c:v>45982</c:v>
                </c:pt>
                <c:pt idx="42">
                  <c:v>45981</c:v>
                </c:pt>
                <c:pt idx="43">
                  <c:v>45980</c:v>
                </c:pt>
                <c:pt idx="44">
                  <c:v>45979</c:v>
                </c:pt>
                <c:pt idx="45">
                  <c:v>45978</c:v>
                </c:pt>
                <c:pt idx="46">
                  <c:v>45977</c:v>
                </c:pt>
                <c:pt idx="47">
                  <c:v>45976</c:v>
                </c:pt>
                <c:pt idx="48">
                  <c:v>45975</c:v>
                </c:pt>
                <c:pt idx="49">
                  <c:v>45974</c:v>
                </c:pt>
                <c:pt idx="50">
                  <c:v>45973</c:v>
                </c:pt>
                <c:pt idx="51">
                  <c:v>45972</c:v>
                </c:pt>
                <c:pt idx="52">
                  <c:v>45971</c:v>
                </c:pt>
                <c:pt idx="53">
                  <c:v>45970</c:v>
                </c:pt>
                <c:pt idx="54">
                  <c:v>45969</c:v>
                </c:pt>
                <c:pt idx="55">
                  <c:v>45968</c:v>
                </c:pt>
                <c:pt idx="56">
                  <c:v>45967</c:v>
                </c:pt>
                <c:pt idx="57">
                  <c:v>45966</c:v>
                </c:pt>
                <c:pt idx="58">
                  <c:v>45965</c:v>
                </c:pt>
                <c:pt idx="59">
                  <c:v>45964</c:v>
                </c:pt>
                <c:pt idx="60">
                  <c:v>45963</c:v>
                </c:pt>
                <c:pt idx="61">
                  <c:v>45962</c:v>
                </c:pt>
                <c:pt idx="62">
                  <c:v>45961</c:v>
                </c:pt>
                <c:pt idx="63">
                  <c:v>45960</c:v>
                </c:pt>
                <c:pt idx="64">
                  <c:v>45959</c:v>
                </c:pt>
                <c:pt idx="65">
                  <c:v>45958</c:v>
                </c:pt>
                <c:pt idx="66">
                  <c:v>45957</c:v>
                </c:pt>
                <c:pt idx="67">
                  <c:v>45956</c:v>
                </c:pt>
                <c:pt idx="68">
                  <c:v>45955</c:v>
                </c:pt>
                <c:pt idx="69">
                  <c:v>45954</c:v>
                </c:pt>
                <c:pt idx="70">
                  <c:v>45953</c:v>
                </c:pt>
                <c:pt idx="71">
                  <c:v>45952</c:v>
                </c:pt>
                <c:pt idx="72">
                  <c:v>45951</c:v>
                </c:pt>
                <c:pt idx="73">
                  <c:v>45950</c:v>
                </c:pt>
                <c:pt idx="74">
                  <c:v>45949</c:v>
                </c:pt>
                <c:pt idx="75">
                  <c:v>45948</c:v>
                </c:pt>
                <c:pt idx="76">
                  <c:v>45947</c:v>
                </c:pt>
                <c:pt idx="77">
                  <c:v>45946</c:v>
                </c:pt>
                <c:pt idx="78">
                  <c:v>45945</c:v>
                </c:pt>
                <c:pt idx="79">
                  <c:v>45944</c:v>
                </c:pt>
                <c:pt idx="80">
                  <c:v>45943</c:v>
                </c:pt>
                <c:pt idx="81">
                  <c:v>45942</c:v>
                </c:pt>
                <c:pt idx="82">
                  <c:v>45941</c:v>
                </c:pt>
                <c:pt idx="83">
                  <c:v>45940</c:v>
                </c:pt>
                <c:pt idx="84">
                  <c:v>45939</c:v>
                </c:pt>
                <c:pt idx="85">
                  <c:v>45938</c:v>
                </c:pt>
                <c:pt idx="86">
                  <c:v>45937</c:v>
                </c:pt>
                <c:pt idx="87">
                  <c:v>45936</c:v>
                </c:pt>
                <c:pt idx="88">
                  <c:v>45935</c:v>
                </c:pt>
                <c:pt idx="89">
                  <c:v>45934</c:v>
                </c:pt>
                <c:pt idx="90">
                  <c:v>45933</c:v>
                </c:pt>
                <c:pt idx="91">
                  <c:v>45932</c:v>
                </c:pt>
                <c:pt idx="92">
                  <c:v>45931</c:v>
                </c:pt>
                <c:pt idx="93">
                  <c:v>45930</c:v>
                </c:pt>
                <c:pt idx="94">
                  <c:v>45929</c:v>
                </c:pt>
                <c:pt idx="95">
                  <c:v>45928</c:v>
                </c:pt>
                <c:pt idx="96">
                  <c:v>45927</c:v>
                </c:pt>
                <c:pt idx="97">
                  <c:v>45926</c:v>
                </c:pt>
                <c:pt idx="98">
                  <c:v>45925</c:v>
                </c:pt>
                <c:pt idx="99">
                  <c:v>45924</c:v>
                </c:pt>
                <c:pt idx="100">
                  <c:v>45923</c:v>
                </c:pt>
                <c:pt idx="101">
                  <c:v>45922</c:v>
                </c:pt>
                <c:pt idx="102">
                  <c:v>45921</c:v>
                </c:pt>
                <c:pt idx="103">
                  <c:v>45920</c:v>
                </c:pt>
                <c:pt idx="104">
                  <c:v>45919</c:v>
                </c:pt>
                <c:pt idx="105">
                  <c:v>45918</c:v>
                </c:pt>
                <c:pt idx="106">
                  <c:v>45917</c:v>
                </c:pt>
                <c:pt idx="107">
                  <c:v>45916</c:v>
                </c:pt>
                <c:pt idx="108">
                  <c:v>45915</c:v>
                </c:pt>
                <c:pt idx="109">
                  <c:v>45914</c:v>
                </c:pt>
                <c:pt idx="110">
                  <c:v>45913</c:v>
                </c:pt>
                <c:pt idx="111">
                  <c:v>45912</c:v>
                </c:pt>
                <c:pt idx="112">
                  <c:v>45911</c:v>
                </c:pt>
                <c:pt idx="113">
                  <c:v>45910</c:v>
                </c:pt>
                <c:pt idx="114">
                  <c:v>45909</c:v>
                </c:pt>
                <c:pt idx="115">
                  <c:v>45908</c:v>
                </c:pt>
                <c:pt idx="116">
                  <c:v>45907</c:v>
                </c:pt>
                <c:pt idx="117">
                  <c:v>45906</c:v>
                </c:pt>
                <c:pt idx="118">
                  <c:v>45905</c:v>
                </c:pt>
                <c:pt idx="119">
                  <c:v>45904</c:v>
                </c:pt>
                <c:pt idx="120">
                  <c:v>45903</c:v>
                </c:pt>
                <c:pt idx="121">
                  <c:v>45902</c:v>
                </c:pt>
                <c:pt idx="122">
                  <c:v>45901</c:v>
                </c:pt>
                <c:pt idx="123">
                  <c:v>45900</c:v>
                </c:pt>
                <c:pt idx="124">
                  <c:v>45899</c:v>
                </c:pt>
                <c:pt idx="125">
                  <c:v>45898</c:v>
                </c:pt>
                <c:pt idx="126">
                  <c:v>45897</c:v>
                </c:pt>
                <c:pt idx="127">
                  <c:v>45896</c:v>
                </c:pt>
                <c:pt idx="128">
                  <c:v>45895</c:v>
                </c:pt>
                <c:pt idx="129">
                  <c:v>45894</c:v>
                </c:pt>
                <c:pt idx="130">
                  <c:v>45893</c:v>
                </c:pt>
                <c:pt idx="131">
                  <c:v>45892</c:v>
                </c:pt>
                <c:pt idx="132">
                  <c:v>45891</c:v>
                </c:pt>
                <c:pt idx="133">
                  <c:v>45890</c:v>
                </c:pt>
                <c:pt idx="134">
                  <c:v>45889</c:v>
                </c:pt>
                <c:pt idx="135">
                  <c:v>45888</c:v>
                </c:pt>
                <c:pt idx="136">
                  <c:v>45887</c:v>
                </c:pt>
                <c:pt idx="137">
                  <c:v>45886</c:v>
                </c:pt>
                <c:pt idx="138">
                  <c:v>45885</c:v>
                </c:pt>
                <c:pt idx="139">
                  <c:v>45884</c:v>
                </c:pt>
                <c:pt idx="140">
                  <c:v>45883</c:v>
                </c:pt>
                <c:pt idx="141">
                  <c:v>45882</c:v>
                </c:pt>
                <c:pt idx="142">
                  <c:v>45881</c:v>
                </c:pt>
                <c:pt idx="143">
                  <c:v>45880</c:v>
                </c:pt>
                <c:pt idx="144">
                  <c:v>45879</c:v>
                </c:pt>
                <c:pt idx="145">
                  <c:v>45878</c:v>
                </c:pt>
                <c:pt idx="146">
                  <c:v>45877</c:v>
                </c:pt>
                <c:pt idx="147">
                  <c:v>45876</c:v>
                </c:pt>
                <c:pt idx="148">
                  <c:v>45875</c:v>
                </c:pt>
                <c:pt idx="149">
                  <c:v>45874</c:v>
                </c:pt>
                <c:pt idx="150">
                  <c:v>45873</c:v>
                </c:pt>
                <c:pt idx="151">
                  <c:v>45872</c:v>
                </c:pt>
                <c:pt idx="152">
                  <c:v>45871</c:v>
                </c:pt>
                <c:pt idx="153">
                  <c:v>45870</c:v>
                </c:pt>
                <c:pt idx="154">
                  <c:v>45869</c:v>
                </c:pt>
                <c:pt idx="155">
                  <c:v>45868</c:v>
                </c:pt>
                <c:pt idx="156">
                  <c:v>45867</c:v>
                </c:pt>
                <c:pt idx="157">
                  <c:v>45866</c:v>
                </c:pt>
                <c:pt idx="158">
                  <c:v>45865</c:v>
                </c:pt>
                <c:pt idx="159">
                  <c:v>45864</c:v>
                </c:pt>
                <c:pt idx="160">
                  <c:v>45863</c:v>
                </c:pt>
                <c:pt idx="161">
                  <c:v>45862</c:v>
                </c:pt>
                <c:pt idx="162">
                  <c:v>45861</c:v>
                </c:pt>
                <c:pt idx="163">
                  <c:v>45860</c:v>
                </c:pt>
                <c:pt idx="164">
                  <c:v>45859</c:v>
                </c:pt>
                <c:pt idx="165">
                  <c:v>45858</c:v>
                </c:pt>
                <c:pt idx="166">
                  <c:v>45857</c:v>
                </c:pt>
                <c:pt idx="167">
                  <c:v>45856</c:v>
                </c:pt>
                <c:pt idx="168">
                  <c:v>45855</c:v>
                </c:pt>
                <c:pt idx="169">
                  <c:v>45854</c:v>
                </c:pt>
                <c:pt idx="170">
                  <c:v>45853</c:v>
                </c:pt>
                <c:pt idx="171">
                  <c:v>45852</c:v>
                </c:pt>
                <c:pt idx="172">
                  <c:v>45851</c:v>
                </c:pt>
                <c:pt idx="173">
                  <c:v>45850</c:v>
                </c:pt>
                <c:pt idx="174">
                  <c:v>45849</c:v>
                </c:pt>
                <c:pt idx="175">
                  <c:v>45848</c:v>
                </c:pt>
                <c:pt idx="176">
                  <c:v>45847</c:v>
                </c:pt>
                <c:pt idx="177">
                  <c:v>45846</c:v>
                </c:pt>
                <c:pt idx="178">
                  <c:v>45845</c:v>
                </c:pt>
                <c:pt idx="179">
                  <c:v>45844</c:v>
                </c:pt>
                <c:pt idx="180">
                  <c:v>45843</c:v>
                </c:pt>
                <c:pt idx="181">
                  <c:v>45842</c:v>
                </c:pt>
                <c:pt idx="182">
                  <c:v>45841</c:v>
                </c:pt>
                <c:pt idx="183">
                  <c:v>45840</c:v>
                </c:pt>
                <c:pt idx="184">
                  <c:v>45839</c:v>
                </c:pt>
                <c:pt idx="185">
                  <c:v>45838</c:v>
                </c:pt>
                <c:pt idx="186">
                  <c:v>45837</c:v>
                </c:pt>
                <c:pt idx="187">
                  <c:v>45836</c:v>
                </c:pt>
                <c:pt idx="188">
                  <c:v>45835</c:v>
                </c:pt>
                <c:pt idx="189">
                  <c:v>45834</c:v>
                </c:pt>
                <c:pt idx="190">
                  <c:v>45833</c:v>
                </c:pt>
                <c:pt idx="191">
                  <c:v>45832</c:v>
                </c:pt>
                <c:pt idx="192">
                  <c:v>45831</c:v>
                </c:pt>
                <c:pt idx="193">
                  <c:v>45830</c:v>
                </c:pt>
                <c:pt idx="194">
                  <c:v>45829</c:v>
                </c:pt>
                <c:pt idx="195">
                  <c:v>45828</c:v>
                </c:pt>
                <c:pt idx="196">
                  <c:v>45827</c:v>
                </c:pt>
                <c:pt idx="197">
                  <c:v>45826</c:v>
                </c:pt>
                <c:pt idx="198">
                  <c:v>45825</c:v>
                </c:pt>
                <c:pt idx="199">
                  <c:v>45824</c:v>
                </c:pt>
                <c:pt idx="200">
                  <c:v>45823</c:v>
                </c:pt>
                <c:pt idx="201">
                  <c:v>45822</c:v>
                </c:pt>
                <c:pt idx="202">
                  <c:v>45821</c:v>
                </c:pt>
                <c:pt idx="203">
                  <c:v>45820</c:v>
                </c:pt>
                <c:pt idx="204">
                  <c:v>45819</c:v>
                </c:pt>
                <c:pt idx="205">
                  <c:v>45818</c:v>
                </c:pt>
                <c:pt idx="206">
                  <c:v>45817</c:v>
                </c:pt>
                <c:pt idx="207">
                  <c:v>45816</c:v>
                </c:pt>
                <c:pt idx="208">
                  <c:v>45815</c:v>
                </c:pt>
                <c:pt idx="209">
                  <c:v>45814</c:v>
                </c:pt>
                <c:pt idx="210">
                  <c:v>45813</c:v>
                </c:pt>
                <c:pt idx="211">
                  <c:v>45812</c:v>
                </c:pt>
                <c:pt idx="212">
                  <c:v>45811</c:v>
                </c:pt>
                <c:pt idx="213">
                  <c:v>45810</c:v>
                </c:pt>
                <c:pt idx="214">
                  <c:v>45809</c:v>
                </c:pt>
                <c:pt idx="215">
                  <c:v>45808</c:v>
                </c:pt>
                <c:pt idx="216">
                  <c:v>45807</c:v>
                </c:pt>
                <c:pt idx="217">
                  <c:v>45806</c:v>
                </c:pt>
                <c:pt idx="218">
                  <c:v>45805</c:v>
                </c:pt>
                <c:pt idx="219">
                  <c:v>45804</c:v>
                </c:pt>
                <c:pt idx="220">
                  <c:v>45803</c:v>
                </c:pt>
                <c:pt idx="221">
                  <c:v>45802</c:v>
                </c:pt>
                <c:pt idx="222">
                  <c:v>45801</c:v>
                </c:pt>
                <c:pt idx="223">
                  <c:v>45800</c:v>
                </c:pt>
                <c:pt idx="224">
                  <c:v>45799</c:v>
                </c:pt>
                <c:pt idx="225">
                  <c:v>45798</c:v>
                </c:pt>
                <c:pt idx="226">
                  <c:v>45797</c:v>
                </c:pt>
                <c:pt idx="227">
                  <c:v>45796</c:v>
                </c:pt>
                <c:pt idx="228">
                  <c:v>45795</c:v>
                </c:pt>
                <c:pt idx="229">
                  <c:v>45794</c:v>
                </c:pt>
                <c:pt idx="230">
                  <c:v>45793</c:v>
                </c:pt>
                <c:pt idx="231">
                  <c:v>45792</c:v>
                </c:pt>
                <c:pt idx="232">
                  <c:v>45791</c:v>
                </c:pt>
                <c:pt idx="233">
                  <c:v>45790</c:v>
                </c:pt>
                <c:pt idx="234">
                  <c:v>45789</c:v>
                </c:pt>
                <c:pt idx="235">
                  <c:v>45788</c:v>
                </c:pt>
                <c:pt idx="236">
                  <c:v>45787</c:v>
                </c:pt>
                <c:pt idx="237">
                  <c:v>45786</c:v>
                </c:pt>
                <c:pt idx="238">
                  <c:v>45785</c:v>
                </c:pt>
                <c:pt idx="239">
                  <c:v>45784</c:v>
                </c:pt>
                <c:pt idx="240">
                  <c:v>45783</c:v>
                </c:pt>
                <c:pt idx="241">
                  <c:v>45782</c:v>
                </c:pt>
                <c:pt idx="242">
                  <c:v>45781</c:v>
                </c:pt>
                <c:pt idx="243">
                  <c:v>45780</c:v>
                </c:pt>
                <c:pt idx="244">
                  <c:v>45779</c:v>
                </c:pt>
                <c:pt idx="245">
                  <c:v>45778</c:v>
                </c:pt>
                <c:pt idx="246">
                  <c:v>45777</c:v>
                </c:pt>
                <c:pt idx="247">
                  <c:v>45776</c:v>
                </c:pt>
                <c:pt idx="248">
                  <c:v>45775</c:v>
                </c:pt>
                <c:pt idx="249">
                  <c:v>45774</c:v>
                </c:pt>
                <c:pt idx="250">
                  <c:v>45773</c:v>
                </c:pt>
                <c:pt idx="251">
                  <c:v>45772</c:v>
                </c:pt>
                <c:pt idx="252">
                  <c:v>45771</c:v>
                </c:pt>
                <c:pt idx="253">
                  <c:v>45770</c:v>
                </c:pt>
                <c:pt idx="254">
                  <c:v>45769</c:v>
                </c:pt>
                <c:pt idx="255">
                  <c:v>45768</c:v>
                </c:pt>
                <c:pt idx="256">
                  <c:v>45767</c:v>
                </c:pt>
                <c:pt idx="257">
                  <c:v>45766</c:v>
                </c:pt>
                <c:pt idx="258">
                  <c:v>45765</c:v>
                </c:pt>
                <c:pt idx="259">
                  <c:v>45764</c:v>
                </c:pt>
                <c:pt idx="260">
                  <c:v>45763</c:v>
                </c:pt>
                <c:pt idx="261">
                  <c:v>45762</c:v>
                </c:pt>
                <c:pt idx="262">
                  <c:v>45761</c:v>
                </c:pt>
                <c:pt idx="263">
                  <c:v>45760</c:v>
                </c:pt>
                <c:pt idx="264">
                  <c:v>45759</c:v>
                </c:pt>
                <c:pt idx="265">
                  <c:v>45758</c:v>
                </c:pt>
                <c:pt idx="266">
                  <c:v>45757</c:v>
                </c:pt>
                <c:pt idx="267">
                  <c:v>45756</c:v>
                </c:pt>
                <c:pt idx="268">
                  <c:v>45755</c:v>
                </c:pt>
                <c:pt idx="269">
                  <c:v>45754</c:v>
                </c:pt>
                <c:pt idx="270">
                  <c:v>45753</c:v>
                </c:pt>
                <c:pt idx="271">
                  <c:v>45752</c:v>
                </c:pt>
                <c:pt idx="272">
                  <c:v>45751</c:v>
                </c:pt>
                <c:pt idx="273">
                  <c:v>45750</c:v>
                </c:pt>
                <c:pt idx="274">
                  <c:v>45749</c:v>
                </c:pt>
                <c:pt idx="275">
                  <c:v>45748</c:v>
                </c:pt>
                <c:pt idx="276">
                  <c:v>45747</c:v>
                </c:pt>
                <c:pt idx="277">
                  <c:v>45746</c:v>
                </c:pt>
                <c:pt idx="278">
                  <c:v>45745</c:v>
                </c:pt>
                <c:pt idx="279">
                  <c:v>45744</c:v>
                </c:pt>
                <c:pt idx="280">
                  <c:v>45743</c:v>
                </c:pt>
                <c:pt idx="281">
                  <c:v>45742</c:v>
                </c:pt>
                <c:pt idx="282">
                  <c:v>45741</c:v>
                </c:pt>
                <c:pt idx="283">
                  <c:v>45740</c:v>
                </c:pt>
                <c:pt idx="284">
                  <c:v>45739</c:v>
                </c:pt>
                <c:pt idx="285">
                  <c:v>45738</c:v>
                </c:pt>
                <c:pt idx="286">
                  <c:v>45737</c:v>
                </c:pt>
                <c:pt idx="287">
                  <c:v>45736</c:v>
                </c:pt>
                <c:pt idx="288">
                  <c:v>45735</c:v>
                </c:pt>
                <c:pt idx="289">
                  <c:v>45734</c:v>
                </c:pt>
                <c:pt idx="290">
                  <c:v>45733</c:v>
                </c:pt>
                <c:pt idx="291">
                  <c:v>45732</c:v>
                </c:pt>
                <c:pt idx="292">
                  <c:v>45731</c:v>
                </c:pt>
                <c:pt idx="293">
                  <c:v>45730</c:v>
                </c:pt>
                <c:pt idx="294">
                  <c:v>45729</c:v>
                </c:pt>
                <c:pt idx="295">
                  <c:v>45728</c:v>
                </c:pt>
                <c:pt idx="296">
                  <c:v>45727</c:v>
                </c:pt>
                <c:pt idx="297">
                  <c:v>45726</c:v>
                </c:pt>
                <c:pt idx="298">
                  <c:v>45725</c:v>
                </c:pt>
                <c:pt idx="299">
                  <c:v>45724</c:v>
                </c:pt>
                <c:pt idx="300">
                  <c:v>45723</c:v>
                </c:pt>
                <c:pt idx="301">
                  <c:v>45722</c:v>
                </c:pt>
                <c:pt idx="302">
                  <c:v>45721</c:v>
                </c:pt>
                <c:pt idx="303">
                  <c:v>45720</c:v>
                </c:pt>
                <c:pt idx="304">
                  <c:v>45719</c:v>
                </c:pt>
                <c:pt idx="305">
                  <c:v>45718</c:v>
                </c:pt>
                <c:pt idx="306">
                  <c:v>45717</c:v>
                </c:pt>
                <c:pt idx="307">
                  <c:v>45716</c:v>
                </c:pt>
                <c:pt idx="308">
                  <c:v>45715</c:v>
                </c:pt>
                <c:pt idx="309">
                  <c:v>45714</c:v>
                </c:pt>
                <c:pt idx="310">
                  <c:v>45713</c:v>
                </c:pt>
                <c:pt idx="311">
                  <c:v>45712</c:v>
                </c:pt>
                <c:pt idx="312">
                  <c:v>45711</c:v>
                </c:pt>
                <c:pt idx="313">
                  <c:v>45710</c:v>
                </c:pt>
                <c:pt idx="314">
                  <c:v>45709</c:v>
                </c:pt>
                <c:pt idx="315">
                  <c:v>45708</c:v>
                </c:pt>
                <c:pt idx="316">
                  <c:v>45707</c:v>
                </c:pt>
                <c:pt idx="317">
                  <c:v>45706</c:v>
                </c:pt>
                <c:pt idx="318">
                  <c:v>45705</c:v>
                </c:pt>
                <c:pt idx="319">
                  <c:v>45704</c:v>
                </c:pt>
                <c:pt idx="320">
                  <c:v>45703</c:v>
                </c:pt>
                <c:pt idx="321">
                  <c:v>45702</c:v>
                </c:pt>
                <c:pt idx="322">
                  <c:v>45701</c:v>
                </c:pt>
                <c:pt idx="323">
                  <c:v>45700</c:v>
                </c:pt>
                <c:pt idx="324">
                  <c:v>45699</c:v>
                </c:pt>
                <c:pt idx="325">
                  <c:v>45698</c:v>
                </c:pt>
                <c:pt idx="326">
                  <c:v>45697</c:v>
                </c:pt>
                <c:pt idx="327">
                  <c:v>45696</c:v>
                </c:pt>
                <c:pt idx="328">
                  <c:v>45695</c:v>
                </c:pt>
                <c:pt idx="329">
                  <c:v>45694</c:v>
                </c:pt>
                <c:pt idx="330">
                  <c:v>45693</c:v>
                </c:pt>
                <c:pt idx="331">
                  <c:v>45692</c:v>
                </c:pt>
                <c:pt idx="332">
                  <c:v>45691</c:v>
                </c:pt>
                <c:pt idx="333">
                  <c:v>45690</c:v>
                </c:pt>
                <c:pt idx="334">
                  <c:v>45689</c:v>
                </c:pt>
                <c:pt idx="335">
                  <c:v>45688</c:v>
                </c:pt>
                <c:pt idx="336">
                  <c:v>45687</c:v>
                </c:pt>
                <c:pt idx="337">
                  <c:v>45686</c:v>
                </c:pt>
                <c:pt idx="338">
                  <c:v>45685</c:v>
                </c:pt>
                <c:pt idx="339">
                  <c:v>45684</c:v>
                </c:pt>
                <c:pt idx="340">
                  <c:v>45683</c:v>
                </c:pt>
                <c:pt idx="341">
                  <c:v>45682</c:v>
                </c:pt>
                <c:pt idx="342">
                  <c:v>45681</c:v>
                </c:pt>
                <c:pt idx="343">
                  <c:v>45680</c:v>
                </c:pt>
                <c:pt idx="344">
                  <c:v>45679</c:v>
                </c:pt>
                <c:pt idx="345">
                  <c:v>45678</c:v>
                </c:pt>
                <c:pt idx="346">
                  <c:v>45677</c:v>
                </c:pt>
                <c:pt idx="347">
                  <c:v>45676</c:v>
                </c:pt>
                <c:pt idx="348">
                  <c:v>45675</c:v>
                </c:pt>
                <c:pt idx="349">
                  <c:v>45674</c:v>
                </c:pt>
                <c:pt idx="350">
                  <c:v>45673</c:v>
                </c:pt>
                <c:pt idx="351">
                  <c:v>45672</c:v>
                </c:pt>
                <c:pt idx="352">
                  <c:v>45671</c:v>
                </c:pt>
                <c:pt idx="353">
                  <c:v>45670</c:v>
                </c:pt>
                <c:pt idx="354">
                  <c:v>45669</c:v>
                </c:pt>
                <c:pt idx="355">
                  <c:v>45668</c:v>
                </c:pt>
                <c:pt idx="356">
                  <c:v>45667</c:v>
                </c:pt>
                <c:pt idx="357">
                  <c:v>45666</c:v>
                </c:pt>
                <c:pt idx="358">
                  <c:v>45665</c:v>
                </c:pt>
                <c:pt idx="359">
                  <c:v>45664</c:v>
                </c:pt>
                <c:pt idx="360">
                  <c:v>45663</c:v>
                </c:pt>
                <c:pt idx="361">
                  <c:v>45662</c:v>
                </c:pt>
                <c:pt idx="362">
                  <c:v>45661</c:v>
                </c:pt>
                <c:pt idx="363">
                  <c:v>45660</c:v>
                </c:pt>
                <c:pt idx="364">
                  <c:v>45659</c:v>
                </c:pt>
                <c:pt idx="365">
                  <c:v>45658</c:v>
                </c:pt>
                <c:pt idx="366">
                  <c:v>45657</c:v>
                </c:pt>
                <c:pt idx="367">
                  <c:v>45656</c:v>
                </c:pt>
                <c:pt idx="368">
                  <c:v>45655</c:v>
                </c:pt>
                <c:pt idx="369">
                  <c:v>45654</c:v>
                </c:pt>
                <c:pt idx="370">
                  <c:v>45653</c:v>
                </c:pt>
                <c:pt idx="371">
                  <c:v>45652</c:v>
                </c:pt>
              </c:numCache>
            </c:numRef>
          </c:cat>
          <c:val>
            <c:numRef>
              <c:f>Calculation!$G$2:$G$437</c:f>
              <c:numCache>
                <c:formatCode>General</c:formatCode>
                <c:ptCount val="436"/>
                <c:pt idx="0">
                  <c:v>125.55</c:v>
                </c:pt>
                <c:pt idx="1">
                  <c:v>125.55</c:v>
                </c:pt>
                <c:pt idx="2">
                  <c:v>125.55</c:v>
                </c:pt>
                <c:pt idx="3">
                  <c:v>127.15</c:v>
                </c:pt>
                <c:pt idx="4">
                  <c:v>126.17</c:v>
                </c:pt>
                <c:pt idx="5">
                  <c:v>126.17</c:v>
                </c:pt>
                <c:pt idx="6">
                  <c:v>126.17</c:v>
                </c:pt>
                <c:pt idx="7">
                  <c:v>124.45</c:v>
                </c:pt>
                <c:pt idx="8">
                  <c:v>125</c:v>
                </c:pt>
                <c:pt idx="9">
                  <c:v>124.75</c:v>
                </c:pt>
                <c:pt idx="10">
                  <c:v>125.72</c:v>
                </c:pt>
                <c:pt idx="11">
                  <c:v>128.38</c:v>
                </c:pt>
                <c:pt idx="12">
                  <c:v>128.38</c:v>
                </c:pt>
                <c:pt idx="13">
                  <c:v>128.38</c:v>
                </c:pt>
                <c:pt idx="14">
                  <c:v>128.82</c:v>
                </c:pt>
                <c:pt idx="15">
                  <c:v>129.15</c:v>
                </c:pt>
                <c:pt idx="16">
                  <c:v>130.15</c:v>
                </c:pt>
                <c:pt idx="17">
                  <c:v>128.36000000000001</c:v>
                </c:pt>
                <c:pt idx="18">
                  <c:v>129.08000000000001</c:v>
                </c:pt>
                <c:pt idx="19">
                  <c:v>129.08000000000001</c:v>
                </c:pt>
                <c:pt idx="20">
                  <c:v>129.08000000000001</c:v>
                </c:pt>
                <c:pt idx="21">
                  <c:v>130.28</c:v>
                </c:pt>
                <c:pt idx="22">
                  <c:v>128.6</c:v>
                </c:pt>
                <c:pt idx="23">
                  <c:v>128.13999999999999</c:v>
                </c:pt>
                <c:pt idx="24">
                  <c:v>128.99</c:v>
                </c:pt>
                <c:pt idx="25">
                  <c:v>127.67</c:v>
                </c:pt>
                <c:pt idx="26">
                  <c:v>127.67</c:v>
                </c:pt>
                <c:pt idx="27">
                  <c:v>127.67</c:v>
                </c:pt>
                <c:pt idx="28">
                  <c:v>125.87</c:v>
                </c:pt>
                <c:pt idx="29">
                  <c:v>124.58</c:v>
                </c:pt>
                <c:pt idx="30">
                  <c:v>127.64</c:v>
                </c:pt>
                <c:pt idx="31">
                  <c:v>128.22999999999999</c:v>
                </c:pt>
                <c:pt idx="32">
                  <c:v>126.09</c:v>
                </c:pt>
                <c:pt idx="33">
                  <c:v>126.09</c:v>
                </c:pt>
                <c:pt idx="34">
                  <c:v>126.09</c:v>
                </c:pt>
                <c:pt idx="35">
                  <c:v>125.2</c:v>
                </c:pt>
                <c:pt idx="36">
                  <c:v>126.91</c:v>
                </c:pt>
                <c:pt idx="37">
                  <c:v>127.17</c:v>
                </c:pt>
                <c:pt idx="38">
                  <c:v>127.12</c:v>
                </c:pt>
                <c:pt idx="39">
                  <c:v>127.09</c:v>
                </c:pt>
                <c:pt idx="40">
                  <c:v>127.09</c:v>
                </c:pt>
                <c:pt idx="41">
                  <c:v>127.09</c:v>
                </c:pt>
                <c:pt idx="42">
                  <c:v>125.85</c:v>
                </c:pt>
                <c:pt idx="43">
                  <c:v>124.4</c:v>
                </c:pt>
                <c:pt idx="44">
                  <c:v>121.17</c:v>
                </c:pt>
                <c:pt idx="45">
                  <c:v>118.55</c:v>
                </c:pt>
                <c:pt idx="46">
                  <c:v>118.53</c:v>
                </c:pt>
                <c:pt idx="47">
                  <c:v>118.53</c:v>
                </c:pt>
                <c:pt idx="48">
                  <c:v>118.53</c:v>
                </c:pt>
                <c:pt idx="49">
                  <c:v>119.31</c:v>
                </c:pt>
                <c:pt idx="50">
                  <c:v>119.9</c:v>
                </c:pt>
                <c:pt idx="51">
                  <c:v>120.51</c:v>
                </c:pt>
                <c:pt idx="52">
                  <c:v>121.12</c:v>
                </c:pt>
                <c:pt idx="53">
                  <c:v>119.79</c:v>
                </c:pt>
                <c:pt idx="54">
                  <c:v>119.79</c:v>
                </c:pt>
                <c:pt idx="55">
                  <c:v>119.79</c:v>
                </c:pt>
                <c:pt idx="56">
                  <c:v>116.76</c:v>
                </c:pt>
                <c:pt idx="57">
                  <c:v>116.79</c:v>
                </c:pt>
                <c:pt idx="58">
                  <c:v>117.43</c:v>
                </c:pt>
                <c:pt idx="59">
                  <c:v>117.43</c:v>
                </c:pt>
                <c:pt idx="60">
                  <c:v>116.3</c:v>
                </c:pt>
                <c:pt idx="61">
                  <c:v>116.3</c:v>
                </c:pt>
                <c:pt idx="62">
                  <c:v>116.39</c:v>
                </c:pt>
                <c:pt idx="63">
                  <c:v>117.29</c:v>
                </c:pt>
                <c:pt idx="64">
                  <c:v>116.57</c:v>
                </c:pt>
                <c:pt idx="65">
                  <c:v>116.37</c:v>
                </c:pt>
                <c:pt idx="66">
                  <c:v>115.8</c:v>
                </c:pt>
                <c:pt idx="67">
                  <c:v>117.37</c:v>
                </c:pt>
                <c:pt idx="68">
                  <c:v>117.37</c:v>
                </c:pt>
                <c:pt idx="69">
                  <c:v>117.37</c:v>
                </c:pt>
                <c:pt idx="70">
                  <c:v>117.03</c:v>
                </c:pt>
                <c:pt idx="71">
                  <c:v>120.07</c:v>
                </c:pt>
                <c:pt idx="72">
                  <c:v>121.39</c:v>
                </c:pt>
                <c:pt idx="73">
                  <c:v>126.5</c:v>
                </c:pt>
                <c:pt idx="74">
                  <c:v>124.16</c:v>
                </c:pt>
                <c:pt idx="75">
                  <c:v>124.16</c:v>
                </c:pt>
                <c:pt idx="76">
                  <c:v>124.16</c:v>
                </c:pt>
                <c:pt idx="77">
                  <c:v>120.14</c:v>
                </c:pt>
                <c:pt idx="78">
                  <c:v>115.84</c:v>
                </c:pt>
                <c:pt idx="79">
                  <c:v>115.29</c:v>
                </c:pt>
                <c:pt idx="80">
                  <c:v>115.99</c:v>
                </c:pt>
                <c:pt idx="81">
                  <c:v>116.41</c:v>
                </c:pt>
                <c:pt idx="82">
                  <c:v>116.41</c:v>
                </c:pt>
                <c:pt idx="83">
                  <c:v>116.41</c:v>
                </c:pt>
                <c:pt idx="84">
                  <c:v>115.14</c:v>
                </c:pt>
                <c:pt idx="85">
                  <c:v>115.8</c:v>
                </c:pt>
                <c:pt idx="86">
                  <c:v>118.97</c:v>
                </c:pt>
                <c:pt idx="87">
                  <c:v>116.68</c:v>
                </c:pt>
                <c:pt idx="88">
                  <c:v>115.94</c:v>
                </c:pt>
                <c:pt idx="89">
                  <c:v>115.94</c:v>
                </c:pt>
                <c:pt idx="90">
                  <c:v>115.94</c:v>
                </c:pt>
                <c:pt idx="91">
                  <c:v>116.45</c:v>
                </c:pt>
                <c:pt idx="92">
                  <c:v>117.17</c:v>
                </c:pt>
                <c:pt idx="93">
                  <c:v>117.33</c:v>
                </c:pt>
                <c:pt idx="94">
                  <c:v>118.62</c:v>
                </c:pt>
                <c:pt idx="95">
                  <c:v>118.66</c:v>
                </c:pt>
                <c:pt idx="96">
                  <c:v>118.66</c:v>
                </c:pt>
                <c:pt idx="97">
                  <c:v>118.66</c:v>
                </c:pt>
                <c:pt idx="98">
                  <c:v>118.16</c:v>
                </c:pt>
                <c:pt idx="99">
                  <c:v>117.86</c:v>
                </c:pt>
                <c:pt idx="100">
                  <c:v>119.32</c:v>
                </c:pt>
                <c:pt idx="101">
                  <c:v>119.33</c:v>
                </c:pt>
                <c:pt idx="102">
                  <c:v>121.99</c:v>
                </c:pt>
                <c:pt idx="103">
                  <c:v>121.99</c:v>
                </c:pt>
                <c:pt idx="104">
                  <c:v>121.99</c:v>
                </c:pt>
                <c:pt idx="105">
                  <c:v>123.14</c:v>
                </c:pt>
                <c:pt idx="106">
                  <c:v>123.41</c:v>
                </c:pt>
                <c:pt idx="107">
                  <c:v>123.27</c:v>
                </c:pt>
                <c:pt idx="108">
                  <c:v>124.68</c:v>
                </c:pt>
                <c:pt idx="109">
                  <c:v>127.3</c:v>
                </c:pt>
                <c:pt idx="110">
                  <c:v>127.3</c:v>
                </c:pt>
                <c:pt idx="111">
                  <c:v>127.3</c:v>
                </c:pt>
                <c:pt idx="112">
                  <c:v>130.01</c:v>
                </c:pt>
                <c:pt idx="113">
                  <c:v>131.52000000000001</c:v>
                </c:pt>
                <c:pt idx="114">
                  <c:v>133.15</c:v>
                </c:pt>
                <c:pt idx="115">
                  <c:v>133.13</c:v>
                </c:pt>
                <c:pt idx="116">
                  <c:v>131.83000000000001</c:v>
                </c:pt>
                <c:pt idx="117">
                  <c:v>131.83000000000001</c:v>
                </c:pt>
                <c:pt idx="118">
                  <c:v>131.83000000000001</c:v>
                </c:pt>
                <c:pt idx="119">
                  <c:v>131.19999999999999</c:v>
                </c:pt>
                <c:pt idx="120">
                  <c:v>131.58000000000001</c:v>
                </c:pt>
                <c:pt idx="121">
                  <c:v>133.06</c:v>
                </c:pt>
                <c:pt idx="122">
                  <c:v>135.79</c:v>
                </c:pt>
                <c:pt idx="123">
                  <c:v>134.55000000000001</c:v>
                </c:pt>
                <c:pt idx="124">
                  <c:v>134.55000000000001</c:v>
                </c:pt>
                <c:pt idx="125">
                  <c:v>134.55000000000001</c:v>
                </c:pt>
                <c:pt idx="126">
                  <c:v>133.91999999999999</c:v>
                </c:pt>
                <c:pt idx="127">
                  <c:v>134.88</c:v>
                </c:pt>
                <c:pt idx="128">
                  <c:v>133.38999999999999</c:v>
                </c:pt>
                <c:pt idx="129">
                  <c:v>131.25</c:v>
                </c:pt>
                <c:pt idx="130">
                  <c:v>131.71</c:v>
                </c:pt>
                <c:pt idx="131">
                  <c:v>131.71</c:v>
                </c:pt>
                <c:pt idx="132">
                  <c:v>131.71</c:v>
                </c:pt>
                <c:pt idx="133">
                  <c:v>132.82</c:v>
                </c:pt>
                <c:pt idx="134">
                  <c:v>136.30000000000001</c:v>
                </c:pt>
                <c:pt idx="135">
                  <c:v>139.19</c:v>
                </c:pt>
                <c:pt idx="136">
                  <c:v>138.38999999999999</c:v>
                </c:pt>
                <c:pt idx="137">
                  <c:v>141.79</c:v>
                </c:pt>
                <c:pt idx="138">
                  <c:v>141.79</c:v>
                </c:pt>
                <c:pt idx="139">
                  <c:v>141.79</c:v>
                </c:pt>
                <c:pt idx="140">
                  <c:v>138.91</c:v>
                </c:pt>
                <c:pt idx="141">
                  <c:v>140.19999999999999</c:v>
                </c:pt>
                <c:pt idx="142">
                  <c:v>139.94999999999999</c:v>
                </c:pt>
                <c:pt idx="143">
                  <c:v>141.69</c:v>
                </c:pt>
                <c:pt idx="144">
                  <c:v>136.69999999999999</c:v>
                </c:pt>
                <c:pt idx="145">
                  <c:v>136.69999999999999</c:v>
                </c:pt>
                <c:pt idx="146">
                  <c:v>136.69999999999999</c:v>
                </c:pt>
                <c:pt idx="147">
                  <c:v>133.85</c:v>
                </c:pt>
                <c:pt idx="148">
                  <c:v>128.58000000000001</c:v>
                </c:pt>
                <c:pt idx="149">
                  <c:v>125.73</c:v>
                </c:pt>
                <c:pt idx="150">
                  <c:v>124.4</c:v>
                </c:pt>
                <c:pt idx="151">
                  <c:v>122.66</c:v>
                </c:pt>
                <c:pt idx="152">
                  <c:v>122.66</c:v>
                </c:pt>
                <c:pt idx="153">
                  <c:v>122.66</c:v>
                </c:pt>
                <c:pt idx="154">
                  <c:v>121.86</c:v>
                </c:pt>
                <c:pt idx="155">
                  <c:v>121.82</c:v>
                </c:pt>
                <c:pt idx="156">
                  <c:v>122.98</c:v>
                </c:pt>
                <c:pt idx="157">
                  <c:v>123.91</c:v>
                </c:pt>
                <c:pt idx="158">
                  <c:v>127.31</c:v>
                </c:pt>
                <c:pt idx="159">
                  <c:v>127.31</c:v>
                </c:pt>
                <c:pt idx="160">
                  <c:v>127.31</c:v>
                </c:pt>
                <c:pt idx="161">
                  <c:v>128.21</c:v>
                </c:pt>
                <c:pt idx="162">
                  <c:v>129.55000000000001</c:v>
                </c:pt>
                <c:pt idx="163">
                  <c:v>128.57</c:v>
                </c:pt>
                <c:pt idx="164">
                  <c:v>128.01</c:v>
                </c:pt>
                <c:pt idx="165">
                  <c:v>124.36</c:v>
                </c:pt>
                <c:pt idx="166">
                  <c:v>124.36</c:v>
                </c:pt>
                <c:pt idx="167">
                  <c:v>124.36</c:v>
                </c:pt>
                <c:pt idx="168">
                  <c:v>122.15</c:v>
                </c:pt>
                <c:pt idx="169">
                  <c:v>122.68</c:v>
                </c:pt>
                <c:pt idx="170">
                  <c:v>121.96</c:v>
                </c:pt>
                <c:pt idx="171">
                  <c:v>118.63</c:v>
                </c:pt>
                <c:pt idx="172">
                  <c:v>117.95</c:v>
                </c:pt>
                <c:pt idx="173">
                  <c:v>117.95</c:v>
                </c:pt>
                <c:pt idx="174">
                  <c:v>117.95</c:v>
                </c:pt>
                <c:pt idx="175">
                  <c:v>120.39</c:v>
                </c:pt>
                <c:pt idx="176">
                  <c:v>120.19</c:v>
                </c:pt>
                <c:pt idx="177">
                  <c:v>123.08</c:v>
                </c:pt>
                <c:pt idx="178">
                  <c:v>125.15</c:v>
                </c:pt>
                <c:pt idx="179">
                  <c:v>127.67</c:v>
                </c:pt>
                <c:pt idx="180">
                  <c:v>127.67</c:v>
                </c:pt>
                <c:pt idx="181">
                  <c:v>127.67</c:v>
                </c:pt>
                <c:pt idx="182">
                  <c:v>128.19</c:v>
                </c:pt>
                <c:pt idx="183">
                  <c:v>127.68</c:v>
                </c:pt>
                <c:pt idx="184">
                  <c:v>129.63</c:v>
                </c:pt>
                <c:pt idx="185">
                  <c:v>128.56</c:v>
                </c:pt>
                <c:pt idx="186">
                  <c:v>126.73</c:v>
                </c:pt>
                <c:pt idx="187">
                  <c:v>126.73</c:v>
                </c:pt>
                <c:pt idx="188">
                  <c:v>126.73</c:v>
                </c:pt>
                <c:pt idx="189">
                  <c:v>126.8</c:v>
                </c:pt>
                <c:pt idx="190">
                  <c:v>125.9</c:v>
                </c:pt>
                <c:pt idx="191">
                  <c:v>124.03</c:v>
                </c:pt>
                <c:pt idx="192">
                  <c:v>124.73</c:v>
                </c:pt>
                <c:pt idx="193">
                  <c:v>125.12</c:v>
                </c:pt>
                <c:pt idx="194">
                  <c:v>125.12</c:v>
                </c:pt>
                <c:pt idx="195">
                  <c:v>125.12</c:v>
                </c:pt>
                <c:pt idx="196">
                  <c:v>126.1</c:v>
                </c:pt>
                <c:pt idx="197">
                  <c:v>126.78</c:v>
                </c:pt>
                <c:pt idx="198">
                  <c:v>125.78</c:v>
                </c:pt>
                <c:pt idx="199">
                  <c:v>124.3</c:v>
                </c:pt>
                <c:pt idx="200">
                  <c:v>123.68</c:v>
                </c:pt>
                <c:pt idx="201">
                  <c:v>123.68</c:v>
                </c:pt>
                <c:pt idx="202">
                  <c:v>123.68</c:v>
                </c:pt>
                <c:pt idx="203">
                  <c:v>122.85</c:v>
                </c:pt>
                <c:pt idx="204">
                  <c:v>122.85</c:v>
                </c:pt>
                <c:pt idx="205">
                  <c:v>122.85</c:v>
                </c:pt>
                <c:pt idx="206">
                  <c:v>124.17</c:v>
                </c:pt>
                <c:pt idx="207">
                  <c:v>128.87</c:v>
                </c:pt>
                <c:pt idx="208">
                  <c:v>128.87</c:v>
                </c:pt>
                <c:pt idx="209">
                  <c:v>128.87</c:v>
                </c:pt>
                <c:pt idx="210">
                  <c:v>129.62</c:v>
                </c:pt>
                <c:pt idx="211">
                  <c:v>130.54</c:v>
                </c:pt>
                <c:pt idx="212">
                  <c:v>130</c:v>
                </c:pt>
                <c:pt idx="213">
                  <c:v>129.31</c:v>
                </c:pt>
                <c:pt idx="214">
                  <c:v>131.04</c:v>
                </c:pt>
                <c:pt idx="215">
                  <c:v>131.04</c:v>
                </c:pt>
                <c:pt idx="216">
                  <c:v>131.04</c:v>
                </c:pt>
                <c:pt idx="217">
                  <c:v>130.94999999999999</c:v>
                </c:pt>
                <c:pt idx="218">
                  <c:v>129.56</c:v>
                </c:pt>
                <c:pt idx="219">
                  <c:v>125.62</c:v>
                </c:pt>
                <c:pt idx="220">
                  <c:v>126.37</c:v>
                </c:pt>
                <c:pt idx="221">
                  <c:v>130.29</c:v>
                </c:pt>
                <c:pt idx="222">
                  <c:v>130.29</c:v>
                </c:pt>
                <c:pt idx="223">
                  <c:v>130.29</c:v>
                </c:pt>
                <c:pt idx="224">
                  <c:v>132.29</c:v>
                </c:pt>
                <c:pt idx="225">
                  <c:v>137.47999999999999</c:v>
                </c:pt>
                <c:pt idx="226">
                  <c:v>137.75</c:v>
                </c:pt>
                <c:pt idx="227">
                  <c:v>141.54</c:v>
                </c:pt>
                <c:pt idx="228">
                  <c:v>137.41</c:v>
                </c:pt>
                <c:pt idx="229">
                  <c:v>137.41</c:v>
                </c:pt>
                <c:pt idx="230">
                  <c:v>137.41</c:v>
                </c:pt>
                <c:pt idx="231">
                  <c:v>140.22999999999999</c:v>
                </c:pt>
                <c:pt idx="232">
                  <c:v>144.88</c:v>
                </c:pt>
                <c:pt idx="233">
                  <c:v>146.09</c:v>
                </c:pt>
                <c:pt idx="234">
                  <c:v>146.69999999999999</c:v>
                </c:pt>
                <c:pt idx="235">
                  <c:v>142.66</c:v>
                </c:pt>
                <c:pt idx="236">
                  <c:v>142.66</c:v>
                </c:pt>
                <c:pt idx="237">
                  <c:v>142.66</c:v>
                </c:pt>
                <c:pt idx="238">
                  <c:v>142.66</c:v>
                </c:pt>
                <c:pt idx="239">
                  <c:v>138.76</c:v>
                </c:pt>
                <c:pt idx="240">
                  <c:v>136.82</c:v>
                </c:pt>
                <c:pt idx="241">
                  <c:v>137.19999999999999</c:v>
                </c:pt>
                <c:pt idx="242">
                  <c:v>144.25</c:v>
                </c:pt>
                <c:pt idx="243">
                  <c:v>144.25</c:v>
                </c:pt>
                <c:pt idx="244">
                  <c:v>144.25</c:v>
                </c:pt>
                <c:pt idx="245">
                  <c:v>150.56</c:v>
                </c:pt>
                <c:pt idx="246">
                  <c:v>150.56</c:v>
                </c:pt>
                <c:pt idx="247">
                  <c:v>151.52000000000001</c:v>
                </c:pt>
                <c:pt idx="248">
                  <c:v>153.22</c:v>
                </c:pt>
                <c:pt idx="249">
                  <c:v>148.32</c:v>
                </c:pt>
                <c:pt idx="250">
                  <c:v>148.32</c:v>
                </c:pt>
                <c:pt idx="251">
                  <c:v>148.32</c:v>
                </c:pt>
                <c:pt idx="252">
                  <c:v>144.93</c:v>
                </c:pt>
                <c:pt idx="253">
                  <c:v>142.08000000000001</c:v>
                </c:pt>
                <c:pt idx="254">
                  <c:v>142.63999999999999</c:v>
                </c:pt>
                <c:pt idx="255">
                  <c:v>137.99</c:v>
                </c:pt>
                <c:pt idx="256">
                  <c:v>134.71</c:v>
                </c:pt>
                <c:pt idx="257">
                  <c:v>134.71</c:v>
                </c:pt>
                <c:pt idx="258">
                  <c:v>134.71</c:v>
                </c:pt>
                <c:pt idx="259">
                  <c:v>134.57</c:v>
                </c:pt>
                <c:pt idx="260">
                  <c:v>131.69</c:v>
                </c:pt>
                <c:pt idx="261">
                  <c:v>131.84</c:v>
                </c:pt>
                <c:pt idx="262">
                  <c:v>134.08000000000001</c:v>
                </c:pt>
                <c:pt idx="263">
                  <c:v>131.31</c:v>
                </c:pt>
                <c:pt idx="264">
                  <c:v>131.31</c:v>
                </c:pt>
                <c:pt idx="265">
                  <c:v>131.31</c:v>
                </c:pt>
                <c:pt idx="266">
                  <c:v>127.56</c:v>
                </c:pt>
                <c:pt idx="267">
                  <c:v>122</c:v>
                </c:pt>
                <c:pt idx="268">
                  <c:v>125.5</c:v>
                </c:pt>
                <c:pt idx="269">
                  <c:v>124.56</c:v>
                </c:pt>
                <c:pt idx="270">
                  <c:v>129.93</c:v>
                </c:pt>
                <c:pt idx="271">
                  <c:v>129.93</c:v>
                </c:pt>
                <c:pt idx="272">
                  <c:v>129.93</c:v>
                </c:pt>
                <c:pt idx="273">
                  <c:v>135.72</c:v>
                </c:pt>
                <c:pt idx="274">
                  <c:v>138.36000000000001</c:v>
                </c:pt>
                <c:pt idx="275">
                  <c:v>141.5</c:v>
                </c:pt>
                <c:pt idx="276">
                  <c:v>144.61000000000001</c:v>
                </c:pt>
                <c:pt idx="277">
                  <c:v>149.80000000000001</c:v>
                </c:pt>
                <c:pt idx="278">
                  <c:v>149.80000000000001</c:v>
                </c:pt>
                <c:pt idx="279">
                  <c:v>149.80000000000001</c:v>
                </c:pt>
                <c:pt idx="280">
                  <c:v>158.07</c:v>
                </c:pt>
                <c:pt idx="281">
                  <c:v>164.15</c:v>
                </c:pt>
                <c:pt idx="282">
                  <c:v>163.21</c:v>
                </c:pt>
                <c:pt idx="283">
                  <c:v>164.96</c:v>
                </c:pt>
                <c:pt idx="284">
                  <c:v>167.37</c:v>
                </c:pt>
                <c:pt idx="285">
                  <c:v>167.37</c:v>
                </c:pt>
                <c:pt idx="286">
                  <c:v>167.37</c:v>
                </c:pt>
                <c:pt idx="287">
                  <c:v>167.27</c:v>
                </c:pt>
                <c:pt idx="288">
                  <c:v>167.72</c:v>
                </c:pt>
                <c:pt idx="289">
                  <c:v>171.83</c:v>
                </c:pt>
                <c:pt idx="290">
                  <c:v>173.42</c:v>
                </c:pt>
                <c:pt idx="291">
                  <c:v>167.95</c:v>
                </c:pt>
                <c:pt idx="292">
                  <c:v>167.95</c:v>
                </c:pt>
                <c:pt idx="293">
                  <c:v>167.95</c:v>
                </c:pt>
                <c:pt idx="294">
                  <c:v>165.95</c:v>
                </c:pt>
                <c:pt idx="295">
                  <c:v>168.86</c:v>
                </c:pt>
                <c:pt idx="296">
                  <c:v>170.57</c:v>
                </c:pt>
                <c:pt idx="297">
                  <c:v>171.63</c:v>
                </c:pt>
                <c:pt idx="298">
                  <c:v>171.67</c:v>
                </c:pt>
                <c:pt idx="299">
                  <c:v>171.67</c:v>
                </c:pt>
                <c:pt idx="300">
                  <c:v>171.67</c:v>
                </c:pt>
                <c:pt idx="301">
                  <c:v>172.73</c:v>
                </c:pt>
                <c:pt idx="302">
                  <c:v>174.09</c:v>
                </c:pt>
                <c:pt idx="303">
                  <c:v>172.14</c:v>
                </c:pt>
                <c:pt idx="304">
                  <c:v>167.26</c:v>
                </c:pt>
                <c:pt idx="305">
                  <c:v>167.42</c:v>
                </c:pt>
                <c:pt idx="306">
                  <c:v>167.42</c:v>
                </c:pt>
                <c:pt idx="307">
                  <c:v>167.42</c:v>
                </c:pt>
                <c:pt idx="308">
                  <c:v>169.26</c:v>
                </c:pt>
                <c:pt idx="309">
                  <c:v>171.2</c:v>
                </c:pt>
                <c:pt idx="310">
                  <c:v>176.77</c:v>
                </c:pt>
                <c:pt idx="311">
                  <c:v>172.45</c:v>
                </c:pt>
                <c:pt idx="312">
                  <c:v>170.61</c:v>
                </c:pt>
                <c:pt idx="313">
                  <c:v>170.61</c:v>
                </c:pt>
                <c:pt idx="314">
                  <c:v>170.61</c:v>
                </c:pt>
                <c:pt idx="315">
                  <c:v>174.2</c:v>
                </c:pt>
                <c:pt idx="316">
                  <c:v>172.63</c:v>
                </c:pt>
                <c:pt idx="317">
                  <c:v>175.51</c:v>
                </c:pt>
                <c:pt idx="318">
                  <c:v>174.51</c:v>
                </c:pt>
                <c:pt idx="319">
                  <c:v>169.1</c:v>
                </c:pt>
                <c:pt idx="320">
                  <c:v>169.1</c:v>
                </c:pt>
                <c:pt idx="321">
                  <c:v>169.1</c:v>
                </c:pt>
                <c:pt idx="322">
                  <c:v>165.15</c:v>
                </c:pt>
                <c:pt idx="323">
                  <c:v>149.41999999999999</c:v>
                </c:pt>
                <c:pt idx="324">
                  <c:v>142.51</c:v>
                </c:pt>
                <c:pt idx="325">
                  <c:v>143.47999999999999</c:v>
                </c:pt>
                <c:pt idx="326">
                  <c:v>142.11000000000001</c:v>
                </c:pt>
                <c:pt idx="327">
                  <c:v>142.11000000000001</c:v>
                </c:pt>
                <c:pt idx="328">
                  <c:v>142.11000000000001</c:v>
                </c:pt>
                <c:pt idx="329">
                  <c:v>141.22999999999999</c:v>
                </c:pt>
                <c:pt idx="330">
                  <c:v>138.32</c:v>
                </c:pt>
                <c:pt idx="331">
                  <c:v>138.26</c:v>
                </c:pt>
                <c:pt idx="332">
                  <c:v>140.35</c:v>
                </c:pt>
                <c:pt idx="333">
                  <c:v>141.94999999999999</c:v>
                </c:pt>
                <c:pt idx="334">
                  <c:v>141.94999999999999</c:v>
                </c:pt>
                <c:pt idx="335">
                  <c:v>141.94999999999999</c:v>
                </c:pt>
                <c:pt idx="336">
                  <c:v>138.96</c:v>
                </c:pt>
                <c:pt idx="337">
                  <c:v>137.27000000000001</c:v>
                </c:pt>
                <c:pt idx="338">
                  <c:v>135.83000000000001</c:v>
                </c:pt>
                <c:pt idx="339">
                  <c:v>136</c:v>
                </c:pt>
                <c:pt idx="340">
                  <c:v>138.25</c:v>
                </c:pt>
                <c:pt idx="341">
                  <c:v>138.25</c:v>
                </c:pt>
                <c:pt idx="342">
                  <c:v>138.25</c:v>
                </c:pt>
                <c:pt idx="343">
                  <c:v>136.66</c:v>
                </c:pt>
                <c:pt idx="344">
                  <c:v>137.75</c:v>
                </c:pt>
                <c:pt idx="345">
                  <c:v>136.91999999999999</c:v>
                </c:pt>
                <c:pt idx="346">
                  <c:v>138.76</c:v>
                </c:pt>
                <c:pt idx="347">
                  <c:v>137.54</c:v>
                </c:pt>
                <c:pt idx="348">
                  <c:v>137.54</c:v>
                </c:pt>
                <c:pt idx="349">
                  <c:v>137.54</c:v>
                </c:pt>
                <c:pt idx="350">
                  <c:v>135.99</c:v>
                </c:pt>
                <c:pt idx="351">
                  <c:v>134</c:v>
                </c:pt>
                <c:pt idx="352">
                  <c:v>133.11000000000001</c:v>
                </c:pt>
                <c:pt idx="353">
                  <c:v>130.26</c:v>
                </c:pt>
                <c:pt idx="354">
                  <c:v>124.81</c:v>
                </c:pt>
                <c:pt idx="355">
                  <c:v>124.81</c:v>
                </c:pt>
                <c:pt idx="356">
                  <c:v>124.81</c:v>
                </c:pt>
                <c:pt idx="357">
                  <c:v>125.92</c:v>
                </c:pt>
                <c:pt idx="358">
                  <c:v>129.30000000000001</c:v>
                </c:pt>
                <c:pt idx="359">
                  <c:v>127.7</c:v>
                </c:pt>
                <c:pt idx="360">
                  <c:v>127.7</c:v>
                </c:pt>
                <c:pt idx="361">
                  <c:v>129.47</c:v>
                </c:pt>
                <c:pt idx="362">
                  <c:v>129.47</c:v>
                </c:pt>
                <c:pt idx="363">
                  <c:v>129.47</c:v>
                </c:pt>
                <c:pt idx="364">
                  <c:v>131.97</c:v>
                </c:pt>
                <c:pt idx="365">
                  <c:v>131.97</c:v>
                </c:pt>
                <c:pt idx="366">
                  <c:v>131.97</c:v>
                </c:pt>
                <c:pt idx="367">
                  <c:v>131.97</c:v>
                </c:pt>
                <c:pt idx="368">
                  <c:v>129.22</c:v>
                </c:pt>
                <c:pt idx="369">
                  <c:v>129.22</c:v>
                </c:pt>
                <c:pt idx="370">
                  <c:v>127.54</c:v>
                </c:pt>
                <c:pt idx="371">
                  <c:v>127.94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3-4119-A305-D8D724ADF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578256"/>
        <c:axId val="554579432"/>
      </c:lineChart>
      <c:dateAx>
        <c:axId val="554578256"/>
        <c:scaling>
          <c:orientation val="minMax"/>
          <c:max val="45962"/>
          <c:min val="45597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4579432"/>
        <c:crosses val="autoZero"/>
        <c:auto val="1"/>
        <c:lblOffset val="100"/>
        <c:baseTimeUnit val="days"/>
      </c:dateAx>
      <c:valAx>
        <c:axId val="554579432"/>
        <c:scaling>
          <c:orientation val="minMax"/>
          <c:max val="19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457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FF9E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b="0">
                <a:solidFill>
                  <a:sysClr val="windowText" lastClr="000000"/>
                </a:solidFill>
              </a:rPr>
              <a:t>Динамика рыночной цены компании</a:t>
            </a:r>
            <a:r>
              <a:rPr lang="en-US" b="0" baseline="0">
                <a:solidFill>
                  <a:sysClr val="windowText" lastClr="000000"/>
                </a:solidFill>
              </a:rPr>
              <a:t> </a:t>
            </a:r>
            <a:r>
              <a:rPr lang="ru-RU" b="0" baseline="0">
                <a:solidFill>
                  <a:sysClr val="windowText" lastClr="000000"/>
                </a:solidFill>
              </a:rPr>
              <a:t>и индексов МосБиржи</a:t>
            </a:r>
            <a:endParaRPr lang="en-US" b="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3285638464167052E-2"/>
          <c:y val="0.13891389864457773"/>
          <c:w val="0.87402898044946598"/>
          <c:h val="0.60021663871439401"/>
        </c:manualLayout>
      </c:layout>
      <c:lineChart>
        <c:grouping val="standard"/>
        <c:varyColors val="0"/>
        <c:ser>
          <c:idx val="1"/>
          <c:order val="1"/>
          <c:tx>
            <c:strRef>
              <c:f>Calculation!$K$1</c:f>
              <c:strCache>
                <c:ptCount val="1"/>
                <c:pt idx="0">
                  <c:v>Индекс МосБиржи голубых фишек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Calculation!$E$2:$E$437</c:f>
              <c:numCache>
                <c:formatCode>m/d/yyyy</c:formatCode>
                <c:ptCount val="436"/>
                <c:pt idx="0">
                  <c:v>46023</c:v>
                </c:pt>
                <c:pt idx="1">
                  <c:v>46022</c:v>
                </c:pt>
                <c:pt idx="2">
                  <c:v>46021</c:v>
                </c:pt>
                <c:pt idx="3">
                  <c:v>46020</c:v>
                </c:pt>
                <c:pt idx="4">
                  <c:v>46019</c:v>
                </c:pt>
                <c:pt idx="5">
                  <c:v>46018</c:v>
                </c:pt>
                <c:pt idx="6">
                  <c:v>46017</c:v>
                </c:pt>
                <c:pt idx="7">
                  <c:v>46016</c:v>
                </c:pt>
                <c:pt idx="8">
                  <c:v>46015</c:v>
                </c:pt>
                <c:pt idx="9">
                  <c:v>46014</c:v>
                </c:pt>
                <c:pt idx="10">
                  <c:v>46013</c:v>
                </c:pt>
                <c:pt idx="11">
                  <c:v>46012</c:v>
                </c:pt>
                <c:pt idx="12">
                  <c:v>46011</c:v>
                </c:pt>
                <c:pt idx="13">
                  <c:v>46010</c:v>
                </c:pt>
                <c:pt idx="14">
                  <c:v>46009</c:v>
                </c:pt>
                <c:pt idx="15">
                  <c:v>46008</c:v>
                </c:pt>
                <c:pt idx="16">
                  <c:v>46007</c:v>
                </c:pt>
                <c:pt idx="17">
                  <c:v>46006</c:v>
                </c:pt>
                <c:pt idx="18">
                  <c:v>46005</c:v>
                </c:pt>
                <c:pt idx="19">
                  <c:v>46004</c:v>
                </c:pt>
                <c:pt idx="20">
                  <c:v>46003</c:v>
                </c:pt>
                <c:pt idx="21">
                  <c:v>46002</c:v>
                </c:pt>
                <c:pt idx="22">
                  <c:v>46001</c:v>
                </c:pt>
                <c:pt idx="23">
                  <c:v>46000</c:v>
                </c:pt>
                <c:pt idx="24">
                  <c:v>45999</c:v>
                </c:pt>
                <c:pt idx="25">
                  <c:v>45998</c:v>
                </c:pt>
                <c:pt idx="26">
                  <c:v>45997</c:v>
                </c:pt>
                <c:pt idx="27">
                  <c:v>45996</c:v>
                </c:pt>
                <c:pt idx="28">
                  <c:v>45995</c:v>
                </c:pt>
                <c:pt idx="29">
                  <c:v>45994</c:v>
                </c:pt>
                <c:pt idx="30">
                  <c:v>45993</c:v>
                </c:pt>
                <c:pt idx="31">
                  <c:v>45992</c:v>
                </c:pt>
                <c:pt idx="32">
                  <c:v>45991</c:v>
                </c:pt>
                <c:pt idx="33">
                  <c:v>45990</c:v>
                </c:pt>
                <c:pt idx="34">
                  <c:v>45989</c:v>
                </c:pt>
                <c:pt idx="35">
                  <c:v>45988</c:v>
                </c:pt>
                <c:pt idx="36">
                  <c:v>45987</c:v>
                </c:pt>
                <c:pt idx="37">
                  <c:v>45986</c:v>
                </c:pt>
                <c:pt idx="38">
                  <c:v>45985</c:v>
                </c:pt>
                <c:pt idx="39">
                  <c:v>45984</c:v>
                </c:pt>
                <c:pt idx="40">
                  <c:v>45983</c:v>
                </c:pt>
                <c:pt idx="41">
                  <c:v>45982</c:v>
                </c:pt>
                <c:pt idx="42">
                  <c:v>45981</c:v>
                </c:pt>
                <c:pt idx="43">
                  <c:v>45980</c:v>
                </c:pt>
                <c:pt idx="44">
                  <c:v>45979</c:v>
                </c:pt>
                <c:pt idx="45">
                  <c:v>45978</c:v>
                </c:pt>
                <c:pt idx="46">
                  <c:v>45977</c:v>
                </c:pt>
                <c:pt idx="47">
                  <c:v>45976</c:v>
                </c:pt>
                <c:pt idx="48">
                  <c:v>45975</c:v>
                </c:pt>
                <c:pt idx="49">
                  <c:v>45974</c:v>
                </c:pt>
                <c:pt idx="50">
                  <c:v>45973</c:v>
                </c:pt>
                <c:pt idx="51">
                  <c:v>45972</c:v>
                </c:pt>
                <c:pt idx="52">
                  <c:v>45971</c:v>
                </c:pt>
                <c:pt idx="53">
                  <c:v>45970</c:v>
                </c:pt>
                <c:pt idx="54">
                  <c:v>45969</c:v>
                </c:pt>
                <c:pt idx="55">
                  <c:v>45968</c:v>
                </c:pt>
                <c:pt idx="56">
                  <c:v>45967</c:v>
                </c:pt>
                <c:pt idx="57">
                  <c:v>45966</c:v>
                </c:pt>
                <c:pt idx="58">
                  <c:v>45965</c:v>
                </c:pt>
                <c:pt idx="59">
                  <c:v>45964</c:v>
                </c:pt>
                <c:pt idx="60">
                  <c:v>45963</c:v>
                </c:pt>
                <c:pt idx="61">
                  <c:v>45962</c:v>
                </c:pt>
                <c:pt idx="62">
                  <c:v>45961</c:v>
                </c:pt>
                <c:pt idx="63">
                  <c:v>45960</c:v>
                </c:pt>
                <c:pt idx="64">
                  <c:v>45959</c:v>
                </c:pt>
                <c:pt idx="65">
                  <c:v>45958</c:v>
                </c:pt>
                <c:pt idx="66">
                  <c:v>45957</c:v>
                </c:pt>
                <c:pt idx="67">
                  <c:v>45956</c:v>
                </c:pt>
                <c:pt idx="68">
                  <c:v>45955</c:v>
                </c:pt>
                <c:pt idx="69">
                  <c:v>45954</c:v>
                </c:pt>
                <c:pt idx="70">
                  <c:v>45953</c:v>
                </c:pt>
                <c:pt idx="71">
                  <c:v>45952</c:v>
                </c:pt>
                <c:pt idx="72">
                  <c:v>45951</c:v>
                </c:pt>
                <c:pt idx="73">
                  <c:v>45950</c:v>
                </c:pt>
                <c:pt idx="74">
                  <c:v>45949</c:v>
                </c:pt>
                <c:pt idx="75">
                  <c:v>45948</c:v>
                </c:pt>
                <c:pt idx="76">
                  <c:v>45947</c:v>
                </c:pt>
                <c:pt idx="77">
                  <c:v>45946</c:v>
                </c:pt>
                <c:pt idx="78">
                  <c:v>45945</c:v>
                </c:pt>
                <c:pt idx="79">
                  <c:v>45944</c:v>
                </c:pt>
                <c:pt idx="80">
                  <c:v>45943</c:v>
                </c:pt>
                <c:pt idx="81">
                  <c:v>45942</c:v>
                </c:pt>
                <c:pt idx="82">
                  <c:v>45941</c:v>
                </c:pt>
                <c:pt idx="83">
                  <c:v>45940</c:v>
                </c:pt>
                <c:pt idx="84">
                  <c:v>45939</c:v>
                </c:pt>
                <c:pt idx="85">
                  <c:v>45938</c:v>
                </c:pt>
                <c:pt idx="86">
                  <c:v>45937</c:v>
                </c:pt>
                <c:pt idx="87">
                  <c:v>45936</c:v>
                </c:pt>
                <c:pt idx="88">
                  <c:v>45935</c:v>
                </c:pt>
                <c:pt idx="89">
                  <c:v>45934</c:v>
                </c:pt>
                <c:pt idx="90">
                  <c:v>45933</c:v>
                </c:pt>
                <c:pt idx="91">
                  <c:v>45932</c:v>
                </c:pt>
                <c:pt idx="92">
                  <c:v>45931</c:v>
                </c:pt>
                <c:pt idx="93">
                  <c:v>45930</c:v>
                </c:pt>
                <c:pt idx="94">
                  <c:v>45929</c:v>
                </c:pt>
                <c:pt idx="95">
                  <c:v>45928</c:v>
                </c:pt>
                <c:pt idx="96">
                  <c:v>45927</c:v>
                </c:pt>
                <c:pt idx="97">
                  <c:v>45926</c:v>
                </c:pt>
                <c:pt idx="98">
                  <c:v>45925</c:v>
                </c:pt>
                <c:pt idx="99">
                  <c:v>45924</c:v>
                </c:pt>
                <c:pt idx="100">
                  <c:v>45923</c:v>
                </c:pt>
                <c:pt idx="101">
                  <c:v>45922</c:v>
                </c:pt>
                <c:pt idx="102">
                  <c:v>45921</c:v>
                </c:pt>
                <c:pt idx="103">
                  <c:v>45920</c:v>
                </c:pt>
                <c:pt idx="104">
                  <c:v>45919</c:v>
                </c:pt>
                <c:pt idx="105">
                  <c:v>45918</c:v>
                </c:pt>
                <c:pt idx="106">
                  <c:v>45917</c:v>
                </c:pt>
                <c:pt idx="107">
                  <c:v>45916</c:v>
                </c:pt>
                <c:pt idx="108">
                  <c:v>45915</c:v>
                </c:pt>
                <c:pt idx="109">
                  <c:v>45914</c:v>
                </c:pt>
                <c:pt idx="110">
                  <c:v>45913</c:v>
                </c:pt>
                <c:pt idx="111">
                  <c:v>45912</c:v>
                </c:pt>
                <c:pt idx="112">
                  <c:v>45911</c:v>
                </c:pt>
                <c:pt idx="113">
                  <c:v>45910</c:v>
                </c:pt>
                <c:pt idx="114">
                  <c:v>45909</c:v>
                </c:pt>
                <c:pt idx="115">
                  <c:v>45908</c:v>
                </c:pt>
                <c:pt idx="116">
                  <c:v>45907</c:v>
                </c:pt>
                <c:pt idx="117">
                  <c:v>45906</c:v>
                </c:pt>
                <c:pt idx="118">
                  <c:v>45905</c:v>
                </c:pt>
                <c:pt idx="119">
                  <c:v>45904</c:v>
                </c:pt>
                <c:pt idx="120">
                  <c:v>45903</c:v>
                </c:pt>
                <c:pt idx="121">
                  <c:v>45902</c:v>
                </c:pt>
                <c:pt idx="122">
                  <c:v>45901</c:v>
                </c:pt>
                <c:pt idx="123">
                  <c:v>45900</c:v>
                </c:pt>
                <c:pt idx="124">
                  <c:v>45899</c:v>
                </c:pt>
                <c:pt idx="125">
                  <c:v>45898</c:v>
                </c:pt>
                <c:pt idx="126">
                  <c:v>45897</c:v>
                </c:pt>
                <c:pt idx="127">
                  <c:v>45896</c:v>
                </c:pt>
                <c:pt idx="128">
                  <c:v>45895</c:v>
                </c:pt>
                <c:pt idx="129">
                  <c:v>45894</c:v>
                </c:pt>
                <c:pt idx="130">
                  <c:v>45893</c:v>
                </c:pt>
                <c:pt idx="131">
                  <c:v>45892</c:v>
                </c:pt>
                <c:pt idx="132">
                  <c:v>45891</c:v>
                </c:pt>
                <c:pt idx="133">
                  <c:v>45890</c:v>
                </c:pt>
                <c:pt idx="134">
                  <c:v>45889</c:v>
                </c:pt>
                <c:pt idx="135">
                  <c:v>45888</c:v>
                </c:pt>
                <c:pt idx="136">
                  <c:v>45887</c:v>
                </c:pt>
                <c:pt idx="137">
                  <c:v>45886</c:v>
                </c:pt>
                <c:pt idx="138">
                  <c:v>45885</c:v>
                </c:pt>
                <c:pt idx="139">
                  <c:v>45884</c:v>
                </c:pt>
                <c:pt idx="140">
                  <c:v>45883</c:v>
                </c:pt>
                <c:pt idx="141">
                  <c:v>45882</c:v>
                </c:pt>
                <c:pt idx="142">
                  <c:v>45881</c:v>
                </c:pt>
                <c:pt idx="143">
                  <c:v>45880</c:v>
                </c:pt>
                <c:pt idx="144">
                  <c:v>45879</c:v>
                </c:pt>
                <c:pt idx="145">
                  <c:v>45878</c:v>
                </c:pt>
                <c:pt idx="146">
                  <c:v>45877</c:v>
                </c:pt>
                <c:pt idx="147">
                  <c:v>45876</c:v>
                </c:pt>
                <c:pt idx="148">
                  <c:v>45875</c:v>
                </c:pt>
                <c:pt idx="149">
                  <c:v>45874</c:v>
                </c:pt>
                <c:pt idx="150">
                  <c:v>45873</c:v>
                </c:pt>
                <c:pt idx="151">
                  <c:v>45872</c:v>
                </c:pt>
                <c:pt idx="152">
                  <c:v>45871</c:v>
                </c:pt>
                <c:pt idx="153">
                  <c:v>45870</c:v>
                </c:pt>
                <c:pt idx="154">
                  <c:v>45869</c:v>
                </c:pt>
                <c:pt idx="155">
                  <c:v>45868</c:v>
                </c:pt>
                <c:pt idx="156">
                  <c:v>45867</c:v>
                </c:pt>
                <c:pt idx="157">
                  <c:v>45866</c:v>
                </c:pt>
                <c:pt idx="158">
                  <c:v>45865</c:v>
                </c:pt>
                <c:pt idx="159">
                  <c:v>45864</c:v>
                </c:pt>
                <c:pt idx="160">
                  <c:v>45863</c:v>
                </c:pt>
                <c:pt idx="161">
                  <c:v>45862</c:v>
                </c:pt>
                <c:pt idx="162">
                  <c:v>45861</c:v>
                </c:pt>
                <c:pt idx="163">
                  <c:v>45860</c:v>
                </c:pt>
                <c:pt idx="164">
                  <c:v>45859</c:v>
                </c:pt>
                <c:pt idx="165">
                  <c:v>45858</c:v>
                </c:pt>
                <c:pt idx="166">
                  <c:v>45857</c:v>
                </c:pt>
                <c:pt idx="167">
                  <c:v>45856</c:v>
                </c:pt>
                <c:pt idx="168">
                  <c:v>45855</c:v>
                </c:pt>
                <c:pt idx="169">
                  <c:v>45854</c:v>
                </c:pt>
                <c:pt idx="170">
                  <c:v>45853</c:v>
                </c:pt>
                <c:pt idx="171">
                  <c:v>45852</c:v>
                </c:pt>
                <c:pt idx="172">
                  <c:v>45851</c:v>
                </c:pt>
                <c:pt idx="173">
                  <c:v>45850</c:v>
                </c:pt>
                <c:pt idx="174">
                  <c:v>45849</c:v>
                </c:pt>
                <c:pt idx="175">
                  <c:v>45848</c:v>
                </c:pt>
                <c:pt idx="176">
                  <c:v>45847</c:v>
                </c:pt>
                <c:pt idx="177">
                  <c:v>45846</c:v>
                </c:pt>
                <c:pt idx="178">
                  <c:v>45845</c:v>
                </c:pt>
                <c:pt idx="179">
                  <c:v>45844</c:v>
                </c:pt>
                <c:pt idx="180">
                  <c:v>45843</c:v>
                </c:pt>
                <c:pt idx="181">
                  <c:v>45842</c:v>
                </c:pt>
                <c:pt idx="182">
                  <c:v>45841</c:v>
                </c:pt>
                <c:pt idx="183">
                  <c:v>45840</c:v>
                </c:pt>
                <c:pt idx="184">
                  <c:v>45839</c:v>
                </c:pt>
                <c:pt idx="185">
                  <c:v>45838</c:v>
                </c:pt>
                <c:pt idx="186">
                  <c:v>45837</c:v>
                </c:pt>
                <c:pt idx="187">
                  <c:v>45836</c:v>
                </c:pt>
                <c:pt idx="188">
                  <c:v>45835</c:v>
                </c:pt>
                <c:pt idx="189">
                  <c:v>45834</c:v>
                </c:pt>
                <c:pt idx="190">
                  <c:v>45833</c:v>
                </c:pt>
                <c:pt idx="191">
                  <c:v>45832</c:v>
                </c:pt>
                <c:pt idx="192">
                  <c:v>45831</c:v>
                </c:pt>
                <c:pt idx="193">
                  <c:v>45830</c:v>
                </c:pt>
                <c:pt idx="194">
                  <c:v>45829</c:v>
                </c:pt>
                <c:pt idx="195">
                  <c:v>45828</c:v>
                </c:pt>
                <c:pt idx="196">
                  <c:v>45827</c:v>
                </c:pt>
                <c:pt idx="197">
                  <c:v>45826</c:v>
                </c:pt>
                <c:pt idx="198">
                  <c:v>45825</c:v>
                </c:pt>
                <c:pt idx="199">
                  <c:v>45824</c:v>
                </c:pt>
                <c:pt idx="200">
                  <c:v>45823</c:v>
                </c:pt>
                <c:pt idx="201">
                  <c:v>45822</c:v>
                </c:pt>
                <c:pt idx="202">
                  <c:v>45821</c:v>
                </c:pt>
                <c:pt idx="203">
                  <c:v>45820</c:v>
                </c:pt>
                <c:pt idx="204">
                  <c:v>45819</c:v>
                </c:pt>
                <c:pt idx="205">
                  <c:v>45818</c:v>
                </c:pt>
                <c:pt idx="206">
                  <c:v>45817</c:v>
                </c:pt>
                <c:pt idx="207">
                  <c:v>45816</c:v>
                </c:pt>
                <c:pt idx="208">
                  <c:v>45815</c:v>
                </c:pt>
                <c:pt idx="209">
                  <c:v>45814</c:v>
                </c:pt>
                <c:pt idx="210">
                  <c:v>45813</c:v>
                </c:pt>
                <c:pt idx="211">
                  <c:v>45812</c:v>
                </c:pt>
                <c:pt idx="212">
                  <c:v>45811</c:v>
                </c:pt>
                <c:pt idx="213">
                  <c:v>45810</c:v>
                </c:pt>
                <c:pt idx="214">
                  <c:v>45809</c:v>
                </c:pt>
                <c:pt idx="215">
                  <c:v>45808</c:v>
                </c:pt>
                <c:pt idx="216">
                  <c:v>45807</c:v>
                </c:pt>
                <c:pt idx="217">
                  <c:v>45806</c:v>
                </c:pt>
                <c:pt idx="218">
                  <c:v>45805</c:v>
                </c:pt>
                <c:pt idx="219">
                  <c:v>45804</c:v>
                </c:pt>
                <c:pt idx="220">
                  <c:v>45803</c:v>
                </c:pt>
                <c:pt idx="221">
                  <c:v>45802</c:v>
                </c:pt>
                <c:pt idx="222">
                  <c:v>45801</c:v>
                </c:pt>
                <c:pt idx="223">
                  <c:v>45800</c:v>
                </c:pt>
                <c:pt idx="224">
                  <c:v>45799</c:v>
                </c:pt>
                <c:pt idx="225">
                  <c:v>45798</c:v>
                </c:pt>
                <c:pt idx="226">
                  <c:v>45797</c:v>
                </c:pt>
                <c:pt idx="227">
                  <c:v>45796</c:v>
                </c:pt>
                <c:pt idx="228">
                  <c:v>45795</c:v>
                </c:pt>
                <c:pt idx="229">
                  <c:v>45794</c:v>
                </c:pt>
                <c:pt idx="230">
                  <c:v>45793</c:v>
                </c:pt>
                <c:pt idx="231">
                  <c:v>45792</c:v>
                </c:pt>
                <c:pt idx="232">
                  <c:v>45791</c:v>
                </c:pt>
                <c:pt idx="233">
                  <c:v>45790</c:v>
                </c:pt>
                <c:pt idx="234">
                  <c:v>45789</c:v>
                </c:pt>
                <c:pt idx="235">
                  <c:v>45788</c:v>
                </c:pt>
                <c:pt idx="236">
                  <c:v>45787</c:v>
                </c:pt>
                <c:pt idx="237">
                  <c:v>45786</c:v>
                </c:pt>
                <c:pt idx="238">
                  <c:v>45785</c:v>
                </c:pt>
                <c:pt idx="239">
                  <c:v>45784</c:v>
                </c:pt>
                <c:pt idx="240">
                  <c:v>45783</c:v>
                </c:pt>
                <c:pt idx="241">
                  <c:v>45782</c:v>
                </c:pt>
                <c:pt idx="242">
                  <c:v>45781</c:v>
                </c:pt>
                <c:pt idx="243">
                  <c:v>45780</c:v>
                </c:pt>
                <c:pt idx="244">
                  <c:v>45779</c:v>
                </c:pt>
                <c:pt idx="245">
                  <c:v>45778</c:v>
                </c:pt>
                <c:pt idx="246">
                  <c:v>45777</c:v>
                </c:pt>
                <c:pt idx="247">
                  <c:v>45776</c:v>
                </c:pt>
                <c:pt idx="248">
                  <c:v>45775</c:v>
                </c:pt>
                <c:pt idx="249">
                  <c:v>45774</c:v>
                </c:pt>
                <c:pt idx="250">
                  <c:v>45773</c:v>
                </c:pt>
                <c:pt idx="251">
                  <c:v>45772</c:v>
                </c:pt>
                <c:pt idx="252">
                  <c:v>45771</c:v>
                </c:pt>
                <c:pt idx="253">
                  <c:v>45770</c:v>
                </c:pt>
                <c:pt idx="254">
                  <c:v>45769</c:v>
                </c:pt>
                <c:pt idx="255">
                  <c:v>45768</c:v>
                </c:pt>
                <c:pt idx="256">
                  <c:v>45767</c:v>
                </c:pt>
                <c:pt idx="257">
                  <c:v>45766</c:v>
                </c:pt>
                <c:pt idx="258">
                  <c:v>45765</c:v>
                </c:pt>
                <c:pt idx="259">
                  <c:v>45764</c:v>
                </c:pt>
                <c:pt idx="260">
                  <c:v>45763</c:v>
                </c:pt>
                <c:pt idx="261">
                  <c:v>45762</c:v>
                </c:pt>
                <c:pt idx="262">
                  <c:v>45761</c:v>
                </c:pt>
                <c:pt idx="263">
                  <c:v>45760</c:v>
                </c:pt>
                <c:pt idx="264">
                  <c:v>45759</c:v>
                </c:pt>
                <c:pt idx="265">
                  <c:v>45758</c:v>
                </c:pt>
                <c:pt idx="266">
                  <c:v>45757</c:v>
                </c:pt>
                <c:pt idx="267">
                  <c:v>45756</c:v>
                </c:pt>
                <c:pt idx="268">
                  <c:v>45755</c:v>
                </c:pt>
                <c:pt idx="269">
                  <c:v>45754</c:v>
                </c:pt>
                <c:pt idx="270">
                  <c:v>45753</c:v>
                </c:pt>
                <c:pt idx="271">
                  <c:v>45752</c:v>
                </c:pt>
                <c:pt idx="272">
                  <c:v>45751</c:v>
                </c:pt>
                <c:pt idx="273">
                  <c:v>45750</c:v>
                </c:pt>
                <c:pt idx="274">
                  <c:v>45749</c:v>
                </c:pt>
                <c:pt idx="275">
                  <c:v>45748</c:v>
                </c:pt>
                <c:pt idx="276">
                  <c:v>45747</c:v>
                </c:pt>
                <c:pt idx="277">
                  <c:v>45746</c:v>
                </c:pt>
                <c:pt idx="278">
                  <c:v>45745</c:v>
                </c:pt>
                <c:pt idx="279">
                  <c:v>45744</c:v>
                </c:pt>
                <c:pt idx="280">
                  <c:v>45743</c:v>
                </c:pt>
                <c:pt idx="281">
                  <c:v>45742</c:v>
                </c:pt>
                <c:pt idx="282">
                  <c:v>45741</c:v>
                </c:pt>
                <c:pt idx="283">
                  <c:v>45740</c:v>
                </c:pt>
                <c:pt idx="284">
                  <c:v>45739</c:v>
                </c:pt>
                <c:pt idx="285">
                  <c:v>45738</c:v>
                </c:pt>
                <c:pt idx="286">
                  <c:v>45737</c:v>
                </c:pt>
                <c:pt idx="287">
                  <c:v>45736</c:v>
                </c:pt>
                <c:pt idx="288">
                  <c:v>45735</c:v>
                </c:pt>
                <c:pt idx="289">
                  <c:v>45734</c:v>
                </c:pt>
                <c:pt idx="290">
                  <c:v>45733</c:v>
                </c:pt>
                <c:pt idx="291">
                  <c:v>45732</c:v>
                </c:pt>
                <c:pt idx="292">
                  <c:v>45731</c:v>
                </c:pt>
                <c:pt idx="293">
                  <c:v>45730</c:v>
                </c:pt>
                <c:pt idx="294">
                  <c:v>45729</c:v>
                </c:pt>
                <c:pt idx="295">
                  <c:v>45728</c:v>
                </c:pt>
                <c:pt idx="296">
                  <c:v>45727</c:v>
                </c:pt>
                <c:pt idx="297">
                  <c:v>45726</c:v>
                </c:pt>
                <c:pt idx="298">
                  <c:v>45725</c:v>
                </c:pt>
                <c:pt idx="299">
                  <c:v>45724</c:v>
                </c:pt>
                <c:pt idx="300">
                  <c:v>45723</c:v>
                </c:pt>
                <c:pt idx="301">
                  <c:v>45722</c:v>
                </c:pt>
                <c:pt idx="302">
                  <c:v>45721</c:v>
                </c:pt>
                <c:pt idx="303">
                  <c:v>45720</c:v>
                </c:pt>
                <c:pt idx="304">
                  <c:v>45719</c:v>
                </c:pt>
                <c:pt idx="305">
                  <c:v>45718</c:v>
                </c:pt>
                <c:pt idx="306">
                  <c:v>45717</c:v>
                </c:pt>
                <c:pt idx="307">
                  <c:v>45716</c:v>
                </c:pt>
                <c:pt idx="308">
                  <c:v>45715</c:v>
                </c:pt>
                <c:pt idx="309">
                  <c:v>45714</c:v>
                </c:pt>
                <c:pt idx="310">
                  <c:v>45713</c:v>
                </c:pt>
                <c:pt idx="311">
                  <c:v>45712</c:v>
                </c:pt>
                <c:pt idx="312">
                  <c:v>45711</c:v>
                </c:pt>
                <c:pt idx="313">
                  <c:v>45710</c:v>
                </c:pt>
                <c:pt idx="314">
                  <c:v>45709</c:v>
                </c:pt>
                <c:pt idx="315">
                  <c:v>45708</c:v>
                </c:pt>
                <c:pt idx="316">
                  <c:v>45707</c:v>
                </c:pt>
                <c:pt idx="317">
                  <c:v>45706</c:v>
                </c:pt>
                <c:pt idx="318">
                  <c:v>45705</c:v>
                </c:pt>
                <c:pt idx="319">
                  <c:v>45704</c:v>
                </c:pt>
                <c:pt idx="320">
                  <c:v>45703</c:v>
                </c:pt>
                <c:pt idx="321">
                  <c:v>45702</c:v>
                </c:pt>
                <c:pt idx="322">
                  <c:v>45701</c:v>
                </c:pt>
                <c:pt idx="323">
                  <c:v>45700</c:v>
                </c:pt>
                <c:pt idx="324">
                  <c:v>45699</c:v>
                </c:pt>
                <c:pt idx="325">
                  <c:v>45698</c:v>
                </c:pt>
                <c:pt idx="326">
                  <c:v>45697</c:v>
                </c:pt>
                <c:pt idx="327">
                  <c:v>45696</c:v>
                </c:pt>
                <c:pt idx="328">
                  <c:v>45695</c:v>
                </c:pt>
                <c:pt idx="329">
                  <c:v>45694</c:v>
                </c:pt>
                <c:pt idx="330">
                  <c:v>45693</c:v>
                </c:pt>
                <c:pt idx="331">
                  <c:v>45692</c:v>
                </c:pt>
                <c:pt idx="332">
                  <c:v>45691</c:v>
                </c:pt>
                <c:pt idx="333">
                  <c:v>45690</c:v>
                </c:pt>
                <c:pt idx="334">
                  <c:v>45689</c:v>
                </c:pt>
                <c:pt idx="335">
                  <c:v>45688</c:v>
                </c:pt>
                <c:pt idx="336">
                  <c:v>45687</c:v>
                </c:pt>
                <c:pt idx="337">
                  <c:v>45686</c:v>
                </c:pt>
                <c:pt idx="338">
                  <c:v>45685</c:v>
                </c:pt>
                <c:pt idx="339">
                  <c:v>45684</c:v>
                </c:pt>
                <c:pt idx="340">
                  <c:v>45683</c:v>
                </c:pt>
                <c:pt idx="341">
                  <c:v>45682</c:v>
                </c:pt>
                <c:pt idx="342">
                  <c:v>45681</c:v>
                </c:pt>
                <c:pt idx="343">
                  <c:v>45680</c:v>
                </c:pt>
                <c:pt idx="344">
                  <c:v>45679</c:v>
                </c:pt>
                <c:pt idx="345">
                  <c:v>45678</c:v>
                </c:pt>
                <c:pt idx="346">
                  <c:v>45677</c:v>
                </c:pt>
                <c:pt idx="347">
                  <c:v>45676</c:v>
                </c:pt>
                <c:pt idx="348">
                  <c:v>45675</c:v>
                </c:pt>
                <c:pt idx="349">
                  <c:v>45674</c:v>
                </c:pt>
                <c:pt idx="350">
                  <c:v>45673</c:v>
                </c:pt>
                <c:pt idx="351">
                  <c:v>45672</c:v>
                </c:pt>
                <c:pt idx="352">
                  <c:v>45671</c:v>
                </c:pt>
                <c:pt idx="353">
                  <c:v>45670</c:v>
                </c:pt>
                <c:pt idx="354">
                  <c:v>45669</c:v>
                </c:pt>
                <c:pt idx="355">
                  <c:v>45668</c:v>
                </c:pt>
                <c:pt idx="356">
                  <c:v>45667</c:v>
                </c:pt>
                <c:pt idx="357">
                  <c:v>45666</c:v>
                </c:pt>
                <c:pt idx="358">
                  <c:v>45665</c:v>
                </c:pt>
                <c:pt idx="359">
                  <c:v>45664</c:v>
                </c:pt>
                <c:pt idx="360">
                  <c:v>45663</c:v>
                </c:pt>
                <c:pt idx="361">
                  <c:v>45662</c:v>
                </c:pt>
                <c:pt idx="362">
                  <c:v>45661</c:v>
                </c:pt>
                <c:pt idx="363">
                  <c:v>45660</c:v>
                </c:pt>
                <c:pt idx="364">
                  <c:v>45659</c:v>
                </c:pt>
                <c:pt idx="365">
                  <c:v>45658</c:v>
                </c:pt>
                <c:pt idx="366">
                  <c:v>45657</c:v>
                </c:pt>
                <c:pt idx="367">
                  <c:v>45656</c:v>
                </c:pt>
                <c:pt idx="368">
                  <c:v>45655</c:v>
                </c:pt>
                <c:pt idx="369">
                  <c:v>45654</c:v>
                </c:pt>
                <c:pt idx="370">
                  <c:v>45653</c:v>
                </c:pt>
                <c:pt idx="371">
                  <c:v>45652</c:v>
                </c:pt>
              </c:numCache>
            </c:numRef>
          </c:cat>
          <c:val>
            <c:numRef>
              <c:f>Calculation!$L$2:$L$437</c:f>
              <c:numCache>
                <c:formatCode>_(* #\ ##0_);_(* \(#\ ##0\);_(* "-"_);_(@_)</c:formatCode>
                <c:ptCount val="436"/>
                <c:pt idx="0">
                  <c:v>18382.830000000002</c:v>
                </c:pt>
                <c:pt idx="1">
                  <c:v>18382.830000000002</c:v>
                </c:pt>
                <c:pt idx="2">
                  <c:v>18382.830000000002</c:v>
                </c:pt>
                <c:pt idx="3">
                  <c:v>18225.52</c:v>
                </c:pt>
                <c:pt idx="4">
                  <c:v>18311.66</c:v>
                </c:pt>
                <c:pt idx="5">
                  <c:v>18311.66</c:v>
                </c:pt>
                <c:pt idx="6">
                  <c:v>18311.66</c:v>
                </c:pt>
                <c:pt idx="7">
                  <c:v>18029.23</c:v>
                </c:pt>
                <c:pt idx="8">
                  <c:v>18054.8</c:v>
                </c:pt>
                <c:pt idx="9">
                  <c:v>18084.96</c:v>
                </c:pt>
                <c:pt idx="10">
                  <c:v>18013.91</c:v>
                </c:pt>
                <c:pt idx="11">
                  <c:v>18192.46</c:v>
                </c:pt>
                <c:pt idx="12">
                  <c:v>18192.46</c:v>
                </c:pt>
                <c:pt idx="13">
                  <c:v>18192.46</c:v>
                </c:pt>
                <c:pt idx="14">
                  <c:v>18266.939999999999</c:v>
                </c:pt>
                <c:pt idx="15">
                  <c:v>18295.57</c:v>
                </c:pt>
                <c:pt idx="16">
                  <c:v>18412.330000000002</c:v>
                </c:pt>
                <c:pt idx="17">
                  <c:v>18246.68</c:v>
                </c:pt>
                <c:pt idx="18">
                  <c:v>18176.16</c:v>
                </c:pt>
                <c:pt idx="19">
                  <c:v>18176.16</c:v>
                </c:pt>
                <c:pt idx="20">
                  <c:v>18176.16</c:v>
                </c:pt>
                <c:pt idx="21">
                  <c:v>18228.05</c:v>
                </c:pt>
                <c:pt idx="22">
                  <c:v>18035.740000000002</c:v>
                </c:pt>
                <c:pt idx="23">
                  <c:v>17934.599999999999</c:v>
                </c:pt>
                <c:pt idx="24">
                  <c:v>17933.04</c:v>
                </c:pt>
                <c:pt idx="25">
                  <c:v>17974.560000000001</c:v>
                </c:pt>
                <c:pt idx="26">
                  <c:v>17974.560000000001</c:v>
                </c:pt>
                <c:pt idx="27">
                  <c:v>17974.560000000001</c:v>
                </c:pt>
                <c:pt idx="28">
                  <c:v>17594.060000000001</c:v>
                </c:pt>
                <c:pt idx="29">
                  <c:v>17566.45</c:v>
                </c:pt>
                <c:pt idx="30">
                  <c:v>17677.13</c:v>
                </c:pt>
                <c:pt idx="31">
                  <c:v>17802.71</c:v>
                </c:pt>
                <c:pt idx="32">
                  <c:v>17723.689999999999</c:v>
                </c:pt>
                <c:pt idx="33">
                  <c:v>17723.689999999999</c:v>
                </c:pt>
                <c:pt idx="34">
                  <c:v>17723.689999999999</c:v>
                </c:pt>
                <c:pt idx="35">
                  <c:v>17344.22</c:v>
                </c:pt>
                <c:pt idx="36">
                  <c:v>17665.919999999998</c:v>
                </c:pt>
                <c:pt idx="37">
                  <c:v>17788.09</c:v>
                </c:pt>
                <c:pt idx="38">
                  <c:v>17580.48</c:v>
                </c:pt>
                <c:pt idx="39">
                  <c:v>17794.91</c:v>
                </c:pt>
                <c:pt idx="40">
                  <c:v>17794.91</c:v>
                </c:pt>
                <c:pt idx="41">
                  <c:v>17794.91</c:v>
                </c:pt>
                <c:pt idx="42">
                  <c:v>17417.96</c:v>
                </c:pt>
                <c:pt idx="43">
                  <c:v>17538.07</c:v>
                </c:pt>
                <c:pt idx="44">
                  <c:v>16960.41</c:v>
                </c:pt>
                <c:pt idx="45">
                  <c:v>16581.93</c:v>
                </c:pt>
                <c:pt idx="46">
                  <c:v>16701.71</c:v>
                </c:pt>
                <c:pt idx="47">
                  <c:v>16701.71</c:v>
                </c:pt>
                <c:pt idx="48">
                  <c:v>16701.71</c:v>
                </c:pt>
                <c:pt idx="49">
                  <c:v>16828.96</c:v>
                </c:pt>
                <c:pt idx="50">
                  <c:v>16772.5</c:v>
                </c:pt>
                <c:pt idx="51">
                  <c:v>16956.919999999998</c:v>
                </c:pt>
                <c:pt idx="52">
                  <c:v>16906.96</c:v>
                </c:pt>
                <c:pt idx="53">
                  <c:v>16952.759999999998</c:v>
                </c:pt>
                <c:pt idx="54">
                  <c:v>16952.759999999998</c:v>
                </c:pt>
                <c:pt idx="55">
                  <c:v>16952.759999999998</c:v>
                </c:pt>
                <c:pt idx="56">
                  <c:v>16785.009999999998</c:v>
                </c:pt>
                <c:pt idx="57">
                  <c:v>16811.5</c:v>
                </c:pt>
                <c:pt idx="58">
                  <c:v>16984.25</c:v>
                </c:pt>
                <c:pt idx="59">
                  <c:v>16984.25</c:v>
                </c:pt>
                <c:pt idx="60">
                  <c:v>16722.939999999999</c:v>
                </c:pt>
                <c:pt idx="61">
                  <c:v>16722.939999999999</c:v>
                </c:pt>
                <c:pt idx="62">
                  <c:v>16686.5</c:v>
                </c:pt>
                <c:pt idx="63">
                  <c:v>16891.72</c:v>
                </c:pt>
                <c:pt idx="64">
                  <c:v>16662.86</c:v>
                </c:pt>
                <c:pt idx="65">
                  <c:v>16452.54</c:v>
                </c:pt>
                <c:pt idx="66">
                  <c:v>16332.76</c:v>
                </c:pt>
                <c:pt idx="67">
                  <c:v>16787.18</c:v>
                </c:pt>
                <c:pt idx="68">
                  <c:v>16787.18</c:v>
                </c:pt>
                <c:pt idx="69">
                  <c:v>16787.18</c:v>
                </c:pt>
                <c:pt idx="70">
                  <c:v>16953.68</c:v>
                </c:pt>
                <c:pt idx="71">
                  <c:v>17462.43</c:v>
                </c:pt>
                <c:pt idx="72">
                  <c:v>17351.96</c:v>
                </c:pt>
                <c:pt idx="73">
                  <c:v>18134.810000000001</c:v>
                </c:pt>
                <c:pt idx="74">
                  <c:v>17981.53</c:v>
                </c:pt>
                <c:pt idx="75">
                  <c:v>17981.53</c:v>
                </c:pt>
                <c:pt idx="76">
                  <c:v>17981.53</c:v>
                </c:pt>
                <c:pt idx="77">
                  <c:v>17262.810000000001</c:v>
                </c:pt>
                <c:pt idx="78">
                  <c:v>16836.830000000002</c:v>
                </c:pt>
                <c:pt idx="79">
                  <c:v>16783.759999999998</c:v>
                </c:pt>
                <c:pt idx="80">
                  <c:v>16999.84</c:v>
                </c:pt>
                <c:pt idx="81">
                  <c:v>17081.3</c:v>
                </c:pt>
                <c:pt idx="82">
                  <c:v>17081.3</c:v>
                </c:pt>
                <c:pt idx="83">
                  <c:v>17081.3</c:v>
                </c:pt>
                <c:pt idx="84">
                  <c:v>17412.189999999999</c:v>
                </c:pt>
                <c:pt idx="85">
                  <c:v>16872.169999999998</c:v>
                </c:pt>
                <c:pt idx="86">
                  <c:v>17570.310000000001</c:v>
                </c:pt>
                <c:pt idx="87">
                  <c:v>17448.82</c:v>
                </c:pt>
                <c:pt idx="88">
                  <c:v>17146.349999999999</c:v>
                </c:pt>
                <c:pt idx="89">
                  <c:v>17146.349999999999</c:v>
                </c:pt>
                <c:pt idx="90">
                  <c:v>17146.349999999999</c:v>
                </c:pt>
                <c:pt idx="91">
                  <c:v>17337.84</c:v>
                </c:pt>
                <c:pt idx="92">
                  <c:v>17436.759999999998</c:v>
                </c:pt>
                <c:pt idx="93">
                  <c:v>17670.09</c:v>
                </c:pt>
                <c:pt idx="94">
                  <c:v>17647.41</c:v>
                </c:pt>
                <c:pt idx="95">
                  <c:v>17893.29</c:v>
                </c:pt>
                <c:pt idx="96">
                  <c:v>17893.29</c:v>
                </c:pt>
                <c:pt idx="97">
                  <c:v>17893.29</c:v>
                </c:pt>
                <c:pt idx="98">
                  <c:v>17749.740000000002</c:v>
                </c:pt>
                <c:pt idx="99">
                  <c:v>17841.169999999998</c:v>
                </c:pt>
                <c:pt idx="100">
                  <c:v>18073.240000000002</c:v>
                </c:pt>
                <c:pt idx="101">
                  <c:v>17959.63</c:v>
                </c:pt>
                <c:pt idx="102">
                  <c:v>17994.3</c:v>
                </c:pt>
                <c:pt idx="103">
                  <c:v>17994.3</c:v>
                </c:pt>
                <c:pt idx="104">
                  <c:v>17994.3</c:v>
                </c:pt>
                <c:pt idx="105">
                  <c:v>18304.150000000001</c:v>
                </c:pt>
                <c:pt idx="106">
                  <c:v>18426.14</c:v>
                </c:pt>
                <c:pt idx="107">
                  <c:v>18339.05</c:v>
                </c:pt>
                <c:pt idx="108">
                  <c:v>18384.91</c:v>
                </c:pt>
                <c:pt idx="109">
                  <c:v>18548.34</c:v>
                </c:pt>
                <c:pt idx="110">
                  <c:v>18548.34</c:v>
                </c:pt>
                <c:pt idx="111">
                  <c:v>18548.34</c:v>
                </c:pt>
                <c:pt idx="112">
                  <c:v>18992.259999999998</c:v>
                </c:pt>
                <c:pt idx="113">
                  <c:v>19049.16</c:v>
                </c:pt>
                <c:pt idx="114">
                  <c:v>19195.39</c:v>
                </c:pt>
                <c:pt idx="115">
                  <c:v>19095.14</c:v>
                </c:pt>
                <c:pt idx="116">
                  <c:v>18962.59</c:v>
                </c:pt>
                <c:pt idx="117">
                  <c:v>18962.59</c:v>
                </c:pt>
                <c:pt idx="118">
                  <c:v>18962.59</c:v>
                </c:pt>
                <c:pt idx="119">
                  <c:v>18760.54</c:v>
                </c:pt>
                <c:pt idx="120">
                  <c:v>18741.29</c:v>
                </c:pt>
                <c:pt idx="121">
                  <c:v>18599.45</c:v>
                </c:pt>
                <c:pt idx="122">
                  <c:v>18843.59</c:v>
                </c:pt>
                <c:pt idx="123">
                  <c:v>18922.77</c:v>
                </c:pt>
                <c:pt idx="124">
                  <c:v>18922.77</c:v>
                </c:pt>
                <c:pt idx="125">
                  <c:v>18922.77</c:v>
                </c:pt>
                <c:pt idx="126">
                  <c:v>18992.84</c:v>
                </c:pt>
                <c:pt idx="127">
                  <c:v>18970.39</c:v>
                </c:pt>
                <c:pt idx="128">
                  <c:v>18793.66</c:v>
                </c:pt>
                <c:pt idx="129">
                  <c:v>18815.05</c:v>
                </c:pt>
                <c:pt idx="130">
                  <c:v>18863.13</c:v>
                </c:pt>
                <c:pt idx="131">
                  <c:v>18863.13</c:v>
                </c:pt>
                <c:pt idx="132">
                  <c:v>18863.13</c:v>
                </c:pt>
                <c:pt idx="133">
                  <c:v>18774.04</c:v>
                </c:pt>
                <c:pt idx="134">
                  <c:v>19147.240000000002</c:v>
                </c:pt>
                <c:pt idx="135">
                  <c:v>19311.39</c:v>
                </c:pt>
                <c:pt idx="136">
                  <c:v>19225.919999999998</c:v>
                </c:pt>
                <c:pt idx="137">
                  <c:v>19658.310000000001</c:v>
                </c:pt>
                <c:pt idx="138">
                  <c:v>19658.310000000001</c:v>
                </c:pt>
                <c:pt idx="139">
                  <c:v>19658.310000000001</c:v>
                </c:pt>
                <c:pt idx="140">
                  <c:v>19407.36</c:v>
                </c:pt>
                <c:pt idx="141">
                  <c:v>19357.95</c:v>
                </c:pt>
                <c:pt idx="142">
                  <c:v>19373.52</c:v>
                </c:pt>
                <c:pt idx="143">
                  <c:v>19289.419999999998</c:v>
                </c:pt>
                <c:pt idx="144">
                  <c:v>19035.05</c:v>
                </c:pt>
                <c:pt idx="145">
                  <c:v>19035.05</c:v>
                </c:pt>
                <c:pt idx="146">
                  <c:v>19035.05</c:v>
                </c:pt>
                <c:pt idx="147">
                  <c:v>18714.78</c:v>
                </c:pt>
                <c:pt idx="148">
                  <c:v>17929.38</c:v>
                </c:pt>
                <c:pt idx="149">
                  <c:v>18096.09</c:v>
                </c:pt>
                <c:pt idx="150">
                  <c:v>18009.28</c:v>
                </c:pt>
                <c:pt idx="151">
                  <c:v>17668.810000000001</c:v>
                </c:pt>
                <c:pt idx="152">
                  <c:v>17668.810000000001</c:v>
                </c:pt>
                <c:pt idx="153">
                  <c:v>17668.810000000001</c:v>
                </c:pt>
                <c:pt idx="154">
                  <c:v>17706.52</c:v>
                </c:pt>
                <c:pt idx="155">
                  <c:v>17677.599999999999</c:v>
                </c:pt>
                <c:pt idx="156">
                  <c:v>17890.7</c:v>
                </c:pt>
                <c:pt idx="157">
                  <c:v>17697.099999999999</c:v>
                </c:pt>
                <c:pt idx="158">
                  <c:v>17972.169999999998</c:v>
                </c:pt>
                <c:pt idx="159">
                  <c:v>17972.169999999998</c:v>
                </c:pt>
                <c:pt idx="160">
                  <c:v>17972.169999999998</c:v>
                </c:pt>
                <c:pt idx="161">
                  <c:v>18214.75</c:v>
                </c:pt>
                <c:pt idx="162">
                  <c:v>18434.91</c:v>
                </c:pt>
                <c:pt idx="163">
                  <c:v>18336.349999999999</c:v>
                </c:pt>
                <c:pt idx="164">
                  <c:v>18302.66</c:v>
                </c:pt>
                <c:pt idx="165">
                  <c:v>18050.689999999999</c:v>
                </c:pt>
                <c:pt idx="166">
                  <c:v>18050.689999999999</c:v>
                </c:pt>
                <c:pt idx="167">
                  <c:v>18050.689999999999</c:v>
                </c:pt>
                <c:pt idx="168">
                  <c:v>17895.259999999998</c:v>
                </c:pt>
                <c:pt idx="169">
                  <c:v>17946.14</c:v>
                </c:pt>
                <c:pt idx="170">
                  <c:v>17813.099999999999</c:v>
                </c:pt>
                <c:pt idx="171">
                  <c:v>17544.84</c:v>
                </c:pt>
                <c:pt idx="172">
                  <c:v>17033.96</c:v>
                </c:pt>
                <c:pt idx="173">
                  <c:v>17033.96</c:v>
                </c:pt>
                <c:pt idx="174">
                  <c:v>17033.96</c:v>
                </c:pt>
                <c:pt idx="175">
                  <c:v>17595.080000000002</c:v>
                </c:pt>
                <c:pt idx="176">
                  <c:v>17371.29</c:v>
                </c:pt>
                <c:pt idx="177">
                  <c:v>17736.77</c:v>
                </c:pt>
                <c:pt idx="178">
                  <c:v>17772.810000000001</c:v>
                </c:pt>
                <c:pt idx="179">
                  <c:v>18029.810000000001</c:v>
                </c:pt>
                <c:pt idx="180">
                  <c:v>18029.810000000001</c:v>
                </c:pt>
                <c:pt idx="181">
                  <c:v>18029.810000000001</c:v>
                </c:pt>
                <c:pt idx="182">
                  <c:v>18166.490000000002</c:v>
                </c:pt>
                <c:pt idx="183">
                  <c:v>18120.04</c:v>
                </c:pt>
                <c:pt idx="184">
                  <c:v>18353.330000000002</c:v>
                </c:pt>
                <c:pt idx="185">
                  <c:v>18348.04</c:v>
                </c:pt>
                <c:pt idx="186">
                  <c:v>18105.740000000002</c:v>
                </c:pt>
                <c:pt idx="187">
                  <c:v>18105.740000000002</c:v>
                </c:pt>
                <c:pt idx="188">
                  <c:v>18105.740000000002</c:v>
                </c:pt>
                <c:pt idx="189">
                  <c:v>18043.66</c:v>
                </c:pt>
                <c:pt idx="190">
                  <c:v>18011.61</c:v>
                </c:pt>
                <c:pt idx="191">
                  <c:v>17684.080000000002</c:v>
                </c:pt>
                <c:pt idx="192">
                  <c:v>17815.900000000001</c:v>
                </c:pt>
                <c:pt idx="193">
                  <c:v>17753.38</c:v>
                </c:pt>
                <c:pt idx="194">
                  <c:v>17753.38</c:v>
                </c:pt>
                <c:pt idx="195">
                  <c:v>17753.38</c:v>
                </c:pt>
                <c:pt idx="196">
                  <c:v>17978.580000000002</c:v>
                </c:pt>
                <c:pt idx="197">
                  <c:v>18035.45</c:v>
                </c:pt>
                <c:pt idx="198">
                  <c:v>18032.7</c:v>
                </c:pt>
                <c:pt idx="199">
                  <c:v>17677.84</c:v>
                </c:pt>
                <c:pt idx="200">
                  <c:v>17746.28</c:v>
                </c:pt>
                <c:pt idx="201">
                  <c:v>17746.28</c:v>
                </c:pt>
                <c:pt idx="202">
                  <c:v>17746.28</c:v>
                </c:pt>
                <c:pt idx="203">
                  <c:v>17603.13</c:v>
                </c:pt>
                <c:pt idx="204">
                  <c:v>17603.13</c:v>
                </c:pt>
                <c:pt idx="205">
                  <c:v>17538.73</c:v>
                </c:pt>
                <c:pt idx="206">
                  <c:v>17655.75</c:v>
                </c:pt>
                <c:pt idx="207">
                  <c:v>17957.38</c:v>
                </c:pt>
                <c:pt idx="208">
                  <c:v>17957.38</c:v>
                </c:pt>
                <c:pt idx="209">
                  <c:v>17957.38</c:v>
                </c:pt>
                <c:pt idx="210">
                  <c:v>18405.41</c:v>
                </c:pt>
                <c:pt idx="211">
                  <c:v>18279.490000000002</c:v>
                </c:pt>
                <c:pt idx="212">
                  <c:v>18269.55</c:v>
                </c:pt>
                <c:pt idx="213">
                  <c:v>18282.03</c:v>
                </c:pt>
                <c:pt idx="214">
                  <c:v>18322.66</c:v>
                </c:pt>
                <c:pt idx="215">
                  <c:v>18322.66</c:v>
                </c:pt>
                <c:pt idx="216">
                  <c:v>18322.66</c:v>
                </c:pt>
                <c:pt idx="217">
                  <c:v>18191.18</c:v>
                </c:pt>
                <c:pt idx="218">
                  <c:v>18009.580000000002</c:v>
                </c:pt>
                <c:pt idx="219">
                  <c:v>17679.89</c:v>
                </c:pt>
                <c:pt idx="220">
                  <c:v>17451.79</c:v>
                </c:pt>
                <c:pt idx="221">
                  <c:v>17935.400000000001</c:v>
                </c:pt>
                <c:pt idx="222">
                  <c:v>17935.400000000001</c:v>
                </c:pt>
                <c:pt idx="223">
                  <c:v>17935.400000000001</c:v>
                </c:pt>
                <c:pt idx="224">
                  <c:v>18079.12</c:v>
                </c:pt>
                <c:pt idx="225">
                  <c:v>18195.28</c:v>
                </c:pt>
                <c:pt idx="226">
                  <c:v>18268.09</c:v>
                </c:pt>
                <c:pt idx="227">
                  <c:v>18672.93</c:v>
                </c:pt>
                <c:pt idx="228">
                  <c:v>18387.07</c:v>
                </c:pt>
                <c:pt idx="229">
                  <c:v>18387.07</c:v>
                </c:pt>
                <c:pt idx="230">
                  <c:v>18387.07</c:v>
                </c:pt>
                <c:pt idx="231">
                  <c:v>18386.84</c:v>
                </c:pt>
                <c:pt idx="232">
                  <c:v>18966.71</c:v>
                </c:pt>
                <c:pt idx="233">
                  <c:v>19059.810000000001</c:v>
                </c:pt>
                <c:pt idx="234">
                  <c:v>19027.46</c:v>
                </c:pt>
                <c:pt idx="235">
                  <c:v>18502.48</c:v>
                </c:pt>
                <c:pt idx="236">
                  <c:v>18502.48</c:v>
                </c:pt>
                <c:pt idx="237">
                  <c:v>18502.48</c:v>
                </c:pt>
                <c:pt idx="238">
                  <c:v>18502.48</c:v>
                </c:pt>
                <c:pt idx="239">
                  <c:v>18367.080000000002</c:v>
                </c:pt>
                <c:pt idx="240">
                  <c:v>18291.23</c:v>
                </c:pt>
                <c:pt idx="241">
                  <c:v>17739.080000000002</c:v>
                </c:pt>
                <c:pt idx="242">
                  <c:v>18407.25</c:v>
                </c:pt>
                <c:pt idx="243">
                  <c:v>18407.25</c:v>
                </c:pt>
                <c:pt idx="244">
                  <c:v>18407.25</c:v>
                </c:pt>
                <c:pt idx="245">
                  <c:v>18983.77</c:v>
                </c:pt>
                <c:pt idx="246">
                  <c:v>18983.77</c:v>
                </c:pt>
                <c:pt idx="247">
                  <c:v>19242</c:v>
                </c:pt>
                <c:pt idx="248">
                  <c:v>19747.330000000002</c:v>
                </c:pt>
                <c:pt idx="249">
                  <c:v>19590.560000000001</c:v>
                </c:pt>
                <c:pt idx="250">
                  <c:v>19590.560000000001</c:v>
                </c:pt>
                <c:pt idx="251">
                  <c:v>19590.560000000001</c:v>
                </c:pt>
                <c:pt idx="252">
                  <c:v>19162.82</c:v>
                </c:pt>
                <c:pt idx="253">
                  <c:v>19158.310000000001</c:v>
                </c:pt>
                <c:pt idx="254">
                  <c:v>19247.63</c:v>
                </c:pt>
                <c:pt idx="255">
                  <c:v>19054.009999999998</c:v>
                </c:pt>
                <c:pt idx="256">
                  <c:v>18712.3</c:v>
                </c:pt>
                <c:pt idx="257">
                  <c:v>18712.3</c:v>
                </c:pt>
                <c:pt idx="258">
                  <c:v>18712.3</c:v>
                </c:pt>
                <c:pt idx="259">
                  <c:v>18653.89</c:v>
                </c:pt>
                <c:pt idx="260">
                  <c:v>18630.580000000002</c:v>
                </c:pt>
                <c:pt idx="261">
                  <c:v>18269.41</c:v>
                </c:pt>
                <c:pt idx="262">
                  <c:v>18362.25</c:v>
                </c:pt>
                <c:pt idx="263">
                  <c:v>18382.68</c:v>
                </c:pt>
                <c:pt idx="264">
                  <c:v>18382.68</c:v>
                </c:pt>
                <c:pt idx="265">
                  <c:v>18382.68</c:v>
                </c:pt>
                <c:pt idx="266">
                  <c:v>17921.5</c:v>
                </c:pt>
                <c:pt idx="267">
                  <c:v>17205.25</c:v>
                </c:pt>
                <c:pt idx="268">
                  <c:v>17800.46</c:v>
                </c:pt>
                <c:pt idx="269">
                  <c:v>17704.82</c:v>
                </c:pt>
                <c:pt idx="270">
                  <c:v>17987.89</c:v>
                </c:pt>
                <c:pt idx="271">
                  <c:v>17987.89</c:v>
                </c:pt>
                <c:pt idx="272">
                  <c:v>17987.89</c:v>
                </c:pt>
                <c:pt idx="273">
                  <c:v>18540.75</c:v>
                </c:pt>
                <c:pt idx="274">
                  <c:v>18988.82</c:v>
                </c:pt>
                <c:pt idx="275">
                  <c:v>19228.12</c:v>
                </c:pt>
                <c:pt idx="276">
                  <c:v>19583.400000000001</c:v>
                </c:pt>
                <c:pt idx="277">
                  <c:v>19673.43</c:v>
                </c:pt>
                <c:pt idx="278">
                  <c:v>19673.43</c:v>
                </c:pt>
                <c:pt idx="279">
                  <c:v>19673.43</c:v>
                </c:pt>
                <c:pt idx="280">
                  <c:v>20057.77</c:v>
                </c:pt>
                <c:pt idx="281">
                  <c:v>20457.78</c:v>
                </c:pt>
                <c:pt idx="282">
                  <c:v>20578.53</c:v>
                </c:pt>
                <c:pt idx="283">
                  <c:v>20686.27</c:v>
                </c:pt>
                <c:pt idx="284">
                  <c:v>20765.400000000001</c:v>
                </c:pt>
                <c:pt idx="285">
                  <c:v>20765.400000000001</c:v>
                </c:pt>
                <c:pt idx="286">
                  <c:v>20765.400000000001</c:v>
                </c:pt>
                <c:pt idx="287">
                  <c:v>20938.32</c:v>
                </c:pt>
                <c:pt idx="288">
                  <c:v>20956.52</c:v>
                </c:pt>
                <c:pt idx="289">
                  <c:v>21157.45</c:v>
                </c:pt>
                <c:pt idx="290">
                  <c:v>21067.8</c:v>
                </c:pt>
                <c:pt idx="291">
                  <c:v>20744.21</c:v>
                </c:pt>
                <c:pt idx="292">
                  <c:v>20744.21</c:v>
                </c:pt>
                <c:pt idx="293">
                  <c:v>20744.21</c:v>
                </c:pt>
                <c:pt idx="294">
                  <c:v>20281.080000000002</c:v>
                </c:pt>
                <c:pt idx="295">
                  <c:v>20705.47</c:v>
                </c:pt>
                <c:pt idx="296">
                  <c:v>20810.89</c:v>
                </c:pt>
                <c:pt idx="297">
                  <c:v>20773.169999999998</c:v>
                </c:pt>
                <c:pt idx="298">
                  <c:v>20589.62</c:v>
                </c:pt>
                <c:pt idx="299">
                  <c:v>20589.62</c:v>
                </c:pt>
                <c:pt idx="300">
                  <c:v>20589.62</c:v>
                </c:pt>
                <c:pt idx="301">
                  <c:v>20838.78</c:v>
                </c:pt>
                <c:pt idx="302">
                  <c:v>21171.58</c:v>
                </c:pt>
                <c:pt idx="303">
                  <c:v>21042.62</c:v>
                </c:pt>
                <c:pt idx="304">
                  <c:v>20444.150000000001</c:v>
                </c:pt>
                <c:pt idx="305">
                  <c:v>20804.830000000002</c:v>
                </c:pt>
                <c:pt idx="306">
                  <c:v>20804.830000000002</c:v>
                </c:pt>
                <c:pt idx="307">
                  <c:v>20804.830000000002</c:v>
                </c:pt>
                <c:pt idx="308">
                  <c:v>21011.84</c:v>
                </c:pt>
                <c:pt idx="309">
                  <c:v>21255.68</c:v>
                </c:pt>
                <c:pt idx="310">
                  <c:v>21589.13</c:v>
                </c:pt>
                <c:pt idx="311">
                  <c:v>21439.33</c:v>
                </c:pt>
                <c:pt idx="312">
                  <c:v>21322.58</c:v>
                </c:pt>
                <c:pt idx="313">
                  <c:v>21322.58</c:v>
                </c:pt>
                <c:pt idx="314">
                  <c:v>21322.58</c:v>
                </c:pt>
                <c:pt idx="315">
                  <c:v>21410.43</c:v>
                </c:pt>
                <c:pt idx="316">
                  <c:v>21295.4</c:v>
                </c:pt>
                <c:pt idx="317">
                  <c:v>21193.06</c:v>
                </c:pt>
                <c:pt idx="318">
                  <c:v>21512.71</c:v>
                </c:pt>
                <c:pt idx="319">
                  <c:v>20680</c:v>
                </c:pt>
                <c:pt idx="320">
                  <c:v>20680</c:v>
                </c:pt>
                <c:pt idx="321">
                  <c:v>20680</c:v>
                </c:pt>
                <c:pt idx="322">
                  <c:v>20824.169999999998</c:v>
                </c:pt>
                <c:pt idx="323">
                  <c:v>19566.919999999998</c:v>
                </c:pt>
                <c:pt idx="324">
                  <c:v>19474.64</c:v>
                </c:pt>
                <c:pt idx="325">
                  <c:v>19462.07</c:v>
                </c:pt>
                <c:pt idx="326">
                  <c:v>19155.43</c:v>
                </c:pt>
                <c:pt idx="327">
                  <c:v>19155.43</c:v>
                </c:pt>
                <c:pt idx="328">
                  <c:v>19155.43</c:v>
                </c:pt>
                <c:pt idx="329">
                  <c:v>19156.13</c:v>
                </c:pt>
                <c:pt idx="330">
                  <c:v>18880.91</c:v>
                </c:pt>
                <c:pt idx="331">
                  <c:v>18776.41</c:v>
                </c:pt>
                <c:pt idx="332">
                  <c:v>18842.23</c:v>
                </c:pt>
                <c:pt idx="333">
                  <c:v>18958.52</c:v>
                </c:pt>
                <c:pt idx="334">
                  <c:v>18958.52</c:v>
                </c:pt>
                <c:pt idx="335">
                  <c:v>18958.52</c:v>
                </c:pt>
                <c:pt idx="336">
                  <c:v>19065.61</c:v>
                </c:pt>
                <c:pt idx="337">
                  <c:v>18941.650000000001</c:v>
                </c:pt>
                <c:pt idx="338">
                  <c:v>18802.96</c:v>
                </c:pt>
                <c:pt idx="339">
                  <c:v>18526.650000000001</c:v>
                </c:pt>
                <c:pt idx="340">
                  <c:v>18899.78</c:v>
                </c:pt>
                <c:pt idx="341">
                  <c:v>18899.78</c:v>
                </c:pt>
                <c:pt idx="342">
                  <c:v>18899.78</c:v>
                </c:pt>
                <c:pt idx="343">
                  <c:v>18772.73</c:v>
                </c:pt>
                <c:pt idx="344">
                  <c:v>19058.09</c:v>
                </c:pt>
                <c:pt idx="345">
                  <c:v>18831.61</c:v>
                </c:pt>
                <c:pt idx="346">
                  <c:v>18808.04</c:v>
                </c:pt>
                <c:pt idx="347">
                  <c:v>18915.84</c:v>
                </c:pt>
                <c:pt idx="348">
                  <c:v>18915.84</c:v>
                </c:pt>
                <c:pt idx="349">
                  <c:v>18915.84</c:v>
                </c:pt>
                <c:pt idx="350">
                  <c:v>18708.349999999999</c:v>
                </c:pt>
                <c:pt idx="351">
                  <c:v>18293.5</c:v>
                </c:pt>
                <c:pt idx="352">
                  <c:v>18396.82</c:v>
                </c:pt>
                <c:pt idx="353">
                  <c:v>18430.79</c:v>
                </c:pt>
                <c:pt idx="354">
                  <c:v>18103.25</c:v>
                </c:pt>
                <c:pt idx="355">
                  <c:v>18103.25</c:v>
                </c:pt>
                <c:pt idx="356">
                  <c:v>18103.25</c:v>
                </c:pt>
                <c:pt idx="357">
                  <c:v>17779.900000000001</c:v>
                </c:pt>
                <c:pt idx="358">
                  <c:v>18222.07</c:v>
                </c:pt>
                <c:pt idx="359">
                  <c:v>18062.060000000001</c:v>
                </c:pt>
                <c:pt idx="360">
                  <c:v>18062.060000000001</c:v>
                </c:pt>
                <c:pt idx="361">
                  <c:v>18140.21</c:v>
                </c:pt>
                <c:pt idx="362">
                  <c:v>18140.21</c:v>
                </c:pt>
                <c:pt idx="363">
                  <c:v>18140.21</c:v>
                </c:pt>
                <c:pt idx="364">
                  <c:v>18523.330000000002</c:v>
                </c:pt>
                <c:pt idx="365">
                  <c:v>18523.330000000002</c:v>
                </c:pt>
                <c:pt idx="366">
                  <c:v>18523.330000000002</c:v>
                </c:pt>
                <c:pt idx="367">
                  <c:v>18523.330000000002</c:v>
                </c:pt>
                <c:pt idx="368">
                  <c:v>17918.52</c:v>
                </c:pt>
                <c:pt idx="369">
                  <c:v>17918.52</c:v>
                </c:pt>
                <c:pt idx="370">
                  <c:v>17748.82</c:v>
                </c:pt>
                <c:pt idx="371">
                  <c:v>17814.68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E5-42A9-97CA-DC674B4AAC81}"/>
            </c:ext>
          </c:extLst>
        </c:ser>
        <c:ser>
          <c:idx val="2"/>
          <c:order val="2"/>
          <c:tx>
            <c:strRef>
              <c:f>Calculation!$M$1</c:f>
              <c:strCache>
                <c:ptCount val="1"/>
                <c:pt idx="0">
                  <c:v>Индекс МосБиржи нефти и газа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Calculation!$E$2:$E$437</c:f>
              <c:numCache>
                <c:formatCode>m/d/yyyy</c:formatCode>
                <c:ptCount val="436"/>
                <c:pt idx="0">
                  <c:v>46023</c:v>
                </c:pt>
                <c:pt idx="1">
                  <c:v>46022</c:v>
                </c:pt>
                <c:pt idx="2">
                  <c:v>46021</c:v>
                </c:pt>
                <c:pt idx="3">
                  <c:v>46020</c:v>
                </c:pt>
                <c:pt idx="4">
                  <c:v>46019</c:v>
                </c:pt>
                <c:pt idx="5">
                  <c:v>46018</c:v>
                </c:pt>
                <c:pt idx="6">
                  <c:v>46017</c:v>
                </c:pt>
                <c:pt idx="7">
                  <c:v>46016</c:v>
                </c:pt>
                <c:pt idx="8">
                  <c:v>46015</c:v>
                </c:pt>
                <c:pt idx="9">
                  <c:v>46014</c:v>
                </c:pt>
                <c:pt idx="10">
                  <c:v>46013</c:v>
                </c:pt>
                <c:pt idx="11">
                  <c:v>46012</c:v>
                </c:pt>
                <c:pt idx="12">
                  <c:v>46011</c:v>
                </c:pt>
                <c:pt idx="13">
                  <c:v>46010</c:v>
                </c:pt>
                <c:pt idx="14">
                  <c:v>46009</c:v>
                </c:pt>
                <c:pt idx="15">
                  <c:v>46008</c:v>
                </c:pt>
                <c:pt idx="16">
                  <c:v>46007</c:v>
                </c:pt>
                <c:pt idx="17">
                  <c:v>46006</c:v>
                </c:pt>
                <c:pt idx="18">
                  <c:v>46005</c:v>
                </c:pt>
                <c:pt idx="19">
                  <c:v>46004</c:v>
                </c:pt>
                <c:pt idx="20">
                  <c:v>46003</c:v>
                </c:pt>
                <c:pt idx="21">
                  <c:v>46002</c:v>
                </c:pt>
                <c:pt idx="22">
                  <c:v>46001</c:v>
                </c:pt>
                <c:pt idx="23">
                  <c:v>46000</c:v>
                </c:pt>
                <c:pt idx="24">
                  <c:v>45999</c:v>
                </c:pt>
                <c:pt idx="25">
                  <c:v>45998</c:v>
                </c:pt>
                <c:pt idx="26">
                  <c:v>45997</c:v>
                </c:pt>
                <c:pt idx="27">
                  <c:v>45996</c:v>
                </c:pt>
                <c:pt idx="28">
                  <c:v>45995</c:v>
                </c:pt>
                <c:pt idx="29">
                  <c:v>45994</c:v>
                </c:pt>
                <c:pt idx="30">
                  <c:v>45993</c:v>
                </c:pt>
                <c:pt idx="31">
                  <c:v>45992</c:v>
                </c:pt>
                <c:pt idx="32">
                  <c:v>45991</c:v>
                </c:pt>
                <c:pt idx="33">
                  <c:v>45990</c:v>
                </c:pt>
                <c:pt idx="34">
                  <c:v>45989</c:v>
                </c:pt>
                <c:pt idx="35">
                  <c:v>45988</c:v>
                </c:pt>
                <c:pt idx="36">
                  <c:v>45987</c:v>
                </c:pt>
                <c:pt idx="37">
                  <c:v>45986</c:v>
                </c:pt>
                <c:pt idx="38">
                  <c:v>45985</c:v>
                </c:pt>
                <c:pt idx="39">
                  <c:v>45984</c:v>
                </c:pt>
                <c:pt idx="40">
                  <c:v>45983</c:v>
                </c:pt>
                <c:pt idx="41">
                  <c:v>45982</c:v>
                </c:pt>
                <c:pt idx="42">
                  <c:v>45981</c:v>
                </c:pt>
                <c:pt idx="43">
                  <c:v>45980</c:v>
                </c:pt>
                <c:pt idx="44">
                  <c:v>45979</c:v>
                </c:pt>
                <c:pt idx="45">
                  <c:v>45978</c:v>
                </c:pt>
                <c:pt idx="46">
                  <c:v>45977</c:v>
                </c:pt>
                <c:pt idx="47">
                  <c:v>45976</c:v>
                </c:pt>
                <c:pt idx="48">
                  <c:v>45975</c:v>
                </c:pt>
                <c:pt idx="49">
                  <c:v>45974</c:v>
                </c:pt>
                <c:pt idx="50">
                  <c:v>45973</c:v>
                </c:pt>
                <c:pt idx="51">
                  <c:v>45972</c:v>
                </c:pt>
                <c:pt idx="52">
                  <c:v>45971</c:v>
                </c:pt>
                <c:pt idx="53">
                  <c:v>45970</c:v>
                </c:pt>
                <c:pt idx="54">
                  <c:v>45969</c:v>
                </c:pt>
                <c:pt idx="55">
                  <c:v>45968</c:v>
                </c:pt>
                <c:pt idx="56">
                  <c:v>45967</c:v>
                </c:pt>
                <c:pt idx="57">
                  <c:v>45966</c:v>
                </c:pt>
                <c:pt idx="58">
                  <c:v>45965</c:v>
                </c:pt>
                <c:pt idx="59">
                  <c:v>45964</c:v>
                </c:pt>
                <c:pt idx="60">
                  <c:v>45963</c:v>
                </c:pt>
                <c:pt idx="61">
                  <c:v>45962</c:v>
                </c:pt>
                <c:pt idx="62">
                  <c:v>45961</c:v>
                </c:pt>
                <c:pt idx="63">
                  <c:v>45960</c:v>
                </c:pt>
                <c:pt idx="64">
                  <c:v>45959</c:v>
                </c:pt>
                <c:pt idx="65">
                  <c:v>45958</c:v>
                </c:pt>
                <c:pt idx="66">
                  <c:v>45957</c:v>
                </c:pt>
                <c:pt idx="67">
                  <c:v>45956</c:v>
                </c:pt>
                <c:pt idx="68">
                  <c:v>45955</c:v>
                </c:pt>
                <c:pt idx="69">
                  <c:v>45954</c:v>
                </c:pt>
                <c:pt idx="70">
                  <c:v>45953</c:v>
                </c:pt>
                <c:pt idx="71">
                  <c:v>45952</c:v>
                </c:pt>
                <c:pt idx="72">
                  <c:v>45951</c:v>
                </c:pt>
                <c:pt idx="73">
                  <c:v>45950</c:v>
                </c:pt>
                <c:pt idx="74">
                  <c:v>45949</c:v>
                </c:pt>
                <c:pt idx="75">
                  <c:v>45948</c:v>
                </c:pt>
                <c:pt idx="76">
                  <c:v>45947</c:v>
                </c:pt>
                <c:pt idx="77">
                  <c:v>45946</c:v>
                </c:pt>
                <c:pt idx="78">
                  <c:v>45945</c:v>
                </c:pt>
                <c:pt idx="79">
                  <c:v>45944</c:v>
                </c:pt>
                <c:pt idx="80">
                  <c:v>45943</c:v>
                </c:pt>
                <c:pt idx="81">
                  <c:v>45942</c:v>
                </c:pt>
                <c:pt idx="82">
                  <c:v>45941</c:v>
                </c:pt>
                <c:pt idx="83">
                  <c:v>45940</c:v>
                </c:pt>
                <c:pt idx="84">
                  <c:v>45939</c:v>
                </c:pt>
                <c:pt idx="85">
                  <c:v>45938</c:v>
                </c:pt>
                <c:pt idx="86">
                  <c:v>45937</c:v>
                </c:pt>
                <c:pt idx="87">
                  <c:v>45936</c:v>
                </c:pt>
                <c:pt idx="88">
                  <c:v>45935</c:v>
                </c:pt>
                <c:pt idx="89">
                  <c:v>45934</c:v>
                </c:pt>
                <c:pt idx="90">
                  <c:v>45933</c:v>
                </c:pt>
                <c:pt idx="91">
                  <c:v>45932</c:v>
                </c:pt>
                <c:pt idx="92">
                  <c:v>45931</c:v>
                </c:pt>
                <c:pt idx="93">
                  <c:v>45930</c:v>
                </c:pt>
                <c:pt idx="94">
                  <c:v>45929</c:v>
                </c:pt>
                <c:pt idx="95">
                  <c:v>45928</c:v>
                </c:pt>
                <c:pt idx="96">
                  <c:v>45927</c:v>
                </c:pt>
                <c:pt idx="97">
                  <c:v>45926</c:v>
                </c:pt>
                <c:pt idx="98">
                  <c:v>45925</c:v>
                </c:pt>
                <c:pt idx="99">
                  <c:v>45924</c:v>
                </c:pt>
                <c:pt idx="100">
                  <c:v>45923</c:v>
                </c:pt>
                <c:pt idx="101">
                  <c:v>45922</c:v>
                </c:pt>
                <c:pt idx="102">
                  <c:v>45921</c:v>
                </c:pt>
                <c:pt idx="103">
                  <c:v>45920</c:v>
                </c:pt>
                <c:pt idx="104">
                  <c:v>45919</c:v>
                </c:pt>
                <c:pt idx="105">
                  <c:v>45918</c:v>
                </c:pt>
                <c:pt idx="106">
                  <c:v>45917</c:v>
                </c:pt>
                <c:pt idx="107">
                  <c:v>45916</c:v>
                </c:pt>
                <c:pt idx="108">
                  <c:v>45915</c:v>
                </c:pt>
                <c:pt idx="109">
                  <c:v>45914</c:v>
                </c:pt>
                <c:pt idx="110">
                  <c:v>45913</c:v>
                </c:pt>
                <c:pt idx="111">
                  <c:v>45912</c:v>
                </c:pt>
                <c:pt idx="112">
                  <c:v>45911</c:v>
                </c:pt>
                <c:pt idx="113">
                  <c:v>45910</c:v>
                </c:pt>
                <c:pt idx="114">
                  <c:v>45909</c:v>
                </c:pt>
                <c:pt idx="115">
                  <c:v>45908</c:v>
                </c:pt>
                <c:pt idx="116">
                  <c:v>45907</c:v>
                </c:pt>
                <c:pt idx="117">
                  <c:v>45906</c:v>
                </c:pt>
                <c:pt idx="118">
                  <c:v>45905</c:v>
                </c:pt>
                <c:pt idx="119">
                  <c:v>45904</c:v>
                </c:pt>
                <c:pt idx="120">
                  <c:v>45903</c:v>
                </c:pt>
                <c:pt idx="121">
                  <c:v>45902</c:v>
                </c:pt>
                <c:pt idx="122">
                  <c:v>45901</c:v>
                </c:pt>
                <c:pt idx="123">
                  <c:v>45900</c:v>
                </c:pt>
                <c:pt idx="124">
                  <c:v>45899</c:v>
                </c:pt>
                <c:pt idx="125">
                  <c:v>45898</c:v>
                </c:pt>
                <c:pt idx="126">
                  <c:v>45897</c:v>
                </c:pt>
                <c:pt idx="127">
                  <c:v>45896</c:v>
                </c:pt>
                <c:pt idx="128">
                  <c:v>45895</c:v>
                </c:pt>
                <c:pt idx="129">
                  <c:v>45894</c:v>
                </c:pt>
                <c:pt idx="130">
                  <c:v>45893</c:v>
                </c:pt>
                <c:pt idx="131">
                  <c:v>45892</c:v>
                </c:pt>
                <c:pt idx="132">
                  <c:v>45891</c:v>
                </c:pt>
                <c:pt idx="133">
                  <c:v>45890</c:v>
                </c:pt>
                <c:pt idx="134">
                  <c:v>45889</c:v>
                </c:pt>
                <c:pt idx="135">
                  <c:v>45888</c:v>
                </c:pt>
                <c:pt idx="136">
                  <c:v>45887</c:v>
                </c:pt>
                <c:pt idx="137">
                  <c:v>45886</c:v>
                </c:pt>
                <c:pt idx="138">
                  <c:v>45885</c:v>
                </c:pt>
                <c:pt idx="139">
                  <c:v>45884</c:v>
                </c:pt>
                <c:pt idx="140">
                  <c:v>45883</c:v>
                </c:pt>
                <c:pt idx="141">
                  <c:v>45882</c:v>
                </c:pt>
                <c:pt idx="142">
                  <c:v>45881</c:v>
                </c:pt>
                <c:pt idx="143">
                  <c:v>45880</c:v>
                </c:pt>
                <c:pt idx="144">
                  <c:v>45879</c:v>
                </c:pt>
                <c:pt idx="145">
                  <c:v>45878</c:v>
                </c:pt>
                <c:pt idx="146">
                  <c:v>45877</c:v>
                </c:pt>
                <c:pt idx="147">
                  <c:v>45876</c:v>
                </c:pt>
                <c:pt idx="148">
                  <c:v>45875</c:v>
                </c:pt>
                <c:pt idx="149">
                  <c:v>45874</c:v>
                </c:pt>
                <c:pt idx="150">
                  <c:v>45873</c:v>
                </c:pt>
                <c:pt idx="151">
                  <c:v>45872</c:v>
                </c:pt>
                <c:pt idx="152">
                  <c:v>45871</c:v>
                </c:pt>
                <c:pt idx="153">
                  <c:v>45870</c:v>
                </c:pt>
                <c:pt idx="154">
                  <c:v>45869</c:v>
                </c:pt>
                <c:pt idx="155">
                  <c:v>45868</c:v>
                </c:pt>
                <c:pt idx="156">
                  <c:v>45867</c:v>
                </c:pt>
                <c:pt idx="157">
                  <c:v>45866</c:v>
                </c:pt>
                <c:pt idx="158">
                  <c:v>45865</c:v>
                </c:pt>
                <c:pt idx="159">
                  <c:v>45864</c:v>
                </c:pt>
                <c:pt idx="160">
                  <c:v>45863</c:v>
                </c:pt>
                <c:pt idx="161">
                  <c:v>45862</c:v>
                </c:pt>
                <c:pt idx="162">
                  <c:v>45861</c:v>
                </c:pt>
                <c:pt idx="163">
                  <c:v>45860</c:v>
                </c:pt>
                <c:pt idx="164">
                  <c:v>45859</c:v>
                </c:pt>
                <c:pt idx="165">
                  <c:v>45858</c:v>
                </c:pt>
                <c:pt idx="166">
                  <c:v>45857</c:v>
                </c:pt>
                <c:pt idx="167">
                  <c:v>45856</c:v>
                </c:pt>
                <c:pt idx="168">
                  <c:v>45855</c:v>
                </c:pt>
                <c:pt idx="169">
                  <c:v>45854</c:v>
                </c:pt>
                <c:pt idx="170">
                  <c:v>45853</c:v>
                </c:pt>
                <c:pt idx="171">
                  <c:v>45852</c:v>
                </c:pt>
                <c:pt idx="172">
                  <c:v>45851</c:v>
                </c:pt>
                <c:pt idx="173">
                  <c:v>45850</c:v>
                </c:pt>
                <c:pt idx="174">
                  <c:v>45849</c:v>
                </c:pt>
                <c:pt idx="175">
                  <c:v>45848</c:v>
                </c:pt>
                <c:pt idx="176">
                  <c:v>45847</c:v>
                </c:pt>
                <c:pt idx="177">
                  <c:v>45846</c:v>
                </c:pt>
                <c:pt idx="178">
                  <c:v>45845</c:v>
                </c:pt>
                <c:pt idx="179">
                  <c:v>45844</c:v>
                </c:pt>
                <c:pt idx="180">
                  <c:v>45843</c:v>
                </c:pt>
                <c:pt idx="181">
                  <c:v>45842</c:v>
                </c:pt>
                <c:pt idx="182">
                  <c:v>45841</c:v>
                </c:pt>
                <c:pt idx="183">
                  <c:v>45840</c:v>
                </c:pt>
                <c:pt idx="184">
                  <c:v>45839</c:v>
                </c:pt>
                <c:pt idx="185">
                  <c:v>45838</c:v>
                </c:pt>
                <c:pt idx="186">
                  <c:v>45837</c:v>
                </c:pt>
                <c:pt idx="187">
                  <c:v>45836</c:v>
                </c:pt>
                <c:pt idx="188">
                  <c:v>45835</c:v>
                </c:pt>
                <c:pt idx="189">
                  <c:v>45834</c:v>
                </c:pt>
                <c:pt idx="190">
                  <c:v>45833</c:v>
                </c:pt>
                <c:pt idx="191">
                  <c:v>45832</c:v>
                </c:pt>
                <c:pt idx="192">
                  <c:v>45831</c:v>
                </c:pt>
                <c:pt idx="193">
                  <c:v>45830</c:v>
                </c:pt>
                <c:pt idx="194">
                  <c:v>45829</c:v>
                </c:pt>
                <c:pt idx="195">
                  <c:v>45828</c:v>
                </c:pt>
                <c:pt idx="196">
                  <c:v>45827</c:v>
                </c:pt>
                <c:pt idx="197">
                  <c:v>45826</c:v>
                </c:pt>
                <c:pt idx="198">
                  <c:v>45825</c:v>
                </c:pt>
                <c:pt idx="199">
                  <c:v>45824</c:v>
                </c:pt>
                <c:pt idx="200">
                  <c:v>45823</c:v>
                </c:pt>
                <c:pt idx="201">
                  <c:v>45822</c:v>
                </c:pt>
                <c:pt idx="202">
                  <c:v>45821</c:v>
                </c:pt>
                <c:pt idx="203">
                  <c:v>45820</c:v>
                </c:pt>
                <c:pt idx="204">
                  <c:v>45819</c:v>
                </c:pt>
                <c:pt idx="205">
                  <c:v>45818</c:v>
                </c:pt>
                <c:pt idx="206">
                  <c:v>45817</c:v>
                </c:pt>
                <c:pt idx="207">
                  <c:v>45816</c:v>
                </c:pt>
                <c:pt idx="208">
                  <c:v>45815</c:v>
                </c:pt>
                <c:pt idx="209">
                  <c:v>45814</c:v>
                </c:pt>
                <c:pt idx="210">
                  <c:v>45813</c:v>
                </c:pt>
                <c:pt idx="211">
                  <c:v>45812</c:v>
                </c:pt>
                <c:pt idx="212">
                  <c:v>45811</c:v>
                </c:pt>
                <c:pt idx="213">
                  <c:v>45810</c:v>
                </c:pt>
                <c:pt idx="214">
                  <c:v>45809</c:v>
                </c:pt>
                <c:pt idx="215">
                  <c:v>45808</c:v>
                </c:pt>
                <c:pt idx="216">
                  <c:v>45807</c:v>
                </c:pt>
                <c:pt idx="217">
                  <c:v>45806</c:v>
                </c:pt>
                <c:pt idx="218">
                  <c:v>45805</c:v>
                </c:pt>
                <c:pt idx="219">
                  <c:v>45804</c:v>
                </c:pt>
                <c:pt idx="220">
                  <c:v>45803</c:v>
                </c:pt>
                <c:pt idx="221">
                  <c:v>45802</c:v>
                </c:pt>
                <c:pt idx="222">
                  <c:v>45801</c:v>
                </c:pt>
                <c:pt idx="223">
                  <c:v>45800</c:v>
                </c:pt>
                <c:pt idx="224">
                  <c:v>45799</c:v>
                </c:pt>
                <c:pt idx="225">
                  <c:v>45798</c:v>
                </c:pt>
                <c:pt idx="226">
                  <c:v>45797</c:v>
                </c:pt>
                <c:pt idx="227">
                  <c:v>45796</c:v>
                </c:pt>
                <c:pt idx="228">
                  <c:v>45795</c:v>
                </c:pt>
                <c:pt idx="229">
                  <c:v>45794</c:v>
                </c:pt>
                <c:pt idx="230">
                  <c:v>45793</c:v>
                </c:pt>
                <c:pt idx="231">
                  <c:v>45792</c:v>
                </c:pt>
                <c:pt idx="232">
                  <c:v>45791</c:v>
                </c:pt>
                <c:pt idx="233">
                  <c:v>45790</c:v>
                </c:pt>
                <c:pt idx="234">
                  <c:v>45789</c:v>
                </c:pt>
                <c:pt idx="235">
                  <c:v>45788</c:v>
                </c:pt>
                <c:pt idx="236">
                  <c:v>45787</c:v>
                </c:pt>
                <c:pt idx="237">
                  <c:v>45786</c:v>
                </c:pt>
                <c:pt idx="238">
                  <c:v>45785</c:v>
                </c:pt>
                <c:pt idx="239">
                  <c:v>45784</c:v>
                </c:pt>
                <c:pt idx="240">
                  <c:v>45783</c:v>
                </c:pt>
                <c:pt idx="241">
                  <c:v>45782</c:v>
                </c:pt>
                <c:pt idx="242">
                  <c:v>45781</c:v>
                </c:pt>
                <c:pt idx="243">
                  <c:v>45780</c:v>
                </c:pt>
                <c:pt idx="244">
                  <c:v>45779</c:v>
                </c:pt>
                <c:pt idx="245">
                  <c:v>45778</c:v>
                </c:pt>
                <c:pt idx="246">
                  <c:v>45777</c:v>
                </c:pt>
                <c:pt idx="247">
                  <c:v>45776</c:v>
                </c:pt>
                <c:pt idx="248">
                  <c:v>45775</c:v>
                </c:pt>
                <c:pt idx="249">
                  <c:v>45774</c:v>
                </c:pt>
                <c:pt idx="250">
                  <c:v>45773</c:v>
                </c:pt>
                <c:pt idx="251">
                  <c:v>45772</c:v>
                </c:pt>
                <c:pt idx="252">
                  <c:v>45771</c:v>
                </c:pt>
                <c:pt idx="253">
                  <c:v>45770</c:v>
                </c:pt>
                <c:pt idx="254">
                  <c:v>45769</c:v>
                </c:pt>
                <c:pt idx="255">
                  <c:v>45768</c:v>
                </c:pt>
                <c:pt idx="256">
                  <c:v>45767</c:v>
                </c:pt>
                <c:pt idx="257">
                  <c:v>45766</c:v>
                </c:pt>
                <c:pt idx="258">
                  <c:v>45765</c:v>
                </c:pt>
                <c:pt idx="259">
                  <c:v>45764</c:v>
                </c:pt>
                <c:pt idx="260">
                  <c:v>45763</c:v>
                </c:pt>
                <c:pt idx="261">
                  <c:v>45762</c:v>
                </c:pt>
                <c:pt idx="262">
                  <c:v>45761</c:v>
                </c:pt>
                <c:pt idx="263">
                  <c:v>45760</c:v>
                </c:pt>
                <c:pt idx="264">
                  <c:v>45759</c:v>
                </c:pt>
                <c:pt idx="265">
                  <c:v>45758</c:v>
                </c:pt>
                <c:pt idx="266">
                  <c:v>45757</c:v>
                </c:pt>
                <c:pt idx="267">
                  <c:v>45756</c:v>
                </c:pt>
                <c:pt idx="268">
                  <c:v>45755</c:v>
                </c:pt>
                <c:pt idx="269">
                  <c:v>45754</c:v>
                </c:pt>
                <c:pt idx="270">
                  <c:v>45753</c:v>
                </c:pt>
                <c:pt idx="271">
                  <c:v>45752</c:v>
                </c:pt>
                <c:pt idx="272">
                  <c:v>45751</c:v>
                </c:pt>
                <c:pt idx="273">
                  <c:v>45750</c:v>
                </c:pt>
                <c:pt idx="274">
                  <c:v>45749</c:v>
                </c:pt>
                <c:pt idx="275">
                  <c:v>45748</c:v>
                </c:pt>
                <c:pt idx="276">
                  <c:v>45747</c:v>
                </c:pt>
                <c:pt idx="277">
                  <c:v>45746</c:v>
                </c:pt>
                <c:pt idx="278">
                  <c:v>45745</c:v>
                </c:pt>
                <c:pt idx="279">
                  <c:v>45744</c:v>
                </c:pt>
                <c:pt idx="280">
                  <c:v>45743</c:v>
                </c:pt>
                <c:pt idx="281">
                  <c:v>45742</c:v>
                </c:pt>
                <c:pt idx="282">
                  <c:v>45741</c:v>
                </c:pt>
                <c:pt idx="283">
                  <c:v>45740</c:v>
                </c:pt>
                <c:pt idx="284">
                  <c:v>45739</c:v>
                </c:pt>
                <c:pt idx="285">
                  <c:v>45738</c:v>
                </c:pt>
                <c:pt idx="286">
                  <c:v>45737</c:v>
                </c:pt>
                <c:pt idx="287">
                  <c:v>45736</c:v>
                </c:pt>
                <c:pt idx="288">
                  <c:v>45735</c:v>
                </c:pt>
                <c:pt idx="289">
                  <c:v>45734</c:v>
                </c:pt>
                <c:pt idx="290">
                  <c:v>45733</c:v>
                </c:pt>
                <c:pt idx="291">
                  <c:v>45732</c:v>
                </c:pt>
                <c:pt idx="292">
                  <c:v>45731</c:v>
                </c:pt>
                <c:pt idx="293">
                  <c:v>45730</c:v>
                </c:pt>
                <c:pt idx="294">
                  <c:v>45729</c:v>
                </c:pt>
                <c:pt idx="295">
                  <c:v>45728</c:v>
                </c:pt>
                <c:pt idx="296">
                  <c:v>45727</c:v>
                </c:pt>
                <c:pt idx="297">
                  <c:v>45726</c:v>
                </c:pt>
                <c:pt idx="298">
                  <c:v>45725</c:v>
                </c:pt>
                <c:pt idx="299">
                  <c:v>45724</c:v>
                </c:pt>
                <c:pt idx="300">
                  <c:v>45723</c:v>
                </c:pt>
                <c:pt idx="301">
                  <c:v>45722</c:v>
                </c:pt>
                <c:pt idx="302">
                  <c:v>45721</c:v>
                </c:pt>
                <c:pt idx="303">
                  <c:v>45720</c:v>
                </c:pt>
                <c:pt idx="304">
                  <c:v>45719</c:v>
                </c:pt>
                <c:pt idx="305">
                  <c:v>45718</c:v>
                </c:pt>
                <c:pt idx="306">
                  <c:v>45717</c:v>
                </c:pt>
                <c:pt idx="307">
                  <c:v>45716</c:v>
                </c:pt>
                <c:pt idx="308">
                  <c:v>45715</c:v>
                </c:pt>
                <c:pt idx="309">
                  <c:v>45714</c:v>
                </c:pt>
                <c:pt idx="310">
                  <c:v>45713</c:v>
                </c:pt>
                <c:pt idx="311">
                  <c:v>45712</c:v>
                </c:pt>
                <c:pt idx="312">
                  <c:v>45711</c:v>
                </c:pt>
                <c:pt idx="313">
                  <c:v>45710</c:v>
                </c:pt>
                <c:pt idx="314">
                  <c:v>45709</c:v>
                </c:pt>
                <c:pt idx="315">
                  <c:v>45708</c:v>
                </c:pt>
                <c:pt idx="316">
                  <c:v>45707</c:v>
                </c:pt>
                <c:pt idx="317">
                  <c:v>45706</c:v>
                </c:pt>
                <c:pt idx="318">
                  <c:v>45705</c:v>
                </c:pt>
                <c:pt idx="319">
                  <c:v>45704</c:v>
                </c:pt>
                <c:pt idx="320">
                  <c:v>45703</c:v>
                </c:pt>
                <c:pt idx="321">
                  <c:v>45702</c:v>
                </c:pt>
                <c:pt idx="322">
                  <c:v>45701</c:v>
                </c:pt>
                <c:pt idx="323">
                  <c:v>45700</c:v>
                </c:pt>
                <c:pt idx="324">
                  <c:v>45699</c:v>
                </c:pt>
                <c:pt idx="325">
                  <c:v>45698</c:v>
                </c:pt>
                <c:pt idx="326">
                  <c:v>45697</c:v>
                </c:pt>
                <c:pt idx="327">
                  <c:v>45696</c:v>
                </c:pt>
                <c:pt idx="328">
                  <c:v>45695</c:v>
                </c:pt>
                <c:pt idx="329">
                  <c:v>45694</c:v>
                </c:pt>
                <c:pt idx="330">
                  <c:v>45693</c:v>
                </c:pt>
                <c:pt idx="331">
                  <c:v>45692</c:v>
                </c:pt>
                <c:pt idx="332">
                  <c:v>45691</c:v>
                </c:pt>
                <c:pt idx="333">
                  <c:v>45690</c:v>
                </c:pt>
                <c:pt idx="334">
                  <c:v>45689</c:v>
                </c:pt>
                <c:pt idx="335">
                  <c:v>45688</c:v>
                </c:pt>
                <c:pt idx="336">
                  <c:v>45687</c:v>
                </c:pt>
                <c:pt idx="337">
                  <c:v>45686</c:v>
                </c:pt>
                <c:pt idx="338">
                  <c:v>45685</c:v>
                </c:pt>
                <c:pt idx="339">
                  <c:v>45684</c:v>
                </c:pt>
                <c:pt idx="340">
                  <c:v>45683</c:v>
                </c:pt>
                <c:pt idx="341">
                  <c:v>45682</c:v>
                </c:pt>
                <c:pt idx="342">
                  <c:v>45681</c:v>
                </c:pt>
                <c:pt idx="343">
                  <c:v>45680</c:v>
                </c:pt>
                <c:pt idx="344">
                  <c:v>45679</c:v>
                </c:pt>
                <c:pt idx="345">
                  <c:v>45678</c:v>
                </c:pt>
                <c:pt idx="346">
                  <c:v>45677</c:v>
                </c:pt>
                <c:pt idx="347">
                  <c:v>45676</c:v>
                </c:pt>
                <c:pt idx="348">
                  <c:v>45675</c:v>
                </c:pt>
                <c:pt idx="349">
                  <c:v>45674</c:v>
                </c:pt>
                <c:pt idx="350">
                  <c:v>45673</c:v>
                </c:pt>
                <c:pt idx="351">
                  <c:v>45672</c:v>
                </c:pt>
                <c:pt idx="352">
                  <c:v>45671</c:v>
                </c:pt>
                <c:pt idx="353">
                  <c:v>45670</c:v>
                </c:pt>
                <c:pt idx="354">
                  <c:v>45669</c:v>
                </c:pt>
                <c:pt idx="355">
                  <c:v>45668</c:v>
                </c:pt>
                <c:pt idx="356">
                  <c:v>45667</c:v>
                </c:pt>
                <c:pt idx="357">
                  <c:v>45666</c:v>
                </c:pt>
                <c:pt idx="358">
                  <c:v>45665</c:v>
                </c:pt>
                <c:pt idx="359">
                  <c:v>45664</c:v>
                </c:pt>
                <c:pt idx="360">
                  <c:v>45663</c:v>
                </c:pt>
                <c:pt idx="361">
                  <c:v>45662</c:v>
                </c:pt>
                <c:pt idx="362">
                  <c:v>45661</c:v>
                </c:pt>
                <c:pt idx="363">
                  <c:v>45660</c:v>
                </c:pt>
                <c:pt idx="364">
                  <c:v>45659</c:v>
                </c:pt>
                <c:pt idx="365">
                  <c:v>45658</c:v>
                </c:pt>
                <c:pt idx="366">
                  <c:v>45657</c:v>
                </c:pt>
                <c:pt idx="367">
                  <c:v>45656</c:v>
                </c:pt>
                <c:pt idx="368">
                  <c:v>45655</c:v>
                </c:pt>
                <c:pt idx="369">
                  <c:v>45654</c:v>
                </c:pt>
                <c:pt idx="370">
                  <c:v>45653</c:v>
                </c:pt>
                <c:pt idx="371">
                  <c:v>45652</c:v>
                </c:pt>
              </c:numCache>
            </c:numRef>
          </c:cat>
          <c:val>
            <c:numRef>
              <c:f>Calculation!$N$2:$N$437</c:f>
              <c:numCache>
                <c:formatCode>_(* #\ ##0_);_(* \(#\ ##0\);_(* "-"_);_(@_)</c:formatCode>
                <c:ptCount val="436"/>
                <c:pt idx="0">
                  <c:v>7152.9</c:v>
                </c:pt>
                <c:pt idx="1">
                  <c:v>7152.9</c:v>
                </c:pt>
                <c:pt idx="2">
                  <c:v>7152.9</c:v>
                </c:pt>
                <c:pt idx="3">
                  <c:v>7078.14</c:v>
                </c:pt>
                <c:pt idx="4">
                  <c:v>7127.42</c:v>
                </c:pt>
                <c:pt idx="5">
                  <c:v>7127.42</c:v>
                </c:pt>
                <c:pt idx="6">
                  <c:v>7127.42</c:v>
                </c:pt>
                <c:pt idx="7">
                  <c:v>6997.91</c:v>
                </c:pt>
                <c:pt idx="8">
                  <c:v>7042.1</c:v>
                </c:pt>
                <c:pt idx="9">
                  <c:v>7072.94</c:v>
                </c:pt>
                <c:pt idx="10">
                  <c:v>7062.66</c:v>
                </c:pt>
                <c:pt idx="11">
                  <c:v>7177.98</c:v>
                </c:pt>
                <c:pt idx="12">
                  <c:v>7177.98</c:v>
                </c:pt>
                <c:pt idx="13">
                  <c:v>7177.98</c:v>
                </c:pt>
                <c:pt idx="14">
                  <c:v>7191.18</c:v>
                </c:pt>
                <c:pt idx="15">
                  <c:v>7249.71</c:v>
                </c:pt>
                <c:pt idx="16">
                  <c:v>7295.66</c:v>
                </c:pt>
                <c:pt idx="17">
                  <c:v>7217.59</c:v>
                </c:pt>
                <c:pt idx="18">
                  <c:v>7189.33</c:v>
                </c:pt>
                <c:pt idx="19">
                  <c:v>7189.33</c:v>
                </c:pt>
                <c:pt idx="20">
                  <c:v>7189.33</c:v>
                </c:pt>
                <c:pt idx="21">
                  <c:v>7222.7</c:v>
                </c:pt>
                <c:pt idx="22">
                  <c:v>7144.73</c:v>
                </c:pt>
                <c:pt idx="23">
                  <c:v>7083.28</c:v>
                </c:pt>
                <c:pt idx="24">
                  <c:v>7098.82</c:v>
                </c:pt>
                <c:pt idx="25">
                  <c:v>7146.59</c:v>
                </c:pt>
                <c:pt idx="26">
                  <c:v>7146.59</c:v>
                </c:pt>
                <c:pt idx="27">
                  <c:v>7146.59</c:v>
                </c:pt>
                <c:pt idx="28">
                  <c:v>6988.54</c:v>
                </c:pt>
                <c:pt idx="29">
                  <c:v>6972.39</c:v>
                </c:pt>
                <c:pt idx="30">
                  <c:v>7027.68</c:v>
                </c:pt>
                <c:pt idx="31">
                  <c:v>7083.82</c:v>
                </c:pt>
                <c:pt idx="32">
                  <c:v>7056.61</c:v>
                </c:pt>
                <c:pt idx="33">
                  <c:v>7056.61</c:v>
                </c:pt>
                <c:pt idx="34">
                  <c:v>7056.61</c:v>
                </c:pt>
                <c:pt idx="35">
                  <c:v>6875.94</c:v>
                </c:pt>
                <c:pt idx="36">
                  <c:v>7028.59</c:v>
                </c:pt>
                <c:pt idx="37">
                  <c:v>7093.55</c:v>
                </c:pt>
                <c:pt idx="38">
                  <c:v>7009.51</c:v>
                </c:pt>
                <c:pt idx="39">
                  <c:v>7111.03</c:v>
                </c:pt>
                <c:pt idx="40">
                  <c:v>7111.03</c:v>
                </c:pt>
                <c:pt idx="41">
                  <c:v>7111.03</c:v>
                </c:pt>
                <c:pt idx="42">
                  <c:v>6921.92</c:v>
                </c:pt>
                <c:pt idx="43">
                  <c:v>6970.04</c:v>
                </c:pt>
                <c:pt idx="44">
                  <c:v>6690.75</c:v>
                </c:pt>
                <c:pt idx="45">
                  <c:v>6509.81</c:v>
                </c:pt>
                <c:pt idx="46">
                  <c:v>6541.53</c:v>
                </c:pt>
                <c:pt idx="47">
                  <c:v>6541.53</c:v>
                </c:pt>
                <c:pt idx="48">
                  <c:v>6541.53</c:v>
                </c:pt>
                <c:pt idx="49">
                  <c:v>6571.03</c:v>
                </c:pt>
                <c:pt idx="50">
                  <c:v>6567.09</c:v>
                </c:pt>
                <c:pt idx="51">
                  <c:v>6650.58</c:v>
                </c:pt>
                <c:pt idx="52">
                  <c:v>6630.11</c:v>
                </c:pt>
                <c:pt idx="53">
                  <c:v>6690.55</c:v>
                </c:pt>
                <c:pt idx="54">
                  <c:v>6690.55</c:v>
                </c:pt>
                <c:pt idx="55">
                  <c:v>6690.55</c:v>
                </c:pt>
                <c:pt idx="56">
                  <c:v>6603</c:v>
                </c:pt>
                <c:pt idx="57">
                  <c:v>6617.28</c:v>
                </c:pt>
                <c:pt idx="58">
                  <c:v>6700.8</c:v>
                </c:pt>
                <c:pt idx="59">
                  <c:v>6700.8</c:v>
                </c:pt>
                <c:pt idx="60">
                  <c:v>6581.11</c:v>
                </c:pt>
                <c:pt idx="61">
                  <c:v>6581.11</c:v>
                </c:pt>
                <c:pt idx="62">
                  <c:v>6554.09</c:v>
                </c:pt>
                <c:pt idx="63">
                  <c:v>6646.52</c:v>
                </c:pt>
                <c:pt idx="64">
                  <c:v>6567.57</c:v>
                </c:pt>
                <c:pt idx="65">
                  <c:v>6488.4</c:v>
                </c:pt>
                <c:pt idx="66">
                  <c:v>6483.11</c:v>
                </c:pt>
                <c:pt idx="67">
                  <c:v>6688.82</c:v>
                </c:pt>
                <c:pt idx="68">
                  <c:v>6688.82</c:v>
                </c:pt>
                <c:pt idx="69">
                  <c:v>6688.82</c:v>
                </c:pt>
                <c:pt idx="70">
                  <c:v>6768.14</c:v>
                </c:pt>
                <c:pt idx="71">
                  <c:v>7062.8</c:v>
                </c:pt>
                <c:pt idx="72">
                  <c:v>6985.12</c:v>
                </c:pt>
                <c:pt idx="73">
                  <c:v>7290.25</c:v>
                </c:pt>
                <c:pt idx="74">
                  <c:v>7227.7</c:v>
                </c:pt>
                <c:pt idx="75">
                  <c:v>7227.7</c:v>
                </c:pt>
                <c:pt idx="76">
                  <c:v>7227.7</c:v>
                </c:pt>
                <c:pt idx="77">
                  <c:v>6870.6</c:v>
                </c:pt>
                <c:pt idx="78">
                  <c:v>6715.71</c:v>
                </c:pt>
                <c:pt idx="79">
                  <c:v>6741.29</c:v>
                </c:pt>
                <c:pt idx="80">
                  <c:v>6838.71</c:v>
                </c:pt>
                <c:pt idx="81">
                  <c:v>6878.94</c:v>
                </c:pt>
                <c:pt idx="82">
                  <c:v>6878.94</c:v>
                </c:pt>
                <c:pt idx="83">
                  <c:v>6878.94</c:v>
                </c:pt>
                <c:pt idx="84">
                  <c:v>7001.09</c:v>
                </c:pt>
                <c:pt idx="85">
                  <c:v>6782.18</c:v>
                </c:pt>
                <c:pt idx="86">
                  <c:v>7034.29</c:v>
                </c:pt>
                <c:pt idx="87">
                  <c:v>7006.1</c:v>
                </c:pt>
                <c:pt idx="88">
                  <c:v>6896.97</c:v>
                </c:pt>
                <c:pt idx="89">
                  <c:v>6896.97</c:v>
                </c:pt>
                <c:pt idx="90">
                  <c:v>6896.97</c:v>
                </c:pt>
                <c:pt idx="91">
                  <c:v>6999.69</c:v>
                </c:pt>
                <c:pt idx="92">
                  <c:v>7025.15</c:v>
                </c:pt>
                <c:pt idx="93">
                  <c:v>7120.28</c:v>
                </c:pt>
                <c:pt idx="94">
                  <c:v>7126.47</c:v>
                </c:pt>
                <c:pt idx="95">
                  <c:v>7257.95</c:v>
                </c:pt>
                <c:pt idx="96">
                  <c:v>7257.95</c:v>
                </c:pt>
                <c:pt idx="97">
                  <c:v>7257.95</c:v>
                </c:pt>
                <c:pt idx="98">
                  <c:v>7188.44</c:v>
                </c:pt>
                <c:pt idx="99">
                  <c:v>7212.77</c:v>
                </c:pt>
                <c:pt idx="100">
                  <c:v>7298.26</c:v>
                </c:pt>
                <c:pt idx="101">
                  <c:v>7271.8</c:v>
                </c:pt>
                <c:pt idx="102">
                  <c:v>7315.83</c:v>
                </c:pt>
                <c:pt idx="103">
                  <c:v>7315.83</c:v>
                </c:pt>
                <c:pt idx="104">
                  <c:v>7315.83</c:v>
                </c:pt>
                <c:pt idx="105">
                  <c:v>7441.89</c:v>
                </c:pt>
                <c:pt idx="106">
                  <c:v>7510.16</c:v>
                </c:pt>
                <c:pt idx="107">
                  <c:v>7471.28</c:v>
                </c:pt>
                <c:pt idx="108">
                  <c:v>7498.09</c:v>
                </c:pt>
                <c:pt idx="109">
                  <c:v>7563.36</c:v>
                </c:pt>
                <c:pt idx="110">
                  <c:v>7563.36</c:v>
                </c:pt>
                <c:pt idx="111">
                  <c:v>7563.36</c:v>
                </c:pt>
                <c:pt idx="112">
                  <c:v>7765.74</c:v>
                </c:pt>
                <c:pt idx="113">
                  <c:v>7753.39</c:v>
                </c:pt>
                <c:pt idx="114">
                  <c:v>7817.98</c:v>
                </c:pt>
                <c:pt idx="115">
                  <c:v>7764.9</c:v>
                </c:pt>
                <c:pt idx="116">
                  <c:v>7744.8</c:v>
                </c:pt>
                <c:pt idx="117">
                  <c:v>7744.8</c:v>
                </c:pt>
                <c:pt idx="118">
                  <c:v>7744.8</c:v>
                </c:pt>
                <c:pt idx="119">
                  <c:v>7640.9</c:v>
                </c:pt>
                <c:pt idx="120">
                  <c:v>7621.27</c:v>
                </c:pt>
                <c:pt idx="121">
                  <c:v>7563.36</c:v>
                </c:pt>
                <c:pt idx="122">
                  <c:v>7721.32</c:v>
                </c:pt>
                <c:pt idx="123">
                  <c:v>7753.09</c:v>
                </c:pt>
                <c:pt idx="124">
                  <c:v>7753.09</c:v>
                </c:pt>
                <c:pt idx="125">
                  <c:v>7753.09</c:v>
                </c:pt>
                <c:pt idx="126">
                  <c:v>7729.41</c:v>
                </c:pt>
                <c:pt idx="127">
                  <c:v>7733.58</c:v>
                </c:pt>
                <c:pt idx="128">
                  <c:v>7636.95</c:v>
                </c:pt>
                <c:pt idx="129">
                  <c:v>7656.37</c:v>
                </c:pt>
                <c:pt idx="130">
                  <c:v>7691</c:v>
                </c:pt>
                <c:pt idx="131">
                  <c:v>7691</c:v>
                </c:pt>
                <c:pt idx="132">
                  <c:v>7691</c:v>
                </c:pt>
                <c:pt idx="133">
                  <c:v>7671.32</c:v>
                </c:pt>
                <c:pt idx="134">
                  <c:v>7846.21</c:v>
                </c:pt>
                <c:pt idx="135">
                  <c:v>7945.26</c:v>
                </c:pt>
                <c:pt idx="136">
                  <c:v>7917.21</c:v>
                </c:pt>
                <c:pt idx="137">
                  <c:v>8151.57</c:v>
                </c:pt>
                <c:pt idx="138">
                  <c:v>8151.57</c:v>
                </c:pt>
                <c:pt idx="139">
                  <c:v>8151.57</c:v>
                </c:pt>
                <c:pt idx="140">
                  <c:v>8019.3</c:v>
                </c:pt>
                <c:pt idx="141">
                  <c:v>7997.64</c:v>
                </c:pt>
                <c:pt idx="142">
                  <c:v>8022.23</c:v>
                </c:pt>
                <c:pt idx="143">
                  <c:v>7966.65</c:v>
                </c:pt>
                <c:pt idx="144">
                  <c:v>7817.1</c:v>
                </c:pt>
                <c:pt idx="145">
                  <c:v>7817.1</c:v>
                </c:pt>
                <c:pt idx="146">
                  <c:v>7817.1</c:v>
                </c:pt>
                <c:pt idx="147">
                  <c:v>7675.9</c:v>
                </c:pt>
                <c:pt idx="148">
                  <c:v>7270.54</c:v>
                </c:pt>
                <c:pt idx="149">
                  <c:v>7354.3</c:v>
                </c:pt>
                <c:pt idx="150">
                  <c:v>7319.68</c:v>
                </c:pt>
                <c:pt idx="151">
                  <c:v>7159.25</c:v>
                </c:pt>
                <c:pt idx="152">
                  <c:v>7159.25</c:v>
                </c:pt>
                <c:pt idx="153">
                  <c:v>7159.25</c:v>
                </c:pt>
                <c:pt idx="154">
                  <c:v>7158.58</c:v>
                </c:pt>
                <c:pt idx="155">
                  <c:v>7153.13</c:v>
                </c:pt>
                <c:pt idx="156">
                  <c:v>7241.74</c:v>
                </c:pt>
                <c:pt idx="157">
                  <c:v>7200.26</c:v>
                </c:pt>
                <c:pt idx="158">
                  <c:v>7315.77</c:v>
                </c:pt>
                <c:pt idx="159">
                  <c:v>7315.77</c:v>
                </c:pt>
                <c:pt idx="160">
                  <c:v>7315.77</c:v>
                </c:pt>
                <c:pt idx="161">
                  <c:v>7412.74</c:v>
                </c:pt>
                <c:pt idx="162">
                  <c:v>7492.75</c:v>
                </c:pt>
                <c:pt idx="163">
                  <c:v>7453.76</c:v>
                </c:pt>
                <c:pt idx="164">
                  <c:v>7450.26</c:v>
                </c:pt>
                <c:pt idx="165">
                  <c:v>7346.38</c:v>
                </c:pt>
                <c:pt idx="166">
                  <c:v>7346.38</c:v>
                </c:pt>
                <c:pt idx="167">
                  <c:v>7346.38</c:v>
                </c:pt>
                <c:pt idx="168">
                  <c:v>7202.01</c:v>
                </c:pt>
                <c:pt idx="169">
                  <c:v>7302.45</c:v>
                </c:pt>
                <c:pt idx="170">
                  <c:v>7258.53</c:v>
                </c:pt>
                <c:pt idx="171">
                  <c:v>7192.15</c:v>
                </c:pt>
                <c:pt idx="172">
                  <c:v>6982.8</c:v>
                </c:pt>
                <c:pt idx="173">
                  <c:v>6982.8</c:v>
                </c:pt>
                <c:pt idx="174">
                  <c:v>6982.8</c:v>
                </c:pt>
                <c:pt idx="175">
                  <c:v>7236.19</c:v>
                </c:pt>
                <c:pt idx="176">
                  <c:v>7118.8</c:v>
                </c:pt>
                <c:pt idx="177">
                  <c:v>7302.94</c:v>
                </c:pt>
                <c:pt idx="178">
                  <c:v>7344.09</c:v>
                </c:pt>
                <c:pt idx="179">
                  <c:v>7439.37</c:v>
                </c:pt>
                <c:pt idx="180">
                  <c:v>7439.37</c:v>
                </c:pt>
                <c:pt idx="181">
                  <c:v>7439.37</c:v>
                </c:pt>
                <c:pt idx="182">
                  <c:v>7508.68</c:v>
                </c:pt>
                <c:pt idx="183">
                  <c:v>7527.49</c:v>
                </c:pt>
                <c:pt idx="184">
                  <c:v>7652.78</c:v>
                </c:pt>
                <c:pt idx="185">
                  <c:v>7673.65</c:v>
                </c:pt>
                <c:pt idx="186">
                  <c:v>7567.55</c:v>
                </c:pt>
                <c:pt idx="187">
                  <c:v>7567.55</c:v>
                </c:pt>
                <c:pt idx="188">
                  <c:v>7567.55</c:v>
                </c:pt>
                <c:pt idx="189">
                  <c:v>7524.49</c:v>
                </c:pt>
                <c:pt idx="190">
                  <c:v>7527.55</c:v>
                </c:pt>
                <c:pt idx="191">
                  <c:v>7401.73</c:v>
                </c:pt>
                <c:pt idx="192">
                  <c:v>7514.14</c:v>
                </c:pt>
                <c:pt idx="193">
                  <c:v>7443.58</c:v>
                </c:pt>
                <c:pt idx="194">
                  <c:v>7443.58</c:v>
                </c:pt>
                <c:pt idx="195">
                  <c:v>7443.58</c:v>
                </c:pt>
                <c:pt idx="196">
                  <c:v>7559.09</c:v>
                </c:pt>
                <c:pt idx="197">
                  <c:v>7566.77</c:v>
                </c:pt>
                <c:pt idx="198">
                  <c:v>7555.07</c:v>
                </c:pt>
                <c:pt idx="199">
                  <c:v>7375.06</c:v>
                </c:pt>
                <c:pt idx="200">
                  <c:v>7425.59</c:v>
                </c:pt>
                <c:pt idx="201">
                  <c:v>7425.59</c:v>
                </c:pt>
                <c:pt idx="202">
                  <c:v>7425.59</c:v>
                </c:pt>
                <c:pt idx="203">
                  <c:v>7252.03</c:v>
                </c:pt>
                <c:pt idx="204">
                  <c:v>7252.03</c:v>
                </c:pt>
                <c:pt idx="205">
                  <c:v>7242.02</c:v>
                </c:pt>
                <c:pt idx="206">
                  <c:v>7320.44</c:v>
                </c:pt>
                <c:pt idx="207">
                  <c:v>7455.39</c:v>
                </c:pt>
                <c:pt idx="208">
                  <c:v>7455.39</c:v>
                </c:pt>
                <c:pt idx="209">
                  <c:v>7455.39</c:v>
                </c:pt>
                <c:pt idx="210">
                  <c:v>7639.77</c:v>
                </c:pt>
                <c:pt idx="211">
                  <c:v>7604.41</c:v>
                </c:pt>
                <c:pt idx="212">
                  <c:v>7638.03</c:v>
                </c:pt>
                <c:pt idx="213">
                  <c:v>7653.38</c:v>
                </c:pt>
                <c:pt idx="214">
                  <c:v>7689.3</c:v>
                </c:pt>
                <c:pt idx="215">
                  <c:v>7689.3</c:v>
                </c:pt>
                <c:pt idx="216">
                  <c:v>7689.3</c:v>
                </c:pt>
                <c:pt idx="217">
                  <c:v>7624.42</c:v>
                </c:pt>
                <c:pt idx="218">
                  <c:v>7536.47</c:v>
                </c:pt>
                <c:pt idx="219">
                  <c:v>7426.5</c:v>
                </c:pt>
                <c:pt idx="220">
                  <c:v>7360.14</c:v>
                </c:pt>
                <c:pt idx="221">
                  <c:v>7535.58</c:v>
                </c:pt>
                <c:pt idx="222">
                  <c:v>7535.58</c:v>
                </c:pt>
                <c:pt idx="223">
                  <c:v>7535.58</c:v>
                </c:pt>
                <c:pt idx="224">
                  <c:v>7612.02</c:v>
                </c:pt>
                <c:pt idx="225">
                  <c:v>7697.47</c:v>
                </c:pt>
                <c:pt idx="226">
                  <c:v>7698.73</c:v>
                </c:pt>
                <c:pt idx="227">
                  <c:v>7890.02</c:v>
                </c:pt>
                <c:pt idx="228">
                  <c:v>7764.83</c:v>
                </c:pt>
                <c:pt idx="229">
                  <c:v>7764.83</c:v>
                </c:pt>
                <c:pt idx="230">
                  <c:v>7764.83</c:v>
                </c:pt>
                <c:pt idx="231">
                  <c:v>7779.14</c:v>
                </c:pt>
                <c:pt idx="232">
                  <c:v>8006.29</c:v>
                </c:pt>
                <c:pt idx="233">
                  <c:v>8041.72</c:v>
                </c:pt>
                <c:pt idx="234">
                  <c:v>8049.37</c:v>
                </c:pt>
                <c:pt idx="235">
                  <c:v>7832.99</c:v>
                </c:pt>
                <c:pt idx="236">
                  <c:v>7832.99</c:v>
                </c:pt>
                <c:pt idx="237">
                  <c:v>7832.99</c:v>
                </c:pt>
                <c:pt idx="238">
                  <c:v>7832.99</c:v>
                </c:pt>
                <c:pt idx="239">
                  <c:v>7753.92</c:v>
                </c:pt>
                <c:pt idx="240">
                  <c:v>7689.79</c:v>
                </c:pt>
                <c:pt idx="241">
                  <c:v>7489.82</c:v>
                </c:pt>
                <c:pt idx="242">
                  <c:v>7810.42</c:v>
                </c:pt>
                <c:pt idx="243">
                  <c:v>7810.42</c:v>
                </c:pt>
                <c:pt idx="244">
                  <c:v>7810.42</c:v>
                </c:pt>
                <c:pt idx="245">
                  <c:v>8035.19</c:v>
                </c:pt>
                <c:pt idx="246">
                  <c:v>8035.19</c:v>
                </c:pt>
                <c:pt idx="247">
                  <c:v>8149.9</c:v>
                </c:pt>
                <c:pt idx="248">
                  <c:v>8370.94</c:v>
                </c:pt>
                <c:pt idx="249">
                  <c:v>8326.67</c:v>
                </c:pt>
                <c:pt idx="250">
                  <c:v>8326.67</c:v>
                </c:pt>
                <c:pt idx="251">
                  <c:v>8326.67</c:v>
                </c:pt>
                <c:pt idx="252">
                  <c:v>8112.19</c:v>
                </c:pt>
                <c:pt idx="253">
                  <c:v>8112.2</c:v>
                </c:pt>
                <c:pt idx="254">
                  <c:v>8152.67</c:v>
                </c:pt>
                <c:pt idx="255">
                  <c:v>8090.52</c:v>
                </c:pt>
                <c:pt idx="256">
                  <c:v>7947.88</c:v>
                </c:pt>
                <c:pt idx="257">
                  <c:v>7947.88</c:v>
                </c:pt>
                <c:pt idx="258">
                  <c:v>7947.88</c:v>
                </c:pt>
                <c:pt idx="259">
                  <c:v>7901.05</c:v>
                </c:pt>
                <c:pt idx="260">
                  <c:v>7839.79</c:v>
                </c:pt>
                <c:pt idx="261">
                  <c:v>7685.4</c:v>
                </c:pt>
                <c:pt idx="262">
                  <c:v>7684.03</c:v>
                </c:pt>
                <c:pt idx="263">
                  <c:v>7691.6</c:v>
                </c:pt>
                <c:pt idx="264">
                  <c:v>7691.6</c:v>
                </c:pt>
                <c:pt idx="265">
                  <c:v>7691.6</c:v>
                </c:pt>
                <c:pt idx="266">
                  <c:v>7503.28</c:v>
                </c:pt>
                <c:pt idx="267">
                  <c:v>7150.64</c:v>
                </c:pt>
                <c:pt idx="268">
                  <c:v>7478.54</c:v>
                </c:pt>
                <c:pt idx="269">
                  <c:v>7448.61</c:v>
                </c:pt>
                <c:pt idx="270">
                  <c:v>7617.84</c:v>
                </c:pt>
                <c:pt idx="271">
                  <c:v>7617.84</c:v>
                </c:pt>
                <c:pt idx="272">
                  <c:v>7617.84</c:v>
                </c:pt>
                <c:pt idx="273">
                  <c:v>7828.16</c:v>
                </c:pt>
                <c:pt idx="274">
                  <c:v>7973.33</c:v>
                </c:pt>
                <c:pt idx="275">
                  <c:v>8076.15</c:v>
                </c:pt>
                <c:pt idx="276">
                  <c:v>8202.18</c:v>
                </c:pt>
                <c:pt idx="277">
                  <c:v>8292.86</c:v>
                </c:pt>
                <c:pt idx="278">
                  <c:v>8292.86</c:v>
                </c:pt>
                <c:pt idx="279">
                  <c:v>8292.86</c:v>
                </c:pt>
                <c:pt idx="280">
                  <c:v>8447.82</c:v>
                </c:pt>
                <c:pt idx="281">
                  <c:v>8596.16</c:v>
                </c:pt>
                <c:pt idx="282">
                  <c:v>8641.23</c:v>
                </c:pt>
                <c:pt idx="283">
                  <c:v>8668.0300000000007</c:v>
                </c:pt>
                <c:pt idx="284">
                  <c:v>8672.59</c:v>
                </c:pt>
                <c:pt idx="285">
                  <c:v>8672.59</c:v>
                </c:pt>
                <c:pt idx="286">
                  <c:v>8672.59</c:v>
                </c:pt>
                <c:pt idx="287">
                  <c:v>8739.32</c:v>
                </c:pt>
                <c:pt idx="288">
                  <c:v>8766.02</c:v>
                </c:pt>
                <c:pt idx="289">
                  <c:v>8794.61</c:v>
                </c:pt>
                <c:pt idx="290">
                  <c:v>8741.74</c:v>
                </c:pt>
                <c:pt idx="291">
                  <c:v>8633.5</c:v>
                </c:pt>
                <c:pt idx="292">
                  <c:v>8633.5</c:v>
                </c:pt>
                <c:pt idx="293">
                  <c:v>8633.5</c:v>
                </c:pt>
                <c:pt idx="294">
                  <c:v>8427.24</c:v>
                </c:pt>
                <c:pt idx="295">
                  <c:v>8581.68</c:v>
                </c:pt>
                <c:pt idx="296">
                  <c:v>8608.6200000000008</c:v>
                </c:pt>
                <c:pt idx="297">
                  <c:v>8637.7999999999993</c:v>
                </c:pt>
                <c:pt idx="298">
                  <c:v>8560.57</c:v>
                </c:pt>
                <c:pt idx="299">
                  <c:v>8560.57</c:v>
                </c:pt>
                <c:pt idx="300">
                  <c:v>8560.57</c:v>
                </c:pt>
                <c:pt idx="301">
                  <c:v>8660.6</c:v>
                </c:pt>
                <c:pt idx="302">
                  <c:v>8836.42</c:v>
                </c:pt>
                <c:pt idx="303">
                  <c:v>8775.6200000000008</c:v>
                </c:pt>
                <c:pt idx="304">
                  <c:v>8618.5499999999993</c:v>
                </c:pt>
                <c:pt idx="305">
                  <c:v>8812.39</c:v>
                </c:pt>
                <c:pt idx="306">
                  <c:v>8812.39</c:v>
                </c:pt>
                <c:pt idx="307">
                  <c:v>8812.39</c:v>
                </c:pt>
                <c:pt idx="308">
                  <c:v>8886.8700000000008</c:v>
                </c:pt>
                <c:pt idx="309">
                  <c:v>9034.77</c:v>
                </c:pt>
                <c:pt idx="310">
                  <c:v>9181.3700000000008</c:v>
                </c:pt>
                <c:pt idx="311">
                  <c:v>9128.86</c:v>
                </c:pt>
                <c:pt idx="312">
                  <c:v>9113.19</c:v>
                </c:pt>
                <c:pt idx="313">
                  <c:v>9113.19</c:v>
                </c:pt>
                <c:pt idx="314">
                  <c:v>9113.19</c:v>
                </c:pt>
                <c:pt idx="315">
                  <c:v>9129.81</c:v>
                </c:pt>
                <c:pt idx="316">
                  <c:v>9040.2800000000007</c:v>
                </c:pt>
                <c:pt idx="317">
                  <c:v>9018.8700000000008</c:v>
                </c:pt>
                <c:pt idx="318">
                  <c:v>9150.89</c:v>
                </c:pt>
                <c:pt idx="319">
                  <c:v>8785.2900000000009</c:v>
                </c:pt>
                <c:pt idx="320">
                  <c:v>8785.2900000000009</c:v>
                </c:pt>
                <c:pt idx="321">
                  <c:v>8785.2900000000009</c:v>
                </c:pt>
                <c:pt idx="322">
                  <c:v>8899.6</c:v>
                </c:pt>
                <c:pt idx="323">
                  <c:v>8440.16</c:v>
                </c:pt>
                <c:pt idx="324">
                  <c:v>8413.59</c:v>
                </c:pt>
                <c:pt idx="325">
                  <c:v>8399.82</c:v>
                </c:pt>
                <c:pt idx="326">
                  <c:v>8244.8799999999992</c:v>
                </c:pt>
                <c:pt idx="327">
                  <c:v>8244.8799999999992</c:v>
                </c:pt>
                <c:pt idx="328">
                  <c:v>8244.8799999999992</c:v>
                </c:pt>
                <c:pt idx="329">
                  <c:v>8261.5300000000007</c:v>
                </c:pt>
                <c:pt idx="330">
                  <c:v>8148.18</c:v>
                </c:pt>
                <c:pt idx="331">
                  <c:v>8124.3</c:v>
                </c:pt>
                <c:pt idx="332">
                  <c:v>8150.07</c:v>
                </c:pt>
                <c:pt idx="333">
                  <c:v>8189.41</c:v>
                </c:pt>
                <c:pt idx="334">
                  <c:v>8189.41</c:v>
                </c:pt>
                <c:pt idx="335">
                  <c:v>8189.41</c:v>
                </c:pt>
                <c:pt idx="336">
                  <c:v>8227.86</c:v>
                </c:pt>
                <c:pt idx="337">
                  <c:v>8150.74</c:v>
                </c:pt>
                <c:pt idx="338">
                  <c:v>8100.23</c:v>
                </c:pt>
                <c:pt idx="339">
                  <c:v>7958.16</c:v>
                </c:pt>
                <c:pt idx="340">
                  <c:v>8144.21</c:v>
                </c:pt>
                <c:pt idx="341">
                  <c:v>8144.21</c:v>
                </c:pt>
                <c:pt idx="342">
                  <c:v>8144.21</c:v>
                </c:pt>
                <c:pt idx="343">
                  <c:v>8114.41</c:v>
                </c:pt>
                <c:pt idx="344">
                  <c:v>8240.14</c:v>
                </c:pt>
                <c:pt idx="345">
                  <c:v>8061</c:v>
                </c:pt>
                <c:pt idx="346">
                  <c:v>8068.28</c:v>
                </c:pt>
                <c:pt idx="347">
                  <c:v>8085.11</c:v>
                </c:pt>
                <c:pt idx="348">
                  <c:v>8085.11</c:v>
                </c:pt>
                <c:pt idx="349">
                  <c:v>8085.11</c:v>
                </c:pt>
                <c:pt idx="350">
                  <c:v>8024.82</c:v>
                </c:pt>
                <c:pt idx="351">
                  <c:v>7826.07</c:v>
                </c:pt>
                <c:pt idx="352">
                  <c:v>7869.35</c:v>
                </c:pt>
                <c:pt idx="353">
                  <c:v>7916.63</c:v>
                </c:pt>
                <c:pt idx="354">
                  <c:v>7789.34</c:v>
                </c:pt>
                <c:pt idx="355">
                  <c:v>7789.34</c:v>
                </c:pt>
                <c:pt idx="356">
                  <c:v>7789.34</c:v>
                </c:pt>
                <c:pt idx="357">
                  <c:v>7727.02</c:v>
                </c:pt>
                <c:pt idx="358">
                  <c:v>7971.75</c:v>
                </c:pt>
                <c:pt idx="359">
                  <c:v>7925.27</c:v>
                </c:pt>
                <c:pt idx="360">
                  <c:v>7925.27</c:v>
                </c:pt>
                <c:pt idx="361">
                  <c:v>7978.67</c:v>
                </c:pt>
                <c:pt idx="362">
                  <c:v>7978.67</c:v>
                </c:pt>
                <c:pt idx="363">
                  <c:v>7978.67</c:v>
                </c:pt>
                <c:pt idx="364">
                  <c:v>8155.38</c:v>
                </c:pt>
                <c:pt idx="365">
                  <c:v>8155.38</c:v>
                </c:pt>
                <c:pt idx="366">
                  <c:v>8155.38</c:v>
                </c:pt>
                <c:pt idx="367">
                  <c:v>8155.38</c:v>
                </c:pt>
                <c:pt idx="368">
                  <c:v>7856.07</c:v>
                </c:pt>
                <c:pt idx="369">
                  <c:v>7856.07</c:v>
                </c:pt>
                <c:pt idx="370">
                  <c:v>7739.9</c:v>
                </c:pt>
                <c:pt idx="371">
                  <c:v>7750.16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E5-42A9-97CA-DC674B4AA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577472"/>
        <c:axId val="351457536"/>
      </c:lineChart>
      <c:lineChart>
        <c:grouping val="standard"/>
        <c:varyColors val="0"/>
        <c:ser>
          <c:idx val="0"/>
          <c:order val="0"/>
          <c:tx>
            <c:strRef>
              <c:f>Calculation!$G$1</c:f>
              <c:strCache>
                <c:ptCount val="1"/>
                <c:pt idx="0">
                  <c:v>Динамика рыночной цены компании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Calculation!$E$2:$E$373</c:f>
              <c:numCache>
                <c:formatCode>m/d/yyyy</c:formatCode>
                <c:ptCount val="372"/>
                <c:pt idx="0">
                  <c:v>46023</c:v>
                </c:pt>
                <c:pt idx="1">
                  <c:v>46022</c:v>
                </c:pt>
                <c:pt idx="2">
                  <c:v>46021</c:v>
                </c:pt>
                <c:pt idx="3">
                  <c:v>46020</c:v>
                </c:pt>
                <c:pt idx="4">
                  <c:v>46019</c:v>
                </c:pt>
                <c:pt idx="5">
                  <c:v>46018</c:v>
                </c:pt>
                <c:pt idx="6">
                  <c:v>46017</c:v>
                </c:pt>
                <c:pt idx="7">
                  <c:v>46016</c:v>
                </c:pt>
                <c:pt idx="8">
                  <c:v>46015</c:v>
                </c:pt>
                <c:pt idx="9">
                  <c:v>46014</c:v>
                </c:pt>
                <c:pt idx="10">
                  <c:v>46013</c:v>
                </c:pt>
                <c:pt idx="11">
                  <c:v>46012</c:v>
                </c:pt>
                <c:pt idx="12">
                  <c:v>46011</c:v>
                </c:pt>
                <c:pt idx="13">
                  <c:v>46010</c:v>
                </c:pt>
                <c:pt idx="14">
                  <c:v>46009</c:v>
                </c:pt>
                <c:pt idx="15">
                  <c:v>46008</c:v>
                </c:pt>
                <c:pt idx="16">
                  <c:v>46007</c:v>
                </c:pt>
                <c:pt idx="17">
                  <c:v>46006</c:v>
                </c:pt>
                <c:pt idx="18">
                  <c:v>46005</c:v>
                </c:pt>
                <c:pt idx="19">
                  <c:v>46004</c:v>
                </c:pt>
                <c:pt idx="20">
                  <c:v>46003</c:v>
                </c:pt>
                <c:pt idx="21">
                  <c:v>46002</c:v>
                </c:pt>
                <c:pt idx="22">
                  <c:v>46001</c:v>
                </c:pt>
                <c:pt idx="23">
                  <c:v>46000</c:v>
                </c:pt>
                <c:pt idx="24">
                  <c:v>45999</c:v>
                </c:pt>
                <c:pt idx="25">
                  <c:v>45998</c:v>
                </c:pt>
                <c:pt idx="26">
                  <c:v>45997</c:v>
                </c:pt>
                <c:pt idx="27">
                  <c:v>45996</c:v>
                </c:pt>
                <c:pt idx="28">
                  <c:v>45995</c:v>
                </c:pt>
                <c:pt idx="29">
                  <c:v>45994</c:v>
                </c:pt>
                <c:pt idx="30">
                  <c:v>45993</c:v>
                </c:pt>
                <c:pt idx="31">
                  <c:v>45992</c:v>
                </c:pt>
                <c:pt idx="32">
                  <c:v>45991</c:v>
                </c:pt>
                <c:pt idx="33">
                  <c:v>45990</c:v>
                </c:pt>
                <c:pt idx="34">
                  <c:v>45989</c:v>
                </c:pt>
                <c:pt idx="35">
                  <c:v>45988</c:v>
                </c:pt>
                <c:pt idx="36">
                  <c:v>45987</c:v>
                </c:pt>
                <c:pt idx="37">
                  <c:v>45986</c:v>
                </c:pt>
                <c:pt idx="38">
                  <c:v>45985</c:v>
                </c:pt>
                <c:pt idx="39">
                  <c:v>45984</c:v>
                </c:pt>
                <c:pt idx="40">
                  <c:v>45983</c:v>
                </c:pt>
                <c:pt idx="41">
                  <c:v>45982</c:v>
                </c:pt>
                <c:pt idx="42">
                  <c:v>45981</c:v>
                </c:pt>
                <c:pt idx="43">
                  <c:v>45980</c:v>
                </c:pt>
                <c:pt idx="44">
                  <c:v>45979</c:v>
                </c:pt>
                <c:pt idx="45">
                  <c:v>45978</c:v>
                </c:pt>
                <c:pt idx="46">
                  <c:v>45977</c:v>
                </c:pt>
                <c:pt idx="47">
                  <c:v>45976</c:v>
                </c:pt>
                <c:pt idx="48">
                  <c:v>45975</c:v>
                </c:pt>
                <c:pt idx="49">
                  <c:v>45974</c:v>
                </c:pt>
                <c:pt idx="50">
                  <c:v>45973</c:v>
                </c:pt>
                <c:pt idx="51">
                  <c:v>45972</c:v>
                </c:pt>
                <c:pt idx="52">
                  <c:v>45971</c:v>
                </c:pt>
                <c:pt idx="53">
                  <c:v>45970</c:v>
                </c:pt>
                <c:pt idx="54">
                  <c:v>45969</c:v>
                </c:pt>
                <c:pt idx="55">
                  <c:v>45968</c:v>
                </c:pt>
                <c:pt idx="56">
                  <c:v>45967</c:v>
                </c:pt>
                <c:pt idx="57">
                  <c:v>45966</c:v>
                </c:pt>
                <c:pt idx="58">
                  <c:v>45965</c:v>
                </c:pt>
                <c:pt idx="59">
                  <c:v>45964</c:v>
                </c:pt>
                <c:pt idx="60">
                  <c:v>45963</c:v>
                </c:pt>
                <c:pt idx="61">
                  <c:v>45962</c:v>
                </c:pt>
                <c:pt idx="62">
                  <c:v>45961</c:v>
                </c:pt>
                <c:pt idx="63">
                  <c:v>45960</c:v>
                </c:pt>
                <c:pt idx="64">
                  <c:v>45959</c:v>
                </c:pt>
                <c:pt idx="65">
                  <c:v>45958</c:v>
                </c:pt>
                <c:pt idx="66">
                  <c:v>45957</c:v>
                </c:pt>
                <c:pt idx="67">
                  <c:v>45956</c:v>
                </c:pt>
                <c:pt idx="68">
                  <c:v>45955</c:v>
                </c:pt>
                <c:pt idx="69">
                  <c:v>45954</c:v>
                </c:pt>
                <c:pt idx="70">
                  <c:v>45953</c:v>
                </c:pt>
                <c:pt idx="71">
                  <c:v>45952</c:v>
                </c:pt>
                <c:pt idx="72">
                  <c:v>45951</c:v>
                </c:pt>
                <c:pt idx="73">
                  <c:v>45950</c:v>
                </c:pt>
                <c:pt idx="74">
                  <c:v>45949</c:v>
                </c:pt>
                <c:pt idx="75">
                  <c:v>45948</c:v>
                </c:pt>
                <c:pt idx="76">
                  <c:v>45947</c:v>
                </c:pt>
                <c:pt idx="77">
                  <c:v>45946</c:v>
                </c:pt>
                <c:pt idx="78">
                  <c:v>45945</c:v>
                </c:pt>
                <c:pt idx="79">
                  <c:v>45944</c:v>
                </c:pt>
                <c:pt idx="80">
                  <c:v>45943</c:v>
                </c:pt>
                <c:pt idx="81">
                  <c:v>45942</c:v>
                </c:pt>
                <c:pt idx="82">
                  <c:v>45941</c:v>
                </c:pt>
                <c:pt idx="83">
                  <c:v>45940</c:v>
                </c:pt>
                <c:pt idx="84">
                  <c:v>45939</c:v>
                </c:pt>
                <c:pt idx="85">
                  <c:v>45938</c:v>
                </c:pt>
                <c:pt idx="86">
                  <c:v>45937</c:v>
                </c:pt>
                <c:pt idx="87">
                  <c:v>45936</c:v>
                </c:pt>
                <c:pt idx="88">
                  <c:v>45935</c:v>
                </c:pt>
                <c:pt idx="89">
                  <c:v>45934</c:v>
                </c:pt>
                <c:pt idx="90">
                  <c:v>45933</c:v>
                </c:pt>
                <c:pt idx="91">
                  <c:v>45932</c:v>
                </c:pt>
                <c:pt idx="92">
                  <c:v>45931</c:v>
                </c:pt>
                <c:pt idx="93">
                  <c:v>45930</c:v>
                </c:pt>
                <c:pt idx="94">
                  <c:v>45929</c:v>
                </c:pt>
                <c:pt idx="95">
                  <c:v>45928</c:v>
                </c:pt>
                <c:pt idx="96">
                  <c:v>45927</c:v>
                </c:pt>
                <c:pt idx="97">
                  <c:v>45926</c:v>
                </c:pt>
                <c:pt idx="98">
                  <c:v>45925</c:v>
                </c:pt>
                <c:pt idx="99">
                  <c:v>45924</c:v>
                </c:pt>
                <c:pt idx="100">
                  <c:v>45923</c:v>
                </c:pt>
                <c:pt idx="101">
                  <c:v>45922</c:v>
                </c:pt>
                <c:pt idx="102">
                  <c:v>45921</c:v>
                </c:pt>
                <c:pt idx="103">
                  <c:v>45920</c:v>
                </c:pt>
                <c:pt idx="104">
                  <c:v>45919</c:v>
                </c:pt>
                <c:pt idx="105">
                  <c:v>45918</c:v>
                </c:pt>
                <c:pt idx="106">
                  <c:v>45917</c:v>
                </c:pt>
                <c:pt idx="107">
                  <c:v>45916</c:v>
                </c:pt>
                <c:pt idx="108">
                  <c:v>45915</c:v>
                </c:pt>
                <c:pt idx="109">
                  <c:v>45914</c:v>
                </c:pt>
                <c:pt idx="110">
                  <c:v>45913</c:v>
                </c:pt>
                <c:pt idx="111">
                  <c:v>45912</c:v>
                </c:pt>
                <c:pt idx="112">
                  <c:v>45911</c:v>
                </c:pt>
                <c:pt idx="113">
                  <c:v>45910</c:v>
                </c:pt>
                <c:pt idx="114">
                  <c:v>45909</c:v>
                </c:pt>
                <c:pt idx="115">
                  <c:v>45908</c:v>
                </c:pt>
                <c:pt idx="116">
                  <c:v>45907</c:v>
                </c:pt>
                <c:pt idx="117">
                  <c:v>45906</c:v>
                </c:pt>
                <c:pt idx="118">
                  <c:v>45905</c:v>
                </c:pt>
                <c:pt idx="119">
                  <c:v>45904</c:v>
                </c:pt>
                <c:pt idx="120">
                  <c:v>45903</c:v>
                </c:pt>
                <c:pt idx="121">
                  <c:v>45902</c:v>
                </c:pt>
                <c:pt idx="122">
                  <c:v>45901</c:v>
                </c:pt>
                <c:pt idx="123">
                  <c:v>45900</c:v>
                </c:pt>
                <c:pt idx="124">
                  <c:v>45899</c:v>
                </c:pt>
                <c:pt idx="125">
                  <c:v>45898</c:v>
                </c:pt>
                <c:pt idx="126">
                  <c:v>45897</c:v>
                </c:pt>
                <c:pt idx="127">
                  <c:v>45896</c:v>
                </c:pt>
                <c:pt idx="128">
                  <c:v>45895</c:v>
                </c:pt>
                <c:pt idx="129">
                  <c:v>45894</c:v>
                </c:pt>
                <c:pt idx="130">
                  <c:v>45893</c:v>
                </c:pt>
                <c:pt idx="131">
                  <c:v>45892</c:v>
                </c:pt>
                <c:pt idx="132">
                  <c:v>45891</c:v>
                </c:pt>
                <c:pt idx="133">
                  <c:v>45890</c:v>
                </c:pt>
                <c:pt idx="134">
                  <c:v>45889</c:v>
                </c:pt>
                <c:pt idx="135">
                  <c:v>45888</c:v>
                </c:pt>
                <c:pt idx="136">
                  <c:v>45887</c:v>
                </c:pt>
                <c:pt idx="137">
                  <c:v>45886</c:v>
                </c:pt>
                <c:pt idx="138">
                  <c:v>45885</c:v>
                </c:pt>
                <c:pt idx="139">
                  <c:v>45884</c:v>
                </c:pt>
                <c:pt idx="140">
                  <c:v>45883</c:v>
                </c:pt>
                <c:pt idx="141">
                  <c:v>45882</c:v>
                </c:pt>
                <c:pt idx="142">
                  <c:v>45881</c:v>
                </c:pt>
                <c:pt idx="143">
                  <c:v>45880</c:v>
                </c:pt>
                <c:pt idx="144">
                  <c:v>45879</c:v>
                </c:pt>
                <c:pt idx="145">
                  <c:v>45878</c:v>
                </c:pt>
                <c:pt idx="146">
                  <c:v>45877</c:v>
                </c:pt>
                <c:pt idx="147">
                  <c:v>45876</c:v>
                </c:pt>
                <c:pt idx="148">
                  <c:v>45875</c:v>
                </c:pt>
                <c:pt idx="149">
                  <c:v>45874</c:v>
                </c:pt>
                <c:pt idx="150">
                  <c:v>45873</c:v>
                </c:pt>
                <c:pt idx="151">
                  <c:v>45872</c:v>
                </c:pt>
                <c:pt idx="152">
                  <c:v>45871</c:v>
                </c:pt>
                <c:pt idx="153">
                  <c:v>45870</c:v>
                </c:pt>
                <c:pt idx="154">
                  <c:v>45869</c:v>
                </c:pt>
                <c:pt idx="155">
                  <c:v>45868</c:v>
                </c:pt>
                <c:pt idx="156">
                  <c:v>45867</c:v>
                </c:pt>
                <c:pt idx="157">
                  <c:v>45866</c:v>
                </c:pt>
                <c:pt idx="158">
                  <c:v>45865</c:v>
                </c:pt>
                <c:pt idx="159">
                  <c:v>45864</c:v>
                </c:pt>
                <c:pt idx="160">
                  <c:v>45863</c:v>
                </c:pt>
                <c:pt idx="161">
                  <c:v>45862</c:v>
                </c:pt>
                <c:pt idx="162">
                  <c:v>45861</c:v>
                </c:pt>
                <c:pt idx="163">
                  <c:v>45860</c:v>
                </c:pt>
                <c:pt idx="164">
                  <c:v>45859</c:v>
                </c:pt>
                <c:pt idx="165">
                  <c:v>45858</c:v>
                </c:pt>
                <c:pt idx="166">
                  <c:v>45857</c:v>
                </c:pt>
                <c:pt idx="167">
                  <c:v>45856</c:v>
                </c:pt>
                <c:pt idx="168">
                  <c:v>45855</c:v>
                </c:pt>
                <c:pt idx="169">
                  <c:v>45854</c:v>
                </c:pt>
                <c:pt idx="170">
                  <c:v>45853</c:v>
                </c:pt>
                <c:pt idx="171">
                  <c:v>45852</c:v>
                </c:pt>
                <c:pt idx="172">
                  <c:v>45851</c:v>
                </c:pt>
                <c:pt idx="173">
                  <c:v>45850</c:v>
                </c:pt>
                <c:pt idx="174">
                  <c:v>45849</c:v>
                </c:pt>
                <c:pt idx="175">
                  <c:v>45848</c:v>
                </c:pt>
                <c:pt idx="176">
                  <c:v>45847</c:v>
                </c:pt>
                <c:pt idx="177">
                  <c:v>45846</c:v>
                </c:pt>
                <c:pt idx="178">
                  <c:v>45845</c:v>
                </c:pt>
                <c:pt idx="179">
                  <c:v>45844</c:v>
                </c:pt>
                <c:pt idx="180">
                  <c:v>45843</c:v>
                </c:pt>
                <c:pt idx="181">
                  <c:v>45842</c:v>
                </c:pt>
                <c:pt idx="182">
                  <c:v>45841</c:v>
                </c:pt>
                <c:pt idx="183">
                  <c:v>45840</c:v>
                </c:pt>
                <c:pt idx="184">
                  <c:v>45839</c:v>
                </c:pt>
                <c:pt idx="185">
                  <c:v>45838</c:v>
                </c:pt>
                <c:pt idx="186">
                  <c:v>45837</c:v>
                </c:pt>
                <c:pt idx="187">
                  <c:v>45836</c:v>
                </c:pt>
                <c:pt idx="188">
                  <c:v>45835</c:v>
                </c:pt>
                <c:pt idx="189">
                  <c:v>45834</c:v>
                </c:pt>
                <c:pt idx="190">
                  <c:v>45833</c:v>
                </c:pt>
                <c:pt idx="191">
                  <c:v>45832</c:v>
                </c:pt>
                <c:pt idx="192">
                  <c:v>45831</c:v>
                </c:pt>
                <c:pt idx="193">
                  <c:v>45830</c:v>
                </c:pt>
                <c:pt idx="194">
                  <c:v>45829</c:v>
                </c:pt>
                <c:pt idx="195">
                  <c:v>45828</c:v>
                </c:pt>
                <c:pt idx="196">
                  <c:v>45827</c:v>
                </c:pt>
                <c:pt idx="197">
                  <c:v>45826</c:v>
                </c:pt>
                <c:pt idx="198">
                  <c:v>45825</c:v>
                </c:pt>
                <c:pt idx="199">
                  <c:v>45824</c:v>
                </c:pt>
                <c:pt idx="200">
                  <c:v>45823</c:v>
                </c:pt>
                <c:pt idx="201">
                  <c:v>45822</c:v>
                </c:pt>
                <c:pt idx="202">
                  <c:v>45821</c:v>
                </c:pt>
                <c:pt idx="203">
                  <c:v>45820</c:v>
                </c:pt>
                <c:pt idx="204">
                  <c:v>45819</c:v>
                </c:pt>
                <c:pt idx="205">
                  <c:v>45818</c:v>
                </c:pt>
                <c:pt idx="206">
                  <c:v>45817</c:v>
                </c:pt>
                <c:pt idx="207">
                  <c:v>45816</c:v>
                </c:pt>
                <c:pt idx="208">
                  <c:v>45815</c:v>
                </c:pt>
                <c:pt idx="209">
                  <c:v>45814</c:v>
                </c:pt>
                <c:pt idx="210">
                  <c:v>45813</c:v>
                </c:pt>
                <c:pt idx="211">
                  <c:v>45812</c:v>
                </c:pt>
                <c:pt idx="212">
                  <c:v>45811</c:v>
                </c:pt>
                <c:pt idx="213">
                  <c:v>45810</c:v>
                </c:pt>
                <c:pt idx="214">
                  <c:v>45809</c:v>
                </c:pt>
                <c:pt idx="215">
                  <c:v>45808</c:v>
                </c:pt>
                <c:pt idx="216">
                  <c:v>45807</c:v>
                </c:pt>
                <c:pt idx="217">
                  <c:v>45806</c:v>
                </c:pt>
                <c:pt idx="218">
                  <c:v>45805</c:v>
                </c:pt>
                <c:pt idx="219">
                  <c:v>45804</c:v>
                </c:pt>
                <c:pt idx="220">
                  <c:v>45803</c:v>
                </c:pt>
                <c:pt idx="221">
                  <c:v>45802</c:v>
                </c:pt>
                <c:pt idx="222">
                  <c:v>45801</c:v>
                </c:pt>
                <c:pt idx="223">
                  <c:v>45800</c:v>
                </c:pt>
                <c:pt idx="224">
                  <c:v>45799</c:v>
                </c:pt>
                <c:pt idx="225">
                  <c:v>45798</c:v>
                </c:pt>
                <c:pt idx="226">
                  <c:v>45797</c:v>
                </c:pt>
                <c:pt idx="227">
                  <c:v>45796</c:v>
                </c:pt>
                <c:pt idx="228">
                  <c:v>45795</c:v>
                </c:pt>
                <c:pt idx="229">
                  <c:v>45794</c:v>
                </c:pt>
                <c:pt idx="230">
                  <c:v>45793</c:v>
                </c:pt>
                <c:pt idx="231">
                  <c:v>45792</c:v>
                </c:pt>
                <c:pt idx="232">
                  <c:v>45791</c:v>
                </c:pt>
                <c:pt idx="233">
                  <c:v>45790</c:v>
                </c:pt>
                <c:pt idx="234">
                  <c:v>45789</c:v>
                </c:pt>
                <c:pt idx="235">
                  <c:v>45788</c:v>
                </c:pt>
                <c:pt idx="236">
                  <c:v>45787</c:v>
                </c:pt>
                <c:pt idx="237">
                  <c:v>45786</c:v>
                </c:pt>
                <c:pt idx="238">
                  <c:v>45785</c:v>
                </c:pt>
                <c:pt idx="239">
                  <c:v>45784</c:v>
                </c:pt>
                <c:pt idx="240">
                  <c:v>45783</c:v>
                </c:pt>
                <c:pt idx="241">
                  <c:v>45782</c:v>
                </c:pt>
                <c:pt idx="242">
                  <c:v>45781</c:v>
                </c:pt>
                <c:pt idx="243">
                  <c:v>45780</c:v>
                </c:pt>
                <c:pt idx="244">
                  <c:v>45779</c:v>
                </c:pt>
                <c:pt idx="245">
                  <c:v>45778</c:v>
                </c:pt>
                <c:pt idx="246">
                  <c:v>45777</c:v>
                </c:pt>
                <c:pt idx="247">
                  <c:v>45776</c:v>
                </c:pt>
                <c:pt idx="248">
                  <c:v>45775</c:v>
                </c:pt>
                <c:pt idx="249">
                  <c:v>45774</c:v>
                </c:pt>
                <c:pt idx="250">
                  <c:v>45773</c:v>
                </c:pt>
                <c:pt idx="251">
                  <c:v>45772</c:v>
                </c:pt>
                <c:pt idx="252">
                  <c:v>45771</c:v>
                </c:pt>
                <c:pt idx="253">
                  <c:v>45770</c:v>
                </c:pt>
                <c:pt idx="254">
                  <c:v>45769</c:v>
                </c:pt>
                <c:pt idx="255">
                  <c:v>45768</c:v>
                </c:pt>
                <c:pt idx="256">
                  <c:v>45767</c:v>
                </c:pt>
                <c:pt idx="257">
                  <c:v>45766</c:v>
                </c:pt>
                <c:pt idx="258">
                  <c:v>45765</c:v>
                </c:pt>
                <c:pt idx="259">
                  <c:v>45764</c:v>
                </c:pt>
                <c:pt idx="260">
                  <c:v>45763</c:v>
                </c:pt>
                <c:pt idx="261">
                  <c:v>45762</c:v>
                </c:pt>
                <c:pt idx="262">
                  <c:v>45761</c:v>
                </c:pt>
                <c:pt idx="263">
                  <c:v>45760</c:v>
                </c:pt>
                <c:pt idx="264">
                  <c:v>45759</c:v>
                </c:pt>
                <c:pt idx="265">
                  <c:v>45758</c:v>
                </c:pt>
                <c:pt idx="266">
                  <c:v>45757</c:v>
                </c:pt>
                <c:pt idx="267">
                  <c:v>45756</c:v>
                </c:pt>
                <c:pt idx="268">
                  <c:v>45755</c:v>
                </c:pt>
                <c:pt idx="269">
                  <c:v>45754</c:v>
                </c:pt>
                <c:pt idx="270">
                  <c:v>45753</c:v>
                </c:pt>
                <c:pt idx="271">
                  <c:v>45752</c:v>
                </c:pt>
                <c:pt idx="272">
                  <c:v>45751</c:v>
                </c:pt>
                <c:pt idx="273">
                  <c:v>45750</c:v>
                </c:pt>
                <c:pt idx="274">
                  <c:v>45749</c:v>
                </c:pt>
                <c:pt idx="275">
                  <c:v>45748</c:v>
                </c:pt>
                <c:pt idx="276">
                  <c:v>45747</c:v>
                </c:pt>
                <c:pt idx="277">
                  <c:v>45746</c:v>
                </c:pt>
                <c:pt idx="278">
                  <c:v>45745</c:v>
                </c:pt>
                <c:pt idx="279">
                  <c:v>45744</c:v>
                </c:pt>
                <c:pt idx="280">
                  <c:v>45743</c:v>
                </c:pt>
                <c:pt idx="281">
                  <c:v>45742</c:v>
                </c:pt>
                <c:pt idx="282">
                  <c:v>45741</c:v>
                </c:pt>
                <c:pt idx="283">
                  <c:v>45740</c:v>
                </c:pt>
                <c:pt idx="284">
                  <c:v>45739</c:v>
                </c:pt>
                <c:pt idx="285">
                  <c:v>45738</c:v>
                </c:pt>
                <c:pt idx="286">
                  <c:v>45737</c:v>
                </c:pt>
                <c:pt idx="287">
                  <c:v>45736</c:v>
                </c:pt>
                <c:pt idx="288">
                  <c:v>45735</c:v>
                </c:pt>
                <c:pt idx="289">
                  <c:v>45734</c:v>
                </c:pt>
                <c:pt idx="290">
                  <c:v>45733</c:v>
                </c:pt>
                <c:pt idx="291">
                  <c:v>45732</c:v>
                </c:pt>
                <c:pt idx="292">
                  <c:v>45731</c:v>
                </c:pt>
                <c:pt idx="293">
                  <c:v>45730</c:v>
                </c:pt>
                <c:pt idx="294">
                  <c:v>45729</c:v>
                </c:pt>
                <c:pt idx="295">
                  <c:v>45728</c:v>
                </c:pt>
                <c:pt idx="296">
                  <c:v>45727</c:v>
                </c:pt>
                <c:pt idx="297">
                  <c:v>45726</c:v>
                </c:pt>
                <c:pt idx="298">
                  <c:v>45725</c:v>
                </c:pt>
                <c:pt idx="299">
                  <c:v>45724</c:v>
                </c:pt>
                <c:pt idx="300">
                  <c:v>45723</c:v>
                </c:pt>
                <c:pt idx="301">
                  <c:v>45722</c:v>
                </c:pt>
                <c:pt idx="302">
                  <c:v>45721</c:v>
                </c:pt>
                <c:pt idx="303">
                  <c:v>45720</c:v>
                </c:pt>
                <c:pt idx="304">
                  <c:v>45719</c:v>
                </c:pt>
                <c:pt idx="305">
                  <c:v>45718</c:v>
                </c:pt>
                <c:pt idx="306">
                  <c:v>45717</c:v>
                </c:pt>
                <c:pt idx="307">
                  <c:v>45716</c:v>
                </c:pt>
                <c:pt idx="308">
                  <c:v>45715</c:v>
                </c:pt>
                <c:pt idx="309">
                  <c:v>45714</c:v>
                </c:pt>
                <c:pt idx="310">
                  <c:v>45713</c:v>
                </c:pt>
                <c:pt idx="311">
                  <c:v>45712</c:v>
                </c:pt>
                <c:pt idx="312">
                  <c:v>45711</c:v>
                </c:pt>
                <c:pt idx="313">
                  <c:v>45710</c:v>
                </c:pt>
                <c:pt idx="314">
                  <c:v>45709</c:v>
                </c:pt>
                <c:pt idx="315">
                  <c:v>45708</c:v>
                </c:pt>
                <c:pt idx="316">
                  <c:v>45707</c:v>
                </c:pt>
                <c:pt idx="317">
                  <c:v>45706</c:v>
                </c:pt>
                <c:pt idx="318">
                  <c:v>45705</c:v>
                </c:pt>
                <c:pt idx="319">
                  <c:v>45704</c:v>
                </c:pt>
                <c:pt idx="320">
                  <c:v>45703</c:v>
                </c:pt>
                <c:pt idx="321">
                  <c:v>45702</c:v>
                </c:pt>
                <c:pt idx="322">
                  <c:v>45701</c:v>
                </c:pt>
                <c:pt idx="323">
                  <c:v>45700</c:v>
                </c:pt>
                <c:pt idx="324">
                  <c:v>45699</c:v>
                </c:pt>
                <c:pt idx="325">
                  <c:v>45698</c:v>
                </c:pt>
                <c:pt idx="326">
                  <c:v>45697</c:v>
                </c:pt>
                <c:pt idx="327">
                  <c:v>45696</c:v>
                </c:pt>
                <c:pt idx="328">
                  <c:v>45695</c:v>
                </c:pt>
                <c:pt idx="329">
                  <c:v>45694</c:v>
                </c:pt>
                <c:pt idx="330">
                  <c:v>45693</c:v>
                </c:pt>
                <c:pt idx="331">
                  <c:v>45692</c:v>
                </c:pt>
                <c:pt idx="332">
                  <c:v>45691</c:v>
                </c:pt>
                <c:pt idx="333">
                  <c:v>45690</c:v>
                </c:pt>
                <c:pt idx="334">
                  <c:v>45689</c:v>
                </c:pt>
                <c:pt idx="335">
                  <c:v>45688</c:v>
                </c:pt>
                <c:pt idx="336">
                  <c:v>45687</c:v>
                </c:pt>
                <c:pt idx="337">
                  <c:v>45686</c:v>
                </c:pt>
                <c:pt idx="338">
                  <c:v>45685</c:v>
                </c:pt>
                <c:pt idx="339">
                  <c:v>45684</c:v>
                </c:pt>
                <c:pt idx="340">
                  <c:v>45683</c:v>
                </c:pt>
                <c:pt idx="341">
                  <c:v>45682</c:v>
                </c:pt>
                <c:pt idx="342">
                  <c:v>45681</c:v>
                </c:pt>
                <c:pt idx="343">
                  <c:v>45680</c:v>
                </c:pt>
                <c:pt idx="344">
                  <c:v>45679</c:v>
                </c:pt>
                <c:pt idx="345">
                  <c:v>45678</c:v>
                </c:pt>
                <c:pt idx="346">
                  <c:v>45677</c:v>
                </c:pt>
                <c:pt idx="347">
                  <c:v>45676</c:v>
                </c:pt>
                <c:pt idx="348">
                  <c:v>45675</c:v>
                </c:pt>
                <c:pt idx="349">
                  <c:v>45674</c:v>
                </c:pt>
                <c:pt idx="350">
                  <c:v>45673</c:v>
                </c:pt>
                <c:pt idx="351">
                  <c:v>45672</c:v>
                </c:pt>
                <c:pt idx="352">
                  <c:v>45671</c:v>
                </c:pt>
                <c:pt idx="353">
                  <c:v>45670</c:v>
                </c:pt>
                <c:pt idx="354">
                  <c:v>45669</c:v>
                </c:pt>
                <c:pt idx="355">
                  <c:v>45668</c:v>
                </c:pt>
                <c:pt idx="356">
                  <c:v>45667</c:v>
                </c:pt>
                <c:pt idx="357">
                  <c:v>45666</c:v>
                </c:pt>
                <c:pt idx="358">
                  <c:v>45665</c:v>
                </c:pt>
                <c:pt idx="359">
                  <c:v>45664</c:v>
                </c:pt>
                <c:pt idx="360">
                  <c:v>45663</c:v>
                </c:pt>
                <c:pt idx="361">
                  <c:v>45662</c:v>
                </c:pt>
                <c:pt idx="362">
                  <c:v>45661</c:v>
                </c:pt>
                <c:pt idx="363">
                  <c:v>45660</c:v>
                </c:pt>
                <c:pt idx="364">
                  <c:v>45659</c:v>
                </c:pt>
                <c:pt idx="365">
                  <c:v>45658</c:v>
                </c:pt>
                <c:pt idx="366">
                  <c:v>45657</c:v>
                </c:pt>
                <c:pt idx="367">
                  <c:v>45656</c:v>
                </c:pt>
                <c:pt idx="368">
                  <c:v>45655</c:v>
                </c:pt>
                <c:pt idx="369">
                  <c:v>45654</c:v>
                </c:pt>
                <c:pt idx="370">
                  <c:v>45653</c:v>
                </c:pt>
                <c:pt idx="371">
                  <c:v>45652</c:v>
                </c:pt>
              </c:numCache>
            </c:numRef>
          </c:cat>
          <c:val>
            <c:numRef>
              <c:f>Calculation!$G$2:$G$437</c:f>
              <c:numCache>
                <c:formatCode>General</c:formatCode>
                <c:ptCount val="436"/>
                <c:pt idx="0">
                  <c:v>125.55</c:v>
                </c:pt>
                <c:pt idx="1">
                  <c:v>125.55</c:v>
                </c:pt>
                <c:pt idx="2">
                  <c:v>125.55</c:v>
                </c:pt>
                <c:pt idx="3">
                  <c:v>127.15</c:v>
                </c:pt>
                <c:pt idx="4">
                  <c:v>126.17</c:v>
                </c:pt>
                <c:pt idx="5">
                  <c:v>126.17</c:v>
                </c:pt>
                <c:pt idx="6">
                  <c:v>126.17</c:v>
                </c:pt>
                <c:pt idx="7">
                  <c:v>124.45</c:v>
                </c:pt>
                <c:pt idx="8">
                  <c:v>125</c:v>
                </c:pt>
                <c:pt idx="9">
                  <c:v>124.75</c:v>
                </c:pt>
                <c:pt idx="10">
                  <c:v>125.72</c:v>
                </c:pt>
                <c:pt idx="11">
                  <c:v>128.38</c:v>
                </c:pt>
                <c:pt idx="12">
                  <c:v>128.38</c:v>
                </c:pt>
                <c:pt idx="13">
                  <c:v>128.38</c:v>
                </c:pt>
                <c:pt idx="14">
                  <c:v>128.82</c:v>
                </c:pt>
                <c:pt idx="15">
                  <c:v>129.15</c:v>
                </c:pt>
                <c:pt idx="16">
                  <c:v>130.15</c:v>
                </c:pt>
                <c:pt idx="17">
                  <c:v>128.36000000000001</c:v>
                </c:pt>
                <c:pt idx="18">
                  <c:v>129.08000000000001</c:v>
                </c:pt>
                <c:pt idx="19">
                  <c:v>129.08000000000001</c:v>
                </c:pt>
                <c:pt idx="20">
                  <c:v>129.08000000000001</c:v>
                </c:pt>
                <c:pt idx="21">
                  <c:v>130.28</c:v>
                </c:pt>
                <c:pt idx="22">
                  <c:v>128.6</c:v>
                </c:pt>
                <c:pt idx="23">
                  <c:v>128.13999999999999</c:v>
                </c:pt>
                <c:pt idx="24">
                  <c:v>128.99</c:v>
                </c:pt>
                <c:pt idx="25">
                  <c:v>127.67</c:v>
                </c:pt>
                <c:pt idx="26">
                  <c:v>127.67</c:v>
                </c:pt>
                <c:pt idx="27">
                  <c:v>127.67</c:v>
                </c:pt>
                <c:pt idx="28">
                  <c:v>125.87</c:v>
                </c:pt>
                <c:pt idx="29">
                  <c:v>124.58</c:v>
                </c:pt>
                <c:pt idx="30">
                  <c:v>127.64</c:v>
                </c:pt>
                <c:pt idx="31">
                  <c:v>128.22999999999999</c:v>
                </c:pt>
                <c:pt idx="32">
                  <c:v>126.09</c:v>
                </c:pt>
                <c:pt idx="33">
                  <c:v>126.09</c:v>
                </c:pt>
                <c:pt idx="34">
                  <c:v>126.09</c:v>
                </c:pt>
                <c:pt idx="35">
                  <c:v>125.2</c:v>
                </c:pt>
                <c:pt idx="36">
                  <c:v>126.91</c:v>
                </c:pt>
                <c:pt idx="37">
                  <c:v>127.17</c:v>
                </c:pt>
                <c:pt idx="38">
                  <c:v>127.12</c:v>
                </c:pt>
                <c:pt idx="39">
                  <c:v>127.09</c:v>
                </c:pt>
                <c:pt idx="40">
                  <c:v>127.09</c:v>
                </c:pt>
                <c:pt idx="41">
                  <c:v>127.09</c:v>
                </c:pt>
                <c:pt idx="42">
                  <c:v>125.85</c:v>
                </c:pt>
                <c:pt idx="43">
                  <c:v>124.4</c:v>
                </c:pt>
                <c:pt idx="44">
                  <c:v>121.17</c:v>
                </c:pt>
                <c:pt idx="45">
                  <c:v>118.55</c:v>
                </c:pt>
                <c:pt idx="46">
                  <c:v>118.53</c:v>
                </c:pt>
                <c:pt idx="47">
                  <c:v>118.53</c:v>
                </c:pt>
                <c:pt idx="48">
                  <c:v>118.53</c:v>
                </c:pt>
                <c:pt idx="49">
                  <c:v>119.31</c:v>
                </c:pt>
                <c:pt idx="50">
                  <c:v>119.9</c:v>
                </c:pt>
                <c:pt idx="51">
                  <c:v>120.51</c:v>
                </c:pt>
                <c:pt idx="52">
                  <c:v>121.12</c:v>
                </c:pt>
                <c:pt idx="53">
                  <c:v>119.79</c:v>
                </c:pt>
                <c:pt idx="54">
                  <c:v>119.79</c:v>
                </c:pt>
                <c:pt idx="55">
                  <c:v>119.79</c:v>
                </c:pt>
                <c:pt idx="56">
                  <c:v>116.76</c:v>
                </c:pt>
                <c:pt idx="57">
                  <c:v>116.79</c:v>
                </c:pt>
                <c:pt idx="58">
                  <c:v>117.43</c:v>
                </c:pt>
                <c:pt idx="59">
                  <c:v>117.43</c:v>
                </c:pt>
                <c:pt idx="60">
                  <c:v>116.3</c:v>
                </c:pt>
                <c:pt idx="61">
                  <c:v>116.3</c:v>
                </c:pt>
                <c:pt idx="62">
                  <c:v>116.39</c:v>
                </c:pt>
                <c:pt idx="63">
                  <c:v>117.29</c:v>
                </c:pt>
                <c:pt idx="64">
                  <c:v>116.57</c:v>
                </c:pt>
                <c:pt idx="65">
                  <c:v>116.37</c:v>
                </c:pt>
                <c:pt idx="66">
                  <c:v>115.8</c:v>
                </c:pt>
                <c:pt idx="67">
                  <c:v>117.37</c:v>
                </c:pt>
                <c:pt idx="68">
                  <c:v>117.37</c:v>
                </c:pt>
                <c:pt idx="69">
                  <c:v>117.37</c:v>
                </c:pt>
                <c:pt idx="70">
                  <c:v>117.03</c:v>
                </c:pt>
                <c:pt idx="71">
                  <c:v>120.07</c:v>
                </c:pt>
                <c:pt idx="72">
                  <c:v>121.39</c:v>
                </c:pt>
                <c:pt idx="73">
                  <c:v>126.5</c:v>
                </c:pt>
                <c:pt idx="74">
                  <c:v>124.16</c:v>
                </c:pt>
                <c:pt idx="75">
                  <c:v>124.16</c:v>
                </c:pt>
                <c:pt idx="76">
                  <c:v>124.16</c:v>
                </c:pt>
                <c:pt idx="77">
                  <c:v>120.14</c:v>
                </c:pt>
                <c:pt idx="78">
                  <c:v>115.84</c:v>
                </c:pt>
                <c:pt idx="79">
                  <c:v>115.29</c:v>
                </c:pt>
                <c:pt idx="80">
                  <c:v>115.99</c:v>
                </c:pt>
                <c:pt idx="81">
                  <c:v>116.41</c:v>
                </c:pt>
                <c:pt idx="82">
                  <c:v>116.41</c:v>
                </c:pt>
                <c:pt idx="83">
                  <c:v>116.41</c:v>
                </c:pt>
                <c:pt idx="84">
                  <c:v>115.14</c:v>
                </c:pt>
                <c:pt idx="85">
                  <c:v>115.8</c:v>
                </c:pt>
                <c:pt idx="86">
                  <c:v>118.97</c:v>
                </c:pt>
                <c:pt idx="87">
                  <c:v>116.68</c:v>
                </c:pt>
                <c:pt idx="88">
                  <c:v>115.94</c:v>
                </c:pt>
                <c:pt idx="89">
                  <c:v>115.94</c:v>
                </c:pt>
                <c:pt idx="90">
                  <c:v>115.94</c:v>
                </c:pt>
                <c:pt idx="91">
                  <c:v>116.45</c:v>
                </c:pt>
                <c:pt idx="92">
                  <c:v>117.17</c:v>
                </c:pt>
                <c:pt idx="93">
                  <c:v>117.33</c:v>
                </c:pt>
                <c:pt idx="94">
                  <c:v>118.62</c:v>
                </c:pt>
                <c:pt idx="95">
                  <c:v>118.66</c:v>
                </c:pt>
                <c:pt idx="96">
                  <c:v>118.66</c:v>
                </c:pt>
                <c:pt idx="97">
                  <c:v>118.66</c:v>
                </c:pt>
                <c:pt idx="98">
                  <c:v>118.16</c:v>
                </c:pt>
                <c:pt idx="99">
                  <c:v>117.86</c:v>
                </c:pt>
                <c:pt idx="100">
                  <c:v>119.32</c:v>
                </c:pt>
                <c:pt idx="101">
                  <c:v>119.33</c:v>
                </c:pt>
                <c:pt idx="102">
                  <c:v>121.99</c:v>
                </c:pt>
                <c:pt idx="103">
                  <c:v>121.99</c:v>
                </c:pt>
                <c:pt idx="104">
                  <c:v>121.99</c:v>
                </c:pt>
                <c:pt idx="105">
                  <c:v>123.14</c:v>
                </c:pt>
                <c:pt idx="106">
                  <c:v>123.41</c:v>
                </c:pt>
                <c:pt idx="107">
                  <c:v>123.27</c:v>
                </c:pt>
                <c:pt idx="108">
                  <c:v>124.68</c:v>
                </c:pt>
                <c:pt idx="109">
                  <c:v>127.3</c:v>
                </c:pt>
                <c:pt idx="110">
                  <c:v>127.3</c:v>
                </c:pt>
                <c:pt idx="111">
                  <c:v>127.3</c:v>
                </c:pt>
                <c:pt idx="112">
                  <c:v>130.01</c:v>
                </c:pt>
                <c:pt idx="113">
                  <c:v>131.52000000000001</c:v>
                </c:pt>
                <c:pt idx="114">
                  <c:v>133.15</c:v>
                </c:pt>
                <c:pt idx="115">
                  <c:v>133.13</c:v>
                </c:pt>
                <c:pt idx="116">
                  <c:v>131.83000000000001</c:v>
                </c:pt>
                <c:pt idx="117">
                  <c:v>131.83000000000001</c:v>
                </c:pt>
                <c:pt idx="118">
                  <c:v>131.83000000000001</c:v>
                </c:pt>
                <c:pt idx="119">
                  <c:v>131.19999999999999</c:v>
                </c:pt>
                <c:pt idx="120">
                  <c:v>131.58000000000001</c:v>
                </c:pt>
                <c:pt idx="121">
                  <c:v>133.06</c:v>
                </c:pt>
                <c:pt idx="122">
                  <c:v>135.79</c:v>
                </c:pt>
                <c:pt idx="123">
                  <c:v>134.55000000000001</c:v>
                </c:pt>
                <c:pt idx="124">
                  <c:v>134.55000000000001</c:v>
                </c:pt>
                <c:pt idx="125">
                  <c:v>134.55000000000001</c:v>
                </c:pt>
                <c:pt idx="126">
                  <c:v>133.91999999999999</c:v>
                </c:pt>
                <c:pt idx="127">
                  <c:v>134.88</c:v>
                </c:pt>
                <c:pt idx="128">
                  <c:v>133.38999999999999</c:v>
                </c:pt>
                <c:pt idx="129">
                  <c:v>131.25</c:v>
                </c:pt>
                <c:pt idx="130">
                  <c:v>131.71</c:v>
                </c:pt>
                <c:pt idx="131">
                  <c:v>131.71</c:v>
                </c:pt>
                <c:pt idx="132">
                  <c:v>131.71</c:v>
                </c:pt>
                <c:pt idx="133">
                  <c:v>132.82</c:v>
                </c:pt>
                <c:pt idx="134">
                  <c:v>136.30000000000001</c:v>
                </c:pt>
                <c:pt idx="135">
                  <c:v>139.19</c:v>
                </c:pt>
                <c:pt idx="136">
                  <c:v>138.38999999999999</c:v>
                </c:pt>
                <c:pt idx="137">
                  <c:v>141.79</c:v>
                </c:pt>
                <c:pt idx="138">
                  <c:v>141.79</c:v>
                </c:pt>
                <c:pt idx="139">
                  <c:v>141.79</c:v>
                </c:pt>
                <c:pt idx="140">
                  <c:v>138.91</c:v>
                </c:pt>
                <c:pt idx="141">
                  <c:v>140.19999999999999</c:v>
                </c:pt>
                <c:pt idx="142">
                  <c:v>139.94999999999999</c:v>
                </c:pt>
                <c:pt idx="143">
                  <c:v>141.69</c:v>
                </c:pt>
                <c:pt idx="144">
                  <c:v>136.69999999999999</c:v>
                </c:pt>
                <c:pt idx="145">
                  <c:v>136.69999999999999</c:v>
                </c:pt>
                <c:pt idx="146">
                  <c:v>136.69999999999999</c:v>
                </c:pt>
                <c:pt idx="147">
                  <c:v>133.85</c:v>
                </c:pt>
                <c:pt idx="148">
                  <c:v>128.58000000000001</c:v>
                </c:pt>
                <c:pt idx="149">
                  <c:v>125.73</c:v>
                </c:pt>
                <c:pt idx="150">
                  <c:v>124.4</c:v>
                </c:pt>
                <c:pt idx="151">
                  <c:v>122.66</c:v>
                </c:pt>
                <c:pt idx="152">
                  <c:v>122.66</c:v>
                </c:pt>
                <c:pt idx="153">
                  <c:v>122.66</c:v>
                </c:pt>
                <c:pt idx="154">
                  <c:v>121.86</c:v>
                </c:pt>
                <c:pt idx="155">
                  <c:v>121.82</c:v>
                </c:pt>
                <c:pt idx="156">
                  <c:v>122.98</c:v>
                </c:pt>
                <c:pt idx="157">
                  <c:v>123.91</c:v>
                </c:pt>
                <c:pt idx="158">
                  <c:v>127.31</c:v>
                </c:pt>
                <c:pt idx="159">
                  <c:v>127.31</c:v>
                </c:pt>
                <c:pt idx="160">
                  <c:v>127.31</c:v>
                </c:pt>
                <c:pt idx="161">
                  <c:v>128.21</c:v>
                </c:pt>
                <c:pt idx="162">
                  <c:v>129.55000000000001</c:v>
                </c:pt>
                <c:pt idx="163">
                  <c:v>128.57</c:v>
                </c:pt>
                <c:pt idx="164">
                  <c:v>128.01</c:v>
                </c:pt>
                <c:pt idx="165">
                  <c:v>124.36</c:v>
                </c:pt>
                <c:pt idx="166">
                  <c:v>124.36</c:v>
                </c:pt>
                <c:pt idx="167">
                  <c:v>124.36</c:v>
                </c:pt>
                <c:pt idx="168">
                  <c:v>122.15</c:v>
                </c:pt>
                <c:pt idx="169">
                  <c:v>122.68</c:v>
                </c:pt>
                <c:pt idx="170">
                  <c:v>121.96</c:v>
                </c:pt>
                <c:pt idx="171">
                  <c:v>118.63</c:v>
                </c:pt>
                <c:pt idx="172">
                  <c:v>117.95</c:v>
                </c:pt>
                <c:pt idx="173">
                  <c:v>117.95</c:v>
                </c:pt>
                <c:pt idx="174">
                  <c:v>117.95</c:v>
                </c:pt>
                <c:pt idx="175">
                  <c:v>120.39</c:v>
                </c:pt>
                <c:pt idx="176">
                  <c:v>120.19</c:v>
                </c:pt>
                <c:pt idx="177">
                  <c:v>123.08</c:v>
                </c:pt>
                <c:pt idx="178">
                  <c:v>125.15</c:v>
                </c:pt>
                <c:pt idx="179">
                  <c:v>127.67</c:v>
                </c:pt>
                <c:pt idx="180">
                  <c:v>127.67</c:v>
                </c:pt>
                <c:pt idx="181">
                  <c:v>127.67</c:v>
                </c:pt>
                <c:pt idx="182">
                  <c:v>128.19</c:v>
                </c:pt>
                <c:pt idx="183">
                  <c:v>127.68</c:v>
                </c:pt>
                <c:pt idx="184">
                  <c:v>129.63</c:v>
                </c:pt>
                <c:pt idx="185">
                  <c:v>128.56</c:v>
                </c:pt>
                <c:pt idx="186">
                  <c:v>126.73</c:v>
                </c:pt>
                <c:pt idx="187">
                  <c:v>126.73</c:v>
                </c:pt>
                <c:pt idx="188">
                  <c:v>126.73</c:v>
                </c:pt>
                <c:pt idx="189">
                  <c:v>126.8</c:v>
                </c:pt>
                <c:pt idx="190">
                  <c:v>125.9</c:v>
                </c:pt>
                <c:pt idx="191">
                  <c:v>124.03</c:v>
                </c:pt>
                <c:pt idx="192">
                  <c:v>124.73</c:v>
                </c:pt>
                <c:pt idx="193">
                  <c:v>125.12</c:v>
                </c:pt>
                <c:pt idx="194">
                  <c:v>125.12</c:v>
                </c:pt>
                <c:pt idx="195">
                  <c:v>125.12</c:v>
                </c:pt>
                <c:pt idx="196">
                  <c:v>126.1</c:v>
                </c:pt>
                <c:pt idx="197">
                  <c:v>126.78</c:v>
                </c:pt>
                <c:pt idx="198">
                  <c:v>125.78</c:v>
                </c:pt>
                <c:pt idx="199">
                  <c:v>124.3</c:v>
                </c:pt>
                <c:pt idx="200">
                  <c:v>123.68</c:v>
                </c:pt>
                <c:pt idx="201">
                  <c:v>123.68</c:v>
                </c:pt>
                <c:pt idx="202">
                  <c:v>123.68</c:v>
                </c:pt>
                <c:pt idx="203">
                  <c:v>122.85</c:v>
                </c:pt>
                <c:pt idx="204">
                  <c:v>122.85</c:v>
                </c:pt>
                <c:pt idx="205">
                  <c:v>122.85</c:v>
                </c:pt>
                <c:pt idx="206">
                  <c:v>124.17</c:v>
                </c:pt>
                <c:pt idx="207">
                  <c:v>128.87</c:v>
                </c:pt>
                <c:pt idx="208">
                  <c:v>128.87</c:v>
                </c:pt>
                <c:pt idx="209">
                  <c:v>128.87</c:v>
                </c:pt>
                <c:pt idx="210">
                  <c:v>129.62</c:v>
                </c:pt>
                <c:pt idx="211">
                  <c:v>130.54</c:v>
                </c:pt>
                <c:pt idx="212">
                  <c:v>130</c:v>
                </c:pt>
                <c:pt idx="213">
                  <c:v>129.31</c:v>
                </c:pt>
                <c:pt idx="214">
                  <c:v>131.04</c:v>
                </c:pt>
                <c:pt idx="215">
                  <c:v>131.04</c:v>
                </c:pt>
                <c:pt idx="216">
                  <c:v>131.04</c:v>
                </c:pt>
                <c:pt idx="217">
                  <c:v>130.94999999999999</c:v>
                </c:pt>
                <c:pt idx="218">
                  <c:v>129.56</c:v>
                </c:pt>
                <c:pt idx="219">
                  <c:v>125.62</c:v>
                </c:pt>
                <c:pt idx="220">
                  <c:v>126.37</c:v>
                </c:pt>
                <c:pt idx="221">
                  <c:v>130.29</c:v>
                </c:pt>
                <c:pt idx="222">
                  <c:v>130.29</c:v>
                </c:pt>
                <c:pt idx="223">
                  <c:v>130.29</c:v>
                </c:pt>
                <c:pt idx="224">
                  <c:v>132.29</c:v>
                </c:pt>
                <c:pt idx="225">
                  <c:v>137.47999999999999</c:v>
                </c:pt>
                <c:pt idx="226">
                  <c:v>137.75</c:v>
                </c:pt>
                <c:pt idx="227">
                  <c:v>141.54</c:v>
                </c:pt>
                <c:pt idx="228">
                  <c:v>137.41</c:v>
                </c:pt>
                <c:pt idx="229">
                  <c:v>137.41</c:v>
                </c:pt>
                <c:pt idx="230">
                  <c:v>137.41</c:v>
                </c:pt>
                <c:pt idx="231">
                  <c:v>140.22999999999999</c:v>
                </c:pt>
                <c:pt idx="232">
                  <c:v>144.88</c:v>
                </c:pt>
                <c:pt idx="233">
                  <c:v>146.09</c:v>
                </c:pt>
                <c:pt idx="234">
                  <c:v>146.69999999999999</c:v>
                </c:pt>
                <c:pt idx="235">
                  <c:v>142.66</c:v>
                </c:pt>
                <c:pt idx="236">
                  <c:v>142.66</c:v>
                </c:pt>
                <c:pt idx="237">
                  <c:v>142.66</c:v>
                </c:pt>
                <c:pt idx="238">
                  <c:v>142.66</c:v>
                </c:pt>
                <c:pt idx="239">
                  <c:v>138.76</c:v>
                </c:pt>
                <c:pt idx="240">
                  <c:v>136.82</c:v>
                </c:pt>
                <c:pt idx="241">
                  <c:v>137.19999999999999</c:v>
                </c:pt>
                <c:pt idx="242">
                  <c:v>144.25</c:v>
                </c:pt>
                <c:pt idx="243">
                  <c:v>144.25</c:v>
                </c:pt>
                <c:pt idx="244">
                  <c:v>144.25</c:v>
                </c:pt>
                <c:pt idx="245">
                  <c:v>150.56</c:v>
                </c:pt>
                <c:pt idx="246">
                  <c:v>150.56</c:v>
                </c:pt>
                <c:pt idx="247">
                  <c:v>151.52000000000001</c:v>
                </c:pt>
                <c:pt idx="248">
                  <c:v>153.22</c:v>
                </c:pt>
                <c:pt idx="249">
                  <c:v>148.32</c:v>
                </c:pt>
                <c:pt idx="250">
                  <c:v>148.32</c:v>
                </c:pt>
                <c:pt idx="251">
                  <c:v>148.32</c:v>
                </c:pt>
                <c:pt idx="252">
                  <c:v>144.93</c:v>
                </c:pt>
                <c:pt idx="253">
                  <c:v>142.08000000000001</c:v>
                </c:pt>
                <c:pt idx="254">
                  <c:v>142.63999999999999</c:v>
                </c:pt>
                <c:pt idx="255">
                  <c:v>137.99</c:v>
                </c:pt>
                <c:pt idx="256">
                  <c:v>134.71</c:v>
                </c:pt>
                <c:pt idx="257">
                  <c:v>134.71</c:v>
                </c:pt>
                <c:pt idx="258">
                  <c:v>134.71</c:v>
                </c:pt>
                <c:pt idx="259">
                  <c:v>134.57</c:v>
                </c:pt>
                <c:pt idx="260">
                  <c:v>131.69</c:v>
                </c:pt>
                <c:pt idx="261">
                  <c:v>131.84</c:v>
                </c:pt>
                <c:pt idx="262">
                  <c:v>134.08000000000001</c:v>
                </c:pt>
                <c:pt idx="263">
                  <c:v>131.31</c:v>
                </c:pt>
                <c:pt idx="264">
                  <c:v>131.31</c:v>
                </c:pt>
                <c:pt idx="265">
                  <c:v>131.31</c:v>
                </c:pt>
                <c:pt idx="266">
                  <c:v>127.56</c:v>
                </c:pt>
                <c:pt idx="267">
                  <c:v>122</c:v>
                </c:pt>
                <c:pt idx="268">
                  <c:v>125.5</c:v>
                </c:pt>
                <c:pt idx="269">
                  <c:v>124.56</c:v>
                </c:pt>
                <c:pt idx="270">
                  <c:v>129.93</c:v>
                </c:pt>
                <c:pt idx="271">
                  <c:v>129.93</c:v>
                </c:pt>
                <c:pt idx="272">
                  <c:v>129.93</c:v>
                </c:pt>
                <c:pt idx="273">
                  <c:v>135.72</c:v>
                </c:pt>
                <c:pt idx="274">
                  <c:v>138.36000000000001</c:v>
                </c:pt>
                <c:pt idx="275">
                  <c:v>141.5</c:v>
                </c:pt>
                <c:pt idx="276">
                  <c:v>144.61000000000001</c:v>
                </c:pt>
                <c:pt idx="277">
                  <c:v>149.80000000000001</c:v>
                </c:pt>
                <c:pt idx="278">
                  <c:v>149.80000000000001</c:v>
                </c:pt>
                <c:pt idx="279">
                  <c:v>149.80000000000001</c:v>
                </c:pt>
                <c:pt idx="280">
                  <c:v>158.07</c:v>
                </c:pt>
                <c:pt idx="281">
                  <c:v>164.15</c:v>
                </c:pt>
                <c:pt idx="282">
                  <c:v>163.21</c:v>
                </c:pt>
                <c:pt idx="283">
                  <c:v>164.96</c:v>
                </c:pt>
                <c:pt idx="284">
                  <c:v>167.37</c:v>
                </c:pt>
                <c:pt idx="285">
                  <c:v>167.37</c:v>
                </c:pt>
                <c:pt idx="286">
                  <c:v>167.37</c:v>
                </c:pt>
                <c:pt idx="287">
                  <c:v>167.27</c:v>
                </c:pt>
                <c:pt idx="288">
                  <c:v>167.72</c:v>
                </c:pt>
                <c:pt idx="289">
                  <c:v>171.83</c:v>
                </c:pt>
                <c:pt idx="290">
                  <c:v>173.42</c:v>
                </c:pt>
                <c:pt idx="291">
                  <c:v>167.95</c:v>
                </c:pt>
                <c:pt idx="292">
                  <c:v>167.95</c:v>
                </c:pt>
                <c:pt idx="293">
                  <c:v>167.95</c:v>
                </c:pt>
                <c:pt idx="294">
                  <c:v>165.95</c:v>
                </c:pt>
                <c:pt idx="295">
                  <c:v>168.86</c:v>
                </c:pt>
                <c:pt idx="296">
                  <c:v>170.57</c:v>
                </c:pt>
                <c:pt idx="297">
                  <c:v>171.63</c:v>
                </c:pt>
                <c:pt idx="298">
                  <c:v>171.67</c:v>
                </c:pt>
                <c:pt idx="299">
                  <c:v>171.67</c:v>
                </c:pt>
                <c:pt idx="300">
                  <c:v>171.67</c:v>
                </c:pt>
                <c:pt idx="301">
                  <c:v>172.73</c:v>
                </c:pt>
                <c:pt idx="302">
                  <c:v>174.09</c:v>
                </c:pt>
                <c:pt idx="303">
                  <c:v>172.14</c:v>
                </c:pt>
                <c:pt idx="304">
                  <c:v>167.26</c:v>
                </c:pt>
                <c:pt idx="305">
                  <c:v>167.42</c:v>
                </c:pt>
                <c:pt idx="306">
                  <c:v>167.42</c:v>
                </c:pt>
                <c:pt idx="307">
                  <c:v>167.42</c:v>
                </c:pt>
                <c:pt idx="308">
                  <c:v>169.26</c:v>
                </c:pt>
                <c:pt idx="309">
                  <c:v>171.2</c:v>
                </c:pt>
                <c:pt idx="310">
                  <c:v>176.77</c:v>
                </c:pt>
                <c:pt idx="311">
                  <c:v>172.45</c:v>
                </c:pt>
                <c:pt idx="312">
                  <c:v>170.61</c:v>
                </c:pt>
                <c:pt idx="313">
                  <c:v>170.61</c:v>
                </c:pt>
                <c:pt idx="314">
                  <c:v>170.61</c:v>
                </c:pt>
                <c:pt idx="315">
                  <c:v>174.2</c:v>
                </c:pt>
                <c:pt idx="316">
                  <c:v>172.63</c:v>
                </c:pt>
                <c:pt idx="317">
                  <c:v>175.51</c:v>
                </c:pt>
                <c:pt idx="318">
                  <c:v>174.51</c:v>
                </c:pt>
                <c:pt idx="319">
                  <c:v>169.1</c:v>
                </c:pt>
                <c:pt idx="320">
                  <c:v>169.1</c:v>
                </c:pt>
                <c:pt idx="321">
                  <c:v>169.1</c:v>
                </c:pt>
                <c:pt idx="322">
                  <c:v>165.15</c:v>
                </c:pt>
                <c:pt idx="323">
                  <c:v>149.41999999999999</c:v>
                </c:pt>
                <c:pt idx="324">
                  <c:v>142.51</c:v>
                </c:pt>
                <c:pt idx="325">
                  <c:v>143.47999999999999</c:v>
                </c:pt>
                <c:pt idx="326">
                  <c:v>142.11000000000001</c:v>
                </c:pt>
                <c:pt idx="327">
                  <c:v>142.11000000000001</c:v>
                </c:pt>
                <c:pt idx="328">
                  <c:v>142.11000000000001</c:v>
                </c:pt>
                <c:pt idx="329">
                  <c:v>141.22999999999999</c:v>
                </c:pt>
                <c:pt idx="330">
                  <c:v>138.32</c:v>
                </c:pt>
                <c:pt idx="331">
                  <c:v>138.26</c:v>
                </c:pt>
                <c:pt idx="332">
                  <c:v>140.35</c:v>
                </c:pt>
                <c:pt idx="333">
                  <c:v>141.94999999999999</c:v>
                </c:pt>
                <c:pt idx="334">
                  <c:v>141.94999999999999</c:v>
                </c:pt>
                <c:pt idx="335">
                  <c:v>141.94999999999999</c:v>
                </c:pt>
                <c:pt idx="336">
                  <c:v>138.96</c:v>
                </c:pt>
                <c:pt idx="337">
                  <c:v>137.27000000000001</c:v>
                </c:pt>
                <c:pt idx="338">
                  <c:v>135.83000000000001</c:v>
                </c:pt>
                <c:pt idx="339">
                  <c:v>136</c:v>
                </c:pt>
                <c:pt idx="340">
                  <c:v>138.25</c:v>
                </c:pt>
                <c:pt idx="341">
                  <c:v>138.25</c:v>
                </c:pt>
                <c:pt idx="342">
                  <c:v>138.25</c:v>
                </c:pt>
                <c:pt idx="343">
                  <c:v>136.66</c:v>
                </c:pt>
                <c:pt idx="344">
                  <c:v>137.75</c:v>
                </c:pt>
                <c:pt idx="345">
                  <c:v>136.91999999999999</c:v>
                </c:pt>
                <c:pt idx="346">
                  <c:v>138.76</c:v>
                </c:pt>
                <c:pt idx="347">
                  <c:v>137.54</c:v>
                </c:pt>
                <c:pt idx="348">
                  <c:v>137.54</c:v>
                </c:pt>
                <c:pt idx="349">
                  <c:v>137.54</c:v>
                </c:pt>
                <c:pt idx="350">
                  <c:v>135.99</c:v>
                </c:pt>
                <c:pt idx="351">
                  <c:v>134</c:v>
                </c:pt>
                <c:pt idx="352">
                  <c:v>133.11000000000001</c:v>
                </c:pt>
                <c:pt idx="353">
                  <c:v>130.26</c:v>
                </c:pt>
                <c:pt idx="354">
                  <c:v>124.81</c:v>
                </c:pt>
                <c:pt idx="355">
                  <c:v>124.81</c:v>
                </c:pt>
                <c:pt idx="356">
                  <c:v>124.81</c:v>
                </c:pt>
                <c:pt idx="357">
                  <c:v>125.92</c:v>
                </c:pt>
                <c:pt idx="358">
                  <c:v>129.30000000000001</c:v>
                </c:pt>
                <c:pt idx="359">
                  <c:v>127.7</c:v>
                </c:pt>
                <c:pt idx="360">
                  <c:v>127.7</c:v>
                </c:pt>
                <c:pt idx="361">
                  <c:v>129.47</c:v>
                </c:pt>
                <c:pt idx="362">
                  <c:v>129.47</c:v>
                </c:pt>
                <c:pt idx="363">
                  <c:v>129.47</c:v>
                </c:pt>
                <c:pt idx="364">
                  <c:v>131.97</c:v>
                </c:pt>
                <c:pt idx="365">
                  <c:v>131.97</c:v>
                </c:pt>
                <c:pt idx="366">
                  <c:v>131.97</c:v>
                </c:pt>
                <c:pt idx="367">
                  <c:v>131.97</c:v>
                </c:pt>
                <c:pt idx="368">
                  <c:v>129.22</c:v>
                </c:pt>
                <c:pt idx="369">
                  <c:v>129.22</c:v>
                </c:pt>
                <c:pt idx="370">
                  <c:v>127.54</c:v>
                </c:pt>
                <c:pt idx="371">
                  <c:v>127.94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E5-42A9-97CA-DC674B4AA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60672"/>
        <c:axId val="351459888"/>
      </c:lineChart>
      <c:dateAx>
        <c:axId val="554577472"/>
        <c:scaling>
          <c:orientation val="minMax"/>
          <c:max val="45962"/>
          <c:min val="45597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57536"/>
        <c:crosses val="autoZero"/>
        <c:auto val="1"/>
        <c:lblOffset val="100"/>
        <c:baseTimeUnit val="days"/>
      </c:dateAx>
      <c:valAx>
        <c:axId val="351457536"/>
        <c:scaling>
          <c:orientation val="minMax"/>
          <c:max val="22600"/>
          <c:min val="5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4577472"/>
        <c:crosses val="autoZero"/>
        <c:crossBetween val="between"/>
      </c:valAx>
      <c:valAx>
        <c:axId val="351459888"/>
        <c:scaling>
          <c:orientation val="minMax"/>
          <c:max val="190"/>
          <c:min val="9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460672"/>
        <c:crosses val="max"/>
        <c:crossBetween val="between"/>
      </c:valAx>
      <c:dateAx>
        <c:axId val="351460672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351459888"/>
        <c:crosses val="max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765662602423896E-3"/>
          <c:y val="0.90761859907947717"/>
          <c:w val="0.98000014541118652"/>
          <c:h val="6.9909484181038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9E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38101</xdr:rowOff>
    </xdr:from>
    <xdr:to>
      <xdr:col>5</xdr:col>
      <xdr:colOff>552450</xdr:colOff>
      <xdr:row>46</xdr:row>
      <xdr:rowOff>180975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51</xdr:row>
      <xdr:rowOff>0</xdr:rowOff>
    </xdr:from>
    <xdr:to>
      <xdr:col>5</xdr:col>
      <xdr:colOff>533400</xdr:colOff>
      <xdr:row>63</xdr:row>
      <xdr:rowOff>9524</xdr:rowOff>
    </xdr:to>
    <xdr:graphicFrame macro="">
      <xdr:nvGraphicFramePr>
        <xdr:cNvPr id="1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533400</xdr:colOff>
          <xdr:row>3</xdr:row>
          <xdr:rowOff>121920</xdr:rowOff>
        </xdr:from>
        <xdr:to>
          <xdr:col>21</xdr:col>
          <xdr:colOff>99060</xdr:colOff>
          <xdr:row>5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541020</xdr:colOff>
          <xdr:row>6</xdr:row>
          <xdr:rowOff>22860</xdr:rowOff>
        </xdr:from>
        <xdr:to>
          <xdr:col>21</xdr:col>
          <xdr:colOff>68580</xdr:colOff>
          <xdr:row>6</xdr:row>
          <xdr:rowOff>350520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9" tint="0.39997558519241921"/>
  </sheetPr>
  <dimension ref="A1:EE2032"/>
  <sheetViews>
    <sheetView workbookViewId="0">
      <selection activeCell="B30" sqref="B30"/>
    </sheetView>
  </sheetViews>
  <sheetFormatPr defaultRowHeight="14.4" x14ac:dyDescent="0.3"/>
  <cols>
    <col min="1" max="1" width="17" bestFit="1" customWidth="1"/>
    <col min="2" max="2" width="18.44140625" customWidth="1"/>
    <col min="5" max="5" width="24" style="20" bestFit="1" customWidth="1"/>
    <col min="6" max="7" width="20.33203125" customWidth="1"/>
    <col min="8" max="8" width="17.109375" customWidth="1"/>
    <col min="9" max="9" width="21.44140625" customWidth="1"/>
    <col min="10" max="10" width="11.6640625" customWidth="1"/>
    <col min="11" max="14" width="22.33203125" style="22" customWidth="1"/>
    <col min="15" max="15" width="11.6640625" style="22" customWidth="1"/>
    <col min="16" max="17" width="11.6640625" customWidth="1"/>
    <col min="19" max="19" width="36.5546875" bestFit="1" customWidth="1"/>
    <col min="20" max="20" width="17.109375" customWidth="1"/>
    <col min="21" max="21" width="21.6640625" bestFit="1" customWidth="1"/>
    <col min="22" max="22" width="17.6640625" customWidth="1"/>
    <col min="23" max="26" width="15.88671875" customWidth="1"/>
    <col min="27" max="36" width="9.109375" customWidth="1"/>
    <col min="38" max="38" width="30.44140625" bestFit="1" customWidth="1"/>
    <col min="39" max="39" width="21.6640625" bestFit="1" customWidth="1"/>
    <col min="40" max="40" width="7.33203125" bestFit="1" customWidth="1"/>
    <col min="41" max="41" width="12.109375" bestFit="1" customWidth="1"/>
    <col min="42" max="42" width="13.33203125" bestFit="1" customWidth="1"/>
    <col min="43" max="43" width="10.6640625" bestFit="1" customWidth="1"/>
    <col min="44" max="44" width="6" bestFit="1" customWidth="1"/>
    <col min="46" max="46" width="30.44140625" bestFit="1" customWidth="1"/>
    <col min="47" max="47" width="21.6640625" bestFit="1" customWidth="1"/>
    <col min="48" max="48" width="7.33203125" bestFit="1" customWidth="1"/>
    <col min="49" max="49" width="12.109375" bestFit="1" customWidth="1"/>
    <col min="50" max="50" width="17.6640625" customWidth="1"/>
    <col min="51" max="51" width="16.88671875" customWidth="1"/>
    <col min="52" max="52" width="15.88671875" customWidth="1"/>
    <col min="55" max="55" width="25.6640625" customWidth="1"/>
    <col min="56" max="56" width="17.6640625" customWidth="1"/>
    <col min="57" max="57" width="16.109375" customWidth="1"/>
    <col min="58" max="58" width="15.6640625" customWidth="1"/>
    <col min="62" max="62" width="10.109375" bestFit="1" customWidth="1"/>
    <col min="87" max="87" width="8.88671875" customWidth="1"/>
    <col min="89" max="89" width="10.109375" bestFit="1" customWidth="1"/>
    <col min="93" max="93" width="10.109375" bestFit="1" customWidth="1"/>
    <col min="94" max="94" width="15.33203125" bestFit="1" customWidth="1"/>
  </cols>
  <sheetData>
    <row r="1" spans="1:135" ht="47.25" customHeight="1" x14ac:dyDescent="0.3">
      <c r="A1" s="24" t="s">
        <v>0</v>
      </c>
      <c r="B1" s="25" t="s">
        <v>101</v>
      </c>
      <c r="E1" s="24" t="s">
        <v>51</v>
      </c>
      <c r="F1" s="24" t="s">
        <v>121</v>
      </c>
      <c r="G1" s="100" t="s">
        <v>150</v>
      </c>
      <c r="H1" s="24" t="s">
        <v>33</v>
      </c>
      <c r="I1" s="24" t="s">
        <v>34</v>
      </c>
      <c r="K1" s="99" t="str">
        <f>Template!$A$49</f>
        <v>Индекс МосБиржи голубых фишек</v>
      </c>
      <c r="L1" s="99" t="str">
        <f>K1&amp;" (как значения)"</f>
        <v>Индекс МосБиржи голубых фишек (как значения)</v>
      </c>
      <c r="M1" s="99" t="str">
        <f>Template!$A$50</f>
        <v>Индекс МосБиржи нефти и газа</v>
      </c>
      <c r="N1" s="99" t="str">
        <f>M1&amp;" (как значения)"</f>
        <v>Индекс МосБиржи нефти и газа (как значения)</v>
      </c>
      <c r="S1" s="27"/>
      <c r="T1" s="24" t="s">
        <v>52</v>
      </c>
      <c r="U1" s="24" t="s">
        <v>53</v>
      </c>
      <c r="V1" s="24" t="s">
        <v>110</v>
      </c>
    </row>
    <row r="2" spans="1:135" ht="45" customHeight="1" x14ac:dyDescent="0.3">
      <c r="A2" s="24" t="s">
        <v>54</v>
      </c>
      <c r="B2" s="28">
        <v>46023</v>
      </c>
      <c r="E2" s="29">
        <f>B2</f>
        <v>46023</v>
      </c>
      <c r="F2" s="30" t="str">
        <f>_xll.CbondsStockAvgPrice($B$1,E2,$B$27)</f>
        <v>Нет данных</v>
      </c>
      <c r="G2" s="30">
        <f>IF(IF(AND(F2="",$E2=""),"",IF(AND(F2="Нет данных",$E2&lt;&gt;""),G3,F2)) = 0,"",IF(AND(F2="",$E2=""),"",IF(AND(F2="Нет данных",$E2&lt;&gt;""),G3,F2)))</f>
        <v>125.55</v>
      </c>
      <c r="H2" s="88" t="str">
        <f>IF(_xll.CbondsStockTradingVolume($B$1,E2,$B$27) &lt;&gt; "Нет данных",_xll.CbondsStockTradingVolume($B$1,E2,$B$27),"0")</f>
        <v>0</v>
      </c>
      <c r="I2" s="88" t="str">
        <f>IF(_xll.CbondsStockDealsNumber($B$1,E2,$B$27) &lt;&gt; "Нет данных",_xll.CbondsStockDealsNumber($B$1,E2,$B$27),"0")</f>
        <v>0</v>
      </c>
      <c r="K2" s="88" t="str">
        <f>_xll.CbondsIndexValue(VLOOKUP($K$1,'Help Page'!$Q:$S,3,0),Calculation!E2)</f>
        <v>Нет данных</v>
      </c>
      <c r="L2" s="88">
        <f>IF(IF(AND(K2="",$E2=""),"",IF(AND(K2="Нет данных",$E2&lt;&gt;""),L3,K2)) = 0,"",IF(AND(K2="",$E2=""),"",IF(AND(K2="Нет данных",$E2&lt;&gt;""),L3,K2)))</f>
        <v>18382.830000000002</v>
      </c>
      <c r="M2" s="88" t="str">
        <f>_xll.CbondsIndexValue(VLOOKUP($M$1,'Help Page'!$Q:$S,3,0),Calculation!E2)</f>
        <v>Нет данных</v>
      </c>
      <c r="N2" s="88">
        <f>IF(IF(AND(M2="",$E2=""),"",IF(AND(M2="Нет данных",$E2&lt;&gt;""),N3,M2)) = 0,"",IF(AND(M2="",$E2=""),"",IF(AND(M2="Нет данных",$E2&lt;&gt;""),N3,M2)))</f>
        <v>7152.9</v>
      </c>
      <c r="S2" s="24" t="s">
        <v>55</v>
      </c>
      <c r="T2" s="33" t="str">
        <f>_xll.IssueOrgAndRoles(B1,S2,,,,T1:V1)</f>
        <v>Газпром</v>
      </c>
      <c r="U2" s="34" t="s">
        <v>102</v>
      </c>
      <c r="V2" s="32" t="s">
        <v>112</v>
      </c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</row>
    <row r="3" spans="1:135" x14ac:dyDescent="0.3">
      <c r="A3" s="24" t="s">
        <v>56</v>
      </c>
      <c r="B3" s="36">
        <f>EDATE(B2,-12)</f>
        <v>45658</v>
      </c>
      <c r="E3" s="37">
        <f>E2-1</f>
        <v>46022</v>
      </c>
      <c r="F3" s="30" t="str">
        <f>_xll.CbondsStockAvgPrice($B$1,E3,$B$27)</f>
        <v>Нет данных</v>
      </c>
      <c r="G3" s="31">
        <f t="shared" ref="G3:G66" si="0">IF(IF(AND(F3="",E3=""),"",IF(AND(F3="Нет данных",E3&lt;&gt;""),G4,F3)) = 0,"",IF(AND(F3="",E3=""),"",IF(AND(F3="Нет данных",E3&lt;&gt;""),G4,F3)))</f>
        <v>125.55</v>
      </c>
      <c r="H3" s="88" t="str">
        <f>IF(_xll.CbondsStockTradingVolume($B$1,E3,$B$27) &lt;&gt; "Нет данных",_xll.CbondsStockTradingVolume($B$1,E3,$B$27),"0")</f>
        <v>0</v>
      </c>
      <c r="I3" s="88" t="str">
        <f>IF(_xll.CbondsStockDealsNumber($B$1,E3,$B$27) &lt;&gt; "Нет данных",_xll.CbondsStockDealsNumber($B$1,E3,$B$27),"0")</f>
        <v>0</v>
      </c>
      <c r="K3" s="88" t="str">
        <f>_xll.CbondsIndexValue(VLOOKUP($K$1,'Help Page'!$Q:$S,3,0),Calculation!E3)</f>
        <v>Нет данных</v>
      </c>
      <c r="L3" s="88">
        <f t="shared" ref="L3:L66" si="1">IF(IF(AND(K3="",$E3=""),"",IF(AND(K3="Нет данных",$E3&lt;&gt;""),L4,K3)) = 0,"",IF(AND(K3="",$E3=""),"",IF(AND(K3="Нет данных",$E3&lt;&gt;""),L4,K3)))</f>
        <v>18382.830000000002</v>
      </c>
      <c r="M3" s="88" t="str">
        <f>_xll.CbondsIndexValue(VLOOKUP($M$1,'Help Page'!$Q:$S,3,0),Calculation!E3)</f>
        <v>Нет данных</v>
      </c>
      <c r="N3" s="88">
        <f t="shared" ref="N3:N66" si="2">IF(IF(AND(M3="",$E3=""),"",IF(AND(M3="Нет данных",$E3&lt;&gt;""),N4,M3)) = 0,"",IF(AND(M3="",$E3=""),"",IF(AND(M3="Нет данных",$E3&lt;&gt;""),N4,M3)))</f>
        <v>7152.9</v>
      </c>
      <c r="S3" s="38"/>
    </row>
    <row r="4" spans="1:135" x14ac:dyDescent="0.3">
      <c r="E4" s="37">
        <f t="shared" ref="E4:E67" si="3">E3-1</f>
        <v>46021</v>
      </c>
      <c r="F4" s="30">
        <f>_xll.CbondsStockAvgPrice($B$1,E4,$B$27)</f>
        <v>125.55</v>
      </c>
      <c r="G4" s="31">
        <f t="shared" si="0"/>
        <v>125.55</v>
      </c>
      <c r="H4" s="88">
        <f>IF(_xll.CbondsStockTradingVolume($B$1,E4,$B$27) &lt;&gt; "Нет данных",_xll.CbondsStockTradingVolume($B$1,E4,$B$27),"0")</f>
        <v>4333523104.8999996</v>
      </c>
      <c r="I4" s="88">
        <f>IF(_xll.CbondsStockDealsNumber($B$1,E4,$B$27) &lt;&gt; "Нет данных",_xll.CbondsStockDealsNumber($B$1,E4,$B$27),"0")</f>
        <v>64177</v>
      </c>
      <c r="K4" s="88">
        <f>_xll.CbondsIndexValue(VLOOKUP($K$1,'Help Page'!$Q:$S,3,0),Calculation!E4)</f>
        <v>18382.830000000002</v>
      </c>
      <c r="L4" s="88">
        <f t="shared" si="1"/>
        <v>18382.830000000002</v>
      </c>
      <c r="M4" s="88">
        <f>_xll.CbondsIndexValue(VLOOKUP($M$1,'Help Page'!$Q:$S,3,0),Calculation!E4)</f>
        <v>7152.9</v>
      </c>
      <c r="N4" s="88">
        <f t="shared" si="2"/>
        <v>7152.9</v>
      </c>
      <c r="S4" s="14" t="s">
        <v>124</v>
      </c>
      <c r="X4" s="14"/>
      <c r="AL4" s="14" t="s">
        <v>57</v>
      </c>
      <c r="AT4" s="14" t="s">
        <v>58</v>
      </c>
    </row>
    <row r="5" spans="1:135" x14ac:dyDescent="0.3">
      <c r="E5" s="37">
        <f t="shared" si="3"/>
        <v>46020</v>
      </c>
      <c r="F5" s="30">
        <f>_xll.CbondsStockAvgPrice($B$1,E5,$B$27)</f>
        <v>127.15</v>
      </c>
      <c r="G5" s="31">
        <f t="shared" si="0"/>
        <v>127.15</v>
      </c>
      <c r="H5" s="88">
        <f>IF(_xll.CbondsStockTradingVolume($B$1,E5,$B$27) &lt;&gt; "Нет данных",_xll.CbondsStockTradingVolume($B$1,E5,$B$27),"0")</f>
        <v>15763549029.5</v>
      </c>
      <c r="I5" s="88">
        <f>IF(_xll.CbondsStockDealsNumber($B$1,E5,$B$27) &lt;&gt; "Нет данных",_xll.CbondsStockDealsNumber($B$1,E5,$B$27),"0")</f>
        <v>160477</v>
      </c>
      <c r="K5" s="88">
        <f>_xll.CbondsIndexValue(VLOOKUP($K$1,'Help Page'!$Q:$S,3,0),Calculation!E5)</f>
        <v>18225.52</v>
      </c>
      <c r="L5" s="88">
        <f t="shared" si="1"/>
        <v>18225.52</v>
      </c>
      <c r="M5" s="88">
        <f>_xll.CbondsIndexValue(VLOOKUP($M$1,'Help Page'!$Q:$S,3,0),Calculation!E5)</f>
        <v>7078.14</v>
      </c>
      <c r="N5" s="88">
        <f t="shared" si="2"/>
        <v>7078.14</v>
      </c>
      <c r="S5" s="39"/>
      <c r="T5" s="24" t="s">
        <v>59</v>
      </c>
      <c r="U5" s="24" t="s">
        <v>60</v>
      </c>
      <c r="V5" s="24" t="s">
        <v>121</v>
      </c>
      <c r="AL5" s="24" t="s">
        <v>61</v>
      </c>
      <c r="AM5" s="40" t="str">
        <f>_xll.InstrumentRatings(B1,B2,,"*")</f>
        <v>Name</v>
      </c>
      <c r="AN5" s="41" t="s">
        <v>62</v>
      </c>
      <c r="AO5" s="41" t="s">
        <v>63</v>
      </c>
      <c r="AP5" s="41" t="s">
        <v>64</v>
      </c>
      <c r="AQ5" s="41" t="s">
        <v>65</v>
      </c>
      <c r="AR5" s="41" t="s">
        <v>66</v>
      </c>
      <c r="AT5" s="24" t="s">
        <v>61</v>
      </c>
      <c r="AU5" s="24" t="s">
        <v>67</v>
      </c>
      <c r="AV5" s="24" t="s">
        <v>62</v>
      </c>
      <c r="AW5" s="24" t="s">
        <v>63</v>
      </c>
      <c r="AX5" s="24" t="s">
        <v>64</v>
      </c>
      <c r="AY5" s="24" t="s">
        <v>65</v>
      </c>
      <c r="AZ5" s="24" t="s">
        <v>66</v>
      </c>
      <c r="BC5" s="42" t="s">
        <v>68</v>
      </c>
    </row>
    <row r="6" spans="1:135" x14ac:dyDescent="0.3">
      <c r="A6" s="14" t="s">
        <v>69</v>
      </c>
      <c r="E6" s="37">
        <f t="shared" si="3"/>
        <v>46019</v>
      </c>
      <c r="F6" s="30" t="str">
        <f>_xll.CbondsStockAvgPrice($B$1,E6,$B$27)</f>
        <v>Нет данных</v>
      </c>
      <c r="G6" s="31">
        <f t="shared" si="0"/>
        <v>126.17</v>
      </c>
      <c r="H6" s="88" t="str">
        <f>IF(_xll.CbondsStockTradingVolume($B$1,E6,$B$27) &lt;&gt; "Нет данных",_xll.CbondsStockTradingVolume($B$1,E6,$B$27),"0")</f>
        <v>0</v>
      </c>
      <c r="I6" s="88" t="str">
        <f>IF(_xll.CbondsStockDealsNumber($B$1,E6,$B$27) &lt;&gt; "Нет данных",_xll.CbondsStockDealsNumber($B$1,E6,$B$27),"0")</f>
        <v>0</v>
      </c>
      <c r="K6" s="88" t="str">
        <f>_xll.CbondsIndexValue(VLOOKUP($K$1,'Help Page'!$Q:$S,3,0),Calculation!E6)</f>
        <v>Нет данных</v>
      </c>
      <c r="L6" s="88">
        <f t="shared" si="1"/>
        <v>18311.66</v>
      </c>
      <c r="M6" s="88" t="str">
        <f>_xll.CbondsIndexValue(VLOOKUP($M$1,'Help Page'!$Q:$S,3,0),Calculation!E6)</f>
        <v>Нет данных</v>
      </c>
      <c r="N6" s="88">
        <f t="shared" si="2"/>
        <v>7127.42</v>
      </c>
      <c r="S6" s="39">
        <v>1</v>
      </c>
      <c r="T6" s="43">
        <f>$B$2</f>
        <v>46023</v>
      </c>
      <c r="U6" s="44">
        <f>VLOOKUP(T6,'Help Page'!A:C,3,0)</f>
        <v>46021</v>
      </c>
      <c r="V6" s="45">
        <f>_xll.CbondsStockAvgPrice($B$1,U6,$B$27)</f>
        <v>125.55</v>
      </c>
      <c r="W6" s="35"/>
      <c r="AL6" s="27" t="str">
        <f>VLOOKUP(AM6,'Help Page'!E:F,2,0)</f>
        <v>Expert RA</v>
      </c>
      <c r="AM6" s="30" t="s">
        <v>103</v>
      </c>
      <c r="AN6" s="30" t="s">
        <v>104</v>
      </c>
      <c r="AO6" s="30" t="s">
        <v>79</v>
      </c>
      <c r="AP6" s="30" t="s">
        <v>70</v>
      </c>
      <c r="AQ6" s="43">
        <v>45800</v>
      </c>
      <c r="AR6" s="30" t="s">
        <v>73</v>
      </c>
      <c r="AT6" s="27" t="str">
        <f>VLOOKUP(AU6,'Help Page'!E:F,2,0)</f>
        <v>Expert RA</v>
      </c>
      <c r="AU6" s="27" t="str">
        <f>IF(AN6&lt;&gt;"Снят",AM6," ")</f>
        <v>EXP-C-Cr&amp;D-Nsc</v>
      </c>
      <c r="AV6" s="27" t="str">
        <f>IF(AN6&lt;&gt;"Снят",AN6," ")</f>
        <v>ruAAA</v>
      </c>
      <c r="AW6" s="27" t="str">
        <f>IF(AN6&lt;&gt;"Снят",AO6," ")</f>
        <v>Стабильный</v>
      </c>
      <c r="AX6" s="27" t="str">
        <f>IF(AN6&lt;&gt;"Снят",AP6," ")</f>
        <v>Подтвержден</v>
      </c>
      <c r="AY6" s="43">
        <f>IF(AN6&lt;&gt;"Снят",AQ6," ")</f>
        <v>45800</v>
      </c>
      <c r="AZ6" s="27" t="str">
        <f>IF(AN6&lt;&gt;"Снят",AR6," ")</f>
        <v>Issuer</v>
      </c>
      <c r="BC6" s="24" t="s">
        <v>61</v>
      </c>
      <c r="BD6" s="24" t="s">
        <v>74</v>
      </c>
      <c r="BE6" s="24" t="s">
        <v>32</v>
      </c>
      <c r="BF6" s="24" t="s">
        <v>75</v>
      </c>
      <c r="BJ6" s="20"/>
      <c r="BK6" s="20"/>
      <c r="BL6" s="20"/>
      <c r="BM6" s="20"/>
      <c r="BO6" s="20"/>
      <c r="BP6" s="20"/>
      <c r="BQ6" s="20"/>
      <c r="BS6" s="20"/>
      <c r="BU6" s="20"/>
      <c r="CK6" s="20"/>
      <c r="CL6" s="20"/>
      <c r="CO6" s="20"/>
      <c r="CP6" s="48"/>
    </row>
    <row r="7" spans="1:135" x14ac:dyDescent="0.3">
      <c r="A7" s="24" t="s">
        <v>77</v>
      </c>
      <c r="B7" s="49">
        <f>_xll.ReferenceParams($B$1,A7)</f>
        <v>36159</v>
      </c>
      <c r="E7" s="37">
        <f t="shared" si="3"/>
        <v>46018</v>
      </c>
      <c r="F7" s="30" t="str">
        <f>_xll.CbondsStockAvgPrice($B$1,E7,$B$27)</f>
        <v>Нет данных</v>
      </c>
      <c r="G7" s="31">
        <f t="shared" si="0"/>
        <v>126.17</v>
      </c>
      <c r="H7" s="88" t="str">
        <f>IF(_xll.CbondsStockTradingVolume($B$1,E7,$B$27) &lt;&gt; "Нет данных",_xll.CbondsStockTradingVolume($B$1,E7,$B$27),"0")</f>
        <v>0</v>
      </c>
      <c r="I7" s="88" t="str">
        <f>IF(_xll.CbondsStockDealsNumber($B$1,E7,$B$27) &lt;&gt; "Нет данных",_xll.CbondsStockDealsNumber($B$1,E7,$B$27),"0")</f>
        <v>0</v>
      </c>
      <c r="K7" s="88" t="str">
        <f>_xll.CbondsIndexValue(VLOOKUP($K$1,'Help Page'!$Q:$S,3,0),Calculation!E7)</f>
        <v>Нет данных</v>
      </c>
      <c r="L7" s="88">
        <f t="shared" si="1"/>
        <v>18311.66</v>
      </c>
      <c r="M7" s="88" t="str">
        <f>_xll.CbondsIndexValue(VLOOKUP($M$1,'Help Page'!$Q:$S,3,0),Calculation!E7)</f>
        <v>Нет данных</v>
      </c>
      <c r="N7" s="88">
        <f t="shared" si="2"/>
        <v>7127.42</v>
      </c>
      <c r="AL7" s="27" t="str">
        <f>VLOOKUP(AM7,'Help Page'!E:F,2,0)</f>
        <v>AKRA</v>
      </c>
      <c r="AM7" s="30" t="s">
        <v>78</v>
      </c>
      <c r="AN7" s="30" t="s">
        <v>71</v>
      </c>
      <c r="AO7" s="30"/>
      <c r="AP7" s="30" t="s">
        <v>72</v>
      </c>
      <c r="AQ7" s="43">
        <v>45839</v>
      </c>
      <c r="AR7" s="30" t="s">
        <v>73</v>
      </c>
      <c r="AT7" s="27" t="e">
        <f>VLOOKUP(AU7,'Help Page'!E:F,2,0)</f>
        <v>#N/A</v>
      </c>
      <c r="AU7" s="27" t="str">
        <f t="shared" ref="AU7:AU53" si="4">IF(AN7&lt;&gt;"Снят",AM7," ")</f>
        <v xml:space="preserve"> </v>
      </c>
      <c r="AV7" s="27" t="str">
        <f t="shared" ref="AV7:AV53" si="5">IF(AN7&lt;&gt;"Снят",AN7," ")</f>
        <v xml:space="preserve"> </v>
      </c>
      <c r="AW7" s="27" t="str">
        <f t="shared" ref="AW7:AW53" si="6">IF(AN7&lt;&gt;"Снят",AO7," ")</f>
        <v xml:space="preserve"> </v>
      </c>
      <c r="AX7" s="27" t="str">
        <f t="shared" ref="AX7:AX53" si="7">IF(AN7&lt;&gt;"Снят",AP7," ")</f>
        <v xml:space="preserve"> </v>
      </c>
      <c r="AY7" s="43" t="str">
        <f t="shared" ref="AY7:AY53" si="8">IF(AN7&lt;&gt;"Снят",AQ7," ")</f>
        <v xml:space="preserve"> </v>
      </c>
      <c r="AZ7" s="27" t="str">
        <f t="shared" ref="AZ7:AZ53" si="9">IF(AN7&lt;&gt;"Снят",AR7," ")</f>
        <v xml:space="preserve"> </v>
      </c>
      <c r="BC7" s="27" t="s">
        <v>80</v>
      </c>
      <c r="BD7" s="27"/>
      <c r="BE7" s="44"/>
      <c r="BF7" s="27" t="s">
        <v>81</v>
      </c>
      <c r="BU7" s="20"/>
    </row>
    <row r="8" spans="1:135" x14ac:dyDescent="0.3">
      <c r="A8" s="24" t="s">
        <v>123</v>
      </c>
      <c r="B8" s="50">
        <f>_xll.ReferenceParams($B$1,A8)</f>
        <v>23673512900</v>
      </c>
      <c r="E8" s="37">
        <f t="shared" si="3"/>
        <v>46017</v>
      </c>
      <c r="F8" s="30">
        <f>_xll.CbondsStockAvgPrice($B$1,E8,$B$27)</f>
        <v>126.17</v>
      </c>
      <c r="G8" s="31">
        <f t="shared" si="0"/>
        <v>126.17</v>
      </c>
      <c r="H8" s="88">
        <f>IF(_xll.CbondsStockTradingVolume($B$1,E8,$B$27) &lt;&gt; "Нет данных",_xll.CbondsStockTradingVolume($B$1,E8,$B$27),"0")</f>
        <v>7571628197.6000004</v>
      </c>
      <c r="I8" s="88">
        <f>IF(_xll.CbondsStockDealsNumber($B$1,E8,$B$27) &lt;&gt; "Нет данных",_xll.CbondsStockDealsNumber($B$1,E8,$B$27),"0")</f>
        <v>74681</v>
      </c>
      <c r="K8" s="88">
        <f>_xll.CbondsIndexValue(VLOOKUP($K$1,'Help Page'!$Q:$S,3,0),Calculation!E8)</f>
        <v>18311.66</v>
      </c>
      <c r="L8" s="88">
        <f t="shared" si="1"/>
        <v>18311.66</v>
      </c>
      <c r="M8" s="88">
        <f>_xll.CbondsIndexValue(VLOOKUP($M$1,'Help Page'!$Q:$S,3,0),Calculation!E8)</f>
        <v>7127.42</v>
      </c>
      <c r="N8" s="88">
        <f t="shared" si="2"/>
        <v>7127.42</v>
      </c>
      <c r="S8" s="104" t="s">
        <v>8</v>
      </c>
      <c r="T8" s="15">
        <f>Calculation!U6</f>
        <v>46021</v>
      </c>
      <c r="U8" s="104">
        <f>VLOOKUP(S8,'Help Page'!$I:$L,4,0)</f>
        <v>77.446600000000004</v>
      </c>
      <c r="AL8" s="27" t="str">
        <f>VLOOKUP(AM8,'Help Page'!E:F,2,0)</f>
        <v>Dagong</v>
      </c>
      <c r="AM8" s="30" t="s">
        <v>106</v>
      </c>
      <c r="AN8" s="30" t="s">
        <v>107</v>
      </c>
      <c r="AO8" s="30" t="s">
        <v>79</v>
      </c>
      <c r="AP8" s="30" t="s">
        <v>70</v>
      </c>
      <c r="AQ8" s="43">
        <v>42481</v>
      </c>
      <c r="AR8" s="30" t="s">
        <v>73</v>
      </c>
      <c r="AT8" s="27" t="str">
        <f>VLOOKUP(AU8,'Help Page'!E:F,2,0)</f>
        <v>Dagong</v>
      </c>
      <c r="AU8" s="27" t="str">
        <f t="shared" si="4"/>
        <v>DGN-I-Cr&amp;D-LT-Isc-Icur</v>
      </c>
      <c r="AV8" s="27" t="str">
        <f t="shared" si="5"/>
        <v>AAA</v>
      </c>
      <c r="AW8" s="27" t="str">
        <f t="shared" si="6"/>
        <v>Стабильный</v>
      </c>
      <c r="AX8" s="27" t="str">
        <f t="shared" si="7"/>
        <v>Подтвержден</v>
      </c>
      <c r="AY8" s="43">
        <f t="shared" si="8"/>
        <v>42481</v>
      </c>
      <c r="AZ8" s="27" t="str">
        <f t="shared" si="9"/>
        <v>Issuer</v>
      </c>
      <c r="BC8" s="27" t="s">
        <v>83</v>
      </c>
      <c r="BD8" s="27"/>
      <c r="BE8" s="44"/>
      <c r="BF8" s="27" t="s">
        <v>41</v>
      </c>
      <c r="BU8" s="20"/>
    </row>
    <row r="9" spans="1:135" x14ac:dyDescent="0.3">
      <c r="A9" s="24" t="s">
        <v>116</v>
      </c>
      <c r="B9" s="50" t="str">
        <f>_xll.ReferenceParams($B$1,A9)</f>
        <v>GAZP</v>
      </c>
      <c r="E9" s="37">
        <f t="shared" si="3"/>
        <v>46016</v>
      </c>
      <c r="F9" s="30">
        <f>_xll.CbondsStockAvgPrice($B$1,E9,$B$27)</f>
        <v>124.45</v>
      </c>
      <c r="G9" s="31">
        <f t="shared" si="0"/>
        <v>124.45</v>
      </c>
      <c r="H9" s="88">
        <f>IF(_xll.CbondsStockTradingVolume($B$1,E9,$B$27) &lt;&gt; "Нет данных",_xll.CbondsStockTradingVolume($B$1,E9,$B$27),"0")</f>
        <v>2961177506.8000002</v>
      </c>
      <c r="I9" s="88">
        <f>IF(_xll.CbondsStockDealsNumber($B$1,E9,$B$27) &lt;&gt; "Нет данных",_xll.CbondsStockDealsNumber($B$1,E9,$B$27),"0")</f>
        <v>35559</v>
      </c>
      <c r="K9" s="88">
        <f>_xll.CbondsIndexValue(VLOOKUP($K$1,'Help Page'!$Q:$S,3,0),Calculation!E9)</f>
        <v>18029.23</v>
      </c>
      <c r="L9" s="88">
        <f t="shared" si="1"/>
        <v>18029.23</v>
      </c>
      <c r="M9" s="88">
        <f>_xll.CbondsIndexValue(VLOOKUP($M$1,'Help Page'!$Q:$S,3,0),Calculation!E9)</f>
        <v>6997.91</v>
      </c>
      <c r="N9" s="88">
        <f t="shared" si="2"/>
        <v>6997.91</v>
      </c>
      <c r="AL9" s="27" t="str">
        <f>VLOOKUP(AM9,'Help Page'!E:F,2,0)</f>
        <v>Dagong</v>
      </c>
      <c r="AM9" s="30" t="s">
        <v>108</v>
      </c>
      <c r="AN9" s="30" t="s">
        <v>107</v>
      </c>
      <c r="AO9" s="30" t="s">
        <v>79</v>
      </c>
      <c r="AP9" s="30" t="s">
        <v>70</v>
      </c>
      <c r="AQ9" s="43">
        <v>42481</v>
      </c>
      <c r="AR9" s="30" t="s">
        <v>73</v>
      </c>
      <c r="AT9" s="27" t="str">
        <f>VLOOKUP(AU9,'Help Page'!E:F,2,0)</f>
        <v>Dagong</v>
      </c>
      <c r="AU9" s="27" t="str">
        <f t="shared" si="4"/>
        <v>DGN-I-Cr&amp;D-LT-Isc-Ncur</v>
      </c>
      <c r="AV9" s="27" t="str">
        <f t="shared" si="5"/>
        <v>AAA</v>
      </c>
      <c r="AW9" s="27" t="str">
        <f t="shared" si="6"/>
        <v>Стабильный</v>
      </c>
      <c r="AX9" s="27" t="str">
        <f t="shared" si="7"/>
        <v>Подтвержден</v>
      </c>
      <c r="AY9" s="43">
        <f t="shared" si="8"/>
        <v>42481</v>
      </c>
      <c r="AZ9" s="27" t="str">
        <f t="shared" si="9"/>
        <v>Issuer</v>
      </c>
      <c r="BC9" s="27" t="s">
        <v>85</v>
      </c>
      <c r="BD9" s="27"/>
      <c r="BE9" s="44"/>
      <c r="BF9" s="27" t="s">
        <v>86</v>
      </c>
      <c r="BU9" s="20"/>
    </row>
    <row r="10" spans="1:135" x14ac:dyDescent="0.3">
      <c r="A10" s="24" t="s">
        <v>118</v>
      </c>
      <c r="B10" s="88">
        <f>_xll.CbondsStockCapitalization($B$1,$U$6,$B$27)</f>
        <v>2967711577144</v>
      </c>
      <c r="E10" s="37">
        <f t="shared" si="3"/>
        <v>46015</v>
      </c>
      <c r="F10" s="30">
        <f>_xll.CbondsStockAvgPrice($B$1,E10,$B$27)</f>
        <v>125</v>
      </c>
      <c r="G10" s="31">
        <f t="shared" si="0"/>
        <v>125</v>
      </c>
      <c r="H10" s="88">
        <f>IF(_xll.CbondsStockTradingVolume($B$1,E10,$B$27) &lt;&gt; "Нет данных",_xll.CbondsStockTradingVolume($B$1,E10,$B$27),"0")</f>
        <v>3454814454</v>
      </c>
      <c r="I10" s="88">
        <f>IF(_xll.CbondsStockDealsNumber($B$1,E10,$B$27) &lt;&gt; "Нет данных",_xll.CbondsStockDealsNumber($B$1,E10,$B$27),"0")</f>
        <v>43879</v>
      </c>
      <c r="K10" s="88">
        <f>_xll.CbondsIndexValue(VLOOKUP($K$1,'Help Page'!$Q:$S,3,0),Calculation!E10)</f>
        <v>18054.8</v>
      </c>
      <c r="L10" s="88">
        <f t="shared" si="1"/>
        <v>18054.8</v>
      </c>
      <c r="M10" s="88">
        <f>_xll.CbondsIndexValue(VLOOKUP($M$1,'Help Page'!$Q:$S,3,0),Calculation!E10)</f>
        <v>7042.1</v>
      </c>
      <c r="N10" s="88">
        <f t="shared" si="2"/>
        <v>7042.1</v>
      </c>
      <c r="S10" s="54" t="s">
        <v>89</v>
      </c>
      <c r="T10" s="55"/>
      <c r="AL10" s="27" t="str">
        <f>VLOOKUP(AM10,'Help Page'!E:F,2,0)</f>
        <v>AKRA</v>
      </c>
      <c r="AM10" s="30" t="s">
        <v>109</v>
      </c>
      <c r="AN10" s="30" t="s">
        <v>540</v>
      </c>
      <c r="AO10" s="30" t="s">
        <v>79</v>
      </c>
      <c r="AP10" s="30" t="s">
        <v>541</v>
      </c>
      <c r="AQ10" s="43">
        <v>46016</v>
      </c>
      <c r="AR10" s="30" t="s">
        <v>73</v>
      </c>
      <c r="AT10" s="27" t="str">
        <f>VLOOKUP(AU10,'Help Page'!E:F,2,0)</f>
        <v>AKRA</v>
      </c>
      <c r="AU10" s="27" t="str">
        <f t="shared" si="4"/>
        <v>AKRA-I-SCA-LT-Nsc</v>
      </c>
      <c r="AV10" s="27" t="str">
        <f t="shared" si="5"/>
        <v>aa+(ru)</v>
      </c>
      <c r="AW10" s="27" t="str">
        <f t="shared" si="6"/>
        <v>Стабильный</v>
      </c>
      <c r="AX10" s="27" t="str">
        <f t="shared" si="7"/>
        <v>Повышен</v>
      </c>
      <c r="AY10" s="43">
        <f t="shared" si="8"/>
        <v>46016</v>
      </c>
      <c r="AZ10" s="27" t="str">
        <f t="shared" si="9"/>
        <v>Issuer</v>
      </c>
      <c r="BC10" s="27" t="s">
        <v>13</v>
      </c>
      <c r="BD10" s="27"/>
      <c r="BE10" s="44"/>
      <c r="BF10" s="27" t="s">
        <v>13</v>
      </c>
      <c r="BU10" s="20"/>
    </row>
    <row r="11" spans="1:135" x14ac:dyDescent="0.3">
      <c r="A11" s="24" t="s">
        <v>119</v>
      </c>
      <c r="B11" s="88">
        <f>_xll.CbondsStockCapitalizationUSD($B$1,$U$6,$B$27)</f>
        <v>38319455949.57</v>
      </c>
      <c r="E11" s="37">
        <f t="shared" si="3"/>
        <v>46014</v>
      </c>
      <c r="F11" s="30">
        <f>_xll.CbondsStockAvgPrice($B$1,E11,$B$27)</f>
        <v>124.75</v>
      </c>
      <c r="G11" s="31">
        <f t="shared" si="0"/>
        <v>124.75</v>
      </c>
      <c r="H11" s="88">
        <f>IF(_xll.CbondsStockTradingVolume($B$1,E11,$B$27) &lt;&gt; "Нет данных",_xll.CbondsStockTradingVolume($B$1,E11,$B$27),"0")</f>
        <v>6266477099.6999998</v>
      </c>
      <c r="I11" s="88">
        <f>IF(_xll.CbondsStockDealsNumber($B$1,E11,$B$27) &lt;&gt; "Нет данных",_xll.CbondsStockDealsNumber($B$1,E11,$B$27),"0")</f>
        <v>71763</v>
      </c>
      <c r="K11" s="88">
        <f>_xll.CbondsIndexValue(VLOOKUP($K$1,'Help Page'!$Q:$S,3,0),Calculation!E11)</f>
        <v>18084.96</v>
      </c>
      <c r="L11" s="88">
        <f t="shared" si="1"/>
        <v>18084.96</v>
      </c>
      <c r="M11" s="88">
        <f>_xll.CbondsIndexValue(VLOOKUP($M$1,'Help Page'!$Q:$S,3,0),Calculation!E11)</f>
        <v>7072.94</v>
      </c>
      <c r="N11" s="88">
        <f t="shared" si="2"/>
        <v>7072.94</v>
      </c>
      <c r="AL11" s="27" t="str">
        <f>VLOOKUP(AM11,'Help Page'!E:F,2,0)</f>
        <v>Interfax</v>
      </c>
      <c r="AM11" s="30" t="s">
        <v>82</v>
      </c>
      <c r="AN11" s="30" t="s">
        <v>71</v>
      </c>
      <c r="AO11" s="30"/>
      <c r="AP11" s="30" t="s">
        <v>72</v>
      </c>
      <c r="AQ11" s="43">
        <v>44652</v>
      </c>
      <c r="AR11" s="30" t="s">
        <v>73</v>
      </c>
      <c r="AT11" s="27" t="e">
        <f>VLOOKUP(AU11,'Help Page'!E:F,2,0)</f>
        <v>#N/A</v>
      </c>
      <c r="AU11" s="27" t="str">
        <f t="shared" si="4"/>
        <v xml:space="preserve"> </v>
      </c>
      <c r="AV11" s="27" t="str">
        <f t="shared" si="5"/>
        <v xml:space="preserve"> </v>
      </c>
      <c r="AW11" s="27" t="str">
        <f t="shared" si="6"/>
        <v xml:space="preserve"> </v>
      </c>
      <c r="AX11" s="27" t="str">
        <f t="shared" si="7"/>
        <v xml:space="preserve"> </v>
      </c>
      <c r="AY11" s="43" t="str">
        <f t="shared" si="8"/>
        <v xml:space="preserve"> </v>
      </c>
      <c r="AZ11" s="27" t="str">
        <f t="shared" si="9"/>
        <v xml:space="preserve"> </v>
      </c>
      <c r="BC11" s="51"/>
      <c r="BD11" s="51"/>
      <c r="BE11" s="51"/>
      <c r="BF11" s="51"/>
      <c r="BU11" s="20"/>
    </row>
    <row r="12" spans="1:135" x14ac:dyDescent="0.3">
      <c r="A12" s="24" t="s">
        <v>120</v>
      </c>
      <c r="B12" s="50">
        <f>_xll.EfirEndOfDay(,U6,$A$12,"LAST_TRADE_DATE",,$B$1,,0)</f>
        <v>2972209544595</v>
      </c>
      <c r="E12" s="37">
        <f t="shared" si="3"/>
        <v>46013</v>
      </c>
      <c r="F12" s="30">
        <f>_xll.CbondsStockAvgPrice($B$1,E12,$B$27)</f>
        <v>125.72</v>
      </c>
      <c r="G12" s="31">
        <f t="shared" si="0"/>
        <v>125.72</v>
      </c>
      <c r="H12" s="88">
        <f>IF(_xll.CbondsStockTradingVolume($B$1,E12,$B$27) &lt;&gt; "Нет данных",_xll.CbondsStockTradingVolume($B$1,E12,$B$27),"0")</f>
        <v>8804394070.1000004</v>
      </c>
      <c r="I12" s="88">
        <f>IF(_xll.CbondsStockDealsNumber($B$1,E12,$B$27) &lt;&gt; "Нет данных",_xll.CbondsStockDealsNumber($B$1,E12,$B$27),"0")</f>
        <v>89884</v>
      </c>
      <c r="K12" s="88">
        <f>_xll.CbondsIndexValue(VLOOKUP($K$1,'Help Page'!$Q:$S,3,0),Calculation!E12)</f>
        <v>18013.91</v>
      </c>
      <c r="L12" s="88">
        <f t="shared" si="1"/>
        <v>18013.91</v>
      </c>
      <c r="M12" s="88">
        <f>_xll.CbondsIndexValue(VLOOKUP($M$1,'Help Page'!$Q:$S,3,0),Calculation!E12)</f>
        <v>7062.66</v>
      </c>
      <c r="N12" s="88">
        <f t="shared" si="2"/>
        <v>7062.66</v>
      </c>
      <c r="S12" s="57" t="s">
        <v>35</v>
      </c>
      <c r="T12" s="109">
        <f>T6</f>
        <v>46023</v>
      </c>
      <c r="U12" s="57"/>
      <c r="V12" s="117" t="s">
        <v>125</v>
      </c>
      <c r="AL12" s="27" t="str">
        <f>VLOOKUP(AM12,'Help Page'!E:F,2,0)</f>
        <v>Interfax</v>
      </c>
      <c r="AM12" s="30" t="s">
        <v>84</v>
      </c>
      <c r="AN12" s="30" t="s">
        <v>71</v>
      </c>
      <c r="AO12" s="30"/>
      <c r="AP12" s="30" t="s">
        <v>72</v>
      </c>
      <c r="AQ12" s="43">
        <v>44729</v>
      </c>
      <c r="AR12" s="30" t="s">
        <v>73</v>
      </c>
      <c r="AT12" s="27" t="e">
        <f>VLOOKUP(AU12,'Help Page'!E:F,2,0)</f>
        <v>#N/A</v>
      </c>
      <c r="AU12" s="27" t="str">
        <f t="shared" si="4"/>
        <v xml:space="preserve"> </v>
      </c>
      <c r="AV12" s="27" t="str">
        <f t="shared" si="5"/>
        <v xml:space="preserve"> </v>
      </c>
      <c r="AW12" s="27" t="str">
        <f t="shared" si="6"/>
        <v xml:space="preserve"> </v>
      </c>
      <c r="AX12" s="27" t="str">
        <f t="shared" si="7"/>
        <v xml:space="preserve"> </v>
      </c>
      <c r="AY12" s="43" t="str">
        <f t="shared" si="8"/>
        <v xml:space="preserve"> </v>
      </c>
      <c r="AZ12" s="27" t="str">
        <f t="shared" si="9"/>
        <v xml:space="preserve"> </v>
      </c>
      <c r="BE12" s="52"/>
      <c r="BU12" s="20"/>
    </row>
    <row r="13" spans="1:135" x14ac:dyDescent="0.3">
      <c r="A13" s="24" t="s">
        <v>122</v>
      </c>
      <c r="B13" s="88">
        <f>B10/V6</f>
        <v>23637686795.252888</v>
      </c>
      <c r="E13" s="37">
        <f t="shared" si="3"/>
        <v>46012</v>
      </c>
      <c r="F13" s="30" t="str">
        <f>_xll.CbondsStockAvgPrice($B$1,E13,$B$27)</f>
        <v>Нет данных</v>
      </c>
      <c r="G13" s="31">
        <f t="shared" si="0"/>
        <v>128.38</v>
      </c>
      <c r="H13" s="88" t="str">
        <f>IF(_xll.CbondsStockTradingVolume($B$1,E13,$B$27) &lt;&gt; "Нет данных",_xll.CbondsStockTradingVolume($B$1,E13,$B$27),"0")</f>
        <v>0</v>
      </c>
      <c r="I13" s="88" t="str">
        <f>IF(_xll.CbondsStockDealsNumber($B$1,E13,$B$27) &lt;&gt; "Нет данных",_xll.CbondsStockDealsNumber($B$1,E13,$B$27),"0")</f>
        <v>0</v>
      </c>
      <c r="K13" s="88" t="str">
        <f>_xll.CbondsIndexValue(VLOOKUP($K$1,'Help Page'!$Q:$S,3,0),Calculation!E13)</f>
        <v>Нет данных</v>
      </c>
      <c r="L13" s="88">
        <f t="shared" si="1"/>
        <v>18192.46</v>
      </c>
      <c r="M13" s="88" t="str">
        <f>_xll.CbondsIndexValue(VLOOKUP($M$1,'Help Page'!$Q:$S,3,0),Calculation!E13)</f>
        <v>Нет данных</v>
      </c>
      <c r="N13" s="88">
        <f t="shared" si="2"/>
        <v>7177.98</v>
      </c>
      <c r="S13" s="57"/>
      <c r="T13" s="109">
        <f>T12-30</f>
        <v>45993</v>
      </c>
      <c r="U13" s="57"/>
      <c r="V13" s="116">
        <f>COUNTIFS(F:F,"&gt;="&amp;0,E:E,"&gt;="&amp;T13)</f>
        <v>21</v>
      </c>
      <c r="AL13" s="27" t="str">
        <f>VLOOKUP(AM13,'Help Page'!E:F,2,0)</f>
        <v>Interfax</v>
      </c>
      <c r="AM13" s="30" t="s">
        <v>87</v>
      </c>
      <c r="AN13" s="30" t="s">
        <v>71</v>
      </c>
      <c r="AO13" s="30"/>
      <c r="AP13" s="30" t="s">
        <v>72</v>
      </c>
      <c r="AQ13" s="43">
        <v>44652</v>
      </c>
      <c r="AR13" s="30" t="s">
        <v>73</v>
      </c>
      <c r="AT13" s="27" t="e">
        <f>VLOOKUP(AU13,'Help Page'!E:F,2,0)</f>
        <v>#N/A</v>
      </c>
      <c r="AU13" s="27" t="str">
        <f t="shared" si="4"/>
        <v xml:space="preserve"> </v>
      </c>
      <c r="AV13" s="27" t="str">
        <f t="shared" si="5"/>
        <v xml:space="preserve"> </v>
      </c>
      <c r="AW13" s="27" t="str">
        <f t="shared" si="6"/>
        <v xml:space="preserve"> </v>
      </c>
      <c r="AX13" s="27" t="str">
        <f t="shared" si="7"/>
        <v xml:space="preserve"> </v>
      </c>
      <c r="AY13" s="43" t="str">
        <f t="shared" si="8"/>
        <v xml:space="preserve"> </v>
      </c>
      <c r="AZ13" s="27" t="str">
        <f t="shared" si="9"/>
        <v xml:space="preserve"> </v>
      </c>
      <c r="BC13" s="24" t="s">
        <v>1</v>
      </c>
      <c r="BE13" s="52"/>
      <c r="BU13" s="20"/>
    </row>
    <row r="14" spans="1:135" x14ac:dyDescent="0.3">
      <c r="A14" s="24" t="s">
        <v>117</v>
      </c>
      <c r="B14" s="50">
        <f>_xll.ReferenceParams($B$1,A14)</f>
        <v>1</v>
      </c>
      <c r="E14" s="37">
        <f t="shared" si="3"/>
        <v>46011</v>
      </c>
      <c r="F14" s="30" t="str">
        <f>_xll.CbondsStockAvgPrice($B$1,E14,$B$27)</f>
        <v>Нет данных</v>
      </c>
      <c r="G14" s="31">
        <f t="shared" si="0"/>
        <v>128.38</v>
      </c>
      <c r="H14" s="88" t="str">
        <f>IF(_xll.CbondsStockTradingVolume($B$1,E14,$B$27) &lt;&gt; "Нет данных",_xll.CbondsStockTradingVolume($B$1,E14,$B$27),"0")</f>
        <v>0</v>
      </c>
      <c r="I14" s="88" t="str">
        <f>IF(_xll.CbondsStockDealsNumber($B$1,E14,$B$27) &lt;&gt; "Нет данных",_xll.CbondsStockDealsNumber($B$1,E14,$B$27),"0")</f>
        <v>0</v>
      </c>
      <c r="K14" s="88" t="str">
        <f>_xll.CbondsIndexValue(VLOOKUP($K$1,'Help Page'!$Q:$S,3,0),Calculation!E14)</f>
        <v>Нет данных</v>
      </c>
      <c r="L14" s="88">
        <f t="shared" si="1"/>
        <v>18192.46</v>
      </c>
      <c r="M14" s="88" t="str">
        <f>_xll.CbondsIndexValue(VLOOKUP($M$1,'Help Page'!$Q:$S,3,0),Calculation!E14)</f>
        <v>Нет данных</v>
      </c>
      <c r="N14" s="88">
        <f t="shared" si="2"/>
        <v>7177.98</v>
      </c>
      <c r="S14" s="57"/>
      <c r="T14" s="57"/>
      <c r="U14" s="57"/>
      <c r="V14" s="27"/>
      <c r="AL14" s="27" t="str">
        <f>VLOOKUP(AM14,'Help Page'!E:F,2,0)</f>
        <v>Interfax</v>
      </c>
      <c r="AM14" s="30" t="s">
        <v>88</v>
      </c>
      <c r="AN14" s="30" t="s">
        <v>71</v>
      </c>
      <c r="AO14" s="30"/>
      <c r="AP14" s="30" t="s">
        <v>72</v>
      </c>
      <c r="AQ14" s="43">
        <v>44729</v>
      </c>
      <c r="AR14" s="30" t="s">
        <v>73</v>
      </c>
      <c r="AT14" s="27" t="e">
        <f>VLOOKUP(AU14,'Help Page'!E:F,2,0)</f>
        <v>#N/A</v>
      </c>
      <c r="AU14" s="27" t="str">
        <f t="shared" si="4"/>
        <v xml:space="preserve"> </v>
      </c>
      <c r="AV14" s="27" t="str">
        <f t="shared" si="5"/>
        <v xml:space="preserve"> </v>
      </c>
      <c r="AW14" s="27" t="str">
        <f t="shared" si="6"/>
        <v xml:space="preserve"> </v>
      </c>
      <c r="AX14" s="27" t="str">
        <f t="shared" si="7"/>
        <v xml:space="preserve"> </v>
      </c>
      <c r="AY14" s="43" t="str">
        <f t="shared" si="8"/>
        <v xml:space="preserve"> </v>
      </c>
      <c r="AZ14" s="27" t="str">
        <f t="shared" si="9"/>
        <v xml:space="preserve"> </v>
      </c>
      <c r="BC14" s="24" t="s">
        <v>61</v>
      </c>
      <c r="BD14" s="24" t="s">
        <v>74</v>
      </c>
      <c r="BE14" s="53" t="s">
        <v>32</v>
      </c>
      <c r="BF14" s="24" t="s">
        <v>75</v>
      </c>
      <c r="BU14" s="20"/>
    </row>
    <row r="15" spans="1:135" x14ac:dyDescent="0.3">
      <c r="A15" s="24" t="s">
        <v>115</v>
      </c>
      <c r="B15" s="50" t="str">
        <f>_xll.ReferenceParams($B$1,A15)</f>
        <v>Акции прочих резидентов (обыкновенные)</v>
      </c>
      <c r="E15" s="37">
        <f t="shared" si="3"/>
        <v>46010</v>
      </c>
      <c r="F15" s="30">
        <f>_xll.CbondsStockAvgPrice($B$1,E15,$B$27)</f>
        <v>128.38</v>
      </c>
      <c r="G15" s="31">
        <f t="shared" si="0"/>
        <v>128.38</v>
      </c>
      <c r="H15" s="88">
        <f>IF(_xll.CbondsStockTradingVolume($B$1,E15,$B$27) &lt;&gt; "Нет данных",_xll.CbondsStockTradingVolume($B$1,E15,$B$27),"0")</f>
        <v>14621255193.9</v>
      </c>
      <c r="I15" s="88">
        <f>IF(_xll.CbondsStockDealsNumber($B$1,E15,$B$27) &lt;&gt; "Нет данных",_xll.CbondsStockDealsNumber($B$1,E15,$B$27),"0")</f>
        <v>140936</v>
      </c>
      <c r="K15" s="88">
        <f>_xll.CbondsIndexValue(VLOOKUP($K$1,'Help Page'!$Q:$S,3,0),Calculation!E15)</f>
        <v>18192.46</v>
      </c>
      <c r="L15" s="88">
        <f t="shared" si="1"/>
        <v>18192.46</v>
      </c>
      <c r="M15" s="88">
        <f>_xll.CbondsIndexValue(VLOOKUP($M$1,'Help Page'!$Q:$S,3,0),Calculation!E15)</f>
        <v>7177.98</v>
      </c>
      <c r="N15" s="88">
        <f t="shared" si="2"/>
        <v>7177.98</v>
      </c>
      <c r="S15" s="91" t="s">
        <v>36</v>
      </c>
      <c r="T15" s="110">
        <f>COUNTIFS(E:E, "&gt;="&amp;T13,I:I, "&gt; 0" )</f>
        <v>21</v>
      </c>
      <c r="U15" s="57"/>
      <c r="V15" s="117" t="s">
        <v>519</v>
      </c>
      <c r="AL15" s="27" t="e">
        <f>VLOOKUP(AM15,'Help Page'!E:F,2,0)</f>
        <v>#N/A</v>
      </c>
      <c r="AM15" s="30" t="s">
        <v>534</v>
      </c>
      <c r="AN15" s="30" t="s">
        <v>535</v>
      </c>
      <c r="AO15" s="30" t="s">
        <v>79</v>
      </c>
      <c r="AP15" s="30" t="s">
        <v>536</v>
      </c>
      <c r="AQ15" s="43">
        <v>45800</v>
      </c>
      <c r="AR15" s="30" t="s">
        <v>73</v>
      </c>
      <c r="AT15" s="27" t="e">
        <f>VLOOKUP(AU15,'Help Page'!E:F,2,0)</f>
        <v>#N/A</v>
      </c>
      <c r="AU15" s="27" t="str">
        <f t="shared" si="4"/>
        <v>EXP-I-SCA-Nsc</v>
      </c>
      <c r="AV15" s="27" t="str">
        <f t="shared" si="5"/>
        <v>ruAA-</v>
      </c>
      <c r="AW15" s="27" t="str">
        <f t="shared" si="6"/>
        <v>Стабильный</v>
      </c>
      <c r="AX15" s="27" t="str">
        <f t="shared" si="7"/>
        <v>Установлен</v>
      </c>
      <c r="AY15" s="43">
        <f t="shared" si="8"/>
        <v>45800</v>
      </c>
      <c r="AZ15" s="27" t="str">
        <f t="shared" si="9"/>
        <v>Issuer</v>
      </c>
      <c r="BC15" s="27" t="s">
        <v>80</v>
      </c>
      <c r="BD15" s="27" t="str">
        <f>IFERROR(IF(VLOOKUP(BC15,AT:AZ,7,0)="Issuer",VLOOKUP(BC15,AT:AZ,3,0)&amp;"/"&amp;VLOOKUP(BC15,AT:AZ,4,0),""),"")</f>
        <v>ruAAA/Стабильный</v>
      </c>
      <c r="BE15" s="44">
        <f>IFERROR(IF(VLOOKUP(BC15,AT:AZ,7,0)="Issuer",VLOOKUP(BC15,AT:AZ,6,0),""),"")</f>
        <v>45800</v>
      </c>
      <c r="BF15" s="27" t="s">
        <v>81</v>
      </c>
      <c r="BU15" s="20"/>
    </row>
    <row r="16" spans="1:135" x14ac:dyDescent="0.3">
      <c r="A16" s="24"/>
      <c r="B16" s="47"/>
      <c r="E16" s="37">
        <f t="shared" si="3"/>
        <v>46009</v>
      </c>
      <c r="F16" s="30">
        <f>_xll.CbondsStockAvgPrice($B$1,E16,$B$27)</f>
        <v>128.82</v>
      </c>
      <c r="G16" s="31">
        <f t="shared" si="0"/>
        <v>128.82</v>
      </c>
      <c r="H16" s="88">
        <f>IF(_xll.CbondsStockTradingVolume($B$1,E16,$B$27) &lt;&gt; "Нет данных",_xll.CbondsStockTradingVolume($B$1,E16,$B$27),"0")</f>
        <v>6841627066.8000002</v>
      </c>
      <c r="I16" s="88">
        <f>IF(_xll.CbondsStockDealsNumber($B$1,E16,$B$27) &lt;&gt; "Нет данных",_xll.CbondsStockDealsNumber($B$1,E16,$B$27),"0")</f>
        <v>71128</v>
      </c>
      <c r="K16" s="88">
        <f>_xll.CbondsIndexValue(VLOOKUP($K$1,'Help Page'!$Q:$S,3,0),Calculation!E16)</f>
        <v>18266.939999999999</v>
      </c>
      <c r="L16" s="88">
        <f t="shared" si="1"/>
        <v>18266.939999999999</v>
      </c>
      <c r="M16" s="88">
        <f>_xll.CbondsIndexValue(VLOOKUP($M$1,'Help Page'!$Q:$S,3,0),Calculation!E16)</f>
        <v>7191.18</v>
      </c>
      <c r="N16" s="88">
        <f t="shared" si="2"/>
        <v>7191.18</v>
      </c>
      <c r="S16" s="57" t="s">
        <v>37</v>
      </c>
      <c r="T16" s="111">
        <f>AVERAGEIF(E:E, "&gt;="&amp;T13,I:I)</f>
        <v>84308.238095238092</v>
      </c>
      <c r="U16" s="57"/>
      <c r="V16" s="115">
        <f>AVERAGEIF($E:$E,"&gt;="&amp;$B$3,$F:$F)</f>
        <v>134.0551574803149</v>
      </c>
      <c r="AL16" s="27" t="e">
        <f>VLOOKUP(AM16,'Help Page'!E:F,2,0)</f>
        <v>#N/A</v>
      </c>
      <c r="AM16" s="30" t="s">
        <v>537</v>
      </c>
      <c r="AN16" s="30" t="s">
        <v>538</v>
      </c>
      <c r="AO16" s="30"/>
      <c r="AP16" s="30" t="s">
        <v>70</v>
      </c>
      <c r="AQ16" s="43">
        <v>45720</v>
      </c>
      <c r="AR16" s="30" t="s">
        <v>73</v>
      </c>
      <c r="AT16" s="27" t="e">
        <f>VLOOKUP(AU16,'Help Page'!E:F,2,0)</f>
        <v>#N/A</v>
      </c>
      <c r="AU16" s="27" t="str">
        <f t="shared" si="4"/>
        <v>EXP-DQ-Nsc</v>
      </c>
      <c r="AV16" s="27" t="str">
        <f t="shared" si="5"/>
        <v>A++.gq</v>
      </c>
      <c r="AW16" s="27">
        <f t="shared" si="6"/>
        <v>0</v>
      </c>
      <c r="AX16" s="27" t="str">
        <f t="shared" si="7"/>
        <v>Подтвержден</v>
      </c>
      <c r="AY16" s="43">
        <f t="shared" si="8"/>
        <v>45720</v>
      </c>
      <c r="AZ16" s="27" t="str">
        <f t="shared" si="9"/>
        <v>Issuer</v>
      </c>
      <c r="BC16" s="27" t="s">
        <v>83</v>
      </c>
      <c r="BD16" s="27" t="str">
        <f>IFERROR(IF(VLOOKUP(BC16,AT:AZ,7,0)="Issuer",VLOOKUP(BC16,AT:AZ,3,0)&amp;"/"&amp;VLOOKUP(BC16,AT:AZ,4,0),""),"")</f>
        <v>aa+(ru)/Стабильный</v>
      </c>
      <c r="BE16" s="44">
        <f>IFERROR(IF(VLOOKUP(BC16,AT:AZ,7,0)="Issuer",VLOOKUP(BC16,AT:AZ,6,0),""),"")</f>
        <v>46016</v>
      </c>
      <c r="BF16" s="27" t="s">
        <v>41</v>
      </c>
      <c r="BU16" s="20"/>
    </row>
    <row r="17" spans="1:73" x14ac:dyDescent="0.3">
      <c r="A17" s="24"/>
      <c r="B17" s="44"/>
      <c r="E17" s="37">
        <f t="shared" si="3"/>
        <v>46008</v>
      </c>
      <c r="F17" s="30">
        <f>_xll.CbondsStockAvgPrice($B$1,E17,$B$27)</f>
        <v>129.15</v>
      </c>
      <c r="G17" s="31">
        <f t="shared" si="0"/>
        <v>129.15</v>
      </c>
      <c r="H17" s="88">
        <f>IF(_xll.CbondsStockTradingVolume($B$1,E17,$B$27) &lt;&gt; "Нет данных",_xll.CbondsStockTradingVolume($B$1,E17,$B$27),"0")</f>
        <v>10506925721.299999</v>
      </c>
      <c r="I17" s="88">
        <f>IF(_xll.CbondsStockDealsNumber($B$1,E17,$B$27) &lt;&gt; "Нет данных",_xll.CbondsStockDealsNumber($B$1,E17,$B$27),"0")</f>
        <v>110447</v>
      </c>
      <c r="K17" s="88">
        <f>_xll.CbondsIndexValue(VLOOKUP($K$1,'Help Page'!$Q:$S,3,0),Calculation!E17)</f>
        <v>18295.57</v>
      </c>
      <c r="L17" s="88">
        <f t="shared" si="1"/>
        <v>18295.57</v>
      </c>
      <c r="M17" s="88">
        <f>_xll.CbondsIndexValue(VLOOKUP($M$1,'Help Page'!$Q:$S,3,0),Calculation!E17)</f>
        <v>7249.71</v>
      </c>
      <c r="N17" s="88">
        <f t="shared" si="2"/>
        <v>7249.71</v>
      </c>
      <c r="S17" s="57" t="s">
        <v>38</v>
      </c>
      <c r="T17" s="112">
        <f>AVERAGEIF(E:E, "&gt;="&amp;T13,H:H)/(Template!C28*10^11)</f>
        <v>5.4679947262252893E-5</v>
      </c>
      <c r="U17" s="57"/>
      <c r="V17" s="27"/>
      <c r="AL17" s="27" t="e">
        <f>VLOOKUP(AM17,'Help Page'!E:F,2,0)</f>
        <v>#N/A</v>
      </c>
      <c r="AM17" s="30" t="s">
        <v>539</v>
      </c>
      <c r="AN17" s="30" t="s">
        <v>105</v>
      </c>
      <c r="AO17" s="30" t="s">
        <v>79</v>
      </c>
      <c r="AP17" s="30" t="s">
        <v>70</v>
      </c>
      <c r="AQ17" s="43">
        <v>46016</v>
      </c>
      <c r="AR17" s="30" t="s">
        <v>73</v>
      </c>
      <c r="AT17" s="27" t="e">
        <f>VLOOKUP(AU17,'Help Page'!E:F,2,0)</f>
        <v>#N/A</v>
      </c>
      <c r="AU17" s="27" t="str">
        <f t="shared" si="4"/>
        <v>AKRA-C-Cr&amp;D-LT-Nsc</v>
      </c>
      <c r="AV17" s="27" t="str">
        <f t="shared" si="5"/>
        <v>AAA(RU)</v>
      </c>
      <c r="AW17" s="27" t="str">
        <f t="shared" si="6"/>
        <v>Стабильный</v>
      </c>
      <c r="AX17" s="27" t="str">
        <f t="shared" si="7"/>
        <v>Подтвержден</v>
      </c>
      <c r="AY17" s="43">
        <f t="shared" si="8"/>
        <v>46016</v>
      </c>
      <c r="AZ17" s="27" t="str">
        <f t="shared" si="9"/>
        <v>Issuer</v>
      </c>
      <c r="BC17" s="27" t="s">
        <v>85</v>
      </c>
      <c r="BD17" s="27" t="str">
        <f>IFERROR(IF(VLOOKUP(BC17,AT:AZ,7,0)="Issuer",VLOOKUP(BC17,AT:AZ,3,0)&amp;"/"&amp;VLOOKUP(BC17,AT:AZ,4,0),""),"")</f>
        <v/>
      </c>
      <c r="BE17" s="44" t="str">
        <f>IFERROR(IF(VLOOKUP(BC17,AT:AZ,7,0)="Issuer",VLOOKUP(BC17,AT:AZ,6,0),""),"")</f>
        <v/>
      </c>
      <c r="BF17" s="27" t="s">
        <v>86</v>
      </c>
      <c r="BU17" s="20"/>
    </row>
    <row r="18" spans="1:73" x14ac:dyDescent="0.3">
      <c r="A18" s="24"/>
      <c r="B18" s="47"/>
      <c r="E18" s="37">
        <f t="shared" si="3"/>
        <v>46007</v>
      </c>
      <c r="F18" s="30">
        <f>_xll.CbondsStockAvgPrice($B$1,E18,$B$27)</f>
        <v>130.15</v>
      </c>
      <c r="G18" s="31">
        <f t="shared" si="0"/>
        <v>130.15</v>
      </c>
      <c r="H18" s="88">
        <f>IF(_xll.CbondsStockTradingVolume($B$1,E18,$B$27) &lt;&gt; "Нет данных",_xll.CbondsStockTradingVolume($B$1,E18,$B$27),"0")</f>
        <v>6586286499</v>
      </c>
      <c r="I18" s="88">
        <f>IF(_xll.CbondsStockDealsNumber($B$1,E18,$B$27) &lt;&gt; "Нет данных",_xll.CbondsStockDealsNumber($B$1,E18,$B$27),"0")</f>
        <v>72666</v>
      </c>
      <c r="K18" s="88">
        <f>_xll.CbondsIndexValue(VLOOKUP($K$1,'Help Page'!$Q:$S,3,0),Calculation!E18)</f>
        <v>18412.330000000002</v>
      </c>
      <c r="L18" s="88">
        <f t="shared" si="1"/>
        <v>18412.330000000002</v>
      </c>
      <c r="M18" s="88">
        <f>_xll.CbondsIndexValue(VLOOKUP($M$1,'Help Page'!$Q:$S,3,0),Calculation!E18)</f>
        <v>7295.66</v>
      </c>
      <c r="N18" s="88">
        <f t="shared" si="2"/>
        <v>7295.66</v>
      </c>
      <c r="S18" s="57"/>
      <c r="T18" s="57"/>
      <c r="U18" s="57"/>
      <c r="V18" s="117" t="s">
        <v>520</v>
      </c>
      <c r="AL18" s="27" t="e">
        <f>VLOOKUP(AM18,'Help Page'!E:F,2,0)</f>
        <v>#N/A</v>
      </c>
      <c r="AM18" s="30"/>
      <c r="AN18" s="30"/>
      <c r="AO18" s="30"/>
      <c r="AP18" s="30"/>
      <c r="AQ18" s="30"/>
      <c r="AR18" s="30"/>
      <c r="AT18" s="27" t="e">
        <f>VLOOKUP(AU18,'Help Page'!E:F,2,0)</f>
        <v>#N/A</v>
      </c>
      <c r="AU18" s="27">
        <f t="shared" si="4"/>
        <v>0</v>
      </c>
      <c r="AV18" s="27">
        <f t="shared" si="5"/>
        <v>0</v>
      </c>
      <c r="AW18" s="27">
        <f t="shared" si="6"/>
        <v>0</v>
      </c>
      <c r="AX18" s="27">
        <f t="shared" si="7"/>
        <v>0</v>
      </c>
      <c r="AY18" s="43">
        <f t="shared" si="8"/>
        <v>0</v>
      </c>
      <c r="AZ18" s="27">
        <f t="shared" si="9"/>
        <v>0</v>
      </c>
      <c r="BC18" s="27" t="s">
        <v>13</v>
      </c>
      <c r="BD18" s="27" t="str">
        <f>IFERROR(IF(VLOOKUP(BC18,AT:AZ,7,0)="Issuer",VLOOKUP(BC18,AT:AZ,3,0)&amp;"/"&amp;VLOOKUP(BC18,AT:AZ,4,0),""),"")</f>
        <v/>
      </c>
      <c r="BE18" s="44" t="str">
        <f>IFERROR(IF(VLOOKUP(BC18,AT:AZ,7,0)="Issuer",VLOOKUP(BC18,AT:AZ,6,0),""),"")</f>
        <v/>
      </c>
      <c r="BF18" s="27" t="s">
        <v>13</v>
      </c>
      <c r="BU18" s="20"/>
    </row>
    <row r="19" spans="1:73" x14ac:dyDescent="0.3">
      <c r="A19" s="24"/>
      <c r="B19" s="47"/>
      <c r="E19" s="37">
        <f t="shared" si="3"/>
        <v>46006</v>
      </c>
      <c r="F19" s="30">
        <f>_xll.CbondsStockAvgPrice($B$1,E19,$B$27)</f>
        <v>128.36000000000001</v>
      </c>
      <c r="G19" s="31">
        <f t="shared" si="0"/>
        <v>128.36000000000001</v>
      </c>
      <c r="H19" s="88">
        <f>IF(_xll.CbondsStockTradingVolume($B$1,E19,$B$27) &lt;&gt; "Нет данных",_xll.CbondsStockTradingVolume($B$1,E19,$B$27),"0")</f>
        <v>8515206375.8999996</v>
      </c>
      <c r="I19" s="88">
        <f>IF(_xll.CbondsStockDealsNumber($B$1,E19,$B$27) &lt;&gt; "Нет данных",_xll.CbondsStockDealsNumber($B$1,E19,$B$27),"0")</f>
        <v>98429</v>
      </c>
      <c r="K19" s="88">
        <f>_xll.CbondsIndexValue(VLOOKUP($K$1,'Help Page'!$Q:$S,3,0),Calculation!E19)</f>
        <v>18246.68</v>
      </c>
      <c r="L19" s="88">
        <f t="shared" si="1"/>
        <v>18246.68</v>
      </c>
      <c r="M19" s="88">
        <f>_xll.CbondsIndexValue(VLOOKUP($M$1,'Help Page'!$Q:$S,3,0),Calculation!E19)</f>
        <v>7217.59</v>
      </c>
      <c r="N19" s="88">
        <f t="shared" si="2"/>
        <v>7217.59</v>
      </c>
      <c r="S19" s="57"/>
      <c r="T19" s="57"/>
      <c r="U19" s="57"/>
      <c r="V19" s="115">
        <f>_xlfn.STDEV.P($F:$F)</f>
        <v>15.438262858253617</v>
      </c>
      <c r="AL19" s="27" t="e">
        <f>VLOOKUP(AM19,'Help Page'!E:F,2,0)</f>
        <v>#N/A</v>
      </c>
      <c r="AM19" s="30"/>
      <c r="AN19" s="30"/>
      <c r="AO19" s="30"/>
      <c r="AP19" s="30"/>
      <c r="AQ19" s="30"/>
      <c r="AR19" s="30"/>
      <c r="AT19" s="27" t="e">
        <f>VLOOKUP(AU19,'Help Page'!E:F,2,0)</f>
        <v>#N/A</v>
      </c>
      <c r="AU19" s="27">
        <f t="shared" si="4"/>
        <v>0</v>
      </c>
      <c r="AV19" s="27">
        <f t="shared" si="5"/>
        <v>0</v>
      </c>
      <c r="AW19" s="27">
        <f t="shared" si="6"/>
        <v>0</v>
      </c>
      <c r="AX19" s="27">
        <f t="shared" si="7"/>
        <v>0</v>
      </c>
      <c r="AY19" s="43">
        <f t="shared" si="8"/>
        <v>0</v>
      </c>
      <c r="AZ19" s="27">
        <f t="shared" si="9"/>
        <v>0</v>
      </c>
      <c r="BC19" s="51"/>
      <c r="BD19" s="51"/>
      <c r="BE19" s="51"/>
      <c r="BF19" s="51"/>
      <c r="BU19" s="20"/>
    </row>
    <row r="20" spans="1:73" x14ac:dyDescent="0.3">
      <c r="A20" s="24"/>
      <c r="B20" s="46"/>
      <c r="E20" s="37">
        <f t="shared" si="3"/>
        <v>46005</v>
      </c>
      <c r="F20" s="30" t="str">
        <f>_xll.CbondsStockAvgPrice($B$1,E20,$B$27)</f>
        <v>Нет данных</v>
      </c>
      <c r="G20" s="31">
        <f t="shared" si="0"/>
        <v>129.08000000000001</v>
      </c>
      <c r="H20" s="88" t="str">
        <f>IF(_xll.CbondsStockTradingVolume($B$1,E20,$B$27) &lt;&gt; "Нет данных",_xll.CbondsStockTradingVolume($B$1,E20,$B$27),"0")</f>
        <v>0</v>
      </c>
      <c r="I20" s="88" t="str">
        <f>IF(_xll.CbondsStockDealsNumber($B$1,E20,$B$27) &lt;&gt; "Нет данных",_xll.CbondsStockDealsNumber($B$1,E20,$B$27),"0")</f>
        <v>0</v>
      </c>
      <c r="K20" s="88" t="str">
        <f>_xll.CbondsIndexValue(VLOOKUP($K$1,'Help Page'!$Q:$S,3,0),Calculation!E20)</f>
        <v>Нет данных</v>
      </c>
      <c r="L20" s="88">
        <f t="shared" si="1"/>
        <v>18176.16</v>
      </c>
      <c r="M20" s="88" t="str">
        <f>_xll.CbondsIndexValue(VLOOKUP($M$1,'Help Page'!$Q:$S,3,0),Calculation!E20)</f>
        <v>Нет данных</v>
      </c>
      <c r="N20" s="88">
        <f t="shared" si="2"/>
        <v>7189.33</v>
      </c>
      <c r="S20" s="57" t="s">
        <v>39</v>
      </c>
      <c r="T20" s="109">
        <f>EDATE(T12,-3)</f>
        <v>45931</v>
      </c>
      <c r="U20" s="57"/>
      <c r="V20" s="27"/>
      <c r="AL20" s="27" t="e">
        <f>VLOOKUP(AM20,'Help Page'!E:F,2,0)</f>
        <v>#N/A</v>
      </c>
      <c r="AM20" s="30"/>
      <c r="AN20" s="30"/>
      <c r="AO20" s="30"/>
      <c r="AP20" s="30"/>
      <c r="AQ20" s="30"/>
      <c r="AR20" s="30"/>
      <c r="AT20" s="27" t="e">
        <f>VLOOKUP(AU20,'Help Page'!E:F,2,0)</f>
        <v>#N/A</v>
      </c>
      <c r="AU20" s="27">
        <f t="shared" si="4"/>
        <v>0</v>
      </c>
      <c r="AV20" s="27">
        <f t="shared" si="5"/>
        <v>0</v>
      </c>
      <c r="AW20" s="27">
        <f t="shared" si="6"/>
        <v>0</v>
      </c>
      <c r="AX20" s="27">
        <f t="shared" si="7"/>
        <v>0</v>
      </c>
      <c r="AY20" s="43">
        <f t="shared" si="8"/>
        <v>0</v>
      </c>
      <c r="AZ20" s="27">
        <f t="shared" si="9"/>
        <v>0</v>
      </c>
      <c r="BC20" s="51"/>
      <c r="BD20" s="51"/>
      <c r="BE20" s="51"/>
      <c r="BF20" s="51"/>
      <c r="BU20" s="20"/>
    </row>
    <row r="21" spans="1:73" x14ac:dyDescent="0.3">
      <c r="A21" s="24" t="s">
        <v>114</v>
      </c>
      <c r="B21" s="44" t="str">
        <f>_xll.CbondsStockName(B1)</f>
        <v>Газпром, акция об.</v>
      </c>
      <c r="E21" s="37">
        <f t="shared" si="3"/>
        <v>46004</v>
      </c>
      <c r="F21" s="30" t="str">
        <f>_xll.CbondsStockAvgPrice($B$1,E21,$B$27)</f>
        <v>Нет данных</v>
      </c>
      <c r="G21" s="31">
        <f t="shared" si="0"/>
        <v>129.08000000000001</v>
      </c>
      <c r="H21" s="88" t="str">
        <f>IF(_xll.CbondsStockTradingVolume($B$1,E21,$B$27) &lt;&gt; "Нет данных",_xll.CbondsStockTradingVolume($B$1,E21,$B$27),"0")</f>
        <v>0</v>
      </c>
      <c r="I21" s="88" t="str">
        <f>IF(_xll.CbondsStockDealsNumber($B$1,E21,$B$27) &lt;&gt; "Нет данных",_xll.CbondsStockDealsNumber($B$1,E21,$B$27),"0")</f>
        <v>0</v>
      </c>
      <c r="K21" s="88" t="str">
        <f>_xll.CbondsIndexValue(VLOOKUP($K$1,'Help Page'!$Q:$S,3,0),Calculation!E21)</f>
        <v>Нет данных</v>
      </c>
      <c r="L21" s="88">
        <f t="shared" si="1"/>
        <v>18176.16</v>
      </c>
      <c r="M21" s="88" t="str">
        <f>_xll.CbondsIndexValue(VLOOKUP($M$1,'Help Page'!$Q:$S,3,0),Calculation!E21)</f>
        <v>Нет данных</v>
      </c>
      <c r="N21" s="88">
        <f t="shared" si="2"/>
        <v>7189.33</v>
      </c>
      <c r="S21" s="57"/>
      <c r="T21" s="57"/>
      <c r="U21" s="57"/>
      <c r="V21" s="27"/>
      <c r="AL21" s="27" t="e">
        <f>VLOOKUP(AM21,'Help Page'!E:F,2,0)</f>
        <v>#N/A</v>
      </c>
      <c r="AM21" s="30"/>
      <c r="AN21" s="30"/>
      <c r="AO21" s="30"/>
      <c r="AP21" s="30"/>
      <c r="AQ21" s="30"/>
      <c r="AR21" s="30"/>
      <c r="AT21" s="27" t="e">
        <f>VLOOKUP(AU21,'Help Page'!E:F,2,0)</f>
        <v>#N/A</v>
      </c>
      <c r="AU21" s="27">
        <f t="shared" si="4"/>
        <v>0</v>
      </c>
      <c r="AV21" s="27">
        <f t="shared" si="5"/>
        <v>0</v>
      </c>
      <c r="AW21" s="27">
        <f t="shared" si="6"/>
        <v>0</v>
      </c>
      <c r="AX21" s="27">
        <f t="shared" si="7"/>
        <v>0</v>
      </c>
      <c r="AY21" s="43">
        <f t="shared" si="8"/>
        <v>0</v>
      </c>
      <c r="AZ21" s="27">
        <f t="shared" si="9"/>
        <v>0</v>
      </c>
      <c r="BC21" s="24" t="s">
        <v>90</v>
      </c>
      <c r="BE21" s="52"/>
      <c r="BF21" s="51"/>
      <c r="BG21" s="51"/>
      <c r="BU21" s="20"/>
    </row>
    <row r="22" spans="1:73" x14ac:dyDescent="0.3">
      <c r="E22" s="37">
        <f t="shared" si="3"/>
        <v>46003</v>
      </c>
      <c r="F22" s="30">
        <f>_xll.CbondsStockAvgPrice($B$1,E22,$B$27)</f>
        <v>129.08000000000001</v>
      </c>
      <c r="G22" s="31">
        <f t="shared" si="0"/>
        <v>129.08000000000001</v>
      </c>
      <c r="H22" s="88">
        <f>IF(_xll.CbondsStockTradingVolume($B$1,E22,$B$27) &lt;&gt; "Нет данных",_xll.CbondsStockTradingVolume($B$1,E22,$B$27),"0")</f>
        <v>9388571616.2000008</v>
      </c>
      <c r="I22" s="88">
        <f>IF(_xll.CbondsStockDealsNumber($B$1,E22,$B$27) &lt;&gt; "Нет данных",_xll.CbondsStockDealsNumber($B$1,E22,$B$27),"0")</f>
        <v>88593</v>
      </c>
      <c r="K22" s="88">
        <f>_xll.CbondsIndexValue(VLOOKUP($K$1,'Help Page'!$Q:$S,3,0),Calculation!E22)</f>
        <v>18176.16</v>
      </c>
      <c r="L22" s="88">
        <f t="shared" si="1"/>
        <v>18176.16</v>
      </c>
      <c r="M22" s="88">
        <f>_xll.CbondsIndexValue(VLOOKUP($M$1,'Help Page'!$Q:$S,3,0),Calculation!E22)</f>
        <v>7189.33</v>
      </c>
      <c r="N22" s="88">
        <f t="shared" si="2"/>
        <v>7189.33</v>
      </c>
      <c r="S22" s="57" t="s">
        <v>40</v>
      </c>
      <c r="T22" s="113">
        <f>AVERAGEIF(E:E, "&gt;="&amp;T20,H:H)/(10^6)</f>
        <v>8140.131852018465</v>
      </c>
      <c r="U22" s="57"/>
      <c r="V22" s="27"/>
      <c r="AL22" s="27" t="e">
        <f>VLOOKUP(AM22,'Help Page'!E:F,2,0)</f>
        <v>#N/A</v>
      </c>
      <c r="AM22" s="30"/>
      <c r="AN22" s="30"/>
      <c r="AO22" s="30"/>
      <c r="AP22" s="30"/>
      <c r="AQ22" s="30"/>
      <c r="AR22" s="30"/>
      <c r="AT22" s="27" t="e">
        <f>VLOOKUP(AU22,'Help Page'!E:F,2,0)</f>
        <v>#N/A</v>
      </c>
      <c r="AU22" s="27">
        <f t="shared" si="4"/>
        <v>0</v>
      </c>
      <c r="AV22" s="27">
        <f t="shared" si="5"/>
        <v>0</v>
      </c>
      <c r="AW22" s="27">
        <f t="shared" si="6"/>
        <v>0</v>
      </c>
      <c r="AX22" s="27">
        <f t="shared" si="7"/>
        <v>0</v>
      </c>
      <c r="AY22" s="43">
        <f t="shared" si="8"/>
        <v>0</v>
      </c>
      <c r="AZ22" s="27">
        <f t="shared" si="9"/>
        <v>0</v>
      </c>
      <c r="BC22" s="24" t="s">
        <v>61</v>
      </c>
      <c r="BD22" s="24" t="s">
        <v>74</v>
      </c>
      <c r="BE22" s="53" t="s">
        <v>32</v>
      </c>
      <c r="BF22" s="24" t="s">
        <v>75</v>
      </c>
      <c r="BG22" s="51"/>
      <c r="BU22" s="20"/>
    </row>
    <row r="23" spans="1:73" x14ac:dyDescent="0.3">
      <c r="A23" s="24"/>
      <c r="B23" s="44"/>
      <c r="E23" s="37">
        <f t="shared" si="3"/>
        <v>46002</v>
      </c>
      <c r="F23" s="30">
        <f>_xll.CbondsStockAvgPrice($B$1,E23,$B$27)</f>
        <v>130.28</v>
      </c>
      <c r="G23" s="31">
        <f t="shared" si="0"/>
        <v>130.28</v>
      </c>
      <c r="H23" s="88">
        <f>IF(_xll.CbondsStockTradingVolume($B$1,E23,$B$27) &lt;&gt; "Нет данных",_xll.CbondsStockTradingVolume($B$1,E23,$B$27),"0")</f>
        <v>13812707593</v>
      </c>
      <c r="I23" s="88">
        <f>IF(_xll.CbondsStockDealsNumber($B$1,E23,$B$27) &lt;&gt; "Нет данных",_xll.CbondsStockDealsNumber($B$1,E23,$B$27),"0")</f>
        <v>131098</v>
      </c>
      <c r="K23" s="88">
        <f>_xll.CbondsIndexValue(VLOOKUP($K$1,'Help Page'!$Q:$S,3,0),Calculation!E23)</f>
        <v>18228.05</v>
      </c>
      <c r="L23" s="88">
        <f t="shared" si="1"/>
        <v>18228.05</v>
      </c>
      <c r="M23" s="88">
        <f>_xll.CbondsIndexValue(VLOOKUP($M$1,'Help Page'!$Q:$S,3,0),Calculation!E23)</f>
        <v>7222.7</v>
      </c>
      <c r="N23" s="88">
        <f t="shared" si="2"/>
        <v>7222.7</v>
      </c>
      <c r="AL23" s="27" t="e">
        <f>VLOOKUP(AM23,'Help Page'!E:F,2,0)</f>
        <v>#N/A</v>
      </c>
      <c r="AM23" s="30"/>
      <c r="AN23" s="30"/>
      <c r="AO23" s="30"/>
      <c r="AP23" s="30"/>
      <c r="AQ23" s="30"/>
      <c r="AR23" s="30"/>
      <c r="AT23" s="27" t="e">
        <f>VLOOKUP(AU23,'Help Page'!E:F,2,0)</f>
        <v>#N/A</v>
      </c>
      <c r="AU23" s="27">
        <f t="shared" si="4"/>
        <v>0</v>
      </c>
      <c r="AV23" s="27">
        <f t="shared" si="5"/>
        <v>0</v>
      </c>
      <c r="AW23" s="27">
        <f t="shared" si="6"/>
        <v>0</v>
      </c>
      <c r="AX23" s="27">
        <f t="shared" si="7"/>
        <v>0</v>
      </c>
      <c r="AY23" s="43">
        <f t="shared" si="8"/>
        <v>0</v>
      </c>
      <c r="AZ23" s="27">
        <f t="shared" si="9"/>
        <v>0</v>
      </c>
      <c r="BC23" s="27" t="s">
        <v>80</v>
      </c>
      <c r="BD23" s="27"/>
      <c r="BE23" s="44"/>
      <c r="BF23" s="27" t="s">
        <v>81</v>
      </c>
      <c r="BG23" s="51"/>
      <c r="BU23" s="20"/>
    </row>
    <row r="24" spans="1:73" x14ac:dyDescent="0.3">
      <c r="A24" s="24"/>
      <c r="B24" s="44"/>
      <c r="E24" s="37">
        <f t="shared" si="3"/>
        <v>46001</v>
      </c>
      <c r="F24" s="30">
        <f>_xll.CbondsStockAvgPrice($B$1,E24,$B$27)</f>
        <v>128.6</v>
      </c>
      <c r="G24" s="31">
        <f t="shared" si="0"/>
        <v>128.6</v>
      </c>
      <c r="H24" s="88">
        <f>IF(_xll.CbondsStockTradingVolume($B$1,E24,$B$27) &lt;&gt; "Нет данных",_xll.CbondsStockTradingVolume($B$1,E24,$B$27),"0")</f>
        <v>3966973668.5</v>
      </c>
      <c r="I24" s="88">
        <f>IF(_xll.CbondsStockDealsNumber($B$1,E24,$B$27) &lt;&gt; "Нет данных",_xll.CbondsStockDealsNumber($B$1,E24,$B$27),"0")</f>
        <v>42719</v>
      </c>
      <c r="K24" s="88">
        <f>_xll.CbondsIndexValue(VLOOKUP($K$1,'Help Page'!$Q:$S,3,0),Calculation!E24)</f>
        <v>18035.740000000002</v>
      </c>
      <c r="L24" s="88">
        <f t="shared" si="1"/>
        <v>18035.740000000002</v>
      </c>
      <c r="M24" s="88">
        <f>_xll.CbondsIndexValue(VLOOKUP($M$1,'Help Page'!$Q:$S,3,0),Calculation!E24)</f>
        <v>7144.73</v>
      </c>
      <c r="N24" s="88">
        <f t="shared" si="2"/>
        <v>7144.73</v>
      </c>
      <c r="AL24" s="27" t="e">
        <f>VLOOKUP(AM24,'Help Page'!E:F,2,0)</f>
        <v>#N/A</v>
      </c>
      <c r="AM24" s="30"/>
      <c r="AN24" s="30"/>
      <c r="AO24" s="30"/>
      <c r="AP24" s="30"/>
      <c r="AQ24" s="30"/>
      <c r="AR24" s="30"/>
      <c r="AT24" s="27" t="e">
        <f>VLOOKUP(AU24,'Help Page'!E:F,2,0)</f>
        <v>#N/A</v>
      </c>
      <c r="AU24" s="27">
        <f t="shared" si="4"/>
        <v>0</v>
      </c>
      <c r="AV24" s="27">
        <f t="shared" si="5"/>
        <v>0</v>
      </c>
      <c r="AW24" s="27">
        <f t="shared" si="6"/>
        <v>0</v>
      </c>
      <c r="AX24" s="27">
        <f t="shared" si="7"/>
        <v>0</v>
      </c>
      <c r="AY24" s="43">
        <f t="shared" si="8"/>
        <v>0</v>
      </c>
      <c r="AZ24" s="27">
        <f t="shared" si="9"/>
        <v>0</v>
      </c>
      <c r="BC24" s="27" t="s">
        <v>83</v>
      </c>
      <c r="BD24" s="27"/>
      <c r="BE24" s="44"/>
      <c r="BF24" s="27" t="s">
        <v>41</v>
      </c>
      <c r="BG24" s="51"/>
      <c r="BU24" s="20"/>
    </row>
    <row r="25" spans="1:73" x14ac:dyDescent="0.3">
      <c r="A25" s="24"/>
      <c r="B25" s="44"/>
      <c r="E25" s="37">
        <f t="shared" si="3"/>
        <v>46000</v>
      </c>
      <c r="F25" s="30">
        <f>_xll.CbondsStockAvgPrice($B$1,E25,$B$27)</f>
        <v>128.13999999999999</v>
      </c>
      <c r="G25" s="31">
        <f t="shared" si="0"/>
        <v>128.13999999999999</v>
      </c>
      <c r="H25" s="88">
        <f>IF(_xll.CbondsStockTradingVolume($B$1,E25,$B$27) &lt;&gt; "Нет данных",_xll.CbondsStockTradingVolume($B$1,E25,$B$27),"0")</f>
        <v>8655909765.6000004</v>
      </c>
      <c r="I25" s="88">
        <f>IF(_xll.CbondsStockDealsNumber($B$1,E25,$B$27) &lt;&gt; "Нет данных",_xll.CbondsStockDealsNumber($B$1,E25,$B$27),"0")</f>
        <v>77045</v>
      </c>
      <c r="K25" s="88">
        <f>_xll.CbondsIndexValue(VLOOKUP($K$1,'Help Page'!$Q:$S,3,0),Calculation!E25)</f>
        <v>17934.599999999999</v>
      </c>
      <c r="L25" s="88">
        <f t="shared" si="1"/>
        <v>17934.599999999999</v>
      </c>
      <c r="M25" s="88">
        <f>_xll.CbondsIndexValue(VLOOKUP($M$1,'Help Page'!$Q:$S,3,0),Calculation!E25)</f>
        <v>7083.28</v>
      </c>
      <c r="N25" s="88">
        <f t="shared" si="2"/>
        <v>7083.28</v>
      </c>
      <c r="S25" s="56" t="s">
        <v>92</v>
      </c>
      <c r="T25" s="122" t="s">
        <v>93</v>
      </c>
      <c r="U25" s="123"/>
      <c r="V25" s="122" t="s">
        <v>94</v>
      </c>
      <c r="W25" s="123"/>
      <c r="X25" s="122" t="s">
        <v>154</v>
      </c>
      <c r="Y25" s="123"/>
      <c r="AL25" s="27" t="e">
        <f>VLOOKUP(AM25,'Help Page'!E:F,2,0)</f>
        <v>#N/A</v>
      </c>
      <c r="AM25" s="30"/>
      <c r="AN25" s="30"/>
      <c r="AO25" s="30"/>
      <c r="AP25" s="30"/>
      <c r="AQ25" s="30"/>
      <c r="AR25" s="30"/>
      <c r="AT25" s="27" t="e">
        <f>VLOOKUP(AU25,'Help Page'!E:F,2,0)</f>
        <v>#N/A</v>
      </c>
      <c r="AU25" s="27">
        <f t="shared" si="4"/>
        <v>0</v>
      </c>
      <c r="AV25" s="27">
        <f t="shared" si="5"/>
        <v>0</v>
      </c>
      <c r="AW25" s="27">
        <f t="shared" si="6"/>
        <v>0</v>
      </c>
      <c r="AX25" s="27">
        <f t="shared" si="7"/>
        <v>0</v>
      </c>
      <c r="AY25" s="43">
        <f t="shared" si="8"/>
        <v>0</v>
      </c>
      <c r="AZ25" s="27">
        <f t="shared" si="9"/>
        <v>0</v>
      </c>
      <c r="BC25" s="27" t="s">
        <v>85</v>
      </c>
      <c r="BD25" s="27"/>
      <c r="BE25" s="44"/>
      <c r="BF25" s="27" t="s">
        <v>86</v>
      </c>
      <c r="BG25" s="51"/>
      <c r="BU25" s="20"/>
    </row>
    <row r="26" spans="1:73" x14ac:dyDescent="0.3">
      <c r="E26" s="37">
        <f t="shared" si="3"/>
        <v>45999</v>
      </c>
      <c r="F26" s="30">
        <f>_xll.CbondsStockAvgPrice($B$1,E26,$B$27)</f>
        <v>128.99</v>
      </c>
      <c r="G26" s="31">
        <f t="shared" si="0"/>
        <v>128.99</v>
      </c>
      <c r="H26" s="88">
        <f>IF(_xll.CbondsStockTradingVolume($B$1,E26,$B$27) &lt;&gt; "Нет данных",_xll.CbondsStockTradingVolume($B$1,E26,$B$27),"0")</f>
        <v>11172535610.799999</v>
      </c>
      <c r="I26" s="88">
        <f>IF(_xll.CbondsStockDealsNumber($B$1,E26,$B$27) &lt;&gt; "Нет данных",_xll.CbondsStockDealsNumber($B$1,E26,$B$27),"0")</f>
        <v>103648</v>
      </c>
      <c r="K26" s="88">
        <f>_xll.CbondsIndexValue(VLOOKUP($K$1,'Help Page'!$Q:$S,3,0),Calculation!E26)</f>
        <v>17933.04</v>
      </c>
      <c r="L26" s="88">
        <f t="shared" si="1"/>
        <v>17933.04</v>
      </c>
      <c r="M26" s="88">
        <f>_xll.CbondsIndexValue(VLOOKUP($M$1,'Help Page'!$Q:$S,3,0),Calculation!E26)</f>
        <v>7098.82</v>
      </c>
      <c r="N26" s="88">
        <f t="shared" si="2"/>
        <v>7098.82</v>
      </c>
      <c r="S26" s="57"/>
      <c r="T26" s="18" t="s">
        <v>95</v>
      </c>
      <c r="U26" s="18" t="s">
        <v>96</v>
      </c>
      <c r="V26" s="18" t="s">
        <v>95</v>
      </c>
      <c r="W26" s="18" t="s">
        <v>96</v>
      </c>
      <c r="X26" s="18" t="s">
        <v>95</v>
      </c>
      <c r="Y26" s="18" t="s">
        <v>96</v>
      </c>
      <c r="AL26" s="27" t="e">
        <f>VLOOKUP(AM26,'Help Page'!E:F,2,0)</f>
        <v>#N/A</v>
      </c>
      <c r="AM26" s="30"/>
      <c r="AN26" s="30"/>
      <c r="AO26" s="30"/>
      <c r="AP26" s="30"/>
      <c r="AQ26" s="30"/>
      <c r="AR26" s="30"/>
      <c r="AT26" s="27" t="e">
        <f>VLOOKUP(AU26,'Help Page'!E:F,2,0)</f>
        <v>#N/A</v>
      </c>
      <c r="AU26" s="27">
        <f t="shared" si="4"/>
        <v>0</v>
      </c>
      <c r="AV26" s="27">
        <f t="shared" si="5"/>
        <v>0</v>
      </c>
      <c r="AW26" s="27">
        <f t="shared" si="6"/>
        <v>0</v>
      </c>
      <c r="AX26" s="27">
        <f t="shared" si="7"/>
        <v>0</v>
      </c>
      <c r="AY26" s="43">
        <f t="shared" si="8"/>
        <v>0</v>
      </c>
      <c r="AZ26" s="27">
        <f t="shared" si="9"/>
        <v>0</v>
      </c>
      <c r="BC26" s="27" t="s">
        <v>13</v>
      </c>
      <c r="BD26" s="27"/>
      <c r="BE26" s="44"/>
      <c r="BF26" s="27" t="s">
        <v>13</v>
      </c>
      <c r="BG26" s="51"/>
      <c r="BU26" s="20"/>
    </row>
    <row r="27" spans="1:73" x14ac:dyDescent="0.3">
      <c r="A27" s="24" t="s">
        <v>91</v>
      </c>
      <c r="B27" s="18">
        <v>1</v>
      </c>
      <c r="E27" s="37">
        <f t="shared" si="3"/>
        <v>45998</v>
      </c>
      <c r="F27" s="30" t="str">
        <f>_xll.CbondsStockAvgPrice($B$1,E27,$B$27)</f>
        <v>Нет данных</v>
      </c>
      <c r="G27" s="31">
        <f t="shared" si="0"/>
        <v>127.67</v>
      </c>
      <c r="H27" s="88" t="str">
        <f>IF(_xll.CbondsStockTradingVolume($B$1,E27,$B$27) &lt;&gt; "Нет данных",_xll.CbondsStockTradingVolume($B$1,E27,$B$27),"0")</f>
        <v>0</v>
      </c>
      <c r="I27" s="88" t="str">
        <f>IF(_xll.CbondsStockDealsNumber($B$1,E27,$B$27) &lt;&gt; "Нет данных",_xll.CbondsStockDealsNumber($B$1,E27,$B$27),"0")</f>
        <v>0</v>
      </c>
      <c r="K27" s="88" t="str">
        <f>_xll.CbondsIndexValue(VLOOKUP($K$1,'Help Page'!$Q:$S,3,0),Calculation!E27)</f>
        <v>Нет данных</v>
      </c>
      <c r="L27" s="88">
        <f t="shared" si="1"/>
        <v>17974.560000000001</v>
      </c>
      <c r="M27" s="88" t="str">
        <f>_xll.CbondsIndexValue(VLOOKUP($M$1,'Help Page'!$Q:$S,3,0),Calculation!E27)</f>
        <v>Нет данных</v>
      </c>
      <c r="N27" s="88">
        <f t="shared" si="2"/>
        <v>7146.59</v>
      </c>
      <c r="S27" s="18" t="s">
        <v>97</v>
      </c>
      <c r="T27" s="15">
        <f>EDATE(T6,-12)</f>
        <v>45658</v>
      </c>
      <c r="U27" s="15">
        <f>T6</f>
        <v>46023</v>
      </c>
      <c r="V27" s="103">
        <f>ROUNDDOWN(MIN(G:G)-5,-1)</f>
        <v>110</v>
      </c>
      <c r="W27" s="103">
        <f>ROUNDUP(MAX(G:G)+5,-1)</f>
        <v>190</v>
      </c>
      <c r="X27" s="103"/>
      <c r="Y27" s="103"/>
      <c r="AL27" s="27" t="e">
        <f>VLOOKUP(AM27,'Help Page'!E:F,2,0)</f>
        <v>#N/A</v>
      </c>
      <c r="AM27" s="30"/>
      <c r="AN27" s="30"/>
      <c r="AO27" s="30"/>
      <c r="AP27" s="30"/>
      <c r="AQ27" s="30"/>
      <c r="AR27" s="30"/>
      <c r="AT27" s="27" t="e">
        <f>VLOOKUP(AU27,'Help Page'!E:F,2,0)</f>
        <v>#N/A</v>
      </c>
      <c r="AU27" s="27">
        <f t="shared" si="4"/>
        <v>0</v>
      </c>
      <c r="AV27" s="27">
        <f t="shared" si="5"/>
        <v>0</v>
      </c>
      <c r="AW27" s="27">
        <f t="shared" si="6"/>
        <v>0</v>
      </c>
      <c r="AX27" s="27">
        <f t="shared" si="7"/>
        <v>0</v>
      </c>
      <c r="AY27" s="43">
        <f t="shared" si="8"/>
        <v>0</v>
      </c>
      <c r="AZ27" s="27">
        <f t="shared" si="9"/>
        <v>0</v>
      </c>
      <c r="BF27" s="51"/>
      <c r="BG27" s="51"/>
      <c r="BU27" s="20"/>
    </row>
    <row r="28" spans="1:73" x14ac:dyDescent="0.3">
      <c r="E28" s="37">
        <f t="shared" si="3"/>
        <v>45997</v>
      </c>
      <c r="F28" s="30" t="str">
        <f>_xll.CbondsStockAvgPrice($B$1,E28,$B$27)</f>
        <v>Нет данных</v>
      </c>
      <c r="G28" s="31">
        <f t="shared" si="0"/>
        <v>127.67</v>
      </c>
      <c r="H28" s="88" t="str">
        <f>IF(_xll.CbondsStockTradingVolume($B$1,E28,$B$27) &lt;&gt; "Нет данных",_xll.CbondsStockTradingVolume($B$1,E28,$B$27),"0")</f>
        <v>0</v>
      </c>
      <c r="I28" s="88" t="str">
        <f>IF(_xll.CbondsStockDealsNumber($B$1,E28,$B$27) &lt;&gt; "Нет данных",_xll.CbondsStockDealsNumber($B$1,E28,$B$27),"0")</f>
        <v>0</v>
      </c>
      <c r="K28" s="88" t="str">
        <f>_xll.CbondsIndexValue(VLOOKUP($K$1,'Help Page'!$Q:$S,3,0),Calculation!E28)</f>
        <v>Нет данных</v>
      </c>
      <c r="L28" s="88">
        <f t="shared" si="1"/>
        <v>17974.560000000001</v>
      </c>
      <c r="M28" s="88" t="str">
        <f>_xll.CbondsIndexValue(VLOOKUP($M$1,'Help Page'!$Q:$S,3,0),Calculation!E28)</f>
        <v>Нет данных</v>
      </c>
      <c r="N28" s="88">
        <f t="shared" si="2"/>
        <v>7146.59</v>
      </c>
      <c r="S28" s="18" t="s">
        <v>98</v>
      </c>
      <c r="T28" s="15">
        <f>EDATE(T6,-12)</f>
        <v>45658</v>
      </c>
      <c r="U28" s="15">
        <f>T6</f>
        <v>46023</v>
      </c>
      <c r="V28" s="103">
        <f>ROUNDDOWN(MIN(K:K,M:M)-1000,-2)</f>
        <v>5400</v>
      </c>
      <c r="W28" s="103">
        <f>ROUNDUP(MAX(K:K,M:M)+1000,-2)</f>
        <v>22600</v>
      </c>
      <c r="X28" s="103">
        <f>ROUNDDOWN(MIN(G:G)-10,-1)</f>
        <v>100</v>
      </c>
      <c r="Y28" s="103">
        <f>ROUNDUP(MAX(G:G)+10,-1)</f>
        <v>190</v>
      </c>
      <c r="AL28" s="27" t="e">
        <f>VLOOKUP(AM28,'Help Page'!E:F,2,0)</f>
        <v>#N/A</v>
      </c>
      <c r="AM28" s="30"/>
      <c r="AN28" s="30"/>
      <c r="AO28" s="30"/>
      <c r="AP28" s="30"/>
      <c r="AQ28" s="30"/>
      <c r="AR28" s="30"/>
      <c r="AT28" s="27" t="e">
        <f>VLOOKUP(AU28,'Help Page'!E:F,2,0)</f>
        <v>#N/A</v>
      </c>
      <c r="AU28" s="27">
        <f t="shared" si="4"/>
        <v>0</v>
      </c>
      <c r="AV28" s="27">
        <f t="shared" si="5"/>
        <v>0</v>
      </c>
      <c r="AW28" s="27">
        <f t="shared" si="6"/>
        <v>0</v>
      </c>
      <c r="AX28" s="27">
        <f t="shared" si="7"/>
        <v>0</v>
      </c>
      <c r="AY28" s="43">
        <f t="shared" si="8"/>
        <v>0</v>
      </c>
      <c r="AZ28" s="27">
        <f t="shared" si="9"/>
        <v>0</v>
      </c>
      <c r="BC28" s="51"/>
      <c r="BD28" s="51"/>
      <c r="BE28" s="51"/>
      <c r="BF28" s="51"/>
      <c r="BG28" s="51"/>
      <c r="BU28" s="20"/>
    </row>
    <row r="29" spans="1:73" x14ac:dyDescent="0.3">
      <c r="E29" s="37">
        <f t="shared" si="3"/>
        <v>45996</v>
      </c>
      <c r="F29" s="30">
        <f>_xll.CbondsStockAvgPrice($B$1,E29,$B$27)</f>
        <v>127.67</v>
      </c>
      <c r="G29" s="31">
        <f t="shared" si="0"/>
        <v>127.67</v>
      </c>
      <c r="H29" s="88">
        <f>IF(_xll.CbondsStockTradingVolume($B$1,E29,$B$27) &lt;&gt; "Нет данных",_xll.CbondsStockTradingVolume($B$1,E29,$B$27),"0")</f>
        <v>7836333211.6999998</v>
      </c>
      <c r="I29" s="88">
        <f>IF(_xll.CbondsStockDealsNumber($B$1,E29,$B$27) &lt;&gt; "Нет данных",_xll.CbondsStockDealsNumber($B$1,E29,$B$27),"0")</f>
        <v>84641</v>
      </c>
      <c r="K29" s="88">
        <f>_xll.CbondsIndexValue(VLOOKUP($K$1,'Help Page'!$Q:$S,3,0),Calculation!E29)</f>
        <v>17974.560000000001</v>
      </c>
      <c r="L29" s="88">
        <f t="shared" si="1"/>
        <v>17974.560000000001</v>
      </c>
      <c r="M29" s="88">
        <f>_xll.CbondsIndexValue(VLOOKUP($M$1,'Help Page'!$Q:$S,3,0),Calculation!E29)</f>
        <v>7146.59</v>
      </c>
      <c r="N29" s="88">
        <f t="shared" si="2"/>
        <v>7146.59</v>
      </c>
      <c r="S29" s="18" t="s">
        <v>99</v>
      </c>
      <c r="T29" s="58"/>
      <c r="U29" s="58"/>
      <c r="V29" s="18"/>
      <c r="W29" s="18"/>
      <c r="X29" s="18"/>
      <c r="Y29" s="18"/>
      <c r="AL29" s="27" t="e">
        <f>VLOOKUP(AM29,'Help Page'!E:F,2,0)</f>
        <v>#N/A</v>
      </c>
      <c r="AM29" s="30"/>
      <c r="AN29" s="30"/>
      <c r="AO29" s="30"/>
      <c r="AP29" s="30"/>
      <c r="AQ29" s="30"/>
      <c r="AR29" s="30"/>
      <c r="AT29" s="27" t="e">
        <f>VLOOKUP(AU29,'Help Page'!E:F,2,0)</f>
        <v>#N/A</v>
      </c>
      <c r="AU29" s="27">
        <f t="shared" si="4"/>
        <v>0</v>
      </c>
      <c r="AV29" s="27">
        <f t="shared" si="5"/>
        <v>0</v>
      </c>
      <c r="AW29" s="27">
        <f t="shared" si="6"/>
        <v>0</v>
      </c>
      <c r="AX29" s="27">
        <f t="shared" si="7"/>
        <v>0</v>
      </c>
      <c r="AY29" s="43">
        <f t="shared" si="8"/>
        <v>0</v>
      </c>
      <c r="AZ29" s="27">
        <f t="shared" si="9"/>
        <v>0</v>
      </c>
      <c r="BC29" s="51"/>
      <c r="BD29" s="51"/>
      <c r="BE29" s="51"/>
      <c r="BF29" s="51"/>
      <c r="BG29" s="51"/>
      <c r="BU29" s="20"/>
    </row>
    <row r="30" spans="1:73" x14ac:dyDescent="0.3">
      <c r="E30" s="37">
        <f t="shared" si="3"/>
        <v>45995</v>
      </c>
      <c r="F30" s="30">
        <f>_xll.CbondsStockAvgPrice($B$1,E30,$B$27)</f>
        <v>125.87</v>
      </c>
      <c r="G30" s="31">
        <f t="shared" si="0"/>
        <v>125.87</v>
      </c>
      <c r="H30" s="88">
        <f>IF(_xll.CbondsStockTradingVolume($B$1,E30,$B$27) &lt;&gt; "Нет данных",_xll.CbondsStockTradingVolume($B$1,E30,$B$27),"0")</f>
        <v>3777027006.4000001</v>
      </c>
      <c r="I30" s="88">
        <f>IF(_xll.CbondsStockDealsNumber($B$1,E30,$B$27) &lt;&gt; "Нет данных",_xll.CbondsStockDealsNumber($B$1,E30,$B$27),"0")</f>
        <v>43573</v>
      </c>
      <c r="K30" s="88">
        <f>_xll.CbondsIndexValue(VLOOKUP($K$1,'Help Page'!$Q:$S,3,0),Calculation!E30)</f>
        <v>17594.060000000001</v>
      </c>
      <c r="L30" s="88">
        <f t="shared" si="1"/>
        <v>17594.060000000001</v>
      </c>
      <c r="M30" s="88">
        <f>_xll.CbondsIndexValue(VLOOKUP($M$1,'Help Page'!$Q:$S,3,0),Calculation!E30)</f>
        <v>6988.54</v>
      </c>
      <c r="N30" s="88">
        <f t="shared" si="2"/>
        <v>6988.54</v>
      </c>
      <c r="S30" s="18" t="s">
        <v>100</v>
      </c>
      <c r="T30" s="19"/>
      <c r="U30" s="19"/>
      <c r="V30" s="19"/>
      <c r="W30" s="19"/>
      <c r="X30" s="19"/>
      <c r="Y30" s="19"/>
      <c r="AL30" s="27" t="e">
        <f>VLOOKUP(AM30,'Help Page'!E:F,2,0)</f>
        <v>#N/A</v>
      </c>
      <c r="AM30" s="30"/>
      <c r="AN30" s="30"/>
      <c r="AO30" s="30"/>
      <c r="AP30" s="30"/>
      <c r="AQ30" s="30"/>
      <c r="AR30" s="30"/>
      <c r="AT30" s="27" t="e">
        <f>VLOOKUP(AU30,'Help Page'!E:F,2,0)</f>
        <v>#N/A</v>
      </c>
      <c r="AU30" s="27">
        <f t="shared" si="4"/>
        <v>0</v>
      </c>
      <c r="AV30" s="27">
        <f t="shared" si="5"/>
        <v>0</v>
      </c>
      <c r="AW30" s="27">
        <f t="shared" si="6"/>
        <v>0</v>
      </c>
      <c r="AX30" s="27">
        <f t="shared" si="7"/>
        <v>0</v>
      </c>
      <c r="AY30" s="43">
        <f t="shared" si="8"/>
        <v>0</v>
      </c>
      <c r="AZ30" s="27">
        <f t="shared" si="9"/>
        <v>0</v>
      </c>
      <c r="BC30" s="51"/>
      <c r="BD30" s="51"/>
      <c r="BE30" s="51"/>
      <c r="BF30" s="51"/>
      <c r="BG30" s="51"/>
      <c r="BU30" s="20"/>
    </row>
    <row r="31" spans="1:73" x14ac:dyDescent="0.3">
      <c r="E31" s="37">
        <f t="shared" si="3"/>
        <v>45994</v>
      </c>
      <c r="F31" s="30">
        <f>_xll.CbondsStockAvgPrice($B$1,E31,$B$27)</f>
        <v>124.58</v>
      </c>
      <c r="G31" s="31">
        <f t="shared" si="0"/>
        <v>124.58</v>
      </c>
      <c r="H31" s="88">
        <f>IF(_xll.CbondsStockTradingVolume($B$1,E31,$B$27) &lt;&gt; "Нет данных",_xll.CbondsStockTradingVolume($B$1,E31,$B$27),"0")</f>
        <v>8539315069.8000002</v>
      </c>
      <c r="I31" s="88">
        <f>IF(_xll.CbondsStockDealsNumber($B$1,E31,$B$27) &lt;&gt; "Нет данных",_xll.CbondsStockDealsNumber($B$1,E31,$B$27),"0")</f>
        <v>92909</v>
      </c>
      <c r="K31" s="88">
        <f>_xll.CbondsIndexValue(VLOOKUP($K$1,'Help Page'!$Q:$S,3,0),Calculation!E31)</f>
        <v>17566.45</v>
      </c>
      <c r="L31" s="88">
        <f t="shared" si="1"/>
        <v>17566.45</v>
      </c>
      <c r="M31" s="88">
        <f>_xll.CbondsIndexValue(VLOOKUP($M$1,'Help Page'!$Q:$S,3,0),Calculation!E31)</f>
        <v>6972.39</v>
      </c>
      <c r="N31" s="88">
        <f t="shared" si="2"/>
        <v>6972.39</v>
      </c>
      <c r="AL31" s="27" t="e">
        <f>VLOOKUP(AM31,'Help Page'!E:F,2,0)</f>
        <v>#N/A</v>
      </c>
      <c r="AM31" s="30"/>
      <c r="AN31" s="30"/>
      <c r="AO31" s="30"/>
      <c r="AP31" s="30"/>
      <c r="AQ31" s="30"/>
      <c r="AR31" s="30"/>
      <c r="AT31" s="27" t="e">
        <f>VLOOKUP(AU31,'Help Page'!E:F,2,0)</f>
        <v>#N/A</v>
      </c>
      <c r="AU31" s="27">
        <f t="shared" si="4"/>
        <v>0</v>
      </c>
      <c r="AV31" s="27">
        <f t="shared" si="5"/>
        <v>0</v>
      </c>
      <c r="AW31" s="27">
        <f t="shared" si="6"/>
        <v>0</v>
      </c>
      <c r="AX31" s="27">
        <f t="shared" si="7"/>
        <v>0</v>
      </c>
      <c r="AY31" s="43">
        <f t="shared" si="8"/>
        <v>0</v>
      </c>
      <c r="AZ31" s="27">
        <f t="shared" si="9"/>
        <v>0</v>
      </c>
      <c r="BC31" s="51"/>
      <c r="BD31" s="51"/>
      <c r="BE31" s="51"/>
      <c r="BF31" s="51"/>
      <c r="BG31" s="51"/>
      <c r="BU31" s="20"/>
    </row>
    <row r="32" spans="1:73" x14ac:dyDescent="0.3">
      <c r="E32" s="37">
        <f t="shared" si="3"/>
        <v>45993</v>
      </c>
      <c r="F32" s="30">
        <f>_xll.CbondsStockAvgPrice($B$1,E32,$B$27)</f>
        <v>127.64</v>
      </c>
      <c r="G32" s="31">
        <f t="shared" si="0"/>
        <v>127.64</v>
      </c>
      <c r="H32" s="88">
        <f>IF(_xll.CbondsStockTradingVolume($B$1,E32,$B$27) &lt;&gt; "Нет данных",_xll.CbondsStockTradingVolume($B$1,E32,$B$27),"0")</f>
        <v>7011790292.6999998</v>
      </c>
      <c r="I32" s="88">
        <f>IF(_xll.CbondsStockDealsNumber($B$1,E32,$B$27) &lt;&gt; "Нет данных",_xll.CbondsStockDealsNumber($B$1,E32,$B$27),"0")</f>
        <v>72221</v>
      </c>
      <c r="K32" s="88">
        <f>_xll.CbondsIndexValue(VLOOKUP($K$1,'Help Page'!$Q:$S,3,0),Calculation!E32)</f>
        <v>17677.13</v>
      </c>
      <c r="L32" s="88">
        <f t="shared" si="1"/>
        <v>17677.13</v>
      </c>
      <c r="M32" s="88">
        <f>_xll.CbondsIndexValue(VLOOKUP($M$1,'Help Page'!$Q:$S,3,0),Calculation!E32)</f>
        <v>7027.68</v>
      </c>
      <c r="N32" s="88">
        <f t="shared" si="2"/>
        <v>7027.68</v>
      </c>
      <c r="AL32" s="27" t="e">
        <f>VLOOKUP(AM32,'Help Page'!E:F,2,0)</f>
        <v>#N/A</v>
      </c>
      <c r="AM32" s="30"/>
      <c r="AN32" s="30"/>
      <c r="AO32" s="30"/>
      <c r="AP32" s="30"/>
      <c r="AQ32" s="30"/>
      <c r="AR32" s="30"/>
      <c r="AT32" s="27" t="e">
        <f>VLOOKUP(AU32,'Help Page'!E:F,2,0)</f>
        <v>#N/A</v>
      </c>
      <c r="AU32" s="27">
        <f t="shared" si="4"/>
        <v>0</v>
      </c>
      <c r="AV32" s="27">
        <f t="shared" si="5"/>
        <v>0</v>
      </c>
      <c r="AW32" s="27">
        <f t="shared" si="6"/>
        <v>0</v>
      </c>
      <c r="AX32" s="27">
        <f t="shared" si="7"/>
        <v>0</v>
      </c>
      <c r="AY32" s="43">
        <f t="shared" si="8"/>
        <v>0</v>
      </c>
      <c r="AZ32" s="27">
        <f t="shared" si="9"/>
        <v>0</v>
      </c>
      <c r="BU32" s="20"/>
    </row>
    <row r="33" spans="5:73" x14ac:dyDescent="0.3">
      <c r="E33" s="37">
        <f t="shared" si="3"/>
        <v>45992</v>
      </c>
      <c r="F33" s="30">
        <f>_xll.CbondsStockAvgPrice($B$1,E33,$B$27)</f>
        <v>128.22999999999999</v>
      </c>
      <c r="G33" s="31">
        <f t="shared" si="0"/>
        <v>128.22999999999999</v>
      </c>
      <c r="H33" s="88">
        <f>IF(_xll.CbondsStockTradingVolume($B$1,E33,$B$27) &lt;&gt; "Нет данных",_xll.CbondsStockTradingVolume($B$1,E33,$B$27),"0")</f>
        <v>9883004098.7999992</v>
      </c>
      <c r="I33" s="88">
        <f>IF(_xll.CbondsStockDealsNumber($B$1,E33,$B$27) &lt;&gt; "Нет данных",_xll.CbondsStockDealsNumber($B$1,E33,$B$27),"0")</f>
        <v>107819</v>
      </c>
      <c r="K33" s="88">
        <f>_xll.CbondsIndexValue(VLOOKUP($K$1,'Help Page'!$Q:$S,3,0),Calculation!E33)</f>
        <v>17802.71</v>
      </c>
      <c r="L33" s="88">
        <f t="shared" si="1"/>
        <v>17802.71</v>
      </c>
      <c r="M33" s="88">
        <f>_xll.CbondsIndexValue(VLOOKUP($M$1,'Help Page'!$Q:$S,3,0),Calculation!E33)</f>
        <v>7083.82</v>
      </c>
      <c r="N33" s="88">
        <f t="shared" si="2"/>
        <v>7083.82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L33" s="27" t="e">
        <f>VLOOKUP(AM33,'Help Page'!E:F,2,0)</f>
        <v>#N/A</v>
      </c>
      <c r="AM33" s="30"/>
      <c r="AN33" s="30"/>
      <c r="AO33" s="30"/>
      <c r="AP33" s="30"/>
      <c r="AQ33" s="30"/>
      <c r="AR33" s="30"/>
      <c r="AT33" s="27" t="e">
        <f>VLOOKUP(AU33,'Help Page'!E:F,2,0)</f>
        <v>#N/A</v>
      </c>
      <c r="AU33" s="27">
        <f t="shared" si="4"/>
        <v>0</v>
      </c>
      <c r="AV33" s="27">
        <f t="shared" si="5"/>
        <v>0</v>
      </c>
      <c r="AW33" s="27">
        <f t="shared" si="6"/>
        <v>0</v>
      </c>
      <c r="AX33" s="27">
        <f t="shared" si="7"/>
        <v>0</v>
      </c>
      <c r="AY33" s="43">
        <f t="shared" si="8"/>
        <v>0</v>
      </c>
      <c r="AZ33" s="27">
        <f t="shared" si="9"/>
        <v>0</v>
      </c>
      <c r="BU33" s="20"/>
    </row>
    <row r="34" spans="5:73" x14ac:dyDescent="0.3">
      <c r="E34" s="37">
        <f t="shared" si="3"/>
        <v>45991</v>
      </c>
      <c r="F34" s="30" t="str">
        <f>_xll.CbondsStockAvgPrice($B$1,E34,$B$27)</f>
        <v>Нет данных</v>
      </c>
      <c r="G34" s="31">
        <f t="shared" si="0"/>
        <v>126.09</v>
      </c>
      <c r="H34" s="88" t="str">
        <f>IF(_xll.CbondsStockTradingVolume($B$1,E34,$B$27) &lt;&gt; "Нет данных",_xll.CbondsStockTradingVolume($B$1,E34,$B$27),"0")</f>
        <v>0</v>
      </c>
      <c r="I34" s="88" t="str">
        <f>IF(_xll.CbondsStockDealsNumber($B$1,E34,$B$27) &lt;&gt; "Нет данных",_xll.CbondsStockDealsNumber($B$1,E34,$B$27),"0")</f>
        <v>0</v>
      </c>
      <c r="K34" s="88" t="str">
        <f>_xll.CbondsIndexValue(VLOOKUP($K$1,'Help Page'!$Q:$S,3,0),Calculation!E34)</f>
        <v>Нет данных</v>
      </c>
      <c r="L34" s="88">
        <f t="shared" si="1"/>
        <v>17723.689999999999</v>
      </c>
      <c r="M34" s="88" t="str">
        <f>_xll.CbondsIndexValue(VLOOKUP($M$1,'Help Page'!$Q:$S,3,0),Calculation!E34)</f>
        <v>Нет данных</v>
      </c>
      <c r="N34" s="88">
        <f t="shared" si="2"/>
        <v>7056.61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L34" s="27" t="e">
        <f>VLOOKUP(AM34,'Help Page'!E:F,2,0)</f>
        <v>#N/A</v>
      </c>
      <c r="AM34" s="30"/>
      <c r="AN34" s="30"/>
      <c r="AO34" s="30"/>
      <c r="AP34" s="30"/>
      <c r="AQ34" s="30"/>
      <c r="AR34" s="30"/>
      <c r="AT34" s="27" t="e">
        <f>VLOOKUP(AU34,'Help Page'!E:F,2,0)</f>
        <v>#N/A</v>
      </c>
      <c r="AU34" s="27">
        <f t="shared" si="4"/>
        <v>0</v>
      </c>
      <c r="AV34" s="27">
        <f t="shared" si="5"/>
        <v>0</v>
      </c>
      <c r="AW34" s="27">
        <f t="shared" si="6"/>
        <v>0</v>
      </c>
      <c r="AX34" s="27">
        <f t="shared" si="7"/>
        <v>0</v>
      </c>
      <c r="AY34" s="43">
        <f t="shared" si="8"/>
        <v>0</v>
      </c>
      <c r="AZ34" s="27">
        <f t="shared" si="9"/>
        <v>0</v>
      </c>
      <c r="BU34" s="20"/>
    </row>
    <row r="35" spans="5:73" x14ac:dyDescent="0.3">
      <c r="E35" s="37">
        <f t="shared" si="3"/>
        <v>45990</v>
      </c>
      <c r="F35" s="30" t="str">
        <f>_xll.CbondsStockAvgPrice($B$1,E35,$B$27)</f>
        <v>Нет данных</v>
      </c>
      <c r="G35" s="31">
        <f t="shared" si="0"/>
        <v>126.09</v>
      </c>
      <c r="H35" s="88" t="str">
        <f>IF(_xll.CbondsStockTradingVolume($B$1,E35,$B$27) &lt;&gt; "Нет данных",_xll.CbondsStockTradingVolume($B$1,E35,$B$27),"0")</f>
        <v>0</v>
      </c>
      <c r="I35" s="88" t="str">
        <f>IF(_xll.CbondsStockDealsNumber($B$1,E35,$B$27) &lt;&gt; "Нет данных",_xll.CbondsStockDealsNumber($B$1,E35,$B$27),"0")</f>
        <v>0</v>
      </c>
      <c r="K35" s="88" t="str">
        <f>_xll.CbondsIndexValue(VLOOKUP($K$1,'Help Page'!$Q:$S,3,0),Calculation!E35)</f>
        <v>Нет данных</v>
      </c>
      <c r="L35" s="88">
        <f t="shared" si="1"/>
        <v>17723.689999999999</v>
      </c>
      <c r="M35" s="88" t="str">
        <f>_xll.CbondsIndexValue(VLOOKUP($M$1,'Help Page'!$Q:$S,3,0),Calculation!E35)</f>
        <v>Нет данных</v>
      </c>
      <c r="N35" s="88">
        <f t="shared" si="2"/>
        <v>7056.61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L35" s="27" t="e">
        <f>VLOOKUP(AM35,'Help Page'!E:F,2,0)</f>
        <v>#N/A</v>
      </c>
      <c r="AM35" s="30"/>
      <c r="AN35" s="30"/>
      <c r="AO35" s="30"/>
      <c r="AP35" s="30"/>
      <c r="AQ35" s="30"/>
      <c r="AR35" s="30"/>
      <c r="AT35" s="27" t="e">
        <f>VLOOKUP(AU35,'Help Page'!E:F,2,0)</f>
        <v>#N/A</v>
      </c>
      <c r="AU35" s="27">
        <f t="shared" si="4"/>
        <v>0</v>
      </c>
      <c r="AV35" s="27">
        <f t="shared" si="5"/>
        <v>0</v>
      </c>
      <c r="AW35" s="27">
        <f t="shared" si="6"/>
        <v>0</v>
      </c>
      <c r="AX35" s="27">
        <f t="shared" si="7"/>
        <v>0</v>
      </c>
      <c r="AY35" s="43">
        <f t="shared" si="8"/>
        <v>0</v>
      </c>
      <c r="AZ35" s="27">
        <f t="shared" si="9"/>
        <v>0</v>
      </c>
      <c r="BU35" s="20"/>
    </row>
    <row r="36" spans="5:73" x14ac:dyDescent="0.3">
      <c r="E36" s="37">
        <f t="shared" si="3"/>
        <v>45989</v>
      </c>
      <c r="F36" s="30">
        <f>_xll.CbondsStockAvgPrice($B$1,E36,$B$27)</f>
        <v>126.09</v>
      </c>
      <c r="G36" s="31">
        <f t="shared" si="0"/>
        <v>126.09</v>
      </c>
      <c r="H36" s="88">
        <f>IF(_xll.CbondsStockTradingVolume($B$1,E36,$B$27) &lt;&gt; "Нет данных",_xll.CbondsStockTradingVolume($B$1,E36,$B$27),"0")</f>
        <v>8720680051.5</v>
      </c>
      <c r="I36" s="88">
        <f>IF(_xll.CbondsStockDealsNumber($B$1,E36,$B$27) &lt;&gt; "Нет данных",_xll.CbondsStockDealsNumber($B$1,E36,$B$27),"0")</f>
        <v>75792</v>
      </c>
      <c r="K36" s="88">
        <f>_xll.CbondsIndexValue(VLOOKUP($K$1,'Help Page'!$Q:$S,3,0),Calculation!E36)</f>
        <v>17723.689999999999</v>
      </c>
      <c r="L36" s="88">
        <f t="shared" si="1"/>
        <v>17723.689999999999</v>
      </c>
      <c r="M36" s="88">
        <f>_xll.CbondsIndexValue(VLOOKUP($M$1,'Help Page'!$Q:$S,3,0),Calculation!E36)</f>
        <v>7056.61</v>
      </c>
      <c r="N36" s="88">
        <f t="shared" si="2"/>
        <v>7056.61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L36" s="27" t="e">
        <f>VLOOKUP(AM36,'Help Page'!E:F,2,0)</f>
        <v>#N/A</v>
      </c>
      <c r="AM36" s="30"/>
      <c r="AN36" s="30"/>
      <c r="AO36" s="30"/>
      <c r="AP36" s="30"/>
      <c r="AQ36" s="30"/>
      <c r="AR36" s="30"/>
      <c r="AT36" s="27" t="e">
        <f>VLOOKUP(AU36,'Help Page'!E:F,2,0)</f>
        <v>#N/A</v>
      </c>
      <c r="AU36" s="27">
        <f t="shared" si="4"/>
        <v>0</v>
      </c>
      <c r="AV36" s="27">
        <f t="shared" si="5"/>
        <v>0</v>
      </c>
      <c r="AW36" s="27">
        <f t="shared" si="6"/>
        <v>0</v>
      </c>
      <c r="AX36" s="27">
        <f t="shared" si="7"/>
        <v>0</v>
      </c>
      <c r="AY36" s="43">
        <f t="shared" si="8"/>
        <v>0</v>
      </c>
      <c r="AZ36" s="27">
        <f t="shared" si="9"/>
        <v>0</v>
      </c>
      <c r="BU36" s="20"/>
    </row>
    <row r="37" spans="5:73" x14ac:dyDescent="0.3">
      <c r="E37" s="37">
        <f t="shared" si="3"/>
        <v>45988</v>
      </c>
      <c r="F37" s="30">
        <f>_xll.CbondsStockAvgPrice($B$1,E37,$B$27)</f>
        <v>125.2</v>
      </c>
      <c r="G37" s="31">
        <f t="shared" si="0"/>
        <v>125.2</v>
      </c>
      <c r="H37" s="88">
        <f>IF(_xll.CbondsStockTradingVolume($B$1,E37,$B$27) &lt;&gt; "Нет данных",_xll.CbondsStockTradingVolume($B$1,E37,$B$27),"0")</f>
        <v>8504058187.6000004</v>
      </c>
      <c r="I37" s="88">
        <f>IF(_xll.CbondsStockDealsNumber($B$1,E37,$B$27) &lt;&gt; "Нет данных",_xll.CbondsStockDealsNumber($B$1,E37,$B$27),"0")</f>
        <v>91337</v>
      </c>
      <c r="K37" s="88">
        <f>_xll.CbondsIndexValue(VLOOKUP($K$1,'Help Page'!$Q:$S,3,0),Calculation!E37)</f>
        <v>17344.22</v>
      </c>
      <c r="L37" s="88">
        <f t="shared" si="1"/>
        <v>17344.22</v>
      </c>
      <c r="M37" s="88">
        <f>_xll.CbondsIndexValue(VLOOKUP($M$1,'Help Page'!$Q:$S,3,0),Calculation!E37)</f>
        <v>6875.94</v>
      </c>
      <c r="N37" s="88">
        <f t="shared" si="2"/>
        <v>6875.94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L37" s="27" t="e">
        <f>VLOOKUP(AM37,'Help Page'!E:F,2,0)</f>
        <v>#N/A</v>
      </c>
      <c r="AM37" s="30"/>
      <c r="AN37" s="30"/>
      <c r="AO37" s="30"/>
      <c r="AP37" s="30"/>
      <c r="AQ37" s="30"/>
      <c r="AR37" s="30"/>
      <c r="AS37" s="20"/>
      <c r="AT37" s="27" t="e">
        <f>VLOOKUP(AU37,'Help Page'!E:F,2,0)</f>
        <v>#N/A</v>
      </c>
      <c r="AU37" s="27">
        <f t="shared" si="4"/>
        <v>0</v>
      </c>
      <c r="AV37" s="27">
        <f t="shared" si="5"/>
        <v>0</v>
      </c>
      <c r="AW37" s="27">
        <f t="shared" si="6"/>
        <v>0</v>
      </c>
      <c r="AX37" s="27">
        <f t="shared" si="7"/>
        <v>0</v>
      </c>
      <c r="AY37" s="43">
        <f t="shared" si="8"/>
        <v>0</v>
      </c>
      <c r="AZ37" s="27">
        <f t="shared" si="9"/>
        <v>0</v>
      </c>
      <c r="BA37" s="20"/>
      <c r="BO37">
        <v>3.44</v>
      </c>
      <c r="BP37">
        <v>2.2933333333333334</v>
      </c>
      <c r="BQ37">
        <v>150</v>
      </c>
      <c r="BR37">
        <v>15</v>
      </c>
      <c r="BS37">
        <v>149.55000000000001</v>
      </c>
      <c r="BU37" s="20">
        <v>3.96</v>
      </c>
    </row>
    <row r="38" spans="5:73" x14ac:dyDescent="0.3">
      <c r="E38" s="37">
        <f t="shared" si="3"/>
        <v>45987</v>
      </c>
      <c r="F38" s="30">
        <f>_xll.CbondsStockAvgPrice($B$1,E38,$B$27)</f>
        <v>126.91</v>
      </c>
      <c r="G38" s="31">
        <f t="shared" si="0"/>
        <v>126.91</v>
      </c>
      <c r="H38" s="88">
        <f>IF(_xll.CbondsStockTradingVolume($B$1,E38,$B$27) &lt;&gt; "Нет данных",_xll.CbondsStockTradingVolume($B$1,E38,$B$27),"0")</f>
        <v>3528633792.3000002</v>
      </c>
      <c r="I38" s="88">
        <f>IF(_xll.CbondsStockDealsNumber($B$1,E38,$B$27) &lt;&gt; "Нет данных",_xll.CbondsStockDealsNumber($B$1,E38,$B$27),"0")</f>
        <v>50132</v>
      </c>
      <c r="K38" s="88">
        <f>_xll.CbondsIndexValue(VLOOKUP($K$1,'Help Page'!$Q:$S,3,0),Calculation!E38)</f>
        <v>17665.919999999998</v>
      </c>
      <c r="L38" s="88">
        <f t="shared" si="1"/>
        <v>17665.919999999998</v>
      </c>
      <c r="M38" s="88">
        <f>_xll.CbondsIndexValue(VLOOKUP($M$1,'Help Page'!$Q:$S,3,0),Calculation!E38)</f>
        <v>7028.59</v>
      </c>
      <c r="N38" s="88">
        <f t="shared" si="2"/>
        <v>7028.59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L38" s="27" t="e">
        <f>VLOOKUP(AM38,'Help Page'!E:F,2,0)</f>
        <v>#N/A</v>
      </c>
      <c r="AM38" s="30"/>
      <c r="AN38" s="30"/>
      <c r="AO38" s="30"/>
      <c r="AP38" s="30"/>
      <c r="AQ38" s="30"/>
      <c r="AR38" s="30"/>
      <c r="AT38" s="27" t="e">
        <f>VLOOKUP(AU38,'Help Page'!E:F,2,0)</f>
        <v>#N/A</v>
      </c>
      <c r="AU38" s="27">
        <f t="shared" si="4"/>
        <v>0</v>
      </c>
      <c r="AV38" s="27">
        <f t="shared" si="5"/>
        <v>0</v>
      </c>
      <c r="AW38" s="27">
        <f t="shared" si="6"/>
        <v>0</v>
      </c>
      <c r="AX38" s="27">
        <f t="shared" si="7"/>
        <v>0</v>
      </c>
      <c r="AY38" s="43">
        <f t="shared" si="8"/>
        <v>0</v>
      </c>
      <c r="AZ38" s="27">
        <f t="shared" si="9"/>
        <v>0</v>
      </c>
      <c r="BU38" s="20"/>
    </row>
    <row r="39" spans="5:73" x14ac:dyDescent="0.3">
      <c r="E39" s="37">
        <f t="shared" si="3"/>
        <v>45986</v>
      </c>
      <c r="F39" s="30">
        <f>_xll.CbondsStockAvgPrice($B$1,E39,$B$27)</f>
        <v>127.17</v>
      </c>
      <c r="G39" s="31">
        <f t="shared" si="0"/>
        <v>127.17</v>
      </c>
      <c r="H39" s="88">
        <f>IF(_xll.CbondsStockTradingVolume($B$1,E39,$B$27) &lt;&gt; "Нет данных",_xll.CbondsStockTradingVolume($B$1,E39,$B$27),"0")</f>
        <v>12108817740.6</v>
      </c>
      <c r="I39" s="88">
        <f>IF(_xll.CbondsStockDealsNumber($B$1,E39,$B$27) &lt;&gt; "Нет данных",_xll.CbondsStockDealsNumber($B$1,E39,$B$27),"0")</f>
        <v>109339</v>
      </c>
      <c r="K39" s="88">
        <f>_xll.CbondsIndexValue(VLOOKUP($K$1,'Help Page'!$Q:$S,3,0),Calculation!E39)</f>
        <v>17788.09</v>
      </c>
      <c r="L39" s="88">
        <f t="shared" si="1"/>
        <v>17788.09</v>
      </c>
      <c r="M39" s="88">
        <f>_xll.CbondsIndexValue(VLOOKUP($M$1,'Help Page'!$Q:$S,3,0),Calculation!E39)</f>
        <v>7093.55</v>
      </c>
      <c r="N39" s="88">
        <f t="shared" si="2"/>
        <v>7093.55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L39" s="27" t="e">
        <f>VLOOKUP(AM39,'Help Page'!E:F,2,0)</f>
        <v>#N/A</v>
      </c>
      <c r="AM39" s="30"/>
      <c r="AN39" s="30"/>
      <c r="AO39" s="30"/>
      <c r="AP39" s="30"/>
      <c r="AQ39" s="30"/>
      <c r="AR39" s="30"/>
      <c r="AT39" s="27" t="e">
        <f>VLOOKUP(AU39,'Help Page'!E:F,2,0)</f>
        <v>#N/A</v>
      </c>
      <c r="AU39" s="27">
        <f t="shared" si="4"/>
        <v>0</v>
      </c>
      <c r="AV39" s="27">
        <f t="shared" si="5"/>
        <v>0</v>
      </c>
      <c r="AW39" s="27">
        <f t="shared" si="6"/>
        <v>0</v>
      </c>
      <c r="AX39" s="27">
        <f t="shared" si="7"/>
        <v>0</v>
      </c>
      <c r="AY39" s="43">
        <f t="shared" si="8"/>
        <v>0</v>
      </c>
      <c r="AZ39" s="27">
        <f t="shared" si="9"/>
        <v>0</v>
      </c>
      <c r="BU39" s="20"/>
    </row>
    <row r="40" spans="5:73" x14ac:dyDescent="0.3">
      <c r="E40" s="37">
        <f t="shared" si="3"/>
        <v>45985</v>
      </c>
      <c r="F40" s="30">
        <f>_xll.CbondsStockAvgPrice($B$1,E40,$B$27)</f>
        <v>127.12</v>
      </c>
      <c r="G40" s="31">
        <f t="shared" si="0"/>
        <v>127.12</v>
      </c>
      <c r="H40" s="88">
        <f>IF(_xll.CbondsStockTradingVolume($B$1,E40,$B$27) &lt;&gt; "Нет данных",_xll.CbondsStockTradingVolume($B$1,E40,$B$27),"0")</f>
        <v>11367320340.6</v>
      </c>
      <c r="I40" s="88">
        <f>IF(_xll.CbondsStockDealsNumber($B$1,E40,$B$27) &lt;&gt; "Нет данных",_xll.CbondsStockDealsNumber($B$1,E40,$B$27),"0")</f>
        <v>120471</v>
      </c>
      <c r="K40" s="88">
        <f>_xll.CbondsIndexValue(VLOOKUP($K$1,'Help Page'!$Q:$S,3,0),Calculation!E40)</f>
        <v>17580.48</v>
      </c>
      <c r="L40" s="88">
        <f t="shared" si="1"/>
        <v>17580.48</v>
      </c>
      <c r="M40" s="88">
        <f>_xll.CbondsIndexValue(VLOOKUP($M$1,'Help Page'!$Q:$S,3,0),Calculation!E40)</f>
        <v>7009.51</v>
      </c>
      <c r="N40" s="88">
        <f t="shared" si="2"/>
        <v>7009.51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L40" s="27" t="e">
        <f>VLOOKUP(AM40,'Help Page'!E:F,2,0)</f>
        <v>#N/A</v>
      </c>
      <c r="AM40" s="30"/>
      <c r="AN40" s="30"/>
      <c r="AO40" s="30"/>
      <c r="AP40" s="30"/>
      <c r="AQ40" s="30"/>
      <c r="AR40" s="30"/>
      <c r="AT40" s="27" t="e">
        <f>VLOOKUP(AU40,'Help Page'!E:F,2,0)</f>
        <v>#N/A</v>
      </c>
      <c r="AU40" s="27">
        <f t="shared" si="4"/>
        <v>0</v>
      </c>
      <c r="AV40" s="27">
        <f t="shared" si="5"/>
        <v>0</v>
      </c>
      <c r="AW40" s="27">
        <f t="shared" si="6"/>
        <v>0</v>
      </c>
      <c r="AX40" s="27">
        <f t="shared" si="7"/>
        <v>0</v>
      </c>
      <c r="AY40" s="43">
        <f t="shared" si="8"/>
        <v>0</v>
      </c>
      <c r="AZ40" s="27">
        <f t="shared" si="9"/>
        <v>0</v>
      </c>
      <c r="BU40" s="20"/>
    </row>
    <row r="41" spans="5:73" x14ac:dyDescent="0.3">
      <c r="E41" s="37">
        <f t="shared" si="3"/>
        <v>45984</v>
      </c>
      <c r="F41" s="30" t="str">
        <f>_xll.CbondsStockAvgPrice($B$1,E41,$B$27)</f>
        <v>Нет данных</v>
      </c>
      <c r="G41" s="31">
        <f t="shared" si="0"/>
        <v>127.09</v>
      </c>
      <c r="H41" s="88" t="str">
        <f>IF(_xll.CbondsStockTradingVolume($B$1,E41,$B$27) &lt;&gt; "Нет данных",_xll.CbondsStockTradingVolume($B$1,E41,$B$27),"0")</f>
        <v>0</v>
      </c>
      <c r="I41" s="88" t="str">
        <f>IF(_xll.CbondsStockDealsNumber($B$1,E41,$B$27) &lt;&gt; "Нет данных",_xll.CbondsStockDealsNumber($B$1,E41,$B$27),"0")</f>
        <v>0</v>
      </c>
      <c r="K41" s="88" t="str">
        <f>_xll.CbondsIndexValue(VLOOKUP($K$1,'Help Page'!$Q:$S,3,0),Calculation!E41)</f>
        <v>Нет данных</v>
      </c>
      <c r="L41" s="88">
        <f t="shared" si="1"/>
        <v>17794.91</v>
      </c>
      <c r="M41" s="88" t="str">
        <f>_xll.CbondsIndexValue(VLOOKUP($M$1,'Help Page'!$Q:$S,3,0),Calculation!E41)</f>
        <v>Нет данных</v>
      </c>
      <c r="N41" s="88">
        <f t="shared" si="2"/>
        <v>7111.03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L41" s="27" t="e">
        <f>VLOOKUP(AM41,'Help Page'!E:F,2,0)</f>
        <v>#N/A</v>
      </c>
      <c r="AM41" s="30"/>
      <c r="AN41" s="30"/>
      <c r="AO41" s="30"/>
      <c r="AP41" s="30"/>
      <c r="AQ41" s="30"/>
      <c r="AR41" s="30"/>
      <c r="AT41" s="27" t="e">
        <f>VLOOKUP(AU41,'Help Page'!E:F,2,0)</f>
        <v>#N/A</v>
      </c>
      <c r="AU41" s="27">
        <f t="shared" si="4"/>
        <v>0</v>
      </c>
      <c r="AV41" s="27">
        <f t="shared" si="5"/>
        <v>0</v>
      </c>
      <c r="AW41" s="27">
        <f t="shared" si="6"/>
        <v>0</v>
      </c>
      <c r="AX41" s="27">
        <f t="shared" si="7"/>
        <v>0</v>
      </c>
      <c r="AY41" s="43">
        <f t="shared" si="8"/>
        <v>0</v>
      </c>
      <c r="AZ41" s="27">
        <f t="shared" si="9"/>
        <v>0</v>
      </c>
      <c r="BU41" s="20"/>
    </row>
    <row r="42" spans="5:73" x14ac:dyDescent="0.3">
      <c r="E42" s="37">
        <f t="shared" si="3"/>
        <v>45983</v>
      </c>
      <c r="F42" s="30" t="str">
        <f>_xll.CbondsStockAvgPrice($B$1,E42,$B$27)</f>
        <v>Нет данных</v>
      </c>
      <c r="G42" s="31">
        <f t="shared" si="0"/>
        <v>127.09</v>
      </c>
      <c r="H42" s="88" t="str">
        <f>IF(_xll.CbondsStockTradingVolume($B$1,E42,$B$27) &lt;&gt; "Нет данных",_xll.CbondsStockTradingVolume($B$1,E42,$B$27),"0")</f>
        <v>0</v>
      </c>
      <c r="I42" s="88" t="str">
        <f>IF(_xll.CbondsStockDealsNumber($B$1,E42,$B$27) &lt;&gt; "Нет данных",_xll.CbondsStockDealsNumber($B$1,E42,$B$27),"0")</f>
        <v>0</v>
      </c>
      <c r="K42" s="88" t="str">
        <f>_xll.CbondsIndexValue(VLOOKUP($K$1,'Help Page'!$Q:$S,3,0),Calculation!E42)</f>
        <v>Нет данных</v>
      </c>
      <c r="L42" s="88">
        <f t="shared" si="1"/>
        <v>17794.91</v>
      </c>
      <c r="M42" s="88" t="str">
        <f>_xll.CbondsIndexValue(VLOOKUP($M$1,'Help Page'!$Q:$S,3,0),Calculation!E42)</f>
        <v>Нет данных</v>
      </c>
      <c r="N42" s="88">
        <f t="shared" si="2"/>
        <v>7111.03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L42" s="27" t="e">
        <f>VLOOKUP(AM42,'Help Page'!E:F,2,0)</f>
        <v>#N/A</v>
      </c>
      <c r="AM42" s="30"/>
      <c r="AN42" s="30"/>
      <c r="AO42" s="30"/>
      <c r="AP42" s="30"/>
      <c r="AQ42" s="30"/>
      <c r="AR42" s="30"/>
      <c r="AT42" s="27" t="e">
        <f>VLOOKUP(AU42,'Help Page'!E:F,2,0)</f>
        <v>#N/A</v>
      </c>
      <c r="AU42" s="27">
        <f t="shared" si="4"/>
        <v>0</v>
      </c>
      <c r="AV42" s="27">
        <f t="shared" si="5"/>
        <v>0</v>
      </c>
      <c r="AW42" s="27">
        <f t="shared" si="6"/>
        <v>0</v>
      </c>
      <c r="AX42" s="27">
        <f t="shared" si="7"/>
        <v>0</v>
      </c>
      <c r="AY42" s="43">
        <f t="shared" si="8"/>
        <v>0</v>
      </c>
      <c r="AZ42" s="27">
        <f t="shared" si="9"/>
        <v>0</v>
      </c>
      <c r="BU42" s="20"/>
    </row>
    <row r="43" spans="5:73" x14ac:dyDescent="0.3">
      <c r="E43" s="37">
        <f t="shared" si="3"/>
        <v>45982</v>
      </c>
      <c r="F43" s="30">
        <f>_xll.CbondsStockAvgPrice($B$1,E43,$B$27)</f>
        <v>127.09</v>
      </c>
      <c r="G43" s="31">
        <f t="shared" si="0"/>
        <v>127.09</v>
      </c>
      <c r="H43" s="88">
        <f>IF(_xll.CbondsStockTradingVolume($B$1,E43,$B$27) &lt;&gt; "Нет данных",_xll.CbondsStockTradingVolume($B$1,E43,$B$27),"0")</f>
        <v>12101623854.5</v>
      </c>
      <c r="I43" s="88">
        <f>IF(_xll.CbondsStockDealsNumber($B$1,E43,$B$27) &lt;&gt; "Нет данных",_xll.CbondsStockDealsNumber($B$1,E43,$B$27),"0")</f>
        <v>107870</v>
      </c>
      <c r="K43" s="88">
        <f>_xll.CbondsIndexValue(VLOOKUP($K$1,'Help Page'!$Q:$S,3,0),Calculation!E43)</f>
        <v>17794.91</v>
      </c>
      <c r="L43" s="88">
        <f t="shared" si="1"/>
        <v>17794.91</v>
      </c>
      <c r="M43" s="88">
        <f>_xll.CbondsIndexValue(VLOOKUP($M$1,'Help Page'!$Q:$S,3,0),Calculation!E43)</f>
        <v>7111.03</v>
      </c>
      <c r="N43" s="88">
        <f t="shared" si="2"/>
        <v>7111.03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L43" s="27" t="e">
        <f>VLOOKUP(AM43,'Help Page'!E:F,2,0)</f>
        <v>#N/A</v>
      </c>
      <c r="AM43" s="30"/>
      <c r="AN43" s="30"/>
      <c r="AO43" s="30"/>
      <c r="AP43" s="30"/>
      <c r="AQ43" s="30"/>
      <c r="AR43" s="30"/>
      <c r="AT43" s="27" t="e">
        <f>VLOOKUP(AU43,'Help Page'!E:F,2,0)</f>
        <v>#N/A</v>
      </c>
      <c r="AU43" s="27">
        <f t="shared" si="4"/>
        <v>0</v>
      </c>
      <c r="AV43" s="27">
        <f t="shared" si="5"/>
        <v>0</v>
      </c>
      <c r="AW43" s="27">
        <f t="shared" si="6"/>
        <v>0</v>
      </c>
      <c r="AX43" s="27">
        <f t="shared" si="7"/>
        <v>0</v>
      </c>
      <c r="AY43" s="43">
        <f t="shared" si="8"/>
        <v>0</v>
      </c>
      <c r="AZ43" s="27">
        <f t="shared" si="9"/>
        <v>0</v>
      </c>
      <c r="BU43" s="20"/>
    </row>
    <row r="44" spans="5:73" x14ac:dyDescent="0.3">
      <c r="E44" s="37">
        <f t="shared" si="3"/>
        <v>45981</v>
      </c>
      <c r="F44" s="30">
        <f>_xll.CbondsStockAvgPrice($B$1,E44,$B$27)</f>
        <v>125.85</v>
      </c>
      <c r="G44" s="31">
        <f t="shared" si="0"/>
        <v>125.85</v>
      </c>
      <c r="H44" s="88">
        <f>IF(_xll.CbondsStockTradingVolume($B$1,E44,$B$27) &lt;&gt; "Нет данных",_xll.CbondsStockTradingVolume($B$1,E44,$B$27),"0")</f>
        <v>16356586149</v>
      </c>
      <c r="I44" s="88">
        <f>IF(_xll.CbondsStockDealsNumber($B$1,E44,$B$27) &lt;&gt; "Нет данных",_xll.CbondsStockDealsNumber($B$1,E44,$B$27),"0")</f>
        <v>151642</v>
      </c>
      <c r="K44" s="88">
        <f>_xll.CbondsIndexValue(VLOOKUP($K$1,'Help Page'!$Q:$S,3,0),Calculation!E44)</f>
        <v>17417.96</v>
      </c>
      <c r="L44" s="88">
        <f t="shared" si="1"/>
        <v>17417.96</v>
      </c>
      <c r="M44" s="88">
        <f>_xll.CbondsIndexValue(VLOOKUP($M$1,'Help Page'!$Q:$S,3,0),Calculation!E44)</f>
        <v>6921.92</v>
      </c>
      <c r="N44" s="88">
        <f t="shared" si="2"/>
        <v>6921.92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L44" s="27" t="e">
        <f>VLOOKUP(AM44,'Help Page'!E:F,2,0)</f>
        <v>#N/A</v>
      </c>
      <c r="AM44" s="30"/>
      <c r="AN44" s="30"/>
      <c r="AO44" s="30"/>
      <c r="AP44" s="30"/>
      <c r="AQ44" s="30"/>
      <c r="AR44" s="30"/>
      <c r="AT44" s="27" t="e">
        <f>VLOOKUP(AU44,'Help Page'!E:F,2,0)</f>
        <v>#N/A</v>
      </c>
      <c r="AU44" s="27">
        <f t="shared" si="4"/>
        <v>0</v>
      </c>
      <c r="AV44" s="27">
        <f t="shared" si="5"/>
        <v>0</v>
      </c>
      <c r="AW44" s="27">
        <f t="shared" si="6"/>
        <v>0</v>
      </c>
      <c r="AX44" s="27">
        <f t="shared" si="7"/>
        <v>0</v>
      </c>
      <c r="AY44" s="43">
        <f t="shared" si="8"/>
        <v>0</v>
      </c>
      <c r="AZ44" s="27">
        <f t="shared" si="9"/>
        <v>0</v>
      </c>
      <c r="BU44" s="20"/>
    </row>
    <row r="45" spans="5:73" x14ac:dyDescent="0.3">
      <c r="E45" s="37">
        <f t="shared" si="3"/>
        <v>45980</v>
      </c>
      <c r="F45" s="30">
        <f>_xll.CbondsStockAvgPrice($B$1,E45,$B$27)</f>
        <v>124.4</v>
      </c>
      <c r="G45" s="31">
        <f t="shared" si="0"/>
        <v>124.4</v>
      </c>
      <c r="H45" s="88">
        <f>IF(_xll.CbondsStockTradingVolume($B$1,E45,$B$27) &lt;&gt; "Нет данных",_xll.CbondsStockTradingVolume($B$1,E45,$B$27),"0")</f>
        <v>18334888866.700001</v>
      </c>
      <c r="I45" s="88">
        <f>IF(_xll.CbondsStockDealsNumber($B$1,E45,$B$27) &lt;&gt; "Нет данных",_xll.CbondsStockDealsNumber($B$1,E45,$B$27),"0")</f>
        <v>183918</v>
      </c>
      <c r="K45" s="88">
        <f>_xll.CbondsIndexValue(VLOOKUP($K$1,'Help Page'!$Q:$S,3,0),Calculation!E45)</f>
        <v>17538.07</v>
      </c>
      <c r="L45" s="88">
        <f t="shared" si="1"/>
        <v>17538.07</v>
      </c>
      <c r="M45" s="88">
        <f>_xll.CbondsIndexValue(VLOOKUP($M$1,'Help Page'!$Q:$S,3,0),Calculation!E45)</f>
        <v>6970.04</v>
      </c>
      <c r="N45" s="88">
        <f t="shared" si="2"/>
        <v>6970.04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L45" s="27" t="e">
        <f>VLOOKUP(AM45,'Help Page'!E:F,2,0)</f>
        <v>#N/A</v>
      </c>
      <c r="AM45" s="30"/>
      <c r="AN45" s="30"/>
      <c r="AO45" s="30"/>
      <c r="AP45" s="30"/>
      <c r="AQ45" s="30"/>
      <c r="AR45" s="30"/>
      <c r="AT45" s="27" t="e">
        <f>VLOOKUP(AU45,'Help Page'!E:F,2,0)</f>
        <v>#N/A</v>
      </c>
      <c r="AU45" s="27">
        <f t="shared" si="4"/>
        <v>0</v>
      </c>
      <c r="AV45" s="27">
        <f t="shared" si="5"/>
        <v>0</v>
      </c>
      <c r="AW45" s="27">
        <f t="shared" si="6"/>
        <v>0</v>
      </c>
      <c r="AX45" s="27">
        <f t="shared" si="7"/>
        <v>0</v>
      </c>
      <c r="AY45" s="43">
        <f t="shared" si="8"/>
        <v>0</v>
      </c>
      <c r="AZ45" s="27">
        <f t="shared" si="9"/>
        <v>0</v>
      </c>
      <c r="BU45" s="20"/>
    </row>
    <row r="46" spans="5:73" x14ac:dyDescent="0.3">
      <c r="E46" s="37">
        <f t="shared" si="3"/>
        <v>45979</v>
      </c>
      <c r="F46" s="30">
        <f>_xll.CbondsStockAvgPrice($B$1,E46,$B$27)</f>
        <v>121.17</v>
      </c>
      <c r="G46" s="31">
        <f t="shared" si="0"/>
        <v>121.17</v>
      </c>
      <c r="H46" s="88">
        <f>IF(_xll.CbondsStockTradingVolume($B$1,E46,$B$27) &lt;&gt; "Нет данных",_xll.CbondsStockTradingVolume($B$1,E46,$B$27),"0")</f>
        <v>11526862799.5</v>
      </c>
      <c r="I46" s="88">
        <f>IF(_xll.CbondsStockDealsNumber($B$1,E46,$B$27) &lt;&gt; "Нет данных",_xll.CbondsStockDealsNumber($B$1,E46,$B$27),"0")</f>
        <v>124883</v>
      </c>
      <c r="K46" s="88">
        <f>_xll.CbondsIndexValue(VLOOKUP($K$1,'Help Page'!$Q:$S,3,0),Calculation!E46)</f>
        <v>16960.41</v>
      </c>
      <c r="L46" s="88">
        <f t="shared" si="1"/>
        <v>16960.41</v>
      </c>
      <c r="M46" s="88">
        <f>_xll.CbondsIndexValue(VLOOKUP($M$1,'Help Page'!$Q:$S,3,0),Calculation!E46)</f>
        <v>6690.75</v>
      </c>
      <c r="N46" s="88">
        <f t="shared" si="2"/>
        <v>6690.75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L46" s="27" t="e">
        <f>VLOOKUP(AM46,'Help Page'!E:F,2,0)</f>
        <v>#N/A</v>
      </c>
      <c r="AM46" s="30"/>
      <c r="AN46" s="30"/>
      <c r="AO46" s="30"/>
      <c r="AP46" s="30"/>
      <c r="AQ46" s="30"/>
      <c r="AR46" s="30"/>
      <c r="AT46" s="27" t="e">
        <f>VLOOKUP(AU46,'Help Page'!E:F,2,0)</f>
        <v>#N/A</v>
      </c>
      <c r="AU46" s="27">
        <f t="shared" si="4"/>
        <v>0</v>
      </c>
      <c r="AV46" s="27">
        <f t="shared" si="5"/>
        <v>0</v>
      </c>
      <c r="AW46" s="27">
        <f t="shared" si="6"/>
        <v>0</v>
      </c>
      <c r="AX46" s="27">
        <f t="shared" si="7"/>
        <v>0</v>
      </c>
      <c r="AY46" s="43">
        <f t="shared" si="8"/>
        <v>0</v>
      </c>
      <c r="AZ46" s="27">
        <f t="shared" si="9"/>
        <v>0</v>
      </c>
      <c r="BU46" s="20"/>
    </row>
    <row r="47" spans="5:73" x14ac:dyDescent="0.3">
      <c r="E47" s="37">
        <f t="shared" si="3"/>
        <v>45978</v>
      </c>
      <c r="F47" s="30">
        <f>_xll.CbondsStockAvgPrice($B$1,E47,$B$27)</f>
        <v>118.55</v>
      </c>
      <c r="G47" s="31">
        <f t="shared" si="0"/>
        <v>118.55</v>
      </c>
      <c r="H47" s="88">
        <f>IF(_xll.CbondsStockTradingVolume($B$1,E47,$B$27) &lt;&gt; "Нет данных",_xll.CbondsStockTradingVolume($B$1,E47,$B$27),"0")</f>
        <v>5297064965.6999998</v>
      </c>
      <c r="I47" s="88">
        <f>IF(_xll.CbondsStockDealsNumber($B$1,E47,$B$27) &lt;&gt; "Нет данных",_xll.CbondsStockDealsNumber($B$1,E47,$B$27),"0")</f>
        <v>77057</v>
      </c>
      <c r="K47" s="88">
        <f>_xll.CbondsIndexValue(VLOOKUP($K$1,'Help Page'!$Q:$S,3,0),Calculation!E47)</f>
        <v>16581.93</v>
      </c>
      <c r="L47" s="88">
        <f t="shared" si="1"/>
        <v>16581.93</v>
      </c>
      <c r="M47" s="88">
        <f>_xll.CbondsIndexValue(VLOOKUP($M$1,'Help Page'!$Q:$S,3,0),Calculation!E47)</f>
        <v>6509.81</v>
      </c>
      <c r="N47" s="88">
        <f t="shared" si="2"/>
        <v>6509.81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L47" s="27" t="e">
        <f>VLOOKUP(AM47,'Help Page'!E:F,2,0)</f>
        <v>#N/A</v>
      </c>
      <c r="AM47" s="30"/>
      <c r="AN47" s="30"/>
      <c r="AO47" s="30"/>
      <c r="AP47" s="30"/>
      <c r="AQ47" s="30"/>
      <c r="AR47" s="30"/>
      <c r="AT47" s="27" t="e">
        <f>VLOOKUP(AU47,'Help Page'!E:F,2,0)</f>
        <v>#N/A</v>
      </c>
      <c r="AU47" s="27">
        <f t="shared" si="4"/>
        <v>0</v>
      </c>
      <c r="AV47" s="27">
        <f t="shared" si="5"/>
        <v>0</v>
      </c>
      <c r="AW47" s="27">
        <f t="shared" si="6"/>
        <v>0</v>
      </c>
      <c r="AX47" s="27">
        <f t="shared" si="7"/>
        <v>0</v>
      </c>
      <c r="AY47" s="43">
        <f t="shared" si="8"/>
        <v>0</v>
      </c>
      <c r="AZ47" s="27">
        <f t="shared" si="9"/>
        <v>0</v>
      </c>
      <c r="BU47" s="20"/>
    </row>
    <row r="48" spans="5:73" x14ac:dyDescent="0.3">
      <c r="E48" s="37">
        <f t="shared" si="3"/>
        <v>45977</v>
      </c>
      <c r="F48" s="30" t="str">
        <f>_xll.CbondsStockAvgPrice($B$1,E48,$B$27)</f>
        <v>Нет данных</v>
      </c>
      <c r="G48" s="31">
        <f t="shared" si="0"/>
        <v>118.53</v>
      </c>
      <c r="H48" s="88" t="str">
        <f>IF(_xll.CbondsStockTradingVolume($B$1,E48,$B$27) &lt;&gt; "Нет данных",_xll.CbondsStockTradingVolume($B$1,E48,$B$27),"0")</f>
        <v>0</v>
      </c>
      <c r="I48" s="88" t="str">
        <f>IF(_xll.CbondsStockDealsNumber($B$1,E48,$B$27) &lt;&gt; "Нет данных",_xll.CbondsStockDealsNumber($B$1,E48,$B$27),"0")</f>
        <v>0</v>
      </c>
      <c r="K48" s="88" t="str">
        <f>_xll.CbondsIndexValue(VLOOKUP($K$1,'Help Page'!$Q:$S,3,0),Calculation!E48)</f>
        <v>Нет данных</v>
      </c>
      <c r="L48" s="88">
        <f t="shared" si="1"/>
        <v>16701.71</v>
      </c>
      <c r="M48" s="88" t="str">
        <f>_xll.CbondsIndexValue(VLOOKUP($M$1,'Help Page'!$Q:$S,3,0),Calculation!E48)</f>
        <v>Нет данных</v>
      </c>
      <c r="N48" s="88">
        <f t="shared" si="2"/>
        <v>6541.53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L48" s="27" t="e">
        <f>VLOOKUP(AM48,'Help Page'!E:F,2,0)</f>
        <v>#N/A</v>
      </c>
      <c r="AM48" s="30"/>
      <c r="AN48" s="30"/>
      <c r="AO48" s="30"/>
      <c r="AP48" s="30"/>
      <c r="AQ48" s="30"/>
      <c r="AR48" s="30"/>
      <c r="AT48" s="27" t="e">
        <f>VLOOKUP(AU48,'Help Page'!E:F,2,0)</f>
        <v>#N/A</v>
      </c>
      <c r="AU48" s="27">
        <f t="shared" si="4"/>
        <v>0</v>
      </c>
      <c r="AV48" s="27">
        <f t="shared" si="5"/>
        <v>0</v>
      </c>
      <c r="AW48" s="27">
        <f t="shared" si="6"/>
        <v>0</v>
      </c>
      <c r="AX48" s="27">
        <f t="shared" si="7"/>
        <v>0</v>
      </c>
      <c r="AY48" s="43">
        <f t="shared" si="8"/>
        <v>0</v>
      </c>
      <c r="AZ48" s="27">
        <f t="shared" si="9"/>
        <v>0</v>
      </c>
      <c r="BU48" s="20"/>
    </row>
    <row r="49" spans="5:73" x14ac:dyDescent="0.3">
      <c r="E49" s="37">
        <f t="shared" si="3"/>
        <v>45976</v>
      </c>
      <c r="F49" s="30" t="str">
        <f>_xll.CbondsStockAvgPrice($B$1,E49,$B$27)</f>
        <v>Нет данных</v>
      </c>
      <c r="G49" s="31">
        <f t="shared" si="0"/>
        <v>118.53</v>
      </c>
      <c r="H49" s="88" t="str">
        <f>IF(_xll.CbondsStockTradingVolume($B$1,E49,$B$27) &lt;&gt; "Нет данных",_xll.CbondsStockTradingVolume($B$1,E49,$B$27),"0")</f>
        <v>0</v>
      </c>
      <c r="I49" s="88" t="str">
        <f>IF(_xll.CbondsStockDealsNumber($B$1,E49,$B$27) &lt;&gt; "Нет данных",_xll.CbondsStockDealsNumber($B$1,E49,$B$27),"0")</f>
        <v>0</v>
      </c>
      <c r="K49" s="88" t="str">
        <f>_xll.CbondsIndexValue(VLOOKUP($K$1,'Help Page'!$Q:$S,3,0),Calculation!E49)</f>
        <v>Нет данных</v>
      </c>
      <c r="L49" s="88">
        <f t="shared" si="1"/>
        <v>16701.71</v>
      </c>
      <c r="M49" s="88" t="str">
        <f>_xll.CbondsIndexValue(VLOOKUP($M$1,'Help Page'!$Q:$S,3,0),Calculation!E49)</f>
        <v>Нет данных</v>
      </c>
      <c r="N49" s="88">
        <f t="shared" si="2"/>
        <v>6541.53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L49" s="27" t="e">
        <f>VLOOKUP(AM49,'Help Page'!E:F,2,0)</f>
        <v>#N/A</v>
      </c>
      <c r="AM49" s="30"/>
      <c r="AN49" s="30"/>
      <c r="AO49" s="30"/>
      <c r="AP49" s="30"/>
      <c r="AQ49" s="30"/>
      <c r="AR49" s="30"/>
      <c r="AT49" s="27" t="e">
        <f>VLOOKUP(AU49,'Help Page'!E:F,2,0)</f>
        <v>#N/A</v>
      </c>
      <c r="AU49" s="27">
        <f t="shared" si="4"/>
        <v>0</v>
      </c>
      <c r="AV49" s="27">
        <f t="shared" si="5"/>
        <v>0</v>
      </c>
      <c r="AW49" s="27">
        <f t="shared" si="6"/>
        <v>0</v>
      </c>
      <c r="AX49" s="27">
        <f t="shared" si="7"/>
        <v>0</v>
      </c>
      <c r="AY49" s="43">
        <f t="shared" si="8"/>
        <v>0</v>
      </c>
      <c r="AZ49" s="27">
        <f t="shared" si="9"/>
        <v>0</v>
      </c>
      <c r="BU49" s="20"/>
    </row>
    <row r="50" spans="5:73" x14ac:dyDescent="0.3">
      <c r="E50" s="37">
        <f t="shared" si="3"/>
        <v>45975</v>
      </c>
      <c r="F50" s="30">
        <f>_xll.CbondsStockAvgPrice($B$1,E50,$B$27)</f>
        <v>118.53</v>
      </c>
      <c r="G50" s="31">
        <f t="shared" si="0"/>
        <v>118.53</v>
      </c>
      <c r="H50" s="88">
        <f>IF(_xll.CbondsStockTradingVolume($B$1,E50,$B$27) &lt;&gt; "Нет данных",_xll.CbondsStockTradingVolume($B$1,E50,$B$27),"0")</f>
        <v>3672423205.5</v>
      </c>
      <c r="I50" s="88">
        <f>IF(_xll.CbondsStockDealsNumber($B$1,E50,$B$27) &lt;&gt; "Нет данных",_xll.CbondsStockDealsNumber($B$1,E50,$B$27),"0")</f>
        <v>47346</v>
      </c>
      <c r="K50" s="88">
        <f>_xll.CbondsIndexValue(VLOOKUP($K$1,'Help Page'!$Q:$S,3,0),Calculation!E50)</f>
        <v>16701.71</v>
      </c>
      <c r="L50" s="88">
        <f t="shared" si="1"/>
        <v>16701.71</v>
      </c>
      <c r="M50" s="88">
        <f>_xll.CbondsIndexValue(VLOOKUP($M$1,'Help Page'!$Q:$S,3,0),Calculation!E50)</f>
        <v>6541.53</v>
      </c>
      <c r="N50" s="88">
        <f t="shared" si="2"/>
        <v>6541.53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L50" s="27" t="e">
        <f>VLOOKUP(AM50,'Help Page'!E:F,2,0)</f>
        <v>#N/A</v>
      </c>
      <c r="AM50" s="30"/>
      <c r="AN50" s="30"/>
      <c r="AO50" s="30"/>
      <c r="AP50" s="30"/>
      <c r="AQ50" s="30"/>
      <c r="AR50" s="30"/>
      <c r="AT50" s="27" t="e">
        <f>VLOOKUP(AU50,'Help Page'!E:F,2,0)</f>
        <v>#N/A</v>
      </c>
      <c r="AU50" s="27">
        <f t="shared" si="4"/>
        <v>0</v>
      </c>
      <c r="AV50" s="27">
        <f t="shared" si="5"/>
        <v>0</v>
      </c>
      <c r="AW50" s="27">
        <f t="shared" si="6"/>
        <v>0</v>
      </c>
      <c r="AX50" s="27">
        <f t="shared" si="7"/>
        <v>0</v>
      </c>
      <c r="AY50" s="43">
        <f t="shared" si="8"/>
        <v>0</v>
      </c>
      <c r="AZ50" s="27">
        <f t="shared" si="9"/>
        <v>0</v>
      </c>
      <c r="BU50" s="20"/>
    </row>
    <row r="51" spans="5:73" x14ac:dyDescent="0.3">
      <c r="E51" s="37">
        <f t="shared" si="3"/>
        <v>45974</v>
      </c>
      <c r="F51" s="30">
        <f>_xll.CbondsStockAvgPrice($B$1,E51,$B$27)</f>
        <v>119.31</v>
      </c>
      <c r="G51" s="31">
        <f t="shared" si="0"/>
        <v>119.31</v>
      </c>
      <c r="H51" s="88">
        <f>IF(_xll.CbondsStockTradingVolume($B$1,E51,$B$27) &lt;&gt; "Нет данных",_xll.CbondsStockTradingVolume($B$1,E51,$B$27),"0")</f>
        <v>3193990783.8000002</v>
      </c>
      <c r="I51" s="88">
        <f>IF(_xll.CbondsStockDealsNumber($B$1,E51,$B$27) &lt;&gt; "Нет данных",_xll.CbondsStockDealsNumber($B$1,E51,$B$27),"0")</f>
        <v>50603</v>
      </c>
      <c r="K51" s="88">
        <f>_xll.CbondsIndexValue(VLOOKUP($K$1,'Help Page'!$Q:$S,3,0),Calculation!E51)</f>
        <v>16828.96</v>
      </c>
      <c r="L51" s="88">
        <f t="shared" si="1"/>
        <v>16828.96</v>
      </c>
      <c r="M51" s="88">
        <f>_xll.CbondsIndexValue(VLOOKUP($M$1,'Help Page'!$Q:$S,3,0),Calculation!E51)</f>
        <v>6571.03</v>
      </c>
      <c r="N51" s="88">
        <f t="shared" si="2"/>
        <v>6571.03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L51" s="27" t="e">
        <f>VLOOKUP(AM51,'Help Page'!E:F,2,0)</f>
        <v>#N/A</v>
      </c>
      <c r="AM51" s="30"/>
      <c r="AN51" s="30"/>
      <c r="AO51" s="30"/>
      <c r="AP51" s="30"/>
      <c r="AQ51" s="30"/>
      <c r="AR51" s="30"/>
      <c r="AT51" s="27" t="e">
        <f>VLOOKUP(AU51,'Help Page'!E:F,2,0)</f>
        <v>#N/A</v>
      </c>
      <c r="AU51" s="27">
        <f t="shared" si="4"/>
        <v>0</v>
      </c>
      <c r="AV51" s="27">
        <f t="shared" si="5"/>
        <v>0</v>
      </c>
      <c r="AW51" s="27">
        <f t="shared" si="6"/>
        <v>0</v>
      </c>
      <c r="AX51" s="27">
        <f t="shared" si="7"/>
        <v>0</v>
      </c>
      <c r="AY51" s="43">
        <f t="shared" si="8"/>
        <v>0</v>
      </c>
      <c r="AZ51" s="27">
        <f t="shared" si="9"/>
        <v>0</v>
      </c>
      <c r="BU51" s="20"/>
    </row>
    <row r="52" spans="5:73" x14ac:dyDescent="0.3">
      <c r="E52" s="37">
        <f t="shared" si="3"/>
        <v>45973</v>
      </c>
      <c r="F52" s="30">
        <f>_xll.CbondsStockAvgPrice($B$1,E52,$B$27)</f>
        <v>119.9</v>
      </c>
      <c r="G52" s="31">
        <f t="shared" si="0"/>
        <v>119.9</v>
      </c>
      <c r="H52" s="88">
        <f>IF(_xll.CbondsStockTradingVolume($B$1,E52,$B$27) &lt;&gt; "Нет данных",_xll.CbondsStockTradingVolume($B$1,E52,$B$27),"0")</f>
        <v>4937319920.6999998</v>
      </c>
      <c r="I52" s="88">
        <f>IF(_xll.CbondsStockDealsNumber($B$1,E52,$B$27) &lt;&gt; "Нет данных",_xll.CbondsStockDealsNumber($B$1,E52,$B$27),"0")</f>
        <v>70956</v>
      </c>
      <c r="K52" s="88">
        <f>_xll.CbondsIndexValue(VLOOKUP($K$1,'Help Page'!$Q:$S,3,0),Calculation!E52)</f>
        <v>16772.5</v>
      </c>
      <c r="L52" s="88">
        <f t="shared" si="1"/>
        <v>16772.5</v>
      </c>
      <c r="M52" s="88">
        <f>_xll.CbondsIndexValue(VLOOKUP($M$1,'Help Page'!$Q:$S,3,0),Calculation!E52)</f>
        <v>6567.09</v>
      </c>
      <c r="N52" s="88">
        <f t="shared" si="2"/>
        <v>6567.09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L52" s="27" t="e">
        <f>VLOOKUP(AM52,'Help Page'!E:F,2,0)</f>
        <v>#N/A</v>
      </c>
      <c r="AM52" s="30"/>
      <c r="AN52" s="30"/>
      <c r="AO52" s="30"/>
      <c r="AP52" s="30"/>
      <c r="AQ52" s="30"/>
      <c r="AR52" s="30"/>
      <c r="AT52" s="27" t="e">
        <f>VLOOKUP(AU52,'Help Page'!E:F,2,0)</f>
        <v>#N/A</v>
      </c>
      <c r="AU52" s="27">
        <f t="shared" si="4"/>
        <v>0</v>
      </c>
      <c r="AV52" s="27">
        <f t="shared" si="5"/>
        <v>0</v>
      </c>
      <c r="AW52" s="27">
        <f t="shared" si="6"/>
        <v>0</v>
      </c>
      <c r="AX52" s="27">
        <f t="shared" si="7"/>
        <v>0</v>
      </c>
      <c r="AY52" s="43">
        <f t="shared" si="8"/>
        <v>0</v>
      </c>
      <c r="AZ52" s="27">
        <f t="shared" si="9"/>
        <v>0</v>
      </c>
      <c r="BU52" s="20"/>
    </row>
    <row r="53" spans="5:73" x14ac:dyDescent="0.3">
      <c r="E53" s="37">
        <f t="shared" si="3"/>
        <v>45972</v>
      </c>
      <c r="F53" s="30">
        <f>_xll.CbondsStockAvgPrice($B$1,E53,$B$27)</f>
        <v>120.51</v>
      </c>
      <c r="G53" s="31">
        <f t="shared" si="0"/>
        <v>120.51</v>
      </c>
      <c r="H53" s="88">
        <f>IF(_xll.CbondsStockTradingVolume($B$1,E53,$B$27) &lt;&gt; "Нет данных",_xll.CbondsStockTradingVolume($B$1,E53,$B$27),"0")</f>
        <v>4425798543.6999998</v>
      </c>
      <c r="I53" s="88">
        <f>IF(_xll.CbondsStockDealsNumber($B$1,E53,$B$27) &lt;&gt; "Нет данных",_xll.CbondsStockDealsNumber($B$1,E53,$B$27),"0")</f>
        <v>55099</v>
      </c>
      <c r="K53" s="88">
        <f>_xll.CbondsIndexValue(VLOOKUP($K$1,'Help Page'!$Q:$S,3,0),Calculation!E53)</f>
        <v>16956.919999999998</v>
      </c>
      <c r="L53" s="88">
        <f t="shared" si="1"/>
        <v>16956.919999999998</v>
      </c>
      <c r="M53" s="88">
        <f>_xll.CbondsIndexValue(VLOOKUP($M$1,'Help Page'!$Q:$S,3,0),Calculation!E53)</f>
        <v>6650.58</v>
      </c>
      <c r="N53" s="88">
        <f t="shared" si="2"/>
        <v>6650.58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L53" s="27" t="e">
        <f>VLOOKUP(AM53,'Help Page'!E:F,2,0)</f>
        <v>#N/A</v>
      </c>
      <c r="AM53" s="30"/>
      <c r="AN53" s="30"/>
      <c r="AO53" s="30"/>
      <c r="AP53" s="30"/>
      <c r="AQ53" s="30"/>
      <c r="AR53" s="30"/>
      <c r="AT53" s="27" t="e">
        <f>VLOOKUP(AU53,'Help Page'!E:F,2,0)</f>
        <v>#N/A</v>
      </c>
      <c r="AU53" s="27">
        <f t="shared" si="4"/>
        <v>0</v>
      </c>
      <c r="AV53" s="27">
        <f t="shared" si="5"/>
        <v>0</v>
      </c>
      <c r="AW53" s="27">
        <f t="shared" si="6"/>
        <v>0</v>
      </c>
      <c r="AX53" s="27">
        <f t="shared" si="7"/>
        <v>0</v>
      </c>
      <c r="AY53" s="43">
        <f t="shared" si="8"/>
        <v>0</v>
      </c>
      <c r="AZ53" s="27">
        <f t="shared" si="9"/>
        <v>0</v>
      </c>
      <c r="BU53" s="20"/>
    </row>
    <row r="54" spans="5:73" x14ac:dyDescent="0.3">
      <c r="E54" s="37">
        <f t="shared" si="3"/>
        <v>45971</v>
      </c>
      <c r="F54" s="30">
        <f>_xll.CbondsStockAvgPrice($B$1,E54,$B$27)</f>
        <v>121.12</v>
      </c>
      <c r="G54" s="31">
        <f t="shared" si="0"/>
        <v>121.12</v>
      </c>
      <c r="H54" s="88">
        <f>IF(_xll.CbondsStockTradingVolume($B$1,E54,$B$27) &lt;&gt; "Нет данных",_xll.CbondsStockTradingVolume($B$1,E54,$B$27),"0")</f>
        <v>8623376631</v>
      </c>
      <c r="I54" s="88">
        <f>IF(_xll.CbondsStockDealsNumber($B$1,E54,$B$27) &lt;&gt; "Нет данных",_xll.CbondsStockDealsNumber($B$1,E54,$B$27),"0")</f>
        <v>128009</v>
      </c>
      <c r="K54" s="88">
        <f>_xll.CbondsIndexValue(VLOOKUP($K$1,'Help Page'!$Q:$S,3,0),Calculation!E54)</f>
        <v>16906.96</v>
      </c>
      <c r="L54" s="88">
        <f t="shared" si="1"/>
        <v>16906.96</v>
      </c>
      <c r="M54" s="88">
        <f>_xll.CbondsIndexValue(VLOOKUP($M$1,'Help Page'!$Q:$S,3,0),Calculation!E54)</f>
        <v>6630.11</v>
      </c>
      <c r="N54" s="88">
        <f t="shared" si="2"/>
        <v>6630.11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M54" s="35"/>
      <c r="AN54" s="35"/>
      <c r="AO54" s="35"/>
      <c r="AP54" s="35"/>
      <c r="AQ54" s="35"/>
      <c r="AR54" s="35"/>
      <c r="BU54" s="20"/>
    </row>
    <row r="55" spans="5:73" x14ac:dyDescent="0.3">
      <c r="E55" s="37">
        <f t="shared" si="3"/>
        <v>45970</v>
      </c>
      <c r="F55" s="30" t="str">
        <f>_xll.CbondsStockAvgPrice($B$1,E55,$B$27)</f>
        <v>Нет данных</v>
      </c>
      <c r="G55" s="31">
        <f t="shared" si="0"/>
        <v>119.79</v>
      </c>
      <c r="H55" s="88" t="str">
        <f>IF(_xll.CbondsStockTradingVolume($B$1,E55,$B$27) &lt;&gt; "Нет данных",_xll.CbondsStockTradingVolume($B$1,E55,$B$27),"0")</f>
        <v>0</v>
      </c>
      <c r="I55" s="88" t="str">
        <f>IF(_xll.CbondsStockDealsNumber($B$1,E55,$B$27) &lt;&gt; "Нет данных",_xll.CbondsStockDealsNumber($B$1,E55,$B$27),"0")</f>
        <v>0</v>
      </c>
      <c r="K55" s="88" t="str">
        <f>_xll.CbondsIndexValue(VLOOKUP($K$1,'Help Page'!$Q:$S,3,0),Calculation!E55)</f>
        <v>Нет данных</v>
      </c>
      <c r="L55" s="88">
        <f t="shared" si="1"/>
        <v>16952.759999999998</v>
      </c>
      <c r="M55" s="88" t="str">
        <f>_xll.CbondsIndexValue(VLOOKUP($M$1,'Help Page'!$Q:$S,3,0),Calculation!E55)</f>
        <v>Нет данных</v>
      </c>
      <c r="N55" s="88">
        <f t="shared" si="2"/>
        <v>6690.55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M55" s="35"/>
      <c r="AN55" s="35"/>
      <c r="AO55" s="35"/>
      <c r="AP55" s="35"/>
      <c r="AQ55" s="35"/>
      <c r="AR55" s="35"/>
      <c r="BU55" s="20"/>
    </row>
    <row r="56" spans="5:73" x14ac:dyDescent="0.3">
      <c r="E56" s="37">
        <f t="shared" si="3"/>
        <v>45969</v>
      </c>
      <c r="F56" s="30" t="str">
        <f>_xll.CbondsStockAvgPrice($B$1,E56,$B$27)</f>
        <v>Нет данных</v>
      </c>
      <c r="G56" s="31">
        <f t="shared" si="0"/>
        <v>119.79</v>
      </c>
      <c r="H56" s="88" t="str">
        <f>IF(_xll.CbondsStockTradingVolume($B$1,E56,$B$27) &lt;&gt; "Нет данных",_xll.CbondsStockTradingVolume($B$1,E56,$B$27),"0")</f>
        <v>0</v>
      </c>
      <c r="I56" s="88" t="str">
        <f>IF(_xll.CbondsStockDealsNumber($B$1,E56,$B$27) &lt;&gt; "Нет данных",_xll.CbondsStockDealsNumber($B$1,E56,$B$27),"0")</f>
        <v>0</v>
      </c>
      <c r="K56" s="88" t="str">
        <f>_xll.CbondsIndexValue(VLOOKUP($K$1,'Help Page'!$Q:$S,3,0),Calculation!E56)</f>
        <v>Нет данных</v>
      </c>
      <c r="L56" s="88">
        <f t="shared" si="1"/>
        <v>16952.759999999998</v>
      </c>
      <c r="M56" s="88" t="str">
        <f>_xll.CbondsIndexValue(VLOOKUP($M$1,'Help Page'!$Q:$S,3,0),Calculation!E56)</f>
        <v>Нет данных</v>
      </c>
      <c r="N56" s="88">
        <f t="shared" si="2"/>
        <v>6690.55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M56" s="35"/>
      <c r="AN56" s="35"/>
      <c r="AO56" s="35"/>
      <c r="AP56" s="35"/>
      <c r="AQ56" s="35"/>
      <c r="AR56" s="35"/>
      <c r="BU56" s="20"/>
    </row>
    <row r="57" spans="5:73" x14ac:dyDescent="0.3">
      <c r="E57" s="37">
        <f t="shared" si="3"/>
        <v>45968</v>
      </c>
      <c r="F57" s="30">
        <f>_xll.CbondsStockAvgPrice($B$1,E57,$B$27)</f>
        <v>119.79</v>
      </c>
      <c r="G57" s="31">
        <f t="shared" si="0"/>
        <v>119.79</v>
      </c>
      <c r="H57" s="88">
        <f>IF(_xll.CbondsStockTradingVolume($B$1,E57,$B$27) &lt;&gt; "Нет данных",_xll.CbondsStockTradingVolume($B$1,E57,$B$27),"0")</f>
        <v>9973300025.2000008</v>
      </c>
      <c r="I57" s="88">
        <f>IF(_xll.CbondsStockDealsNumber($B$1,E57,$B$27) &lt;&gt; "Нет данных",_xll.CbondsStockDealsNumber($B$1,E57,$B$27),"0")</f>
        <v>116914</v>
      </c>
      <c r="K57" s="88">
        <f>_xll.CbondsIndexValue(VLOOKUP($K$1,'Help Page'!$Q:$S,3,0),Calculation!E57)</f>
        <v>16952.759999999998</v>
      </c>
      <c r="L57" s="88">
        <f t="shared" si="1"/>
        <v>16952.759999999998</v>
      </c>
      <c r="M57" s="88">
        <f>_xll.CbondsIndexValue(VLOOKUP($M$1,'Help Page'!$Q:$S,3,0),Calculation!E57)</f>
        <v>6690.55</v>
      </c>
      <c r="N57" s="88">
        <f t="shared" si="2"/>
        <v>6690.55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M57" s="35"/>
      <c r="AN57" s="35"/>
      <c r="AO57" s="35"/>
      <c r="AP57" s="35"/>
      <c r="AQ57" s="35"/>
      <c r="AR57" s="35"/>
      <c r="BU57" s="20"/>
    </row>
    <row r="58" spans="5:73" x14ac:dyDescent="0.3">
      <c r="E58" s="37">
        <f t="shared" si="3"/>
        <v>45967</v>
      </c>
      <c r="F58" s="30">
        <f>_xll.CbondsStockAvgPrice($B$1,E58,$B$27)</f>
        <v>116.76</v>
      </c>
      <c r="G58" s="31">
        <f t="shared" si="0"/>
        <v>116.76</v>
      </c>
      <c r="H58" s="88">
        <f>IF(_xll.CbondsStockTradingVolume($B$1,E58,$B$27) &lt;&gt; "Нет данных",_xll.CbondsStockTradingVolume($B$1,E58,$B$27),"0")</f>
        <v>2686293882.5999999</v>
      </c>
      <c r="I58" s="88">
        <f>IF(_xll.CbondsStockDealsNumber($B$1,E58,$B$27) &lt;&gt; "Нет данных",_xll.CbondsStockDealsNumber($B$1,E58,$B$27),"0")</f>
        <v>39170</v>
      </c>
      <c r="K58" s="88">
        <f>_xll.CbondsIndexValue(VLOOKUP($K$1,'Help Page'!$Q:$S,3,0),Calculation!E58)</f>
        <v>16785.009999999998</v>
      </c>
      <c r="L58" s="88">
        <f t="shared" si="1"/>
        <v>16785.009999999998</v>
      </c>
      <c r="M58" s="88">
        <f>_xll.CbondsIndexValue(VLOOKUP($M$1,'Help Page'!$Q:$S,3,0),Calculation!E58)</f>
        <v>6603</v>
      </c>
      <c r="N58" s="88">
        <f t="shared" si="2"/>
        <v>6603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M58" s="35"/>
      <c r="AN58" s="35"/>
      <c r="AO58" s="35"/>
      <c r="AP58" s="35"/>
      <c r="AQ58" s="35"/>
      <c r="AR58" s="35"/>
      <c r="BU58" s="20"/>
    </row>
    <row r="59" spans="5:73" x14ac:dyDescent="0.3">
      <c r="E59" s="37">
        <f t="shared" si="3"/>
        <v>45966</v>
      </c>
      <c r="F59" s="30">
        <f>_xll.CbondsStockAvgPrice($B$1,E59,$B$27)</f>
        <v>116.79</v>
      </c>
      <c r="G59" s="31">
        <f t="shared" si="0"/>
        <v>116.79</v>
      </c>
      <c r="H59" s="88">
        <f>IF(_xll.CbondsStockTradingVolume($B$1,E59,$B$27) &lt;&gt; "Нет данных",_xll.CbondsStockTradingVolume($B$1,E59,$B$27),"0")</f>
        <v>3934841876.5</v>
      </c>
      <c r="I59" s="88">
        <f>IF(_xll.CbondsStockDealsNumber($B$1,E59,$B$27) &lt;&gt; "Нет данных",_xll.CbondsStockDealsNumber($B$1,E59,$B$27),"0")</f>
        <v>52539</v>
      </c>
      <c r="K59" s="88">
        <f>_xll.CbondsIndexValue(VLOOKUP($K$1,'Help Page'!$Q:$S,3,0),Calculation!E59)</f>
        <v>16811.5</v>
      </c>
      <c r="L59" s="88">
        <f t="shared" si="1"/>
        <v>16811.5</v>
      </c>
      <c r="M59" s="88">
        <f>_xll.CbondsIndexValue(VLOOKUP($M$1,'Help Page'!$Q:$S,3,0),Calculation!E59)</f>
        <v>6617.28</v>
      </c>
      <c r="N59" s="88">
        <f t="shared" si="2"/>
        <v>6617.28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M59" s="35"/>
      <c r="AN59" s="35"/>
      <c r="AO59" s="35"/>
      <c r="AP59" s="35"/>
      <c r="AQ59" s="35"/>
      <c r="AR59" s="35"/>
      <c r="BU59" s="20"/>
    </row>
    <row r="60" spans="5:73" x14ac:dyDescent="0.3">
      <c r="E60" s="37">
        <f t="shared" si="3"/>
        <v>45965</v>
      </c>
      <c r="F60" s="30" t="str">
        <f>_xll.CbondsStockAvgPrice($B$1,E60,$B$27)</f>
        <v>Нет данных</v>
      </c>
      <c r="G60" s="31">
        <f t="shared" si="0"/>
        <v>117.43</v>
      </c>
      <c r="H60" s="88" t="str">
        <f>IF(_xll.CbondsStockTradingVolume($B$1,E60,$B$27) &lt;&gt; "Нет данных",_xll.CbondsStockTradingVolume($B$1,E60,$B$27),"0")</f>
        <v>0</v>
      </c>
      <c r="I60" s="88" t="str">
        <f>IF(_xll.CbondsStockDealsNumber($B$1,E60,$B$27) &lt;&gt; "Нет данных",_xll.CbondsStockDealsNumber($B$1,E60,$B$27),"0")</f>
        <v>0</v>
      </c>
      <c r="K60" s="88" t="str">
        <f>_xll.CbondsIndexValue(VLOOKUP($K$1,'Help Page'!$Q:$S,3,0),Calculation!E60)</f>
        <v>Нет данных</v>
      </c>
      <c r="L60" s="88">
        <f t="shared" si="1"/>
        <v>16984.25</v>
      </c>
      <c r="M60" s="88" t="str">
        <f>_xll.CbondsIndexValue(VLOOKUP($M$1,'Help Page'!$Q:$S,3,0),Calculation!E60)</f>
        <v>Нет данных</v>
      </c>
      <c r="N60" s="88">
        <f t="shared" si="2"/>
        <v>6700.8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M60" s="35"/>
      <c r="AN60" s="35"/>
      <c r="AO60" s="35"/>
      <c r="AP60" s="35"/>
      <c r="AQ60" s="35"/>
      <c r="AR60" s="35"/>
      <c r="BU60" s="20"/>
    </row>
    <row r="61" spans="5:73" x14ac:dyDescent="0.3">
      <c r="E61" s="37">
        <f t="shared" si="3"/>
        <v>45964</v>
      </c>
      <c r="F61" s="30">
        <f>_xll.CbondsStockAvgPrice($B$1,E61,$B$27)</f>
        <v>117.43</v>
      </c>
      <c r="G61" s="31">
        <f t="shared" si="0"/>
        <v>117.43</v>
      </c>
      <c r="H61" s="88">
        <f>IF(_xll.CbondsStockTradingVolume($B$1,E61,$B$27) &lt;&gt; "Нет данных",_xll.CbondsStockTradingVolume($B$1,E61,$B$27),"0")</f>
        <v>2198961416.6999998</v>
      </c>
      <c r="I61" s="88">
        <f>IF(_xll.CbondsStockDealsNumber($B$1,E61,$B$27) &lt;&gt; "Нет данных",_xll.CbondsStockDealsNumber($B$1,E61,$B$27),"0")</f>
        <v>36798</v>
      </c>
      <c r="K61" s="88">
        <f>_xll.CbondsIndexValue(VLOOKUP($K$1,'Help Page'!$Q:$S,3,0),Calculation!E61)</f>
        <v>16984.25</v>
      </c>
      <c r="L61" s="88">
        <f t="shared" si="1"/>
        <v>16984.25</v>
      </c>
      <c r="M61" s="88">
        <f>_xll.CbondsIndexValue(VLOOKUP($M$1,'Help Page'!$Q:$S,3,0),Calculation!E61)</f>
        <v>6700.8</v>
      </c>
      <c r="N61" s="88">
        <f t="shared" si="2"/>
        <v>6700.8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M61" s="35"/>
      <c r="AN61" s="35"/>
      <c r="AO61" s="35"/>
      <c r="AP61" s="35"/>
      <c r="AQ61" s="35"/>
      <c r="AR61" s="35"/>
      <c r="BU61" s="20"/>
    </row>
    <row r="62" spans="5:73" x14ac:dyDescent="0.3">
      <c r="E62" s="37">
        <f t="shared" si="3"/>
        <v>45963</v>
      </c>
      <c r="F62" s="30" t="str">
        <f>_xll.CbondsStockAvgPrice($B$1,E62,$B$27)</f>
        <v>Нет данных</v>
      </c>
      <c r="G62" s="31">
        <f t="shared" si="0"/>
        <v>116.3</v>
      </c>
      <c r="H62" s="88" t="str">
        <f>IF(_xll.CbondsStockTradingVolume($B$1,E62,$B$27) &lt;&gt; "Нет данных",_xll.CbondsStockTradingVolume($B$1,E62,$B$27),"0")</f>
        <v>0</v>
      </c>
      <c r="I62" s="88" t="str">
        <f>IF(_xll.CbondsStockDealsNumber($B$1,E62,$B$27) &lt;&gt; "Нет данных",_xll.CbondsStockDealsNumber($B$1,E62,$B$27),"0")</f>
        <v>0</v>
      </c>
      <c r="K62" s="88" t="str">
        <f>_xll.CbondsIndexValue(VLOOKUP($K$1,'Help Page'!$Q:$S,3,0),Calculation!E62)</f>
        <v>Нет данных</v>
      </c>
      <c r="L62" s="88">
        <f t="shared" si="1"/>
        <v>16722.939999999999</v>
      </c>
      <c r="M62" s="88" t="str">
        <f>_xll.CbondsIndexValue(VLOOKUP($M$1,'Help Page'!$Q:$S,3,0),Calculation!E62)</f>
        <v>Нет данных</v>
      </c>
      <c r="N62" s="88">
        <f t="shared" si="2"/>
        <v>6581.11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M62" s="35"/>
      <c r="AN62" s="35"/>
      <c r="AO62" s="35"/>
      <c r="AP62" s="35"/>
      <c r="AQ62" s="35"/>
      <c r="AR62" s="35"/>
      <c r="BU62" s="20"/>
    </row>
    <row r="63" spans="5:73" x14ac:dyDescent="0.3">
      <c r="E63" s="37">
        <f t="shared" si="3"/>
        <v>45962</v>
      </c>
      <c r="F63" s="30">
        <f>_xll.CbondsStockAvgPrice($B$1,E63,$B$27)</f>
        <v>116.3</v>
      </c>
      <c r="G63" s="31">
        <f t="shared" si="0"/>
        <v>116.3</v>
      </c>
      <c r="H63" s="88">
        <f>IF(_xll.CbondsStockTradingVolume($B$1,E63,$B$27) &lt;&gt; "Нет данных",_xll.CbondsStockTradingVolume($B$1,E63,$B$27),"0")</f>
        <v>1052253989.4</v>
      </c>
      <c r="I63" s="88">
        <f>IF(_xll.CbondsStockDealsNumber($B$1,E63,$B$27) &lt;&gt; "Нет данных",_xll.CbondsStockDealsNumber($B$1,E63,$B$27),"0")</f>
        <v>18049</v>
      </c>
      <c r="K63" s="88">
        <f>_xll.CbondsIndexValue(VLOOKUP($K$1,'Help Page'!$Q:$S,3,0),Calculation!E63)</f>
        <v>16722.939999999999</v>
      </c>
      <c r="L63" s="88">
        <f t="shared" si="1"/>
        <v>16722.939999999999</v>
      </c>
      <c r="M63" s="88">
        <f>_xll.CbondsIndexValue(VLOOKUP($M$1,'Help Page'!$Q:$S,3,0),Calculation!E63)</f>
        <v>6581.11</v>
      </c>
      <c r="N63" s="88">
        <f t="shared" si="2"/>
        <v>6581.11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M63" s="35"/>
      <c r="AN63" s="35"/>
      <c r="AO63" s="35"/>
      <c r="AP63" s="35"/>
      <c r="AQ63" s="35"/>
      <c r="AR63" s="35"/>
      <c r="BU63" s="20"/>
    </row>
    <row r="64" spans="5:73" x14ac:dyDescent="0.3">
      <c r="E64" s="37">
        <f t="shared" si="3"/>
        <v>45961</v>
      </c>
      <c r="F64" s="30">
        <f>_xll.CbondsStockAvgPrice($B$1,E64,$B$27)</f>
        <v>116.39</v>
      </c>
      <c r="G64" s="31">
        <f t="shared" si="0"/>
        <v>116.39</v>
      </c>
      <c r="H64" s="88">
        <f>IF(_xll.CbondsStockTradingVolume($B$1,E64,$B$27) &lt;&gt; "Нет данных",_xll.CbondsStockTradingVolume($B$1,E64,$B$27),"0")</f>
        <v>3736745911.9000001</v>
      </c>
      <c r="I64" s="88">
        <f>IF(_xll.CbondsStockDealsNumber($B$1,E64,$B$27) &lt;&gt; "Нет данных",_xll.CbondsStockDealsNumber($B$1,E64,$B$27),"0")</f>
        <v>53577</v>
      </c>
      <c r="K64" s="88">
        <f>_xll.CbondsIndexValue(VLOOKUP($K$1,'Help Page'!$Q:$S,3,0),Calculation!E64)</f>
        <v>16686.5</v>
      </c>
      <c r="L64" s="88">
        <f t="shared" si="1"/>
        <v>16686.5</v>
      </c>
      <c r="M64" s="88">
        <f>_xll.CbondsIndexValue(VLOOKUP($M$1,'Help Page'!$Q:$S,3,0),Calculation!E64)</f>
        <v>6554.09</v>
      </c>
      <c r="N64" s="88">
        <f t="shared" si="2"/>
        <v>6554.09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M64" s="35"/>
      <c r="AN64" s="35"/>
      <c r="AO64" s="35"/>
      <c r="AP64" s="35"/>
      <c r="AQ64" s="35"/>
      <c r="AR64" s="35"/>
      <c r="BU64" s="20"/>
    </row>
    <row r="65" spans="5:73" x14ac:dyDescent="0.3">
      <c r="E65" s="37">
        <f t="shared" si="3"/>
        <v>45960</v>
      </c>
      <c r="F65" s="30">
        <f>_xll.CbondsStockAvgPrice($B$1,E65,$B$27)</f>
        <v>117.29</v>
      </c>
      <c r="G65" s="31">
        <f t="shared" si="0"/>
        <v>117.29</v>
      </c>
      <c r="H65" s="88">
        <f>IF(_xll.CbondsStockTradingVolume($B$1,E65,$B$27) &lt;&gt; "Нет данных",_xll.CbondsStockTradingVolume($B$1,E65,$B$27),"0")</f>
        <v>5837691866.6999998</v>
      </c>
      <c r="I65" s="88">
        <f>IF(_xll.CbondsStockDealsNumber($B$1,E65,$B$27) &lt;&gt; "Нет данных",_xll.CbondsStockDealsNumber($B$1,E65,$B$27),"0")</f>
        <v>77003</v>
      </c>
      <c r="K65" s="88">
        <f>_xll.CbondsIndexValue(VLOOKUP($K$1,'Help Page'!$Q:$S,3,0),Calculation!E65)</f>
        <v>16891.72</v>
      </c>
      <c r="L65" s="88">
        <f t="shared" si="1"/>
        <v>16891.72</v>
      </c>
      <c r="M65" s="88">
        <f>_xll.CbondsIndexValue(VLOOKUP($M$1,'Help Page'!$Q:$S,3,0),Calculation!E65)</f>
        <v>6646.52</v>
      </c>
      <c r="N65" s="88">
        <f t="shared" si="2"/>
        <v>6646.52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M65" s="35"/>
      <c r="AN65" s="35"/>
      <c r="AO65" s="35"/>
      <c r="AP65" s="35"/>
      <c r="AQ65" s="35"/>
      <c r="AR65" s="35"/>
      <c r="BU65" s="20"/>
    </row>
    <row r="66" spans="5:73" x14ac:dyDescent="0.3">
      <c r="E66" s="37">
        <f t="shared" si="3"/>
        <v>45959</v>
      </c>
      <c r="F66" s="30">
        <f>_xll.CbondsStockAvgPrice($B$1,E66,$B$27)</f>
        <v>116.57</v>
      </c>
      <c r="G66" s="31">
        <f t="shared" si="0"/>
        <v>116.57</v>
      </c>
      <c r="H66" s="88">
        <f>IF(_xll.CbondsStockTradingVolume($B$1,E66,$B$27) &lt;&gt; "Нет данных",_xll.CbondsStockTradingVolume($B$1,E66,$B$27),"0")</f>
        <v>3577048833.8000002</v>
      </c>
      <c r="I66" s="88">
        <f>IF(_xll.CbondsStockDealsNumber($B$1,E66,$B$27) &lt;&gt; "Нет данных",_xll.CbondsStockDealsNumber($B$1,E66,$B$27),"0")</f>
        <v>48958</v>
      </c>
      <c r="K66" s="88">
        <f>_xll.CbondsIndexValue(VLOOKUP($K$1,'Help Page'!$Q:$S,3,0),Calculation!E66)</f>
        <v>16662.86</v>
      </c>
      <c r="L66" s="88">
        <f t="shared" si="1"/>
        <v>16662.86</v>
      </c>
      <c r="M66" s="88">
        <f>_xll.CbondsIndexValue(VLOOKUP($M$1,'Help Page'!$Q:$S,3,0),Calculation!E66)</f>
        <v>6567.57</v>
      </c>
      <c r="N66" s="88">
        <f t="shared" si="2"/>
        <v>6567.57</v>
      </c>
      <c r="AM66" s="35"/>
      <c r="AN66" s="35"/>
      <c r="AO66" s="35"/>
      <c r="AP66" s="35"/>
      <c r="AQ66" s="35"/>
      <c r="AR66" s="35"/>
      <c r="BU66" s="20"/>
    </row>
    <row r="67" spans="5:73" x14ac:dyDescent="0.3">
      <c r="E67" s="37">
        <f t="shared" si="3"/>
        <v>45958</v>
      </c>
      <c r="F67" s="30">
        <f>_xll.CbondsStockAvgPrice($B$1,E67,$B$27)</f>
        <v>116.37</v>
      </c>
      <c r="G67" s="31">
        <f t="shared" ref="G67:G130" si="10">IF(IF(AND(F67="",E67=""),"",IF(AND(F67="Нет данных",E67&lt;&gt;""),G68,F67)) = 0,"",IF(AND(F67="",E67=""),"",IF(AND(F67="Нет данных",E67&lt;&gt;""),G68,F67)))</f>
        <v>116.37</v>
      </c>
      <c r="H67" s="88">
        <f>IF(_xll.CbondsStockTradingVolume($B$1,E67,$B$27) &lt;&gt; "Нет данных",_xll.CbondsStockTradingVolume($B$1,E67,$B$27),"0")</f>
        <v>5600987848.8000002</v>
      </c>
      <c r="I67" s="88">
        <f>IF(_xll.CbondsStockDealsNumber($B$1,E67,$B$27) &lt;&gt; "Нет данных",_xll.CbondsStockDealsNumber($B$1,E67,$B$27),"0")</f>
        <v>71304</v>
      </c>
      <c r="K67" s="88">
        <f>_xll.CbondsIndexValue(VLOOKUP($K$1,'Help Page'!$Q:$S,3,0),Calculation!E67)</f>
        <v>16452.54</v>
      </c>
      <c r="L67" s="88">
        <f t="shared" ref="L67:L130" si="11">IF(IF(AND(K67="",$E67=""),"",IF(AND(K67="Нет данных",$E67&lt;&gt;""),L68,K67)) = 0,"",IF(AND(K67="",$E67=""),"",IF(AND(K67="Нет данных",$E67&lt;&gt;""),L68,K67)))</f>
        <v>16452.54</v>
      </c>
      <c r="M67" s="88">
        <f>_xll.CbondsIndexValue(VLOOKUP($M$1,'Help Page'!$Q:$S,3,0),Calculation!E67)</f>
        <v>6488.4</v>
      </c>
      <c r="N67" s="88">
        <f t="shared" ref="N67:N130" si="12">IF(IF(AND(M67="",$E67=""),"",IF(AND(M67="Нет данных",$E67&lt;&gt;""),N68,M67)) = 0,"",IF(AND(M67="",$E67=""),"",IF(AND(M67="Нет данных",$E67&lt;&gt;""),N68,M67)))</f>
        <v>6488.4</v>
      </c>
      <c r="AM67" s="35"/>
      <c r="AN67" s="35"/>
      <c r="AO67" s="35"/>
      <c r="AP67" s="35"/>
      <c r="AQ67" s="35"/>
      <c r="AR67" s="35"/>
      <c r="BU67" s="20"/>
    </row>
    <row r="68" spans="5:73" x14ac:dyDescent="0.3">
      <c r="E68" s="37">
        <f t="shared" ref="E68:E131" si="13">E67-1</f>
        <v>45957</v>
      </c>
      <c r="F68" s="30">
        <f>_xll.CbondsStockAvgPrice($B$1,E68,$B$27)</f>
        <v>115.8</v>
      </c>
      <c r="G68" s="31">
        <f t="shared" si="10"/>
        <v>115.8</v>
      </c>
      <c r="H68" s="88">
        <f>IF(_xll.CbondsStockTradingVolume($B$1,E68,$B$27) &lt;&gt; "Нет данных",_xll.CbondsStockTradingVolume($B$1,E68,$B$27),"0")</f>
        <v>5374154168.3999996</v>
      </c>
      <c r="I68" s="88">
        <f>IF(_xll.CbondsStockDealsNumber($B$1,E68,$B$27) &lt;&gt; "Нет данных",_xll.CbondsStockDealsNumber($B$1,E68,$B$27),"0")</f>
        <v>76718</v>
      </c>
      <c r="K68" s="88">
        <f>_xll.CbondsIndexValue(VLOOKUP($K$1,'Help Page'!$Q:$S,3,0),Calculation!E68)</f>
        <v>16332.76</v>
      </c>
      <c r="L68" s="88">
        <f t="shared" si="11"/>
        <v>16332.76</v>
      </c>
      <c r="M68" s="88">
        <f>_xll.CbondsIndexValue(VLOOKUP($M$1,'Help Page'!$Q:$S,3,0),Calculation!E68)</f>
        <v>6483.11</v>
      </c>
      <c r="N68" s="88">
        <f t="shared" si="12"/>
        <v>6483.11</v>
      </c>
      <c r="AM68" s="35"/>
      <c r="AN68" s="35"/>
      <c r="AO68" s="35"/>
      <c r="AP68" s="35"/>
      <c r="AQ68" s="35"/>
      <c r="AR68" s="35"/>
      <c r="BU68" s="20"/>
    </row>
    <row r="69" spans="5:73" x14ac:dyDescent="0.3">
      <c r="E69" s="37">
        <f t="shared" si="13"/>
        <v>45956</v>
      </c>
      <c r="F69" s="30" t="str">
        <f>_xll.CbondsStockAvgPrice($B$1,E69,$B$27)</f>
        <v>Нет данных</v>
      </c>
      <c r="G69" s="31">
        <f t="shared" si="10"/>
        <v>117.37</v>
      </c>
      <c r="H69" s="88" t="str">
        <f>IF(_xll.CbondsStockTradingVolume($B$1,E69,$B$27) &lt;&gt; "Нет данных",_xll.CbondsStockTradingVolume($B$1,E69,$B$27),"0")</f>
        <v>0</v>
      </c>
      <c r="I69" s="88" t="str">
        <f>IF(_xll.CbondsStockDealsNumber($B$1,E69,$B$27) &lt;&gt; "Нет данных",_xll.CbondsStockDealsNumber($B$1,E69,$B$27),"0")</f>
        <v>0</v>
      </c>
      <c r="K69" s="88" t="str">
        <f>_xll.CbondsIndexValue(VLOOKUP($K$1,'Help Page'!$Q:$S,3,0),Calculation!E69)</f>
        <v>Нет данных</v>
      </c>
      <c r="L69" s="88">
        <f t="shared" si="11"/>
        <v>16787.18</v>
      </c>
      <c r="M69" s="88" t="str">
        <f>_xll.CbondsIndexValue(VLOOKUP($M$1,'Help Page'!$Q:$S,3,0),Calculation!E69)</f>
        <v>Нет данных</v>
      </c>
      <c r="N69" s="88">
        <f t="shared" si="12"/>
        <v>6688.82</v>
      </c>
      <c r="AM69" s="35"/>
      <c r="AN69" s="35"/>
      <c r="AO69" s="35"/>
      <c r="AP69" s="35"/>
      <c r="AQ69" s="35"/>
      <c r="AR69" s="35"/>
      <c r="BU69" s="20"/>
    </row>
    <row r="70" spans="5:73" x14ac:dyDescent="0.3">
      <c r="E70" s="37">
        <f t="shared" si="13"/>
        <v>45955</v>
      </c>
      <c r="F70" s="30" t="str">
        <f>_xll.CbondsStockAvgPrice($B$1,E70,$B$27)</f>
        <v>Нет данных</v>
      </c>
      <c r="G70" s="31">
        <f t="shared" si="10"/>
        <v>117.37</v>
      </c>
      <c r="H70" s="88" t="str">
        <f>IF(_xll.CbondsStockTradingVolume($B$1,E70,$B$27) &lt;&gt; "Нет данных",_xll.CbondsStockTradingVolume($B$1,E70,$B$27),"0")</f>
        <v>0</v>
      </c>
      <c r="I70" s="88" t="str">
        <f>IF(_xll.CbondsStockDealsNumber($B$1,E70,$B$27) &lt;&gt; "Нет данных",_xll.CbondsStockDealsNumber($B$1,E70,$B$27),"0")</f>
        <v>0</v>
      </c>
      <c r="K70" s="88" t="str">
        <f>_xll.CbondsIndexValue(VLOOKUP($K$1,'Help Page'!$Q:$S,3,0),Calculation!E70)</f>
        <v>Нет данных</v>
      </c>
      <c r="L70" s="88">
        <f t="shared" si="11"/>
        <v>16787.18</v>
      </c>
      <c r="M70" s="88" t="str">
        <f>_xll.CbondsIndexValue(VLOOKUP($M$1,'Help Page'!$Q:$S,3,0),Calculation!E70)</f>
        <v>Нет данных</v>
      </c>
      <c r="N70" s="88">
        <f t="shared" si="12"/>
        <v>6688.82</v>
      </c>
      <c r="AM70" s="35"/>
      <c r="AN70" s="35"/>
      <c r="AO70" s="35"/>
      <c r="AP70" s="35"/>
      <c r="AQ70" s="35"/>
      <c r="AR70" s="35"/>
      <c r="BU70" s="20"/>
    </row>
    <row r="71" spans="5:73" x14ac:dyDescent="0.3">
      <c r="E71" s="37">
        <f t="shared" si="13"/>
        <v>45954</v>
      </c>
      <c r="F71" s="30">
        <f>_xll.CbondsStockAvgPrice($B$1,E71,$B$27)</f>
        <v>117.37</v>
      </c>
      <c r="G71" s="31">
        <f t="shared" si="10"/>
        <v>117.37</v>
      </c>
      <c r="H71" s="88">
        <f>IF(_xll.CbondsStockTradingVolume($B$1,E71,$B$27) &lt;&gt; "Нет данных",_xll.CbondsStockTradingVolume($B$1,E71,$B$27),"0")</f>
        <v>6693484564.8999996</v>
      </c>
      <c r="I71" s="88">
        <f>IF(_xll.CbondsStockDealsNumber($B$1,E71,$B$27) &lt;&gt; "Нет данных",_xll.CbondsStockDealsNumber($B$1,E71,$B$27),"0")</f>
        <v>98856</v>
      </c>
      <c r="K71" s="88">
        <f>_xll.CbondsIndexValue(VLOOKUP($K$1,'Help Page'!$Q:$S,3,0),Calculation!E71)</f>
        <v>16787.18</v>
      </c>
      <c r="L71" s="88">
        <f t="shared" si="11"/>
        <v>16787.18</v>
      </c>
      <c r="M71" s="88">
        <f>_xll.CbondsIndexValue(VLOOKUP($M$1,'Help Page'!$Q:$S,3,0),Calculation!E71)</f>
        <v>6688.82</v>
      </c>
      <c r="N71" s="88">
        <f t="shared" si="12"/>
        <v>6688.82</v>
      </c>
      <c r="AM71" s="35"/>
      <c r="AN71" s="35"/>
      <c r="AO71" s="35"/>
      <c r="AP71" s="35"/>
      <c r="AQ71" s="35"/>
      <c r="AR71" s="35"/>
      <c r="BU71" s="20"/>
    </row>
    <row r="72" spans="5:73" x14ac:dyDescent="0.3">
      <c r="E72" s="37">
        <f t="shared" si="13"/>
        <v>45953</v>
      </c>
      <c r="F72" s="30">
        <f>_xll.CbondsStockAvgPrice($B$1,E72,$B$27)</f>
        <v>117.03</v>
      </c>
      <c r="G72" s="31">
        <f t="shared" si="10"/>
        <v>117.03</v>
      </c>
      <c r="H72" s="88">
        <f>IF(_xll.CbondsStockTradingVolume($B$1,E72,$B$27) &lt;&gt; "Нет данных",_xll.CbondsStockTradingVolume($B$1,E72,$B$27),"0")</f>
        <v>7284126456.8999996</v>
      </c>
      <c r="I72" s="88">
        <f>IF(_xll.CbondsStockDealsNumber($B$1,E72,$B$27) &lt;&gt; "Нет данных",_xll.CbondsStockDealsNumber($B$1,E72,$B$27),"0")</f>
        <v>88753</v>
      </c>
      <c r="K72" s="88">
        <f>_xll.CbondsIndexValue(VLOOKUP($K$1,'Help Page'!$Q:$S,3,0),Calculation!E72)</f>
        <v>16953.68</v>
      </c>
      <c r="L72" s="88">
        <f t="shared" si="11"/>
        <v>16953.68</v>
      </c>
      <c r="M72" s="88">
        <f>_xll.CbondsIndexValue(VLOOKUP($M$1,'Help Page'!$Q:$S,3,0),Calculation!E72)</f>
        <v>6768.14</v>
      </c>
      <c r="N72" s="88">
        <f t="shared" si="12"/>
        <v>6768.14</v>
      </c>
      <c r="AM72" s="35"/>
      <c r="AN72" s="35"/>
      <c r="AO72" s="35"/>
      <c r="AP72" s="35"/>
      <c r="AQ72" s="35"/>
      <c r="AR72" s="35"/>
      <c r="BU72" s="20"/>
    </row>
    <row r="73" spans="5:73" x14ac:dyDescent="0.3">
      <c r="E73" s="37">
        <f t="shared" si="13"/>
        <v>45952</v>
      </c>
      <c r="F73" s="30">
        <f>_xll.CbondsStockAvgPrice($B$1,E73,$B$27)</f>
        <v>120.07</v>
      </c>
      <c r="G73" s="31">
        <f t="shared" si="10"/>
        <v>120.07</v>
      </c>
      <c r="H73" s="88">
        <f>IF(_xll.CbondsStockTradingVolume($B$1,E73,$B$27) &lt;&gt; "Нет данных",_xll.CbondsStockTradingVolume($B$1,E73,$B$27),"0")</f>
        <v>10170973007</v>
      </c>
      <c r="I73" s="88">
        <f>IF(_xll.CbondsStockDealsNumber($B$1,E73,$B$27) &lt;&gt; "Нет данных",_xll.CbondsStockDealsNumber($B$1,E73,$B$27),"0")</f>
        <v>98927</v>
      </c>
      <c r="K73" s="88">
        <f>_xll.CbondsIndexValue(VLOOKUP($K$1,'Help Page'!$Q:$S,3,0),Calculation!E73)</f>
        <v>17462.43</v>
      </c>
      <c r="L73" s="88">
        <f t="shared" si="11"/>
        <v>17462.43</v>
      </c>
      <c r="M73" s="88">
        <f>_xll.CbondsIndexValue(VLOOKUP($M$1,'Help Page'!$Q:$S,3,0),Calculation!E73)</f>
        <v>7062.8</v>
      </c>
      <c r="N73" s="88">
        <f t="shared" si="12"/>
        <v>7062.8</v>
      </c>
      <c r="AM73" s="35"/>
      <c r="AN73" s="35"/>
      <c r="AO73" s="35"/>
      <c r="AP73" s="35"/>
      <c r="AQ73" s="35"/>
      <c r="AR73" s="35"/>
      <c r="BU73" s="20"/>
    </row>
    <row r="74" spans="5:73" x14ac:dyDescent="0.3">
      <c r="E74" s="37">
        <f t="shared" si="13"/>
        <v>45951</v>
      </c>
      <c r="F74" s="30">
        <f>_xll.CbondsStockAvgPrice($B$1,E74,$B$27)</f>
        <v>121.39</v>
      </c>
      <c r="G74" s="31">
        <f t="shared" si="10"/>
        <v>121.39</v>
      </c>
      <c r="H74" s="88">
        <f>IF(_xll.CbondsStockTradingVolume($B$1,E74,$B$27) &lt;&gt; "Нет данных",_xll.CbondsStockTradingVolume($B$1,E74,$B$27),"0")</f>
        <v>20386762341.200001</v>
      </c>
      <c r="I74" s="88">
        <f>IF(_xll.CbondsStockDealsNumber($B$1,E74,$B$27) &lt;&gt; "Нет данных",_xll.CbondsStockDealsNumber($B$1,E74,$B$27),"0")</f>
        <v>167294</v>
      </c>
      <c r="K74" s="88">
        <f>_xll.CbondsIndexValue(VLOOKUP($K$1,'Help Page'!$Q:$S,3,0),Calculation!E74)</f>
        <v>17351.96</v>
      </c>
      <c r="L74" s="88">
        <f t="shared" si="11"/>
        <v>17351.96</v>
      </c>
      <c r="M74" s="88">
        <f>_xll.CbondsIndexValue(VLOOKUP($M$1,'Help Page'!$Q:$S,3,0),Calculation!E74)</f>
        <v>6985.12</v>
      </c>
      <c r="N74" s="88">
        <f t="shared" si="12"/>
        <v>6985.12</v>
      </c>
      <c r="AM74" s="35"/>
      <c r="AN74" s="35"/>
      <c r="AO74" s="35"/>
      <c r="AP74" s="35"/>
      <c r="AQ74" s="35"/>
      <c r="AR74" s="35"/>
      <c r="BU74" s="20"/>
    </row>
    <row r="75" spans="5:73" x14ac:dyDescent="0.3">
      <c r="E75" s="37">
        <f t="shared" si="13"/>
        <v>45950</v>
      </c>
      <c r="F75" s="30">
        <f>_xll.CbondsStockAvgPrice($B$1,E75,$B$27)</f>
        <v>126.5</v>
      </c>
      <c r="G75" s="31">
        <f t="shared" si="10"/>
        <v>126.5</v>
      </c>
      <c r="H75" s="88">
        <f>IF(_xll.CbondsStockTradingVolume($B$1,E75,$B$27) &lt;&gt; "Нет данных",_xll.CbondsStockTradingVolume($B$1,E75,$B$27),"0")</f>
        <v>11566858265.5</v>
      </c>
      <c r="I75" s="88">
        <f>IF(_xll.CbondsStockDealsNumber($B$1,E75,$B$27) &lt;&gt; "Нет данных",_xll.CbondsStockDealsNumber($B$1,E75,$B$27),"0")</f>
        <v>143441</v>
      </c>
      <c r="K75" s="88">
        <f>_xll.CbondsIndexValue(VLOOKUP($K$1,'Help Page'!$Q:$S,3,0),Calculation!E75)</f>
        <v>18134.810000000001</v>
      </c>
      <c r="L75" s="88">
        <f t="shared" si="11"/>
        <v>18134.810000000001</v>
      </c>
      <c r="M75" s="88">
        <f>_xll.CbondsIndexValue(VLOOKUP($M$1,'Help Page'!$Q:$S,3,0),Calculation!E75)</f>
        <v>7290.25</v>
      </c>
      <c r="N75" s="88">
        <f t="shared" si="12"/>
        <v>7290.25</v>
      </c>
      <c r="AM75" s="35"/>
      <c r="AN75" s="35"/>
      <c r="AO75" s="35"/>
      <c r="AP75" s="35"/>
      <c r="AQ75" s="35"/>
      <c r="AR75" s="35"/>
      <c r="BU75" s="20"/>
    </row>
    <row r="76" spans="5:73" x14ac:dyDescent="0.3">
      <c r="E76" s="37">
        <f t="shared" si="13"/>
        <v>45949</v>
      </c>
      <c r="F76" s="30" t="str">
        <f>_xll.CbondsStockAvgPrice($B$1,E76,$B$27)</f>
        <v>Нет данных</v>
      </c>
      <c r="G76" s="31">
        <f t="shared" si="10"/>
        <v>124.16</v>
      </c>
      <c r="H76" s="88" t="str">
        <f>IF(_xll.CbondsStockTradingVolume($B$1,E76,$B$27) &lt;&gt; "Нет данных",_xll.CbondsStockTradingVolume($B$1,E76,$B$27),"0")</f>
        <v>0</v>
      </c>
      <c r="I76" s="88" t="str">
        <f>IF(_xll.CbondsStockDealsNumber($B$1,E76,$B$27) &lt;&gt; "Нет данных",_xll.CbondsStockDealsNumber($B$1,E76,$B$27),"0")</f>
        <v>0</v>
      </c>
      <c r="K76" s="88" t="str">
        <f>_xll.CbondsIndexValue(VLOOKUP($K$1,'Help Page'!$Q:$S,3,0),Calculation!E76)</f>
        <v>Нет данных</v>
      </c>
      <c r="L76" s="88">
        <f t="shared" si="11"/>
        <v>17981.53</v>
      </c>
      <c r="M76" s="88" t="str">
        <f>_xll.CbondsIndexValue(VLOOKUP($M$1,'Help Page'!$Q:$S,3,0),Calculation!E76)</f>
        <v>Нет данных</v>
      </c>
      <c r="N76" s="88">
        <f t="shared" si="12"/>
        <v>7227.7</v>
      </c>
      <c r="AM76" s="35"/>
      <c r="AN76" s="35"/>
      <c r="AO76" s="35"/>
      <c r="AP76" s="35"/>
      <c r="AQ76" s="35"/>
      <c r="AR76" s="35"/>
      <c r="BU76" s="20"/>
    </row>
    <row r="77" spans="5:73" x14ac:dyDescent="0.3">
      <c r="E77" s="37">
        <f t="shared" si="13"/>
        <v>45948</v>
      </c>
      <c r="F77" s="30" t="str">
        <f>_xll.CbondsStockAvgPrice($B$1,E77,$B$27)</f>
        <v>Нет данных</v>
      </c>
      <c r="G77" s="31">
        <f t="shared" si="10"/>
        <v>124.16</v>
      </c>
      <c r="H77" s="88" t="str">
        <f>IF(_xll.CbondsStockTradingVolume($B$1,E77,$B$27) &lt;&gt; "Нет данных",_xll.CbondsStockTradingVolume($B$1,E77,$B$27),"0")</f>
        <v>0</v>
      </c>
      <c r="I77" s="88" t="str">
        <f>IF(_xll.CbondsStockDealsNumber($B$1,E77,$B$27) &lt;&gt; "Нет данных",_xll.CbondsStockDealsNumber($B$1,E77,$B$27),"0")</f>
        <v>0</v>
      </c>
      <c r="K77" s="88" t="str">
        <f>_xll.CbondsIndexValue(VLOOKUP($K$1,'Help Page'!$Q:$S,3,0),Calculation!E77)</f>
        <v>Нет данных</v>
      </c>
      <c r="L77" s="88">
        <f t="shared" si="11"/>
        <v>17981.53</v>
      </c>
      <c r="M77" s="88" t="str">
        <f>_xll.CbondsIndexValue(VLOOKUP($M$1,'Help Page'!$Q:$S,3,0),Calculation!E77)</f>
        <v>Нет данных</v>
      </c>
      <c r="N77" s="88">
        <f t="shared" si="12"/>
        <v>7227.7</v>
      </c>
      <c r="AM77" s="35"/>
      <c r="AN77" s="35"/>
      <c r="AO77" s="35"/>
      <c r="AP77" s="35"/>
      <c r="AQ77" s="35"/>
      <c r="AR77" s="35"/>
      <c r="BU77" s="20"/>
    </row>
    <row r="78" spans="5:73" x14ac:dyDescent="0.3">
      <c r="E78" s="37">
        <f t="shared" si="13"/>
        <v>45947</v>
      </c>
      <c r="F78" s="30">
        <f>_xll.CbondsStockAvgPrice($B$1,E78,$B$27)</f>
        <v>124.16</v>
      </c>
      <c r="G78" s="31">
        <f t="shared" si="10"/>
        <v>124.16</v>
      </c>
      <c r="H78" s="88">
        <f>IF(_xll.CbondsStockTradingVolume($B$1,E78,$B$27) &lt;&gt; "Нет данных",_xll.CbondsStockTradingVolume($B$1,E78,$B$27),"0")</f>
        <v>12767700899.200001</v>
      </c>
      <c r="I78" s="88">
        <f>IF(_xll.CbondsStockDealsNumber($B$1,E78,$B$27) &lt;&gt; "Нет данных",_xll.CbondsStockDealsNumber($B$1,E78,$B$27),"0")</f>
        <v>124430</v>
      </c>
      <c r="K78" s="88">
        <f>_xll.CbondsIndexValue(VLOOKUP($K$1,'Help Page'!$Q:$S,3,0),Calculation!E78)</f>
        <v>17981.53</v>
      </c>
      <c r="L78" s="88">
        <f t="shared" si="11"/>
        <v>17981.53</v>
      </c>
      <c r="M78" s="88">
        <f>_xll.CbondsIndexValue(VLOOKUP($M$1,'Help Page'!$Q:$S,3,0),Calculation!E78)</f>
        <v>7227.7</v>
      </c>
      <c r="N78" s="88">
        <f t="shared" si="12"/>
        <v>7227.7</v>
      </c>
      <c r="AM78" s="35"/>
      <c r="AN78" s="35"/>
      <c r="AO78" s="35"/>
      <c r="AP78" s="35"/>
      <c r="AQ78" s="35"/>
      <c r="AR78" s="35"/>
      <c r="BU78" s="20"/>
    </row>
    <row r="79" spans="5:73" x14ac:dyDescent="0.3">
      <c r="E79" s="37">
        <f t="shared" si="13"/>
        <v>45946</v>
      </c>
      <c r="F79" s="30">
        <f>_xll.CbondsStockAvgPrice($B$1,E79,$B$27)</f>
        <v>120.14</v>
      </c>
      <c r="G79" s="31">
        <f t="shared" si="10"/>
        <v>120.14</v>
      </c>
      <c r="H79" s="88">
        <f>IF(_xll.CbondsStockTradingVolume($B$1,E79,$B$27) &lt;&gt; "Нет данных",_xll.CbondsStockTradingVolume($B$1,E79,$B$27),"0")</f>
        <v>20405652827.5</v>
      </c>
      <c r="I79" s="88">
        <f>IF(_xll.CbondsStockDealsNumber($B$1,E79,$B$27) &lt;&gt; "Нет данных",_xll.CbondsStockDealsNumber($B$1,E79,$B$27),"0")</f>
        <v>175177</v>
      </c>
      <c r="K79" s="88">
        <f>_xll.CbondsIndexValue(VLOOKUP($K$1,'Help Page'!$Q:$S,3,0),Calculation!E79)</f>
        <v>17262.810000000001</v>
      </c>
      <c r="L79" s="88">
        <f t="shared" si="11"/>
        <v>17262.810000000001</v>
      </c>
      <c r="M79" s="88">
        <f>_xll.CbondsIndexValue(VLOOKUP($M$1,'Help Page'!$Q:$S,3,0),Calculation!E79)</f>
        <v>6870.6</v>
      </c>
      <c r="N79" s="88">
        <f t="shared" si="12"/>
        <v>6870.6</v>
      </c>
      <c r="AM79" s="35"/>
      <c r="AN79" s="35"/>
      <c r="AO79" s="35"/>
      <c r="AP79" s="35"/>
      <c r="AQ79" s="35"/>
      <c r="AR79" s="35"/>
      <c r="BU79" s="20"/>
    </row>
    <row r="80" spans="5:73" x14ac:dyDescent="0.3">
      <c r="E80" s="37">
        <f t="shared" si="13"/>
        <v>45945</v>
      </c>
      <c r="F80" s="30">
        <f>_xll.CbondsStockAvgPrice($B$1,E80,$B$27)</f>
        <v>115.84</v>
      </c>
      <c r="G80" s="31">
        <f t="shared" si="10"/>
        <v>115.84</v>
      </c>
      <c r="H80" s="88">
        <f>IF(_xll.CbondsStockTradingVolume($B$1,E80,$B$27) &lt;&gt; "Нет данных",_xll.CbondsStockTradingVolume($B$1,E80,$B$27),"0")</f>
        <v>5402824421.6999998</v>
      </c>
      <c r="I80" s="88">
        <f>IF(_xll.CbondsStockDealsNumber($B$1,E80,$B$27) &lt;&gt; "Нет данных",_xll.CbondsStockDealsNumber($B$1,E80,$B$27),"0")</f>
        <v>68745</v>
      </c>
      <c r="K80" s="88">
        <f>_xll.CbondsIndexValue(VLOOKUP($K$1,'Help Page'!$Q:$S,3,0),Calculation!E80)</f>
        <v>16836.830000000002</v>
      </c>
      <c r="L80" s="88">
        <f t="shared" si="11"/>
        <v>16836.830000000002</v>
      </c>
      <c r="M80" s="88">
        <f>_xll.CbondsIndexValue(VLOOKUP($M$1,'Help Page'!$Q:$S,3,0),Calculation!E80)</f>
        <v>6715.71</v>
      </c>
      <c r="N80" s="88">
        <f t="shared" si="12"/>
        <v>6715.71</v>
      </c>
      <c r="AM80" s="35"/>
      <c r="AN80" s="35"/>
      <c r="AO80" s="35"/>
      <c r="AP80" s="35"/>
      <c r="AQ80" s="35"/>
      <c r="AR80" s="35"/>
      <c r="BU80" s="20"/>
    </row>
    <row r="81" spans="5:73" x14ac:dyDescent="0.3">
      <c r="E81" s="37">
        <f t="shared" si="13"/>
        <v>45944</v>
      </c>
      <c r="F81" s="30">
        <f>_xll.CbondsStockAvgPrice($B$1,E81,$B$27)</f>
        <v>115.29</v>
      </c>
      <c r="G81" s="31">
        <f t="shared" si="10"/>
        <v>115.29</v>
      </c>
      <c r="H81" s="88">
        <f>IF(_xll.CbondsStockTradingVolume($B$1,E81,$B$27) &lt;&gt; "Нет данных",_xll.CbondsStockTradingVolume($B$1,E81,$B$27),"0")</f>
        <v>4552271909</v>
      </c>
      <c r="I81" s="88">
        <f>IF(_xll.CbondsStockDealsNumber($B$1,E81,$B$27) &lt;&gt; "Нет данных",_xll.CbondsStockDealsNumber($B$1,E81,$B$27),"0")</f>
        <v>56248</v>
      </c>
      <c r="K81" s="88">
        <f>_xll.CbondsIndexValue(VLOOKUP($K$1,'Help Page'!$Q:$S,3,0),Calculation!E81)</f>
        <v>16783.759999999998</v>
      </c>
      <c r="L81" s="88">
        <f t="shared" si="11"/>
        <v>16783.759999999998</v>
      </c>
      <c r="M81" s="88">
        <f>_xll.CbondsIndexValue(VLOOKUP($M$1,'Help Page'!$Q:$S,3,0),Calculation!E81)</f>
        <v>6741.29</v>
      </c>
      <c r="N81" s="88">
        <f t="shared" si="12"/>
        <v>6741.29</v>
      </c>
      <c r="AM81" s="35"/>
      <c r="AN81" s="35"/>
      <c r="AO81" s="35"/>
      <c r="AP81" s="35"/>
      <c r="AQ81" s="35"/>
      <c r="AR81" s="35"/>
      <c r="BU81" s="20"/>
    </row>
    <row r="82" spans="5:73" x14ac:dyDescent="0.3">
      <c r="E82" s="37">
        <f t="shared" si="13"/>
        <v>45943</v>
      </c>
      <c r="F82" s="30">
        <f>_xll.CbondsStockAvgPrice($B$1,E82,$B$27)</f>
        <v>115.99</v>
      </c>
      <c r="G82" s="31">
        <f t="shared" si="10"/>
        <v>115.99</v>
      </c>
      <c r="H82" s="88">
        <f>IF(_xll.CbondsStockTradingVolume($B$1,E82,$B$27) &lt;&gt; "Нет данных",_xll.CbondsStockTradingVolume($B$1,E82,$B$27),"0")</f>
        <v>7835014206.5</v>
      </c>
      <c r="I82" s="88">
        <f>IF(_xll.CbondsStockDealsNumber($B$1,E82,$B$27) &lt;&gt; "Нет данных",_xll.CbondsStockDealsNumber($B$1,E82,$B$27),"0")</f>
        <v>104304</v>
      </c>
      <c r="K82" s="88">
        <f>_xll.CbondsIndexValue(VLOOKUP($K$1,'Help Page'!$Q:$S,3,0),Calculation!E82)</f>
        <v>16999.84</v>
      </c>
      <c r="L82" s="88">
        <f t="shared" si="11"/>
        <v>16999.84</v>
      </c>
      <c r="M82" s="88">
        <f>_xll.CbondsIndexValue(VLOOKUP($M$1,'Help Page'!$Q:$S,3,0),Calculation!E82)</f>
        <v>6838.71</v>
      </c>
      <c r="N82" s="88">
        <f t="shared" si="12"/>
        <v>6838.71</v>
      </c>
      <c r="AM82" s="35"/>
      <c r="AN82" s="35"/>
      <c r="AO82" s="35"/>
      <c r="AP82" s="35"/>
      <c r="AQ82" s="35"/>
      <c r="AR82" s="35"/>
      <c r="BU82" s="20"/>
    </row>
    <row r="83" spans="5:73" x14ac:dyDescent="0.3">
      <c r="E83" s="37">
        <f t="shared" si="13"/>
        <v>45942</v>
      </c>
      <c r="F83" s="30" t="str">
        <f>_xll.CbondsStockAvgPrice($B$1,E83,$B$27)</f>
        <v>Нет данных</v>
      </c>
      <c r="G83" s="31">
        <f t="shared" si="10"/>
        <v>116.41</v>
      </c>
      <c r="H83" s="88" t="str">
        <f>IF(_xll.CbondsStockTradingVolume($B$1,E83,$B$27) &lt;&gt; "Нет данных",_xll.CbondsStockTradingVolume($B$1,E83,$B$27),"0")</f>
        <v>0</v>
      </c>
      <c r="I83" s="88" t="str">
        <f>IF(_xll.CbondsStockDealsNumber($B$1,E83,$B$27) &lt;&gt; "Нет данных",_xll.CbondsStockDealsNumber($B$1,E83,$B$27),"0")</f>
        <v>0</v>
      </c>
      <c r="K83" s="88" t="str">
        <f>_xll.CbondsIndexValue(VLOOKUP($K$1,'Help Page'!$Q:$S,3,0),Calculation!E83)</f>
        <v>Нет данных</v>
      </c>
      <c r="L83" s="88">
        <f t="shared" si="11"/>
        <v>17081.3</v>
      </c>
      <c r="M83" s="88" t="str">
        <f>_xll.CbondsIndexValue(VLOOKUP($M$1,'Help Page'!$Q:$S,3,0),Calculation!E83)</f>
        <v>Нет данных</v>
      </c>
      <c r="N83" s="88">
        <f t="shared" si="12"/>
        <v>6878.94</v>
      </c>
      <c r="AM83" s="35"/>
      <c r="AN83" s="35"/>
      <c r="AO83" s="35"/>
      <c r="AP83" s="35"/>
      <c r="AQ83" s="35"/>
      <c r="AR83" s="35"/>
      <c r="BU83" s="20"/>
    </row>
    <row r="84" spans="5:73" x14ac:dyDescent="0.3">
      <c r="E84" s="37">
        <f t="shared" si="13"/>
        <v>45941</v>
      </c>
      <c r="F84" s="30" t="str">
        <f>_xll.CbondsStockAvgPrice($B$1,E84,$B$27)</f>
        <v>Нет данных</v>
      </c>
      <c r="G84" s="31">
        <f t="shared" si="10"/>
        <v>116.41</v>
      </c>
      <c r="H84" s="88" t="str">
        <f>IF(_xll.CbondsStockTradingVolume($B$1,E84,$B$27) &lt;&gt; "Нет данных",_xll.CbondsStockTradingVolume($B$1,E84,$B$27),"0")</f>
        <v>0</v>
      </c>
      <c r="I84" s="88" t="str">
        <f>IF(_xll.CbondsStockDealsNumber($B$1,E84,$B$27) &lt;&gt; "Нет данных",_xll.CbondsStockDealsNumber($B$1,E84,$B$27),"0")</f>
        <v>0</v>
      </c>
      <c r="K84" s="88" t="str">
        <f>_xll.CbondsIndexValue(VLOOKUP($K$1,'Help Page'!$Q:$S,3,0),Calculation!E84)</f>
        <v>Нет данных</v>
      </c>
      <c r="L84" s="88">
        <f t="shared" si="11"/>
        <v>17081.3</v>
      </c>
      <c r="M84" s="88" t="str">
        <f>_xll.CbondsIndexValue(VLOOKUP($M$1,'Help Page'!$Q:$S,3,0),Calculation!E84)</f>
        <v>Нет данных</v>
      </c>
      <c r="N84" s="88">
        <f t="shared" si="12"/>
        <v>6878.94</v>
      </c>
      <c r="AM84" s="35"/>
      <c r="AN84" s="35"/>
      <c r="AO84" s="35"/>
      <c r="AP84" s="35"/>
      <c r="AQ84" s="35"/>
      <c r="AR84" s="35"/>
      <c r="BU84" s="20"/>
    </row>
    <row r="85" spans="5:73" x14ac:dyDescent="0.3">
      <c r="E85" s="37">
        <f t="shared" si="13"/>
        <v>45940</v>
      </c>
      <c r="F85" s="30">
        <f>_xll.CbondsStockAvgPrice($B$1,E85,$B$27)</f>
        <v>116.41</v>
      </c>
      <c r="G85" s="31">
        <f t="shared" si="10"/>
        <v>116.41</v>
      </c>
      <c r="H85" s="88">
        <f>IF(_xll.CbondsStockTradingVolume($B$1,E85,$B$27) &lt;&gt; "Нет данных",_xll.CbondsStockTradingVolume($B$1,E85,$B$27),"0")</f>
        <v>6701534901.3000002</v>
      </c>
      <c r="I85" s="88">
        <f>IF(_xll.CbondsStockDealsNumber($B$1,E85,$B$27) &lt;&gt; "Нет данных",_xll.CbondsStockDealsNumber($B$1,E85,$B$27),"0")</f>
        <v>73696</v>
      </c>
      <c r="K85" s="88">
        <f>_xll.CbondsIndexValue(VLOOKUP($K$1,'Help Page'!$Q:$S,3,0),Calculation!E85)</f>
        <v>17081.3</v>
      </c>
      <c r="L85" s="88">
        <f t="shared" si="11"/>
        <v>17081.3</v>
      </c>
      <c r="M85" s="88">
        <f>_xll.CbondsIndexValue(VLOOKUP($M$1,'Help Page'!$Q:$S,3,0),Calculation!E85)</f>
        <v>6878.94</v>
      </c>
      <c r="N85" s="88">
        <f t="shared" si="12"/>
        <v>6878.94</v>
      </c>
      <c r="AM85" s="35"/>
      <c r="AN85" s="35"/>
      <c r="AO85" s="35"/>
      <c r="AP85" s="35"/>
      <c r="AQ85" s="35"/>
      <c r="AR85" s="35"/>
      <c r="BU85" s="20"/>
    </row>
    <row r="86" spans="5:73" x14ac:dyDescent="0.3">
      <c r="E86" s="37">
        <f t="shared" si="13"/>
        <v>45939</v>
      </c>
      <c r="F86" s="30">
        <f>_xll.CbondsStockAvgPrice($B$1,E86,$B$27)</f>
        <v>115.14</v>
      </c>
      <c r="G86" s="31">
        <f t="shared" si="10"/>
        <v>115.14</v>
      </c>
      <c r="H86" s="88">
        <f>IF(_xll.CbondsStockTradingVolume($B$1,E86,$B$27) &lt;&gt; "Нет данных",_xll.CbondsStockTradingVolume($B$1,E86,$B$27),"0")</f>
        <v>11800655615.9</v>
      </c>
      <c r="I86" s="88">
        <f>IF(_xll.CbondsStockDealsNumber($B$1,E86,$B$27) &lt;&gt; "Нет данных",_xll.CbondsStockDealsNumber($B$1,E86,$B$27),"0")</f>
        <v>138339</v>
      </c>
      <c r="K86" s="88">
        <f>_xll.CbondsIndexValue(VLOOKUP($K$1,'Help Page'!$Q:$S,3,0),Calculation!E86)</f>
        <v>17412.189999999999</v>
      </c>
      <c r="L86" s="88">
        <f t="shared" si="11"/>
        <v>17412.189999999999</v>
      </c>
      <c r="M86" s="88">
        <f>_xll.CbondsIndexValue(VLOOKUP($M$1,'Help Page'!$Q:$S,3,0),Calculation!E86)</f>
        <v>7001.09</v>
      </c>
      <c r="N86" s="88">
        <f t="shared" si="12"/>
        <v>7001.09</v>
      </c>
      <c r="AM86" s="35"/>
      <c r="AN86" s="35"/>
      <c r="AO86" s="35"/>
      <c r="AP86" s="35"/>
      <c r="AQ86" s="35"/>
      <c r="AR86" s="35"/>
      <c r="BU86" s="20"/>
    </row>
    <row r="87" spans="5:73" x14ac:dyDescent="0.3">
      <c r="E87" s="37">
        <f t="shared" si="13"/>
        <v>45938</v>
      </c>
      <c r="F87" s="30">
        <f>_xll.CbondsStockAvgPrice($B$1,E87,$B$27)</f>
        <v>115.8</v>
      </c>
      <c r="G87" s="31">
        <f t="shared" si="10"/>
        <v>115.8</v>
      </c>
      <c r="H87" s="88">
        <f>IF(_xll.CbondsStockTradingVolume($B$1,E87,$B$27) &lt;&gt; "Нет данных",_xll.CbondsStockTradingVolume($B$1,E87,$B$27),"0")</f>
        <v>9879951168.2000008</v>
      </c>
      <c r="I87" s="88">
        <f>IF(_xll.CbondsStockDealsNumber($B$1,E87,$B$27) &lt;&gt; "Нет данных",_xll.CbondsStockDealsNumber($B$1,E87,$B$27),"0")</f>
        <v>134532</v>
      </c>
      <c r="K87" s="88">
        <f>_xll.CbondsIndexValue(VLOOKUP($K$1,'Help Page'!$Q:$S,3,0),Calculation!E87)</f>
        <v>16872.169999999998</v>
      </c>
      <c r="L87" s="88">
        <f t="shared" si="11"/>
        <v>16872.169999999998</v>
      </c>
      <c r="M87" s="88">
        <f>_xll.CbondsIndexValue(VLOOKUP($M$1,'Help Page'!$Q:$S,3,0),Calculation!E87)</f>
        <v>6782.18</v>
      </c>
      <c r="N87" s="88">
        <f t="shared" si="12"/>
        <v>6782.18</v>
      </c>
      <c r="AM87" s="35"/>
      <c r="AN87" s="35"/>
      <c r="AO87" s="35"/>
      <c r="AP87" s="35"/>
      <c r="AQ87" s="35"/>
      <c r="AR87" s="35"/>
      <c r="BU87" s="20"/>
    </row>
    <row r="88" spans="5:73" x14ac:dyDescent="0.3">
      <c r="E88" s="37">
        <f t="shared" si="13"/>
        <v>45937</v>
      </c>
      <c r="F88" s="30">
        <f>_xll.CbondsStockAvgPrice($B$1,E88,$B$27)</f>
        <v>118.97</v>
      </c>
      <c r="G88" s="31">
        <f t="shared" si="10"/>
        <v>118.97</v>
      </c>
      <c r="H88" s="88">
        <f>IF(_xll.CbondsStockTradingVolume($B$1,E88,$B$27) &lt;&gt; "Нет данных",_xll.CbondsStockTradingVolume($B$1,E88,$B$27),"0")</f>
        <v>6784244056.3999996</v>
      </c>
      <c r="I88" s="88">
        <f>IF(_xll.CbondsStockDealsNumber($B$1,E88,$B$27) &lt;&gt; "Нет данных",_xll.CbondsStockDealsNumber($B$1,E88,$B$27),"0")</f>
        <v>76188</v>
      </c>
      <c r="K88" s="88">
        <f>_xll.CbondsIndexValue(VLOOKUP($K$1,'Help Page'!$Q:$S,3,0),Calculation!E88)</f>
        <v>17570.310000000001</v>
      </c>
      <c r="L88" s="88">
        <f t="shared" si="11"/>
        <v>17570.310000000001</v>
      </c>
      <c r="M88" s="88">
        <f>_xll.CbondsIndexValue(VLOOKUP($M$1,'Help Page'!$Q:$S,3,0),Calculation!E88)</f>
        <v>7034.29</v>
      </c>
      <c r="N88" s="88">
        <f t="shared" si="12"/>
        <v>7034.29</v>
      </c>
      <c r="AM88" s="35"/>
      <c r="AN88" s="35"/>
      <c r="AO88" s="35"/>
      <c r="AP88" s="35"/>
      <c r="AQ88" s="35"/>
      <c r="AR88" s="35"/>
      <c r="BU88" s="20"/>
    </row>
    <row r="89" spans="5:73" x14ac:dyDescent="0.3">
      <c r="E89" s="37">
        <f t="shared" si="13"/>
        <v>45936</v>
      </c>
      <c r="F89" s="30">
        <f>_xll.CbondsStockAvgPrice($B$1,E89,$B$27)</f>
        <v>116.68</v>
      </c>
      <c r="G89" s="31">
        <f t="shared" si="10"/>
        <v>116.68</v>
      </c>
      <c r="H89" s="88">
        <f>IF(_xll.CbondsStockTradingVolume($B$1,E89,$B$27) &lt;&gt; "Нет данных",_xll.CbondsStockTradingVolume($B$1,E89,$B$27),"0")</f>
        <v>12377115928.6</v>
      </c>
      <c r="I89" s="88">
        <f>IF(_xll.CbondsStockDealsNumber($B$1,E89,$B$27) &lt;&gt; "Нет данных",_xll.CbondsStockDealsNumber($B$1,E89,$B$27),"0")</f>
        <v>161649</v>
      </c>
      <c r="K89" s="88">
        <f>_xll.CbondsIndexValue(VLOOKUP($K$1,'Help Page'!$Q:$S,3,0),Calculation!E89)</f>
        <v>17448.82</v>
      </c>
      <c r="L89" s="88">
        <f t="shared" si="11"/>
        <v>17448.82</v>
      </c>
      <c r="M89" s="88">
        <f>_xll.CbondsIndexValue(VLOOKUP($M$1,'Help Page'!$Q:$S,3,0),Calculation!E89)</f>
        <v>7006.1</v>
      </c>
      <c r="N89" s="88">
        <f t="shared" si="12"/>
        <v>7006.1</v>
      </c>
      <c r="AM89" s="35"/>
      <c r="AN89" s="35"/>
      <c r="AO89" s="35"/>
      <c r="AP89" s="35"/>
      <c r="AQ89" s="35"/>
      <c r="AR89" s="35"/>
      <c r="BU89" s="20"/>
    </row>
    <row r="90" spans="5:73" x14ac:dyDescent="0.3">
      <c r="E90" s="37">
        <f t="shared" si="13"/>
        <v>45935</v>
      </c>
      <c r="F90" s="30" t="str">
        <f>_xll.CbondsStockAvgPrice($B$1,E90,$B$27)</f>
        <v>Нет данных</v>
      </c>
      <c r="G90" s="31">
        <f t="shared" si="10"/>
        <v>115.94</v>
      </c>
      <c r="H90" s="88" t="str">
        <f>IF(_xll.CbondsStockTradingVolume($B$1,E90,$B$27) &lt;&gt; "Нет данных",_xll.CbondsStockTradingVolume($B$1,E90,$B$27),"0")</f>
        <v>0</v>
      </c>
      <c r="I90" s="88" t="str">
        <f>IF(_xll.CbondsStockDealsNumber($B$1,E90,$B$27) &lt;&gt; "Нет данных",_xll.CbondsStockDealsNumber($B$1,E90,$B$27),"0")</f>
        <v>0</v>
      </c>
      <c r="K90" s="88" t="str">
        <f>_xll.CbondsIndexValue(VLOOKUP($K$1,'Help Page'!$Q:$S,3,0),Calculation!E90)</f>
        <v>Нет данных</v>
      </c>
      <c r="L90" s="88">
        <f t="shared" si="11"/>
        <v>17146.349999999999</v>
      </c>
      <c r="M90" s="88" t="str">
        <f>_xll.CbondsIndexValue(VLOOKUP($M$1,'Help Page'!$Q:$S,3,0),Calculation!E90)</f>
        <v>Нет данных</v>
      </c>
      <c r="N90" s="88">
        <f t="shared" si="12"/>
        <v>6896.97</v>
      </c>
      <c r="AM90" s="35"/>
      <c r="AN90" s="35"/>
      <c r="AO90" s="35"/>
      <c r="AP90" s="35"/>
      <c r="AQ90" s="35"/>
      <c r="AR90" s="35"/>
      <c r="BU90" s="20"/>
    </row>
    <row r="91" spans="5:73" x14ac:dyDescent="0.3">
      <c r="E91" s="37">
        <f t="shared" si="13"/>
        <v>45934</v>
      </c>
      <c r="F91" s="30" t="str">
        <f>_xll.CbondsStockAvgPrice($B$1,E91,$B$27)</f>
        <v>Нет данных</v>
      </c>
      <c r="G91" s="31">
        <f t="shared" si="10"/>
        <v>115.94</v>
      </c>
      <c r="H91" s="88" t="str">
        <f>IF(_xll.CbondsStockTradingVolume($B$1,E91,$B$27) &lt;&gt; "Нет данных",_xll.CbondsStockTradingVolume($B$1,E91,$B$27),"0")</f>
        <v>0</v>
      </c>
      <c r="I91" s="88" t="str">
        <f>IF(_xll.CbondsStockDealsNumber($B$1,E91,$B$27) &lt;&gt; "Нет данных",_xll.CbondsStockDealsNumber($B$1,E91,$B$27),"0")</f>
        <v>0</v>
      </c>
      <c r="K91" s="88" t="str">
        <f>_xll.CbondsIndexValue(VLOOKUP($K$1,'Help Page'!$Q:$S,3,0),Calculation!E91)</f>
        <v>Нет данных</v>
      </c>
      <c r="L91" s="88">
        <f t="shared" si="11"/>
        <v>17146.349999999999</v>
      </c>
      <c r="M91" s="88" t="str">
        <f>_xll.CbondsIndexValue(VLOOKUP($M$1,'Help Page'!$Q:$S,3,0),Calculation!E91)</f>
        <v>Нет данных</v>
      </c>
      <c r="N91" s="88">
        <f t="shared" si="12"/>
        <v>6896.97</v>
      </c>
      <c r="AM91" s="35"/>
      <c r="AN91" s="35"/>
      <c r="AO91" s="35"/>
      <c r="AP91" s="35"/>
      <c r="AQ91" s="35"/>
      <c r="AR91" s="35"/>
      <c r="BU91" s="20"/>
    </row>
    <row r="92" spans="5:73" x14ac:dyDescent="0.3">
      <c r="E92" s="37">
        <f t="shared" si="13"/>
        <v>45933</v>
      </c>
      <c r="F92" s="30">
        <f>_xll.CbondsStockAvgPrice($B$1,E92,$B$27)</f>
        <v>115.94</v>
      </c>
      <c r="G92" s="31">
        <f t="shared" si="10"/>
        <v>115.94</v>
      </c>
      <c r="H92" s="88">
        <f>IF(_xll.CbondsStockTradingVolume($B$1,E92,$B$27) &lt;&gt; "Нет данных",_xll.CbondsStockTradingVolume($B$1,E92,$B$27),"0")</f>
        <v>4813001069.6999998</v>
      </c>
      <c r="I92" s="88">
        <f>IF(_xll.CbondsStockDealsNumber($B$1,E92,$B$27) &lt;&gt; "Нет данных",_xll.CbondsStockDealsNumber($B$1,E92,$B$27),"0")</f>
        <v>70981</v>
      </c>
      <c r="K92" s="88">
        <f>_xll.CbondsIndexValue(VLOOKUP($K$1,'Help Page'!$Q:$S,3,0),Calculation!E92)</f>
        <v>17146.349999999999</v>
      </c>
      <c r="L92" s="88">
        <f t="shared" si="11"/>
        <v>17146.349999999999</v>
      </c>
      <c r="M92" s="88">
        <f>_xll.CbondsIndexValue(VLOOKUP($M$1,'Help Page'!$Q:$S,3,0),Calculation!E92)</f>
        <v>6896.97</v>
      </c>
      <c r="N92" s="88">
        <f t="shared" si="12"/>
        <v>6896.97</v>
      </c>
      <c r="AM92" s="35"/>
      <c r="AN92" s="35"/>
      <c r="AO92" s="35"/>
      <c r="AP92" s="35"/>
      <c r="AQ92" s="35"/>
      <c r="AR92" s="35"/>
      <c r="BU92" s="20"/>
    </row>
    <row r="93" spans="5:73" x14ac:dyDescent="0.3">
      <c r="E93" s="37">
        <f t="shared" si="13"/>
        <v>45932</v>
      </c>
      <c r="F93" s="30">
        <f>_xll.CbondsStockAvgPrice($B$1,E93,$B$27)</f>
        <v>116.45</v>
      </c>
      <c r="G93" s="31">
        <f t="shared" si="10"/>
        <v>116.45</v>
      </c>
      <c r="H93" s="88">
        <f>IF(_xll.CbondsStockTradingVolume($B$1,E93,$B$27) &lt;&gt; "Нет данных",_xll.CbondsStockTradingVolume($B$1,E93,$B$27),"0")</f>
        <v>5122356449.6999998</v>
      </c>
      <c r="I93" s="88">
        <f>IF(_xll.CbondsStockDealsNumber($B$1,E93,$B$27) &lt;&gt; "Нет данных",_xll.CbondsStockDealsNumber($B$1,E93,$B$27),"0")</f>
        <v>72125</v>
      </c>
      <c r="K93" s="88">
        <f>_xll.CbondsIndexValue(VLOOKUP($K$1,'Help Page'!$Q:$S,3,0),Calculation!E93)</f>
        <v>17337.84</v>
      </c>
      <c r="L93" s="88">
        <f t="shared" si="11"/>
        <v>17337.84</v>
      </c>
      <c r="M93" s="88">
        <f>_xll.CbondsIndexValue(VLOOKUP($M$1,'Help Page'!$Q:$S,3,0),Calculation!E93)</f>
        <v>6999.69</v>
      </c>
      <c r="N93" s="88">
        <f t="shared" si="12"/>
        <v>6999.69</v>
      </c>
      <c r="AM93" s="35"/>
      <c r="AN93" s="35"/>
      <c r="AO93" s="35"/>
      <c r="AP93" s="35"/>
      <c r="AQ93" s="35"/>
      <c r="AR93" s="35"/>
      <c r="BU93" s="20"/>
    </row>
    <row r="94" spans="5:73" x14ac:dyDescent="0.3">
      <c r="E94" s="37">
        <f t="shared" si="13"/>
        <v>45931</v>
      </c>
      <c r="F94" s="30">
        <f>_xll.CbondsStockAvgPrice($B$1,E94,$B$27)</f>
        <v>117.17</v>
      </c>
      <c r="G94" s="31">
        <f t="shared" si="10"/>
        <v>117.17</v>
      </c>
      <c r="H94" s="88">
        <f>IF(_xll.CbondsStockTradingVolume($B$1,E94,$B$27) &lt;&gt; "Нет данных",_xll.CbondsStockTradingVolume($B$1,E94,$B$27),"0")</f>
        <v>7621284386.3000002</v>
      </c>
      <c r="I94" s="88">
        <f>IF(_xll.CbondsStockDealsNumber($B$1,E94,$B$27) &lt;&gt; "Нет данных",_xll.CbondsStockDealsNumber($B$1,E94,$B$27),"0")</f>
        <v>87140</v>
      </c>
      <c r="K94" s="88">
        <f>_xll.CbondsIndexValue(VLOOKUP($K$1,'Help Page'!$Q:$S,3,0),Calculation!E94)</f>
        <v>17436.759999999998</v>
      </c>
      <c r="L94" s="88">
        <f t="shared" si="11"/>
        <v>17436.759999999998</v>
      </c>
      <c r="M94" s="88">
        <f>_xll.CbondsIndexValue(VLOOKUP($M$1,'Help Page'!$Q:$S,3,0),Calculation!E94)</f>
        <v>7025.15</v>
      </c>
      <c r="N94" s="88">
        <f t="shared" si="12"/>
        <v>7025.15</v>
      </c>
      <c r="AM94" s="35"/>
      <c r="AN94" s="35"/>
      <c r="AO94" s="35"/>
      <c r="AP94" s="35"/>
      <c r="AQ94" s="35"/>
      <c r="AR94" s="35"/>
      <c r="BU94" s="20"/>
    </row>
    <row r="95" spans="5:73" x14ac:dyDescent="0.3">
      <c r="E95" s="37">
        <f t="shared" si="13"/>
        <v>45930</v>
      </c>
      <c r="F95" s="30">
        <f>_xll.CbondsStockAvgPrice($B$1,E95,$B$27)</f>
        <v>117.33</v>
      </c>
      <c r="G95" s="31">
        <f t="shared" si="10"/>
        <v>117.33</v>
      </c>
      <c r="H95" s="88">
        <f>IF(_xll.CbondsStockTradingVolume($B$1,E95,$B$27) &lt;&gt; "Нет данных",_xll.CbondsStockTradingVolume($B$1,E95,$B$27),"0")</f>
        <v>5844046846.3000002</v>
      </c>
      <c r="I95" s="88">
        <f>IF(_xll.CbondsStockDealsNumber($B$1,E95,$B$27) &lt;&gt; "Нет данных",_xll.CbondsStockDealsNumber($B$1,E95,$B$27),"0")</f>
        <v>76230</v>
      </c>
      <c r="K95" s="88">
        <f>_xll.CbondsIndexValue(VLOOKUP($K$1,'Help Page'!$Q:$S,3,0),Calculation!E95)</f>
        <v>17670.09</v>
      </c>
      <c r="L95" s="88">
        <f t="shared" si="11"/>
        <v>17670.09</v>
      </c>
      <c r="M95" s="88">
        <f>_xll.CbondsIndexValue(VLOOKUP($M$1,'Help Page'!$Q:$S,3,0),Calculation!E95)</f>
        <v>7120.28</v>
      </c>
      <c r="N95" s="88">
        <f t="shared" si="12"/>
        <v>7120.28</v>
      </c>
      <c r="AM95" s="35"/>
      <c r="AN95" s="35"/>
      <c r="AO95" s="35"/>
      <c r="AP95" s="35"/>
      <c r="AQ95" s="35"/>
      <c r="AR95" s="35"/>
      <c r="BU95" s="20"/>
    </row>
    <row r="96" spans="5:73" x14ac:dyDescent="0.3">
      <c r="E96" s="37">
        <f t="shared" si="13"/>
        <v>45929</v>
      </c>
      <c r="F96" s="30">
        <f>_xll.CbondsStockAvgPrice($B$1,E96,$B$27)</f>
        <v>118.62</v>
      </c>
      <c r="G96" s="31">
        <f t="shared" si="10"/>
        <v>118.62</v>
      </c>
      <c r="H96" s="88">
        <f>IF(_xll.CbondsStockTradingVolume($B$1,E96,$B$27) &lt;&gt; "Нет данных",_xll.CbondsStockTradingVolume($B$1,E96,$B$27),"0")</f>
        <v>8275969461.6999998</v>
      </c>
      <c r="I96" s="88">
        <f>IF(_xll.CbondsStockDealsNumber($B$1,E96,$B$27) &lt;&gt; "Нет данных",_xll.CbondsStockDealsNumber($B$1,E96,$B$27),"0")</f>
        <v>125664</v>
      </c>
      <c r="K96" s="88">
        <f>_xll.CbondsIndexValue(VLOOKUP($K$1,'Help Page'!$Q:$S,3,0),Calculation!E96)</f>
        <v>17647.41</v>
      </c>
      <c r="L96" s="88">
        <f t="shared" si="11"/>
        <v>17647.41</v>
      </c>
      <c r="M96" s="88">
        <f>_xll.CbondsIndexValue(VLOOKUP($M$1,'Help Page'!$Q:$S,3,0),Calculation!E96)</f>
        <v>7126.47</v>
      </c>
      <c r="N96" s="88">
        <f t="shared" si="12"/>
        <v>7126.47</v>
      </c>
      <c r="AM96" s="35"/>
      <c r="AN96" s="35"/>
      <c r="AO96" s="35"/>
      <c r="AP96" s="35"/>
      <c r="AQ96" s="35"/>
      <c r="AR96" s="35"/>
      <c r="BU96" s="20"/>
    </row>
    <row r="97" spans="5:73" x14ac:dyDescent="0.3">
      <c r="E97" s="37">
        <f t="shared" si="13"/>
        <v>45928</v>
      </c>
      <c r="F97" s="30" t="str">
        <f>_xll.CbondsStockAvgPrice($B$1,E97,$B$27)</f>
        <v>Нет данных</v>
      </c>
      <c r="G97" s="31">
        <f t="shared" si="10"/>
        <v>118.66</v>
      </c>
      <c r="H97" s="88" t="str">
        <f>IF(_xll.CbondsStockTradingVolume($B$1,E97,$B$27) &lt;&gt; "Нет данных",_xll.CbondsStockTradingVolume($B$1,E97,$B$27),"0")</f>
        <v>0</v>
      </c>
      <c r="I97" s="88" t="str">
        <f>IF(_xll.CbondsStockDealsNumber($B$1,E97,$B$27) &lt;&gt; "Нет данных",_xll.CbondsStockDealsNumber($B$1,E97,$B$27),"0")</f>
        <v>0</v>
      </c>
      <c r="K97" s="88" t="str">
        <f>_xll.CbondsIndexValue(VLOOKUP($K$1,'Help Page'!$Q:$S,3,0),Calculation!E97)</f>
        <v>Нет данных</v>
      </c>
      <c r="L97" s="88">
        <f t="shared" si="11"/>
        <v>17893.29</v>
      </c>
      <c r="M97" s="88" t="str">
        <f>_xll.CbondsIndexValue(VLOOKUP($M$1,'Help Page'!$Q:$S,3,0),Calculation!E97)</f>
        <v>Нет данных</v>
      </c>
      <c r="N97" s="88">
        <f t="shared" si="12"/>
        <v>7257.95</v>
      </c>
      <c r="AM97" s="35"/>
      <c r="AN97" s="35"/>
      <c r="AO97" s="35"/>
      <c r="AP97" s="35"/>
      <c r="AQ97" s="35"/>
      <c r="AR97" s="35"/>
      <c r="BU97" s="20"/>
    </row>
    <row r="98" spans="5:73" x14ac:dyDescent="0.3">
      <c r="E98" s="37">
        <f t="shared" si="13"/>
        <v>45927</v>
      </c>
      <c r="F98" s="30" t="str">
        <f>_xll.CbondsStockAvgPrice($B$1,E98,$B$27)</f>
        <v>Нет данных</v>
      </c>
      <c r="G98" s="31">
        <f t="shared" si="10"/>
        <v>118.66</v>
      </c>
      <c r="H98" s="88" t="str">
        <f>IF(_xll.CbondsStockTradingVolume($B$1,E98,$B$27) &lt;&gt; "Нет данных",_xll.CbondsStockTradingVolume($B$1,E98,$B$27),"0")</f>
        <v>0</v>
      </c>
      <c r="I98" s="88" t="str">
        <f>IF(_xll.CbondsStockDealsNumber($B$1,E98,$B$27) &lt;&gt; "Нет данных",_xll.CbondsStockDealsNumber($B$1,E98,$B$27),"0")</f>
        <v>0</v>
      </c>
      <c r="K98" s="88" t="str">
        <f>_xll.CbondsIndexValue(VLOOKUP($K$1,'Help Page'!$Q:$S,3,0),Calculation!E98)</f>
        <v>Нет данных</v>
      </c>
      <c r="L98" s="88">
        <f t="shared" si="11"/>
        <v>17893.29</v>
      </c>
      <c r="M98" s="88" t="str">
        <f>_xll.CbondsIndexValue(VLOOKUP($M$1,'Help Page'!$Q:$S,3,0),Calculation!E98)</f>
        <v>Нет данных</v>
      </c>
      <c r="N98" s="88">
        <f t="shared" si="12"/>
        <v>7257.95</v>
      </c>
      <c r="AM98" s="35"/>
      <c r="AN98" s="35"/>
      <c r="AO98" s="35"/>
      <c r="AP98" s="35"/>
      <c r="AQ98" s="35"/>
      <c r="AR98" s="35"/>
      <c r="BU98" s="20"/>
    </row>
    <row r="99" spans="5:73" x14ac:dyDescent="0.3">
      <c r="E99" s="37">
        <f t="shared" si="13"/>
        <v>45926</v>
      </c>
      <c r="F99" s="30">
        <f>_xll.CbondsStockAvgPrice($B$1,E99,$B$27)</f>
        <v>118.66</v>
      </c>
      <c r="G99" s="31">
        <f t="shared" si="10"/>
        <v>118.66</v>
      </c>
      <c r="H99" s="88">
        <f>IF(_xll.CbondsStockTradingVolume($B$1,E99,$B$27) &lt;&gt; "Нет данных",_xll.CbondsStockTradingVolume($B$1,E99,$B$27),"0")</f>
        <v>6736804590.8000002</v>
      </c>
      <c r="I99" s="88">
        <f>IF(_xll.CbondsStockDealsNumber($B$1,E99,$B$27) &lt;&gt; "Нет данных",_xll.CbondsStockDealsNumber($B$1,E99,$B$27),"0")</f>
        <v>78741</v>
      </c>
      <c r="K99" s="88">
        <f>_xll.CbondsIndexValue(VLOOKUP($K$1,'Help Page'!$Q:$S,3,0),Calculation!E99)</f>
        <v>17893.29</v>
      </c>
      <c r="L99" s="88">
        <f t="shared" si="11"/>
        <v>17893.29</v>
      </c>
      <c r="M99" s="88">
        <f>_xll.CbondsIndexValue(VLOOKUP($M$1,'Help Page'!$Q:$S,3,0),Calculation!E99)</f>
        <v>7257.95</v>
      </c>
      <c r="N99" s="88">
        <f t="shared" si="12"/>
        <v>7257.95</v>
      </c>
      <c r="AM99" s="35"/>
      <c r="AN99" s="35"/>
      <c r="AO99" s="35"/>
      <c r="AP99" s="35"/>
      <c r="AQ99" s="35"/>
      <c r="AR99" s="35"/>
      <c r="BU99" s="20"/>
    </row>
    <row r="100" spans="5:73" x14ac:dyDescent="0.3">
      <c r="E100" s="37">
        <f t="shared" si="13"/>
        <v>45925</v>
      </c>
      <c r="F100" s="30">
        <f>_xll.CbondsStockAvgPrice($B$1,E100,$B$27)</f>
        <v>118.16</v>
      </c>
      <c r="G100" s="31">
        <f>IF(IF(AND(F100="",E100=""),"",IF(AND(F100="Нет данных",E100&lt;&gt;""),G101,F100)) = 0,"",IF(AND(F100="",E100=""),"",IF(AND(F100="Нет данных",E100&lt;&gt;""),G101,F100)))</f>
        <v>118.16</v>
      </c>
      <c r="H100" s="88">
        <f>IF(_xll.CbondsStockTradingVolume($B$1,E100,$B$27) &lt;&gt; "Нет данных",_xll.CbondsStockTradingVolume($B$1,E100,$B$27),"0")</f>
        <v>4349225817.8999996</v>
      </c>
      <c r="I100" s="88">
        <f>IF(_xll.CbondsStockDealsNumber($B$1,E100,$B$27) &lt;&gt; "Нет данных",_xll.CbondsStockDealsNumber($B$1,E100,$B$27),"0")</f>
        <v>57734</v>
      </c>
      <c r="K100" s="88">
        <f>_xll.CbondsIndexValue(VLOOKUP($K$1,'Help Page'!$Q:$S,3,0),Calculation!E100)</f>
        <v>17749.740000000002</v>
      </c>
      <c r="L100" s="88">
        <f t="shared" si="11"/>
        <v>17749.740000000002</v>
      </c>
      <c r="M100" s="88">
        <f>_xll.CbondsIndexValue(VLOOKUP($M$1,'Help Page'!$Q:$S,3,0),Calculation!E100)</f>
        <v>7188.44</v>
      </c>
      <c r="N100" s="88">
        <f t="shared" si="12"/>
        <v>7188.44</v>
      </c>
      <c r="AM100" s="35"/>
      <c r="AN100" s="35"/>
      <c r="AO100" s="35"/>
      <c r="AP100" s="35"/>
      <c r="AQ100" s="35"/>
      <c r="AR100" s="35"/>
      <c r="BU100" s="20"/>
    </row>
    <row r="101" spans="5:73" x14ac:dyDescent="0.3">
      <c r="E101" s="37">
        <f t="shared" si="13"/>
        <v>45924</v>
      </c>
      <c r="F101" s="30">
        <f>_xll.CbondsStockAvgPrice($B$1,E101,$B$27)</f>
        <v>117.86</v>
      </c>
      <c r="G101" s="31">
        <f t="shared" si="10"/>
        <v>117.86</v>
      </c>
      <c r="H101" s="88">
        <f>IF(_xll.CbondsStockTradingVolume($B$1,E101,$B$27) &lt;&gt; "Нет данных",_xll.CbondsStockTradingVolume($B$1,E101,$B$27),"0")</f>
        <v>8686220758.5</v>
      </c>
      <c r="I101" s="88">
        <f>IF(_xll.CbondsStockDealsNumber($B$1,E101,$B$27) &lt;&gt; "Нет данных",_xll.CbondsStockDealsNumber($B$1,E101,$B$27),"0")</f>
        <v>101269</v>
      </c>
      <c r="K101" s="88">
        <f>_xll.CbondsIndexValue(VLOOKUP($K$1,'Help Page'!$Q:$S,3,0),Calculation!E101)</f>
        <v>17841.169999999998</v>
      </c>
      <c r="L101" s="88">
        <f t="shared" si="11"/>
        <v>17841.169999999998</v>
      </c>
      <c r="M101" s="88">
        <f>_xll.CbondsIndexValue(VLOOKUP($M$1,'Help Page'!$Q:$S,3,0),Calculation!E101)</f>
        <v>7212.77</v>
      </c>
      <c r="N101" s="88">
        <f t="shared" si="12"/>
        <v>7212.77</v>
      </c>
      <c r="AM101" s="35"/>
      <c r="AN101" s="35"/>
      <c r="AO101" s="35"/>
      <c r="AP101" s="35"/>
      <c r="AQ101" s="35"/>
      <c r="AR101" s="35"/>
      <c r="BU101" s="20"/>
    </row>
    <row r="102" spans="5:73" x14ac:dyDescent="0.3">
      <c r="E102" s="37">
        <f t="shared" si="13"/>
        <v>45923</v>
      </c>
      <c r="F102" s="30">
        <f>_xll.CbondsStockAvgPrice($B$1,E102,$B$27)</f>
        <v>119.32</v>
      </c>
      <c r="G102" s="31">
        <f t="shared" si="10"/>
        <v>119.32</v>
      </c>
      <c r="H102" s="88">
        <f>IF(_xll.CbondsStockTradingVolume($B$1,E102,$B$27) &lt;&gt; "Нет данных",_xll.CbondsStockTradingVolume($B$1,E102,$B$27),"0")</f>
        <v>8883859851.2000008</v>
      </c>
      <c r="I102" s="88">
        <f>IF(_xll.CbondsStockDealsNumber($B$1,E102,$B$27) &lt;&gt; "Нет данных",_xll.CbondsStockDealsNumber($B$1,E102,$B$27),"0")</f>
        <v>96645</v>
      </c>
      <c r="K102" s="88">
        <f>_xll.CbondsIndexValue(VLOOKUP($K$1,'Help Page'!$Q:$S,3,0),Calculation!E102)</f>
        <v>18073.240000000002</v>
      </c>
      <c r="L102" s="88">
        <f t="shared" si="11"/>
        <v>18073.240000000002</v>
      </c>
      <c r="M102" s="88">
        <f>_xll.CbondsIndexValue(VLOOKUP($M$1,'Help Page'!$Q:$S,3,0),Calculation!E102)</f>
        <v>7298.26</v>
      </c>
      <c r="N102" s="88">
        <f t="shared" si="12"/>
        <v>7298.26</v>
      </c>
      <c r="AM102" s="35"/>
      <c r="AN102" s="35"/>
      <c r="AO102" s="35"/>
      <c r="AP102" s="35"/>
      <c r="AQ102" s="35"/>
      <c r="AR102" s="35"/>
      <c r="BU102" s="20"/>
    </row>
    <row r="103" spans="5:73" x14ac:dyDescent="0.3">
      <c r="E103" s="37">
        <f t="shared" si="13"/>
        <v>45922</v>
      </c>
      <c r="F103" s="30">
        <f>_xll.CbondsStockAvgPrice($B$1,E103,$B$27)</f>
        <v>119.33</v>
      </c>
      <c r="G103" s="31">
        <f t="shared" si="10"/>
        <v>119.33</v>
      </c>
      <c r="H103" s="88">
        <f>IF(_xll.CbondsStockTradingVolume($B$1,E103,$B$27) &lt;&gt; "Нет данных",_xll.CbondsStockTradingVolume($B$1,E103,$B$27),"0")</f>
        <v>10234737407.299999</v>
      </c>
      <c r="I103" s="88">
        <f>IF(_xll.CbondsStockDealsNumber($B$1,E103,$B$27) &lt;&gt; "Нет данных",_xll.CbondsStockDealsNumber($B$1,E103,$B$27),"0")</f>
        <v>137730</v>
      </c>
      <c r="K103" s="88">
        <f>_xll.CbondsIndexValue(VLOOKUP($K$1,'Help Page'!$Q:$S,3,0),Calculation!E103)</f>
        <v>17959.63</v>
      </c>
      <c r="L103" s="88">
        <f t="shared" si="11"/>
        <v>17959.63</v>
      </c>
      <c r="M103" s="88">
        <f>_xll.CbondsIndexValue(VLOOKUP($M$1,'Help Page'!$Q:$S,3,0),Calculation!E103)</f>
        <v>7271.8</v>
      </c>
      <c r="N103" s="88">
        <f t="shared" si="12"/>
        <v>7271.8</v>
      </c>
      <c r="AM103" s="35"/>
      <c r="AN103" s="35"/>
      <c r="AO103" s="35"/>
      <c r="AP103" s="35"/>
      <c r="AQ103" s="35"/>
      <c r="AR103" s="35"/>
      <c r="BU103" s="20"/>
    </row>
    <row r="104" spans="5:73" x14ac:dyDescent="0.3">
      <c r="E104" s="37">
        <f t="shared" si="13"/>
        <v>45921</v>
      </c>
      <c r="F104" s="30" t="str">
        <f>_xll.CbondsStockAvgPrice($B$1,E104,$B$27)</f>
        <v>Нет данных</v>
      </c>
      <c r="G104" s="31">
        <f t="shared" si="10"/>
        <v>121.99</v>
      </c>
      <c r="H104" s="88" t="str">
        <f>IF(_xll.CbondsStockTradingVolume($B$1,E104,$B$27) &lt;&gt; "Нет данных",_xll.CbondsStockTradingVolume($B$1,E104,$B$27),"0")</f>
        <v>0</v>
      </c>
      <c r="I104" s="88" t="str">
        <f>IF(_xll.CbondsStockDealsNumber($B$1,E104,$B$27) &lt;&gt; "Нет данных",_xll.CbondsStockDealsNumber($B$1,E104,$B$27),"0")</f>
        <v>0</v>
      </c>
      <c r="K104" s="88" t="str">
        <f>_xll.CbondsIndexValue(VLOOKUP($K$1,'Help Page'!$Q:$S,3,0),Calculation!E104)</f>
        <v>Нет данных</v>
      </c>
      <c r="L104" s="88">
        <f t="shared" si="11"/>
        <v>17994.3</v>
      </c>
      <c r="M104" s="88" t="str">
        <f>_xll.CbondsIndexValue(VLOOKUP($M$1,'Help Page'!$Q:$S,3,0),Calculation!E104)</f>
        <v>Нет данных</v>
      </c>
      <c r="N104" s="88">
        <f t="shared" si="12"/>
        <v>7315.83</v>
      </c>
      <c r="AM104" s="35"/>
      <c r="AN104" s="35"/>
      <c r="AO104" s="35"/>
      <c r="AP104" s="35"/>
      <c r="AQ104" s="35"/>
      <c r="AR104" s="35"/>
      <c r="BU104" s="20"/>
    </row>
    <row r="105" spans="5:73" x14ac:dyDescent="0.3">
      <c r="E105" s="37">
        <f t="shared" si="13"/>
        <v>45920</v>
      </c>
      <c r="F105" s="30" t="str">
        <f>_xll.CbondsStockAvgPrice($B$1,E105,$B$27)</f>
        <v>Нет данных</v>
      </c>
      <c r="G105" s="31">
        <f t="shared" si="10"/>
        <v>121.99</v>
      </c>
      <c r="H105" s="88" t="str">
        <f>IF(_xll.CbondsStockTradingVolume($B$1,E105,$B$27) &lt;&gt; "Нет данных",_xll.CbondsStockTradingVolume($B$1,E105,$B$27),"0")</f>
        <v>0</v>
      </c>
      <c r="I105" s="88" t="str">
        <f>IF(_xll.CbondsStockDealsNumber($B$1,E105,$B$27) &lt;&gt; "Нет данных",_xll.CbondsStockDealsNumber($B$1,E105,$B$27),"0")</f>
        <v>0</v>
      </c>
      <c r="K105" s="88" t="str">
        <f>_xll.CbondsIndexValue(VLOOKUP($K$1,'Help Page'!$Q:$S,3,0),Calculation!E105)</f>
        <v>Нет данных</v>
      </c>
      <c r="L105" s="88">
        <f t="shared" si="11"/>
        <v>17994.3</v>
      </c>
      <c r="M105" s="88" t="str">
        <f>_xll.CbondsIndexValue(VLOOKUP($M$1,'Help Page'!$Q:$S,3,0),Calculation!E105)</f>
        <v>Нет данных</v>
      </c>
      <c r="N105" s="88">
        <f t="shared" si="12"/>
        <v>7315.83</v>
      </c>
      <c r="AM105" s="35"/>
      <c r="AN105" s="35"/>
      <c r="AO105" s="35"/>
      <c r="AP105" s="35"/>
      <c r="AQ105" s="35"/>
      <c r="AR105" s="35"/>
      <c r="BU105" s="20"/>
    </row>
    <row r="106" spans="5:73" x14ac:dyDescent="0.3">
      <c r="E106" s="37">
        <f t="shared" si="13"/>
        <v>45919</v>
      </c>
      <c r="F106" s="30">
        <f>_xll.CbondsStockAvgPrice($B$1,E106,$B$27)</f>
        <v>121.99</v>
      </c>
      <c r="G106" s="31">
        <f t="shared" si="10"/>
        <v>121.99</v>
      </c>
      <c r="H106" s="88">
        <f>IF(_xll.CbondsStockTradingVolume($B$1,E106,$B$27) &lt;&gt; "Нет данных",_xll.CbondsStockTradingVolume($B$1,E106,$B$27),"0")</f>
        <v>9061688670.8999996</v>
      </c>
      <c r="I106" s="88">
        <f>IF(_xll.CbondsStockDealsNumber($B$1,E106,$B$27) &lt;&gt; "Нет данных",_xll.CbondsStockDealsNumber($B$1,E106,$B$27),"0")</f>
        <v>102538</v>
      </c>
      <c r="K106" s="88">
        <f>_xll.CbondsIndexValue(VLOOKUP($K$1,'Help Page'!$Q:$S,3,0),Calculation!E106)</f>
        <v>17994.3</v>
      </c>
      <c r="L106" s="88">
        <f t="shared" si="11"/>
        <v>17994.3</v>
      </c>
      <c r="M106" s="88">
        <f>_xll.CbondsIndexValue(VLOOKUP($M$1,'Help Page'!$Q:$S,3,0),Calculation!E106)</f>
        <v>7315.83</v>
      </c>
      <c r="N106" s="88">
        <f t="shared" si="12"/>
        <v>7315.83</v>
      </c>
      <c r="AM106" s="35"/>
      <c r="AN106" s="35"/>
      <c r="AO106" s="35"/>
      <c r="AP106" s="35"/>
      <c r="AQ106" s="35"/>
      <c r="AR106" s="35"/>
      <c r="BU106" s="20"/>
    </row>
    <row r="107" spans="5:73" x14ac:dyDescent="0.3">
      <c r="E107" s="37">
        <f t="shared" si="13"/>
        <v>45918</v>
      </c>
      <c r="F107" s="30">
        <f>_xll.CbondsStockAvgPrice($B$1,E107,$B$27)</f>
        <v>123.14</v>
      </c>
      <c r="G107" s="31">
        <f t="shared" si="10"/>
        <v>123.14</v>
      </c>
      <c r="H107" s="88">
        <f>IF(_xll.CbondsStockTradingVolume($B$1,E107,$B$27) &lt;&gt; "Нет данных",_xll.CbondsStockTradingVolume($B$1,E107,$B$27),"0")</f>
        <v>9129111693.6000004</v>
      </c>
      <c r="I107" s="88">
        <f>IF(_xll.CbondsStockDealsNumber($B$1,E107,$B$27) &lt;&gt; "Нет данных",_xll.CbondsStockDealsNumber($B$1,E107,$B$27),"0")</f>
        <v>108386</v>
      </c>
      <c r="K107" s="88">
        <f>_xll.CbondsIndexValue(VLOOKUP($K$1,'Help Page'!$Q:$S,3,0),Calculation!E107)</f>
        <v>18304.150000000001</v>
      </c>
      <c r="L107" s="88">
        <f t="shared" si="11"/>
        <v>18304.150000000001</v>
      </c>
      <c r="M107" s="88">
        <f>_xll.CbondsIndexValue(VLOOKUP($M$1,'Help Page'!$Q:$S,3,0),Calculation!E107)</f>
        <v>7441.89</v>
      </c>
      <c r="N107" s="88">
        <f t="shared" si="12"/>
        <v>7441.89</v>
      </c>
      <c r="AM107" s="35"/>
      <c r="AN107" s="35"/>
      <c r="AO107" s="35"/>
      <c r="AP107" s="35"/>
      <c r="AQ107" s="35"/>
      <c r="AR107" s="35"/>
      <c r="BU107" s="20"/>
    </row>
    <row r="108" spans="5:73" x14ac:dyDescent="0.3">
      <c r="E108" s="37">
        <f t="shared" si="13"/>
        <v>45917</v>
      </c>
      <c r="F108" s="30">
        <f>_xll.CbondsStockAvgPrice($B$1,E108,$B$27)</f>
        <v>123.41</v>
      </c>
      <c r="G108" s="31">
        <f t="shared" si="10"/>
        <v>123.41</v>
      </c>
      <c r="H108" s="88">
        <f>IF(_xll.CbondsStockTradingVolume($B$1,E108,$B$27) &lt;&gt; "Нет данных",_xll.CbondsStockTradingVolume($B$1,E108,$B$27),"0")</f>
        <v>6538503558.5</v>
      </c>
      <c r="I108" s="88">
        <f>IF(_xll.CbondsStockDealsNumber($B$1,E108,$B$27) &lt;&gt; "Нет данных",_xll.CbondsStockDealsNumber($B$1,E108,$B$27),"0")</f>
        <v>85730</v>
      </c>
      <c r="K108" s="88">
        <f>_xll.CbondsIndexValue(VLOOKUP($K$1,'Help Page'!$Q:$S,3,0),Calculation!E108)</f>
        <v>18426.14</v>
      </c>
      <c r="L108" s="88">
        <f t="shared" si="11"/>
        <v>18426.14</v>
      </c>
      <c r="M108" s="88">
        <f>_xll.CbondsIndexValue(VLOOKUP($M$1,'Help Page'!$Q:$S,3,0),Calculation!E108)</f>
        <v>7510.16</v>
      </c>
      <c r="N108" s="88">
        <f t="shared" si="12"/>
        <v>7510.16</v>
      </c>
      <c r="AM108" s="35"/>
      <c r="AN108" s="35"/>
      <c r="AO108" s="35"/>
      <c r="AP108" s="35"/>
      <c r="AQ108" s="35"/>
      <c r="AR108" s="35"/>
      <c r="BU108" s="20"/>
    </row>
    <row r="109" spans="5:73" x14ac:dyDescent="0.3">
      <c r="E109" s="37">
        <f t="shared" si="13"/>
        <v>45916</v>
      </c>
      <c r="F109" s="30">
        <f>_xll.CbondsStockAvgPrice($B$1,E109,$B$27)</f>
        <v>123.27</v>
      </c>
      <c r="G109" s="31">
        <f t="shared" si="10"/>
        <v>123.27</v>
      </c>
      <c r="H109" s="88">
        <f>IF(_xll.CbondsStockTradingVolume($B$1,E109,$B$27) &lt;&gt; "Нет данных",_xll.CbondsStockTradingVolume($B$1,E109,$B$27),"0")</f>
        <v>8452102835.6999998</v>
      </c>
      <c r="I109" s="88">
        <f>IF(_xll.CbondsStockDealsNumber($B$1,E109,$B$27) &lt;&gt; "Нет данных",_xll.CbondsStockDealsNumber($B$1,E109,$B$27),"0")</f>
        <v>92279</v>
      </c>
      <c r="K109" s="88">
        <f>_xll.CbondsIndexValue(VLOOKUP($K$1,'Help Page'!$Q:$S,3,0),Calculation!E109)</f>
        <v>18339.05</v>
      </c>
      <c r="L109" s="88">
        <f t="shared" si="11"/>
        <v>18339.05</v>
      </c>
      <c r="M109" s="88">
        <f>_xll.CbondsIndexValue(VLOOKUP($M$1,'Help Page'!$Q:$S,3,0),Calculation!E109)</f>
        <v>7471.28</v>
      </c>
      <c r="N109" s="88">
        <f t="shared" si="12"/>
        <v>7471.28</v>
      </c>
      <c r="AM109" s="35"/>
      <c r="AN109" s="35"/>
      <c r="AO109" s="35"/>
      <c r="AP109" s="35"/>
      <c r="AQ109" s="35"/>
      <c r="AR109" s="35"/>
      <c r="BU109" s="20"/>
    </row>
    <row r="110" spans="5:73" x14ac:dyDescent="0.3">
      <c r="E110" s="37">
        <f t="shared" si="13"/>
        <v>45915</v>
      </c>
      <c r="F110" s="30">
        <f>_xll.CbondsStockAvgPrice($B$1,E110,$B$27)</f>
        <v>124.68</v>
      </c>
      <c r="G110" s="31">
        <f t="shared" si="10"/>
        <v>124.68</v>
      </c>
      <c r="H110" s="88">
        <f>IF(_xll.CbondsStockTradingVolume($B$1,E110,$B$27) &lt;&gt; "Нет данных",_xll.CbondsStockTradingVolume($B$1,E110,$B$27),"0")</f>
        <v>9100376276</v>
      </c>
      <c r="I110" s="88">
        <f>IF(_xll.CbondsStockDealsNumber($B$1,E110,$B$27) &lt;&gt; "Нет данных",_xll.CbondsStockDealsNumber($B$1,E110,$B$27),"0")</f>
        <v>116370</v>
      </c>
      <c r="K110" s="88">
        <f>_xll.CbondsIndexValue(VLOOKUP($K$1,'Help Page'!$Q:$S,3,0),Calculation!E110)</f>
        <v>18384.91</v>
      </c>
      <c r="L110" s="88">
        <f t="shared" si="11"/>
        <v>18384.91</v>
      </c>
      <c r="M110" s="88">
        <f>_xll.CbondsIndexValue(VLOOKUP($M$1,'Help Page'!$Q:$S,3,0),Calculation!E110)</f>
        <v>7498.09</v>
      </c>
      <c r="N110" s="88">
        <f t="shared" si="12"/>
        <v>7498.09</v>
      </c>
      <c r="AM110" s="35"/>
      <c r="AN110" s="35"/>
      <c r="AO110" s="35"/>
      <c r="AP110" s="35"/>
      <c r="AQ110" s="35"/>
      <c r="AR110" s="35"/>
      <c r="BU110" s="20"/>
    </row>
    <row r="111" spans="5:73" x14ac:dyDescent="0.3">
      <c r="E111" s="37">
        <f t="shared" si="13"/>
        <v>45914</v>
      </c>
      <c r="F111" s="30" t="str">
        <f>_xll.CbondsStockAvgPrice($B$1,E111,$B$27)</f>
        <v>Нет данных</v>
      </c>
      <c r="G111" s="31">
        <f t="shared" si="10"/>
        <v>127.3</v>
      </c>
      <c r="H111" s="88" t="str">
        <f>IF(_xll.CbondsStockTradingVolume($B$1,E111,$B$27) &lt;&gt; "Нет данных",_xll.CbondsStockTradingVolume($B$1,E111,$B$27),"0")</f>
        <v>0</v>
      </c>
      <c r="I111" s="88" t="str">
        <f>IF(_xll.CbondsStockDealsNumber($B$1,E111,$B$27) &lt;&gt; "Нет данных",_xll.CbondsStockDealsNumber($B$1,E111,$B$27),"0")</f>
        <v>0</v>
      </c>
      <c r="K111" s="88" t="str">
        <f>_xll.CbondsIndexValue(VLOOKUP($K$1,'Help Page'!$Q:$S,3,0),Calculation!E111)</f>
        <v>Нет данных</v>
      </c>
      <c r="L111" s="88">
        <f t="shared" si="11"/>
        <v>18548.34</v>
      </c>
      <c r="M111" s="88" t="str">
        <f>_xll.CbondsIndexValue(VLOOKUP($M$1,'Help Page'!$Q:$S,3,0),Calculation!E111)</f>
        <v>Нет данных</v>
      </c>
      <c r="N111" s="88">
        <f t="shared" si="12"/>
        <v>7563.36</v>
      </c>
      <c r="AM111" s="35"/>
      <c r="AN111" s="35"/>
      <c r="AO111" s="35"/>
      <c r="AP111" s="35"/>
      <c r="AQ111" s="35"/>
      <c r="AR111" s="35"/>
      <c r="BU111" s="20"/>
    </row>
    <row r="112" spans="5:73" x14ac:dyDescent="0.3">
      <c r="E112" s="37">
        <f t="shared" si="13"/>
        <v>45913</v>
      </c>
      <c r="F112" s="30" t="str">
        <f>_xll.CbondsStockAvgPrice($B$1,E112,$B$27)</f>
        <v>Нет данных</v>
      </c>
      <c r="G112" s="31">
        <f t="shared" si="10"/>
        <v>127.3</v>
      </c>
      <c r="H112" s="88" t="str">
        <f>IF(_xll.CbondsStockTradingVolume($B$1,E112,$B$27) &lt;&gt; "Нет данных",_xll.CbondsStockTradingVolume($B$1,E112,$B$27),"0")</f>
        <v>0</v>
      </c>
      <c r="I112" s="88" t="str">
        <f>IF(_xll.CbondsStockDealsNumber($B$1,E112,$B$27) &lt;&gt; "Нет данных",_xll.CbondsStockDealsNumber($B$1,E112,$B$27),"0")</f>
        <v>0</v>
      </c>
      <c r="K112" s="88" t="str">
        <f>_xll.CbondsIndexValue(VLOOKUP($K$1,'Help Page'!$Q:$S,3,0),Calculation!E112)</f>
        <v>Нет данных</v>
      </c>
      <c r="L112" s="88">
        <f t="shared" si="11"/>
        <v>18548.34</v>
      </c>
      <c r="M112" s="88" t="str">
        <f>_xll.CbondsIndexValue(VLOOKUP($M$1,'Help Page'!$Q:$S,3,0),Calculation!E112)</f>
        <v>Нет данных</v>
      </c>
      <c r="N112" s="88">
        <f t="shared" si="12"/>
        <v>7563.36</v>
      </c>
      <c r="AM112" s="35"/>
      <c r="AN112" s="35"/>
      <c r="AO112" s="35"/>
      <c r="AP112" s="35"/>
      <c r="AQ112" s="35"/>
      <c r="AR112" s="35"/>
      <c r="BU112" s="20"/>
    </row>
    <row r="113" spans="5:73" x14ac:dyDescent="0.3">
      <c r="E113" s="37">
        <f t="shared" si="13"/>
        <v>45912</v>
      </c>
      <c r="F113" s="30">
        <f>_xll.CbondsStockAvgPrice($B$1,E113,$B$27)</f>
        <v>127.3</v>
      </c>
      <c r="G113" s="31">
        <f t="shared" si="10"/>
        <v>127.3</v>
      </c>
      <c r="H113" s="88">
        <f>IF(_xll.CbondsStockTradingVolume($B$1,E113,$B$27) &lt;&gt; "Нет данных",_xll.CbondsStockTradingVolume($B$1,E113,$B$27),"0")</f>
        <v>10771827670.700001</v>
      </c>
      <c r="I113" s="88">
        <f>IF(_xll.CbondsStockDealsNumber($B$1,E113,$B$27) &lt;&gt; "Нет данных",_xll.CbondsStockDealsNumber($B$1,E113,$B$27),"0")</f>
        <v>126985</v>
      </c>
      <c r="K113" s="88">
        <f>_xll.CbondsIndexValue(VLOOKUP($K$1,'Help Page'!$Q:$S,3,0),Calculation!E113)</f>
        <v>18548.34</v>
      </c>
      <c r="L113" s="88">
        <f t="shared" si="11"/>
        <v>18548.34</v>
      </c>
      <c r="M113" s="88">
        <f>_xll.CbondsIndexValue(VLOOKUP($M$1,'Help Page'!$Q:$S,3,0),Calculation!E113)</f>
        <v>7563.36</v>
      </c>
      <c r="N113" s="88">
        <f t="shared" si="12"/>
        <v>7563.36</v>
      </c>
      <c r="AM113" s="35"/>
      <c r="AN113" s="35"/>
      <c r="AO113" s="35"/>
      <c r="AP113" s="35"/>
      <c r="AQ113" s="35"/>
      <c r="AR113" s="35"/>
      <c r="BU113" s="20"/>
    </row>
    <row r="114" spans="5:73" x14ac:dyDescent="0.3">
      <c r="E114" s="37">
        <f t="shared" si="13"/>
        <v>45911</v>
      </c>
      <c r="F114" s="30">
        <f>_xll.CbondsStockAvgPrice($B$1,E114,$B$27)</f>
        <v>130.01</v>
      </c>
      <c r="G114" s="31">
        <f t="shared" si="10"/>
        <v>130.01</v>
      </c>
      <c r="H114" s="88">
        <f>IF(_xll.CbondsStockTradingVolume($B$1,E114,$B$27) &lt;&gt; "Нет данных",_xll.CbondsStockTradingVolume($B$1,E114,$B$27),"0")</f>
        <v>6420967560.3000002</v>
      </c>
      <c r="I114" s="88">
        <f>IF(_xll.CbondsStockDealsNumber($B$1,E114,$B$27) &lt;&gt; "Нет данных",_xll.CbondsStockDealsNumber($B$1,E114,$B$27),"0")</f>
        <v>80234</v>
      </c>
      <c r="K114" s="88">
        <f>_xll.CbondsIndexValue(VLOOKUP($K$1,'Help Page'!$Q:$S,3,0),Calculation!E114)</f>
        <v>18992.259999999998</v>
      </c>
      <c r="L114" s="88">
        <f t="shared" si="11"/>
        <v>18992.259999999998</v>
      </c>
      <c r="M114" s="88">
        <f>_xll.CbondsIndexValue(VLOOKUP($M$1,'Help Page'!$Q:$S,3,0),Calculation!E114)</f>
        <v>7765.74</v>
      </c>
      <c r="N114" s="88">
        <f t="shared" si="12"/>
        <v>7765.74</v>
      </c>
      <c r="AM114" s="35"/>
      <c r="AN114" s="35"/>
      <c r="AO114" s="35"/>
      <c r="AP114" s="35"/>
      <c r="AQ114" s="35"/>
      <c r="AR114" s="35"/>
      <c r="BU114" s="20"/>
    </row>
    <row r="115" spans="5:73" x14ac:dyDescent="0.3">
      <c r="E115" s="37">
        <f t="shared" si="13"/>
        <v>45910</v>
      </c>
      <c r="F115" s="30">
        <f>_xll.CbondsStockAvgPrice($B$1,E115,$B$27)</f>
        <v>131.52000000000001</v>
      </c>
      <c r="G115" s="31">
        <f t="shared" si="10"/>
        <v>131.52000000000001</v>
      </c>
      <c r="H115" s="88">
        <f>IF(_xll.CbondsStockTradingVolume($B$1,E115,$B$27) &lt;&gt; "Нет данных",_xll.CbondsStockTradingVolume($B$1,E115,$B$27),"0")</f>
        <v>8247337752.1000004</v>
      </c>
      <c r="I115" s="88">
        <f>IF(_xll.CbondsStockDealsNumber($B$1,E115,$B$27) &lt;&gt; "Нет данных",_xll.CbondsStockDealsNumber($B$1,E115,$B$27),"0")</f>
        <v>102838</v>
      </c>
      <c r="K115" s="88">
        <f>_xll.CbondsIndexValue(VLOOKUP($K$1,'Help Page'!$Q:$S,3,0),Calculation!E115)</f>
        <v>19049.16</v>
      </c>
      <c r="L115" s="88">
        <f t="shared" si="11"/>
        <v>19049.16</v>
      </c>
      <c r="M115" s="88">
        <f>_xll.CbondsIndexValue(VLOOKUP($M$1,'Help Page'!$Q:$S,3,0),Calculation!E115)</f>
        <v>7753.39</v>
      </c>
      <c r="N115" s="88">
        <f t="shared" si="12"/>
        <v>7753.39</v>
      </c>
      <c r="AM115" s="35"/>
      <c r="AN115" s="35"/>
      <c r="AO115" s="35"/>
      <c r="AP115" s="35"/>
      <c r="AQ115" s="35"/>
      <c r="AR115" s="35"/>
      <c r="BU115" s="20"/>
    </row>
    <row r="116" spans="5:73" x14ac:dyDescent="0.3">
      <c r="E116" s="37">
        <f t="shared" si="13"/>
        <v>45909</v>
      </c>
      <c r="F116" s="30">
        <f>_xll.CbondsStockAvgPrice($B$1,E116,$B$27)</f>
        <v>133.15</v>
      </c>
      <c r="G116" s="31">
        <f t="shared" si="10"/>
        <v>133.15</v>
      </c>
      <c r="H116" s="88">
        <f>IF(_xll.CbondsStockTradingVolume($B$1,E116,$B$27) &lt;&gt; "Нет данных",_xll.CbondsStockTradingVolume($B$1,E116,$B$27),"0")</f>
        <v>4510576465.8000002</v>
      </c>
      <c r="I116" s="88">
        <f>IF(_xll.CbondsStockDealsNumber($B$1,E116,$B$27) &lt;&gt; "Нет данных",_xll.CbondsStockDealsNumber($B$1,E116,$B$27),"0")</f>
        <v>52242</v>
      </c>
      <c r="K116" s="88">
        <f>_xll.CbondsIndexValue(VLOOKUP($K$1,'Help Page'!$Q:$S,3,0),Calculation!E116)</f>
        <v>19195.39</v>
      </c>
      <c r="L116" s="88">
        <f t="shared" si="11"/>
        <v>19195.39</v>
      </c>
      <c r="M116" s="88">
        <f>_xll.CbondsIndexValue(VLOOKUP($M$1,'Help Page'!$Q:$S,3,0),Calculation!E116)</f>
        <v>7817.98</v>
      </c>
      <c r="N116" s="88">
        <f t="shared" si="12"/>
        <v>7817.98</v>
      </c>
      <c r="AM116" s="35"/>
      <c r="AN116" s="35"/>
      <c r="AO116" s="35"/>
      <c r="AP116" s="35"/>
      <c r="AQ116" s="35"/>
      <c r="AR116" s="35"/>
      <c r="BU116" s="20"/>
    </row>
    <row r="117" spans="5:73" x14ac:dyDescent="0.3">
      <c r="E117" s="37">
        <f t="shared" si="13"/>
        <v>45908</v>
      </c>
      <c r="F117" s="30">
        <f>_xll.CbondsStockAvgPrice($B$1,E117,$B$27)</f>
        <v>133.13</v>
      </c>
      <c r="G117" s="31">
        <f t="shared" si="10"/>
        <v>133.13</v>
      </c>
      <c r="H117" s="88">
        <f>IF(_xll.CbondsStockTradingVolume($B$1,E117,$B$27) &lt;&gt; "Нет данных",_xll.CbondsStockTradingVolume($B$1,E117,$B$27),"0")</f>
        <v>6433510045.6000004</v>
      </c>
      <c r="I117" s="88">
        <f>IF(_xll.CbondsStockDealsNumber($B$1,E117,$B$27) &lt;&gt; "Нет данных",_xll.CbondsStockDealsNumber($B$1,E117,$B$27),"0")</f>
        <v>75752</v>
      </c>
      <c r="K117" s="88">
        <f>_xll.CbondsIndexValue(VLOOKUP($K$1,'Help Page'!$Q:$S,3,0),Calculation!E117)</f>
        <v>19095.14</v>
      </c>
      <c r="L117" s="88">
        <f t="shared" si="11"/>
        <v>19095.14</v>
      </c>
      <c r="M117" s="88">
        <f>_xll.CbondsIndexValue(VLOOKUP($M$1,'Help Page'!$Q:$S,3,0),Calculation!E117)</f>
        <v>7764.9</v>
      </c>
      <c r="N117" s="88">
        <f t="shared" si="12"/>
        <v>7764.9</v>
      </c>
      <c r="AM117" s="35"/>
      <c r="AN117" s="35"/>
      <c r="AO117" s="35"/>
      <c r="AP117" s="35"/>
      <c r="AQ117" s="35"/>
      <c r="AR117" s="35"/>
      <c r="BU117" s="20"/>
    </row>
    <row r="118" spans="5:73" x14ac:dyDescent="0.3">
      <c r="E118" s="37">
        <f t="shared" si="13"/>
        <v>45907</v>
      </c>
      <c r="F118" s="30" t="str">
        <f>_xll.CbondsStockAvgPrice($B$1,E118,$B$27)</f>
        <v>Нет данных</v>
      </c>
      <c r="G118" s="31">
        <f t="shared" si="10"/>
        <v>131.83000000000001</v>
      </c>
      <c r="H118" s="88" t="str">
        <f>IF(_xll.CbondsStockTradingVolume($B$1,E118,$B$27) &lt;&gt; "Нет данных",_xll.CbondsStockTradingVolume($B$1,E118,$B$27),"0")</f>
        <v>0</v>
      </c>
      <c r="I118" s="88" t="str">
        <f>IF(_xll.CbondsStockDealsNumber($B$1,E118,$B$27) &lt;&gt; "Нет данных",_xll.CbondsStockDealsNumber($B$1,E118,$B$27),"0")</f>
        <v>0</v>
      </c>
      <c r="K118" s="88" t="str">
        <f>_xll.CbondsIndexValue(VLOOKUP($K$1,'Help Page'!$Q:$S,3,0),Calculation!E118)</f>
        <v>Нет данных</v>
      </c>
      <c r="L118" s="88">
        <f t="shared" si="11"/>
        <v>18962.59</v>
      </c>
      <c r="M118" s="88" t="str">
        <f>_xll.CbondsIndexValue(VLOOKUP($M$1,'Help Page'!$Q:$S,3,0),Calculation!E118)</f>
        <v>Нет данных</v>
      </c>
      <c r="N118" s="88">
        <f t="shared" si="12"/>
        <v>7744.8</v>
      </c>
      <c r="AM118" s="35"/>
      <c r="AN118" s="35"/>
      <c r="AO118" s="35"/>
      <c r="AP118" s="35"/>
      <c r="AQ118" s="35"/>
      <c r="AR118" s="35"/>
      <c r="BU118" s="20"/>
    </row>
    <row r="119" spans="5:73" x14ac:dyDescent="0.3">
      <c r="E119" s="37">
        <f t="shared" si="13"/>
        <v>45906</v>
      </c>
      <c r="F119" s="30" t="str">
        <f>_xll.CbondsStockAvgPrice($B$1,E119,$B$27)</f>
        <v>Нет данных</v>
      </c>
      <c r="G119" s="31">
        <f t="shared" si="10"/>
        <v>131.83000000000001</v>
      </c>
      <c r="H119" s="88" t="str">
        <f>IF(_xll.CbondsStockTradingVolume($B$1,E119,$B$27) &lt;&gt; "Нет данных",_xll.CbondsStockTradingVolume($B$1,E119,$B$27),"0")</f>
        <v>0</v>
      </c>
      <c r="I119" s="88" t="str">
        <f>IF(_xll.CbondsStockDealsNumber($B$1,E119,$B$27) &lt;&gt; "Нет данных",_xll.CbondsStockDealsNumber($B$1,E119,$B$27),"0")</f>
        <v>0</v>
      </c>
      <c r="K119" s="88" t="str">
        <f>_xll.CbondsIndexValue(VLOOKUP($K$1,'Help Page'!$Q:$S,3,0),Calculation!E119)</f>
        <v>Нет данных</v>
      </c>
      <c r="L119" s="88">
        <f t="shared" si="11"/>
        <v>18962.59</v>
      </c>
      <c r="M119" s="88" t="str">
        <f>_xll.CbondsIndexValue(VLOOKUP($M$1,'Help Page'!$Q:$S,3,0),Calculation!E119)</f>
        <v>Нет данных</v>
      </c>
      <c r="N119" s="88">
        <f t="shared" si="12"/>
        <v>7744.8</v>
      </c>
      <c r="AM119" s="35"/>
      <c r="AN119" s="35"/>
      <c r="AO119" s="35"/>
      <c r="AP119" s="35"/>
      <c r="AQ119" s="35"/>
      <c r="AR119" s="35"/>
      <c r="BU119" s="20"/>
    </row>
    <row r="120" spans="5:73" x14ac:dyDescent="0.3">
      <c r="E120" s="37">
        <f t="shared" si="13"/>
        <v>45905</v>
      </c>
      <c r="F120" s="30">
        <f>_xll.CbondsStockAvgPrice($B$1,E120,$B$27)</f>
        <v>131.83000000000001</v>
      </c>
      <c r="G120" s="31">
        <f t="shared" si="10"/>
        <v>131.83000000000001</v>
      </c>
      <c r="H120" s="88">
        <f>IF(_xll.CbondsStockTradingVolume($B$1,E120,$B$27) &lt;&gt; "Нет данных",_xll.CbondsStockTradingVolume($B$1,E120,$B$27),"0")</f>
        <v>5256124252.8000002</v>
      </c>
      <c r="I120" s="88">
        <f>IF(_xll.CbondsStockDealsNumber($B$1,E120,$B$27) &lt;&gt; "Нет данных",_xll.CbondsStockDealsNumber($B$1,E120,$B$27),"0")</f>
        <v>58173</v>
      </c>
      <c r="K120" s="88">
        <f>_xll.CbondsIndexValue(VLOOKUP($K$1,'Help Page'!$Q:$S,3,0),Calculation!E120)</f>
        <v>18962.59</v>
      </c>
      <c r="L120" s="88">
        <f t="shared" si="11"/>
        <v>18962.59</v>
      </c>
      <c r="M120" s="88">
        <f>_xll.CbondsIndexValue(VLOOKUP($M$1,'Help Page'!$Q:$S,3,0),Calculation!E120)</f>
        <v>7744.8</v>
      </c>
      <c r="N120" s="88">
        <f t="shared" si="12"/>
        <v>7744.8</v>
      </c>
      <c r="AM120" s="35"/>
      <c r="AN120" s="35"/>
      <c r="AO120" s="35"/>
      <c r="AP120" s="35"/>
      <c r="AQ120" s="35"/>
      <c r="AR120" s="35"/>
      <c r="BU120" s="20"/>
    </row>
    <row r="121" spans="5:73" x14ac:dyDescent="0.3">
      <c r="E121" s="37">
        <f t="shared" si="13"/>
        <v>45904</v>
      </c>
      <c r="F121" s="30">
        <f>_xll.CbondsStockAvgPrice($B$1,E121,$B$27)</f>
        <v>131.19999999999999</v>
      </c>
      <c r="G121" s="31">
        <f t="shared" si="10"/>
        <v>131.19999999999999</v>
      </c>
      <c r="H121" s="88">
        <f>IF(_xll.CbondsStockTradingVolume($B$1,E121,$B$27) &lt;&gt; "Нет данных",_xll.CbondsStockTradingVolume($B$1,E121,$B$27),"0")</f>
        <v>7486688990.3999996</v>
      </c>
      <c r="I121" s="88">
        <f>IF(_xll.CbondsStockDealsNumber($B$1,E121,$B$27) &lt;&gt; "Нет данных",_xll.CbondsStockDealsNumber($B$1,E121,$B$27),"0")</f>
        <v>79980</v>
      </c>
      <c r="K121" s="88">
        <f>_xll.CbondsIndexValue(VLOOKUP($K$1,'Help Page'!$Q:$S,3,0),Calculation!E121)</f>
        <v>18760.54</v>
      </c>
      <c r="L121" s="88">
        <f t="shared" si="11"/>
        <v>18760.54</v>
      </c>
      <c r="M121" s="88">
        <f>_xll.CbondsIndexValue(VLOOKUP($M$1,'Help Page'!$Q:$S,3,0),Calculation!E121)</f>
        <v>7640.9</v>
      </c>
      <c r="N121" s="88">
        <f t="shared" si="12"/>
        <v>7640.9</v>
      </c>
      <c r="AM121" s="35"/>
      <c r="AN121" s="35"/>
      <c r="AO121" s="35"/>
      <c r="AP121" s="35"/>
      <c r="AQ121" s="35"/>
      <c r="AR121" s="35"/>
      <c r="BU121" s="20"/>
    </row>
    <row r="122" spans="5:73" x14ac:dyDescent="0.3">
      <c r="E122" s="37">
        <f t="shared" si="13"/>
        <v>45903</v>
      </c>
      <c r="F122" s="30">
        <f>_xll.CbondsStockAvgPrice($B$1,E122,$B$27)</f>
        <v>131.58000000000001</v>
      </c>
      <c r="G122" s="31">
        <f t="shared" si="10"/>
        <v>131.58000000000001</v>
      </c>
      <c r="H122" s="88">
        <f>IF(_xll.CbondsStockTradingVolume($B$1,E122,$B$27) &lt;&gt; "Нет данных",_xll.CbondsStockTradingVolume($B$1,E122,$B$27),"0")</f>
        <v>6334240367.1999998</v>
      </c>
      <c r="I122" s="88">
        <f>IF(_xll.CbondsStockDealsNumber($B$1,E122,$B$27) &lt;&gt; "Нет данных",_xll.CbondsStockDealsNumber($B$1,E122,$B$27),"0")</f>
        <v>70611</v>
      </c>
      <c r="K122" s="88">
        <f>_xll.CbondsIndexValue(VLOOKUP($K$1,'Help Page'!$Q:$S,3,0),Calculation!E122)</f>
        <v>18741.29</v>
      </c>
      <c r="L122" s="88">
        <f t="shared" si="11"/>
        <v>18741.29</v>
      </c>
      <c r="M122" s="88">
        <f>_xll.CbondsIndexValue(VLOOKUP($M$1,'Help Page'!$Q:$S,3,0),Calculation!E122)</f>
        <v>7621.27</v>
      </c>
      <c r="N122" s="88">
        <f t="shared" si="12"/>
        <v>7621.27</v>
      </c>
      <c r="AM122" s="35"/>
      <c r="AN122" s="35"/>
      <c r="AO122" s="35"/>
      <c r="AP122" s="35"/>
      <c r="AQ122" s="35"/>
      <c r="AR122" s="35"/>
      <c r="BU122" s="20"/>
    </row>
    <row r="123" spans="5:73" x14ac:dyDescent="0.3">
      <c r="E123" s="37">
        <f t="shared" si="13"/>
        <v>45902</v>
      </c>
      <c r="F123" s="30">
        <f>_xll.CbondsStockAvgPrice($B$1,E123,$B$27)</f>
        <v>133.06</v>
      </c>
      <c r="G123" s="31">
        <f t="shared" si="10"/>
        <v>133.06</v>
      </c>
      <c r="H123" s="88">
        <f>IF(_xll.CbondsStockTradingVolume($B$1,E123,$B$27) &lt;&gt; "Нет данных",_xll.CbondsStockTradingVolume($B$1,E123,$B$27),"0")</f>
        <v>16322331494.4</v>
      </c>
      <c r="I123" s="88">
        <f>IF(_xll.CbondsStockDealsNumber($B$1,E123,$B$27) &lt;&gt; "Нет данных",_xll.CbondsStockDealsNumber($B$1,E123,$B$27),"0")</f>
        <v>176446</v>
      </c>
      <c r="K123" s="88">
        <f>_xll.CbondsIndexValue(VLOOKUP($K$1,'Help Page'!$Q:$S,3,0),Calculation!E123)</f>
        <v>18599.45</v>
      </c>
      <c r="L123" s="88">
        <f t="shared" si="11"/>
        <v>18599.45</v>
      </c>
      <c r="M123" s="88">
        <f>_xll.CbondsIndexValue(VLOOKUP($M$1,'Help Page'!$Q:$S,3,0),Calculation!E123)</f>
        <v>7563.36</v>
      </c>
      <c r="N123" s="88">
        <f t="shared" si="12"/>
        <v>7563.36</v>
      </c>
      <c r="AM123" s="35"/>
      <c r="AN123" s="35"/>
      <c r="AO123" s="35"/>
      <c r="AP123" s="35"/>
      <c r="AQ123" s="35"/>
      <c r="AR123" s="35"/>
      <c r="BU123" s="20"/>
    </row>
    <row r="124" spans="5:73" x14ac:dyDescent="0.3">
      <c r="E124" s="37">
        <f t="shared" si="13"/>
        <v>45901</v>
      </c>
      <c r="F124" s="30">
        <f>_xll.CbondsStockAvgPrice($B$1,E124,$B$27)</f>
        <v>135.79</v>
      </c>
      <c r="G124" s="31">
        <f t="shared" si="10"/>
        <v>135.79</v>
      </c>
      <c r="H124" s="88">
        <f>IF(_xll.CbondsStockTradingVolume($B$1,E124,$B$27) &lt;&gt; "Нет данных",_xll.CbondsStockTradingVolume($B$1,E124,$B$27),"0")</f>
        <v>9655400252.6000004</v>
      </c>
      <c r="I124" s="88">
        <f>IF(_xll.CbondsStockDealsNumber($B$1,E124,$B$27) &lt;&gt; "Нет данных",_xll.CbondsStockDealsNumber($B$1,E124,$B$27),"0")</f>
        <v>105509</v>
      </c>
      <c r="K124" s="88">
        <f>_xll.CbondsIndexValue(VLOOKUP($K$1,'Help Page'!$Q:$S,3,0),Calculation!E124)</f>
        <v>18843.59</v>
      </c>
      <c r="L124" s="88">
        <f t="shared" si="11"/>
        <v>18843.59</v>
      </c>
      <c r="M124" s="88">
        <f>_xll.CbondsIndexValue(VLOOKUP($M$1,'Help Page'!$Q:$S,3,0),Calculation!E124)</f>
        <v>7721.32</v>
      </c>
      <c r="N124" s="88">
        <f t="shared" si="12"/>
        <v>7721.32</v>
      </c>
      <c r="AM124" s="35"/>
      <c r="AN124" s="35"/>
      <c r="AO124" s="35"/>
      <c r="AP124" s="35"/>
      <c r="AQ124" s="35"/>
      <c r="AR124" s="35"/>
      <c r="BU124" s="20"/>
    </row>
    <row r="125" spans="5:73" x14ac:dyDescent="0.3">
      <c r="E125" s="37">
        <f t="shared" si="13"/>
        <v>45900</v>
      </c>
      <c r="F125" s="30" t="str">
        <f>_xll.CbondsStockAvgPrice($B$1,E125,$B$27)</f>
        <v>Нет данных</v>
      </c>
      <c r="G125" s="31">
        <f t="shared" si="10"/>
        <v>134.55000000000001</v>
      </c>
      <c r="H125" s="88" t="str">
        <f>IF(_xll.CbondsStockTradingVolume($B$1,E125,$B$27) &lt;&gt; "Нет данных",_xll.CbondsStockTradingVolume($B$1,E125,$B$27),"0")</f>
        <v>0</v>
      </c>
      <c r="I125" s="88" t="str">
        <f>IF(_xll.CbondsStockDealsNumber($B$1,E125,$B$27) &lt;&gt; "Нет данных",_xll.CbondsStockDealsNumber($B$1,E125,$B$27),"0")</f>
        <v>0</v>
      </c>
      <c r="K125" s="88" t="str">
        <f>_xll.CbondsIndexValue(VLOOKUP($K$1,'Help Page'!$Q:$S,3,0),Calculation!E125)</f>
        <v>Нет данных</v>
      </c>
      <c r="L125" s="88">
        <f t="shared" si="11"/>
        <v>18922.77</v>
      </c>
      <c r="M125" s="88" t="str">
        <f>_xll.CbondsIndexValue(VLOOKUP($M$1,'Help Page'!$Q:$S,3,0),Calculation!E125)</f>
        <v>Нет данных</v>
      </c>
      <c r="N125" s="88">
        <f t="shared" si="12"/>
        <v>7753.09</v>
      </c>
      <c r="AM125" s="35"/>
      <c r="AN125" s="35"/>
      <c r="AO125" s="35"/>
      <c r="AP125" s="35"/>
      <c r="AQ125" s="35"/>
      <c r="AR125" s="35"/>
      <c r="BU125" s="20"/>
    </row>
    <row r="126" spans="5:73" x14ac:dyDescent="0.3">
      <c r="E126" s="37">
        <f t="shared" si="13"/>
        <v>45899</v>
      </c>
      <c r="F126" s="30" t="str">
        <f>_xll.CbondsStockAvgPrice($B$1,E126,$B$27)</f>
        <v>Нет данных</v>
      </c>
      <c r="G126" s="31">
        <f t="shared" si="10"/>
        <v>134.55000000000001</v>
      </c>
      <c r="H126" s="88" t="str">
        <f>IF(_xll.CbondsStockTradingVolume($B$1,E126,$B$27) &lt;&gt; "Нет данных",_xll.CbondsStockTradingVolume($B$1,E126,$B$27),"0")</f>
        <v>0</v>
      </c>
      <c r="I126" s="88" t="str">
        <f>IF(_xll.CbondsStockDealsNumber($B$1,E126,$B$27) &lt;&gt; "Нет данных",_xll.CbondsStockDealsNumber($B$1,E126,$B$27),"0")</f>
        <v>0</v>
      </c>
      <c r="K126" s="88" t="str">
        <f>_xll.CbondsIndexValue(VLOOKUP($K$1,'Help Page'!$Q:$S,3,0),Calculation!E126)</f>
        <v>Нет данных</v>
      </c>
      <c r="L126" s="88">
        <f t="shared" si="11"/>
        <v>18922.77</v>
      </c>
      <c r="M126" s="88" t="str">
        <f>_xll.CbondsIndexValue(VLOOKUP($M$1,'Help Page'!$Q:$S,3,0),Calculation!E126)</f>
        <v>Нет данных</v>
      </c>
      <c r="N126" s="88">
        <f t="shared" si="12"/>
        <v>7753.09</v>
      </c>
      <c r="AM126" s="35"/>
      <c r="AN126" s="35"/>
      <c r="AO126" s="35"/>
      <c r="AP126" s="35"/>
      <c r="AQ126" s="35"/>
      <c r="AR126" s="35"/>
      <c r="BU126" s="20"/>
    </row>
    <row r="127" spans="5:73" x14ac:dyDescent="0.3">
      <c r="E127" s="37">
        <f t="shared" si="13"/>
        <v>45898</v>
      </c>
      <c r="F127" s="30">
        <f>_xll.CbondsStockAvgPrice($B$1,E127,$B$27)</f>
        <v>134.55000000000001</v>
      </c>
      <c r="G127" s="31">
        <f t="shared" si="10"/>
        <v>134.55000000000001</v>
      </c>
      <c r="H127" s="88">
        <f>IF(_xll.CbondsStockTradingVolume($B$1,E127,$B$27) &lt;&gt; "Нет данных",_xll.CbondsStockTradingVolume($B$1,E127,$B$27),"0")</f>
        <v>12593753842.9</v>
      </c>
      <c r="I127" s="88">
        <f>IF(_xll.CbondsStockDealsNumber($B$1,E127,$B$27) &lt;&gt; "Нет данных",_xll.CbondsStockDealsNumber($B$1,E127,$B$27),"0")</f>
        <v>127689</v>
      </c>
      <c r="K127" s="88">
        <f>_xll.CbondsIndexValue(VLOOKUP($K$1,'Help Page'!$Q:$S,3,0),Calculation!E127)</f>
        <v>18922.77</v>
      </c>
      <c r="L127" s="88">
        <f t="shared" si="11"/>
        <v>18922.77</v>
      </c>
      <c r="M127" s="88">
        <f>_xll.CbondsIndexValue(VLOOKUP($M$1,'Help Page'!$Q:$S,3,0),Calculation!E127)</f>
        <v>7753.09</v>
      </c>
      <c r="N127" s="88">
        <f t="shared" si="12"/>
        <v>7753.09</v>
      </c>
      <c r="AM127" s="35"/>
      <c r="AN127" s="35"/>
      <c r="AO127" s="35"/>
      <c r="AP127" s="35"/>
      <c r="AQ127" s="35"/>
      <c r="AR127" s="35"/>
      <c r="BU127" s="20"/>
    </row>
    <row r="128" spans="5:73" x14ac:dyDescent="0.3">
      <c r="E128" s="37">
        <f t="shared" si="13"/>
        <v>45897</v>
      </c>
      <c r="F128" s="30">
        <f>_xll.CbondsStockAvgPrice($B$1,E128,$B$27)</f>
        <v>133.91999999999999</v>
      </c>
      <c r="G128" s="31">
        <f t="shared" si="10"/>
        <v>133.91999999999999</v>
      </c>
      <c r="H128" s="88">
        <f>IF(_xll.CbondsStockTradingVolume($B$1,E128,$B$27) &lt;&gt; "Нет данных",_xll.CbondsStockTradingVolume($B$1,E128,$B$27),"0")</f>
        <v>10267189564.6</v>
      </c>
      <c r="I128" s="88">
        <f>IF(_xll.CbondsStockDealsNumber($B$1,E128,$B$27) &lt;&gt; "Нет данных",_xll.CbondsStockDealsNumber($B$1,E128,$B$27),"0")</f>
        <v>90671</v>
      </c>
      <c r="K128" s="88">
        <f>_xll.CbondsIndexValue(VLOOKUP($K$1,'Help Page'!$Q:$S,3,0),Calculation!E128)</f>
        <v>18992.84</v>
      </c>
      <c r="L128" s="88">
        <f t="shared" si="11"/>
        <v>18992.84</v>
      </c>
      <c r="M128" s="88">
        <f>_xll.CbondsIndexValue(VLOOKUP($M$1,'Help Page'!$Q:$S,3,0),Calculation!E128)</f>
        <v>7729.41</v>
      </c>
      <c r="N128" s="88">
        <f t="shared" si="12"/>
        <v>7729.41</v>
      </c>
      <c r="AM128" s="35"/>
      <c r="AN128" s="35"/>
      <c r="AO128" s="35"/>
      <c r="AP128" s="35"/>
      <c r="AQ128" s="35"/>
      <c r="AR128" s="35"/>
      <c r="BU128" s="20"/>
    </row>
    <row r="129" spans="5:73" x14ac:dyDescent="0.3">
      <c r="E129" s="37">
        <f t="shared" si="13"/>
        <v>45896</v>
      </c>
      <c r="F129" s="30">
        <f>_xll.CbondsStockAvgPrice($B$1,E129,$B$27)</f>
        <v>134.88</v>
      </c>
      <c r="G129" s="31">
        <f t="shared" si="10"/>
        <v>134.88</v>
      </c>
      <c r="H129" s="88">
        <f>IF(_xll.CbondsStockTradingVolume($B$1,E129,$B$27) &lt;&gt; "Нет данных",_xll.CbondsStockTradingVolume($B$1,E129,$B$27),"0")</f>
        <v>8553935029</v>
      </c>
      <c r="I129" s="88">
        <f>IF(_xll.CbondsStockDealsNumber($B$1,E129,$B$27) &lt;&gt; "Нет данных",_xll.CbondsStockDealsNumber($B$1,E129,$B$27),"0")</f>
        <v>80521</v>
      </c>
      <c r="K129" s="88">
        <f>_xll.CbondsIndexValue(VLOOKUP($K$1,'Help Page'!$Q:$S,3,0),Calculation!E129)</f>
        <v>18970.39</v>
      </c>
      <c r="L129" s="88">
        <f t="shared" si="11"/>
        <v>18970.39</v>
      </c>
      <c r="M129" s="88">
        <f>_xll.CbondsIndexValue(VLOOKUP($M$1,'Help Page'!$Q:$S,3,0),Calculation!E129)</f>
        <v>7733.58</v>
      </c>
      <c r="N129" s="88">
        <f t="shared" si="12"/>
        <v>7733.58</v>
      </c>
      <c r="AM129" s="35"/>
      <c r="AN129" s="35"/>
      <c r="AO129" s="35"/>
      <c r="AP129" s="35"/>
      <c r="AQ129" s="35"/>
      <c r="AR129" s="35"/>
      <c r="BU129" s="20"/>
    </row>
    <row r="130" spans="5:73" x14ac:dyDescent="0.3">
      <c r="E130" s="37">
        <f t="shared" si="13"/>
        <v>45895</v>
      </c>
      <c r="F130" s="30">
        <f>_xll.CbondsStockAvgPrice($B$1,E130,$B$27)</f>
        <v>133.38999999999999</v>
      </c>
      <c r="G130" s="31">
        <f t="shared" si="10"/>
        <v>133.38999999999999</v>
      </c>
      <c r="H130" s="88">
        <f>IF(_xll.CbondsStockTradingVolume($B$1,E130,$B$27) &lt;&gt; "Нет данных",_xll.CbondsStockTradingVolume($B$1,E130,$B$27),"0")</f>
        <v>7513436766.1999998</v>
      </c>
      <c r="I130" s="88">
        <f>IF(_xll.CbondsStockDealsNumber($B$1,E130,$B$27) &lt;&gt; "Нет данных",_xll.CbondsStockDealsNumber($B$1,E130,$B$27),"0")</f>
        <v>74262</v>
      </c>
      <c r="K130" s="88">
        <f>_xll.CbondsIndexValue(VLOOKUP($K$1,'Help Page'!$Q:$S,3,0),Calculation!E130)</f>
        <v>18793.66</v>
      </c>
      <c r="L130" s="88">
        <f t="shared" si="11"/>
        <v>18793.66</v>
      </c>
      <c r="M130" s="88">
        <f>_xll.CbondsIndexValue(VLOOKUP($M$1,'Help Page'!$Q:$S,3,0),Calculation!E130)</f>
        <v>7636.95</v>
      </c>
      <c r="N130" s="88">
        <f t="shared" si="12"/>
        <v>7636.95</v>
      </c>
      <c r="AM130" s="35"/>
      <c r="AN130" s="35"/>
      <c r="AO130" s="35"/>
      <c r="AP130" s="35"/>
      <c r="AQ130" s="35"/>
      <c r="AR130" s="35"/>
      <c r="BU130" s="20"/>
    </row>
    <row r="131" spans="5:73" x14ac:dyDescent="0.3">
      <c r="E131" s="37">
        <f t="shared" si="13"/>
        <v>45894</v>
      </c>
      <c r="F131" s="30">
        <f>_xll.CbondsStockAvgPrice($B$1,E131,$B$27)</f>
        <v>131.25</v>
      </c>
      <c r="G131" s="31">
        <f t="shared" ref="G131:G194" si="14">IF(IF(AND(F131="",E131=""),"",IF(AND(F131="Нет данных",E131&lt;&gt;""),G132,F131)) = 0,"",IF(AND(F131="",E131=""),"",IF(AND(F131="Нет данных",E131&lt;&gt;""),G132,F131)))</f>
        <v>131.25</v>
      </c>
      <c r="H131" s="88">
        <f>IF(_xll.CbondsStockTradingVolume($B$1,E131,$B$27) &lt;&gt; "Нет данных",_xll.CbondsStockTradingVolume($B$1,E131,$B$27),"0")</f>
        <v>8768790188.6000004</v>
      </c>
      <c r="I131" s="88">
        <f>IF(_xll.CbondsStockDealsNumber($B$1,E131,$B$27) &lt;&gt; "Нет данных",_xll.CbondsStockDealsNumber($B$1,E131,$B$27),"0")</f>
        <v>113197</v>
      </c>
      <c r="K131" s="88">
        <f>_xll.CbondsIndexValue(VLOOKUP($K$1,'Help Page'!$Q:$S,3,0),Calculation!E131)</f>
        <v>18815.05</v>
      </c>
      <c r="L131" s="88">
        <f t="shared" ref="L131:L194" si="15">IF(IF(AND(K131="",$E131=""),"",IF(AND(K131="Нет данных",$E131&lt;&gt;""),L132,K131)) = 0,"",IF(AND(K131="",$E131=""),"",IF(AND(K131="Нет данных",$E131&lt;&gt;""),L132,K131)))</f>
        <v>18815.05</v>
      </c>
      <c r="M131" s="88">
        <f>_xll.CbondsIndexValue(VLOOKUP($M$1,'Help Page'!$Q:$S,3,0),Calculation!E131)</f>
        <v>7656.37</v>
      </c>
      <c r="N131" s="88">
        <f t="shared" ref="N131:N194" si="16">IF(IF(AND(M131="",$E131=""),"",IF(AND(M131="Нет данных",$E131&lt;&gt;""),N132,M131)) = 0,"",IF(AND(M131="",$E131=""),"",IF(AND(M131="Нет данных",$E131&lt;&gt;""),N132,M131)))</f>
        <v>7656.37</v>
      </c>
      <c r="AM131" s="35"/>
      <c r="AN131" s="35"/>
      <c r="AO131" s="35"/>
      <c r="AP131" s="35"/>
      <c r="AQ131" s="35"/>
      <c r="AR131" s="35"/>
      <c r="BU131" s="20"/>
    </row>
    <row r="132" spans="5:73" x14ac:dyDescent="0.3">
      <c r="E132" s="37">
        <f t="shared" ref="E132:E195" si="17">E131-1</f>
        <v>45893</v>
      </c>
      <c r="F132" s="30" t="str">
        <f>_xll.CbondsStockAvgPrice($B$1,E132,$B$27)</f>
        <v>Нет данных</v>
      </c>
      <c r="G132" s="31">
        <f t="shared" si="14"/>
        <v>131.71</v>
      </c>
      <c r="H132" s="88" t="str">
        <f>IF(_xll.CbondsStockTradingVolume($B$1,E132,$B$27) &lt;&gt; "Нет данных",_xll.CbondsStockTradingVolume($B$1,E132,$B$27),"0")</f>
        <v>0</v>
      </c>
      <c r="I132" s="88" t="str">
        <f>IF(_xll.CbondsStockDealsNumber($B$1,E132,$B$27) &lt;&gt; "Нет данных",_xll.CbondsStockDealsNumber($B$1,E132,$B$27),"0")</f>
        <v>0</v>
      </c>
      <c r="K132" s="88" t="str">
        <f>_xll.CbondsIndexValue(VLOOKUP($K$1,'Help Page'!$Q:$S,3,0),Calculation!E132)</f>
        <v>Нет данных</v>
      </c>
      <c r="L132" s="88">
        <f t="shared" si="15"/>
        <v>18863.13</v>
      </c>
      <c r="M132" s="88" t="str">
        <f>_xll.CbondsIndexValue(VLOOKUP($M$1,'Help Page'!$Q:$S,3,0),Calculation!E132)</f>
        <v>Нет данных</v>
      </c>
      <c r="N132" s="88">
        <f t="shared" si="16"/>
        <v>7691</v>
      </c>
      <c r="AM132" s="35"/>
      <c r="AN132" s="35"/>
      <c r="AO132" s="35"/>
      <c r="AP132" s="35"/>
      <c r="AQ132" s="35"/>
      <c r="AR132" s="35"/>
      <c r="BU132" s="20"/>
    </row>
    <row r="133" spans="5:73" x14ac:dyDescent="0.3">
      <c r="E133" s="37">
        <f t="shared" si="17"/>
        <v>45892</v>
      </c>
      <c r="F133" s="30" t="str">
        <f>_xll.CbondsStockAvgPrice($B$1,E133,$B$27)</f>
        <v>Нет данных</v>
      </c>
      <c r="G133" s="31">
        <f t="shared" si="14"/>
        <v>131.71</v>
      </c>
      <c r="H133" s="88" t="str">
        <f>IF(_xll.CbondsStockTradingVolume($B$1,E133,$B$27) &lt;&gt; "Нет данных",_xll.CbondsStockTradingVolume($B$1,E133,$B$27),"0")</f>
        <v>0</v>
      </c>
      <c r="I133" s="88" t="str">
        <f>IF(_xll.CbondsStockDealsNumber($B$1,E133,$B$27) &lt;&gt; "Нет данных",_xll.CbondsStockDealsNumber($B$1,E133,$B$27),"0")</f>
        <v>0</v>
      </c>
      <c r="K133" s="88" t="str">
        <f>_xll.CbondsIndexValue(VLOOKUP($K$1,'Help Page'!$Q:$S,3,0),Calculation!E133)</f>
        <v>Нет данных</v>
      </c>
      <c r="L133" s="88">
        <f t="shared" si="15"/>
        <v>18863.13</v>
      </c>
      <c r="M133" s="88" t="str">
        <f>_xll.CbondsIndexValue(VLOOKUP($M$1,'Help Page'!$Q:$S,3,0),Calculation!E133)</f>
        <v>Нет данных</v>
      </c>
      <c r="N133" s="88">
        <f t="shared" si="16"/>
        <v>7691</v>
      </c>
      <c r="AM133" s="35"/>
      <c r="AN133" s="35"/>
      <c r="AO133" s="35"/>
      <c r="AP133" s="35"/>
      <c r="AQ133" s="35"/>
      <c r="AR133" s="35"/>
      <c r="BU133" s="20"/>
    </row>
    <row r="134" spans="5:73" x14ac:dyDescent="0.3">
      <c r="E134" s="37">
        <f t="shared" si="17"/>
        <v>45891</v>
      </c>
      <c r="F134" s="30">
        <f>_xll.CbondsStockAvgPrice($B$1,E134,$B$27)</f>
        <v>131.71</v>
      </c>
      <c r="G134" s="31">
        <f t="shared" si="14"/>
        <v>131.71</v>
      </c>
      <c r="H134" s="88">
        <f>IF(_xll.CbondsStockTradingVolume($B$1,E134,$B$27) &lt;&gt; "Нет данных",_xll.CbondsStockTradingVolume($B$1,E134,$B$27),"0")</f>
        <v>8392335724.3999996</v>
      </c>
      <c r="I134" s="88">
        <f>IF(_xll.CbondsStockDealsNumber($B$1,E134,$B$27) &lt;&gt; "Нет данных",_xll.CbondsStockDealsNumber($B$1,E134,$B$27),"0")</f>
        <v>95499</v>
      </c>
      <c r="K134" s="88">
        <f>_xll.CbondsIndexValue(VLOOKUP($K$1,'Help Page'!$Q:$S,3,0),Calculation!E134)</f>
        <v>18863.13</v>
      </c>
      <c r="L134" s="88">
        <f t="shared" si="15"/>
        <v>18863.13</v>
      </c>
      <c r="M134" s="88">
        <f>_xll.CbondsIndexValue(VLOOKUP($M$1,'Help Page'!$Q:$S,3,0),Calculation!E134)</f>
        <v>7691</v>
      </c>
      <c r="N134" s="88">
        <f t="shared" si="16"/>
        <v>7691</v>
      </c>
      <c r="AM134" s="35"/>
      <c r="AN134" s="35"/>
      <c r="AO134" s="35"/>
      <c r="AP134" s="35"/>
      <c r="AQ134" s="35"/>
      <c r="AR134" s="35"/>
      <c r="BU134" s="20"/>
    </row>
    <row r="135" spans="5:73" x14ac:dyDescent="0.3">
      <c r="E135" s="37">
        <f t="shared" si="17"/>
        <v>45890</v>
      </c>
      <c r="F135" s="30">
        <f>_xll.CbondsStockAvgPrice($B$1,E135,$B$27)</f>
        <v>132.82</v>
      </c>
      <c r="G135" s="31">
        <f t="shared" si="14"/>
        <v>132.82</v>
      </c>
      <c r="H135" s="88">
        <f>IF(_xll.CbondsStockTradingVolume($B$1,E135,$B$27) &lt;&gt; "Нет данных",_xll.CbondsStockTradingVolume($B$1,E135,$B$27),"0")</f>
        <v>15614289293.1</v>
      </c>
      <c r="I135" s="88">
        <f>IF(_xll.CbondsStockDealsNumber($B$1,E135,$B$27) &lt;&gt; "Нет данных",_xll.CbondsStockDealsNumber($B$1,E135,$B$27),"0")</f>
        <v>136519</v>
      </c>
      <c r="K135" s="88">
        <f>_xll.CbondsIndexValue(VLOOKUP($K$1,'Help Page'!$Q:$S,3,0),Calculation!E135)</f>
        <v>18774.04</v>
      </c>
      <c r="L135" s="88">
        <f t="shared" si="15"/>
        <v>18774.04</v>
      </c>
      <c r="M135" s="88">
        <f>_xll.CbondsIndexValue(VLOOKUP($M$1,'Help Page'!$Q:$S,3,0),Calculation!E135)</f>
        <v>7671.32</v>
      </c>
      <c r="N135" s="88">
        <f t="shared" si="16"/>
        <v>7671.32</v>
      </c>
      <c r="AM135" s="35"/>
      <c r="AN135" s="35"/>
      <c r="AO135" s="35"/>
      <c r="AP135" s="35"/>
      <c r="AQ135" s="35"/>
      <c r="AR135" s="35"/>
      <c r="BU135" s="20"/>
    </row>
    <row r="136" spans="5:73" x14ac:dyDescent="0.3">
      <c r="E136" s="37">
        <f t="shared" si="17"/>
        <v>45889</v>
      </c>
      <c r="F136" s="30">
        <f>_xll.CbondsStockAvgPrice($B$1,E136,$B$27)</f>
        <v>136.30000000000001</v>
      </c>
      <c r="G136" s="31">
        <f t="shared" si="14"/>
        <v>136.30000000000001</v>
      </c>
      <c r="H136" s="88">
        <f>IF(_xll.CbondsStockTradingVolume($B$1,E136,$B$27) &lt;&gt; "Нет данных",_xll.CbondsStockTradingVolume($B$1,E136,$B$27),"0")</f>
        <v>10397274678.799999</v>
      </c>
      <c r="I136" s="88">
        <f>IF(_xll.CbondsStockDealsNumber($B$1,E136,$B$27) &lt;&gt; "Нет данных",_xll.CbondsStockDealsNumber($B$1,E136,$B$27),"0")</f>
        <v>94689</v>
      </c>
      <c r="K136" s="88">
        <f>_xll.CbondsIndexValue(VLOOKUP($K$1,'Help Page'!$Q:$S,3,0),Calculation!E136)</f>
        <v>19147.240000000002</v>
      </c>
      <c r="L136" s="88">
        <f t="shared" si="15"/>
        <v>19147.240000000002</v>
      </c>
      <c r="M136" s="88">
        <f>_xll.CbondsIndexValue(VLOOKUP($M$1,'Help Page'!$Q:$S,3,0),Calculation!E136)</f>
        <v>7846.21</v>
      </c>
      <c r="N136" s="88">
        <f t="shared" si="16"/>
        <v>7846.21</v>
      </c>
      <c r="AM136" s="35"/>
      <c r="AN136" s="35"/>
      <c r="AO136" s="35"/>
      <c r="AP136" s="35"/>
      <c r="AQ136" s="35"/>
      <c r="AR136" s="35"/>
      <c r="BU136" s="20"/>
    </row>
    <row r="137" spans="5:73" x14ac:dyDescent="0.3">
      <c r="E137" s="37">
        <f t="shared" si="17"/>
        <v>45888</v>
      </c>
      <c r="F137" s="30">
        <f>_xll.CbondsStockAvgPrice($B$1,E137,$B$27)</f>
        <v>139.19</v>
      </c>
      <c r="G137" s="31">
        <f t="shared" si="14"/>
        <v>139.19</v>
      </c>
      <c r="H137" s="88">
        <f>IF(_xll.CbondsStockTradingVolume($B$1,E137,$B$27) &lt;&gt; "Нет данных",_xll.CbondsStockTradingVolume($B$1,E137,$B$27),"0")</f>
        <v>14180845608.9</v>
      </c>
      <c r="I137" s="88">
        <f>IF(_xll.CbondsStockDealsNumber($B$1,E137,$B$27) &lt;&gt; "Нет данных",_xll.CbondsStockDealsNumber($B$1,E137,$B$27),"0")</f>
        <v>103621</v>
      </c>
      <c r="K137" s="88">
        <f>_xll.CbondsIndexValue(VLOOKUP($K$1,'Help Page'!$Q:$S,3,0),Calculation!E137)</f>
        <v>19311.39</v>
      </c>
      <c r="L137" s="88">
        <f t="shared" si="15"/>
        <v>19311.39</v>
      </c>
      <c r="M137" s="88">
        <f>_xll.CbondsIndexValue(VLOOKUP($M$1,'Help Page'!$Q:$S,3,0),Calculation!E137)</f>
        <v>7945.26</v>
      </c>
      <c r="N137" s="88">
        <f t="shared" si="16"/>
        <v>7945.26</v>
      </c>
      <c r="AM137" s="35"/>
      <c r="AN137" s="35"/>
      <c r="AO137" s="35"/>
      <c r="AP137" s="35"/>
      <c r="AQ137" s="35"/>
      <c r="AR137" s="35"/>
      <c r="BU137" s="20"/>
    </row>
    <row r="138" spans="5:73" x14ac:dyDescent="0.3">
      <c r="E138" s="37">
        <f t="shared" si="17"/>
        <v>45887</v>
      </c>
      <c r="F138" s="30">
        <f>_xll.CbondsStockAvgPrice($B$1,E138,$B$27)</f>
        <v>138.38999999999999</v>
      </c>
      <c r="G138" s="31">
        <f t="shared" si="14"/>
        <v>138.38999999999999</v>
      </c>
      <c r="H138" s="88">
        <f>IF(_xll.CbondsStockTradingVolume($B$1,E138,$B$27) &lt;&gt; "Нет данных",_xll.CbondsStockTradingVolume($B$1,E138,$B$27),"0")</f>
        <v>26402615866</v>
      </c>
      <c r="I138" s="88">
        <f>IF(_xll.CbondsStockDealsNumber($B$1,E138,$B$27) &lt;&gt; "Нет данных",_xll.CbondsStockDealsNumber($B$1,E138,$B$27),"0")</f>
        <v>187360</v>
      </c>
      <c r="K138" s="88">
        <f>_xll.CbondsIndexValue(VLOOKUP($K$1,'Help Page'!$Q:$S,3,0),Calculation!E138)</f>
        <v>19225.919999999998</v>
      </c>
      <c r="L138" s="88">
        <f t="shared" si="15"/>
        <v>19225.919999999998</v>
      </c>
      <c r="M138" s="88">
        <f>_xll.CbondsIndexValue(VLOOKUP($M$1,'Help Page'!$Q:$S,3,0),Calculation!E138)</f>
        <v>7917.21</v>
      </c>
      <c r="N138" s="88">
        <f t="shared" si="16"/>
        <v>7917.21</v>
      </c>
      <c r="AM138" s="35"/>
      <c r="AN138" s="35"/>
      <c r="AO138" s="35"/>
      <c r="AP138" s="35"/>
      <c r="AQ138" s="35"/>
      <c r="AR138" s="35"/>
      <c r="BU138" s="20"/>
    </row>
    <row r="139" spans="5:73" x14ac:dyDescent="0.3">
      <c r="E139" s="37">
        <f t="shared" si="17"/>
        <v>45886</v>
      </c>
      <c r="F139" s="30" t="str">
        <f>_xll.CbondsStockAvgPrice($B$1,E139,$B$27)</f>
        <v>Нет данных</v>
      </c>
      <c r="G139" s="31">
        <f t="shared" si="14"/>
        <v>141.79</v>
      </c>
      <c r="H139" s="88" t="str">
        <f>IF(_xll.CbondsStockTradingVolume($B$1,E139,$B$27) &lt;&gt; "Нет данных",_xll.CbondsStockTradingVolume($B$1,E139,$B$27),"0")</f>
        <v>0</v>
      </c>
      <c r="I139" s="88" t="str">
        <f>IF(_xll.CbondsStockDealsNumber($B$1,E139,$B$27) &lt;&gt; "Нет данных",_xll.CbondsStockDealsNumber($B$1,E139,$B$27),"0")</f>
        <v>0</v>
      </c>
      <c r="K139" s="88" t="str">
        <f>_xll.CbondsIndexValue(VLOOKUP($K$1,'Help Page'!$Q:$S,3,0),Calculation!E139)</f>
        <v>Нет данных</v>
      </c>
      <c r="L139" s="88">
        <f t="shared" si="15"/>
        <v>19658.310000000001</v>
      </c>
      <c r="M139" s="88" t="str">
        <f>_xll.CbondsIndexValue(VLOOKUP($M$1,'Help Page'!$Q:$S,3,0),Calculation!E139)</f>
        <v>Нет данных</v>
      </c>
      <c r="N139" s="88">
        <f t="shared" si="16"/>
        <v>8151.57</v>
      </c>
      <c r="AM139" s="35"/>
      <c r="AN139" s="35"/>
      <c r="AO139" s="35"/>
      <c r="AP139" s="35"/>
      <c r="AQ139" s="35"/>
      <c r="AR139" s="35"/>
      <c r="BU139" s="20"/>
    </row>
    <row r="140" spans="5:73" x14ac:dyDescent="0.3">
      <c r="E140" s="37">
        <f t="shared" si="17"/>
        <v>45885</v>
      </c>
      <c r="F140" s="30" t="str">
        <f>_xll.CbondsStockAvgPrice($B$1,E140,$B$27)</f>
        <v>Нет данных</v>
      </c>
      <c r="G140" s="31">
        <f t="shared" si="14"/>
        <v>141.79</v>
      </c>
      <c r="H140" s="88" t="str">
        <f>IF(_xll.CbondsStockTradingVolume($B$1,E140,$B$27) &lt;&gt; "Нет данных",_xll.CbondsStockTradingVolume($B$1,E140,$B$27),"0")</f>
        <v>0</v>
      </c>
      <c r="I140" s="88" t="str">
        <f>IF(_xll.CbondsStockDealsNumber($B$1,E140,$B$27) &lt;&gt; "Нет данных",_xll.CbondsStockDealsNumber($B$1,E140,$B$27),"0")</f>
        <v>0</v>
      </c>
      <c r="K140" s="88" t="str">
        <f>_xll.CbondsIndexValue(VLOOKUP($K$1,'Help Page'!$Q:$S,3,0),Calculation!E140)</f>
        <v>Нет данных</v>
      </c>
      <c r="L140" s="88">
        <f t="shared" si="15"/>
        <v>19658.310000000001</v>
      </c>
      <c r="M140" s="88" t="str">
        <f>_xll.CbondsIndexValue(VLOOKUP($M$1,'Help Page'!$Q:$S,3,0),Calculation!E140)</f>
        <v>Нет данных</v>
      </c>
      <c r="N140" s="88">
        <f t="shared" si="16"/>
        <v>8151.57</v>
      </c>
      <c r="AM140" s="35"/>
      <c r="AN140" s="35"/>
      <c r="AO140" s="35"/>
      <c r="AP140" s="35"/>
      <c r="AQ140" s="35"/>
      <c r="AR140" s="35"/>
      <c r="BU140" s="20"/>
    </row>
    <row r="141" spans="5:73" x14ac:dyDescent="0.3">
      <c r="E141" s="37">
        <f t="shared" si="17"/>
        <v>45884</v>
      </c>
      <c r="F141" s="30">
        <f>_xll.CbondsStockAvgPrice($B$1,E141,$B$27)</f>
        <v>141.79</v>
      </c>
      <c r="G141" s="31">
        <f t="shared" si="14"/>
        <v>141.79</v>
      </c>
      <c r="H141" s="88">
        <f>IF(_xll.CbondsStockTradingVolume($B$1,E141,$B$27) &lt;&gt; "Нет данных",_xll.CbondsStockTradingVolume($B$1,E141,$B$27),"0")</f>
        <v>16616447647.4</v>
      </c>
      <c r="I141" s="88">
        <f>IF(_xll.CbondsStockDealsNumber($B$1,E141,$B$27) &lt;&gt; "Нет данных",_xll.CbondsStockDealsNumber($B$1,E141,$B$27),"0")</f>
        <v>131842</v>
      </c>
      <c r="K141" s="88">
        <f>_xll.CbondsIndexValue(VLOOKUP($K$1,'Help Page'!$Q:$S,3,0),Calculation!E141)</f>
        <v>19658.310000000001</v>
      </c>
      <c r="L141" s="88">
        <f t="shared" si="15"/>
        <v>19658.310000000001</v>
      </c>
      <c r="M141" s="88">
        <f>_xll.CbondsIndexValue(VLOOKUP($M$1,'Help Page'!$Q:$S,3,0),Calculation!E141)</f>
        <v>8151.57</v>
      </c>
      <c r="N141" s="88">
        <f t="shared" si="16"/>
        <v>8151.57</v>
      </c>
      <c r="AM141" s="35"/>
      <c r="AN141" s="35"/>
      <c r="AO141" s="35"/>
      <c r="AP141" s="35"/>
      <c r="AQ141" s="35"/>
      <c r="AR141" s="35"/>
      <c r="BU141" s="20"/>
    </row>
    <row r="142" spans="5:73" x14ac:dyDescent="0.3">
      <c r="E142" s="37">
        <f t="shared" si="17"/>
        <v>45883</v>
      </c>
      <c r="F142" s="30">
        <f>_xll.CbondsStockAvgPrice($B$1,E142,$B$27)</f>
        <v>138.91</v>
      </c>
      <c r="G142" s="31">
        <f t="shared" si="14"/>
        <v>138.91</v>
      </c>
      <c r="H142" s="88">
        <f>IF(_xll.CbondsStockTradingVolume($B$1,E142,$B$27) &lt;&gt; "Нет данных",_xll.CbondsStockTradingVolume($B$1,E142,$B$27),"0")</f>
        <v>14817512782.4</v>
      </c>
      <c r="I142" s="88">
        <f>IF(_xll.CbondsStockDealsNumber($B$1,E142,$B$27) &lt;&gt; "Нет данных",_xll.CbondsStockDealsNumber($B$1,E142,$B$27),"0")</f>
        <v>119536</v>
      </c>
      <c r="K142" s="88">
        <f>_xll.CbondsIndexValue(VLOOKUP($K$1,'Help Page'!$Q:$S,3,0),Calculation!E142)</f>
        <v>19407.36</v>
      </c>
      <c r="L142" s="88">
        <f t="shared" si="15"/>
        <v>19407.36</v>
      </c>
      <c r="M142" s="88">
        <f>_xll.CbondsIndexValue(VLOOKUP($M$1,'Help Page'!$Q:$S,3,0),Calculation!E142)</f>
        <v>8019.3</v>
      </c>
      <c r="N142" s="88">
        <f t="shared" si="16"/>
        <v>8019.3</v>
      </c>
      <c r="AM142" s="35"/>
      <c r="AN142" s="35"/>
      <c r="AO142" s="35"/>
      <c r="AP142" s="35"/>
      <c r="AQ142" s="35"/>
      <c r="AR142" s="35"/>
      <c r="BU142" s="20"/>
    </row>
    <row r="143" spans="5:73" x14ac:dyDescent="0.3">
      <c r="E143" s="37">
        <f t="shared" si="17"/>
        <v>45882</v>
      </c>
      <c r="F143" s="30">
        <f>_xll.CbondsStockAvgPrice($B$1,E143,$B$27)</f>
        <v>140.19999999999999</v>
      </c>
      <c r="G143" s="31">
        <f t="shared" si="14"/>
        <v>140.19999999999999</v>
      </c>
      <c r="H143" s="88">
        <f>IF(_xll.CbondsStockTradingVolume($B$1,E143,$B$27) &lt;&gt; "Нет данных",_xll.CbondsStockTradingVolume($B$1,E143,$B$27),"0")</f>
        <v>13336591029.299999</v>
      </c>
      <c r="I143" s="88">
        <f>IF(_xll.CbondsStockDealsNumber($B$1,E143,$B$27) &lt;&gt; "Нет данных",_xll.CbondsStockDealsNumber($B$1,E143,$B$27),"0")</f>
        <v>105884</v>
      </c>
      <c r="K143" s="88">
        <f>_xll.CbondsIndexValue(VLOOKUP($K$1,'Help Page'!$Q:$S,3,0),Calculation!E143)</f>
        <v>19357.95</v>
      </c>
      <c r="L143" s="88">
        <f t="shared" si="15"/>
        <v>19357.95</v>
      </c>
      <c r="M143" s="88">
        <f>_xll.CbondsIndexValue(VLOOKUP($M$1,'Help Page'!$Q:$S,3,0),Calculation!E143)</f>
        <v>7997.64</v>
      </c>
      <c r="N143" s="88">
        <f t="shared" si="16"/>
        <v>7997.64</v>
      </c>
      <c r="AM143" s="35"/>
      <c r="AN143" s="35"/>
      <c r="AO143" s="35"/>
      <c r="AP143" s="35"/>
      <c r="AQ143" s="35"/>
      <c r="AR143" s="35"/>
      <c r="BU143" s="20"/>
    </row>
    <row r="144" spans="5:73" x14ac:dyDescent="0.3">
      <c r="E144" s="37">
        <f t="shared" si="17"/>
        <v>45881</v>
      </c>
      <c r="F144" s="30">
        <f>_xll.CbondsStockAvgPrice($B$1,E144,$B$27)</f>
        <v>139.94999999999999</v>
      </c>
      <c r="G144" s="31">
        <f t="shared" si="14"/>
        <v>139.94999999999999</v>
      </c>
      <c r="H144" s="88">
        <f>IF(_xll.CbondsStockTradingVolume($B$1,E144,$B$27) &lt;&gt; "Нет данных",_xll.CbondsStockTradingVolume($B$1,E144,$B$27),"0")</f>
        <v>10836606158.5</v>
      </c>
      <c r="I144" s="88">
        <f>IF(_xll.CbondsStockDealsNumber($B$1,E144,$B$27) &lt;&gt; "Нет данных",_xll.CbondsStockDealsNumber($B$1,E144,$B$27),"0")</f>
        <v>97520</v>
      </c>
      <c r="K144" s="88">
        <f>_xll.CbondsIndexValue(VLOOKUP($K$1,'Help Page'!$Q:$S,3,0),Calculation!E144)</f>
        <v>19373.52</v>
      </c>
      <c r="L144" s="88">
        <f t="shared" si="15"/>
        <v>19373.52</v>
      </c>
      <c r="M144" s="88">
        <f>_xll.CbondsIndexValue(VLOOKUP($M$1,'Help Page'!$Q:$S,3,0),Calculation!E144)</f>
        <v>8022.23</v>
      </c>
      <c r="N144" s="88">
        <f t="shared" si="16"/>
        <v>8022.23</v>
      </c>
      <c r="AM144" s="35"/>
      <c r="AN144" s="35"/>
      <c r="AO144" s="35"/>
      <c r="AP144" s="35"/>
      <c r="AQ144" s="35"/>
      <c r="AR144" s="35"/>
      <c r="BU144" s="20"/>
    </row>
    <row r="145" spans="5:73" x14ac:dyDescent="0.3">
      <c r="E145" s="37">
        <f t="shared" si="17"/>
        <v>45880</v>
      </c>
      <c r="F145" s="30">
        <f>_xll.CbondsStockAvgPrice($B$1,E145,$B$27)</f>
        <v>141.69</v>
      </c>
      <c r="G145" s="31">
        <f t="shared" si="14"/>
        <v>141.69</v>
      </c>
      <c r="H145" s="88">
        <f>IF(_xll.CbondsStockTradingVolume($B$1,E145,$B$27) &lt;&gt; "Нет данных",_xll.CbondsStockTradingVolume($B$1,E145,$B$27),"0")</f>
        <v>27043450408.299999</v>
      </c>
      <c r="I145" s="88">
        <f>IF(_xll.CbondsStockDealsNumber($B$1,E145,$B$27) &lt;&gt; "Нет данных",_xll.CbondsStockDealsNumber($B$1,E145,$B$27),"0")</f>
        <v>204589</v>
      </c>
      <c r="K145" s="88">
        <f>_xll.CbondsIndexValue(VLOOKUP($K$1,'Help Page'!$Q:$S,3,0),Calculation!E145)</f>
        <v>19289.419999999998</v>
      </c>
      <c r="L145" s="88">
        <f t="shared" si="15"/>
        <v>19289.419999999998</v>
      </c>
      <c r="M145" s="88">
        <f>_xll.CbondsIndexValue(VLOOKUP($M$1,'Help Page'!$Q:$S,3,0),Calculation!E145)</f>
        <v>7966.65</v>
      </c>
      <c r="N145" s="88">
        <f t="shared" si="16"/>
        <v>7966.65</v>
      </c>
      <c r="AM145" s="35"/>
      <c r="AN145" s="35"/>
      <c r="AO145" s="35"/>
      <c r="AP145" s="35"/>
      <c r="AQ145" s="35"/>
      <c r="AR145" s="35"/>
      <c r="BU145" s="20"/>
    </row>
    <row r="146" spans="5:73" x14ac:dyDescent="0.3">
      <c r="E146" s="37">
        <f t="shared" si="17"/>
        <v>45879</v>
      </c>
      <c r="F146" s="30" t="str">
        <f>_xll.CbondsStockAvgPrice($B$1,E146,$B$27)</f>
        <v>Нет данных</v>
      </c>
      <c r="G146" s="31">
        <f t="shared" si="14"/>
        <v>136.69999999999999</v>
      </c>
      <c r="H146" s="88" t="str">
        <f>IF(_xll.CbondsStockTradingVolume($B$1,E146,$B$27) &lt;&gt; "Нет данных",_xll.CbondsStockTradingVolume($B$1,E146,$B$27),"0")</f>
        <v>0</v>
      </c>
      <c r="I146" s="88" t="str">
        <f>IF(_xll.CbondsStockDealsNumber($B$1,E146,$B$27) &lt;&gt; "Нет данных",_xll.CbondsStockDealsNumber($B$1,E146,$B$27),"0")</f>
        <v>0</v>
      </c>
      <c r="K146" s="88" t="str">
        <f>_xll.CbondsIndexValue(VLOOKUP($K$1,'Help Page'!$Q:$S,3,0),Calculation!E146)</f>
        <v>Нет данных</v>
      </c>
      <c r="L146" s="88">
        <f t="shared" si="15"/>
        <v>19035.05</v>
      </c>
      <c r="M146" s="88" t="str">
        <f>_xll.CbondsIndexValue(VLOOKUP($M$1,'Help Page'!$Q:$S,3,0),Calculation!E146)</f>
        <v>Нет данных</v>
      </c>
      <c r="N146" s="88">
        <f t="shared" si="16"/>
        <v>7817.1</v>
      </c>
      <c r="AM146" s="35"/>
      <c r="AN146" s="35"/>
      <c r="AO146" s="35"/>
      <c r="AP146" s="35"/>
      <c r="AQ146" s="35"/>
      <c r="AR146" s="35"/>
      <c r="BU146" s="20"/>
    </row>
    <row r="147" spans="5:73" x14ac:dyDescent="0.3">
      <c r="E147" s="37">
        <f t="shared" si="17"/>
        <v>45878</v>
      </c>
      <c r="F147" s="30" t="str">
        <f>_xll.CbondsStockAvgPrice($B$1,E147,$B$27)</f>
        <v>Нет данных</v>
      </c>
      <c r="G147" s="31">
        <f t="shared" si="14"/>
        <v>136.69999999999999</v>
      </c>
      <c r="H147" s="88" t="str">
        <f>IF(_xll.CbondsStockTradingVolume($B$1,E147,$B$27) &lt;&gt; "Нет данных",_xll.CbondsStockTradingVolume($B$1,E147,$B$27),"0")</f>
        <v>0</v>
      </c>
      <c r="I147" s="88" t="str">
        <f>IF(_xll.CbondsStockDealsNumber($B$1,E147,$B$27) &lt;&gt; "Нет данных",_xll.CbondsStockDealsNumber($B$1,E147,$B$27),"0")</f>
        <v>0</v>
      </c>
      <c r="K147" s="88" t="str">
        <f>_xll.CbondsIndexValue(VLOOKUP($K$1,'Help Page'!$Q:$S,3,0),Calculation!E147)</f>
        <v>Нет данных</v>
      </c>
      <c r="L147" s="88">
        <f t="shared" si="15"/>
        <v>19035.05</v>
      </c>
      <c r="M147" s="88" t="str">
        <f>_xll.CbondsIndexValue(VLOOKUP($M$1,'Help Page'!$Q:$S,3,0),Calculation!E147)</f>
        <v>Нет данных</v>
      </c>
      <c r="N147" s="88">
        <f t="shared" si="16"/>
        <v>7817.1</v>
      </c>
      <c r="AM147" s="35"/>
      <c r="AN147" s="35"/>
      <c r="AO147" s="35"/>
      <c r="AP147" s="35"/>
      <c r="AQ147" s="35"/>
      <c r="AR147" s="35"/>
      <c r="BU147" s="20"/>
    </row>
    <row r="148" spans="5:73" x14ac:dyDescent="0.3">
      <c r="E148" s="37">
        <f t="shared" si="17"/>
        <v>45877</v>
      </c>
      <c r="F148" s="30">
        <f>_xll.CbondsStockAvgPrice($B$1,E148,$B$27)</f>
        <v>136.69999999999999</v>
      </c>
      <c r="G148" s="31">
        <f t="shared" si="14"/>
        <v>136.69999999999999</v>
      </c>
      <c r="H148" s="88">
        <f>IF(_xll.CbondsStockTradingVolume($B$1,E148,$B$27) &lt;&gt; "Нет данных",_xll.CbondsStockTradingVolume($B$1,E148,$B$27),"0")</f>
        <v>28921919855.599998</v>
      </c>
      <c r="I148" s="88">
        <f>IF(_xll.CbondsStockDealsNumber($B$1,E148,$B$27) &lt;&gt; "Нет данных",_xll.CbondsStockDealsNumber($B$1,E148,$B$27),"0")</f>
        <v>197233</v>
      </c>
      <c r="K148" s="88">
        <f>_xll.CbondsIndexValue(VLOOKUP($K$1,'Help Page'!$Q:$S,3,0),Calculation!E148)</f>
        <v>19035.05</v>
      </c>
      <c r="L148" s="88">
        <f t="shared" si="15"/>
        <v>19035.05</v>
      </c>
      <c r="M148" s="88">
        <f>_xll.CbondsIndexValue(VLOOKUP($M$1,'Help Page'!$Q:$S,3,0),Calculation!E148)</f>
        <v>7817.1</v>
      </c>
      <c r="N148" s="88">
        <f t="shared" si="16"/>
        <v>7817.1</v>
      </c>
      <c r="AM148" s="35"/>
      <c r="AN148" s="35"/>
      <c r="AO148" s="35"/>
      <c r="AP148" s="35"/>
      <c r="AQ148" s="35"/>
      <c r="AR148" s="35"/>
      <c r="BU148" s="20"/>
    </row>
    <row r="149" spans="5:73" x14ac:dyDescent="0.3">
      <c r="E149" s="37">
        <f t="shared" si="17"/>
        <v>45876</v>
      </c>
      <c r="F149" s="30">
        <f>_xll.CbondsStockAvgPrice($B$1,E149,$B$27)</f>
        <v>133.85</v>
      </c>
      <c r="G149" s="31">
        <f t="shared" si="14"/>
        <v>133.85</v>
      </c>
      <c r="H149" s="88">
        <f>IF(_xll.CbondsStockTradingVolume($B$1,E149,$B$27) &lt;&gt; "Нет данных",_xll.CbondsStockTradingVolume($B$1,E149,$B$27),"0")</f>
        <v>39617824509.699997</v>
      </c>
      <c r="I149" s="88">
        <f>IF(_xll.CbondsStockDealsNumber($B$1,E149,$B$27) &lt;&gt; "Нет данных",_xll.CbondsStockDealsNumber($B$1,E149,$B$27),"0")</f>
        <v>287971</v>
      </c>
      <c r="K149" s="88">
        <f>_xll.CbondsIndexValue(VLOOKUP($K$1,'Help Page'!$Q:$S,3,0),Calculation!E149)</f>
        <v>18714.78</v>
      </c>
      <c r="L149" s="88">
        <f t="shared" si="15"/>
        <v>18714.78</v>
      </c>
      <c r="M149" s="88">
        <f>_xll.CbondsIndexValue(VLOOKUP($M$1,'Help Page'!$Q:$S,3,0),Calculation!E149)</f>
        <v>7675.9</v>
      </c>
      <c r="N149" s="88">
        <f t="shared" si="16"/>
        <v>7675.9</v>
      </c>
      <c r="AM149" s="35"/>
      <c r="AN149" s="35"/>
      <c r="AO149" s="35"/>
      <c r="AP149" s="35"/>
      <c r="AQ149" s="35"/>
      <c r="AR149" s="35"/>
      <c r="BU149" s="20"/>
    </row>
    <row r="150" spans="5:73" x14ac:dyDescent="0.3">
      <c r="E150" s="37">
        <f t="shared" si="17"/>
        <v>45875</v>
      </c>
      <c r="F150" s="30">
        <f>_xll.CbondsStockAvgPrice($B$1,E150,$B$27)</f>
        <v>128.58000000000001</v>
      </c>
      <c r="G150" s="31">
        <f t="shared" si="14"/>
        <v>128.58000000000001</v>
      </c>
      <c r="H150" s="88">
        <f>IF(_xll.CbondsStockTradingVolume($B$1,E150,$B$27) &lt;&gt; "Нет данных",_xll.CbondsStockTradingVolume($B$1,E150,$B$27),"0")</f>
        <v>23966402689.400002</v>
      </c>
      <c r="I150" s="88">
        <f>IF(_xll.CbondsStockDealsNumber($B$1,E150,$B$27) &lt;&gt; "Нет данных",_xll.CbondsStockDealsNumber($B$1,E150,$B$27),"0")</f>
        <v>201550</v>
      </c>
      <c r="K150" s="88">
        <f>_xll.CbondsIndexValue(VLOOKUP($K$1,'Help Page'!$Q:$S,3,0),Calculation!E150)</f>
        <v>17929.38</v>
      </c>
      <c r="L150" s="88">
        <f t="shared" si="15"/>
        <v>17929.38</v>
      </c>
      <c r="M150" s="88">
        <f>_xll.CbondsIndexValue(VLOOKUP($M$1,'Help Page'!$Q:$S,3,0),Calculation!E150)</f>
        <v>7270.54</v>
      </c>
      <c r="N150" s="88">
        <f t="shared" si="16"/>
        <v>7270.54</v>
      </c>
      <c r="AM150" s="35"/>
      <c r="AN150" s="35"/>
      <c r="AO150" s="35"/>
      <c r="AP150" s="35"/>
      <c r="AQ150" s="35"/>
      <c r="AR150" s="35"/>
      <c r="BU150" s="20"/>
    </row>
    <row r="151" spans="5:73" x14ac:dyDescent="0.3">
      <c r="E151" s="37">
        <f t="shared" si="17"/>
        <v>45874</v>
      </c>
      <c r="F151" s="30">
        <f>_xll.CbondsStockAvgPrice($B$1,E151,$B$27)</f>
        <v>125.73</v>
      </c>
      <c r="G151" s="31">
        <f t="shared" si="14"/>
        <v>125.73</v>
      </c>
      <c r="H151" s="88">
        <f>IF(_xll.CbondsStockTradingVolume($B$1,E151,$B$27) &lt;&gt; "Нет данных",_xll.CbondsStockTradingVolume($B$1,E151,$B$27),"0")</f>
        <v>6238047266.8999996</v>
      </c>
      <c r="I151" s="88">
        <f>IF(_xll.CbondsStockDealsNumber($B$1,E151,$B$27) &lt;&gt; "Нет данных",_xll.CbondsStockDealsNumber($B$1,E151,$B$27),"0")</f>
        <v>70935</v>
      </c>
      <c r="K151" s="88">
        <f>_xll.CbondsIndexValue(VLOOKUP($K$1,'Help Page'!$Q:$S,3,0),Calculation!E151)</f>
        <v>18096.09</v>
      </c>
      <c r="L151" s="88">
        <f t="shared" si="15"/>
        <v>18096.09</v>
      </c>
      <c r="M151" s="88">
        <f>_xll.CbondsIndexValue(VLOOKUP($M$1,'Help Page'!$Q:$S,3,0),Calculation!E151)</f>
        <v>7354.3</v>
      </c>
      <c r="N151" s="88">
        <f t="shared" si="16"/>
        <v>7354.3</v>
      </c>
      <c r="AM151" s="35"/>
      <c r="AN151" s="35"/>
      <c r="AO151" s="35"/>
      <c r="AP151" s="35"/>
      <c r="AQ151" s="35"/>
      <c r="AR151" s="35"/>
      <c r="BU151" s="20"/>
    </row>
    <row r="152" spans="5:73" x14ac:dyDescent="0.3">
      <c r="E152" s="37">
        <f t="shared" si="17"/>
        <v>45873</v>
      </c>
      <c r="F152" s="30">
        <f>_xll.CbondsStockAvgPrice($B$1,E152,$B$27)</f>
        <v>124.4</v>
      </c>
      <c r="G152" s="31">
        <f t="shared" si="14"/>
        <v>124.4</v>
      </c>
      <c r="H152" s="88">
        <f>IF(_xll.CbondsStockTradingVolume($B$1,E152,$B$27) &lt;&gt; "Нет данных",_xll.CbondsStockTradingVolume($B$1,E152,$B$27),"0")</f>
        <v>8116760056</v>
      </c>
      <c r="I152" s="88">
        <f>IF(_xll.CbondsStockDealsNumber($B$1,E152,$B$27) &lt;&gt; "Нет данных",_xll.CbondsStockDealsNumber($B$1,E152,$B$27),"0")</f>
        <v>119057</v>
      </c>
      <c r="K152" s="88">
        <f>_xll.CbondsIndexValue(VLOOKUP($K$1,'Help Page'!$Q:$S,3,0),Calculation!E152)</f>
        <v>18009.28</v>
      </c>
      <c r="L152" s="88">
        <f t="shared" si="15"/>
        <v>18009.28</v>
      </c>
      <c r="M152" s="88">
        <f>_xll.CbondsIndexValue(VLOOKUP($M$1,'Help Page'!$Q:$S,3,0),Calculation!E152)</f>
        <v>7319.68</v>
      </c>
      <c r="N152" s="88">
        <f t="shared" si="16"/>
        <v>7319.68</v>
      </c>
      <c r="AM152" s="35"/>
      <c r="AN152" s="35"/>
      <c r="AO152" s="35"/>
      <c r="AP152" s="35"/>
      <c r="AQ152" s="35"/>
      <c r="AR152" s="35"/>
      <c r="BU152" s="20"/>
    </row>
    <row r="153" spans="5:73" x14ac:dyDescent="0.3">
      <c r="E153" s="37">
        <f t="shared" si="17"/>
        <v>45872</v>
      </c>
      <c r="F153" s="30" t="str">
        <f>_xll.CbondsStockAvgPrice($B$1,E153,$B$27)</f>
        <v>Нет данных</v>
      </c>
      <c r="G153" s="31">
        <f t="shared" si="14"/>
        <v>122.66</v>
      </c>
      <c r="H153" s="88" t="str">
        <f>IF(_xll.CbondsStockTradingVolume($B$1,E153,$B$27) &lt;&gt; "Нет данных",_xll.CbondsStockTradingVolume($B$1,E153,$B$27),"0")</f>
        <v>0</v>
      </c>
      <c r="I153" s="88" t="str">
        <f>IF(_xll.CbondsStockDealsNumber($B$1,E153,$B$27) &lt;&gt; "Нет данных",_xll.CbondsStockDealsNumber($B$1,E153,$B$27),"0")</f>
        <v>0</v>
      </c>
      <c r="K153" s="88" t="str">
        <f>_xll.CbondsIndexValue(VLOOKUP($K$1,'Help Page'!$Q:$S,3,0),Calculation!E153)</f>
        <v>Нет данных</v>
      </c>
      <c r="L153" s="88">
        <f t="shared" si="15"/>
        <v>17668.810000000001</v>
      </c>
      <c r="M153" s="88" t="str">
        <f>_xll.CbondsIndexValue(VLOOKUP($M$1,'Help Page'!$Q:$S,3,0),Calculation!E153)</f>
        <v>Нет данных</v>
      </c>
      <c r="N153" s="88">
        <f t="shared" si="16"/>
        <v>7159.25</v>
      </c>
      <c r="AM153" s="35"/>
      <c r="AN153" s="35"/>
      <c r="AO153" s="35"/>
      <c r="AP153" s="35"/>
      <c r="AQ153" s="35"/>
      <c r="AR153" s="35"/>
      <c r="BU153" s="20"/>
    </row>
    <row r="154" spans="5:73" x14ac:dyDescent="0.3">
      <c r="E154" s="37">
        <f t="shared" si="17"/>
        <v>45871</v>
      </c>
      <c r="F154" s="30" t="str">
        <f>_xll.CbondsStockAvgPrice($B$1,E154,$B$27)</f>
        <v>Нет данных</v>
      </c>
      <c r="G154" s="31">
        <f t="shared" si="14"/>
        <v>122.66</v>
      </c>
      <c r="H154" s="88" t="str">
        <f>IF(_xll.CbondsStockTradingVolume($B$1,E154,$B$27) &lt;&gt; "Нет данных",_xll.CbondsStockTradingVolume($B$1,E154,$B$27),"0")</f>
        <v>0</v>
      </c>
      <c r="I154" s="88" t="str">
        <f>IF(_xll.CbondsStockDealsNumber($B$1,E154,$B$27) &lt;&gt; "Нет данных",_xll.CbondsStockDealsNumber($B$1,E154,$B$27),"0")</f>
        <v>0</v>
      </c>
      <c r="K154" s="88" t="str">
        <f>_xll.CbondsIndexValue(VLOOKUP($K$1,'Help Page'!$Q:$S,3,0),Calculation!E154)</f>
        <v>Нет данных</v>
      </c>
      <c r="L154" s="88">
        <f t="shared" si="15"/>
        <v>17668.810000000001</v>
      </c>
      <c r="M154" s="88" t="str">
        <f>_xll.CbondsIndexValue(VLOOKUP($M$1,'Help Page'!$Q:$S,3,0),Calculation!E154)</f>
        <v>Нет данных</v>
      </c>
      <c r="N154" s="88">
        <f t="shared" si="16"/>
        <v>7159.25</v>
      </c>
      <c r="AM154" s="35"/>
      <c r="AN154" s="35"/>
      <c r="AO154" s="35"/>
      <c r="AP154" s="35"/>
      <c r="AQ154" s="35"/>
      <c r="AR154" s="35"/>
      <c r="BU154" s="20"/>
    </row>
    <row r="155" spans="5:73" x14ac:dyDescent="0.3">
      <c r="E155" s="37">
        <f t="shared" si="17"/>
        <v>45870</v>
      </c>
      <c r="F155" s="30">
        <f>_xll.CbondsStockAvgPrice($B$1,E155,$B$27)</f>
        <v>122.66</v>
      </c>
      <c r="G155" s="31">
        <f t="shared" si="14"/>
        <v>122.66</v>
      </c>
      <c r="H155" s="88">
        <f>IF(_xll.CbondsStockTradingVolume($B$1,E155,$B$27) &lt;&gt; "Нет данных",_xll.CbondsStockTradingVolume($B$1,E155,$B$27),"0")</f>
        <v>5999200310.6000004</v>
      </c>
      <c r="I155" s="88">
        <f>IF(_xll.CbondsStockDealsNumber($B$1,E155,$B$27) &lt;&gt; "Нет данных",_xll.CbondsStockDealsNumber($B$1,E155,$B$27),"0")</f>
        <v>88252</v>
      </c>
      <c r="K155" s="88">
        <f>_xll.CbondsIndexValue(VLOOKUP($K$1,'Help Page'!$Q:$S,3,0),Calculation!E155)</f>
        <v>17668.810000000001</v>
      </c>
      <c r="L155" s="88">
        <f t="shared" si="15"/>
        <v>17668.810000000001</v>
      </c>
      <c r="M155" s="88">
        <f>_xll.CbondsIndexValue(VLOOKUP($M$1,'Help Page'!$Q:$S,3,0),Calculation!E155)</f>
        <v>7159.25</v>
      </c>
      <c r="N155" s="88">
        <f t="shared" si="16"/>
        <v>7159.25</v>
      </c>
      <c r="AM155" s="35"/>
      <c r="AN155" s="35"/>
      <c r="AO155" s="35"/>
      <c r="AP155" s="35"/>
      <c r="AQ155" s="35"/>
      <c r="AR155" s="35"/>
      <c r="BU155" s="20"/>
    </row>
    <row r="156" spans="5:73" x14ac:dyDescent="0.3">
      <c r="E156" s="37">
        <f t="shared" si="17"/>
        <v>45869</v>
      </c>
      <c r="F156" s="30">
        <f>_xll.CbondsStockAvgPrice($B$1,E156,$B$27)</f>
        <v>121.86</v>
      </c>
      <c r="G156" s="31">
        <f t="shared" si="14"/>
        <v>121.86</v>
      </c>
      <c r="H156" s="88">
        <f>IF(_xll.CbondsStockTradingVolume($B$1,E156,$B$27) &lt;&gt; "Нет данных",_xll.CbondsStockTradingVolume($B$1,E156,$B$27),"0")</f>
        <v>3453339564.0999999</v>
      </c>
      <c r="I156" s="88">
        <f>IF(_xll.CbondsStockDealsNumber($B$1,E156,$B$27) &lt;&gt; "Нет данных",_xll.CbondsStockDealsNumber($B$1,E156,$B$27),"0")</f>
        <v>51524</v>
      </c>
      <c r="K156" s="88">
        <f>_xll.CbondsIndexValue(VLOOKUP($K$1,'Help Page'!$Q:$S,3,0),Calculation!E156)</f>
        <v>17706.52</v>
      </c>
      <c r="L156" s="88">
        <f t="shared" si="15"/>
        <v>17706.52</v>
      </c>
      <c r="M156" s="88">
        <f>_xll.CbondsIndexValue(VLOOKUP($M$1,'Help Page'!$Q:$S,3,0),Calculation!E156)</f>
        <v>7158.58</v>
      </c>
      <c r="N156" s="88">
        <f t="shared" si="16"/>
        <v>7158.58</v>
      </c>
      <c r="AM156" s="35"/>
      <c r="AN156" s="35"/>
      <c r="AO156" s="35"/>
      <c r="AP156" s="35"/>
      <c r="AQ156" s="35"/>
      <c r="AR156" s="35"/>
      <c r="BU156" s="20"/>
    </row>
    <row r="157" spans="5:73" x14ac:dyDescent="0.3">
      <c r="E157" s="37">
        <f t="shared" si="17"/>
        <v>45868</v>
      </c>
      <c r="F157" s="30">
        <f>_xll.CbondsStockAvgPrice($B$1,E157,$B$27)</f>
        <v>121.82</v>
      </c>
      <c r="G157" s="31">
        <f t="shared" si="14"/>
        <v>121.82</v>
      </c>
      <c r="H157" s="88">
        <f>IF(_xll.CbondsStockTradingVolume($B$1,E157,$B$27) &lt;&gt; "Нет данных",_xll.CbondsStockTradingVolume($B$1,E157,$B$27),"0")</f>
        <v>3383639771.0999999</v>
      </c>
      <c r="I157" s="88">
        <f>IF(_xll.CbondsStockDealsNumber($B$1,E157,$B$27) &lt;&gt; "Нет данных",_xll.CbondsStockDealsNumber($B$1,E157,$B$27),"0")</f>
        <v>56683</v>
      </c>
      <c r="K157" s="88">
        <f>_xll.CbondsIndexValue(VLOOKUP($K$1,'Help Page'!$Q:$S,3,0),Calculation!E157)</f>
        <v>17677.599999999999</v>
      </c>
      <c r="L157" s="88">
        <f t="shared" si="15"/>
        <v>17677.599999999999</v>
      </c>
      <c r="M157" s="88">
        <f>_xll.CbondsIndexValue(VLOOKUP($M$1,'Help Page'!$Q:$S,3,0),Calculation!E157)</f>
        <v>7153.13</v>
      </c>
      <c r="N157" s="88">
        <f t="shared" si="16"/>
        <v>7153.13</v>
      </c>
      <c r="AM157" s="35"/>
      <c r="AN157" s="35"/>
      <c r="AO157" s="35"/>
      <c r="AP157" s="35"/>
      <c r="AQ157" s="35"/>
      <c r="AR157" s="35"/>
      <c r="BU157" s="20"/>
    </row>
    <row r="158" spans="5:73" x14ac:dyDescent="0.3">
      <c r="E158" s="37">
        <f t="shared" si="17"/>
        <v>45867</v>
      </c>
      <c r="F158" s="30">
        <f>_xll.CbondsStockAvgPrice($B$1,E158,$B$27)</f>
        <v>122.98</v>
      </c>
      <c r="G158" s="31">
        <f t="shared" si="14"/>
        <v>122.98</v>
      </c>
      <c r="H158" s="88">
        <f>IF(_xll.CbondsStockTradingVolume($B$1,E158,$B$27) &lt;&gt; "Нет данных",_xll.CbondsStockTradingVolume($B$1,E158,$B$27),"0")</f>
        <v>4821486411.8999996</v>
      </c>
      <c r="I158" s="88">
        <f>IF(_xll.CbondsStockDealsNumber($B$1,E158,$B$27) &lt;&gt; "Нет данных",_xll.CbondsStockDealsNumber($B$1,E158,$B$27),"0")</f>
        <v>63322</v>
      </c>
      <c r="K158" s="88">
        <f>_xll.CbondsIndexValue(VLOOKUP($K$1,'Help Page'!$Q:$S,3,0),Calculation!E158)</f>
        <v>17890.7</v>
      </c>
      <c r="L158" s="88">
        <f t="shared" si="15"/>
        <v>17890.7</v>
      </c>
      <c r="M158" s="88">
        <f>_xll.CbondsIndexValue(VLOOKUP($M$1,'Help Page'!$Q:$S,3,0),Calculation!E158)</f>
        <v>7241.74</v>
      </c>
      <c r="N158" s="88">
        <f t="shared" si="16"/>
        <v>7241.74</v>
      </c>
      <c r="AM158" s="35"/>
      <c r="AN158" s="35"/>
      <c r="AO158" s="35"/>
      <c r="AP158" s="35"/>
      <c r="AQ158" s="35"/>
      <c r="AR158" s="35"/>
      <c r="BU158" s="20"/>
    </row>
    <row r="159" spans="5:73" x14ac:dyDescent="0.3">
      <c r="E159" s="37">
        <f t="shared" si="17"/>
        <v>45866</v>
      </c>
      <c r="F159" s="30">
        <f>_xll.CbondsStockAvgPrice($B$1,E159,$B$27)</f>
        <v>123.91</v>
      </c>
      <c r="G159" s="31">
        <f t="shared" si="14"/>
        <v>123.91</v>
      </c>
      <c r="H159" s="88">
        <f>IF(_xll.CbondsStockTradingVolume($B$1,E159,$B$27) &lt;&gt; "Нет данных",_xll.CbondsStockTradingVolume($B$1,E159,$B$27),"0")</f>
        <v>8644178392.2000008</v>
      </c>
      <c r="I159" s="88">
        <f>IF(_xll.CbondsStockDealsNumber($B$1,E159,$B$27) &lt;&gt; "Нет данных",_xll.CbondsStockDealsNumber($B$1,E159,$B$27),"0")</f>
        <v>121867</v>
      </c>
      <c r="K159" s="88">
        <f>_xll.CbondsIndexValue(VLOOKUP($K$1,'Help Page'!$Q:$S,3,0),Calculation!E159)</f>
        <v>17697.099999999999</v>
      </c>
      <c r="L159" s="88">
        <f t="shared" si="15"/>
        <v>17697.099999999999</v>
      </c>
      <c r="M159" s="88">
        <f>_xll.CbondsIndexValue(VLOOKUP($M$1,'Help Page'!$Q:$S,3,0),Calculation!E159)</f>
        <v>7200.26</v>
      </c>
      <c r="N159" s="88">
        <f t="shared" si="16"/>
        <v>7200.26</v>
      </c>
      <c r="AM159" s="35"/>
      <c r="AN159" s="35"/>
      <c r="AO159" s="35"/>
      <c r="AP159" s="35"/>
      <c r="AQ159" s="35"/>
      <c r="AR159" s="35"/>
      <c r="BU159" s="20"/>
    </row>
    <row r="160" spans="5:73" x14ac:dyDescent="0.3">
      <c r="E160" s="37">
        <f t="shared" si="17"/>
        <v>45865</v>
      </c>
      <c r="F160" s="30" t="str">
        <f>_xll.CbondsStockAvgPrice($B$1,E160,$B$27)</f>
        <v>Нет данных</v>
      </c>
      <c r="G160" s="31">
        <f t="shared" si="14"/>
        <v>127.31</v>
      </c>
      <c r="H160" s="88" t="str">
        <f>IF(_xll.CbondsStockTradingVolume($B$1,E160,$B$27) &lt;&gt; "Нет данных",_xll.CbondsStockTradingVolume($B$1,E160,$B$27),"0")</f>
        <v>0</v>
      </c>
      <c r="I160" s="88" t="str">
        <f>IF(_xll.CbondsStockDealsNumber($B$1,E160,$B$27) &lt;&gt; "Нет данных",_xll.CbondsStockDealsNumber($B$1,E160,$B$27),"0")</f>
        <v>0</v>
      </c>
      <c r="K160" s="88" t="str">
        <f>_xll.CbondsIndexValue(VLOOKUP($K$1,'Help Page'!$Q:$S,3,0),Calculation!E160)</f>
        <v>Нет данных</v>
      </c>
      <c r="L160" s="88">
        <f t="shared" si="15"/>
        <v>17972.169999999998</v>
      </c>
      <c r="M160" s="88" t="str">
        <f>_xll.CbondsIndexValue(VLOOKUP($M$1,'Help Page'!$Q:$S,3,0),Calculation!E160)</f>
        <v>Нет данных</v>
      </c>
      <c r="N160" s="88">
        <f t="shared" si="16"/>
        <v>7315.77</v>
      </c>
      <c r="AM160" s="35"/>
      <c r="AN160" s="35"/>
      <c r="AO160" s="35"/>
      <c r="AP160" s="35"/>
      <c r="AQ160" s="35"/>
      <c r="AR160" s="35"/>
      <c r="BU160" s="20"/>
    </row>
    <row r="161" spans="5:73" x14ac:dyDescent="0.3">
      <c r="E161" s="37">
        <f t="shared" si="17"/>
        <v>45864</v>
      </c>
      <c r="F161" s="30" t="str">
        <f>_xll.CbondsStockAvgPrice($B$1,E161,$B$27)</f>
        <v>Нет данных</v>
      </c>
      <c r="G161" s="31">
        <f t="shared" si="14"/>
        <v>127.31</v>
      </c>
      <c r="H161" s="88" t="str">
        <f>IF(_xll.CbondsStockTradingVolume($B$1,E161,$B$27) &lt;&gt; "Нет данных",_xll.CbondsStockTradingVolume($B$1,E161,$B$27),"0")</f>
        <v>0</v>
      </c>
      <c r="I161" s="88" t="str">
        <f>IF(_xll.CbondsStockDealsNumber($B$1,E161,$B$27) &lt;&gt; "Нет данных",_xll.CbondsStockDealsNumber($B$1,E161,$B$27),"0")</f>
        <v>0</v>
      </c>
      <c r="K161" s="88" t="str">
        <f>_xll.CbondsIndexValue(VLOOKUP($K$1,'Help Page'!$Q:$S,3,0),Calculation!E161)</f>
        <v>Нет данных</v>
      </c>
      <c r="L161" s="88">
        <f t="shared" si="15"/>
        <v>17972.169999999998</v>
      </c>
      <c r="M161" s="88" t="str">
        <f>_xll.CbondsIndexValue(VLOOKUP($M$1,'Help Page'!$Q:$S,3,0),Calculation!E161)</f>
        <v>Нет данных</v>
      </c>
      <c r="N161" s="88">
        <f t="shared" si="16"/>
        <v>7315.77</v>
      </c>
      <c r="AM161" s="35"/>
      <c r="AN161" s="35"/>
      <c r="AO161" s="35"/>
      <c r="AP161" s="35"/>
      <c r="AQ161" s="35"/>
      <c r="AR161" s="35"/>
      <c r="BU161" s="20"/>
    </row>
    <row r="162" spans="5:73" x14ac:dyDescent="0.3">
      <c r="E162" s="37">
        <f t="shared" si="17"/>
        <v>45863</v>
      </c>
      <c r="F162" s="30">
        <f>_xll.CbondsStockAvgPrice($B$1,E162,$B$27)</f>
        <v>127.31</v>
      </c>
      <c r="G162" s="31">
        <f t="shared" si="14"/>
        <v>127.31</v>
      </c>
      <c r="H162" s="88">
        <f>IF(_xll.CbondsStockTradingVolume($B$1,E162,$B$27) &lt;&gt; "Нет данных",_xll.CbondsStockTradingVolume($B$1,E162,$B$27),"0")</f>
        <v>7178685223.6000004</v>
      </c>
      <c r="I162" s="88">
        <f>IF(_xll.CbondsStockDealsNumber($B$1,E162,$B$27) &lt;&gt; "Нет данных",_xll.CbondsStockDealsNumber($B$1,E162,$B$27),"0")</f>
        <v>93564</v>
      </c>
      <c r="K162" s="88">
        <f>_xll.CbondsIndexValue(VLOOKUP($K$1,'Help Page'!$Q:$S,3,0),Calculation!E162)</f>
        <v>17972.169999999998</v>
      </c>
      <c r="L162" s="88">
        <f t="shared" si="15"/>
        <v>17972.169999999998</v>
      </c>
      <c r="M162" s="88">
        <f>_xll.CbondsIndexValue(VLOOKUP($M$1,'Help Page'!$Q:$S,3,0),Calculation!E162)</f>
        <v>7315.77</v>
      </c>
      <c r="N162" s="88">
        <f t="shared" si="16"/>
        <v>7315.77</v>
      </c>
      <c r="AM162" s="35"/>
      <c r="AN162" s="35"/>
      <c r="AO162" s="35"/>
      <c r="AP162" s="35"/>
      <c r="AQ162" s="35"/>
      <c r="AR162" s="35"/>
      <c r="BU162" s="20"/>
    </row>
    <row r="163" spans="5:73" x14ac:dyDescent="0.3">
      <c r="E163" s="37">
        <f t="shared" si="17"/>
        <v>45862</v>
      </c>
      <c r="F163" s="30">
        <f>_xll.CbondsStockAvgPrice($B$1,E163,$B$27)</f>
        <v>128.21</v>
      </c>
      <c r="G163" s="31">
        <f t="shared" si="14"/>
        <v>128.21</v>
      </c>
      <c r="H163" s="88">
        <f>IF(_xll.CbondsStockTradingVolume($B$1,E163,$B$27) &lt;&gt; "Нет данных",_xll.CbondsStockTradingVolume($B$1,E163,$B$27),"0")</f>
        <v>4219295282.8000002</v>
      </c>
      <c r="I163" s="88">
        <f>IF(_xll.CbondsStockDealsNumber($B$1,E163,$B$27) &lt;&gt; "Нет данных",_xll.CbondsStockDealsNumber($B$1,E163,$B$27),"0")</f>
        <v>48590</v>
      </c>
      <c r="K163" s="88">
        <f>_xll.CbondsIndexValue(VLOOKUP($K$1,'Help Page'!$Q:$S,3,0),Calculation!E163)</f>
        <v>18214.75</v>
      </c>
      <c r="L163" s="88">
        <f t="shared" si="15"/>
        <v>18214.75</v>
      </c>
      <c r="M163" s="88">
        <f>_xll.CbondsIndexValue(VLOOKUP($M$1,'Help Page'!$Q:$S,3,0),Calculation!E163)</f>
        <v>7412.74</v>
      </c>
      <c r="N163" s="88">
        <f t="shared" si="16"/>
        <v>7412.74</v>
      </c>
      <c r="AM163" s="35"/>
      <c r="AN163" s="35"/>
      <c r="AO163" s="35"/>
      <c r="AP163" s="35"/>
      <c r="AQ163" s="35"/>
      <c r="AR163" s="35"/>
      <c r="BU163" s="20"/>
    </row>
    <row r="164" spans="5:73" x14ac:dyDescent="0.3">
      <c r="E164" s="37">
        <f t="shared" si="17"/>
        <v>45861</v>
      </c>
      <c r="F164" s="30">
        <f>_xll.CbondsStockAvgPrice($B$1,E164,$B$27)</f>
        <v>129.55000000000001</v>
      </c>
      <c r="G164" s="31">
        <f t="shared" si="14"/>
        <v>129.55000000000001</v>
      </c>
      <c r="H164" s="88">
        <f>IF(_xll.CbondsStockTradingVolume($B$1,E164,$B$27) &lt;&gt; "Нет данных",_xll.CbondsStockTradingVolume($B$1,E164,$B$27),"0")</f>
        <v>6495020796.3000002</v>
      </c>
      <c r="I164" s="88">
        <f>IF(_xll.CbondsStockDealsNumber($B$1,E164,$B$27) &lt;&gt; "Нет данных",_xll.CbondsStockDealsNumber($B$1,E164,$B$27),"0")</f>
        <v>78567</v>
      </c>
      <c r="K164" s="88">
        <f>_xll.CbondsIndexValue(VLOOKUP($K$1,'Help Page'!$Q:$S,3,0),Calculation!E164)</f>
        <v>18434.91</v>
      </c>
      <c r="L164" s="88">
        <f t="shared" si="15"/>
        <v>18434.91</v>
      </c>
      <c r="M164" s="88">
        <f>_xll.CbondsIndexValue(VLOOKUP($M$1,'Help Page'!$Q:$S,3,0),Calculation!E164)</f>
        <v>7492.75</v>
      </c>
      <c r="N164" s="88">
        <f t="shared" si="16"/>
        <v>7492.75</v>
      </c>
      <c r="AM164" s="35"/>
      <c r="AN164" s="35"/>
      <c r="AO164" s="35"/>
      <c r="AP164" s="35"/>
      <c r="AQ164" s="35"/>
      <c r="AR164" s="35"/>
      <c r="BU164" s="20"/>
    </row>
    <row r="165" spans="5:73" x14ac:dyDescent="0.3">
      <c r="E165" s="37">
        <f t="shared" si="17"/>
        <v>45860</v>
      </c>
      <c r="F165" s="30">
        <f>_xll.CbondsStockAvgPrice($B$1,E165,$B$27)</f>
        <v>128.57</v>
      </c>
      <c r="G165" s="31">
        <f t="shared" si="14"/>
        <v>128.57</v>
      </c>
      <c r="H165" s="88">
        <f>IF(_xll.CbondsStockTradingVolume($B$1,E165,$B$27) &lt;&gt; "Нет данных",_xll.CbondsStockTradingVolume($B$1,E165,$B$27),"0")</f>
        <v>5690275375.6000004</v>
      </c>
      <c r="I165" s="88">
        <f>IF(_xll.CbondsStockDealsNumber($B$1,E165,$B$27) &lt;&gt; "Нет данных",_xll.CbondsStockDealsNumber($B$1,E165,$B$27),"0")</f>
        <v>79149</v>
      </c>
      <c r="K165" s="88">
        <f>_xll.CbondsIndexValue(VLOOKUP($K$1,'Help Page'!$Q:$S,3,0),Calculation!E165)</f>
        <v>18336.349999999999</v>
      </c>
      <c r="L165" s="88">
        <f t="shared" si="15"/>
        <v>18336.349999999999</v>
      </c>
      <c r="M165" s="88">
        <f>_xll.CbondsIndexValue(VLOOKUP($M$1,'Help Page'!$Q:$S,3,0),Calculation!E165)</f>
        <v>7453.76</v>
      </c>
      <c r="N165" s="88">
        <f t="shared" si="16"/>
        <v>7453.76</v>
      </c>
      <c r="AM165" s="35"/>
      <c r="AN165" s="35"/>
      <c r="AO165" s="35"/>
      <c r="AP165" s="35"/>
      <c r="AQ165" s="35"/>
      <c r="AR165" s="35"/>
      <c r="BU165" s="20"/>
    </row>
    <row r="166" spans="5:73" x14ac:dyDescent="0.3">
      <c r="E166" s="37">
        <f t="shared" si="17"/>
        <v>45859</v>
      </c>
      <c r="F166" s="30">
        <f>_xll.CbondsStockAvgPrice($B$1,E166,$B$27)</f>
        <v>128.01</v>
      </c>
      <c r="G166" s="31">
        <f t="shared" si="14"/>
        <v>128.01</v>
      </c>
      <c r="H166" s="88">
        <f>IF(_xll.CbondsStockTradingVolume($B$1,E166,$B$27) &lt;&gt; "Нет данных",_xll.CbondsStockTradingVolume($B$1,E166,$B$27),"0")</f>
        <v>9467240917.1000004</v>
      </c>
      <c r="I166" s="88">
        <f>IF(_xll.CbondsStockDealsNumber($B$1,E166,$B$27) &lt;&gt; "Нет данных",_xll.CbondsStockDealsNumber($B$1,E166,$B$27),"0")</f>
        <v>111659</v>
      </c>
      <c r="K166" s="88">
        <f>_xll.CbondsIndexValue(VLOOKUP($K$1,'Help Page'!$Q:$S,3,0),Calculation!E166)</f>
        <v>18302.66</v>
      </c>
      <c r="L166" s="88">
        <f t="shared" si="15"/>
        <v>18302.66</v>
      </c>
      <c r="M166" s="88">
        <f>_xll.CbondsIndexValue(VLOOKUP($M$1,'Help Page'!$Q:$S,3,0),Calculation!E166)</f>
        <v>7450.26</v>
      </c>
      <c r="N166" s="88">
        <f t="shared" si="16"/>
        <v>7450.26</v>
      </c>
      <c r="AM166" s="35"/>
      <c r="AN166" s="35"/>
      <c r="AO166" s="35"/>
      <c r="AP166" s="35"/>
      <c r="AQ166" s="35"/>
      <c r="AR166" s="35"/>
      <c r="BU166" s="20"/>
    </row>
    <row r="167" spans="5:73" x14ac:dyDescent="0.3">
      <c r="E167" s="37">
        <f t="shared" si="17"/>
        <v>45858</v>
      </c>
      <c r="F167" s="30" t="str">
        <f>_xll.CbondsStockAvgPrice($B$1,E167,$B$27)</f>
        <v>Нет данных</v>
      </c>
      <c r="G167" s="31">
        <f t="shared" si="14"/>
        <v>124.36</v>
      </c>
      <c r="H167" s="88" t="str">
        <f>IF(_xll.CbondsStockTradingVolume($B$1,E167,$B$27) &lt;&gt; "Нет данных",_xll.CbondsStockTradingVolume($B$1,E167,$B$27),"0")</f>
        <v>0</v>
      </c>
      <c r="I167" s="88" t="str">
        <f>IF(_xll.CbondsStockDealsNumber($B$1,E167,$B$27) &lt;&gt; "Нет данных",_xll.CbondsStockDealsNumber($B$1,E167,$B$27),"0")</f>
        <v>0</v>
      </c>
      <c r="K167" s="88" t="str">
        <f>_xll.CbondsIndexValue(VLOOKUP($K$1,'Help Page'!$Q:$S,3,0),Calculation!E167)</f>
        <v>Нет данных</v>
      </c>
      <c r="L167" s="88">
        <f t="shared" si="15"/>
        <v>18050.689999999999</v>
      </c>
      <c r="M167" s="88" t="str">
        <f>_xll.CbondsIndexValue(VLOOKUP($M$1,'Help Page'!$Q:$S,3,0),Calculation!E167)</f>
        <v>Нет данных</v>
      </c>
      <c r="N167" s="88">
        <f t="shared" si="16"/>
        <v>7346.38</v>
      </c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BU167" s="20"/>
    </row>
    <row r="168" spans="5:73" x14ac:dyDescent="0.3">
      <c r="E168" s="37">
        <f t="shared" si="17"/>
        <v>45857</v>
      </c>
      <c r="F168" s="30" t="str">
        <f>_xll.CbondsStockAvgPrice($B$1,E168,$B$27)</f>
        <v>Нет данных</v>
      </c>
      <c r="G168" s="31">
        <f t="shared" si="14"/>
        <v>124.36</v>
      </c>
      <c r="H168" s="88" t="str">
        <f>IF(_xll.CbondsStockTradingVolume($B$1,E168,$B$27) &lt;&gt; "Нет данных",_xll.CbondsStockTradingVolume($B$1,E168,$B$27),"0")</f>
        <v>0</v>
      </c>
      <c r="I168" s="88" t="str">
        <f>IF(_xll.CbondsStockDealsNumber($B$1,E168,$B$27) &lt;&gt; "Нет данных",_xll.CbondsStockDealsNumber($B$1,E168,$B$27),"0")</f>
        <v>0</v>
      </c>
      <c r="K168" s="88" t="str">
        <f>_xll.CbondsIndexValue(VLOOKUP($K$1,'Help Page'!$Q:$S,3,0),Calculation!E168)</f>
        <v>Нет данных</v>
      </c>
      <c r="L168" s="88">
        <f t="shared" si="15"/>
        <v>18050.689999999999</v>
      </c>
      <c r="M168" s="88" t="str">
        <f>_xll.CbondsIndexValue(VLOOKUP($M$1,'Help Page'!$Q:$S,3,0),Calculation!E168)</f>
        <v>Нет данных</v>
      </c>
      <c r="N168" s="88">
        <f t="shared" si="16"/>
        <v>7346.38</v>
      </c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BU168" s="20"/>
    </row>
    <row r="169" spans="5:73" x14ac:dyDescent="0.3">
      <c r="E169" s="37">
        <f t="shared" si="17"/>
        <v>45856</v>
      </c>
      <c r="F169" s="30">
        <f>_xll.CbondsStockAvgPrice($B$1,E169,$B$27)</f>
        <v>124.36</v>
      </c>
      <c r="G169" s="31">
        <f t="shared" si="14"/>
        <v>124.36</v>
      </c>
      <c r="H169" s="88">
        <f>IF(_xll.CbondsStockTradingVolume($B$1,E169,$B$27) &lt;&gt; "Нет данных",_xll.CbondsStockTradingVolume($B$1,E169,$B$27),"0")</f>
        <v>11292888802.1</v>
      </c>
      <c r="I169" s="88">
        <f>IF(_xll.CbondsStockDealsNumber($B$1,E169,$B$27) &lt;&gt; "Нет данных",_xll.CbondsStockDealsNumber($B$1,E169,$B$27),"0")</f>
        <v>114761</v>
      </c>
      <c r="K169" s="88">
        <f>_xll.CbondsIndexValue(VLOOKUP($K$1,'Help Page'!$Q:$S,3,0),Calculation!E169)</f>
        <v>18050.689999999999</v>
      </c>
      <c r="L169" s="88">
        <f t="shared" si="15"/>
        <v>18050.689999999999</v>
      </c>
      <c r="M169" s="88">
        <f>_xll.CbondsIndexValue(VLOOKUP($M$1,'Help Page'!$Q:$S,3,0),Calculation!E169)</f>
        <v>7346.38</v>
      </c>
      <c r="N169" s="88">
        <f t="shared" si="16"/>
        <v>7346.38</v>
      </c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BU169" s="20"/>
    </row>
    <row r="170" spans="5:73" x14ac:dyDescent="0.3">
      <c r="E170" s="37">
        <f t="shared" si="17"/>
        <v>45855</v>
      </c>
      <c r="F170" s="30">
        <f>_xll.CbondsStockAvgPrice($B$1,E170,$B$27)</f>
        <v>122.15</v>
      </c>
      <c r="G170" s="31">
        <f t="shared" si="14"/>
        <v>122.15</v>
      </c>
      <c r="H170" s="88">
        <f>IF(_xll.CbondsStockTradingVolume($B$1,E170,$B$27) &lt;&gt; "Нет данных",_xll.CbondsStockTradingVolume($B$1,E170,$B$27),"0")</f>
        <v>4646601019.6000004</v>
      </c>
      <c r="I170" s="88">
        <f>IF(_xll.CbondsStockDealsNumber($B$1,E170,$B$27) &lt;&gt; "Нет данных",_xll.CbondsStockDealsNumber($B$1,E170,$B$27),"0")</f>
        <v>60303</v>
      </c>
      <c r="K170" s="88">
        <f>_xll.CbondsIndexValue(VLOOKUP($K$1,'Help Page'!$Q:$S,3,0),Calculation!E170)</f>
        <v>17895.259999999998</v>
      </c>
      <c r="L170" s="88">
        <f t="shared" si="15"/>
        <v>17895.259999999998</v>
      </c>
      <c r="M170" s="88">
        <f>_xll.CbondsIndexValue(VLOOKUP($M$1,'Help Page'!$Q:$S,3,0),Calculation!E170)</f>
        <v>7202.01</v>
      </c>
      <c r="N170" s="88">
        <f t="shared" si="16"/>
        <v>7202.01</v>
      </c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BU170" s="20"/>
    </row>
    <row r="171" spans="5:73" x14ac:dyDescent="0.3">
      <c r="E171" s="37">
        <f t="shared" si="17"/>
        <v>45854</v>
      </c>
      <c r="F171" s="30">
        <f>_xll.CbondsStockAvgPrice($B$1,E171,$B$27)</f>
        <v>122.68</v>
      </c>
      <c r="G171" s="31">
        <f t="shared" si="14"/>
        <v>122.68</v>
      </c>
      <c r="H171" s="88">
        <f>IF(_xll.CbondsStockTradingVolume($B$1,E171,$B$27) &lt;&gt; "Нет данных",_xll.CbondsStockTradingVolume($B$1,E171,$B$27),"0")</f>
        <v>6796027248.6000004</v>
      </c>
      <c r="I171" s="88">
        <f>IF(_xll.CbondsStockDealsNumber($B$1,E171,$B$27) &lt;&gt; "Нет данных",_xll.CbondsStockDealsNumber($B$1,E171,$B$27),"0")</f>
        <v>75916</v>
      </c>
      <c r="K171" s="88">
        <f>_xll.CbondsIndexValue(VLOOKUP($K$1,'Help Page'!$Q:$S,3,0),Calculation!E171)</f>
        <v>17946.14</v>
      </c>
      <c r="L171" s="88">
        <f t="shared" si="15"/>
        <v>17946.14</v>
      </c>
      <c r="M171" s="88">
        <f>_xll.CbondsIndexValue(VLOOKUP($M$1,'Help Page'!$Q:$S,3,0),Calculation!E171)</f>
        <v>7302.45</v>
      </c>
      <c r="N171" s="88">
        <f t="shared" si="16"/>
        <v>7302.45</v>
      </c>
      <c r="AK171" s="35"/>
      <c r="AL171" s="35"/>
      <c r="AM171" s="35"/>
      <c r="AN171" s="35"/>
      <c r="AO171" s="35"/>
      <c r="AP171" s="35"/>
      <c r="AQ171" s="35"/>
      <c r="AR171" s="35"/>
      <c r="BU171" s="20"/>
    </row>
    <row r="172" spans="5:73" x14ac:dyDescent="0.3">
      <c r="E172" s="37">
        <f t="shared" si="17"/>
        <v>45853</v>
      </c>
      <c r="F172" s="30">
        <f>_xll.CbondsStockAvgPrice($B$1,E172,$B$27)</f>
        <v>121.96</v>
      </c>
      <c r="G172" s="31">
        <f t="shared" si="14"/>
        <v>121.96</v>
      </c>
      <c r="H172" s="88">
        <f>IF(_xll.CbondsStockTradingVolume($B$1,E172,$B$27) &lt;&gt; "Нет данных",_xll.CbondsStockTradingVolume($B$1,E172,$B$27),"0")</f>
        <v>5058997839.6000004</v>
      </c>
      <c r="I172" s="88">
        <f>IF(_xll.CbondsStockDealsNumber($B$1,E172,$B$27) &lt;&gt; "Нет данных",_xll.CbondsStockDealsNumber($B$1,E172,$B$27),"0")</f>
        <v>68472</v>
      </c>
      <c r="K172" s="88">
        <f>_xll.CbondsIndexValue(VLOOKUP($K$1,'Help Page'!$Q:$S,3,0),Calculation!E172)</f>
        <v>17813.099999999999</v>
      </c>
      <c r="L172" s="88">
        <f t="shared" si="15"/>
        <v>17813.099999999999</v>
      </c>
      <c r="M172" s="88">
        <f>_xll.CbondsIndexValue(VLOOKUP($M$1,'Help Page'!$Q:$S,3,0),Calculation!E172)</f>
        <v>7258.53</v>
      </c>
      <c r="N172" s="88">
        <f t="shared" si="16"/>
        <v>7258.53</v>
      </c>
      <c r="AK172" s="35"/>
      <c r="AL172" s="35"/>
      <c r="AM172" s="35"/>
      <c r="AN172" s="35"/>
      <c r="AO172" s="35"/>
      <c r="AP172" s="35"/>
      <c r="AQ172" s="35"/>
      <c r="AR172" s="35"/>
      <c r="BU172" s="20"/>
    </row>
    <row r="173" spans="5:73" x14ac:dyDescent="0.3">
      <c r="E173" s="37">
        <f t="shared" si="17"/>
        <v>45852</v>
      </c>
      <c r="F173" s="30">
        <f>_xll.CbondsStockAvgPrice($B$1,E173,$B$27)</f>
        <v>118.63</v>
      </c>
      <c r="G173" s="31">
        <f t="shared" si="14"/>
        <v>118.63</v>
      </c>
      <c r="H173" s="88">
        <f>IF(_xll.CbondsStockTradingVolume($B$1,E173,$B$27) &lt;&gt; "Нет данных",_xll.CbondsStockTradingVolume($B$1,E173,$B$27),"0")</f>
        <v>12417274881.1</v>
      </c>
      <c r="I173" s="88">
        <f>IF(_xll.CbondsStockDealsNumber($B$1,E173,$B$27) &lt;&gt; "Нет данных",_xll.CbondsStockDealsNumber($B$1,E173,$B$27),"0")</f>
        <v>136455</v>
      </c>
      <c r="K173" s="88">
        <f>_xll.CbondsIndexValue(VLOOKUP($K$1,'Help Page'!$Q:$S,3,0),Calculation!E173)</f>
        <v>17544.84</v>
      </c>
      <c r="L173" s="88">
        <f t="shared" si="15"/>
        <v>17544.84</v>
      </c>
      <c r="M173" s="88">
        <f>_xll.CbondsIndexValue(VLOOKUP($M$1,'Help Page'!$Q:$S,3,0),Calculation!E173)</f>
        <v>7192.15</v>
      </c>
      <c r="N173" s="88">
        <f t="shared" si="16"/>
        <v>7192.15</v>
      </c>
      <c r="AK173" s="35"/>
      <c r="AL173" s="35"/>
      <c r="AM173" s="35"/>
      <c r="AN173" s="35"/>
      <c r="AO173" s="35"/>
      <c r="AP173" s="35"/>
      <c r="AQ173" s="35"/>
      <c r="AR173" s="35"/>
      <c r="BU173" s="20"/>
    </row>
    <row r="174" spans="5:73" x14ac:dyDescent="0.3">
      <c r="E174" s="37">
        <f t="shared" si="17"/>
        <v>45851</v>
      </c>
      <c r="F174" s="30" t="str">
        <f>_xll.CbondsStockAvgPrice($B$1,E174,$B$27)</f>
        <v>Нет данных</v>
      </c>
      <c r="G174" s="31">
        <f t="shared" si="14"/>
        <v>117.95</v>
      </c>
      <c r="H174" s="88" t="str">
        <f>IF(_xll.CbondsStockTradingVolume($B$1,E174,$B$27) &lt;&gt; "Нет данных",_xll.CbondsStockTradingVolume($B$1,E174,$B$27),"0")</f>
        <v>0</v>
      </c>
      <c r="I174" s="88" t="str">
        <f>IF(_xll.CbondsStockDealsNumber($B$1,E174,$B$27) &lt;&gt; "Нет данных",_xll.CbondsStockDealsNumber($B$1,E174,$B$27),"0")</f>
        <v>0</v>
      </c>
      <c r="K174" s="88" t="str">
        <f>_xll.CbondsIndexValue(VLOOKUP($K$1,'Help Page'!$Q:$S,3,0),Calculation!E174)</f>
        <v>Нет данных</v>
      </c>
      <c r="L174" s="88">
        <f t="shared" si="15"/>
        <v>17033.96</v>
      </c>
      <c r="M174" s="88" t="str">
        <f>_xll.CbondsIndexValue(VLOOKUP($M$1,'Help Page'!$Q:$S,3,0),Calculation!E174)</f>
        <v>Нет данных</v>
      </c>
      <c r="N174" s="88">
        <f t="shared" si="16"/>
        <v>6982.8</v>
      </c>
      <c r="AK174" s="35"/>
      <c r="AL174" s="35"/>
      <c r="AM174" s="35"/>
      <c r="AN174" s="35"/>
      <c r="AO174" s="35"/>
      <c r="AP174" s="35"/>
      <c r="AQ174" s="35"/>
      <c r="AR174" s="35"/>
      <c r="BU174" s="20"/>
    </row>
    <row r="175" spans="5:73" x14ac:dyDescent="0.3">
      <c r="E175" s="37">
        <f t="shared" si="17"/>
        <v>45850</v>
      </c>
      <c r="F175" s="30" t="str">
        <f>_xll.CbondsStockAvgPrice($B$1,E175,$B$27)</f>
        <v>Нет данных</v>
      </c>
      <c r="G175" s="31">
        <f t="shared" si="14"/>
        <v>117.95</v>
      </c>
      <c r="H175" s="88" t="str">
        <f>IF(_xll.CbondsStockTradingVolume($B$1,E175,$B$27) &lt;&gt; "Нет данных",_xll.CbondsStockTradingVolume($B$1,E175,$B$27),"0")</f>
        <v>0</v>
      </c>
      <c r="I175" s="88" t="str">
        <f>IF(_xll.CbondsStockDealsNumber($B$1,E175,$B$27) &lt;&gt; "Нет данных",_xll.CbondsStockDealsNumber($B$1,E175,$B$27),"0")</f>
        <v>0</v>
      </c>
      <c r="K175" s="88" t="str">
        <f>_xll.CbondsIndexValue(VLOOKUP($K$1,'Help Page'!$Q:$S,3,0),Calculation!E175)</f>
        <v>Нет данных</v>
      </c>
      <c r="L175" s="88">
        <f t="shared" si="15"/>
        <v>17033.96</v>
      </c>
      <c r="M175" s="88" t="str">
        <f>_xll.CbondsIndexValue(VLOOKUP($M$1,'Help Page'!$Q:$S,3,0),Calculation!E175)</f>
        <v>Нет данных</v>
      </c>
      <c r="N175" s="88">
        <f t="shared" si="16"/>
        <v>6982.8</v>
      </c>
      <c r="AK175" s="35"/>
      <c r="AL175" s="35"/>
      <c r="AM175" s="35"/>
      <c r="AN175" s="35"/>
      <c r="AO175" s="35"/>
      <c r="AP175" s="35"/>
      <c r="AQ175" s="35"/>
      <c r="AR175" s="35"/>
      <c r="BU175" s="20"/>
    </row>
    <row r="176" spans="5:73" x14ac:dyDescent="0.3">
      <c r="E176" s="37">
        <f t="shared" si="17"/>
        <v>45849</v>
      </c>
      <c r="F176" s="30">
        <f>_xll.CbondsStockAvgPrice($B$1,E176,$B$27)</f>
        <v>117.95</v>
      </c>
      <c r="G176" s="31">
        <f t="shared" si="14"/>
        <v>117.95</v>
      </c>
      <c r="H176" s="88">
        <f>IF(_xll.CbondsStockTradingVolume($B$1,E176,$B$27) &lt;&gt; "Нет данных",_xll.CbondsStockTradingVolume($B$1,E176,$B$27),"0")</f>
        <v>7220882059.3999996</v>
      </c>
      <c r="I176" s="88">
        <f>IF(_xll.CbondsStockDealsNumber($B$1,E176,$B$27) &lt;&gt; "Нет данных",_xll.CbondsStockDealsNumber($B$1,E176,$B$27),"0")</f>
        <v>88576</v>
      </c>
      <c r="K176" s="88">
        <f>_xll.CbondsIndexValue(VLOOKUP($K$1,'Help Page'!$Q:$S,3,0),Calculation!E176)</f>
        <v>17033.96</v>
      </c>
      <c r="L176" s="88">
        <f t="shared" si="15"/>
        <v>17033.96</v>
      </c>
      <c r="M176" s="88">
        <f>_xll.CbondsIndexValue(VLOOKUP($M$1,'Help Page'!$Q:$S,3,0),Calculation!E176)</f>
        <v>6982.8</v>
      </c>
      <c r="N176" s="88">
        <f t="shared" si="16"/>
        <v>6982.8</v>
      </c>
      <c r="AK176" s="35"/>
      <c r="AL176" s="35"/>
      <c r="AM176" s="35"/>
      <c r="AN176" s="35"/>
      <c r="AO176" s="35"/>
      <c r="AP176" s="35"/>
      <c r="AQ176" s="35"/>
      <c r="AR176" s="35"/>
      <c r="BU176" s="20"/>
    </row>
    <row r="177" spans="5:73" x14ac:dyDescent="0.3">
      <c r="E177" s="37">
        <f t="shared" si="17"/>
        <v>45848</v>
      </c>
      <c r="F177" s="30">
        <f>_xll.CbondsStockAvgPrice($B$1,E177,$B$27)</f>
        <v>120.39</v>
      </c>
      <c r="G177" s="31">
        <f t="shared" si="14"/>
        <v>120.39</v>
      </c>
      <c r="H177" s="88">
        <f>IF(_xll.CbondsStockTradingVolume($B$1,E177,$B$27) &lt;&gt; "Нет данных",_xll.CbondsStockTradingVolume($B$1,E177,$B$27),"0")</f>
        <v>4511660828.3999996</v>
      </c>
      <c r="I177" s="88">
        <f>IF(_xll.CbondsStockDealsNumber($B$1,E177,$B$27) &lt;&gt; "Нет данных",_xll.CbondsStockDealsNumber($B$1,E177,$B$27),"0")</f>
        <v>57778</v>
      </c>
      <c r="K177" s="88">
        <f>_xll.CbondsIndexValue(VLOOKUP($K$1,'Help Page'!$Q:$S,3,0),Calculation!E177)</f>
        <v>17595.080000000002</v>
      </c>
      <c r="L177" s="88">
        <f t="shared" si="15"/>
        <v>17595.080000000002</v>
      </c>
      <c r="M177" s="88">
        <f>_xll.CbondsIndexValue(VLOOKUP($M$1,'Help Page'!$Q:$S,3,0),Calculation!E177)</f>
        <v>7236.19</v>
      </c>
      <c r="N177" s="88">
        <f t="shared" si="16"/>
        <v>7236.19</v>
      </c>
      <c r="AK177" s="35"/>
      <c r="AL177" s="35"/>
      <c r="AM177" s="35"/>
      <c r="AN177" s="35"/>
      <c r="AO177" s="35"/>
      <c r="AP177" s="35"/>
      <c r="AQ177" s="35"/>
      <c r="AR177" s="35"/>
      <c r="BU177" s="20"/>
    </row>
    <row r="178" spans="5:73" x14ac:dyDescent="0.3">
      <c r="E178" s="37">
        <f t="shared" si="17"/>
        <v>45847</v>
      </c>
      <c r="F178" s="30">
        <f>_xll.CbondsStockAvgPrice($B$1,E178,$B$27)</f>
        <v>120.19</v>
      </c>
      <c r="G178" s="31">
        <f t="shared" si="14"/>
        <v>120.19</v>
      </c>
      <c r="H178" s="88">
        <f>IF(_xll.CbondsStockTradingVolume($B$1,E178,$B$27) &lt;&gt; "Нет данных",_xll.CbondsStockTradingVolume($B$1,E178,$B$27),"0")</f>
        <v>7120841225.1999998</v>
      </c>
      <c r="I178" s="88">
        <f>IF(_xll.CbondsStockDealsNumber($B$1,E178,$B$27) &lt;&gt; "Нет данных",_xll.CbondsStockDealsNumber($B$1,E178,$B$27),"0")</f>
        <v>100485</v>
      </c>
      <c r="K178" s="88">
        <f>_xll.CbondsIndexValue(VLOOKUP($K$1,'Help Page'!$Q:$S,3,0),Calculation!E178)</f>
        <v>17371.29</v>
      </c>
      <c r="L178" s="88">
        <f t="shared" si="15"/>
        <v>17371.29</v>
      </c>
      <c r="M178" s="88">
        <f>_xll.CbondsIndexValue(VLOOKUP($M$1,'Help Page'!$Q:$S,3,0),Calculation!E178)</f>
        <v>7118.8</v>
      </c>
      <c r="N178" s="88">
        <f t="shared" si="16"/>
        <v>7118.8</v>
      </c>
      <c r="AK178" s="35"/>
      <c r="AL178" s="35"/>
      <c r="AM178" s="35"/>
      <c r="AN178" s="35"/>
      <c r="AO178" s="35"/>
      <c r="AP178" s="35"/>
      <c r="AQ178" s="35"/>
      <c r="AR178" s="35"/>
      <c r="BU178" s="20"/>
    </row>
    <row r="179" spans="5:73" x14ac:dyDescent="0.3">
      <c r="E179" s="37">
        <f t="shared" si="17"/>
        <v>45846</v>
      </c>
      <c r="F179" s="30">
        <f>_xll.CbondsStockAvgPrice($B$1,E179,$B$27)</f>
        <v>123.08</v>
      </c>
      <c r="G179" s="31">
        <f t="shared" si="14"/>
        <v>123.08</v>
      </c>
      <c r="H179" s="88">
        <f>IF(_xll.CbondsStockTradingVolume($B$1,E179,$B$27) &lt;&gt; "Нет данных",_xll.CbondsStockTradingVolume($B$1,E179,$B$27),"0")</f>
        <v>6009538508</v>
      </c>
      <c r="I179" s="88">
        <f>IF(_xll.CbondsStockDealsNumber($B$1,E179,$B$27) &lt;&gt; "Нет данных",_xll.CbondsStockDealsNumber($B$1,E179,$B$27),"0")</f>
        <v>100053</v>
      </c>
      <c r="K179" s="88">
        <f>_xll.CbondsIndexValue(VLOOKUP($K$1,'Help Page'!$Q:$S,3,0),Calculation!E179)</f>
        <v>17736.77</v>
      </c>
      <c r="L179" s="88">
        <f t="shared" si="15"/>
        <v>17736.77</v>
      </c>
      <c r="M179" s="88">
        <f>_xll.CbondsIndexValue(VLOOKUP($M$1,'Help Page'!$Q:$S,3,0),Calculation!E179)</f>
        <v>7302.94</v>
      </c>
      <c r="N179" s="88">
        <f t="shared" si="16"/>
        <v>7302.94</v>
      </c>
      <c r="AK179" s="35"/>
      <c r="AL179" s="35"/>
      <c r="AM179" s="35"/>
      <c r="AN179" s="35"/>
      <c r="AO179" s="35"/>
      <c r="AP179" s="35"/>
      <c r="AQ179" s="35"/>
      <c r="AR179" s="35"/>
      <c r="BU179" s="20"/>
    </row>
    <row r="180" spans="5:73" x14ac:dyDescent="0.3">
      <c r="E180" s="37">
        <f t="shared" si="17"/>
        <v>45845</v>
      </c>
      <c r="F180" s="30">
        <f>_xll.CbondsStockAvgPrice($B$1,E180,$B$27)</f>
        <v>125.15</v>
      </c>
      <c r="G180" s="31">
        <f t="shared" si="14"/>
        <v>125.15</v>
      </c>
      <c r="H180" s="88">
        <f>IF(_xll.CbondsStockTradingVolume($B$1,E180,$B$27) &lt;&gt; "Нет данных",_xll.CbondsStockTradingVolume($B$1,E180,$B$27),"0")</f>
        <v>6445037366.8999996</v>
      </c>
      <c r="I180" s="88">
        <f>IF(_xll.CbondsStockDealsNumber($B$1,E180,$B$27) &lt;&gt; "Нет данных",_xll.CbondsStockDealsNumber($B$1,E180,$B$27),"0")</f>
        <v>97210</v>
      </c>
      <c r="K180" s="88">
        <f>_xll.CbondsIndexValue(VLOOKUP($K$1,'Help Page'!$Q:$S,3,0),Calculation!E180)</f>
        <v>17772.810000000001</v>
      </c>
      <c r="L180" s="88">
        <f t="shared" si="15"/>
        <v>17772.810000000001</v>
      </c>
      <c r="M180" s="88">
        <f>_xll.CbondsIndexValue(VLOOKUP($M$1,'Help Page'!$Q:$S,3,0),Calculation!E180)</f>
        <v>7344.09</v>
      </c>
      <c r="N180" s="88">
        <f t="shared" si="16"/>
        <v>7344.09</v>
      </c>
      <c r="AK180" s="35"/>
      <c r="AL180" s="35"/>
      <c r="AM180" s="35"/>
      <c r="AN180" s="35"/>
      <c r="AO180" s="35"/>
      <c r="AP180" s="35"/>
      <c r="AQ180" s="35"/>
      <c r="AR180" s="35"/>
      <c r="BU180" s="20"/>
    </row>
    <row r="181" spans="5:73" x14ac:dyDescent="0.3">
      <c r="E181" s="37">
        <f t="shared" si="17"/>
        <v>45844</v>
      </c>
      <c r="F181" s="30" t="str">
        <f>_xll.CbondsStockAvgPrice($B$1,E181,$B$27)</f>
        <v>Нет данных</v>
      </c>
      <c r="G181" s="31">
        <f t="shared" si="14"/>
        <v>127.67</v>
      </c>
      <c r="H181" s="88" t="str">
        <f>IF(_xll.CbondsStockTradingVolume($B$1,E181,$B$27) &lt;&gt; "Нет данных",_xll.CbondsStockTradingVolume($B$1,E181,$B$27),"0")</f>
        <v>0</v>
      </c>
      <c r="I181" s="88" t="str">
        <f>IF(_xll.CbondsStockDealsNumber($B$1,E181,$B$27) &lt;&gt; "Нет данных",_xll.CbondsStockDealsNumber($B$1,E181,$B$27),"0")</f>
        <v>0</v>
      </c>
      <c r="K181" s="88" t="str">
        <f>_xll.CbondsIndexValue(VLOOKUP($K$1,'Help Page'!$Q:$S,3,0),Calculation!E181)</f>
        <v>Нет данных</v>
      </c>
      <c r="L181" s="88">
        <f t="shared" si="15"/>
        <v>18029.810000000001</v>
      </c>
      <c r="M181" s="88" t="str">
        <f>_xll.CbondsIndexValue(VLOOKUP($M$1,'Help Page'!$Q:$S,3,0),Calculation!E181)</f>
        <v>Нет данных</v>
      </c>
      <c r="N181" s="88">
        <f t="shared" si="16"/>
        <v>7439.37</v>
      </c>
      <c r="AK181" s="35"/>
      <c r="AL181" s="35"/>
      <c r="AM181" s="35"/>
      <c r="AN181" s="35"/>
      <c r="AO181" s="35"/>
      <c r="AP181" s="35"/>
      <c r="AQ181" s="35"/>
      <c r="AR181" s="35"/>
      <c r="BU181" s="20"/>
    </row>
    <row r="182" spans="5:73" x14ac:dyDescent="0.3">
      <c r="E182" s="37">
        <f t="shared" si="17"/>
        <v>45843</v>
      </c>
      <c r="F182" s="30" t="str">
        <f>_xll.CbondsStockAvgPrice($B$1,E182,$B$27)</f>
        <v>Нет данных</v>
      </c>
      <c r="G182" s="31">
        <f t="shared" si="14"/>
        <v>127.67</v>
      </c>
      <c r="H182" s="88" t="str">
        <f>IF(_xll.CbondsStockTradingVolume($B$1,E182,$B$27) &lt;&gt; "Нет данных",_xll.CbondsStockTradingVolume($B$1,E182,$B$27),"0")</f>
        <v>0</v>
      </c>
      <c r="I182" s="88" t="str">
        <f>IF(_xll.CbondsStockDealsNumber($B$1,E182,$B$27) &lt;&gt; "Нет данных",_xll.CbondsStockDealsNumber($B$1,E182,$B$27),"0")</f>
        <v>0</v>
      </c>
      <c r="K182" s="88" t="str">
        <f>_xll.CbondsIndexValue(VLOOKUP($K$1,'Help Page'!$Q:$S,3,0),Calculation!E182)</f>
        <v>Нет данных</v>
      </c>
      <c r="L182" s="88">
        <f t="shared" si="15"/>
        <v>18029.810000000001</v>
      </c>
      <c r="M182" s="88" t="str">
        <f>_xll.CbondsIndexValue(VLOOKUP($M$1,'Help Page'!$Q:$S,3,0),Calculation!E182)</f>
        <v>Нет данных</v>
      </c>
      <c r="N182" s="88">
        <f t="shared" si="16"/>
        <v>7439.37</v>
      </c>
      <c r="AK182" s="35"/>
      <c r="AL182" s="35"/>
      <c r="AM182" s="35"/>
      <c r="AN182" s="35"/>
      <c r="AO182" s="35"/>
      <c r="AP182" s="35"/>
      <c r="AQ182" s="35"/>
      <c r="AR182" s="35"/>
      <c r="BU182" s="20"/>
    </row>
    <row r="183" spans="5:73" x14ac:dyDescent="0.3">
      <c r="E183" s="37">
        <f t="shared" si="17"/>
        <v>45842</v>
      </c>
      <c r="F183" s="30">
        <f>_xll.CbondsStockAvgPrice($B$1,E183,$B$27)</f>
        <v>127.67</v>
      </c>
      <c r="G183" s="31">
        <f t="shared" si="14"/>
        <v>127.67</v>
      </c>
      <c r="H183" s="88">
        <f>IF(_xll.CbondsStockTradingVolume($B$1,E183,$B$27) &lt;&gt; "Нет данных",_xll.CbondsStockTradingVolume($B$1,E183,$B$27),"0")</f>
        <v>4509262991</v>
      </c>
      <c r="I183" s="88">
        <f>IF(_xll.CbondsStockDealsNumber($B$1,E183,$B$27) &lt;&gt; "Нет данных",_xll.CbondsStockDealsNumber($B$1,E183,$B$27),"0")</f>
        <v>59096</v>
      </c>
      <c r="K183" s="88">
        <f>_xll.CbondsIndexValue(VLOOKUP($K$1,'Help Page'!$Q:$S,3,0),Calculation!E183)</f>
        <v>18029.810000000001</v>
      </c>
      <c r="L183" s="88">
        <f t="shared" si="15"/>
        <v>18029.810000000001</v>
      </c>
      <c r="M183" s="88">
        <f>_xll.CbondsIndexValue(VLOOKUP($M$1,'Help Page'!$Q:$S,3,0),Calculation!E183)</f>
        <v>7439.37</v>
      </c>
      <c r="N183" s="88">
        <f t="shared" si="16"/>
        <v>7439.37</v>
      </c>
      <c r="AK183" s="35"/>
      <c r="AL183" s="35"/>
      <c r="AM183" s="35"/>
      <c r="AN183" s="35"/>
      <c r="AO183" s="35"/>
      <c r="AP183" s="35"/>
      <c r="AQ183" s="35"/>
      <c r="AR183" s="35"/>
      <c r="BU183" s="20"/>
    </row>
    <row r="184" spans="5:73" x14ac:dyDescent="0.3">
      <c r="E184" s="37">
        <f t="shared" si="17"/>
        <v>45841</v>
      </c>
      <c r="F184" s="30">
        <f>_xll.CbondsStockAvgPrice($B$1,E184,$B$27)</f>
        <v>128.19</v>
      </c>
      <c r="G184" s="31">
        <f t="shared" si="14"/>
        <v>128.19</v>
      </c>
      <c r="H184" s="88">
        <f>IF(_xll.CbondsStockTradingVolume($B$1,E184,$B$27) &lt;&gt; "Нет данных",_xll.CbondsStockTradingVolume($B$1,E184,$B$27),"0")</f>
        <v>6192077552.1999998</v>
      </c>
      <c r="I184" s="88">
        <f>IF(_xll.CbondsStockDealsNumber($B$1,E184,$B$27) &lt;&gt; "Нет данных",_xll.CbondsStockDealsNumber($B$1,E184,$B$27),"0")</f>
        <v>90002</v>
      </c>
      <c r="K184" s="88">
        <f>_xll.CbondsIndexValue(VLOOKUP($K$1,'Help Page'!$Q:$S,3,0),Calculation!E184)</f>
        <v>18166.490000000002</v>
      </c>
      <c r="L184" s="88">
        <f t="shared" si="15"/>
        <v>18166.490000000002</v>
      </c>
      <c r="M184" s="88">
        <f>_xll.CbondsIndexValue(VLOOKUP($M$1,'Help Page'!$Q:$S,3,0),Calculation!E184)</f>
        <v>7508.68</v>
      </c>
      <c r="N184" s="88">
        <f t="shared" si="16"/>
        <v>7508.68</v>
      </c>
      <c r="AK184" s="35"/>
      <c r="AL184" s="35"/>
      <c r="AM184" s="35"/>
      <c r="AN184" s="35"/>
      <c r="AO184" s="35"/>
      <c r="AP184" s="35"/>
      <c r="AQ184" s="35"/>
      <c r="AR184" s="35"/>
      <c r="BU184" s="20"/>
    </row>
    <row r="185" spans="5:73" x14ac:dyDescent="0.3">
      <c r="E185" s="37">
        <f t="shared" si="17"/>
        <v>45840</v>
      </c>
      <c r="F185" s="30">
        <f>_xll.CbondsStockAvgPrice($B$1,E185,$B$27)</f>
        <v>127.68</v>
      </c>
      <c r="G185" s="31">
        <f t="shared" si="14"/>
        <v>127.68</v>
      </c>
      <c r="H185" s="88">
        <f>IF(_xll.CbondsStockTradingVolume($B$1,E185,$B$27) &lt;&gt; "Нет данных",_xll.CbondsStockTradingVolume($B$1,E185,$B$27),"0")</f>
        <v>5802463583.3000002</v>
      </c>
      <c r="I185" s="88">
        <f>IF(_xll.CbondsStockDealsNumber($B$1,E185,$B$27) &lt;&gt; "Нет данных",_xll.CbondsStockDealsNumber($B$1,E185,$B$27),"0")</f>
        <v>65484</v>
      </c>
      <c r="K185" s="88">
        <f>_xll.CbondsIndexValue(VLOOKUP($K$1,'Help Page'!$Q:$S,3,0),Calculation!E185)</f>
        <v>18120.04</v>
      </c>
      <c r="L185" s="88">
        <f t="shared" si="15"/>
        <v>18120.04</v>
      </c>
      <c r="M185" s="88">
        <f>_xll.CbondsIndexValue(VLOOKUP($M$1,'Help Page'!$Q:$S,3,0),Calculation!E185)</f>
        <v>7527.49</v>
      </c>
      <c r="N185" s="88">
        <f t="shared" si="16"/>
        <v>7527.49</v>
      </c>
      <c r="AK185" s="35"/>
      <c r="AL185" s="35"/>
      <c r="AM185" s="35"/>
      <c r="AN185" s="35"/>
      <c r="AO185" s="35"/>
      <c r="AP185" s="35"/>
      <c r="AQ185" s="35"/>
      <c r="AR185" s="35"/>
      <c r="BU185" s="20"/>
    </row>
    <row r="186" spans="5:73" x14ac:dyDescent="0.3">
      <c r="E186" s="37">
        <f t="shared" si="17"/>
        <v>45839</v>
      </c>
      <c r="F186" s="30">
        <f>_xll.CbondsStockAvgPrice($B$1,E186,$B$27)</f>
        <v>129.63</v>
      </c>
      <c r="G186" s="31">
        <f t="shared" si="14"/>
        <v>129.63</v>
      </c>
      <c r="H186" s="88">
        <f>IF(_xll.CbondsStockTradingVolume($B$1,E186,$B$27) &lt;&gt; "Нет данных",_xll.CbondsStockTradingVolume($B$1,E186,$B$27),"0")</f>
        <v>6925191289.1999998</v>
      </c>
      <c r="I186" s="88">
        <f>IF(_xll.CbondsStockDealsNumber($B$1,E186,$B$27) &lt;&gt; "Нет данных",_xll.CbondsStockDealsNumber($B$1,E186,$B$27),"0")</f>
        <v>96391</v>
      </c>
      <c r="K186" s="88">
        <f>_xll.CbondsIndexValue(VLOOKUP($K$1,'Help Page'!$Q:$S,3,0),Calculation!E186)</f>
        <v>18353.330000000002</v>
      </c>
      <c r="L186" s="88">
        <f t="shared" si="15"/>
        <v>18353.330000000002</v>
      </c>
      <c r="M186" s="88">
        <f>_xll.CbondsIndexValue(VLOOKUP($M$1,'Help Page'!$Q:$S,3,0),Calculation!E186)</f>
        <v>7652.78</v>
      </c>
      <c r="N186" s="88">
        <f t="shared" si="16"/>
        <v>7652.78</v>
      </c>
      <c r="AK186" s="35"/>
      <c r="AL186" s="35"/>
      <c r="AM186" s="35"/>
      <c r="AN186" s="35"/>
      <c r="AO186" s="35"/>
      <c r="AP186" s="35"/>
      <c r="AQ186" s="35"/>
      <c r="AR186" s="35"/>
      <c r="BU186" s="20"/>
    </row>
    <row r="187" spans="5:73" x14ac:dyDescent="0.3">
      <c r="E187" s="37">
        <f t="shared" si="17"/>
        <v>45838</v>
      </c>
      <c r="F187" s="30">
        <f>_xll.CbondsStockAvgPrice($B$1,E187,$B$27)</f>
        <v>128.56</v>
      </c>
      <c r="G187" s="31">
        <f t="shared" si="14"/>
        <v>128.56</v>
      </c>
      <c r="H187" s="88">
        <f>IF(_xll.CbondsStockTradingVolume($B$1,E187,$B$27) &lt;&gt; "Нет данных",_xll.CbondsStockTradingVolume($B$1,E187,$B$27),"0")</f>
        <v>9585982134.6000004</v>
      </c>
      <c r="I187" s="88">
        <f>IF(_xll.CbondsStockDealsNumber($B$1,E187,$B$27) &lt;&gt; "Нет данных",_xll.CbondsStockDealsNumber($B$1,E187,$B$27),"0")</f>
        <v>135302</v>
      </c>
      <c r="K187" s="88">
        <f>_xll.CbondsIndexValue(VLOOKUP($K$1,'Help Page'!$Q:$S,3,0),Calculation!E187)</f>
        <v>18348.04</v>
      </c>
      <c r="L187" s="88">
        <f t="shared" si="15"/>
        <v>18348.04</v>
      </c>
      <c r="M187" s="88">
        <f>_xll.CbondsIndexValue(VLOOKUP($M$1,'Help Page'!$Q:$S,3,0),Calculation!E187)</f>
        <v>7673.65</v>
      </c>
      <c r="N187" s="88">
        <f t="shared" si="16"/>
        <v>7673.65</v>
      </c>
      <c r="AK187" s="35"/>
      <c r="AL187" s="35"/>
      <c r="AM187" s="35"/>
      <c r="AN187" s="35"/>
      <c r="AO187" s="35"/>
      <c r="AP187" s="35"/>
      <c r="AQ187" s="35"/>
      <c r="AR187" s="35"/>
      <c r="BU187" s="20"/>
    </row>
    <row r="188" spans="5:73" x14ac:dyDescent="0.3">
      <c r="E188" s="37">
        <f t="shared" si="17"/>
        <v>45837</v>
      </c>
      <c r="F188" s="30" t="str">
        <f>_xll.CbondsStockAvgPrice($B$1,E188,$B$27)</f>
        <v>Нет данных</v>
      </c>
      <c r="G188" s="31">
        <f t="shared" si="14"/>
        <v>126.73</v>
      </c>
      <c r="H188" s="88" t="str">
        <f>IF(_xll.CbondsStockTradingVolume($B$1,E188,$B$27) &lt;&gt; "Нет данных",_xll.CbondsStockTradingVolume($B$1,E188,$B$27),"0")</f>
        <v>0</v>
      </c>
      <c r="I188" s="88" t="str">
        <f>IF(_xll.CbondsStockDealsNumber($B$1,E188,$B$27) &lt;&gt; "Нет данных",_xll.CbondsStockDealsNumber($B$1,E188,$B$27),"0")</f>
        <v>0</v>
      </c>
      <c r="K188" s="88" t="str">
        <f>_xll.CbondsIndexValue(VLOOKUP($K$1,'Help Page'!$Q:$S,3,0),Calculation!E188)</f>
        <v>Нет данных</v>
      </c>
      <c r="L188" s="88">
        <f t="shared" si="15"/>
        <v>18105.740000000002</v>
      </c>
      <c r="M188" s="88" t="str">
        <f>_xll.CbondsIndexValue(VLOOKUP($M$1,'Help Page'!$Q:$S,3,0),Calculation!E188)</f>
        <v>Нет данных</v>
      </c>
      <c r="N188" s="88">
        <f t="shared" si="16"/>
        <v>7567.55</v>
      </c>
      <c r="AK188" s="35"/>
      <c r="AL188" s="35"/>
      <c r="AM188" s="35"/>
      <c r="AN188" s="35"/>
      <c r="AO188" s="35"/>
      <c r="AP188" s="35"/>
      <c r="AQ188" s="35"/>
      <c r="AR188" s="35"/>
      <c r="BU188" s="20"/>
    </row>
    <row r="189" spans="5:73" x14ac:dyDescent="0.3">
      <c r="E189" s="37">
        <f t="shared" si="17"/>
        <v>45836</v>
      </c>
      <c r="F189" s="30" t="str">
        <f>_xll.CbondsStockAvgPrice($B$1,E189,$B$27)</f>
        <v>Нет данных</v>
      </c>
      <c r="G189" s="31">
        <f t="shared" si="14"/>
        <v>126.73</v>
      </c>
      <c r="H189" s="88" t="str">
        <f>IF(_xll.CbondsStockTradingVolume($B$1,E189,$B$27) &lt;&gt; "Нет данных",_xll.CbondsStockTradingVolume($B$1,E189,$B$27),"0")</f>
        <v>0</v>
      </c>
      <c r="I189" s="88" t="str">
        <f>IF(_xll.CbondsStockDealsNumber($B$1,E189,$B$27) &lt;&gt; "Нет данных",_xll.CbondsStockDealsNumber($B$1,E189,$B$27),"0")</f>
        <v>0</v>
      </c>
      <c r="K189" s="88" t="str">
        <f>_xll.CbondsIndexValue(VLOOKUP($K$1,'Help Page'!$Q:$S,3,0),Calculation!E189)</f>
        <v>Нет данных</v>
      </c>
      <c r="L189" s="88">
        <f t="shared" si="15"/>
        <v>18105.740000000002</v>
      </c>
      <c r="M189" s="88" t="str">
        <f>_xll.CbondsIndexValue(VLOOKUP($M$1,'Help Page'!$Q:$S,3,0),Calculation!E189)</f>
        <v>Нет данных</v>
      </c>
      <c r="N189" s="88">
        <f t="shared" si="16"/>
        <v>7567.55</v>
      </c>
      <c r="AK189" s="35"/>
      <c r="AL189" s="35"/>
      <c r="AM189" s="35"/>
      <c r="AN189" s="35"/>
      <c r="AO189" s="35"/>
      <c r="AP189" s="35"/>
      <c r="AQ189" s="35"/>
      <c r="AR189" s="35"/>
      <c r="BU189" s="20"/>
    </row>
    <row r="190" spans="5:73" x14ac:dyDescent="0.3">
      <c r="E190" s="37">
        <f t="shared" si="17"/>
        <v>45835</v>
      </c>
      <c r="F190" s="30">
        <f>_xll.CbondsStockAvgPrice($B$1,E190,$B$27)</f>
        <v>126.73</v>
      </c>
      <c r="G190" s="31">
        <f t="shared" si="14"/>
        <v>126.73</v>
      </c>
      <c r="H190" s="88">
        <f>IF(_xll.CbondsStockTradingVolume($B$1,E190,$B$27) &lt;&gt; "Нет данных",_xll.CbondsStockTradingVolume($B$1,E190,$B$27),"0")</f>
        <v>6764798463.1000004</v>
      </c>
      <c r="I190" s="88">
        <f>IF(_xll.CbondsStockDealsNumber($B$1,E190,$B$27) &lt;&gt; "Нет данных",_xll.CbondsStockDealsNumber($B$1,E190,$B$27),"0")</f>
        <v>81236</v>
      </c>
      <c r="K190" s="88">
        <f>_xll.CbondsIndexValue(VLOOKUP($K$1,'Help Page'!$Q:$S,3,0),Calculation!E190)</f>
        <v>18105.740000000002</v>
      </c>
      <c r="L190" s="88">
        <f t="shared" si="15"/>
        <v>18105.740000000002</v>
      </c>
      <c r="M190" s="88">
        <f>_xll.CbondsIndexValue(VLOOKUP($M$1,'Help Page'!$Q:$S,3,0),Calculation!E190)</f>
        <v>7567.55</v>
      </c>
      <c r="N190" s="88">
        <f t="shared" si="16"/>
        <v>7567.55</v>
      </c>
      <c r="AK190" s="35"/>
      <c r="AL190" s="35"/>
      <c r="AM190" s="35"/>
      <c r="AN190" s="35"/>
      <c r="AO190" s="35"/>
      <c r="AP190" s="35"/>
      <c r="AQ190" s="35"/>
      <c r="AR190" s="35"/>
      <c r="BU190" s="20"/>
    </row>
    <row r="191" spans="5:73" x14ac:dyDescent="0.3">
      <c r="E191" s="37">
        <f t="shared" si="17"/>
        <v>45834</v>
      </c>
      <c r="F191" s="30">
        <f>_xll.CbondsStockAvgPrice($B$1,E191,$B$27)</f>
        <v>126.8</v>
      </c>
      <c r="G191" s="31">
        <f t="shared" si="14"/>
        <v>126.8</v>
      </c>
      <c r="H191" s="88">
        <f>IF(_xll.CbondsStockTradingVolume($B$1,E191,$B$27) &lt;&gt; "Нет данных",_xll.CbondsStockTradingVolume($B$1,E191,$B$27),"0")</f>
        <v>4655175805.6000004</v>
      </c>
      <c r="I191" s="88">
        <f>IF(_xll.CbondsStockDealsNumber($B$1,E191,$B$27) &lt;&gt; "Нет данных",_xll.CbondsStockDealsNumber($B$1,E191,$B$27),"0")</f>
        <v>79396</v>
      </c>
      <c r="K191" s="88">
        <f>_xll.CbondsIndexValue(VLOOKUP($K$1,'Help Page'!$Q:$S,3,0),Calculation!E191)</f>
        <v>18043.66</v>
      </c>
      <c r="L191" s="88">
        <f t="shared" si="15"/>
        <v>18043.66</v>
      </c>
      <c r="M191" s="88">
        <f>_xll.CbondsIndexValue(VLOOKUP($M$1,'Help Page'!$Q:$S,3,0),Calculation!E191)</f>
        <v>7524.49</v>
      </c>
      <c r="N191" s="88">
        <f t="shared" si="16"/>
        <v>7524.49</v>
      </c>
      <c r="AK191" s="35"/>
      <c r="AL191" s="35"/>
      <c r="AM191" s="35"/>
      <c r="AN191" s="35"/>
      <c r="AO191" s="35"/>
      <c r="AP191" s="35"/>
      <c r="AQ191" s="35"/>
      <c r="AR191" s="35"/>
      <c r="BU191" s="20"/>
    </row>
    <row r="192" spans="5:73" x14ac:dyDescent="0.3">
      <c r="E192" s="37">
        <f t="shared" si="17"/>
        <v>45833</v>
      </c>
      <c r="F192" s="30">
        <f>_xll.CbondsStockAvgPrice($B$1,E192,$B$27)</f>
        <v>125.9</v>
      </c>
      <c r="G192" s="31">
        <f t="shared" si="14"/>
        <v>125.9</v>
      </c>
      <c r="H192" s="88">
        <f>IF(_xll.CbondsStockTradingVolume($B$1,E192,$B$27) &lt;&gt; "Нет данных",_xll.CbondsStockTradingVolume($B$1,E192,$B$27),"0")</f>
        <v>5310341220.3000002</v>
      </c>
      <c r="I192" s="88">
        <f>IF(_xll.CbondsStockDealsNumber($B$1,E192,$B$27) &lt;&gt; "Нет данных",_xll.CbondsStockDealsNumber($B$1,E192,$B$27),"0")</f>
        <v>100302</v>
      </c>
      <c r="K192" s="88">
        <f>_xll.CbondsIndexValue(VLOOKUP($K$1,'Help Page'!$Q:$S,3,0),Calculation!E192)</f>
        <v>18011.61</v>
      </c>
      <c r="L192" s="88">
        <f t="shared" si="15"/>
        <v>18011.61</v>
      </c>
      <c r="M192" s="88">
        <f>_xll.CbondsIndexValue(VLOOKUP($M$1,'Help Page'!$Q:$S,3,0),Calculation!E192)</f>
        <v>7527.55</v>
      </c>
      <c r="N192" s="88">
        <f t="shared" si="16"/>
        <v>7527.55</v>
      </c>
      <c r="AK192" s="35"/>
      <c r="AL192" s="35"/>
      <c r="AM192" s="35"/>
      <c r="AN192" s="35"/>
      <c r="AO192" s="35"/>
      <c r="AP192" s="35"/>
      <c r="AQ192" s="35"/>
      <c r="AR192" s="35"/>
      <c r="BU192" s="20"/>
    </row>
    <row r="193" spans="5:73" x14ac:dyDescent="0.3">
      <c r="E193" s="37">
        <f t="shared" si="17"/>
        <v>45832</v>
      </c>
      <c r="F193" s="30">
        <f>_xll.CbondsStockAvgPrice($B$1,E193,$B$27)</f>
        <v>124.03</v>
      </c>
      <c r="G193" s="31">
        <f t="shared" si="14"/>
        <v>124.03</v>
      </c>
      <c r="H193" s="88">
        <f>IF(_xll.CbondsStockTradingVolume($B$1,E193,$B$27) &lt;&gt; "Нет данных",_xll.CbondsStockTradingVolume($B$1,E193,$B$27),"0")</f>
        <v>4917582580.3000002</v>
      </c>
      <c r="I193" s="88">
        <f>IF(_xll.CbondsStockDealsNumber($B$1,E193,$B$27) &lt;&gt; "Нет данных",_xll.CbondsStockDealsNumber($B$1,E193,$B$27),"0")</f>
        <v>74189</v>
      </c>
      <c r="K193" s="88">
        <f>_xll.CbondsIndexValue(VLOOKUP($K$1,'Help Page'!$Q:$S,3,0),Calculation!E193)</f>
        <v>17684.080000000002</v>
      </c>
      <c r="L193" s="88">
        <f t="shared" si="15"/>
        <v>17684.080000000002</v>
      </c>
      <c r="M193" s="88">
        <f>_xll.CbondsIndexValue(VLOOKUP($M$1,'Help Page'!$Q:$S,3,0),Calculation!E193)</f>
        <v>7401.73</v>
      </c>
      <c r="N193" s="88">
        <f t="shared" si="16"/>
        <v>7401.73</v>
      </c>
      <c r="AK193" s="35"/>
      <c r="AL193" s="35"/>
      <c r="AM193" s="35"/>
      <c r="AN193" s="35"/>
      <c r="AO193" s="35"/>
      <c r="AP193" s="35"/>
      <c r="AQ193" s="35"/>
      <c r="AR193" s="35"/>
      <c r="BU193" s="20"/>
    </row>
    <row r="194" spans="5:73" x14ac:dyDescent="0.3">
      <c r="E194" s="37">
        <f t="shared" si="17"/>
        <v>45831</v>
      </c>
      <c r="F194" s="30">
        <f>_xll.CbondsStockAvgPrice($B$1,E194,$B$27)</f>
        <v>124.73</v>
      </c>
      <c r="G194" s="31">
        <f t="shared" si="14"/>
        <v>124.73</v>
      </c>
      <c r="H194" s="88">
        <f>IF(_xll.CbondsStockTradingVolume($B$1,E194,$B$27) &lt;&gt; "Нет данных",_xll.CbondsStockTradingVolume($B$1,E194,$B$27),"0")</f>
        <v>5311065774.6000004</v>
      </c>
      <c r="I194" s="88">
        <f>IF(_xll.CbondsStockDealsNumber($B$1,E194,$B$27) &lt;&gt; "Нет данных",_xll.CbondsStockDealsNumber($B$1,E194,$B$27),"0")</f>
        <v>74851</v>
      </c>
      <c r="K194" s="88">
        <f>_xll.CbondsIndexValue(VLOOKUP($K$1,'Help Page'!$Q:$S,3,0),Calculation!E194)</f>
        <v>17815.900000000001</v>
      </c>
      <c r="L194" s="88">
        <f t="shared" si="15"/>
        <v>17815.900000000001</v>
      </c>
      <c r="M194" s="88">
        <f>_xll.CbondsIndexValue(VLOOKUP($M$1,'Help Page'!$Q:$S,3,0),Calculation!E194)</f>
        <v>7514.14</v>
      </c>
      <c r="N194" s="88">
        <f t="shared" si="16"/>
        <v>7514.14</v>
      </c>
      <c r="AK194" s="35"/>
      <c r="AL194" s="35"/>
      <c r="AM194" s="35"/>
      <c r="AN194" s="35"/>
      <c r="AO194" s="35"/>
      <c r="AP194" s="35"/>
      <c r="AQ194" s="35"/>
      <c r="AR194" s="35"/>
      <c r="BU194" s="20"/>
    </row>
    <row r="195" spans="5:73" x14ac:dyDescent="0.3">
      <c r="E195" s="37">
        <f t="shared" si="17"/>
        <v>45830</v>
      </c>
      <c r="F195" s="30" t="str">
        <f>_xll.CbondsStockAvgPrice($B$1,E195,$B$27)</f>
        <v>Нет данных</v>
      </c>
      <c r="G195" s="31">
        <f t="shared" ref="G195:G258" si="18">IF(IF(AND(F195="",E195=""),"",IF(AND(F195="Нет данных",E195&lt;&gt;""),G196,F195)) = 0,"",IF(AND(F195="",E195=""),"",IF(AND(F195="Нет данных",E195&lt;&gt;""),G196,F195)))</f>
        <v>125.12</v>
      </c>
      <c r="H195" s="88" t="str">
        <f>IF(_xll.CbondsStockTradingVolume($B$1,E195,$B$27) &lt;&gt; "Нет данных",_xll.CbondsStockTradingVolume($B$1,E195,$B$27),"0")</f>
        <v>0</v>
      </c>
      <c r="I195" s="88" t="str">
        <f>IF(_xll.CbondsStockDealsNumber($B$1,E195,$B$27) &lt;&gt; "Нет данных",_xll.CbondsStockDealsNumber($B$1,E195,$B$27),"0")</f>
        <v>0</v>
      </c>
      <c r="K195" s="88" t="str">
        <f>_xll.CbondsIndexValue(VLOOKUP($K$1,'Help Page'!$Q:$S,3,0),Calculation!E195)</f>
        <v>Нет данных</v>
      </c>
      <c r="L195" s="88">
        <f t="shared" ref="L195:L258" si="19">IF(IF(AND(K195="",$E195=""),"",IF(AND(K195="Нет данных",$E195&lt;&gt;""),L196,K195)) = 0,"",IF(AND(K195="",$E195=""),"",IF(AND(K195="Нет данных",$E195&lt;&gt;""),L196,K195)))</f>
        <v>17753.38</v>
      </c>
      <c r="M195" s="88" t="str">
        <f>_xll.CbondsIndexValue(VLOOKUP($M$1,'Help Page'!$Q:$S,3,0),Calculation!E195)</f>
        <v>Нет данных</v>
      </c>
      <c r="N195" s="88">
        <f t="shared" ref="N195:N258" si="20">IF(IF(AND(M195="",$E195=""),"",IF(AND(M195="Нет данных",$E195&lt;&gt;""),N196,M195)) = 0,"",IF(AND(M195="",$E195=""),"",IF(AND(M195="Нет данных",$E195&lt;&gt;""),N196,M195)))</f>
        <v>7443.58</v>
      </c>
      <c r="AK195" s="35"/>
      <c r="AL195" s="35"/>
      <c r="AM195" s="35"/>
      <c r="AN195" s="35"/>
      <c r="AO195" s="35"/>
      <c r="AP195" s="35"/>
      <c r="AQ195" s="35"/>
      <c r="AR195" s="35"/>
      <c r="BU195" s="20"/>
    </row>
    <row r="196" spans="5:73" x14ac:dyDescent="0.3">
      <c r="E196" s="37">
        <f t="shared" ref="E196:E259" si="21">E195-1</f>
        <v>45829</v>
      </c>
      <c r="F196" s="30" t="str">
        <f>_xll.CbondsStockAvgPrice($B$1,E196,$B$27)</f>
        <v>Нет данных</v>
      </c>
      <c r="G196" s="31">
        <f t="shared" si="18"/>
        <v>125.12</v>
      </c>
      <c r="H196" s="88" t="str">
        <f>IF(_xll.CbondsStockTradingVolume($B$1,E196,$B$27) &lt;&gt; "Нет данных",_xll.CbondsStockTradingVolume($B$1,E196,$B$27),"0")</f>
        <v>0</v>
      </c>
      <c r="I196" s="88" t="str">
        <f>IF(_xll.CbondsStockDealsNumber($B$1,E196,$B$27) &lt;&gt; "Нет данных",_xll.CbondsStockDealsNumber($B$1,E196,$B$27),"0")</f>
        <v>0</v>
      </c>
      <c r="K196" s="88" t="str">
        <f>_xll.CbondsIndexValue(VLOOKUP($K$1,'Help Page'!$Q:$S,3,0),Calculation!E196)</f>
        <v>Нет данных</v>
      </c>
      <c r="L196" s="88">
        <f t="shared" si="19"/>
        <v>17753.38</v>
      </c>
      <c r="M196" s="88" t="str">
        <f>_xll.CbondsIndexValue(VLOOKUP($M$1,'Help Page'!$Q:$S,3,0),Calculation!E196)</f>
        <v>Нет данных</v>
      </c>
      <c r="N196" s="88">
        <f t="shared" si="20"/>
        <v>7443.58</v>
      </c>
      <c r="AK196" s="35"/>
      <c r="AL196" s="35"/>
      <c r="AM196" s="35"/>
      <c r="AN196" s="35"/>
      <c r="AO196" s="35"/>
      <c r="AP196" s="35"/>
      <c r="AQ196" s="35"/>
      <c r="AR196" s="35"/>
      <c r="BU196" s="20"/>
    </row>
    <row r="197" spans="5:73" x14ac:dyDescent="0.3">
      <c r="E197" s="37">
        <f t="shared" si="21"/>
        <v>45828</v>
      </c>
      <c r="F197" s="30">
        <f>_xll.CbondsStockAvgPrice($B$1,E197,$B$27)</f>
        <v>125.12</v>
      </c>
      <c r="G197" s="31">
        <f t="shared" si="18"/>
        <v>125.12</v>
      </c>
      <c r="H197" s="88">
        <f>IF(_xll.CbondsStockTradingVolume($B$1,E197,$B$27) &lt;&gt; "Нет данных",_xll.CbondsStockTradingVolume($B$1,E197,$B$27),"0")</f>
        <v>5810824059.8000002</v>
      </c>
      <c r="I197" s="88">
        <f>IF(_xll.CbondsStockDealsNumber($B$1,E197,$B$27) &lt;&gt; "Нет данных",_xll.CbondsStockDealsNumber($B$1,E197,$B$27),"0")</f>
        <v>67518</v>
      </c>
      <c r="K197" s="88">
        <f>_xll.CbondsIndexValue(VLOOKUP($K$1,'Help Page'!$Q:$S,3,0),Calculation!E197)</f>
        <v>17753.38</v>
      </c>
      <c r="L197" s="88">
        <f t="shared" si="19"/>
        <v>17753.38</v>
      </c>
      <c r="M197" s="88">
        <f>_xll.CbondsIndexValue(VLOOKUP($M$1,'Help Page'!$Q:$S,3,0),Calculation!E197)</f>
        <v>7443.58</v>
      </c>
      <c r="N197" s="88">
        <f t="shared" si="20"/>
        <v>7443.58</v>
      </c>
      <c r="AK197" s="35"/>
      <c r="AL197" s="35"/>
      <c r="AM197" s="35"/>
      <c r="AN197" s="35"/>
      <c r="AO197" s="35"/>
      <c r="AP197" s="35"/>
      <c r="AQ197" s="35"/>
      <c r="AR197" s="35"/>
      <c r="BU197" s="20"/>
    </row>
    <row r="198" spans="5:73" x14ac:dyDescent="0.3">
      <c r="E198" s="37">
        <f t="shared" si="21"/>
        <v>45827</v>
      </c>
      <c r="F198" s="30">
        <f>_xll.CbondsStockAvgPrice($B$1,E198,$B$27)</f>
        <v>126.1</v>
      </c>
      <c r="G198" s="31">
        <f t="shared" si="18"/>
        <v>126.1</v>
      </c>
      <c r="H198" s="88">
        <f>IF(_xll.CbondsStockTradingVolume($B$1,E198,$B$27) &lt;&gt; "Нет данных",_xll.CbondsStockTradingVolume($B$1,E198,$B$27),"0")</f>
        <v>6031461833.6999998</v>
      </c>
      <c r="I198" s="88">
        <f>IF(_xll.CbondsStockDealsNumber($B$1,E198,$B$27) &lt;&gt; "Нет данных",_xll.CbondsStockDealsNumber($B$1,E198,$B$27),"0")</f>
        <v>81093</v>
      </c>
      <c r="K198" s="88">
        <f>_xll.CbondsIndexValue(VLOOKUP($K$1,'Help Page'!$Q:$S,3,0),Calculation!E198)</f>
        <v>17978.580000000002</v>
      </c>
      <c r="L198" s="88">
        <f t="shared" si="19"/>
        <v>17978.580000000002</v>
      </c>
      <c r="M198" s="88">
        <f>_xll.CbondsIndexValue(VLOOKUP($M$1,'Help Page'!$Q:$S,3,0),Calculation!E198)</f>
        <v>7559.09</v>
      </c>
      <c r="N198" s="88">
        <f t="shared" si="20"/>
        <v>7559.09</v>
      </c>
      <c r="AK198" s="35"/>
      <c r="AL198" s="35"/>
      <c r="AM198" s="35"/>
      <c r="AN198" s="35"/>
      <c r="AO198" s="35"/>
      <c r="AP198" s="35"/>
      <c r="AQ198" s="35"/>
      <c r="AR198" s="35"/>
      <c r="BU198" s="20"/>
    </row>
    <row r="199" spans="5:73" x14ac:dyDescent="0.3">
      <c r="E199" s="37">
        <f t="shared" si="21"/>
        <v>45826</v>
      </c>
      <c r="F199" s="30">
        <f>_xll.CbondsStockAvgPrice($B$1,E199,$B$27)</f>
        <v>126.78</v>
      </c>
      <c r="G199" s="31">
        <f t="shared" si="18"/>
        <v>126.78</v>
      </c>
      <c r="H199" s="88">
        <f>IF(_xll.CbondsStockTradingVolume($B$1,E199,$B$27) &lt;&gt; "Нет данных",_xll.CbondsStockTradingVolume($B$1,E199,$B$27),"0")</f>
        <v>6512042203.6999998</v>
      </c>
      <c r="I199" s="88">
        <f>IF(_xll.CbondsStockDealsNumber($B$1,E199,$B$27) &lt;&gt; "Нет данных",_xll.CbondsStockDealsNumber($B$1,E199,$B$27),"0")</f>
        <v>92801</v>
      </c>
      <c r="K199" s="88">
        <f>_xll.CbondsIndexValue(VLOOKUP($K$1,'Help Page'!$Q:$S,3,0),Calculation!E199)</f>
        <v>18035.45</v>
      </c>
      <c r="L199" s="88">
        <f t="shared" si="19"/>
        <v>18035.45</v>
      </c>
      <c r="M199" s="88">
        <f>_xll.CbondsIndexValue(VLOOKUP($M$1,'Help Page'!$Q:$S,3,0),Calculation!E199)</f>
        <v>7566.77</v>
      </c>
      <c r="N199" s="88">
        <f t="shared" si="20"/>
        <v>7566.77</v>
      </c>
      <c r="AK199" s="35"/>
      <c r="AL199" s="35"/>
      <c r="AM199" s="35"/>
      <c r="AN199" s="35"/>
      <c r="AO199" s="35"/>
      <c r="AP199" s="35"/>
      <c r="AQ199" s="35"/>
      <c r="AR199" s="35"/>
      <c r="BU199" s="20"/>
    </row>
    <row r="200" spans="5:73" x14ac:dyDescent="0.3">
      <c r="E200" s="37">
        <f t="shared" si="21"/>
        <v>45825</v>
      </c>
      <c r="F200" s="30">
        <f>_xll.CbondsStockAvgPrice($B$1,E200,$B$27)</f>
        <v>125.78</v>
      </c>
      <c r="G200" s="31">
        <f t="shared" si="18"/>
        <v>125.78</v>
      </c>
      <c r="H200" s="88">
        <f>IF(_xll.CbondsStockTradingVolume($B$1,E200,$B$27) &lt;&gt; "Нет данных",_xll.CbondsStockTradingVolume($B$1,E200,$B$27),"0")</f>
        <v>8928275183.1000004</v>
      </c>
      <c r="I200" s="88">
        <f>IF(_xll.CbondsStockDealsNumber($B$1,E200,$B$27) &lt;&gt; "Нет данных",_xll.CbondsStockDealsNumber($B$1,E200,$B$27),"0")</f>
        <v>136267</v>
      </c>
      <c r="K200" s="88">
        <f>_xll.CbondsIndexValue(VLOOKUP($K$1,'Help Page'!$Q:$S,3,0),Calculation!E200)</f>
        <v>18032.7</v>
      </c>
      <c r="L200" s="88">
        <f t="shared" si="19"/>
        <v>18032.7</v>
      </c>
      <c r="M200" s="88">
        <f>_xll.CbondsIndexValue(VLOOKUP($M$1,'Help Page'!$Q:$S,3,0),Calculation!E200)</f>
        <v>7555.07</v>
      </c>
      <c r="N200" s="88">
        <f t="shared" si="20"/>
        <v>7555.07</v>
      </c>
      <c r="AK200" s="35"/>
      <c r="AL200" s="35"/>
      <c r="AM200" s="35"/>
      <c r="AN200" s="35"/>
      <c r="AO200" s="35"/>
      <c r="AP200" s="35"/>
      <c r="AQ200" s="35"/>
      <c r="AR200" s="35"/>
      <c r="BU200" s="20"/>
    </row>
    <row r="201" spans="5:73" x14ac:dyDescent="0.3">
      <c r="E201" s="37">
        <f t="shared" si="21"/>
        <v>45824</v>
      </c>
      <c r="F201" s="30">
        <f>_xll.CbondsStockAvgPrice($B$1,E201,$B$27)</f>
        <v>124.3</v>
      </c>
      <c r="G201" s="31">
        <f t="shared" si="18"/>
        <v>124.3</v>
      </c>
      <c r="H201" s="88">
        <f>IF(_xll.CbondsStockTradingVolume($B$1,E201,$B$27) &lt;&gt; "Нет данных",_xll.CbondsStockTradingVolume($B$1,E201,$B$27),"0")</f>
        <v>7612797361.1000004</v>
      </c>
      <c r="I201" s="88">
        <f>IF(_xll.CbondsStockDealsNumber($B$1,E201,$B$27) &lt;&gt; "Нет данных",_xll.CbondsStockDealsNumber($B$1,E201,$B$27),"0")</f>
        <v>106379</v>
      </c>
      <c r="K201" s="88">
        <f>_xll.CbondsIndexValue(VLOOKUP($K$1,'Help Page'!$Q:$S,3,0),Calculation!E201)</f>
        <v>17677.84</v>
      </c>
      <c r="L201" s="88">
        <f t="shared" si="19"/>
        <v>17677.84</v>
      </c>
      <c r="M201" s="88">
        <f>_xll.CbondsIndexValue(VLOOKUP($M$1,'Help Page'!$Q:$S,3,0),Calculation!E201)</f>
        <v>7375.06</v>
      </c>
      <c r="N201" s="88">
        <f t="shared" si="20"/>
        <v>7375.06</v>
      </c>
      <c r="AK201" s="35"/>
      <c r="AL201" s="35"/>
      <c r="AM201" s="35"/>
      <c r="AN201" s="35"/>
      <c r="AO201" s="35"/>
      <c r="AP201" s="35"/>
      <c r="AQ201" s="35"/>
      <c r="AR201" s="35"/>
      <c r="BU201" s="20"/>
    </row>
    <row r="202" spans="5:73" x14ac:dyDescent="0.3">
      <c r="E202" s="37">
        <f t="shared" si="21"/>
        <v>45823</v>
      </c>
      <c r="F202" s="30" t="str">
        <f>_xll.CbondsStockAvgPrice($B$1,E202,$B$27)</f>
        <v>Нет данных</v>
      </c>
      <c r="G202" s="31">
        <f t="shared" si="18"/>
        <v>123.68</v>
      </c>
      <c r="H202" s="88" t="str">
        <f>IF(_xll.CbondsStockTradingVolume($B$1,E202,$B$27) &lt;&gt; "Нет данных",_xll.CbondsStockTradingVolume($B$1,E202,$B$27),"0")</f>
        <v>0</v>
      </c>
      <c r="I202" s="88" t="str">
        <f>IF(_xll.CbondsStockDealsNumber($B$1,E202,$B$27) &lt;&gt; "Нет данных",_xll.CbondsStockDealsNumber($B$1,E202,$B$27),"0")</f>
        <v>0</v>
      </c>
      <c r="K202" s="88" t="str">
        <f>_xll.CbondsIndexValue(VLOOKUP($K$1,'Help Page'!$Q:$S,3,0),Calculation!E202)</f>
        <v>Нет данных</v>
      </c>
      <c r="L202" s="88">
        <f t="shared" si="19"/>
        <v>17746.28</v>
      </c>
      <c r="M202" s="88" t="str">
        <f>_xll.CbondsIndexValue(VLOOKUP($M$1,'Help Page'!$Q:$S,3,0),Calculation!E202)</f>
        <v>Нет данных</v>
      </c>
      <c r="N202" s="88">
        <f t="shared" si="20"/>
        <v>7425.59</v>
      </c>
      <c r="AK202" s="35"/>
      <c r="AL202" s="35"/>
      <c r="AM202" s="35"/>
      <c r="AN202" s="35"/>
      <c r="AO202" s="35"/>
      <c r="AP202" s="35"/>
      <c r="AQ202" s="35"/>
      <c r="AR202" s="35"/>
      <c r="BU202" s="20"/>
    </row>
    <row r="203" spans="5:73" x14ac:dyDescent="0.3">
      <c r="E203" s="37">
        <f t="shared" si="21"/>
        <v>45822</v>
      </c>
      <c r="F203" s="30" t="str">
        <f>_xll.CbondsStockAvgPrice($B$1,E203,$B$27)</f>
        <v>Нет данных</v>
      </c>
      <c r="G203" s="31">
        <f t="shared" si="18"/>
        <v>123.68</v>
      </c>
      <c r="H203" s="88" t="str">
        <f>IF(_xll.CbondsStockTradingVolume($B$1,E203,$B$27) &lt;&gt; "Нет данных",_xll.CbondsStockTradingVolume($B$1,E203,$B$27),"0")</f>
        <v>0</v>
      </c>
      <c r="I203" s="88" t="str">
        <f>IF(_xll.CbondsStockDealsNumber($B$1,E203,$B$27) &lt;&gt; "Нет данных",_xll.CbondsStockDealsNumber($B$1,E203,$B$27),"0")</f>
        <v>0</v>
      </c>
      <c r="K203" s="88" t="str">
        <f>_xll.CbondsIndexValue(VLOOKUP($K$1,'Help Page'!$Q:$S,3,0),Calculation!E203)</f>
        <v>Нет данных</v>
      </c>
      <c r="L203" s="88">
        <f t="shared" si="19"/>
        <v>17746.28</v>
      </c>
      <c r="M203" s="88" t="str">
        <f>_xll.CbondsIndexValue(VLOOKUP($M$1,'Help Page'!$Q:$S,3,0),Calculation!E203)</f>
        <v>Нет данных</v>
      </c>
      <c r="N203" s="88">
        <f t="shared" si="20"/>
        <v>7425.59</v>
      </c>
      <c r="AK203" s="35"/>
      <c r="AL203" s="35"/>
      <c r="AM203" s="35"/>
      <c r="AN203" s="35"/>
      <c r="AO203" s="35"/>
      <c r="AP203" s="35"/>
      <c r="AQ203" s="35"/>
      <c r="AR203" s="35"/>
      <c r="BU203" s="20"/>
    </row>
    <row r="204" spans="5:73" x14ac:dyDescent="0.3">
      <c r="E204" s="37">
        <f t="shared" si="21"/>
        <v>45821</v>
      </c>
      <c r="F204" s="30">
        <f>_xll.CbondsStockAvgPrice($B$1,E204,$B$27)</f>
        <v>123.68</v>
      </c>
      <c r="G204" s="31">
        <f t="shared" si="18"/>
        <v>123.68</v>
      </c>
      <c r="H204" s="88">
        <f>IF(_xll.CbondsStockTradingVolume($B$1,E204,$B$27) &lt;&gt; "Нет данных",_xll.CbondsStockTradingVolume($B$1,E204,$B$27),"0")</f>
        <v>2508021902.1999998</v>
      </c>
      <c r="I204" s="88">
        <f>IF(_xll.CbondsStockDealsNumber($B$1,E204,$B$27) &lt;&gt; "Нет данных",_xll.CbondsStockDealsNumber($B$1,E204,$B$27),"0")</f>
        <v>37977</v>
      </c>
      <c r="K204" s="88">
        <f>_xll.CbondsIndexValue(VLOOKUP($K$1,'Help Page'!$Q:$S,3,0),Calculation!E204)</f>
        <v>17746.28</v>
      </c>
      <c r="L204" s="88">
        <f t="shared" si="19"/>
        <v>17746.28</v>
      </c>
      <c r="M204" s="88">
        <f>_xll.CbondsIndexValue(VLOOKUP($M$1,'Help Page'!$Q:$S,3,0),Calculation!E204)</f>
        <v>7425.59</v>
      </c>
      <c r="N204" s="88">
        <f t="shared" si="20"/>
        <v>7425.59</v>
      </c>
      <c r="AK204" s="35"/>
      <c r="AL204" s="35"/>
      <c r="AM204" s="35"/>
      <c r="AN204" s="35"/>
      <c r="AO204" s="35"/>
      <c r="AP204" s="35"/>
      <c r="AQ204" s="35"/>
      <c r="AR204" s="35"/>
      <c r="BU204" s="20"/>
    </row>
    <row r="205" spans="5:73" x14ac:dyDescent="0.3">
      <c r="E205" s="37">
        <f t="shared" si="21"/>
        <v>45820</v>
      </c>
      <c r="F205" s="30" t="str">
        <f>_xll.CbondsStockAvgPrice($B$1,E205,$B$27)</f>
        <v>Нет данных</v>
      </c>
      <c r="G205" s="31">
        <f t="shared" si="18"/>
        <v>122.85</v>
      </c>
      <c r="H205" s="88" t="str">
        <f>IF(_xll.CbondsStockTradingVolume($B$1,E205,$B$27) &lt;&gt; "Нет данных",_xll.CbondsStockTradingVolume($B$1,E205,$B$27),"0")</f>
        <v>0</v>
      </c>
      <c r="I205" s="88" t="str">
        <f>IF(_xll.CbondsStockDealsNumber($B$1,E205,$B$27) &lt;&gt; "Нет данных",_xll.CbondsStockDealsNumber($B$1,E205,$B$27),"0")</f>
        <v>0</v>
      </c>
      <c r="K205" s="88" t="str">
        <f>_xll.CbondsIndexValue(VLOOKUP($K$1,'Help Page'!$Q:$S,3,0),Calculation!E205)</f>
        <v>Нет данных</v>
      </c>
      <c r="L205" s="88">
        <f t="shared" si="19"/>
        <v>17603.13</v>
      </c>
      <c r="M205" s="88" t="str">
        <f>_xll.CbondsIndexValue(VLOOKUP($M$1,'Help Page'!$Q:$S,3,0),Calculation!E205)</f>
        <v>Нет данных</v>
      </c>
      <c r="N205" s="88">
        <f t="shared" si="20"/>
        <v>7252.03</v>
      </c>
      <c r="AK205" s="35"/>
      <c r="AL205" s="35"/>
      <c r="AM205" s="35"/>
      <c r="AN205" s="35"/>
      <c r="AO205" s="35"/>
      <c r="AP205" s="35"/>
      <c r="AQ205" s="35"/>
      <c r="AR205" s="35"/>
      <c r="BU205" s="20"/>
    </row>
    <row r="206" spans="5:73" x14ac:dyDescent="0.3">
      <c r="E206" s="37">
        <f t="shared" si="21"/>
        <v>45819</v>
      </c>
      <c r="F206" s="30">
        <f>_xll.CbondsStockAvgPrice($B$1,E206,$B$27)</f>
        <v>122.85</v>
      </c>
      <c r="G206" s="31">
        <f t="shared" si="18"/>
        <v>122.85</v>
      </c>
      <c r="H206" s="88">
        <f>IF(_xll.CbondsStockTradingVolume($B$1,E206,$B$27) &lt;&gt; "Нет данных",_xll.CbondsStockTradingVolume($B$1,E206,$B$27),"0")</f>
        <v>3679815384</v>
      </c>
      <c r="I206" s="88">
        <f>IF(_xll.CbondsStockDealsNumber($B$1,E206,$B$27) &lt;&gt; "Нет данных",_xll.CbondsStockDealsNumber($B$1,E206,$B$27),"0")</f>
        <v>61974</v>
      </c>
      <c r="K206" s="88">
        <f>_xll.CbondsIndexValue(VLOOKUP($K$1,'Help Page'!$Q:$S,3,0),Calculation!E206)</f>
        <v>17603.13</v>
      </c>
      <c r="L206" s="88">
        <f t="shared" si="19"/>
        <v>17603.13</v>
      </c>
      <c r="M206" s="88">
        <f>_xll.CbondsIndexValue(VLOOKUP($M$1,'Help Page'!$Q:$S,3,0),Calculation!E206)</f>
        <v>7252.03</v>
      </c>
      <c r="N206" s="88">
        <f t="shared" si="20"/>
        <v>7252.03</v>
      </c>
      <c r="AK206" s="35"/>
      <c r="AL206" s="35"/>
      <c r="AM206" s="35"/>
      <c r="AN206" s="35"/>
      <c r="AO206" s="35"/>
      <c r="AP206" s="35"/>
      <c r="AQ206" s="35"/>
      <c r="AR206" s="35"/>
      <c r="BU206" s="20"/>
    </row>
    <row r="207" spans="5:73" x14ac:dyDescent="0.3">
      <c r="E207" s="37">
        <f t="shared" si="21"/>
        <v>45818</v>
      </c>
      <c r="F207" s="30">
        <f>_xll.CbondsStockAvgPrice($B$1,E207,$B$27)</f>
        <v>122.85</v>
      </c>
      <c r="G207" s="31">
        <f t="shared" si="18"/>
        <v>122.85</v>
      </c>
      <c r="H207" s="88">
        <f>IF(_xll.CbondsStockTradingVolume($B$1,E207,$B$27) &lt;&gt; "Нет данных",_xll.CbondsStockTradingVolume($B$1,E207,$B$27),"0")</f>
        <v>5869531110.3999996</v>
      </c>
      <c r="I207" s="88">
        <f>IF(_xll.CbondsStockDealsNumber($B$1,E207,$B$27) &lt;&gt; "Нет данных",_xll.CbondsStockDealsNumber($B$1,E207,$B$27),"0")</f>
        <v>73926</v>
      </c>
      <c r="K207" s="88">
        <f>_xll.CbondsIndexValue(VLOOKUP($K$1,'Help Page'!$Q:$S,3,0),Calculation!E207)</f>
        <v>17538.73</v>
      </c>
      <c r="L207" s="88">
        <f t="shared" si="19"/>
        <v>17538.73</v>
      </c>
      <c r="M207" s="88">
        <f>_xll.CbondsIndexValue(VLOOKUP($M$1,'Help Page'!$Q:$S,3,0),Calculation!E207)</f>
        <v>7242.02</v>
      </c>
      <c r="N207" s="88">
        <f t="shared" si="20"/>
        <v>7242.02</v>
      </c>
      <c r="AK207" s="35"/>
      <c r="AL207" s="35"/>
      <c r="AM207" s="35"/>
      <c r="AN207" s="35"/>
      <c r="AO207" s="35"/>
      <c r="AP207" s="35"/>
      <c r="AQ207" s="35"/>
      <c r="AR207" s="35"/>
      <c r="BU207" s="20"/>
    </row>
    <row r="208" spans="5:73" x14ac:dyDescent="0.3">
      <c r="E208" s="37">
        <f t="shared" si="21"/>
        <v>45817</v>
      </c>
      <c r="F208" s="30">
        <f>_xll.CbondsStockAvgPrice($B$1,E208,$B$27)</f>
        <v>124.17</v>
      </c>
      <c r="G208" s="31">
        <f t="shared" si="18"/>
        <v>124.17</v>
      </c>
      <c r="H208" s="88">
        <f>IF(_xll.CbondsStockTradingVolume($B$1,E208,$B$27) &lt;&gt; "Нет данных",_xll.CbondsStockTradingVolume($B$1,E208,$B$27),"0")</f>
        <v>8455173002.3000002</v>
      </c>
      <c r="I208" s="88">
        <f>IF(_xll.CbondsStockDealsNumber($B$1,E208,$B$27) &lt;&gt; "Нет данных",_xll.CbondsStockDealsNumber($B$1,E208,$B$27),"0")</f>
        <v>138301</v>
      </c>
      <c r="K208" s="88">
        <f>_xll.CbondsIndexValue(VLOOKUP($K$1,'Help Page'!$Q:$S,3,0),Calculation!E208)</f>
        <v>17655.75</v>
      </c>
      <c r="L208" s="88">
        <f t="shared" si="19"/>
        <v>17655.75</v>
      </c>
      <c r="M208" s="88">
        <f>_xll.CbondsIndexValue(VLOOKUP($M$1,'Help Page'!$Q:$S,3,0),Calculation!E208)</f>
        <v>7320.44</v>
      </c>
      <c r="N208" s="88">
        <f t="shared" si="20"/>
        <v>7320.44</v>
      </c>
      <c r="AK208" s="35"/>
      <c r="AL208" s="35"/>
      <c r="AM208" s="35"/>
      <c r="AN208" s="35"/>
      <c r="AO208" s="35"/>
      <c r="AP208" s="35"/>
      <c r="AQ208" s="35"/>
      <c r="AR208" s="35"/>
      <c r="BU208" s="20"/>
    </row>
    <row r="209" spans="5:73" x14ac:dyDescent="0.3">
      <c r="E209" s="37">
        <f t="shared" si="21"/>
        <v>45816</v>
      </c>
      <c r="F209" s="30" t="str">
        <f>_xll.CbondsStockAvgPrice($B$1,E209,$B$27)</f>
        <v>Нет данных</v>
      </c>
      <c r="G209" s="31">
        <f t="shared" si="18"/>
        <v>128.87</v>
      </c>
      <c r="H209" s="88" t="str">
        <f>IF(_xll.CbondsStockTradingVolume($B$1,E209,$B$27) &lt;&gt; "Нет данных",_xll.CbondsStockTradingVolume($B$1,E209,$B$27),"0")</f>
        <v>0</v>
      </c>
      <c r="I209" s="88" t="str">
        <f>IF(_xll.CbondsStockDealsNumber($B$1,E209,$B$27) &lt;&gt; "Нет данных",_xll.CbondsStockDealsNumber($B$1,E209,$B$27),"0")</f>
        <v>0</v>
      </c>
      <c r="K209" s="88" t="str">
        <f>_xll.CbondsIndexValue(VLOOKUP($K$1,'Help Page'!$Q:$S,3,0),Calculation!E209)</f>
        <v>Нет данных</v>
      </c>
      <c r="L209" s="88">
        <f t="shared" si="19"/>
        <v>17957.38</v>
      </c>
      <c r="M209" s="88" t="str">
        <f>_xll.CbondsIndexValue(VLOOKUP($M$1,'Help Page'!$Q:$S,3,0),Calculation!E209)</f>
        <v>Нет данных</v>
      </c>
      <c r="N209" s="88">
        <f t="shared" si="20"/>
        <v>7455.39</v>
      </c>
      <c r="AK209" s="35"/>
      <c r="AL209" s="35"/>
      <c r="AM209" s="35"/>
      <c r="AN209" s="35"/>
      <c r="AO209" s="35"/>
      <c r="AP209" s="35"/>
      <c r="AQ209" s="35"/>
      <c r="AR209" s="35"/>
      <c r="BU209" s="20"/>
    </row>
    <row r="210" spans="5:73" x14ac:dyDescent="0.3">
      <c r="E210" s="37">
        <f t="shared" si="21"/>
        <v>45815</v>
      </c>
      <c r="F210" s="30" t="str">
        <f>_xll.CbondsStockAvgPrice($B$1,E210,$B$27)</f>
        <v>Нет данных</v>
      </c>
      <c r="G210" s="31">
        <f t="shared" si="18"/>
        <v>128.87</v>
      </c>
      <c r="H210" s="88" t="str">
        <f>IF(_xll.CbondsStockTradingVolume($B$1,E210,$B$27) &lt;&gt; "Нет данных",_xll.CbondsStockTradingVolume($B$1,E210,$B$27),"0")</f>
        <v>0</v>
      </c>
      <c r="I210" s="88" t="str">
        <f>IF(_xll.CbondsStockDealsNumber($B$1,E210,$B$27) &lt;&gt; "Нет данных",_xll.CbondsStockDealsNumber($B$1,E210,$B$27),"0")</f>
        <v>0</v>
      </c>
      <c r="K210" s="88" t="str">
        <f>_xll.CbondsIndexValue(VLOOKUP($K$1,'Help Page'!$Q:$S,3,0),Calculation!E210)</f>
        <v>Нет данных</v>
      </c>
      <c r="L210" s="88">
        <f t="shared" si="19"/>
        <v>17957.38</v>
      </c>
      <c r="M210" s="88" t="str">
        <f>_xll.CbondsIndexValue(VLOOKUP($M$1,'Help Page'!$Q:$S,3,0),Calculation!E210)</f>
        <v>Нет данных</v>
      </c>
      <c r="N210" s="88">
        <f t="shared" si="20"/>
        <v>7455.39</v>
      </c>
      <c r="AK210" s="35"/>
      <c r="AL210" s="35"/>
      <c r="AM210" s="35"/>
      <c r="AN210" s="35"/>
      <c r="AO210" s="35"/>
      <c r="AP210" s="35"/>
      <c r="AQ210" s="35"/>
      <c r="AR210" s="35"/>
      <c r="BU210" s="20"/>
    </row>
    <row r="211" spans="5:73" x14ac:dyDescent="0.3">
      <c r="E211" s="37">
        <f t="shared" si="21"/>
        <v>45814</v>
      </c>
      <c r="F211" s="30">
        <f>_xll.CbondsStockAvgPrice($B$1,E211,$B$27)</f>
        <v>128.87</v>
      </c>
      <c r="G211" s="31">
        <f t="shared" si="18"/>
        <v>128.87</v>
      </c>
      <c r="H211" s="88">
        <f>IF(_xll.CbondsStockTradingVolume($B$1,E211,$B$27) &lt;&gt; "Нет данных",_xll.CbondsStockTradingVolume($B$1,E211,$B$27),"0")</f>
        <v>14534591764.6</v>
      </c>
      <c r="I211" s="88">
        <f>IF(_xll.CbondsStockDealsNumber($B$1,E211,$B$27) &lt;&gt; "Нет данных",_xll.CbondsStockDealsNumber($B$1,E211,$B$27),"0")</f>
        <v>176176</v>
      </c>
      <c r="K211" s="88">
        <f>_xll.CbondsIndexValue(VLOOKUP($K$1,'Help Page'!$Q:$S,3,0),Calculation!E211)</f>
        <v>17957.38</v>
      </c>
      <c r="L211" s="88">
        <f t="shared" si="19"/>
        <v>17957.38</v>
      </c>
      <c r="M211" s="88">
        <f>_xll.CbondsIndexValue(VLOOKUP($M$1,'Help Page'!$Q:$S,3,0),Calculation!E211)</f>
        <v>7455.39</v>
      </c>
      <c r="N211" s="88">
        <f t="shared" si="20"/>
        <v>7455.39</v>
      </c>
      <c r="AK211" s="35"/>
      <c r="AL211" s="35"/>
      <c r="AM211" s="35"/>
      <c r="AN211" s="35"/>
      <c r="AO211" s="35"/>
      <c r="AP211" s="35"/>
      <c r="AQ211" s="35"/>
      <c r="AR211" s="35"/>
      <c r="BU211" s="20"/>
    </row>
    <row r="212" spans="5:73" x14ac:dyDescent="0.3">
      <c r="E212" s="37">
        <f t="shared" si="21"/>
        <v>45813</v>
      </c>
      <c r="F212" s="30">
        <f>_xll.CbondsStockAvgPrice($B$1,E212,$B$27)</f>
        <v>129.62</v>
      </c>
      <c r="G212" s="31">
        <f t="shared" si="18"/>
        <v>129.62</v>
      </c>
      <c r="H212" s="88">
        <f>IF(_xll.CbondsStockTradingVolume($B$1,E212,$B$27) &lt;&gt; "Нет данных",_xll.CbondsStockTradingVolume($B$1,E212,$B$27),"0")</f>
        <v>5070813028.1999998</v>
      </c>
      <c r="I212" s="88">
        <f>IF(_xll.CbondsStockDealsNumber($B$1,E212,$B$27) &lt;&gt; "Нет данных",_xll.CbondsStockDealsNumber($B$1,E212,$B$27),"0")</f>
        <v>87411</v>
      </c>
      <c r="K212" s="88">
        <f>_xll.CbondsIndexValue(VLOOKUP($K$1,'Help Page'!$Q:$S,3,0),Calculation!E212)</f>
        <v>18405.41</v>
      </c>
      <c r="L212" s="88">
        <f t="shared" si="19"/>
        <v>18405.41</v>
      </c>
      <c r="M212" s="88">
        <f>_xll.CbondsIndexValue(VLOOKUP($M$1,'Help Page'!$Q:$S,3,0),Calculation!E212)</f>
        <v>7639.77</v>
      </c>
      <c r="N212" s="88">
        <f t="shared" si="20"/>
        <v>7639.77</v>
      </c>
      <c r="AK212" s="35"/>
      <c r="AL212" s="35"/>
      <c r="AM212" s="35"/>
      <c r="AN212" s="35"/>
      <c r="AO212" s="35"/>
      <c r="AP212" s="35"/>
      <c r="AQ212" s="35"/>
      <c r="AR212" s="35"/>
      <c r="BU212" s="20"/>
    </row>
    <row r="213" spans="5:73" x14ac:dyDescent="0.3">
      <c r="E213" s="37">
        <f t="shared" si="21"/>
        <v>45812</v>
      </c>
      <c r="F213" s="30">
        <f>_xll.CbondsStockAvgPrice($B$1,E213,$B$27)</f>
        <v>130.54</v>
      </c>
      <c r="G213" s="31">
        <f t="shared" si="18"/>
        <v>130.54</v>
      </c>
      <c r="H213" s="88">
        <f>IF(_xll.CbondsStockTradingVolume($B$1,E213,$B$27) &lt;&gt; "Нет данных",_xll.CbondsStockTradingVolume($B$1,E213,$B$27),"0")</f>
        <v>9987629218.8999996</v>
      </c>
      <c r="I213" s="88">
        <f>IF(_xll.CbondsStockDealsNumber($B$1,E213,$B$27) &lt;&gt; "Нет данных",_xll.CbondsStockDealsNumber($B$1,E213,$B$27),"0")</f>
        <v>121419</v>
      </c>
      <c r="K213" s="88">
        <f>_xll.CbondsIndexValue(VLOOKUP($K$1,'Help Page'!$Q:$S,3,0),Calculation!E213)</f>
        <v>18279.490000000002</v>
      </c>
      <c r="L213" s="88">
        <f t="shared" si="19"/>
        <v>18279.490000000002</v>
      </c>
      <c r="M213" s="88">
        <f>_xll.CbondsIndexValue(VLOOKUP($M$1,'Help Page'!$Q:$S,3,0),Calculation!E213)</f>
        <v>7604.41</v>
      </c>
      <c r="N213" s="88">
        <f t="shared" si="20"/>
        <v>7604.41</v>
      </c>
      <c r="AK213" s="35"/>
      <c r="AL213" s="35"/>
      <c r="AM213" s="35"/>
      <c r="AN213" s="35"/>
      <c r="AO213" s="35"/>
      <c r="AP213" s="35"/>
      <c r="AQ213" s="35"/>
      <c r="AR213" s="35"/>
      <c r="BU213" s="20"/>
    </row>
    <row r="214" spans="5:73" x14ac:dyDescent="0.3">
      <c r="E214" s="37">
        <f t="shared" si="21"/>
        <v>45811</v>
      </c>
      <c r="F214" s="30">
        <f>_xll.CbondsStockAvgPrice($B$1,E214,$B$27)</f>
        <v>130</v>
      </c>
      <c r="G214" s="31">
        <f t="shared" si="18"/>
        <v>130</v>
      </c>
      <c r="H214" s="88">
        <f>IF(_xll.CbondsStockTradingVolume($B$1,E214,$B$27) &lt;&gt; "Нет данных",_xll.CbondsStockTradingVolume($B$1,E214,$B$27),"0")</f>
        <v>7347469351</v>
      </c>
      <c r="I214" s="88">
        <f>IF(_xll.CbondsStockDealsNumber($B$1,E214,$B$27) &lt;&gt; "Нет данных",_xll.CbondsStockDealsNumber($B$1,E214,$B$27),"0")</f>
        <v>95211</v>
      </c>
      <c r="K214" s="88">
        <f>_xll.CbondsIndexValue(VLOOKUP($K$1,'Help Page'!$Q:$S,3,0),Calculation!E214)</f>
        <v>18269.55</v>
      </c>
      <c r="L214" s="88">
        <f t="shared" si="19"/>
        <v>18269.55</v>
      </c>
      <c r="M214" s="88">
        <f>_xll.CbondsIndexValue(VLOOKUP($M$1,'Help Page'!$Q:$S,3,0),Calculation!E214)</f>
        <v>7638.03</v>
      </c>
      <c r="N214" s="88">
        <f t="shared" si="20"/>
        <v>7638.03</v>
      </c>
      <c r="AK214" s="35"/>
      <c r="AL214" s="35"/>
      <c r="AM214" s="35"/>
      <c r="AN214" s="35"/>
      <c r="AO214" s="35"/>
      <c r="AP214" s="35"/>
      <c r="AQ214" s="35"/>
      <c r="AR214" s="35"/>
      <c r="BU214" s="20"/>
    </row>
    <row r="215" spans="5:73" x14ac:dyDescent="0.3">
      <c r="E215" s="37">
        <f t="shared" si="21"/>
        <v>45810</v>
      </c>
      <c r="F215" s="30">
        <f>_xll.CbondsStockAvgPrice($B$1,E215,$B$27)</f>
        <v>129.31</v>
      </c>
      <c r="G215" s="31">
        <f t="shared" si="18"/>
        <v>129.31</v>
      </c>
      <c r="H215" s="88">
        <f>IF(_xll.CbondsStockTradingVolume($B$1,E215,$B$27) &lt;&gt; "Нет данных",_xll.CbondsStockTradingVolume($B$1,E215,$B$27),"0")</f>
        <v>19719295978.400002</v>
      </c>
      <c r="I215" s="88">
        <f>IF(_xll.CbondsStockDealsNumber($B$1,E215,$B$27) &lt;&gt; "Нет данных",_xll.CbondsStockDealsNumber($B$1,E215,$B$27),"0")</f>
        <v>223018</v>
      </c>
      <c r="K215" s="88">
        <f>_xll.CbondsIndexValue(VLOOKUP($K$1,'Help Page'!$Q:$S,3,0),Calculation!E215)</f>
        <v>18282.03</v>
      </c>
      <c r="L215" s="88">
        <f t="shared" si="19"/>
        <v>18282.03</v>
      </c>
      <c r="M215" s="88">
        <f>_xll.CbondsIndexValue(VLOOKUP($M$1,'Help Page'!$Q:$S,3,0),Calculation!E215)</f>
        <v>7653.38</v>
      </c>
      <c r="N215" s="88">
        <f t="shared" si="20"/>
        <v>7653.38</v>
      </c>
      <c r="AK215" s="35"/>
      <c r="AL215" s="35"/>
      <c r="AM215" s="35"/>
      <c r="AN215" s="35"/>
      <c r="AO215" s="35"/>
      <c r="AP215" s="35"/>
      <c r="AQ215" s="35"/>
      <c r="AR215" s="35"/>
      <c r="BU215" s="20"/>
    </row>
    <row r="216" spans="5:73" x14ac:dyDescent="0.3">
      <c r="E216" s="37">
        <f t="shared" si="21"/>
        <v>45809</v>
      </c>
      <c r="F216" s="30" t="str">
        <f>_xll.CbondsStockAvgPrice($B$1,E216,$B$27)</f>
        <v>Нет данных</v>
      </c>
      <c r="G216" s="31">
        <f t="shared" si="18"/>
        <v>131.04</v>
      </c>
      <c r="H216" s="88" t="str">
        <f>IF(_xll.CbondsStockTradingVolume($B$1,E216,$B$27) &lt;&gt; "Нет данных",_xll.CbondsStockTradingVolume($B$1,E216,$B$27),"0")</f>
        <v>0</v>
      </c>
      <c r="I216" s="88" t="str">
        <f>IF(_xll.CbondsStockDealsNumber($B$1,E216,$B$27) &lt;&gt; "Нет данных",_xll.CbondsStockDealsNumber($B$1,E216,$B$27),"0")</f>
        <v>0</v>
      </c>
      <c r="K216" s="88" t="str">
        <f>_xll.CbondsIndexValue(VLOOKUP($K$1,'Help Page'!$Q:$S,3,0),Calculation!E216)</f>
        <v>Нет данных</v>
      </c>
      <c r="L216" s="88">
        <f t="shared" si="19"/>
        <v>18322.66</v>
      </c>
      <c r="M216" s="88" t="str">
        <f>_xll.CbondsIndexValue(VLOOKUP($M$1,'Help Page'!$Q:$S,3,0),Calculation!E216)</f>
        <v>Нет данных</v>
      </c>
      <c r="N216" s="88">
        <f t="shared" si="20"/>
        <v>7689.3</v>
      </c>
      <c r="AK216" s="35"/>
      <c r="AL216" s="35"/>
      <c r="AM216" s="35"/>
      <c r="AN216" s="35"/>
      <c r="AO216" s="35"/>
      <c r="AP216" s="35"/>
      <c r="AQ216" s="35"/>
      <c r="AR216" s="35"/>
      <c r="BU216" s="20"/>
    </row>
    <row r="217" spans="5:73" x14ac:dyDescent="0.3">
      <c r="E217" s="37">
        <f t="shared" si="21"/>
        <v>45808</v>
      </c>
      <c r="F217" s="30" t="str">
        <f>_xll.CbondsStockAvgPrice($B$1,E217,$B$27)</f>
        <v>Нет данных</v>
      </c>
      <c r="G217" s="31">
        <f t="shared" si="18"/>
        <v>131.04</v>
      </c>
      <c r="H217" s="88" t="str">
        <f>IF(_xll.CbondsStockTradingVolume($B$1,E217,$B$27) &lt;&gt; "Нет данных",_xll.CbondsStockTradingVolume($B$1,E217,$B$27),"0")</f>
        <v>0</v>
      </c>
      <c r="I217" s="88" t="str">
        <f>IF(_xll.CbondsStockDealsNumber($B$1,E217,$B$27) &lt;&gt; "Нет данных",_xll.CbondsStockDealsNumber($B$1,E217,$B$27),"0")</f>
        <v>0</v>
      </c>
      <c r="K217" s="88" t="str">
        <f>_xll.CbondsIndexValue(VLOOKUP($K$1,'Help Page'!$Q:$S,3,0),Calculation!E217)</f>
        <v>Нет данных</v>
      </c>
      <c r="L217" s="88">
        <f t="shared" si="19"/>
        <v>18322.66</v>
      </c>
      <c r="M217" s="88" t="str">
        <f>_xll.CbondsIndexValue(VLOOKUP($M$1,'Help Page'!$Q:$S,3,0),Calculation!E217)</f>
        <v>Нет данных</v>
      </c>
      <c r="N217" s="88">
        <f t="shared" si="20"/>
        <v>7689.3</v>
      </c>
      <c r="AK217" s="35"/>
      <c r="AL217" s="35"/>
      <c r="AM217" s="35"/>
      <c r="AN217" s="35"/>
      <c r="AO217" s="35"/>
      <c r="AP217" s="35"/>
      <c r="AQ217" s="35"/>
      <c r="AR217" s="35"/>
      <c r="BU217" s="20"/>
    </row>
    <row r="218" spans="5:73" x14ac:dyDescent="0.3">
      <c r="E218" s="37">
        <f t="shared" si="21"/>
        <v>45807</v>
      </c>
      <c r="F218" s="30">
        <f>_xll.CbondsStockAvgPrice($B$1,E218,$B$27)</f>
        <v>131.04</v>
      </c>
      <c r="G218" s="31">
        <f t="shared" si="18"/>
        <v>131.04</v>
      </c>
      <c r="H218" s="88">
        <f>IF(_xll.CbondsStockTradingVolume($B$1,E218,$B$27) &lt;&gt; "Нет данных",_xll.CbondsStockTradingVolume($B$1,E218,$B$27),"0")</f>
        <v>11078352120.299999</v>
      </c>
      <c r="I218" s="88">
        <f>IF(_xll.CbondsStockDealsNumber($B$1,E218,$B$27) &lt;&gt; "Нет данных",_xll.CbondsStockDealsNumber($B$1,E218,$B$27),"0")</f>
        <v>113436</v>
      </c>
      <c r="K218" s="88">
        <f>_xll.CbondsIndexValue(VLOOKUP($K$1,'Help Page'!$Q:$S,3,0),Calculation!E218)</f>
        <v>18322.66</v>
      </c>
      <c r="L218" s="88">
        <f t="shared" si="19"/>
        <v>18322.66</v>
      </c>
      <c r="M218" s="88">
        <f>_xll.CbondsIndexValue(VLOOKUP($M$1,'Help Page'!$Q:$S,3,0),Calculation!E218)</f>
        <v>7689.3</v>
      </c>
      <c r="N218" s="88">
        <f t="shared" si="20"/>
        <v>7689.3</v>
      </c>
      <c r="AK218" s="35"/>
      <c r="AL218" s="35"/>
      <c r="AM218" s="35"/>
      <c r="AN218" s="35"/>
      <c r="AO218" s="35"/>
      <c r="AP218" s="35"/>
      <c r="AQ218" s="35"/>
      <c r="AR218" s="35"/>
      <c r="BU218" s="20"/>
    </row>
    <row r="219" spans="5:73" x14ac:dyDescent="0.3">
      <c r="E219" s="37">
        <f t="shared" si="21"/>
        <v>45806</v>
      </c>
      <c r="F219" s="30">
        <f>_xll.CbondsStockAvgPrice($B$1,E219,$B$27)</f>
        <v>130.94999999999999</v>
      </c>
      <c r="G219" s="31">
        <f t="shared" si="18"/>
        <v>130.94999999999999</v>
      </c>
      <c r="H219" s="88">
        <f>IF(_xll.CbondsStockTradingVolume($B$1,E219,$B$27) &lt;&gt; "Нет данных",_xll.CbondsStockTradingVolume($B$1,E219,$B$27),"0")</f>
        <v>8683091664.8999996</v>
      </c>
      <c r="I219" s="88">
        <f>IF(_xll.CbondsStockDealsNumber($B$1,E219,$B$27) &lt;&gt; "Нет данных",_xll.CbondsStockDealsNumber($B$1,E219,$B$27),"0")</f>
        <v>95412</v>
      </c>
      <c r="K219" s="88">
        <f>_xll.CbondsIndexValue(VLOOKUP($K$1,'Help Page'!$Q:$S,3,0),Calculation!E219)</f>
        <v>18191.18</v>
      </c>
      <c r="L219" s="88">
        <f t="shared" si="19"/>
        <v>18191.18</v>
      </c>
      <c r="M219" s="88">
        <f>_xll.CbondsIndexValue(VLOOKUP($M$1,'Help Page'!$Q:$S,3,0),Calculation!E219)</f>
        <v>7624.42</v>
      </c>
      <c r="N219" s="88">
        <f t="shared" si="20"/>
        <v>7624.42</v>
      </c>
      <c r="AK219" s="35"/>
      <c r="AL219" s="35"/>
      <c r="AM219" s="35"/>
      <c r="AN219" s="35"/>
      <c r="AO219" s="35"/>
      <c r="AP219" s="35"/>
      <c r="AQ219" s="35"/>
      <c r="AR219" s="35"/>
      <c r="BU219" s="20"/>
    </row>
    <row r="220" spans="5:73" x14ac:dyDescent="0.3">
      <c r="E220" s="37">
        <f t="shared" si="21"/>
        <v>45805</v>
      </c>
      <c r="F220" s="30">
        <f>_xll.CbondsStockAvgPrice($B$1,E220,$B$27)</f>
        <v>129.56</v>
      </c>
      <c r="G220" s="31">
        <f t="shared" si="18"/>
        <v>129.56</v>
      </c>
      <c r="H220" s="88">
        <f>IF(_xll.CbondsStockTradingVolume($B$1,E220,$B$27) &lt;&gt; "Нет данных",_xll.CbondsStockTradingVolume($B$1,E220,$B$27),"0")</f>
        <v>12750064267.6</v>
      </c>
      <c r="I220" s="88">
        <f>IF(_xll.CbondsStockDealsNumber($B$1,E220,$B$27) &lt;&gt; "Нет данных",_xll.CbondsStockDealsNumber($B$1,E220,$B$27),"0")</f>
        <v>117673</v>
      </c>
      <c r="K220" s="88">
        <f>_xll.CbondsIndexValue(VLOOKUP($K$1,'Help Page'!$Q:$S,3,0),Calculation!E220)</f>
        <v>18009.580000000002</v>
      </c>
      <c r="L220" s="88">
        <f t="shared" si="19"/>
        <v>18009.580000000002</v>
      </c>
      <c r="M220" s="88">
        <f>_xll.CbondsIndexValue(VLOOKUP($M$1,'Help Page'!$Q:$S,3,0),Calculation!E220)</f>
        <v>7536.47</v>
      </c>
      <c r="N220" s="88">
        <f t="shared" si="20"/>
        <v>7536.47</v>
      </c>
      <c r="AK220" s="35"/>
      <c r="AL220" s="35"/>
      <c r="AM220" s="35"/>
      <c r="AN220" s="35"/>
      <c r="AO220" s="35"/>
      <c r="AP220" s="35"/>
      <c r="AQ220" s="35"/>
      <c r="AR220" s="35"/>
      <c r="BU220" s="20"/>
    </row>
    <row r="221" spans="5:73" x14ac:dyDescent="0.3">
      <c r="E221" s="37">
        <f t="shared" si="21"/>
        <v>45804</v>
      </c>
      <c r="F221" s="30">
        <f>_xll.CbondsStockAvgPrice($B$1,E221,$B$27)</f>
        <v>125.62</v>
      </c>
      <c r="G221" s="31">
        <f t="shared" si="18"/>
        <v>125.62</v>
      </c>
      <c r="H221" s="88">
        <f>IF(_xll.CbondsStockTradingVolume($B$1,E221,$B$27) &lt;&gt; "Нет данных",_xll.CbondsStockTradingVolume($B$1,E221,$B$27),"0")</f>
        <v>13355304882.799999</v>
      </c>
      <c r="I221" s="88">
        <f>IF(_xll.CbondsStockDealsNumber($B$1,E221,$B$27) &lt;&gt; "Нет данных",_xll.CbondsStockDealsNumber($B$1,E221,$B$27),"0")</f>
        <v>124872</v>
      </c>
      <c r="K221" s="88">
        <f>_xll.CbondsIndexValue(VLOOKUP($K$1,'Help Page'!$Q:$S,3,0),Calculation!E221)</f>
        <v>17679.89</v>
      </c>
      <c r="L221" s="88">
        <f t="shared" si="19"/>
        <v>17679.89</v>
      </c>
      <c r="M221" s="88">
        <f>_xll.CbondsIndexValue(VLOOKUP($M$1,'Help Page'!$Q:$S,3,0),Calculation!E221)</f>
        <v>7426.5</v>
      </c>
      <c r="N221" s="88">
        <f t="shared" si="20"/>
        <v>7426.5</v>
      </c>
      <c r="AK221" s="35"/>
      <c r="AL221" s="35"/>
      <c r="AM221" s="35"/>
      <c r="AN221" s="35"/>
      <c r="AO221" s="35"/>
      <c r="AP221" s="35"/>
      <c r="AQ221" s="35"/>
      <c r="AR221" s="35"/>
      <c r="BU221" s="20"/>
    </row>
    <row r="222" spans="5:73" x14ac:dyDescent="0.3">
      <c r="E222" s="37">
        <f t="shared" si="21"/>
        <v>45803</v>
      </c>
      <c r="F222" s="30">
        <f>_xll.CbondsStockAvgPrice($B$1,E222,$B$27)</f>
        <v>126.37</v>
      </c>
      <c r="G222" s="31">
        <f t="shared" si="18"/>
        <v>126.37</v>
      </c>
      <c r="H222" s="88">
        <f>IF(_xll.CbondsStockTradingVolume($B$1,E222,$B$27) &lt;&gt; "Нет данных",_xll.CbondsStockTradingVolume($B$1,E222,$B$27),"0")</f>
        <v>15045825958.200001</v>
      </c>
      <c r="I222" s="88">
        <f>IF(_xll.CbondsStockDealsNumber($B$1,E222,$B$27) &lt;&gt; "Нет данных",_xll.CbondsStockDealsNumber($B$1,E222,$B$27),"0")</f>
        <v>169755</v>
      </c>
      <c r="K222" s="88">
        <f>_xll.CbondsIndexValue(VLOOKUP($K$1,'Help Page'!$Q:$S,3,0),Calculation!E222)</f>
        <v>17451.79</v>
      </c>
      <c r="L222" s="88">
        <f t="shared" si="19"/>
        <v>17451.79</v>
      </c>
      <c r="M222" s="88">
        <f>_xll.CbondsIndexValue(VLOOKUP($M$1,'Help Page'!$Q:$S,3,0),Calculation!E222)</f>
        <v>7360.14</v>
      </c>
      <c r="N222" s="88">
        <f t="shared" si="20"/>
        <v>7360.14</v>
      </c>
      <c r="AK222" s="35"/>
      <c r="AL222" s="35"/>
      <c r="AM222" s="35"/>
      <c r="AN222" s="35"/>
      <c r="AO222" s="35"/>
      <c r="AP222" s="35"/>
      <c r="AQ222" s="35"/>
      <c r="AR222" s="35"/>
      <c r="BU222" s="20"/>
    </row>
    <row r="223" spans="5:73" x14ac:dyDescent="0.3">
      <c r="E223" s="37">
        <f t="shared" si="21"/>
        <v>45802</v>
      </c>
      <c r="F223" s="30" t="str">
        <f>_xll.CbondsStockAvgPrice($B$1,E223,$B$27)</f>
        <v>Нет данных</v>
      </c>
      <c r="G223" s="31">
        <f t="shared" si="18"/>
        <v>130.29</v>
      </c>
      <c r="H223" s="88" t="str">
        <f>IF(_xll.CbondsStockTradingVolume($B$1,E223,$B$27) &lt;&gt; "Нет данных",_xll.CbondsStockTradingVolume($B$1,E223,$B$27),"0")</f>
        <v>0</v>
      </c>
      <c r="I223" s="88" t="str">
        <f>IF(_xll.CbondsStockDealsNumber($B$1,E223,$B$27) &lt;&gt; "Нет данных",_xll.CbondsStockDealsNumber($B$1,E223,$B$27),"0")</f>
        <v>0</v>
      </c>
      <c r="K223" s="88" t="str">
        <f>_xll.CbondsIndexValue(VLOOKUP($K$1,'Help Page'!$Q:$S,3,0),Calculation!E223)</f>
        <v>Нет данных</v>
      </c>
      <c r="L223" s="88">
        <f t="shared" si="19"/>
        <v>17935.400000000001</v>
      </c>
      <c r="M223" s="88" t="str">
        <f>_xll.CbondsIndexValue(VLOOKUP($M$1,'Help Page'!$Q:$S,3,0),Calculation!E223)</f>
        <v>Нет данных</v>
      </c>
      <c r="N223" s="88">
        <f t="shared" si="20"/>
        <v>7535.58</v>
      </c>
      <c r="AK223" s="35"/>
      <c r="AL223" s="35"/>
      <c r="AM223" s="35"/>
      <c r="AN223" s="35"/>
      <c r="AO223" s="35"/>
      <c r="AP223" s="35"/>
      <c r="AQ223" s="35"/>
      <c r="AR223" s="35"/>
      <c r="BU223" s="20"/>
    </row>
    <row r="224" spans="5:73" x14ac:dyDescent="0.3">
      <c r="E224" s="37">
        <f t="shared" si="21"/>
        <v>45801</v>
      </c>
      <c r="F224" s="30" t="str">
        <f>_xll.CbondsStockAvgPrice($B$1,E224,$B$27)</f>
        <v>Нет данных</v>
      </c>
      <c r="G224" s="31">
        <f t="shared" si="18"/>
        <v>130.29</v>
      </c>
      <c r="H224" s="88" t="str">
        <f>IF(_xll.CbondsStockTradingVolume($B$1,E224,$B$27) &lt;&gt; "Нет данных",_xll.CbondsStockTradingVolume($B$1,E224,$B$27),"0")</f>
        <v>0</v>
      </c>
      <c r="I224" s="88" t="str">
        <f>IF(_xll.CbondsStockDealsNumber($B$1,E224,$B$27) &lt;&gt; "Нет данных",_xll.CbondsStockDealsNumber($B$1,E224,$B$27),"0")</f>
        <v>0</v>
      </c>
      <c r="K224" s="88" t="str">
        <f>_xll.CbondsIndexValue(VLOOKUP($K$1,'Help Page'!$Q:$S,3,0),Calculation!E224)</f>
        <v>Нет данных</v>
      </c>
      <c r="L224" s="88">
        <f t="shared" si="19"/>
        <v>17935.400000000001</v>
      </c>
      <c r="M224" s="88" t="str">
        <f>_xll.CbondsIndexValue(VLOOKUP($M$1,'Help Page'!$Q:$S,3,0),Calculation!E224)</f>
        <v>Нет данных</v>
      </c>
      <c r="N224" s="88">
        <f t="shared" si="20"/>
        <v>7535.58</v>
      </c>
      <c r="AK224" s="35"/>
      <c r="AL224" s="35"/>
      <c r="AM224" s="35"/>
      <c r="AN224" s="35"/>
      <c r="AO224" s="35"/>
      <c r="AP224" s="35"/>
      <c r="AQ224" s="35"/>
      <c r="AR224" s="35"/>
      <c r="BU224" s="20"/>
    </row>
    <row r="225" spans="5:73" x14ac:dyDescent="0.3">
      <c r="E225" s="37">
        <f t="shared" si="21"/>
        <v>45800</v>
      </c>
      <c r="F225" s="30">
        <f>_xll.CbondsStockAvgPrice($B$1,E225,$B$27)</f>
        <v>130.29</v>
      </c>
      <c r="G225" s="31">
        <f t="shared" si="18"/>
        <v>130.29</v>
      </c>
      <c r="H225" s="88">
        <f>IF(_xll.CbondsStockTradingVolume($B$1,E225,$B$27) &lt;&gt; "Нет данных",_xll.CbondsStockTradingVolume($B$1,E225,$B$27),"0")</f>
        <v>10016490474.200001</v>
      </c>
      <c r="I225" s="88">
        <f>IF(_xll.CbondsStockDealsNumber($B$1,E225,$B$27) &lt;&gt; "Нет данных",_xll.CbondsStockDealsNumber($B$1,E225,$B$27),"0")</f>
        <v>104029</v>
      </c>
      <c r="K225" s="88">
        <f>_xll.CbondsIndexValue(VLOOKUP($K$1,'Help Page'!$Q:$S,3,0),Calculation!E225)</f>
        <v>17935.400000000001</v>
      </c>
      <c r="L225" s="88">
        <f t="shared" si="19"/>
        <v>17935.400000000001</v>
      </c>
      <c r="M225" s="88">
        <f>_xll.CbondsIndexValue(VLOOKUP($M$1,'Help Page'!$Q:$S,3,0),Calculation!E225)</f>
        <v>7535.58</v>
      </c>
      <c r="N225" s="88">
        <f t="shared" si="20"/>
        <v>7535.58</v>
      </c>
      <c r="AK225" s="35"/>
      <c r="AL225" s="35"/>
      <c r="AM225" s="35"/>
      <c r="AN225" s="35"/>
      <c r="AO225" s="35"/>
      <c r="AP225" s="35"/>
      <c r="AQ225" s="35"/>
      <c r="AR225" s="35"/>
      <c r="BU225" s="20"/>
    </row>
    <row r="226" spans="5:73" x14ac:dyDescent="0.3">
      <c r="E226" s="37">
        <f t="shared" si="21"/>
        <v>45799</v>
      </c>
      <c r="F226" s="30">
        <f>_xll.CbondsStockAvgPrice($B$1,E226,$B$27)</f>
        <v>132.29</v>
      </c>
      <c r="G226" s="31">
        <f t="shared" si="18"/>
        <v>132.29</v>
      </c>
      <c r="H226" s="88">
        <f>IF(_xll.CbondsStockTradingVolume($B$1,E226,$B$27) &lt;&gt; "Нет данных",_xll.CbondsStockTradingVolume($B$1,E226,$B$27),"0")</f>
        <v>25001943915</v>
      </c>
      <c r="I226" s="88">
        <f>IF(_xll.CbondsStockDealsNumber($B$1,E226,$B$27) &lt;&gt; "Нет данных",_xll.CbondsStockDealsNumber($B$1,E226,$B$27),"0")</f>
        <v>218064</v>
      </c>
      <c r="K226" s="88">
        <f>_xll.CbondsIndexValue(VLOOKUP($K$1,'Help Page'!$Q:$S,3,0),Calculation!E226)</f>
        <v>18079.12</v>
      </c>
      <c r="L226" s="88">
        <f t="shared" si="19"/>
        <v>18079.12</v>
      </c>
      <c r="M226" s="88">
        <f>_xll.CbondsIndexValue(VLOOKUP($M$1,'Help Page'!$Q:$S,3,0),Calculation!E226)</f>
        <v>7612.02</v>
      </c>
      <c r="N226" s="88">
        <f t="shared" si="20"/>
        <v>7612.02</v>
      </c>
      <c r="AK226" s="35"/>
      <c r="AL226" s="35"/>
      <c r="AM226" s="35"/>
      <c r="AN226" s="35"/>
      <c r="AO226" s="35"/>
      <c r="AP226" s="35"/>
      <c r="AQ226" s="35"/>
      <c r="AR226" s="35"/>
      <c r="BU226" s="20"/>
    </row>
    <row r="227" spans="5:73" x14ac:dyDescent="0.3">
      <c r="E227" s="37">
        <f t="shared" si="21"/>
        <v>45798</v>
      </c>
      <c r="F227" s="30">
        <f>_xll.CbondsStockAvgPrice($B$1,E227,$B$27)</f>
        <v>137.47999999999999</v>
      </c>
      <c r="G227" s="31">
        <f t="shared" si="18"/>
        <v>137.47999999999999</v>
      </c>
      <c r="H227" s="88">
        <f>IF(_xll.CbondsStockTradingVolume($B$1,E227,$B$27) &lt;&gt; "Нет данных",_xll.CbondsStockTradingVolume($B$1,E227,$B$27),"0")</f>
        <v>18736666160.299999</v>
      </c>
      <c r="I227" s="88">
        <f>IF(_xll.CbondsStockDealsNumber($B$1,E227,$B$27) &lt;&gt; "Нет данных",_xll.CbondsStockDealsNumber($B$1,E227,$B$27),"0")</f>
        <v>172757</v>
      </c>
      <c r="K227" s="88">
        <f>_xll.CbondsIndexValue(VLOOKUP($K$1,'Help Page'!$Q:$S,3,0),Calculation!E227)</f>
        <v>18195.28</v>
      </c>
      <c r="L227" s="88">
        <f t="shared" si="19"/>
        <v>18195.28</v>
      </c>
      <c r="M227" s="88">
        <f>_xll.CbondsIndexValue(VLOOKUP($M$1,'Help Page'!$Q:$S,3,0),Calculation!E227)</f>
        <v>7697.47</v>
      </c>
      <c r="N227" s="88">
        <f t="shared" si="20"/>
        <v>7697.47</v>
      </c>
      <c r="AK227" s="35"/>
      <c r="AL227" s="35"/>
      <c r="AM227" s="35"/>
      <c r="AN227" s="35"/>
      <c r="AO227" s="35"/>
      <c r="AP227" s="35"/>
      <c r="AQ227" s="35"/>
      <c r="AR227" s="35"/>
      <c r="BU227" s="20"/>
    </row>
    <row r="228" spans="5:73" x14ac:dyDescent="0.3">
      <c r="E228" s="37">
        <f t="shared" si="21"/>
        <v>45797</v>
      </c>
      <c r="F228" s="30">
        <f>_xll.CbondsStockAvgPrice($B$1,E228,$B$27)</f>
        <v>137.75</v>
      </c>
      <c r="G228" s="31">
        <f t="shared" si="18"/>
        <v>137.75</v>
      </c>
      <c r="H228" s="88">
        <f>IF(_xll.CbondsStockTradingVolume($B$1,E228,$B$27) &lt;&gt; "Нет данных",_xll.CbondsStockTradingVolume($B$1,E228,$B$27),"0")</f>
        <v>13182824337.1</v>
      </c>
      <c r="I228" s="88">
        <f>IF(_xll.CbondsStockDealsNumber($B$1,E228,$B$27) &lt;&gt; "Нет данных",_xll.CbondsStockDealsNumber($B$1,E228,$B$27),"0")</f>
        <v>147415</v>
      </c>
      <c r="K228" s="88">
        <f>_xll.CbondsIndexValue(VLOOKUP($K$1,'Help Page'!$Q:$S,3,0),Calculation!E228)</f>
        <v>18268.09</v>
      </c>
      <c r="L228" s="88">
        <f t="shared" si="19"/>
        <v>18268.09</v>
      </c>
      <c r="M228" s="88">
        <f>_xll.CbondsIndexValue(VLOOKUP($M$1,'Help Page'!$Q:$S,3,0),Calculation!E228)</f>
        <v>7698.73</v>
      </c>
      <c r="N228" s="88">
        <f t="shared" si="20"/>
        <v>7698.73</v>
      </c>
      <c r="AK228" s="35"/>
      <c r="AL228" s="35"/>
      <c r="AM228" s="35"/>
      <c r="AN228" s="35"/>
      <c r="AO228" s="35"/>
      <c r="AP228" s="35"/>
      <c r="AQ228" s="35"/>
      <c r="AR228" s="35"/>
      <c r="BU228" s="20"/>
    </row>
    <row r="229" spans="5:73" x14ac:dyDescent="0.3">
      <c r="E229" s="37">
        <f t="shared" si="21"/>
        <v>45796</v>
      </c>
      <c r="F229" s="30">
        <f>_xll.CbondsStockAvgPrice($B$1,E229,$B$27)</f>
        <v>141.54</v>
      </c>
      <c r="G229" s="31">
        <f t="shared" si="18"/>
        <v>141.54</v>
      </c>
      <c r="H229" s="88">
        <f>IF(_xll.CbondsStockTradingVolume($B$1,E229,$B$27) &lt;&gt; "Нет данных",_xll.CbondsStockTradingVolume($B$1,E229,$B$27),"0")</f>
        <v>27043447494.900002</v>
      </c>
      <c r="I229" s="88">
        <f>IF(_xll.CbondsStockDealsNumber($B$1,E229,$B$27) &lt;&gt; "Нет данных",_xll.CbondsStockDealsNumber($B$1,E229,$B$27),"0")</f>
        <v>239091</v>
      </c>
      <c r="K229" s="88">
        <f>_xll.CbondsIndexValue(VLOOKUP($K$1,'Help Page'!$Q:$S,3,0),Calculation!E229)</f>
        <v>18672.93</v>
      </c>
      <c r="L229" s="88">
        <f t="shared" si="19"/>
        <v>18672.93</v>
      </c>
      <c r="M229" s="88">
        <f>_xll.CbondsIndexValue(VLOOKUP($M$1,'Help Page'!$Q:$S,3,0),Calculation!E229)</f>
        <v>7890.02</v>
      </c>
      <c r="N229" s="88">
        <f t="shared" si="20"/>
        <v>7890.02</v>
      </c>
      <c r="AK229" s="35"/>
      <c r="AL229" s="35"/>
      <c r="AM229" s="35"/>
      <c r="AN229" s="35"/>
      <c r="AO229" s="35"/>
      <c r="AP229" s="35"/>
      <c r="AQ229" s="35"/>
      <c r="AR229" s="35"/>
      <c r="BU229" s="20"/>
    </row>
    <row r="230" spans="5:73" x14ac:dyDescent="0.3">
      <c r="E230" s="37">
        <f t="shared" si="21"/>
        <v>45795</v>
      </c>
      <c r="F230" s="30" t="str">
        <f>_xll.CbondsStockAvgPrice($B$1,E230,$B$27)</f>
        <v>Нет данных</v>
      </c>
      <c r="G230" s="31">
        <f t="shared" si="18"/>
        <v>137.41</v>
      </c>
      <c r="H230" s="88" t="str">
        <f>IF(_xll.CbondsStockTradingVolume($B$1,E230,$B$27) &lt;&gt; "Нет данных",_xll.CbondsStockTradingVolume($B$1,E230,$B$27),"0")</f>
        <v>0</v>
      </c>
      <c r="I230" s="88" t="str">
        <f>IF(_xll.CbondsStockDealsNumber($B$1,E230,$B$27) &lt;&gt; "Нет данных",_xll.CbondsStockDealsNumber($B$1,E230,$B$27),"0")</f>
        <v>0</v>
      </c>
      <c r="K230" s="88" t="str">
        <f>_xll.CbondsIndexValue(VLOOKUP($K$1,'Help Page'!$Q:$S,3,0),Calculation!E230)</f>
        <v>Нет данных</v>
      </c>
      <c r="L230" s="88">
        <f t="shared" si="19"/>
        <v>18387.07</v>
      </c>
      <c r="M230" s="88" t="str">
        <f>_xll.CbondsIndexValue(VLOOKUP($M$1,'Help Page'!$Q:$S,3,0),Calculation!E230)</f>
        <v>Нет данных</v>
      </c>
      <c r="N230" s="88">
        <f t="shared" si="20"/>
        <v>7764.83</v>
      </c>
      <c r="AK230" s="35"/>
      <c r="AL230" s="35"/>
      <c r="AM230" s="35"/>
      <c r="AN230" s="35"/>
      <c r="AO230" s="35"/>
      <c r="AP230" s="35"/>
      <c r="AQ230" s="35"/>
      <c r="AR230" s="35"/>
      <c r="BU230" s="20"/>
    </row>
    <row r="231" spans="5:73" x14ac:dyDescent="0.3">
      <c r="E231" s="37">
        <f t="shared" si="21"/>
        <v>45794</v>
      </c>
      <c r="F231" s="30" t="str">
        <f>_xll.CbondsStockAvgPrice($B$1,E231,$B$27)</f>
        <v>Нет данных</v>
      </c>
      <c r="G231" s="31">
        <f t="shared" si="18"/>
        <v>137.41</v>
      </c>
      <c r="H231" s="88" t="str">
        <f>IF(_xll.CbondsStockTradingVolume($B$1,E231,$B$27) &lt;&gt; "Нет данных",_xll.CbondsStockTradingVolume($B$1,E231,$B$27),"0")</f>
        <v>0</v>
      </c>
      <c r="I231" s="88" t="str">
        <f>IF(_xll.CbondsStockDealsNumber($B$1,E231,$B$27) &lt;&gt; "Нет данных",_xll.CbondsStockDealsNumber($B$1,E231,$B$27),"0")</f>
        <v>0</v>
      </c>
      <c r="K231" s="88" t="str">
        <f>_xll.CbondsIndexValue(VLOOKUP($K$1,'Help Page'!$Q:$S,3,0),Calculation!E231)</f>
        <v>Нет данных</v>
      </c>
      <c r="L231" s="88">
        <f t="shared" si="19"/>
        <v>18387.07</v>
      </c>
      <c r="M231" s="88" t="str">
        <f>_xll.CbondsIndexValue(VLOOKUP($M$1,'Help Page'!$Q:$S,3,0),Calculation!E231)</f>
        <v>Нет данных</v>
      </c>
      <c r="N231" s="88">
        <f t="shared" si="20"/>
        <v>7764.83</v>
      </c>
      <c r="AK231" s="35"/>
      <c r="AL231" s="35"/>
      <c r="AM231" s="35"/>
      <c r="AN231" s="35"/>
      <c r="AO231" s="35"/>
      <c r="AP231" s="35"/>
      <c r="AQ231" s="35"/>
      <c r="AR231" s="35"/>
      <c r="BU231" s="20"/>
    </row>
    <row r="232" spans="5:73" x14ac:dyDescent="0.3">
      <c r="E232" s="37">
        <f t="shared" si="21"/>
        <v>45793</v>
      </c>
      <c r="F232" s="30">
        <f>_xll.CbondsStockAvgPrice($B$1,E232,$B$27)</f>
        <v>137.41</v>
      </c>
      <c r="G232" s="31">
        <f t="shared" si="18"/>
        <v>137.41</v>
      </c>
      <c r="H232" s="88">
        <f>IF(_xll.CbondsStockTradingVolume($B$1,E232,$B$27) &lt;&gt; "Нет данных",_xll.CbondsStockTradingVolume($B$1,E232,$B$27),"0")</f>
        <v>25563539344.900002</v>
      </c>
      <c r="I232" s="88">
        <f>IF(_xll.CbondsStockDealsNumber($B$1,E232,$B$27) &lt;&gt; "Нет данных",_xll.CbondsStockDealsNumber($B$1,E232,$B$27),"0")</f>
        <v>205757</v>
      </c>
      <c r="K232" s="88">
        <f>_xll.CbondsIndexValue(VLOOKUP($K$1,'Help Page'!$Q:$S,3,0),Calculation!E232)</f>
        <v>18387.07</v>
      </c>
      <c r="L232" s="88">
        <f t="shared" si="19"/>
        <v>18387.07</v>
      </c>
      <c r="M232" s="88">
        <f>_xll.CbondsIndexValue(VLOOKUP($M$1,'Help Page'!$Q:$S,3,0),Calculation!E232)</f>
        <v>7764.83</v>
      </c>
      <c r="N232" s="88">
        <f t="shared" si="20"/>
        <v>7764.83</v>
      </c>
      <c r="AK232" s="35"/>
      <c r="AL232" s="35"/>
      <c r="AM232" s="35"/>
      <c r="AN232" s="35"/>
      <c r="AO232" s="35"/>
      <c r="AP232" s="35"/>
      <c r="AQ232" s="35"/>
      <c r="AR232" s="35"/>
      <c r="BU232" s="20"/>
    </row>
    <row r="233" spans="5:73" x14ac:dyDescent="0.3">
      <c r="E233" s="37">
        <f t="shared" si="21"/>
        <v>45792</v>
      </c>
      <c r="F233" s="30">
        <f>_xll.CbondsStockAvgPrice($B$1,E233,$B$27)</f>
        <v>140.22999999999999</v>
      </c>
      <c r="G233" s="31">
        <f t="shared" si="18"/>
        <v>140.22999999999999</v>
      </c>
      <c r="H233" s="88">
        <f>IF(_xll.CbondsStockTradingVolume($B$1,E233,$B$27) &lt;&gt; "Нет данных",_xll.CbondsStockTradingVolume($B$1,E233,$B$27),"0")</f>
        <v>21687739398.400002</v>
      </c>
      <c r="I233" s="88">
        <f>IF(_xll.CbondsStockDealsNumber($B$1,E233,$B$27) &lt;&gt; "Нет данных",_xll.CbondsStockDealsNumber($B$1,E233,$B$27),"0")</f>
        <v>196941</v>
      </c>
      <c r="K233" s="88">
        <f>_xll.CbondsIndexValue(VLOOKUP($K$1,'Help Page'!$Q:$S,3,0),Calculation!E233)</f>
        <v>18386.84</v>
      </c>
      <c r="L233" s="88">
        <f t="shared" si="19"/>
        <v>18386.84</v>
      </c>
      <c r="M233" s="88">
        <f>_xll.CbondsIndexValue(VLOOKUP($M$1,'Help Page'!$Q:$S,3,0),Calculation!E233)</f>
        <v>7779.14</v>
      </c>
      <c r="N233" s="88">
        <f t="shared" si="20"/>
        <v>7779.14</v>
      </c>
      <c r="AK233" s="35"/>
      <c r="AL233" s="35"/>
      <c r="AM233" s="35"/>
      <c r="AN233" s="35"/>
      <c r="AO233" s="35"/>
      <c r="AP233" s="35"/>
      <c r="AQ233" s="35"/>
      <c r="AR233" s="35"/>
      <c r="BU233" s="20"/>
    </row>
    <row r="234" spans="5:73" x14ac:dyDescent="0.3">
      <c r="E234" s="37">
        <f t="shared" si="21"/>
        <v>45791</v>
      </c>
      <c r="F234" s="30">
        <f>_xll.CbondsStockAvgPrice($B$1,E234,$B$27)</f>
        <v>144.88</v>
      </c>
      <c r="G234" s="31">
        <f t="shared" si="18"/>
        <v>144.88</v>
      </c>
      <c r="H234" s="88">
        <f>IF(_xll.CbondsStockTradingVolume($B$1,E234,$B$27) &lt;&gt; "Нет данных",_xll.CbondsStockTradingVolume($B$1,E234,$B$27),"0")</f>
        <v>14683371591.9</v>
      </c>
      <c r="I234" s="88">
        <f>IF(_xll.CbondsStockDealsNumber($B$1,E234,$B$27) &lt;&gt; "Нет данных",_xll.CbondsStockDealsNumber($B$1,E234,$B$27),"0")</f>
        <v>123557</v>
      </c>
      <c r="K234" s="88">
        <f>_xll.CbondsIndexValue(VLOOKUP($K$1,'Help Page'!$Q:$S,3,0),Calculation!E234)</f>
        <v>18966.71</v>
      </c>
      <c r="L234" s="88">
        <f t="shared" si="19"/>
        <v>18966.71</v>
      </c>
      <c r="M234" s="88">
        <f>_xll.CbondsIndexValue(VLOOKUP($M$1,'Help Page'!$Q:$S,3,0),Calculation!E234)</f>
        <v>8006.29</v>
      </c>
      <c r="N234" s="88">
        <f t="shared" si="20"/>
        <v>8006.29</v>
      </c>
      <c r="AK234" s="35"/>
      <c r="AL234" s="35"/>
      <c r="AM234" s="35"/>
      <c r="AN234" s="35"/>
      <c r="AO234" s="35"/>
      <c r="AP234" s="35"/>
      <c r="AQ234" s="35"/>
      <c r="AR234" s="35"/>
      <c r="BU234" s="20"/>
    </row>
    <row r="235" spans="5:73" x14ac:dyDescent="0.3">
      <c r="E235" s="37">
        <f t="shared" si="21"/>
        <v>45790</v>
      </c>
      <c r="F235" s="30">
        <f>_xll.CbondsStockAvgPrice($B$1,E235,$B$27)</f>
        <v>146.09</v>
      </c>
      <c r="G235" s="31">
        <f t="shared" si="18"/>
        <v>146.09</v>
      </c>
      <c r="H235" s="88">
        <f>IF(_xll.CbondsStockTradingVolume($B$1,E235,$B$27) &lt;&gt; "Нет данных",_xll.CbondsStockTradingVolume($B$1,E235,$B$27),"0")</f>
        <v>11717583178.4</v>
      </c>
      <c r="I235" s="88">
        <f>IF(_xll.CbondsStockDealsNumber($B$1,E235,$B$27) &lt;&gt; "Нет данных",_xll.CbondsStockDealsNumber($B$1,E235,$B$27),"0")</f>
        <v>102472</v>
      </c>
      <c r="K235" s="88">
        <f>_xll.CbondsIndexValue(VLOOKUP($K$1,'Help Page'!$Q:$S,3,0),Calculation!E235)</f>
        <v>19059.810000000001</v>
      </c>
      <c r="L235" s="88">
        <f t="shared" si="19"/>
        <v>19059.810000000001</v>
      </c>
      <c r="M235" s="88">
        <f>_xll.CbondsIndexValue(VLOOKUP($M$1,'Help Page'!$Q:$S,3,0),Calculation!E235)</f>
        <v>8041.72</v>
      </c>
      <c r="N235" s="88">
        <f t="shared" si="20"/>
        <v>8041.72</v>
      </c>
      <c r="AK235" s="35"/>
      <c r="AL235" s="35"/>
      <c r="AM235" s="35"/>
      <c r="AN235" s="35"/>
      <c r="AO235" s="35"/>
      <c r="AP235" s="35"/>
      <c r="AQ235" s="35"/>
      <c r="AR235" s="35"/>
      <c r="BU235" s="20"/>
    </row>
    <row r="236" spans="5:73" x14ac:dyDescent="0.3">
      <c r="E236" s="37">
        <f t="shared" si="21"/>
        <v>45789</v>
      </c>
      <c r="F236" s="30">
        <f>_xll.CbondsStockAvgPrice($B$1,E236,$B$27)</f>
        <v>146.69999999999999</v>
      </c>
      <c r="G236" s="31">
        <f t="shared" si="18"/>
        <v>146.69999999999999</v>
      </c>
      <c r="H236" s="88">
        <f>IF(_xll.CbondsStockTradingVolume($B$1,E236,$B$27) &lt;&gt; "Нет данных",_xll.CbondsStockTradingVolume($B$1,E236,$B$27),"0")</f>
        <v>30806473567.400002</v>
      </c>
      <c r="I236" s="88">
        <f>IF(_xll.CbondsStockDealsNumber($B$1,E236,$B$27) &lt;&gt; "Нет данных",_xll.CbondsStockDealsNumber($B$1,E236,$B$27),"0")</f>
        <v>259716</v>
      </c>
      <c r="K236" s="88">
        <f>_xll.CbondsIndexValue(VLOOKUP($K$1,'Help Page'!$Q:$S,3,0),Calculation!E236)</f>
        <v>19027.46</v>
      </c>
      <c r="L236" s="88">
        <f t="shared" si="19"/>
        <v>19027.46</v>
      </c>
      <c r="M236" s="88">
        <f>_xll.CbondsIndexValue(VLOOKUP($M$1,'Help Page'!$Q:$S,3,0),Calculation!E236)</f>
        <v>8049.37</v>
      </c>
      <c r="N236" s="88">
        <f t="shared" si="20"/>
        <v>8049.37</v>
      </c>
      <c r="AK236" s="35"/>
      <c r="AL236" s="35"/>
      <c r="AM236" s="35"/>
      <c r="AN236" s="35"/>
      <c r="AO236" s="35"/>
      <c r="AP236" s="35"/>
      <c r="AQ236" s="35"/>
      <c r="AR236" s="35"/>
      <c r="BU236" s="20"/>
    </row>
    <row r="237" spans="5:73" x14ac:dyDescent="0.3">
      <c r="E237" s="37">
        <f t="shared" si="21"/>
        <v>45788</v>
      </c>
      <c r="F237" s="30" t="str">
        <f>_xll.CbondsStockAvgPrice($B$1,E237,$B$27)</f>
        <v>Нет данных</v>
      </c>
      <c r="G237" s="31">
        <f t="shared" si="18"/>
        <v>142.66</v>
      </c>
      <c r="H237" s="88" t="str">
        <f>IF(_xll.CbondsStockTradingVolume($B$1,E237,$B$27) &lt;&gt; "Нет данных",_xll.CbondsStockTradingVolume($B$1,E237,$B$27),"0")</f>
        <v>0</v>
      </c>
      <c r="I237" s="88" t="str">
        <f>IF(_xll.CbondsStockDealsNumber($B$1,E237,$B$27) &lt;&gt; "Нет данных",_xll.CbondsStockDealsNumber($B$1,E237,$B$27),"0")</f>
        <v>0</v>
      </c>
      <c r="K237" s="88" t="str">
        <f>_xll.CbondsIndexValue(VLOOKUP($K$1,'Help Page'!$Q:$S,3,0),Calculation!E237)</f>
        <v>Нет данных</v>
      </c>
      <c r="L237" s="88">
        <f t="shared" si="19"/>
        <v>18502.48</v>
      </c>
      <c r="M237" s="88" t="str">
        <f>_xll.CbondsIndexValue(VLOOKUP($M$1,'Help Page'!$Q:$S,3,0),Calculation!E237)</f>
        <v>Нет данных</v>
      </c>
      <c r="N237" s="88">
        <f t="shared" si="20"/>
        <v>7832.99</v>
      </c>
      <c r="AK237" s="35"/>
      <c r="AL237" s="35"/>
      <c r="AM237" s="35"/>
      <c r="AN237" s="35"/>
      <c r="AO237" s="35"/>
      <c r="AP237" s="35"/>
      <c r="AQ237" s="35"/>
      <c r="AR237" s="35"/>
      <c r="BU237" s="20"/>
    </row>
    <row r="238" spans="5:73" x14ac:dyDescent="0.3">
      <c r="E238" s="37">
        <f t="shared" si="21"/>
        <v>45787</v>
      </c>
      <c r="F238" s="30" t="str">
        <f>_xll.CbondsStockAvgPrice($B$1,E238,$B$27)</f>
        <v>Нет данных</v>
      </c>
      <c r="G238" s="31">
        <f t="shared" si="18"/>
        <v>142.66</v>
      </c>
      <c r="H238" s="88" t="str">
        <f>IF(_xll.CbondsStockTradingVolume($B$1,E238,$B$27) &lt;&gt; "Нет данных",_xll.CbondsStockTradingVolume($B$1,E238,$B$27),"0")</f>
        <v>0</v>
      </c>
      <c r="I238" s="88" t="str">
        <f>IF(_xll.CbondsStockDealsNumber($B$1,E238,$B$27) &lt;&gt; "Нет данных",_xll.CbondsStockDealsNumber($B$1,E238,$B$27),"0")</f>
        <v>0</v>
      </c>
      <c r="K238" s="88" t="str">
        <f>_xll.CbondsIndexValue(VLOOKUP($K$1,'Help Page'!$Q:$S,3,0),Calculation!E238)</f>
        <v>Нет данных</v>
      </c>
      <c r="L238" s="88">
        <f t="shared" si="19"/>
        <v>18502.48</v>
      </c>
      <c r="M238" s="88" t="str">
        <f>_xll.CbondsIndexValue(VLOOKUP($M$1,'Help Page'!$Q:$S,3,0),Calculation!E238)</f>
        <v>Нет данных</v>
      </c>
      <c r="N238" s="88">
        <f t="shared" si="20"/>
        <v>7832.99</v>
      </c>
      <c r="AK238" s="35"/>
      <c r="AL238" s="35"/>
      <c r="AM238" s="35"/>
      <c r="AN238" s="35"/>
      <c r="AO238" s="35"/>
      <c r="AP238" s="35"/>
      <c r="AQ238" s="35"/>
      <c r="AR238" s="35"/>
      <c r="BU238" s="20"/>
    </row>
    <row r="239" spans="5:73" x14ac:dyDescent="0.3">
      <c r="E239" s="37">
        <f t="shared" si="21"/>
        <v>45786</v>
      </c>
      <c r="F239" s="30" t="str">
        <f>_xll.CbondsStockAvgPrice($B$1,E239,$B$27)</f>
        <v>Нет данных</v>
      </c>
      <c r="G239" s="31">
        <f t="shared" si="18"/>
        <v>142.66</v>
      </c>
      <c r="H239" s="88" t="str">
        <f>IF(_xll.CbondsStockTradingVolume($B$1,E239,$B$27) &lt;&gt; "Нет данных",_xll.CbondsStockTradingVolume($B$1,E239,$B$27),"0")</f>
        <v>0</v>
      </c>
      <c r="I239" s="88" t="str">
        <f>IF(_xll.CbondsStockDealsNumber($B$1,E239,$B$27) &lt;&gt; "Нет данных",_xll.CbondsStockDealsNumber($B$1,E239,$B$27),"0")</f>
        <v>0</v>
      </c>
      <c r="K239" s="88" t="str">
        <f>_xll.CbondsIndexValue(VLOOKUP($K$1,'Help Page'!$Q:$S,3,0),Calculation!E239)</f>
        <v>Нет данных</v>
      </c>
      <c r="L239" s="88">
        <f t="shared" si="19"/>
        <v>18502.48</v>
      </c>
      <c r="M239" s="88" t="str">
        <f>_xll.CbondsIndexValue(VLOOKUP($M$1,'Help Page'!$Q:$S,3,0),Calculation!E239)</f>
        <v>Нет данных</v>
      </c>
      <c r="N239" s="88">
        <f t="shared" si="20"/>
        <v>7832.99</v>
      </c>
      <c r="AK239" s="35"/>
      <c r="AL239" s="35"/>
      <c r="AM239" s="35"/>
      <c r="AN239" s="35"/>
      <c r="AO239" s="35"/>
      <c r="AP239" s="35"/>
      <c r="AQ239" s="35"/>
      <c r="AR239" s="35"/>
      <c r="BU239" s="20"/>
    </row>
    <row r="240" spans="5:73" x14ac:dyDescent="0.3">
      <c r="E240" s="37">
        <f t="shared" si="21"/>
        <v>45785</v>
      </c>
      <c r="F240" s="30">
        <f>_xll.CbondsStockAvgPrice($B$1,E240,$B$27)</f>
        <v>142.66</v>
      </c>
      <c r="G240" s="31">
        <f t="shared" si="18"/>
        <v>142.66</v>
      </c>
      <c r="H240" s="88">
        <f>IF(_xll.CbondsStockTradingVolume($B$1,E240,$B$27) &lt;&gt; "Нет данных",_xll.CbondsStockTradingVolume($B$1,E240,$B$27),"0")</f>
        <v>20801527313.900002</v>
      </c>
      <c r="I240" s="88">
        <f>IF(_xll.CbondsStockDealsNumber($B$1,E240,$B$27) &lt;&gt; "Нет данных",_xll.CbondsStockDealsNumber($B$1,E240,$B$27),"0")</f>
        <v>168365</v>
      </c>
      <c r="K240" s="88">
        <f>_xll.CbondsIndexValue(VLOOKUP($K$1,'Help Page'!$Q:$S,3,0),Calculation!E240)</f>
        <v>18502.48</v>
      </c>
      <c r="L240" s="88">
        <f t="shared" si="19"/>
        <v>18502.48</v>
      </c>
      <c r="M240" s="88">
        <f>_xll.CbondsIndexValue(VLOOKUP($M$1,'Help Page'!$Q:$S,3,0),Calculation!E240)</f>
        <v>7832.99</v>
      </c>
      <c r="N240" s="88">
        <f t="shared" si="20"/>
        <v>7832.99</v>
      </c>
      <c r="AK240" s="35"/>
      <c r="AL240" s="35"/>
      <c r="AM240" s="35"/>
      <c r="AN240" s="35"/>
      <c r="AO240" s="35"/>
      <c r="AP240" s="35"/>
      <c r="AQ240" s="35"/>
      <c r="AR240" s="35"/>
      <c r="BU240" s="20"/>
    </row>
    <row r="241" spans="5:73" x14ac:dyDescent="0.3">
      <c r="E241" s="37">
        <f t="shared" si="21"/>
        <v>45784</v>
      </c>
      <c r="F241" s="30">
        <f>_xll.CbondsStockAvgPrice($B$1,E241,$B$27)</f>
        <v>138.76</v>
      </c>
      <c r="G241" s="31">
        <f t="shared" si="18"/>
        <v>138.76</v>
      </c>
      <c r="H241" s="88">
        <f>IF(_xll.CbondsStockTradingVolume($B$1,E241,$B$27) &lt;&gt; "Нет данных",_xll.CbondsStockTradingVolume($B$1,E241,$B$27),"0")</f>
        <v>15677343438.9</v>
      </c>
      <c r="I241" s="88">
        <f>IF(_xll.CbondsStockDealsNumber($B$1,E241,$B$27) &lt;&gt; "Нет данных",_xll.CbondsStockDealsNumber($B$1,E241,$B$27),"0")</f>
        <v>133831</v>
      </c>
      <c r="K241" s="88">
        <f>_xll.CbondsIndexValue(VLOOKUP($K$1,'Help Page'!$Q:$S,3,0),Calculation!E241)</f>
        <v>18367.080000000002</v>
      </c>
      <c r="L241" s="88">
        <f t="shared" si="19"/>
        <v>18367.080000000002</v>
      </c>
      <c r="M241" s="88">
        <f>_xll.CbondsIndexValue(VLOOKUP($M$1,'Help Page'!$Q:$S,3,0),Calculation!E241)</f>
        <v>7753.92</v>
      </c>
      <c r="N241" s="88">
        <f t="shared" si="20"/>
        <v>7753.92</v>
      </c>
      <c r="AK241" s="35"/>
      <c r="AL241" s="35"/>
      <c r="AM241" s="35"/>
      <c r="AN241" s="35"/>
      <c r="AO241" s="35"/>
      <c r="AP241" s="35"/>
      <c r="AQ241" s="35"/>
      <c r="AR241" s="35"/>
      <c r="BU241" s="20"/>
    </row>
    <row r="242" spans="5:73" x14ac:dyDescent="0.3">
      <c r="E242" s="37">
        <f t="shared" si="21"/>
        <v>45783</v>
      </c>
      <c r="F242" s="30">
        <f>_xll.CbondsStockAvgPrice($B$1,E242,$B$27)</f>
        <v>136.82</v>
      </c>
      <c r="G242" s="31">
        <f t="shared" si="18"/>
        <v>136.82</v>
      </c>
      <c r="H242" s="88">
        <f>IF(_xll.CbondsStockTradingVolume($B$1,E242,$B$27) &lt;&gt; "Нет данных",_xll.CbondsStockTradingVolume($B$1,E242,$B$27),"0")</f>
        <v>28033854368.700001</v>
      </c>
      <c r="I242" s="88">
        <f>IF(_xll.CbondsStockDealsNumber($B$1,E242,$B$27) &lt;&gt; "Нет данных",_xll.CbondsStockDealsNumber($B$1,E242,$B$27),"0")</f>
        <v>255969</v>
      </c>
      <c r="K242" s="88">
        <f>_xll.CbondsIndexValue(VLOOKUP($K$1,'Help Page'!$Q:$S,3,0),Calculation!E242)</f>
        <v>18291.23</v>
      </c>
      <c r="L242" s="88">
        <f t="shared" si="19"/>
        <v>18291.23</v>
      </c>
      <c r="M242" s="88">
        <f>_xll.CbondsIndexValue(VLOOKUP($M$1,'Help Page'!$Q:$S,3,0),Calculation!E242)</f>
        <v>7689.79</v>
      </c>
      <c r="N242" s="88">
        <f t="shared" si="20"/>
        <v>7689.79</v>
      </c>
      <c r="AK242" s="35"/>
      <c r="AL242" s="35"/>
      <c r="AM242" s="35"/>
      <c r="AN242" s="35"/>
      <c r="AO242" s="35"/>
      <c r="AP242" s="35"/>
      <c r="AQ242" s="35"/>
      <c r="AR242" s="35"/>
      <c r="BU242" s="20"/>
    </row>
    <row r="243" spans="5:73" x14ac:dyDescent="0.3">
      <c r="E243" s="37">
        <f t="shared" si="21"/>
        <v>45782</v>
      </c>
      <c r="F243" s="30">
        <f>_xll.CbondsStockAvgPrice($B$1,E243,$B$27)</f>
        <v>137.19999999999999</v>
      </c>
      <c r="G243" s="31">
        <f t="shared" si="18"/>
        <v>137.19999999999999</v>
      </c>
      <c r="H243" s="88">
        <f>IF(_xll.CbondsStockTradingVolume($B$1,E243,$B$27) &lt;&gt; "Нет данных",_xll.CbondsStockTradingVolume($B$1,E243,$B$27),"0")</f>
        <v>30374133807.599998</v>
      </c>
      <c r="I243" s="88">
        <f>IF(_xll.CbondsStockDealsNumber($B$1,E243,$B$27) &lt;&gt; "Нет данных",_xll.CbondsStockDealsNumber($B$1,E243,$B$27),"0")</f>
        <v>327670</v>
      </c>
      <c r="K243" s="88">
        <f>_xll.CbondsIndexValue(VLOOKUP($K$1,'Help Page'!$Q:$S,3,0),Calculation!E243)</f>
        <v>17739.080000000002</v>
      </c>
      <c r="L243" s="88">
        <f t="shared" si="19"/>
        <v>17739.080000000002</v>
      </c>
      <c r="M243" s="88">
        <f>_xll.CbondsIndexValue(VLOOKUP($M$1,'Help Page'!$Q:$S,3,0),Calculation!E243)</f>
        <v>7489.82</v>
      </c>
      <c r="N243" s="88">
        <f t="shared" si="20"/>
        <v>7489.82</v>
      </c>
      <c r="AK243" s="35"/>
      <c r="AL243" s="35"/>
      <c r="AM243" s="35"/>
      <c r="AN243" s="35"/>
      <c r="AO243" s="35"/>
      <c r="AP243" s="35"/>
      <c r="AQ243" s="35"/>
      <c r="AR243" s="35"/>
      <c r="BU243" s="20"/>
    </row>
    <row r="244" spans="5:73" x14ac:dyDescent="0.3">
      <c r="E244" s="37">
        <f t="shared" si="21"/>
        <v>45781</v>
      </c>
      <c r="F244" s="30" t="str">
        <f>_xll.CbondsStockAvgPrice($B$1,E244,$B$27)</f>
        <v>Нет данных</v>
      </c>
      <c r="G244" s="31">
        <f t="shared" si="18"/>
        <v>144.25</v>
      </c>
      <c r="H244" s="88" t="str">
        <f>IF(_xll.CbondsStockTradingVolume($B$1,E244,$B$27) &lt;&gt; "Нет данных",_xll.CbondsStockTradingVolume($B$1,E244,$B$27),"0")</f>
        <v>0</v>
      </c>
      <c r="I244" s="88" t="str">
        <f>IF(_xll.CbondsStockDealsNumber($B$1,E244,$B$27) &lt;&gt; "Нет данных",_xll.CbondsStockDealsNumber($B$1,E244,$B$27),"0")</f>
        <v>0</v>
      </c>
      <c r="K244" s="88" t="str">
        <f>_xll.CbondsIndexValue(VLOOKUP($K$1,'Help Page'!$Q:$S,3,0),Calculation!E244)</f>
        <v>Нет данных</v>
      </c>
      <c r="L244" s="88">
        <f t="shared" si="19"/>
        <v>18407.25</v>
      </c>
      <c r="M244" s="88" t="str">
        <f>_xll.CbondsIndexValue(VLOOKUP($M$1,'Help Page'!$Q:$S,3,0),Calculation!E244)</f>
        <v>Нет данных</v>
      </c>
      <c r="N244" s="88">
        <f t="shared" si="20"/>
        <v>7810.42</v>
      </c>
      <c r="AK244" s="35"/>
      <c r="AL244" s="35"/>
      <c r="AM244" s="35"/>
      <c r="AN244" s="35"/>
      <c r="AO244" s="35"/>
      <c r="AP244" s="35"/>
      <c r="AQ244" s="35"/>
      <c r="AR244" s="35"/>
      <c r="BU244" s="20"/>
    </row>
    <row r="245" spans="5:73" x14ac:dyDescent="0.3">
      <c r="E245" s="37">
        <f t="shared" si="21"/>
        <v>45780</v>
      </c>
      <c r="F245" s="30" t="str">
        <f>_xll.CbondsStockAvgPrice($B$1,E245,$B$27)</f>
        <v>Нет данных</v>
      </c>
      <c r="G245" s="31">
        <f t="shared" si="18"/>
        <v>144.25</v>
      </c>
      <c r="H245" s="88" t="str">
        <f>IF(_xll.CbondsStockTradingVolume($B$1,E245,$B$27) &lt;&gt; "Нет данных",_xll.CbondsStockTradingVolume($B$1,E245,$B$27),"0")</f>
        <v>0</v>
      </c>
      <c r="I245" s="88" t="str">
        <f>IF(_xll.CbondsStockDealsNumber($B$1,E245,$B$27) &lt;&gt; "Нет данных",_xll.CbondsStockDealsNumber($B$1,E245,$B$27),"0")</f>
        <v>0</v>
      </c>
      <c r="K245" s="88" t="str">
        <f>_xll.CbondsIndexValue(VLOOKUP($K$1,'Help Page'!$Q:$S,3,0),Calculation!E245)</f>
        <v>Нет данных</v>
      </c>
      <c r="L245" s="88">
        <f t="shared" si="19"/>
        <v>18407.25</v>
      </c>
      <c r="M245" s="88" t="str">
        <f>_xll.CbondsIndexValue(VLOOKUP($M$1,'Help Page'!$Q:$S,3,0),Calculation!E245)</f>
        <v>Нет данных</v>
      </c>
      <c r="N245" s="88">
        <f t="shared" si="20"/>
        <v>7810.42</v>
      </c>
      <c r="AK245" s="35"/>
      <c r="AL245" s="35"/>
      <c r="AM245" s="35"/>
      <c r="AN245" s="35"/>
      <c r="AO245" s="35"/>
      <c r="AP245" s="35"/>
      <c r="AQ245" s="35"/>
      <c r="AR245" s="35"/>
      <c r="BU245" s="20"/>
    </row>
    <row r="246" spans="5:73" x14ac:dyDescent="0.3">
      <c r="E246" s="37">
        <f t="shared" si="21"/>
        <v>45779</v>
      </c>
      <c r="F246" s="30">
        <f>_xll.CbondsStockAvgPrice($B$1,E246,$B$27)</f>
        <v>144.25</v>
      </c>
      <c r="G246" s="31">
        <f t="shared" si="18"/>
        <v>144.25</v>
      </c>
      <c r="H246" s="88">
        <f>IF(_xll.CbondsStockTradingVolume($B$1,E246,$B$27) &lt;&gt; "Нет данных",_xll.CbondsStockTradingVolume($B$1,E246,$B$27),"0")</f>
        <v>15268309779.1</v>
      </c>
      <c r="I246" s="88">
        <f>IF(_xll.CbondsStockDealsNumber($B$1,E246,$B$27) &lt;&gt; "Нет данных",_xll.CbondsStockDealsNumber($B$1,E246,$B$27),"0")</f>
        <v>157499</v>
      </c>
      <c r="K246" s="88">
        <f>_xll.CbondsIndexValue(VLOOKUP($K$1,'Help Page'!$Q:$S,3,0),Calculation!E246)</f>
        <v>18407.25</v>
      </c>
      <c r="L246" s="88">
        <f t="shared" si="19"/>
        <v>18407.25</v>
      </c>
      <c r="M246" s="88">
        <f>_xll.CbondsIndexValue(VLOOKUP($M$1,'Help Page'!$Q:$S,3,0),Calculation!E246)</f>
        <v>7810.42</v>
      </c>
      <c r="N246" s="88">
        <f t="shared" si="20"/>
        <v>7810.42</v>
      </c>
      <c r="AK246" s="35"/>
      <c r="AL246" s="35"/>
      <c r="AM246" s="35"/>
      <c r="AN246" s="35"/>
      <c r="AO246" s="35"/>
      <c r="AP246" s="35"/>
      <c r="AQ246" s="35"/>
      <c r="AR246" s="35"/>
      <c r="BU246" s="20"/>
    </row>
    <row r="247" spans="5:73" x14ac:dyDescent="0.3">
      <c r="E247" s="37">
        <f t="shared" si="21"/>
        <v>45778</v>
      </c>
      <c r="F247" s="30" t="str">
        <f>_xll.CbondsStockAvgPrice($B$1,E247,$B$27)</f>
        <v>Нет данных</v>
      </c>
      <c r="G247" s="31">
        <f t="shared" si="18"/>
        <v>150.56</v>
      </c>
      <c r="H247" s="88" t="str">
        <f>IF(_xll.CbondsStockTradingVolume($B$1,E247,$B$27) &lt;&gt; "Нет данных",_xll.CbondsStockTradingVolume($B$1,E247,$B$27),"0")</f>
        <v>0</v>
      </c>
      <c r="I247" s="88" t="str">
        <f>IF(_xll.CbondsStockDealsNumber($B$1,E247,$B$27) &lt;&gt; "Нет данных",_xll.CbondsStockDealsNumber($B$1,E247,$B$27),"0")</f>
        <v>0</v>
      </c>
      <c r="K247" s="88" t="str">
        <f>_xll.CbondsIndexValue(VLOOKUP($K$1,'Help Page'!$Q:$S,3,0),Calculation!E247)</f>
        <v>Нет данных</v>
      </c>
      <c r="L247" s="88">
        <f t="shared" si="19"/>
        <v>18983.77</v>
      </c>
      <c r="M247" s="88" t="str">
        <f>_xll.CbondsIndexValue(VLOOKUP($M$1,'Help Page'!$Q:$S,3,0),Calculation!E247)</f>
        <v>Нет данных</v>
      </c>
      <c r="N247" s="88">
        <f t="shared" si="20"/>
        <v>8035.19</v>
      </c>
      <c r="AK247" s="35"/>
      <c r="AL247" s="35"/>
      <c r="AM247" s="35"/>
      <c r="AN247" s="35"/>
      <c r="AO247" s="35"/>
      <c r="AP247" s="35"/>
      <c r="AQ247" s="35"/>
      <c r="AR247" s="35"/>
      <c r="BU247" s="20"/>
    </row>
    <row r="248" spans="5:73" x14ac:dyDescent="0.3">
      <c r="E248" s="37">
        <f t="shared" si="21"/>
        <v>45777</v>
      </c>
      <c r="F248" s="30">
        <f>_xll.CbondsStockAvgPrice($B$1,E248,$B$27)</f>
        <v>150.56</v>
      </c>
      <c r="G248" s="31">
        <f t="shared" si="18"/>
        <v>150.56</v>
      </c>
      <c r="H248" s="88">
        <f>IF(_xll.CbondsStockTradingVolume($B$1,E248,$B$27) &lt;&gt; "Нет данных",_xll.CbondsStockTradingVolume($B$1,E248,$B$27),"0")</f>
        <v>30563699524.5</v>
      </c>
      <c r="I248" s="88">
        <f>IF(_xll.CbondsStockDealsNumber($B$1,E248,$B$27) &lt;&gt; "Нет данных",_xll.CbondsStockDealsNumber($B$1,E248,$B$27),"0")</f>
        <v>276083</v>
      </c>
      <c r="K248" s="88">
        <f>_xll.CbondsIndexValue(VLOOKUP($K$1,'Help Page'!$Q:$S,3,0),Calculation!E248)</f>
        <v>18983.77</v>
      </c>
      <c r="L248" s="88">
        <f t="shared" si="19"/>
        <v>18983.77</v>
      </c>
      <c r="M248" s="88">
        <f>_xll.CbondsIndexValue(VLOOKUP($M$1,'Help Page'!$Q:$S,3,0),Calculation!E248)</f>
        <v>8035.19</v>
      </c>
      <c r="N248" s="88">
        <f t="shared" si="20"/>
        <v>8035.19</v>
      </c>
      <c r="AK248" s="35"/>
      <c r="AL248" s="35"/>
      <c r="AM248" s="35"/>
      <c r="AN248" s="35"/>
      <c r="AO248" s="35"/>
      <c r="AP248" s="35"/>
      <c r="AQ248" s="35"/>
      <c r="AR248" s="35"/>
      <c r="BU248" s="20"/>
    </row>
    <row r="249" spans="5:73" x14ac:dyDescent="0.3">
      <c r="E249" s="37">
        <f t="shared" si="21"/>
        <v>45776</v>
      </c>
      <c r="F249" s="30">
        <f>_xll.CbondsStockAvgPrice($B$1,E249,$B$27)</f>
        <v>151.52000000000001</v>
      </c>
      <c r="G249" s="31">
        <f t="shared" si="18"/>
        <v>151.52000000000001</v>
      </c>
      <c r="H249" s="88">
        <f>IF(_xll.CbondsStockTradingVolume($B$1,E249,$B$27) &lt;&gt; "Нет данных",_xll.CbondsStockTradingVolume($B$1,E249,$B$27),"0")</f>
        <v>20053070594.599998</v>
      </c>
      <c r="I249" s="88">
        <f>IF(_xll.CbondsStockDealsNumber($B$1,E249,$B$27) &lt;&gt; "Нет данных",_xll.CbondsStockDealsNumber($B$1,E249,$B$27),"0")</f>
        <v>184973</v>
      </c>
      <c r="K249" s="88">
        <f>_xll.CbondsIndexValue(VLOOKUP($K$1,'Help Page'!$Q:$S,3,0),Calculation!E249)</f>
        <v>19242</v>
      </c>
      <c r="L249" s="88">
        <f t="shared" si="19"/>
        <v>19242</v>
      </c>
      <c r="M249" s="88">
        <f>_xll.CbondsIndexValue(VLOOKUP($M$1,'Help Page'!$Q:$S,3,0),Calculation!E249)</f>
        <v>8149.9</v>
      </c>
      <c r="N249" s="88">
        <f t="shared" si="20"/>
        <v>8149.9</v>
      </c>
      <c r="AK249" s="35"/>
      <c r="AL249" s="35"/>
      <c r="AM249" s="35"/>
      <c r="AN249" s="35"/>
      <c r="AO249" s="35"/>
      <c r="AP249" s="35"/>
      <c r="AQ249" s="35"/>
      <c r="AR249" s="35"/>
      <c r="BU249" s="20"/>
    </row>
    <row r="250" spans="5:73" x14ac:dyDescent="0.3">
      <c r="E250" s="37">
        <f t="shared" si="21"/>
        <v>45775</v>
      </c>
      <c r="F250" s="30">
        <f>_xll.CbondsStockAvgPrice($B$1,E250,$B$27)</f>
        <v>153.22</v>
      </c>
      <c r="G250" s="31">
        <f t="shared" si="18"/>
        <v>153.22</v>
      </c>
      <c r="H250" s="88">
        <f>IF(_xll.CbondsStockTradingVolume($B$1,E250,$B$27) &lt;&gt; "Нет данных",_xll.CbondsStockTradingVolume($B$1,E250,$B$27),"0")</f>
        <v>42374946017</v>
      </c>
      <c r="I250" s="88">
        <f>IF(_xll.CbondsStockDealsNumber($B$1,E250,$B$27) &lt;&gt; "Нет данных",_xll.CbondsStockDealsNumber($B$1,E250,$B$27),"0")</f>
        <v>357175</v>
      </c>
      <c r="K250" s="88">
        <f>_xll.CbondsIndexValue(VLOOKUP($K$1,'Help Page'!$Q:$S,3,0),Calculation!E250)</f>
        <v>19747.330000000002</v>
      </c>
      <c r="L250" s="88">
        <f t="shared" si="19"/>
        <v>19747.330000000002</v>
      </c>
      <c r="M250" s="88">
        <f>_xll.CbondsIndexValue(VLOOKUP($M$1,'Help Page'!$Q:$S,3,0),Calculation!E250)</f>
        <v>8370.94</v>
      </c>
      <c r="N250" s="88">
        <f t="shared" si="20"/>
        <v>8370.94</v>
      </c>
      <c r="AK250" s="35"/>
      <c r="AL250" s="35"/>
      <c r="AM250" s="35"/>
      <c r="AN250" s="35"/>
      <c r="AO250" s="35"/>
      <c r="AP250" s="35"/>
      <c r="AQ250" s="35"/>
      <c r="AR250" s="35"/>
      <c r="BU250" s="20"/>
    </row>
    <row r="251" spans="5:73" x14ac:dyDescent="0.3">
      <c r="E251" s="37">
        <f t="shared" si="21"/>
        <v>45774</v>
      </c>
      <c r="F251" s="30" t="str">
        <f>_xll.CbondsStockAvgPrice($B$1,E251,$B$27)</f>
        <v>Нет данных</v>
      </c>
      <c r="G251" s="31">
        <f t="shared" si="18"/>
        <v>148.32</v>
      </c>
      <c r="H251" s="88" t="str">
        <f>IF(_xll.CbondsStockTradingVolume($B$1,E251,$B$27) &lt;&gt; "Нет данных",_xll.CbondsStockTradingVolume($B$1,E251,$B$27),"0")</f>
        <v>0</v>
      </c>
      <c r="I251" s="88" t="str">
        <f>IF(_xll.CbondsStockDealsNumber($B$1,E251,$B$27) &lt;&gt; "Нет данных",_xll.CbondsStockDealsNumber($B$1,E251,$B$27),"0")</f>
        <v>0</v>
      </c>
      <c r="K251" s="88" t="str">
        <f>_xll.CbondsIndexValue(VLOOKUP($K$1,'Help Page'!$Q:$S,3,0),Calculation!E251)</f>
        <v>Нет данных</v>
      </c>
      <c r="L251" s="88">
        <f t="shared" si="19"/>
        <v>19590.560000000001</v>
      </c>
      <c r="M251" s="88" t="str">
        <f>_xll.CbondsIndexValue(VLOOKUP($M$1,'Help Page'!$Q:$S,3,0),Calculation!E251)</f>
        <v>Нет данных</v>
      </c>
      <c r="N251" s="88">
        <f t="shared" si="20"/>
        <v>8326.67</v>
      </c>
      <c r="AK251" s="35"/>
      <c r="AL251" s="35"/>
      <c r="AM251" s="35"/>
      <c r="AN251" s="35"/>
      <c r="AO251" s="35"/>
      <c r="AP251" s="35"/>
      <c r="AQ251" s="35"/>
      <c r="AR251" s="35"/>
      <c r="BU251" s="20"/>
    </row>
    <row r="252" spans="5:73" x14ac:dyDescent="0.3">
      <c r="E252" s="37">
        <f t="shared" si="21"/>
        <v>45773</v>
      </c>
      <c r="F252" s="30" t="str">
        <f>_xll.CbondsStockAvgPrice($B$1,E252,$B$27)</f>
        <v>Нет данных</v>
      </c>
      <c r="G252" s="31">
        <f t="shared" si="18"/>
        <v>148.32</v>
      </c>
      <c r="H252" s="88" t="str">
        <f>IF(_xll.CbondsStockTradingVolume($B$1,E252,$B$27) &lt;&gt; "Нет данных",_xll.CbondsStockTradingVolume($B$1,E252,$B$27),"0")</f>
        <v>0</v>
      </c>
      <c r="I252" s="88" t="str">
        <f>IF(_xll.CbondsStockDealsNumber($B$1,E252,$B$27) &lt;&gt; "Нет данных",_xll.CbondsStockDealsNumber($B$1,E252,$B$27),"0")</f>
        <v>0</v>
      </c>
      <c r="K252" s="88" t="str">
        <f>_xll.CbondsIndexValue(VLOOKUP($K$1,'Help Page'!$Q:$S,3,0),Calculation!E252)</f>
        <v>Нет данных</v>
      </c>
      <c r="L252" s="88">
        <f t="shared" si="19"/>
        <v>19590.560000000001</v>
      </c>
      <c r="M252" s="88" t="str">
        <f>_xll.CbondsIndexValue(VLOOKUP($M$1,'Help Page'!$Q:$S,3,0),Calculation!E252)</f>
        <v>Нет данных</v>
      </c>
      <c r="N252" s="88">
        <f t="shared" si="20"/>
        <v>8326.67</v>
      </c>
      <c r="AK252" s="35"/>
      <c r="AL252" s="35"/>
      <c r="AM252" s="35"/>
      <c r="AN252" s="35"/>
      <c r="AO252" s="35"/>
      <c r="AP252" s="35"/>
      <c r="AQ252" s="35"/>
      <c r="AR252" s="35"/>
      <c r="BU252" s="20"/>
    </row>
    <row r="253" spans="5:73" x14ac:dyDescent="0.3">
      <c r="E253" s="37">
        <f t="shared" si="21"/>
        <v>45772</v>
      </c>
      <c r="F253" s="30">
        <f>_xll.CbondsStockAvgPrice($B$1,E253,$B$27)</f>
        <v>148.32</v>
      </c>
      <c r="G253" s="31">
        <f t="shared" si="18"/>
        <v>148.32</v>
      </c>
      <c r="H253" s="88">
        <f>IF(_xll.CbondsStockTradingVolume($B$1,E253,$B$27) &lt;&gt; "Нет данных",_xll.CbondsStockTradingVolume($B$1,E253,$B$27),"0")</f>
        <v>25314277255.900002</v>
      </c>
      <c r="I253" s="88">
        <f>IF(_xll.CbondsStockDealsNumber($B$1,E253,$B$27) &lt;&gt; "Нет данных",_xll.CbondsStockDealsNumber($B$1,E253,$B$27),"0")</f>
        <v>213707</v>
      </c>
      <c r="K253" s="88">
        <f>_xll.CbondsIndexValue(VLOOKUP($K$1,'Help Page'!$Q:$S,3,0),Calculation!E253)</f>
        <v>19590.560000000001</v>
      </c>
      <c r="L253" s="88">
        <f t="shared" si="19"/>
        <v>19590.560000000001</v>
      </c>
      <c r="M253" s="88">
        <f>_xll.CbondsIndexValue(VLOOKUP($M$1,'Help Page'!$Q:$S,3,0),Calculation!E253)</f>
        <v>8326.67</v>
      </c>
      <c r="N253" s="88">
        <f t="shared" si="20"/>
        <v>8326.67</v>
      </c>
      <c r="AK253" s="35"/>
      <c r="AL253" s="35"/>
      <c r="AM253" s="35"/>
      <c r="AN253" s="35"/>
      <c r="AO253" s="35"/>
      <c r="AP253" s="35"/>
      <c r="AQ253" s="35"/>
      <c r="AR253" s="35"/>
      <c r="BU253" s="20"/>
    </row>
    <row r="254" spans="5:73" x14ac:dyDescent="0.3">
      <c r="E254" s="37">
        <f t="shared" si="21"/>
        <v>45771</v>
      </c>
      <c r="F254" s="30">
        <f>_xll.CbondsStockAvgPrice($B$1,E254,$B$27)</f>
        <v>144.93</v>
      </c>
      <c r="G254" s="31">
        <f t="shared" si="18"/>
        <v>144.93</v>
      </c>
      <c r="H254" s="88">
        <f>IF(_xll.CbondsStockTradingVolume($B$1,E254,$B$27) &lt;&gt; "Нет данных",_xll.CbondsStockTradingVolume($B$1,E254,$B$27),"0")</f>
        <v>15252321623.1</v>
      </c>
      <c r="I254" s="88">
        <f>IF(_xll.CbondsStockDealsNumber($B$1,E254,$B$27) &lt;&gt; "Нет данных",_xll.CbondsStockDealsNumber($B$1,E254,$B$27),"0")</f>
        <v>126761</v>
      </c>
      <c r="K254" s="88">
        <f>_xll.CbondsIndexValue(VLOOKUP($K$1,'Help Page'!$Q:$S,3,0),Calculation!E254)</f>
        <v>19162.82</v>
      </c>
      <c r="L254" s="88">
        <f t="shared" si="19"/>
        <v>19162.82</v>
      </c>
      <c r="M254" s="88">
        <f>_xll.CbondsIndexValue(VLOOKUP($M$1,'Help Page'!$Q:$S,3,0),Calculation!E254)</f>
        <v>8112.19</v>
      </c>
      <c r="N254" s="88">
        <f t="shared" si="20"/>
        <v>8112.19</v>
      </c>
      <c r="AK254" s="35"/>
      <c r="AL254" s="35"/>
      <c r="AM254" s="35"/>
      <c r="AN254" s="35"/>
      <c r="AO254" s="35"/>
      <c r="AP254" s="35"/>
      <c r="AQ254" s="35"/>
      <c r="AR254" s="35"/>
      <c r="BU254" s="20"/>
    </row>
    <row r="255" spans="5:73" x14ac:dyDescent="0.3">
      <c r="E255" s="37">
        <f t="shared" si="21"/>
        <v>45770</v>
      </c>
      <c r="F255" s="30">
        <f>_xll.CbondsStockAvgPrice($B$1,E255,$B$27)</f>
        <v>142.08000000000001</v>
      </c>
      <c r="G255" s="31">
        <f t="shared" si="18"/>
        <v>142.08000000000001</v>
      </c>
      <c r="H255" s="88">
        <f>IF(_xll.CbondsStockTradingVolume($B$1,E255,$B$27) &lt;&gt; "Нет данных",_xll.CbondsStockTradingVolume($B$1,E255,$B$27),"0")</f>
        <v>28191171435.700001</v>
      </c>
      <c r="I255" s="88">
        <f>IF(_xll.CbondsStockDealsNumber($B$1,E255,$B$27) &lt;&gt; "Нет данных",_xll.CbondsStockDealsNumber($B$1,E255,$B$27),"0")</f>
        <v>221605</v>
      </c>
      <c r="K255" s="88">
        <f>_xll.CbondsIndexValue(VLOOKUP($K$1,'Help Page'!$Q:$S,3,0),Calculation!E255)</f>
        <v>19158.310000000001</v>
      </c>
      <c r="L255" s="88">
        <f t="shared" si="19"/>
        <v>19158.310000000001</v>
      </c>
      <c r="M255" s="88">
        <f>_xll.CbondsIndexValue(VLOOKUP($M$1,'Help Page'!$Q:$S,3,0),Calculation!E255)</f>
        <v>8112.2</v>
      </c>
      <c r="N255" s="88">
        <f t="shared" si="20"/>
        <v>8112.2</v>
      </c>
      <c r="AK255" s="35"/>
      <c r="AL255" s="35"/>
      <c r="AM255" s="35"/>
      <c r="AN255" s="35"/>
      <c r="AO255" s="35"/>
      <c r="AP255" s="35"/>
      <c r="AQ255" s="35"/>
      <c r="AR255" s="35"/>
      <c r="BU255" s="20"/>
    </row>
    <row r="256" spans="5:73" x14ac:dyDescent="0.3">
      <c r="E256" s="37">
        <f t="shared" si="21"/>
        <v>45769</v>
      </c>
      <c r="F256" s="30">
        <f>_xll.CbondsStockAvgPrice($B$1,E256,$B$27)</f>
        <v>142.63999999999999</v>
      </c>
      <c r="G256" s="31">
        <f t="shared" si="18"/>
        <v>142.63999999999999</v>
      </c>
      <c r="H256" s="88">
        <f>IF(_xll.CbondsStockTradingVolume($B$1,E256,$B$27) &lt;&gt; "Нет данных",_xll.CbondsStockTradingVolume($B$1,E256,$B$27),"0")</f>
        <v>25994138520.799999</v>
      </c>
      <c r="I256" s="88">
        <f>IF(_xll.CbondsStockDealsNumber($B$1,E256,$B$27) &lt;&gt; "Нет данных",_xll.CbondsStockDealsNumber($B$1,E256,$B$27),"0")</f>
        <v>205887</v>
      </c>
      <c r="K256" s="88">
        <f>_xll.CbondsIndexValue(VLOOKUP($K$1,'Help Page'!$Q:$S,3,0),Calculation!E256)</f>
        <v>19247.63</v>
      </c>
      <c r="L256" s="88">
        <f t="shared" si="19"/>
        <v>19247.63</v>
      </c>
      <c r="M256" s="88">
        <f>_xll.CbondsIndexValue(VLOOKUP($M$1,'Help Page'!$Q:$S,3,0),Calculation!E256)</f>
        <v>8152.67</v>
      </c>
      <c r="N256" s="88">
        <f t="shared" si="20"/>
        <v>8152.67</v>
      </c>
      <c r="AK256" s="35"/>
      <c r="AL256" s="35"/>
      <c r="AM256" s="35"/>
      <c r="AN256" s="35"/>
      <c r="AO256" s="35"/>
      <c r="AP256" s="35"/>
      <c r="AQ256" s="35"/>
      <c r="AR256" s="35"/>
      <c r="BU256" s="20"/>
    </row>
    <row r="257" spans="5:73" x14ac:dyDescent="0.3">
      <c r="E257" s="37">
        <f t="shared" si="21"/>
        <v>45768</v>
      </c>
      <c r="F257" s="30">
        <f>_xll.CbondsStockAvgPrice($B$1,E257,$B$27)</f>
        <v>137.99</v>
      </c>
      <c r="G257" s="31">
        <f t="shared" si="18"/>
        <v>137.99</v>
      </c>
      <c r="H257" s="88">
        <f>IF(_xll.CbondsStockTradingVolume($B$1,E257,$B$27) &lt;&gt; "Нет данных",_xll.CbondsStockTradingVolume($B$1,E257,$B$27),"0")</f>
        <v>13169660086.1</v>
      </c>
      <c r="I257" s="88">
        <f>IF(_xll.CbondsStockDealsNumber($B$1,E257,$B$27) &lt;&gt; "Нет данных",_xll.CbondsStockDealsNumber($B$1,E257,$B$27),"0")</f>
        <v>162723</v>
      </c>
      <c r="K257" s="88">
        <f>_xll.CbondsIndexValue(VLOOKUP($K$1,'Help Page'!$Q:$S,3,0),Calculation!E257)</f>
        <v>19054.009999999998</v>
      </c>
      <c r="L257" s="88">
        <f t="shared" si="19"/>
        <v>19054.009999999998</v>
      </c>
      <c r="M257" s="88">
        <f>_xll.CbondsIndexValue(VLOOKUP($M$1,'Help Page'!$Q:$S,3,0),Calculation!E257)</f>
        <v>8090.52</v>
      </c>
      <c r="N257" s="88">
        <f t="shared" si="20"/>
        <v>8090.52</v>
      </c>
      <c r="AK257" s="35"/>
      <c r="AL257" s="35"/>
      <c r="AM257" s="35"/>
      <c r="AN257" s="35"/>
      <c r="AO257" s="35"/>
      <c r="AP257" s="35"/>
      <c r="AQ257" s="35"/>
      <c r="AR257" s="35"/>
      <c r="BU257" s="20"/>
    </row>
    <row r="258" spans="5:73" x14ac:dyDescent="0.3">
      <c r="E258" s="37">
        <f t="shared" si="21"/>
        <v>45767</v>
      </c>
      <c r="F258" s="30" t="str">
        <f>_xll.CbondsStockAvgPrice($B$1,E258,$B$27)</f>
        <v>Нет данных</v>
      </c>
      <c r="G258" s="31">
        <f t="shared" si="18"/>
        <v>134.71</v>
      </c>
      <c r="H258" s="88" t="str">
        <f>IF(_xll.CbondsStockTradingVolume($B$1,E258,$B$27) &lt;&gt; "Нет данных",_xll.CbondsStockTradingVolume($B$1,E258,$B$27),"0")</f>
        <v>0</v>
      </c>
      <c r="I258" s="88" t="str">
        <f>IF(_xll.CbondsStockDealsNumber($B$1,E258,$B$27) &lt;&gt; "Нет данных",_xll.CbondsStockDealsNumber($B$1,E258,$B$27),"0")</f>
        <v>0</v>
      </c>
      <c r="K258" s="88" t="str">
        <f>_xll.CbondsIndexValue(VLOOKUP($K$1,'Help Page'!$Q:$S,3,0),Calculation!E258)</f>
        <v>Нет данных</v>
      </c>
      <c r="L258" s="88">
        <f t="shared" si="19"/>
        <v>18712.3</v>
      </c>
      <c r="M258" s="88" t="str">
        <f>_xll.CbondsIndexValue(VLOOKUP($M$1,'Help Page'!$Q:$S,3,0),Calculation!E258)</f>
        <v>Нет данных</v>
      </c>
      <c r="N258" s="88">
        <f t="shared" si="20"/>
        <v>7947.88</v>
      </c>
      <c r="AK258" s="35"/>
      <c r="AL258" s="35"/>
      <c r="AM258" s="35"/>
      <c r="AN258" s="35"/>
      <c r="AO258" s="35"/>
      <c r="AP258" s="35"/>
      <c r="AQ258" s="35"/>
      <c r="AR258" s="35"/>
      <c r="BU258" s="20"/>
    </row>
    <row r="259" spans="5:73" x14ac:dyDescent="0.3">
      <c r="E259" s="37">
        <f t="shared" si="21"/>
        <v>45766</v>
      </c>
      <c r="F259" s="30" t="str">
        <f>_xll.CbondsStockAvgPrice($B$1,E259,$B$27)</f>
        <v>Нет данных</v>
      </c>
      <c r="G259" s="31">
        <f t="shared" ref="G259:G322" si="22">IF(IF(AND(F259="",E259=""),"",IF(AND(F259="Нет данных",E259&lt;&gt;""),G260,F259)) = 0,"",IF(AND(F259="",E259=""),"",IF(AND(F259="Нет данных",E259&lt;&gt;""),G260,F259)))</f>
        <v>134.71</v>
      </c>
      <c r="H259" s="88" t="str">
        <f>IF(_xll.CbondsStockTradingVolume($B$1,E259,$B$27) &lt;&gt; "Нет данных",_xll.CbondsStockTradingVolume($B$1,E259,$B$27),"0")</f>
        <v>0</v>
      </c>
      <c r="I259" s="88" t="str">
        <f>IF(_xll.CbondsStockDealsNumber($B$1,E259,$B$27) &lt;&gt; "Нет данных",_xll.CbondsStockDealsNumber($B$1,E259,$B$27),"0")</f>
        <v>0</v>
      </c>
      <c r="K259" s="88" t="str">
        <f>_xll.CbondsIndexValue(VLOOKUP($K$1,'Help Page'!$Q:$S,3,0),Calculation!E259)</f>
        <v>Нет данных</v>
      </c>
      <c r="L259" s="88">
        <f t="shared" ref="L259:L322" si="23">IF(IF(AND(K259="",$E259=""),"",IF(AND(K259="Нет данных",$E259&lt;&gt;""),L260,K259)) = 0,"",IF(AND(K259="",$E259=""),"",IF(AND(K259="Нет данных",$E259&lt;&gt;""),L260,K259)))</f>
        <v>18712.3</v>
      </c>
      <c r="M259" s="88" t="str">
        <f>_xll.CbondsIndexValue(VLOOKUP($M$1,'Help Page'!$Q:$S,3,0),Calculation!E259)</f>
        <v>Нет данных</v>
      </c>
      <c r="N259" s="88">
        <f t="shared" ref="N259:N322" si="24">IF(IF(AND(M259="",$E259=""),"",IF(AND(M259="Нет данных",$E259&lt;&gt;""),N260,M259)) = 0,"",IF(AND(M259="",$E259=""),"",IF(AND(M259="Нет данных",$E259&lt;&gt;""),N260,M259)))</f>
        <v>7947.88</v>
      </c>
      <c r="AK259" s="35"/>
      <c r="AL259" s="35"/>
      <c r="AM259" s="35"/>
      <c r="AN259" s="35"/>
      <c r="AO259" s="35"/>
      <c r="AP259" s="35"/>
      <c r="AQ259" s="35"/>
      <c r="AR259" s="35"/>
      <c r="BU259" s="20"/>
    </row>
    <row r="260" spans="5:73" x14ac:dyDescent="0.3">
      <c r="E260" s="37">
        <f t="shared" ref="E260:E323" si="25">E259-1</f>
        <v>45765</v>
      </c>
      <c r="F260" s="30">
        <f>_xll.CbondsStockAvgPrice($B$1,E260,$B$27)</f>
        <v>134.71</v>
      </c>
      <c r="G260" s="31">
        <f t="shared" si="22"/>
        <v>134.71</v>
      </c>
      <c r="H260" s="88">
        <f>IF(_xll.CbondsStockTradingVolume($B$1,E260,$B$27) &lt;&gt; "Нет данных",_xll.CbondsStockTradingVolume($B$1,E260,$B$27),"0")</f>
        <v>13030765150</v>
      </c>
      <c r="I260" s="88">
        <f>IF(_xll.CbondsStockDealsNumber($B$1,E260,$B$27) &lt;&gt; "Нет данных",_xll.CbondsStockDealsNumber($B$1,E260,$B$27),"0")</f>
        <v>124652</v>
      </c>
      <c r="K260" s="88">
        <f>_xll.CbondsIndexValue(VLOOKUP($K$1,'Help Page'!$Q:$S,3,0),Calculation!E260)</f>
        <v>18712.3</v>
      </c>
      <c r="L260" s="88">
        <f t="shared" si="23"/>
        <v>18712.3</v>
      </c>
      <c r="M260" s="88">
        <f>_xll.CbondsIndexValue(VLOOKUP($M$1,'Help Page'!$Q:$S,3,0),Calculation!E260)</f>
        <v>7947.88</v>
      </c>
      <c r="N260" s="88">
        <f t="shared" si="24"/>
        <v>7947.88</v>
      </c>
      <c r="AK260" s="35"/>
      <c r="AL260" s="35"/>
      <c r="AM260" s="35"/>
      <c r="AN260" s="35"/>
      <c r="AO260" s="35"/>
      <c r="AP260" s="35"/>
      <c r="AQ260" s="35"/>
      <c r="AR260" s="35"/>
      <c r="BU260" s="20"/>
    </row>
    <row r="261" spans="5:73" x14ac:dyDescent="0.3">
      <c r="E261" s="37">
        <f t="shared" si="25"/>
        <v>45764</v>
      </c>
      <c r="F261" s="30">
        <f>_xll.CbondsStockAvgPrice($B$1,E261,$B$27)</f>
        <v>134.57</v>
      </c>
      <c r="G261" s="31">
        <f t="shared" si="22"/>
        <v>134.57</v>
      </c>
      <c r="H261" s="88">
        <f>IF(_xll.CbondsStockTradingVolume($B$1,E261,$B$27) &lt;&gt; "Нет данных",_xll.CbondsStockTradingVolume($B$1,E261,$B$27),"0")</f>
        <v>14878322000.799999</v>
      </c>
      <c r="I261" s="88">
        <f>IF(_xll.CbondsStockDealsNumber($B$1,E261,$B$27) &lt;&gt; "Нет данных",_xll.CbondsStockDealsNumber($B$1,E261,$B$27),"0")</f>
        <v>150545</v>
      </c>
      <c r="K261" s="88">
        <f>_xll.CbondsIndexValue(VLOOKUP($K$1,'Help Page'!$Q:$S,3,0),Calculation!E261)</f>
        <v>18653.89</v>
      </c>
      <c r="L261" s="88">
        <f t="shared" si="23"/>
        <v>18653.89</v>
      </c>
      <c r="M261" s="88">
        <f>_xll.CbondsIndexValue(VLOOKUP($M$1,'Help Page'!$Q:$S,3,0),Calculation!E261)</f>
        <v>7901.05</v>
      </c>
      <c r="N261" s="88">
        <f t="shared" si="24"/>
        <v>7901.05</v>
      </c>
      <c r="AK261" s="35"/>
      <c r="AL261" s="35"/>
      <c r="AM261" s="35"/>
      <c r="AN261" s="35"/>
      <c r="AO261" s="35"/>
      <c r="AP261" s="35"/>
      <c r="AQ261" s="35"/>
      <c r="AR261" s="35"/>
      <c r="BU261" s="20"/>
    </row>
    <row r="262" spans="5:73" x14ac:dyDescent="0.3">
      <c r="E262" s="37">
        <f t="shared" si="25"/>
        <v>45763</v>
      </c>
      <c r="F262" s="30">
        <f>_xll.CbondsStockAvgPrice($B$1,E262,$B$27)</f>
        <v>131.69</v>
      </c>
      <c r="G262" s="31">
        <f t="shared" si="22"/>
        <v>131.69</v>
      </c>
      <c r="H262" s="88">
        <f>IF(_xll.CbondsStockTradingVolume($B$1,E262,$B$27) &lt;&gt; "Нет данных",_xll.CbondsStockTradingVolume($B$1,E262,$B$27),"0")</f>
        <v>11186914379.700001</v>
      </c>
      <c r="I262" s="88">
        <f>IF(_xll.CbondsStockDealsNumber($B$1,E262,$B$27) &lt;&gt; "Нет данных",_xll.CbondsStockDealsNumber($B$1,E262,$B$27),"0")</f>
        <v>121009</v>
      </c>
      <c r="K262" s="88">
        <f>_xll.CbondsIndexValue(VLOOKUP($K$1,'Help Page'!$Q:$S,3,0),Calculation!E262)</f>
        <v>18630.580000000002</v>
      </c>
      <c r="L262" s="88">
        <f t="shared" si="23"/>
        <v>18630.580000000002</v>
      </c>
      <c r="M262" s="88">
        <f>_xll.CbondsIndexValue(VLOOKUP($M$1,'Help Page'!$Q:$S,3,0),Calculation!E262)</f>
        <v>7839.79</v>
      </c>
      <c r="N262" s="88">
        <f t="shared" si="24"/>
        <v>7839.79</v>
      </c>
      <c r="AK262" s="35"/>
      <c r="AL262" s="35"/>
      <c r="AM262" s="35"/>
      <c r="AN262" s="35"/>
      <c r="AO262" s="35"/>
      <c r="AP262" s="35"/>
      <c r="AQ262" s="35"/>
      <c r="AR262" s="35"/>
      <c r="BU262" s="20"/>
    </row>
    <row r="263" spans="5:73" x14ac:dyDescent="0.3">
      <c r="E263" s="37">
        <f t="shared" si="25"/>
        <v>45762</v>
      </c>
      <c r="F263" s="30">
        <f>_xll.CbondsStockAvgPrice($B$1,E263,$B$27)</f>
        <v>131.84</v>
      </c>
      <c r="G263" s="31">
        <f t="shared" si="22"/>
        <v>131.84</v>
      </c>
      <c r="H263" s="88">
        <f>IF(_xll.CbondsStockTradingVolume($B$1,E263,$B$27) &lt;&gt; "Нет данных",_xll.CbondsStockTradingVolume($B$1,E263,$B$27),"0")</f>
        <v>10642221554.200001</v>
      </c>
      <c r="I263" s="88">
        <f>IF(_xll.CbondsStockDealsNumber($B$1,E263,$B$27) &lt;&gt; "Нет данных",_xll.CbondsStockDealsNumber($B$1,E263,$B$27),"0")</f>
        <v>107632</v>
      </c>
      <c r="K263" s="88">
        <f>_xll.CbondsIndexValue(VLOOKUP($K$1,'Help Page'!$Q:$S,3,0),Calculation!E263)</f>
        <v>18269.41</v>
      </c>
      <c r="L263" s="88">
        <f t="shared" si="23"/>
        <v>18269.41</v>
      </c>
      <c r="M263" s="88">
        <f>_xll.CbondsIndexValue(VLOOKUP($M$1,'Help Page'!$Q:$S,3,0),Calculation!E263)</f>
        <v>7685.4</v>
      </c>
      <c r="N263" s="88">
        <f t="shared" si="24"/>
        <v>7685.4</v>
      </c>
      <c r="AK263" s="35"/>
      <c r="AL263" s="35"/>
      <c r="AM263" s="35"/>
      <c r="AN263" s="35"/>
      <c r="AO263" s="35"/>
      <c r="AP263" s="35"/>
      <c r="AQ263" s="35"/>
      <c r="AR263" s="35"/>
      <c r="BU263" s="20"/>
    </row>
    <row r="264" spans="5:73" x14ac:dyDescent="0.3">
      <c r="E264" s="37">
        <f t="shared" si="25"/>
        <v>45761</v>
      </c>
      <c r="F264" s="30">
        <f>_xll.CbondsStockAvgPrice($B$1,E264,$B$27)</f>
        <v>134.08000000000001</v>
      </c>
      <c r="G264" s="31">
        <f t="shared" si="22"/>
        <v>134.08000000000001</v>
      </c>
      <c r="H264" s="88">
        <f>IF(_xll.CbondsStockTradingVolume($B$1,E264,$B$27) &lt;&gt; "Нет данных",_xll.CbondsStockTradingVolume($B$1,E264,$B$27),"0")</f>
        <v>17090365859.799999</v>
      </c>
      <c r="I264" s="88">
        <f>IF(_xll.CbondsStockDealsNumber($B$1,E264,$B$27) &lt;&gt; "Нет данных",_xll.CbondsStockDealsNumber($B$1,E264,$B$27),"0")</f>
        <v>187940</v>
      </c>
      <c r="K264" s="88">
        <f>_xll.CbondsIndexValue(VLOOKUP($K$1,'Help Page'!$Q:$S,3,0),Calculation!E264)</f>
        <v>18362.25</v>
      </c>
      <c r="L264" s="88">
        <f t="shared" si="23"/>
        <v>18362.25</v>
      </c>
      <c r="M264" s="88">
        <f>_xll.CbondsIndexValue(VLOOKUP($M$1,'Help Page'!$Q:$S,3,0),Calculation!E264)</f>
        <v>7684.03</v>
      </c>
      <c r="N264" s="88">
        <f t="shared" si="24"/>
        <v>7684.03</v>
      </c>
      <c r="AK264" s="35"/>
      <c r="AL264" s="35"/>
      <c r="AM264" s="35"/>
      <c r="AN264" s="35"/>
      <c r="AO264" s="35"/>
      <c r="AP264" s="35"/>
      <c r="AQ264" s="35"/>
      <c r="AR264" s="35"/>
      <c r="BU264" s="20"/>
    </row>
    <row r="265" spans="5:73" x14ac:dyDescent="0.3">
      <c r="E265" s="37">
        <f t="shared" si="25"/>
        <v>45760</v>
      </c>
      <c r="F265" s="30" t="str">
        <f>_xll.CbondsStockAvgPrice($B$1,E265,$B$27)</f>
        <v>Нет данных</v>
      </c>
      <c r="G265" s="31">
        <f t="shared" si="22"/>
        <v>131.31</v>
      </c>
      <c r="H265" s="88" t="str">
        <f>IF(_xll.CbondsStockTradingVolume($B$1,E265,$B$27) &lt;&gt; "Нет данных",_xll.CbondsStockTradingVolume($B$1,E265,$B$27),"0")</f>
        <v>0</v>
      </c>
      <c r="I265" s="88" t="str">
        <f>IF(_xll.CbondsStockDealsNumber($B$1,E265,$B$27) &lt;&gt; "Нет данных",_xll.CbondsStockDealsNumber($B$1,E265,$B$27),"0")</f>
        <v>0</v>
      </c>
      <c r="K265" s="88" t="str">
        <f>_xll.CbondsIndexValue(VLOOKUP($K$1,'Help Page'!$Q:$S,3,0),Calculation!E265)</f>
        <v>Нет данных</v>
      </c>
      <c r="L265" s="88">
        <f t="shared" si="23"/>
        <v>18382.68</v>
      </c>
      <c r="M265" s="88" t="str">
        <f>_xll.CbondsIndexValue(VLOOKUP($M$1,'Help Page'!$Q:$S,3,0),Calculation!E265)</f>
        <v>Нет данных</v>
      </c>
      <c r="N265" s="88">
        <f t="shared" si="24"/>
        <v>7691.6</v>
      </c>
      <c r="AK265" s="35"/>
      <c r="AL265" s="35"/>
      <c r="AM265" s="35"/>
      <c r="AN265" s="35"/>
      <c r="AO265" s="35"/>
      <c r="AP265" s="35"/>
      <c r="AQ265" s="35"/>
      <c r="AR265" s="35"/>
      <c r="BU265" s="20"/>
    </row>
    <row r="266" spans="5:73" x14ac:dyDescent="0.3">
      <c r="E266" s="37">
        <f t="shared" si="25"/>
        <v>45759</v>
      </c>
      <c r="F266" s="30" t="str">
        <f>_xll.CbondsStockAvgPrice($B$1,E266,$B$27)</f>
        <v>Нет данных</v>
      </c>
      <c r="G266" s="31">
        <f t="shared" si="22"/>
        <v>131.31</v>
      </c>
      <c r="H266" s="88" t="str">
        <f>IF(_xll.CbondsStockTradingVolume($B$1,E266,$B$27) &lt;&gt; "Нет данных",_xll.CbondsStockTradingVolume($B$1,E266,$B$27),"0")</f>
        <v>0</v>
      </c>
      <c r="I266" s="88" t="str">
        <f>IF(_xll.CbondsStockDealsNumber($B$1,E266,$B$27) &lt;&gt; "Нет данных",_xll.CbondsStockDealsNumber($B$1,E266,$B$27),"0")</f>
        <v>0</v>
      </c>
      <c r="K266" s="88" t="str">
        <f>_xll.CbondsIndexValue(VLOOKUP($K$1,'Help Page'!$Q:$S,3,0),Calculation!E266)</f>
        <v>Нет данных</v>
      </c>
      <c r="L266" s="88">
        <f t="shared" si="23"/>
        <v>18382.68</v>
      </c>
      <c r="M266" s="88" t="str">
        <f>_xll.CbondsIndexValue(VLOOKUP($M$1,'Help Page'!$Q:$S,3,0),Calculation!E266)</f>
        <v>Нет данных</v>
      </c>
      <c r="N266" s="88">
        <f t="shared" si="24"/>
        <v>7691.6</v>
      </c>
      <c r="AK266" s="35"/>
      <c r="AL266" s="35"/>
      <c r="AM266" s="35"/>
      <c r="AN266" s="35"/>
      <c r="AO266" s="35"/>
      <c r="AP266" s="35"/>
      <c r="AQ266" s="35"/>
      <c r="AR266" s="35"/>
      <c r="BU266" s="20"/>
    </row>
    <row r="267" spans="5:73" x14ac:dyDescent="0.3">
      <c r="E267" s="37">
        <f t="shared" si="25"/>
        <v>45758</v>
      </c>
      <c r="F267" s="30">
        <f>_xll.CbondsStockAvgPrice($B$1,E267,$B$27)</f>
        <v>131.31</v>
      </c>
      <c r="G267" s="31">
        <f t="shared" si="22"/>
        <v>131.31</v>
      </c>
      <c r="H267" s="88">
        <f>IF(_xll.CbondsStockTradingVolume($B$1,E267,$B$27) &lt;&gt; "Нет данных",_xll.CbondsStockTradingVolume($B$1,E267,$B$27),"0")</f>
        <v>16605849192.200001</v>
      </c>
      <c r="I267" s="88">
        <f>IF(_xll.CbondsStockDealsNumber($B$1,E267,$B$27) &lt;&gt; "Нет данных",_xll.CbondsStockDealsNumber($B$1,E267,$B$27),"0")</f>
        <v>171098</v>
      </c>
      <c r="K267" s="88">
        <f>_xll.CbondsIndexValue(VLOOKUP($K$1,'Help Page'!$Q:$S,3,0),Calculation!E267)</f>
        <v>18382.68</v>
      </c>
      <c r="L267" s="88">
        <f t="shared" si="23"/>
        <v>18382.68</v>
      </c>
      <c r="M267" s="88">
        <f>_xll.CbondsIndexValue(VLOOKUP($M$1,'Help Page'!$Q:$S,3,0),Calculation!E267)</f>
        <v>7691.6</v>
      </c>
      <c r="N267" s="88">
        <f t="shared" si="24"/>
        <v>7691.6</v>
      </c>
      <c r="AK267" s="35"/>
      <c r="AL267" s="35"/>
      <c r="AM267" s="35"/>
      <c r="AN267" s="35"/>
      <c r="AO267" s="35"/>
      <c r="AP267" s="35"/>
      <c r="AQ267" s="35"/>
      <c r="AR267" s="35"/>
      <c r="BU267" s="20"/>
    </row>
    <row r="268" spans="5:73" x14ac:dyDescent="0.3">
      <c r="E268" s="37">
        <f t="shared" si="25"/>
        <v>45757</v>
      </c>
      <c r="F268" s="30">
        <f>_xll.CbondsStockAvgPrice($B$1,E268,$B$27)</f>
        <v>127.56</v>
      </c>
      <c r="G268" s="31">
        <f t="shared" si="22"/>
        <v>127.56</v>
      </c>
      <c r="H268" s="88">
        <f>IF(_xll.CbondsStockTradingVolume($B$1,E268,$B$27) &lt;&gt; "Нет данных",_xll.CbondsStockTradingVolume($B$1,E268,$B$27),"0")</f>
        <v>19555112628.799999</v>
      </c>
      <c r="I268" s="88">
        <f>IF(_xll.CbondsStockDealsNumber($B$1,E268,$B$27) &lt;&gt; "Нет данных",_xll.CbondsStockDealsNumber($B$1,E268,$B$27),"0")</f>
        <v>206866</v>
      </c>
      <c r="K268" s="88">
        <f>_xll.CbondsIndexValue(VLOOKUP($K$1,'Help Page'!$Q:$S,3,0),Calculation!E268)</f>
        <v>17921.5</v>
      </c>
      <c r="L268" s="88">
        <f t="shared" si="23"/>
        <v>17921.5</v>
      </c>
      <c r="M268" s="88">
        <f>_xll.CbondsIndexValue(VLOOKUP($M$1,'Help Page'!$Q:$S,3,0),Calculation!E268)</f>
        <v>7503.28</v>
      </c>
      <c r="N268" s="88">
        <f t="shared" si="24"/>
        <v>7503.28</v>
      </c>
      <c r="AK268" s="35"/>
      <c r="AL268" s="35"/>
      <c r="AM268" s="35"/>
      <c r="AN268" s="35"/>
      <c r="AO268" s="35"/>
      <c r="AP268" s="35"/>
      <c r="AQ268" s="35"/>
      <c r="AR268" s="35"/>
      <c r="BU268" s="20"/>
    </row>
    <row r="269" spans="5:73" x14ac:dyDescent="0.3">
      <c r="E269" s="37">
        <f t="shared" si="25"/>
        <v>45756</v>
      </c>
      <c r="F269" s="30">
        <f>_xll.CbondsStockAvgPrice($B$1,E269,$B$27)</f>
        <v>122</v>
      </c>
      <c r="G269" s="31">
        <f t="shared" si="22"/>
        <v>122</v>
      </c>
      <c r="H269" s="88">
        <f>IF(_xll.CbondsStockTradingVolume($B$1,E269,$B$27) &lt;&gt; "Нет данных",_xll.CbondsStockTradingVolume($B$1,E269,$B$27),"0")</f>
        <v>26007411241.099998</v>
      </c>
      <c r="I269" s="88">
        <f>IF(_xll.CbondsStockDealsNumber($B$1,E269,$B$27) &lt;&gt; "Нет данных",_xll.CbondsStockDealsNumber($B$1,E269,$B$27),"0")</f>
        <v>286336</v>
      </c>
      <c r="K269" s="88">
        <f>_xll.CbondsIndexValue(VLOOKUP($K$1,'Help Page'!$Q:$S,3,0),Calculation!E269)</f>
        <v>17205.25</v>
      </c>
      <c r="L269" s="88">
        <f t="shared" si="23"/>
        <v>17205.25</v>
      </c>
      <c r="M269" s="88">
        <f>_xll.CbondsIndexValue(VLOOKUP($M$1,'Help Page'!$Q:$S,3,0),Calculation!E269)</f>
        <v>7150.64</v>
      </c>
      <c r="N269" s="88">
        <f t="shared" si="24"/>
        <v>7150.64</v>
      </c>
      <c r="AK269" s="35"/>
      <c r="AL269" s="35"/>
      <c r="AM269" s="35"/>
      <c r="AN269" s="35"/>
      <c r="AO269" s="35"/>
      <c r="AP269" s="35"/>
      <c r="AQ269" s="35"/>
      <c r="AR269" s="35"/>
      <c r="BU269" s="20"/>
    </row>
    <row r="270" spans="5:73" x14ac:dyDescent="0.3">
      <c r="E270" s="37">
        <f t="shared" si="25"/>
        <v>45755</v>
      </c>
      <c r="F270" s="30">
        <f>_xll.CbondsStockAvgPrice($B$1,E270,$B$27)</f>
        <v>125.5</v>
      </c>
      <c r="G270" s="31">
        <f t="shared" si="22"/>
        <v>125.5</v>
      </c>
      <c r="H270" s="88">
        <f>IF(_xll.CbondsStockTradingVolume($B$1,E270,$B$27) &lt;&gt; "Нет данных",_xll.CbondsStockTradingVolume($B$1,E270,$B$27),"0")</f>
        <v>13892614258.6</v>
      </c>
      <c r="I270" s="88">
        <f>IF(_xll.CbondsStockDealsNumber($B$1,E270,$B$27) &lt;&gt; "Нет данных",_xll.CbondsStockDealsNumber($B$1,E270,$B$27),"0")</f>
        <v>175041</v>
      </c>
      <c r="K270" s="88">
        <f>_xll.CbondsIndexValue(VLOOKUP($K$1,'Help Page'!$Q:$S,3,0),Calculation!E270)</f>
        <v>17800.46</v>
      </c>
      <c r="L270" s="88">
        <f t="shared" si="23"/>
        <v>17800.46</v>
      </c>
      <c r="M270" s="88">
        <f>_xll.CbondsIndexValue(VLOOKUP($M$1,'Help Page'!$Q:$S,3,0),Calculation!E270)</f>
        <v>7478.54</v>
      </c>
      <c r="N270" s="88">
        <f t="shared" si="24"/>
        <v>7478.54</v>
      </c>
      <c r="AK270" s="35"/>
      <c r="AL270" s="35"/>
      <c r="AM270" s="35"/>
      <c r="AN270" s="35"/>
      <c r="AO270" s="35"/>
      <c r="AP270" s="35"/>
      <c r="AQ270" s="35"/>
      <c r="AR270" s="35"/>
      <c r="BU270" s="20"/>
    </row>
    <row r="271" spans="5:73" x14ac:dyDescent="0.3">
      <c r="E271" s="37">
        <f t="shared" si="25"/>
        <v>45754</v>
      </c>
      <c r="F271" s="30">
        <f>_xll.CbondsStockAvgPrice($B$1,E271,$B$27)</f>
        <v>124.56</v>
      </c>
      <c r="G271" s="31">
        <f t="shared" si="22"/>
        <v>124.56</v>
      </c>
      <c r="H271" s="88">
        <f>IF(_xll.CbondsStockTradingVolume($B$1,E271,$B$27) &lt;&gt; "Нет данных",_xll.CbondsStockTradingVolume($B$1,E271,$B$27),"0")</f>
        <v>30742811660.5</v>
      </c>
      <c r="I271" s="88">
        <f>IF(_xll.CbondsStockDealsNumber($B$1,E271,$B$27) &lt;&gt; "Нет данных",_xll.CbondsStockDealsNumber($B$1,E271,$B$27),"0")</f>
        <v>412259</v>
      </c>
      <c r="K271" s="88">
        <f>_xll.CbondsIndexValue(VLOOKUP($K$1,'Help Page'!$Q:$S,3,0),Calculation!E271)</f>
        <v>17704.82</v>
      </c>
      <c r="L271" s="88">
        <f t="shared" si="23"/>
        <v>17704.82</v>
      </c>
      <c r="M271" s="88">
        <f>_xll.CbondsIndexValue(VLOOKUP($M$1,'Help Page'!$Q:$S,3,0),Calculation!E271)</f>
        <v>7448.61</v>
      </c>
      <c r="N271" s="88">
        <f t="shared" si="24"/>
        <v>7448.61</v>
      </c>
      <c r="AK271" s="35"/>
      <c r="AL271" s="35"/>
      <c r="AM271" s="35"/>
      <c r="AN271" s="35"/>
      <c r="AO271" s="35"/>
      <c r="AP271" s="35"/>
      <c r="AQ271" s="35"/>
      <c r="AR271" s="35"/>
      <c r="BU271" s="20"/>
    </row>
    <row r="272" spans="5:73" x14ac:dyDescent="0.3">
      <c r="E272" s="37">
        <f t="shared" si="25"/>
        <v>45753</v>
      </c>
      <c r="F272" s="30" t="str">
        <f>_xll.CbondsStockAvgPrice($B$1,E272,$B$27)</f>
        <v>Нет данных</v>
      </c>
      <c r="G272" s="31">
        <f t="shared" si="22"/>
        <v>129.93</v>
      </c>
      <c r="H272" s="88" t="str">
        <f>IF(_xll.CbondsStockTradingVolume($B$1,E272,$B$27) &lt;&gt; "Нет данных",_xll.CbondsStockTradingVolume($B$1,E272,$B$27),"0")</f>
        <v>0</v>
      </c>
      <c r="I272" s="88" t="str">
        <f>IF(_xll.CbondsStockDealsNumber($B$1,E272,$B$27) &lt;&gt; "Нет данных",_xll.CbondsStockDealsNumber($B$1,E272,$B$27),"0")</f>
        <v>0</v>
      </c>
      <c r="K272" s="88" t="str">
        <f>_xll.CbondsIndexValue(VLOOKUP($K$1,'Help Page'!$Q:$S,3,0),Calculation!E272)</f>
        <v>Нет данных</v>
      </c>
      <c r="L272" s="88">
        <f t="shared" si="23"/>
        <v>17987.89</v>
      </c>
      <c r="M272" s="88" t="str">
        <f>_xll.CbondsIndexValue(VLOOKUP($M$1,'Help Page'!$Q:$S,3,0),Calculation!E272)</f>
        <v>Нет данных</v>
      </c>
      <c r="N272" s="88">
        <f t="shared" si="24"/>
        <v>7617.84</v>
      </c>
      <c r="AK272" s="35"/>
      <c r="AL272" s="35"/>
      <c r="AM272" s="35"/>
      <c r="AN272" s="35"/>
      <c r="AO272" s="35"/>
      <c r="AP272" s="35"/>
      <c r="AQ272" s="35"/>
      <c r="AR272" s="35"/>
      <c r="BU272" s="20"/>
    </row>
    <row r="273" spans="5:73" x14ac:dyDescent="0.3">
      <c r="E273" s="37">
        <f t="shared" si="25"/>
        <v>45752</v>
      </c>
      <c r="F273" s="30" t="str">
        <f>_xll.CbondsStockAvgPrice($B$1,E273,$B$27)</f>
        <v>Нет данных</v>
      </c>
      <c r="G273" s="31">
        <f t="shared" si="22"/>
        <v>129.93</v>
      </c>
      <c r="H273" s="88" t="str">
        <f>IF(_xll.CbondsStockTradingVolume($B$1,E273,$B$27) &lt;&gt; "Нет данных",_xll.CbondsStockTradingVolume($B$1,E273,$B$27),"0")</f>
        <v>0</v>
      </c>
      <c r="I273" s="88" t="str">
        <f>IF(_xll.CbondsStockDealsNumber($B$1,E273,$B$27) &lt;&gt; "Нет данных",_xll.CbondsStockDealsNumber($B$1,E273,$B$27),"0")</f>
        <v>0</v>
      </c>
      <c r="K273" s="88" t="str">
        <f>_xll.CbondsIndexValue(VLOOKUP($K$1,'Help Page'!$Q:$S,3,0),Calculation!E273)</f>
        <v>Нет данных</v>
      </c>
      <c r="L273" s="88">
        <f t="shared" si="23"/>
        <v>17987.89</v>
      </c>
      <c r="M273" s="88" t="str">
        <f>_xll.CbondsIndexValue(VLOOKUP($M$1,'Help Page'!$Q:$S,3,0),Calculation!E273)</f>
        <v>Нет данных</v>
      </c>
      <c r="N273" s="88">
        <f t="shared" si="24"/>
        <v>7617.84</v>
      </c>
      <c r="AK273" s="35"/>
      <c r="AL273" s="35"/>
      <c r="AM273" s="35"/>
      <c r="AN273" s="35"/>
      <c r="AO273" s="35"/>
      <c r="AP273" s="35"/>
      <c r="AQ273" s="35"/>
      <c r="AR273" s="35"/>
      <c r="BU273" s="20"/>
    </row>
    <row r="274" spans="5:73" x14ac:dyDescent="0.3">
      <c r="E274" s="37">
        <f t="shared" si="25"/>
        <v>45751</v>
      </c>
      <c r="F274" s="30">
        <f>_xll.CbondsStockAvgPrice($B$1,E274,$B$27)</f>
        <v>129.93</v>
      </c>
      <c r="G274" s="31">
        <f t="shared" si="22"/>
        <v>129.93</v>
      </c>
      <c r="H274" s="88">
        <f>IF(_xll.CbondsStockTradingVolume($B$1,E274,$B$27) &lt;&gt; "Нет данных",_xll.CbondsStockTradingVolume($B$1,E274,$B$27),"0")</f>
        <v>23219423756.599998</v>
      </c>
      <c r="I274" s="88">
        <f>IF(_xll.CbondsStockDealsNumber($B$1,E274,$B$27) &lt;&gt; "Нет данных",_xll.CbondsStockDealsNumber($B$1,E274,$B$27),"0")</f>
        <v>292426</v>
      </c>
      <c r="K274" s="88">
        <f>_xll.CbondsIndexValue(VLOOKUP($K$1,'Help Page'!$Q:$S,3,0),Calculation!E274)</f>
        <v>17987.89</v>
      </c>
      <c r="L274" s="88">
        <f t="shared" si="23"/>
        <v>17987.89</v>
      </c>
      <c r="M274" s="88">
        <f>_xll.CbondsIndexValue(VLOOKUP($M$1,'Help Page'!$Q:$S,3,0),Calculation!E274)</f>
        <v>7617.84</v>
      </c>
      <c r="N274" s="88">
        <f t="shared" si="24"/>
        <v>7617.84</v>
      </c>
      <c r="AK274" s="35"/>
      <c r="AL274" s="35"/>
      <c r="AM274" s="35"/>
      <c r="AN274" s="35"/>
      <c r="AO274" s="35"/>
      <c r="AP274" s="35"/>
      <c r="AQ274" s="35"/>
      <c r="AR274" s="35"/>
      <c r="BU274" s="20"/>
    </row>
    <row r="275" spans="5:73" x14ac:dyDescent="0.3">
      <c r="E275" s="37">
        <f t="shared" si="25"/>
        <v>45750</v>
      </c>
      <c r="F275" s="30">
        <f>_xll.CbondsStockAvgPrice($B$1,E275,$B$27)</f>
        <v>135.72</v>
      </c>
      <c r="G275" s="31">
        <f t="shared" si="22"/>
        <v>135.72</v>
      </c>
      <c r="H275" s="88">
        <f>IF(_xll.CbondsStockTradingVolume($B$1,E275,$B$27) &lt;&gt; "Нет данных",_xll.CbondsStockTradingVolume($B$1,E275,$B$27),"0")</f>
        <v>20480609394.099998</v>
      </c>
      <c r="I275" s="88">
        <f>IF(_xll.CbondsStockDealsNumber($B$1,E275,$B$27) &lt;&gt; "Нет данных",_xll.CbondsStockDealsNumber($B$1,E275,$B$27),"0")</f>
        <v>244248</v>
      </c>
      <c r="K275" s="88">
        <f>_xll.CbondsIndexValue(VLOOKUP($K$1,'Help Page'!$Q:$S,3,0),Calculation!E275)</f>
        <v>18540.75</v>
      </c>
      <c r="L275" s="88">
        <f t="shared" si="23"/>
        <v>18540.75</v>
      </c>
      <c r="M275" s="88">
        <f>_xll.CbondsIndexValue(VLOOKUP($M$1,'Help Page'!$Q:$S,3,0),Calculation!E275)</f>
        <v>7828.16</v>
      </c>
      <c r="N275" s="88">
        <f t="shared" si="24"/>
        <v>7828.16</v>
      </c>
      <c r="AK275" s="35"/>
      <c r="AL275" s="35"/>
      <c r="AM275" s="35"/>
      <c r="AN275" s="35"/>
      <c r="AO275" s="35"/>
      <c r="AP275" s="35"/>
      <c r="AQ275" s="35"/>
      <c r="AR275" s="35"/>
      <c r="BU275" s="20"/>
    </row>
    <row r="276" spans="5:73" x14ac:dyDescent="0.3">
      <c r="E276" s="37">
        <f t="shared" si="25"/>
        <v>45749</v>
      </c>
      <c r="F276" s="30">
        <f>_xll.CbondsStockAvgPrice($B$1,E276,$B$27)</f>
        <v>138.36000000000001</v>
      </c>
      <c r="G276" s="31">
        <f t="shared" si="22"/>
        <v>138.36000000000001</v>
      </c>
      <c r="H276" s="88">
        <f>IF(_xll.CbondsStockTradingVolume($B$1,E276,$B$27) &lt;&gt; "Нет данных",_xll.CbondsStockTradingVolume($B$1,E276,$B$27),"0")</f>
        <v>14861210955.4</v>
      </c>
      <c r="I276" s="88">
        <f>IF(_xll.CbondsStockDealsNumber($B$1,E276,$B$27) &lt;&gt; "Нет данных",_xll.CbondsStockDealsNumber($B$1,E276,$B$27),"0")</f>
        <v>147944</v>
      </c>
      <c r="K276" s="88">
        <f>_xll.CbondsIndexValue(VLOOKUP($K$1,'Help Page'!$Q:$S,3,0),Calculation!E276)</f>
        <v>18988.82</v>
      </c>
      <c r="L276" s="88">
        <f t="shared" si="23"/>
        <v>18988.82</v>
      </c>
      <c r="M276" s="88">
        <f>_xll.CbondsIndexValue(VLOOKUP($M$1,'Help Page'!$Q:$S,3,0),Calculation!E276)</f>
        <v>7973.33</v>
      </c>
      <c r="N276" s="88">
        <f t="shared" si="24"/>
        <v>7973.33</v>
      </c>
      <c r="AK276" s="35"/>
      <c r="AL276" s="35"/>
      <c r="AM276" s="35"/>
      <c r="AN276" s="35"/>
      <c r="AO276" s="35"/>
      <c r="AP276" s="35"/>
      <c r="AQ276" s="35"/>
      <c r="AR276" s="35"/>
      <c r="BU276" s="20"/>
    </row>
    <row r="277" spans="5:73" x14ac:dyDescent="0.3">
      <c r="E277" s="37">
        <f t="shared" si="25"/>
        <v>45748</v>
      </c>
      <c r="F277" s="30">
        <f>_xll.CbondsStockAvgPrice($B$1,E277,$B$27)</f>
        <v>141.5</v>
      </c>
      <c r="G277" s="31">
        <f t="shared" si="22"/>
        <v>141.5</v>
      </c>
      <c r="H277" s="88">
        <f>IF(_xll.CbondsStockTradingVolume($B$1,E277,$B$27) &lt;&gt; "Нет данных",_xll.CbondsStockTradingVolume($B$1,E277,$B$27),"0")</f>
        <v>22085686628.5</v>
      </c>
      <c r="I277" s="88">
        <f>IF(_xll.CbondsStockDealsNumber($B$1,E277,$B$27) &lt;&gt; "Нет данных",_xll.CbondsStockDealsNumber($B$1,E277,$B$27),"0")</f>
        <v>231697</v>
      </c>
      <c r="K277" s="88">
        <f>_xll.CbondsIndexValue(VLOOKUP($K$1,'Help Page'!$Q:$S,3,0),Calculation!E277)</f>
        <v>19228.12</v>
      </c>
      <c r="L277" s="88">
        <f t="shared" si="23"/>
        <v>19228.12</v>
      </c>
      <c r="M277" s="88">
        <f>_xll.CbondsIndexValue(VLOOKUP($M$1,'Help Page'!$Q:$S,3,0),Calculation!E277)</f>
        <v>8076.15</v>
      </c>
      <c r="N277" s="88">
        <f t="shared" si="24"/>
        <v>8076.15</v>
      </c>
      <c r="AK277" s="35"/>
      <c r="AL277" s="35"/>
      <c r="AM277" s="35"/>
      <c r="AN277" s="35"/>
      <c r="AO277" s="35"/>
      <c r="AP277" s="35"/>
      <c r="AQ277" s="35"/>
      <c r="AR277" s="35"/>
      <c r="BU277" s="20"/>
    </row>
    <row r="278" spans="5:73" x14ac:dyDescent="0.3">
      <c r="E278" s="37">
        <f t="shared" si="25"/>
        <v>45747</v>
      </c>
      <c r="F278" s="30">
        <f>_xll.CbondsStockAvgPrice($B$1,E278,$B$27)</f>
        <v>144.61000000000001</v>
      </c>
      <c r="G278" s="31">
        <f t="shared" si="22"/>
        <v>144.61000000000001</v>
      </c>
      <c r="H278" s="88">
        <f>IF(_xll.CbondsStockTradingVolume($B$1,E278,$B$27) &lt;&gt; "Нет данных",_xll.CbondsStockTradingVolume($B$1,E278,$B$27),"0")</f>
        <v>16456641987</v>
      </c>
      <c r="I278" s="88">
        <f>IF(_xll.CbondsStockDealsNumber($B$1,E278,$B$27) &lt;&gt; "Нет данных",_xll.CbondsStockDealsNumber($B$1,E278,$B$27),"0")</f>
        <v>164741</v>
      </c>
      <c r="K278" s="88">
        <f>_xll.CbondsIndexValue(VLOOKUP($K$1,'Help Page'!$Q:$S,3,0),Calculation!E278)</f>
        <v>19583.400000000001</v>
      </c>
      <c r="L278" s="88">
        <f t="shared" si="23"/>
        <v>19583.400000000001</v>
      </c>
      <c r="M278" s="88">
        <f>_xll.CbondsIndexValue(VLOOKUP($M$1,'Help Page'!$Q:$S,3,0),Calculation!E278)</f>
        <v>8202.18</v>
      </c>
      <c r="N278" s="88">
        <f t="shared" si="24"/>
        <v>8202.18</v>
      </c>
      <c r="AK278" s="35"/>
      <c r="AL278" s="35"/>
      <c r="AM278" s="35"/>
      <c r="AN278" s="35"/>
      <c r="AO278" s="35"/>
      <c r="AP278" s="35"/>
      <c r="AQ278" s="35"/>
      <c r="AR278" s="35"/>
      <c r="BU278" s="20"/>
    </row>
    <row r="279" spans="5:73" x14ac:dyDescent="0.3">
      <c r="E279" s="37">
        <f t="shared" si="25"/>
        <v>45746</v>
      </c>
      <c r="F279" s="30" t="str">
        <f>_xll.CbondsStockAvgPrice($B$1,E279,$B$27)</f>
        <v>Нет данных</v>
      </c>
      <c r="G279" s="31">
        <f t="shared" si="22"/>
        <v>149.80000000000001</v>
      </c>
      <c r="H279" s="88" t="str">
        <f>IF(_xll.CbondsStockTradingVolume($B$1,E279,$B$27) &lt;&gt; "Нет данных",_xll.CbondsStockTradingVolume($B$1,E279,$B$27),"0")</f>
        <v>0</v>
      </c>
      <c r="I279" s="88" t="str">
        <f>IF(_xll.CbondsStockDealsNumber($B$1,E279,$B$27) &lt;&gt; "Нет данных",_xll.CbondsStockDealsNumber($B$1,E279,$B$27),"0")</f>
        <v>0</v>
      </c>
      <c r="K279" s="88" t="str">
        <f>_xll.CbondsIndexValue(VLOOKUP($K$1,'Help Page'!$Q:$S,3,0),Calculation!E279)</f>
        <v>Нет данных</v>
      </c>
      <c r="L279" s="88">
        <f t="shared" si="23"/>
        <v>19673.43</v>
      </c>
      <c r="M279" s="88" t="str">
        <f>_xll.CbondsIndexValue(VLOOKUP($M$1,'Help Page'!$Q:$S,3,0),Calculation!E279)</f>
        <v>Нет данных</v>
      </c>
      <c r="N279" s="88">
        <f t="shared" si="24"/>
        <v>8292.86</v>
      </c>
      <c r="AK279" s="35"/>
      <c r="AL279" s="35"/>
      <c r="AM279" s="35"/>
      <c r="AN279" s="35"/>
      <c r="AO279" s="35"/>
      <c r="AP279" s="35"/>
      <c r="AQ279" s="35"/>
      <c r="AR279" s="35"/>
      <c r="BU279" s="20"/>
    </row>
    <row r="280" spans="5:73" x14ac:dyDescent="0.3">
      <c r="E280" s="37">
        <f t="shared" si="25"/>
        <v>45745</v>
      </c>
      <c r="F280" s="30" t="str">
        <f>_xll.CbondsStockAvgPrice($B$1,E280,$B$27)</f>
        <v>Нет данных</v>
      </c>
      <c r="G280" s="31">
        <f t="shared" si="22"/>
        <v>149.80000000000001</v>
      </c>
      <c r="H280" s="88" t="str">
        <f>IF(_xll.CbondsStockTradingVolume($B$1,E280,$B$27) &lt;&gt; "Нет данных",_xll.CbondsStockTradingVolume($B$1,E280,$B$27),"0")</f>
        <v>0</v>
      </c>
      <c r="I280" s="88" t="str">
        <f>IF(_xll.CbondsStockDealsNumber($B$1,E280,$B$27) &lt;&gt; "Нет данных",_xll.CbondsStockDealsNumber($B$1,E280,$B$27),"0")</f>
        <v>0</v>
      </c>
      <c r="K280" s="88" t="str">
        <f>_xll.CbondsIndexValue(VLOOKUP($K$1,'Help Page'!$Q:$S,3,0),Calculation!E280)</f>
        <v>Нет данных</v>
      </c>
      <c r="L280" s="88">
        <f t="shared" si="23"/>
        <v>19673.43</v>
      </c>
      <c r="M280" s="88" t="str">
        <f>_xll.CbondsIndexValue(VLOOKUP($M$1,'Help Page'!$Q:$S,3,0),Calculation!E280)</f>
        <v>Нет данных</v>
      </c>
      <c r="N280" s="88">
        <f t="shared" si="24"/>
        <v>8292.86</v>
      </c>
      <c r="AK280" s="35"/>
      <c r="AL280" s="35"/>
      <c r="AM280" s="35"/>
      <c r="AN280" s="35"/>
      <c r="AO280" s="35"/>
      <c r="AP280" s="35"/>
      <c r="AQ280" s="35"/>
      <c r="AR280" s="35"/>
    </row>
    <row r="281" spans="5:73" x14ac:dyDescent="0.3">
      <c r="E281" s="37">
        <f t="shared" si="25"/>
        <v>45744</v>
      </c>
      <c r="F281" s="30">
        <f>_xll.CbondsStockAvgPrice($B$1,E281,$B$27)</f>
        <v>149.80000000000001</v>
      </c>
      <c r="G281" s="31">
        <f t="shared" si="22"/>
        <v>149.80000000000001</v>
      </c>
      <c r="H281" s="88">
        <f>IF(_xll.CbondsStockTradingVolume($B$1,E281,$B$27) &lt;&gt; "Нет данных",_xll.CbondsStockTradingVolume($B$1,E281,$B$27),"0")</f>
        <v>25400695144.400002</v>
      </c>
      <c r="I281" s="88">
        <f>IF(_xll.CbondsStockDealsNumber($B$1,E281,$B$27) &lt;&gt; "Нет данных",_xll.CbondsStockDealsNumber($B$1,E281,$B$27),"0")</f>
        <v>275809</v>
      </c>
      <c r="K281" s="88">
        <f>_xll.CbondsIndexValue(VLOOKUP($K$1,'Help Page'!$Q:$S,3,0),Calculation!E281)</f>
        <v>19673.43</v>
      </c>
      <c r="L281" s="88">
        <f t="shared" si="23"/>
        <v>19673.43</v>
      </c>
      <c r="M281" s="88">
        <f>_xll.CbondsIndexValue(VLOOKUP($M$1,'Help Page'!$Q:$S,3,0),Calculation!E281)</f>
        <v>8292.86</v>
      </c>
      <c r="N281" s="88">
        <f t="shared" si="24"/>
        <v>8292.86</v>
      </c>
      <c r="AK281" s="35"/>
      <c r="AL281" s="35"/>
      <c r="AM281" s="35"/>
      <c r="AN281" s="35"/>
      <c r="AO281" s="35"/>
      <c r="AP281" s="35"/>
      <c r="AQ281" s="35"/>
      <c r="AR281" s="35"/>
    </row>
    <row r="282" spans="5:73" x14ac:dyDescent="0.3">
      <c r="E282" s="37">
        <f t="shared" si="25"/>
        <v>45743</v>
      </c>
      <c r="F282" s="30">
        <f>_xll.CbondsStockAvgPrice($B$1,E282,$B$27)</f>
        <v>158.07</v>
      </c>
      <c r="G282" s="31">
        <f t="shared" si="22"/>
        <v>158.07</v>
      </c>
      <c r="H282" s="88">
        <f>IF(_xll.CbondsStockTradingVolume($B$1,E282,$B$27) &lt;&gt; "Нет данных",_xll.CbondsStockTradingVolume($B$1,E282,$B$27),"0")</f>
        <v>14357911490</v>
      </c>
      <c r="I282" s="88">
        <f>IF(_xll.CbondsStockDealsNumber($B$1,E282,$B$27) &lt;&gt; "Нет данных",_xll.CbondsStockDealsNumber($B$1,E282,$B$27),"0")</f>
        <v>151328</v>
      </c>
      <c r="K282" s="88">
        <f>_xll.CbondsIndexValue(VLOOKUP($K$1,'Help Page'!$Q:$S,3,0),Calculation!E282)</f>
        <v>20057.77</v>
      </c>
      <c r="L282" s="88">
        <f t="shared" si="23"/>
        <v>20057.77</v>
      </c>
      <c r="M282" s="88">
        <f>_xll.CbondsIndexValue(VLOOKUP($M$1,'Help Page'!$Q:$S,3,0),Calculation!E282)</f>
        <v>8447.82</v>
      </c>
      <c r="N282" s="88">
        <f t="shared" si="24"/>
        <v>8447.82</v>
      </c>
      <c r="AK282" s="35"/>
      <c r="AL282" s="35"/>
      <c r="AM282" s="35"/>
      <c r="AN282" s="35"/>
      <c r="AO282" s="35"/>
      <c r="AP282" s="35"/>
      <c r="AQ282" s="35"/>
      <c r="AR282" s="35"/>
    </row>
    <row r="283" spans="5:73" x14ac:dyDescent="0.3">
      <c r="E283" s="37">
        <f t="shared" si="25"/>
        <v>45742</v>
      </c>
      <c r="F283" s="30">
        <f>_xll.CbondsStockAvgPrice($B$1,E283,$B$27)</f>
        <v>164.15</v>
      </c>
      <c r="G283" s="31">
        <f t="shared" si="22"/>
        <v>164.15</v>
      </c>
      <c r="H283" s="88">
        <f>IF(_xll.CbondsStockTradingVolume($B$1,E283,$B$27) &lt;&gt; "Нет данных",_xll.CbondsStockTradingVolume($B$1,E283,$B$27),"0")</f>
        <v>9633207630.2000008</v>
      </c>
      <c r="I283" s="88">
        <f>IF(_xll.CbondsStockDealsNumber($B$1,E283,$B$27) &lt;&gt; "Нет данных",_xll.CbondsStockDealsNumber($B$1,E283,$B$27),"0")</f>
        <v>106341</v>
      </c>
      <c r="K283" s="88">
        <f>_xll.CbondsIndexValue(VLOOKUP($K$1,'Help Page'!$Q:$S,3,0),Calculation!E283)</f>
        <v>20457.78</v>
      </c>
      <c r="L283" s="88">
        <f t="shared" si="23"/>
        <v>20457.78</v>
      </c>
      <c r="M283" s="88">
        <f>_xll.CbondsIndexValue(VLOOKUP($M$1,'Help Page'!$Q:$S,3,0),Calculation!E283)</f>
        <v>8596.16</v>
      </c>
      <c r="N283" s="88">
        <f t="shared" si="24"/>
        <v>8596.16</v>
      </c>
      <c r="AK283" s="35"/>
      <c r="AL283" s="35"/>
      <c r="AM283" s="35"/>
      <c r="AN283" s="35"/>
      <c r="AO283" s="35"/>
      <c r="AP283" s="35"/>
      <c r="AQ283" s="35"/>
      <c r="AR283" s="35"/>
    </row>
    <row r="284" spans="5:73" x14ac:dyDescent="0.3">
      <c r="E284" s="37">
        <f t="shared" si="25"/>
        <v>45741</v>
      </c>
      <c r="F284" s="30">
        <f>_xll.CbondsStockAvgPrice($B$1,E284,$B$27)</f>
        <v>163.21</v>
      </c>
      <c r="G284" s="31">
        <f t="shared" si="22"/>
        <v>163.21</v>
      </c>
      <c r="H284" s="88">
        <f>IF(_xll.CbondsStockTradingVolume($B$1,E284,$B$27) &lt;&gt; "Нет данных",_xll.CbondsStockTradingVolume($B$1,E284,$B$27),"0")</f>
        <v>13809820041</v>
      </c>
      <c r="I284" s="88">
        <f>IF(_xll.CbondsStockDealsNumber($B$1,E284,$B$27) &lt;&gt; "Нет данных",_xll.CbondsStockDealsNumber($B$1,E284,$B$27),"0")</f>
        <v>132298</v>
      </c>
      <c r="K284" s="88">
        <f>_xll.CbondsIndexValue(VLOOKUP($K$1,'Help Page'!$Q:$S,3,0),Calculation!E284)</f>
        <v>20578.53</v>
      </c>
      <c r="L284" s="88">
        <f t="shared" si="23"/>
        <v>20578.53</v>
      </c>
      <c r="M284" s="88">
        <f>_xll.CbondsIndexValue(VLOOKUP($M$1,'Help Page'!$Q:$S,3,0),Calculation!E284)</f>
        <v>8641.23</v>
      </c>
      <c r="N284" s="88">
        <f t="shared" si="24"/>
        <v>8641.23</v>
      </c>
      <c r="AK284" s="35"/>
      <c r="AL284" s="35"/>
      <c r="AM284" s="35"/>
      <c r="AN284" s="35"/>
      <c r="AO284" s="35"/>
      <c r="AP284" s="35"/>
      <c r="AQ284" s="35"/>
      <c r="AR284" s="35"/>
    </row>
    <row r="285" spans="5:73" x14ac:dyDescent="0.3">
      <c r="E285" s="37">
        <f t="shared" si="25"/>
        <v>45740</v>
      </c>
      <c r="F285" s="30">
        <f>_xll.CbondsStockAvgPrice($B$1,E285,$B$27)</f>
        <v>164.96</v>
      </c>
      <c r="G285" s="31">
        <f t="shared" si="22"/>
        <v>164.96</v>
      </c>
      <c r="H285" s="88">
        <f>IF(_xll.CbondsStockTradingVolume($B$1,E285,$B$27) &lt;&gt; "Нет данных",_xll.CbondsStockTradingVolume($B$1,E285,$B$27),"0")</f>
        <v>7375063040.5</v>
      </c>
      <c r="I285" s="88">
        <f>IF(_xll.CbondsStockDealsNumber($B$1,E285,$B$27) &lt;&gt; "Нет данных",_xll.CbondsStockDealsNumber($B$1,E285,$B$27),"0")</f>
        <v>95010</v>
      </c>
      <c r="K285" s="88">
        <f>_xll.CbondsIndexValue(VLOOKUP($K$1,'Help Page'!$Q:$S,3,0),Calculation!E285)</f>
        <v>20686.27</v>
      </c>
      <c r="L285" s="88">
        <f t="shared" si="23"/>
        <v>20686.27</v>
      </c>
      <c r="M285" s="88">
        <f>_xll.CbondsIndexValue(VLOOKUP($M$1,'Help Page'!$Q:$S,3,0),Calculation!E285)</f>
        <v>8668.0300000000007</v>
      </c>
      <c r="N285" s="88">
        <f t="shared" si="24"/>
        <v>8668.0300000000007</v>
      </c>
      <c r="AK285" s="35"/>
      <c r="AL285" s="35"/>
      <c r="AM285" s="35"/>
      <c r="AN285" s="35"/>
      <c r="AO285" s="35"/>
      <c r="AP285" s="35"/>
      <c r="AQ285" s="35"/>
      <c r="AR285" s="35"/>
    </row>
    <row r="286" spans="5:73" x14ac:dyDescent="0.3">
      <c r="E286" s="37">
        <f t="shared" si="25"/>
        <v>45739</v>
      </c>
      <c r="F286" s="30" t="str">
        <f>_xll.CbondsStockAvgPrice($B$1,E286,$B$27)</f>
        <v>Нет данных</v>
      </c>
      <c r="G286" s="31">
        <f t="shared" si="22"/>
        <v>167.37</v>
      </c>
      <c r="H286" s="88" t="str">
        <f>IF(_xll.CbondsStockTradingVolume($B$1,E286,$B$27) &lt;&gt; "Нет данных",_xll.CbondsStockTradingVolume($B$1,E286,$B$27),"0")</f>
        <v>0</v>
      </c>
      <c r="I286" s="88" t="str">
        <f>IF(_xll.CbondsStockDealsNumber($B$1,E286,$B$27) &lt;&gt; "Нет данных",_xll.CbondsStockDealsNumber($B$1,E286,$B$27),"0")</f>
        <v>0</v>
      </c>
      <c r="K286" s="88" t="str">
        <f>_xll.CbondsIndexValue(VLOOKUP($K$1,'Help Page'!$Q:$S,3,0),Calculation!E286)</f>
        <v>Нет данных</v>
      </c>
      <c r="L286" s="88">
        <f t="shared" si="23"/>
        <v>20765.400000000001</v>
      </c>
      <c r="M286" s="88" t="str">
        <f>_xll.CbondsIndexValue(VLOOKUP($M$1,'Help Page'!$Q:$S,3,0),Calculation!E286)</f>
        <v>Нет данных</v>
      </c>
      <c r="N286" s="88">
        <f t="shared" si="24"/>
        <v>8672.59</v>
      </c>
      <c r="AK286" s="35"/>
      <c r="AL286" s="35"/>
      <c r="AM286" s="35"/>
      <c r="AN286" s="35"/>
      <c r="AO286" s="35"/>
      <c r="AP286" s="35"/>
      <c r="AQ286" s="35"/>
      <c r="AR286" s="35"/>
    </row>
    <row r="287" spans="5:73" x14ac:dyDescent="0.3">
      <c r="E287" s="37">
        <f t="shared" si="25"/>
        <v>45738</v>
      </c>
      <c r="F287" s="30" t="str">
        <f>_xll.CbondsStockAvgPrice($B$1,E287,$B$27)</f>
        <v>Нет данных</v>
      </c>
      <c r="G287" s="31">
        <f t="shared" si="22"/>
        <v>167.37</v>
      </c>
      <c r="H287" s="88" t="str">
        <f>IF(_xll.CbondsStockTradingVolume($B$1,E287,$B$27) &lt;&gt; "Нет данных",_xll.CbondsStockTradingVolume($B$1,E287,$B$27),"0")</f>
        <v>0</v>
      </c>
      <c r="I287" s="88" t="str">
        <f>IF(_xll.CbondsStockDealsNumber($B$1,E287,$B$27) &lt;&gt; "Нет данных",_xll.CbondsStockDealsNumber($B$1,E287,$B$27),"0")</f>
        <v>0</v>
      </c>
      <c r="K287" s="88" t="str">
        <f>_xll.CbondsIndexValue(VLOOKUP($K$1,'Help Page'!$Q:$S,3,0),Calculation!E287)</f>
        <v>Нет данных</v>
      </c>
      <c r="L287" s="88">
        <f t="shared" si="23"/>
        <v>20765.400000000001</v>
      </c>
      <c r="M287" s="88" t="str">
        <f>_xll.CbondsIndexValue(VLOOKUP($M$1,'Help Page'!$Q:$S,3,0),Calculation!E287)</f>
        <v>Нет данных</v>
      </c>
      <c r="N287" s="88">
        <f t="shared" si="24"/>
        <v>8672.59</v>
      </c>
      <c r="AK287" s="35"/>
      <c r="AL287" s="35"/>
      <c r="AM287" s="35"/>
      <c r="AN287" s="35"/>
      <c r="AO287" s="35"/>
      <c r="AP287" s="35"/>
      <c r="AQ287" s="35"/>
      <c r="AR287" s="35"/>
    </row>
    <row r="288" spans="5:73" x14ac:dyDescent="0.3">
      <c r="E288" s="37">
        <f t="shared" si="25"/>
        <v>45737</v>
      </c>
      <c r="F288" s="30">
        <f>_xll.CbondsStockAvgPrice($B$1,E288,$B$27)</f>
        <v>167.37</v>
      </c>
      <c r="G288" s="31">
        <f t="shared" si="22"/>
        <v>167.37</v>
      </c>
      <c r="H288" s="88">
        <f>IF(_xll.CbondsStockTradingVolume($B$1,E288,$B$27) &lt;&gt; "Нет данных",_xll.CbondsStockTradingVolume($B$1,E288,$B$27),"0")</f>
        <v>9091998331.8999996</v>
      </c>
      <c r="I288" s="88">
        <f>IF(_xll.CbondsStockDealsNumber($B$1,E288,$B$27) &lt;&gt; "Нет данных",_xll.CbondsStockDealsNumber($B$1,E288,$B$27),"0")</f>
        <v>87784</v>
      </c>
      <c r="K288" s="88">
        <f>_xll.CbondsIndexValue(VLOOKUP($K$1,'Help Page'!$Q:$S,3,0),Calculation!E288)</f>
        <v>20765.400000000001</v>
      </c>
      <c r="L288" s="88">
        <f t="shared" si="23"/>
        <v>20765.400000000001</v>
      </c>
      <c r="M288" s="88">
        <f>_xll.CbondsIndexValue(VLOOKUP($M$1,'Help Page'!$Q:$S,3,0),Calculation!E288)</f>
        <v>8672.59</v>
      </c>
      <c r="N288" s="88">
        <f t="shared" si="24"/>
        <v>8672.59</v>
      </c>
      <c r="AK288" s="35"/>
      <c r="AL288" s="35"/>
      <c r="AM288" s="35"/>
      <c r="AN288" s="35"/>
      <c r="AO288" s="35"/>
      <c r="AP288" s="35"/>
      <c r="AQ288" s="35"/>
      <c r="AR288" s="35"/>
    </row>
    <row r="289" spans="5:44" x14ac:dyDescent="0.3">
      <c r="E289" s="37">
        <f t="shared" si="25"/>
        <v>45736</v>
      </c>
      <c r="F289" s="30">
        <f>_xll.CbondsStockAvgPrice($B$1,E289,$B$27)</f>
        <v>167.27</v>
      </c>
      <c r="G289" s="31">
        <f t="shared" si="22"/>
        <v>167.27</v>
      </c>
      <c r="H289" s="88">
        <f>IF(_xll.CbondsStockTradingVolume($B$1,E289,$B$27) &lt;&gt; "Нет данных",_xll.CbondsStockTradingVolume($B$1,E289,$B$27),"0")</f>
        <v>13962226698.700001</v>
      </c>
      <c r="I289" s="88">
        <f>IF(_xll.CbondsStockDealsNumber($B$1,E289,$B$27) &lt;&gt; "Нет данных",_xll.CbondsStockDealsNumber($B$1,E289,$B$27),"0")</f>
        <v>129072</v>
      </c>
      <c r="K289" s="88">
        <f>_xll.CbondsIndexValue(VLOOKUP($K$1,'Help Page'!$Q:$S,3,0),Calculation!E289)</f>
        <v>20938.32</v>
      </c>
      <c r="L289" s="88">
        <f t="shared" si="23"/>
        <v>20938.32</v>
      </c>
      <c r="M289" s="88">
        <f>_xll.CbondsIndexValue(VLOOKUP($M$1,'Help Page'!$Q:$S,3,0),Calculation!E289)</f>
        <v>8739.32</v>
      </c>
      <c r="N289" s="88">
        <f t="shared" si="24"/>
        <v>8739.32</v>
      </c>
      <c r="AK289" s="35"/>
      <c r="AL289" s="35"/>
      <c r="AM289" s="35"/>
      <c r="AN289" s="35"/>
      <c r="AO289" s="35"/>
      <c r="AP289" s="35"/>
      <c r="AQ289" s="35"/>
      <c r="AR289" s="35"/>
    </row>
    <row r="290" spans="5:44" x14ac:dyDescent="0.3">
      <c r="E290" s="37">
        <f t="shared" si="25"/>
        <v>45735</v>
      </c>
      <c r="F290" s="30">
        <f>_xll.CbondsStockAvgPrice($B$1,E290,$B$27)</f>
        <v>167.72</v>
      </c>
      <c r="G290" s="31">
        <f t="shared" si="22"/>
        <v>167.72</v>
      </c>
      <c r="H290" s="88">
        <f>IF(_xll.CbondsStockTradingVolume($B$1,E290,$B$27) &lt;&gt; "Нет данных",_xll.CbondsStockTradingVolume($B$1,E290,$B$27),"0")</f>
        <v>12440205765.6</v>
      </c>
      <c r="I290" s="88">
        <f>IF(_xll.CbondsStockDealsNumber($B$1,E290,$B$27) &lt;&gt; "Нет данных",_xll.CbondsStockDealsNumber($B$1,E290,$B$27),"0")</f>
        <v>124887</v>
      </c>
      <c r="K290" s="88">
        <f>_xll.CbondsIndexValue(VLOOKUP($K$1,'Help Page'!$Q:$S,3,0),Calculation!E290)</f>
        <v>20956.52</v>
      </c>
      <c r="L290" s="88">
        <f t="shared" si="23"/>
        <v>20956.52</v>
      </c>
      <c r="M290" s="88">
        <f>_xll.CbondsIndexValue(VLOOKUP($M$1,'Help Page'!$Q:$S,3,0),Calculation!E290)</f>
        <v>8766.02</v>
      </c>
      <c r="N290" s="88">
        <f t="shared" si="24"/>
        <v>8766.02</v>
      </c>
      <c r="AK290" s="35"/>
      <c r="AL290" s="35"/>
      <c r="AM290" s="35"/>
      <c r="AN290" s="35"/>
      <c r="AO290" s="35"/>
      <c r="AP290" s="35"/>
      <c r="AQ290" s="35"/>
      <c r="AR290" s="35"/>
    </row>
    <row r="291" spans="5:44" x14ac:dyDescent="0.3">
      <c r="E291" s="37">
        <f t="shared" si="25"/>
        <v>45734</v>
      </c>
      <c r="F291" s="30">
        <f>_xll.CbondsStockAvgPrice($B$1,E291,$B$27)</f>
        <v>171.83</v>
      </c>
      <c r="G291" s="31">
        <f t="shared" si="22"/>
        <v>171.83</v>
      </c>
      <c r="H291" s="88">
        <f>IF(_xll.CbondsStockTradingVolume($B$1,E291,$B$27) &lt;&gt; "Нет данных",_xll.CbondsStockTradingVolume($B$1,E291,$B$27),"0")</f>
        <v>24346427543.099998</v>
      </c>
      <c r="I291" s="88">
        <f>IF(_xll.CbondsStockDealsNumber($B$1,E291,$B$27) &lt;&gt; "Нет данных",_xll.CbondsStockDealsNumber($B$1,E291,$B$27),"0")</f>
        <v>199136</v>
      </c>
      <c r="K291" s="88">
        <f>_xll.CbondsIndexValue(VLOOKUP($K$1,'Help Page'!$Q:$S,3,0),Calculation!E291)</f>
        <v>21157.45</v>
      </c>
      <c r="L291" s="88">
        <f t="shared" si="23"/>
        <v>21157.45</v>
      </c>
      <c r="M291" s="88">
        <f>_xll.CbondsIndexValue(VLOOKUP($M$1,'Help Page'!$Q:$S,3,0),Calculation!E291)</f>
        <v>8794.61</v>
      </c>
      <c r="N291" s="88">
        <f t="shared" si="24"/>
        <v>8794.61</v>
      </c>
      <c r="AK291" s="35"/>
      <c r="AL291" s="35"/>
      <c r="AM291" s="35"/>
      <c r="AN291" s="35"/>
      <c r="AO291" s="35"/>
      <c r="AP291" s="35"/>
      <c r="AQ291" s="35"/>
      <c r="AR291" s="35"/>
    </row>
    <row r="292" spans="5:44" x14ac:dyDescent="0.3">
      <c r="E292" s="37">
        <f t="shared" si="25"/>
        <v>45733</v>
      </c>
      <c r="F292" s="30">
        <f>_xll.CbondsStockAvgPrice($B$1,E292,$B$27)</f>
        <v>173.42</v>
      </c>
      <c r="G292" s="31">
        <f t="shared" si="22"/>
        <v>173.42</v>
      </c>
      <c r="H292" s="88">
        <f>IF(_xll.CbondsStockTradingVolume($B$1,E292,$B$27) &lt;&gt; "Нет данных",_xll.CbondsStockTradingVolume($B$1,E292,$B$27),"0")</f>
        <v>20109642250.200001</v>
      </c>
      <c r="I292" s="88">
        <f>IF(_xll.CbondsStockDealsNumber($B$1,E292,$B$27) &lt;&gt; "Нет данных",_xll.CbondsStockDealsNumber($B$1,E292,$B$27),"0")</f>
        <v>175763</v>
      </c>
      <c r="K292" s="88">
        <f>_xll.CbondsIndexValue(VLOOKUP($K$1,'Help Page'!$Q:$S,3,0),Calculation!E292)</f>
        <v>21067.8</v>
      </c>
      <c r="L292" s="88">
        <f t="shared" si="23"/>
        <v>21067.8</v>
      </c>
      <c r="M292" s="88">
        <f>_xll.CbondsIndexValue(VLOOKUP($M$1,'Help Page'!$Q:$S,3,0),Calculation!E292)</f>
        <v>8741.74</v>
      </c>
      <c r="N292" s="88">
        <f t="shared" si="24"/>
        <v>8741.74</v>
      </c>
      <c r="AK292" s="35"/>
      <c r="AL292" s="35"/>
      <c r="AM292" s="35"/>
      <c r="AN292" s="35"/>
      <c r="AO292" s="35"/>
      <c r="AP292" s="35"/>
      <c r="AQ292" s="35"/>
      <c r="AR292" s="35"/>
    </row>
    <row r="293" spans="5:44" x14ac:dyDescent="0.3">
      <c r="E293" s="37">
        <f t="shared" si="25"/>
        <v>45732</v>
      </c>
      <c r="F293" s="30" t="str">
        <f>_xll.CbondsStockAvgPrice($B$1,E293,$B$27)</f>
        <v>Нет данных</v>
      </c>
      <c r="G293" s="31">
        <f t="shared" si="22"/>
        <v>167.95</v>
      </c>
      <c r="H293" s="88" t="str">
        <f>IF(_xll.CbondsStockTradingVolume($B$1,E293,$B$27) &lt;&gt; "Нет данных",_xll.CbondsStockTradingVolume($B$1,E293,$B$27),"0")</f>
        <v>0</v>
      </c>
      <c r="I293" s="88" t="str">
        <f>IF(_xll.CbondsStockDealsNumber($B$1,E293,$B$27) &lt;&gt; "Нет данных",_xll.CbondsStockDealsNumber($B$1,E293,$B$27),"0")</f>
        <v>0</v>
      </c>
      <c r="K293" s="88" t="str">
        <f>_xll.CbondsIndexValue(VLOOKUP($K$1,'Help Page'!$Q:$S,3,0),Calculation!E293)</f>
        <v>Нет данных</v>
      </c>
      <c r="L293" s="88">
        <f t="shared" si="23"/>
        <v>20744.21</v>
      </c>
      <c r="M293" s="88" t="str">
        <f>_xll.CbondsIndexValue(VLOOKUP($M$1,'Help Page'!$Q:$S,3,0),Calculation!E293)</f>
        <v>Нет данных</v>
      </c>
      <c r="N293" s="88">
        <f t="shared" si="24"/>
        <v>8633.5</v>
      </c>
      <c r="AK293" s="35"/>
      <c r="AL293" s="35"/>
      <c r="AM293" s="35"/>
      <c r="AN293" s="35"/>
      <c r="AO293" s="35"/>
      <c r="AP293" s="35"/>
      <c r="AQ293" s="35"/>
      <c r="AR293" s="35"/>
    </row>
    <row r="294" spans="5:44" x14ac:dyDescent="0.3">
      <c r="E294" s="37">
        <f t="shared" si="25"/>
        <v>45731</v>
      </c>
      <c r="F294" s="30" t="str">
        <f>_xll.CbondsStockAvgPrice($B$1,E294,$B$27)</f>
        <v>Нет данных</v>
      </c>
      <c r="G294" s="31">
        <f t="shared" si="22"/>
        <v>167.95</v>
      </c>
      <c r="H294" s="88" t="str">
        <f>IF(_xll.CbondsStockTradingVolume($B$1,E294,$B$27) &lt;&gt; "Нет данных",_xll.CbondsStockTradingVolume($B$1,E294,$B$27),"0")</f>
        <v>0</v>
      </c>
      <c r="I294" s="88" t="str">
        <f>IF(_xll.CbondsStockDealsNumber($B$1,E294,$B$27) &lt;&gt; "Нет данных",_xll.CbondsStockDealsNumber($B$1,E294,$B$27),"0")</f>
        <v>0</v>
      </c>
      <c r="K294" s="88" t="str">
        <f>_xll.CbondsIndexValue(VLOOKUP($K$1,'Help Page'!$Q:$S,3,0),Calculation!E294)</f>
        <v>Нет данных</v>
      </c>
      <c r="L294" s="88">
        <f t="shared" si="23"/>
        <v>20744.21</v>
      </c>
      <c r="M294" s="88" t="str">
        <f>_xll.CbondsIndexValue(VLOOKUP($M$1,'Help Page'!$Q:$S,3,0),Calculation!E294)</f>
        <v>Нет данных</v>
      </c>
      <c r="N294" s="88">
        <f t="shared" si="24"/>
        <v>8633.5</v>
      </c>
      <c r="AK294" s="35"/>
      <c r="AL294" s="35"/>
      <c r="AM294" s="35"/>
      <c r="AN294" s="35"/>
      <c r="AO294" s="35"/>
      <c r="AP294" s="35"/>
      <c r="AQ294" s="35"/>
      <c r="AR294" s="35"/>
    </row>
    <row r="295" spans="5:44" x14ac:dyDescent="0.3">
      <c r="E295" s="37">
        <f t="shared" si="25"/>
        <v>45730</v>
      </c>
      <c r="F295" s="30">
        <f>_xll.CbondsStockAvgPrice($B$1,E295,$B$27)</f>
        <v>167.95</v>
      </c>
      <c r="G295" s="31">
        <f t="shared" si="22"/>
        <v>167.95</v>
      </c>
      <c r="H295" s="88">
        <f>IF(_xll.CbondsStockTradingVolume($B$1,E295,$B$27) &lt;&gt; "Нет данных",_xll.CbondsStockTradingVolume($B$1,E295,$B$27),"0")</f>
        <v>18578209590.700001</v>
      </c>
      <c r="I295" s="88">
        <f>IF(_xll.CbondsStockDealsNumber($B$1,E295,$B$27) &lt;&gt; "Нет данных",_xll.CbondsStockDealsNumber($B$1,E295,$B$27),"0")</f>
        <v>184801</v>
      </c>
      <c r="K295" s="88">
        <f>_xll.CbondsIndexValue(VLOOKUP($K$1,'Help Page'!$Q:$S,3,0),Calculation!E295)</f>
        <v>20744.21</v>
      </c>
      <c r="L295" s="88">
        <f t="shared" si="23"/>
        <v>20744.21</v>
      </c>
      <c r="M295" s="88">
        <f>_xll.CbondsIndexValue(VLOOKUP($M$1,'Help Page'!$Q:$S,3,0),Calculation!E295)</f>
        <v>8633.5</v>
      </c>
      <c r="N295" s="88">
        <f t="shared" si="24"/>
        <v>8633.5</v>
      </c>
      <c r="AK295" s="35"/>
      <c r="AL295" s="35"/>
      <c r="AM295" s="35"/>
      <c r="AN295" s="35"/>
      <c r="AO295" s="35"/>
      <c r="AP295" s="35"/>
      <c r="AQ295" s="35"/>
      <c r="AR295" s="35"/>
    </row>
    <row r="296" spans="5:44" x14ac:dyDescent="0.3">
      <c r="E296" s="37">
        <f t="shared" si="25"/>
        <v>45729</v>
      </c>
      <c r="F296" s="30">
        <f>_xll.CbondsStockAvgPrice($B$1,E296,$B$27)</f>
        <v>165.95</v>
      </c>
      <c r="G296" s="31">
        <f t="shared" si="22"/>
        <v>165.95</v>
      </c>
      <c r="H296" s="88">
        <f>IF(_xll.CbondsStockTradingVolume($B$1,E296,$B$27) &lt;&gt; "Нет данных",_xll.CbondsStockTradingVolume($B$1,E296,$B$27),"0")</f>
        <v>35632547378.800003</v>
      </c>
      <c r="I296" s="88">
        <f>IF(_xll.CbondsStockDealsNumber($B$1,E296,$B$27) &lt;&gt; "Нет данных",_xll.CbondsStockDealsNumber($B$1,E296,$B$27),"0")</f>
        <v>293423</v>
      </c>
      <c r="K296" s="88">
        <f>_xll.CbondsIndexValue(VLOOKUP($K$1,'Help Page'!$Q:$S,3,0),Calculation!E296)</f>
        <v>20281.080000000002</v>
      </c>
      <c r="L296" s="88">
        <f t="shared" si="23"/>
        <v>20281.080000000002</v>
      </c>
      <c r="M296" s="88">
        <f>_xll.CbondsIndexValue(VLOOKUP($M$1,'Help Page'!$Q:$S,3,0),Calculation!E296)</f>
        <v>8427.24</v>
      </c>
      <c r="N296" s="88">
        <f t="shared" si="24"/>
        <v>8427.24</v>
      </c>
      <c r="AK296" s="35"/>
      <c r="AL296" s="35"/>
      <c r="AM296" s="35"/>
      <c r="AN296" s="35"/>
      <c r="AO296" s="35"/>
      <c r="AP296" s="35"/>
      <c r="AQ296" s="35"/>
      <c r="AR296" s="35"/>
    </row>
    <row r="297" spans="5:44" x14ac:dyDescent="0.3">
      <c r="E297" s="37">
        <f t="shared" si="25"/>
        <v>45728</v>
      </c>
      <c r="F297" s="30">
        <f>_xll.CbondsStockAvgPrice($B$1,E297,$B$27)</f>
        <v>168.86</v>
      </c>
      <c r="G297" s="31">
        <f t="shared" si="22"/>
        <v>168.86</v>
      </c>
      <c r="H297" s="88">
        <f>IF(_xll.CbondsStockTradingVolume($B$1,E297,$B$27) &lt;&gt; "Нет данных",_xll.CbondsStockTradingVolume($B$1,E297,$B$27),"0")</f>
        <v>7850052119.1999998</v>
      </c>
      <c r="I297" s="88">
        <f>IF(_xll.CbondsStockDealsNumber($B$1,E297,$B$27) &lt;&gt; "Нет данных",_xll.CbondsStockDealsNumber($B$1,E297,$B$27),"0")</f>
        <v>85898</v>
      </c>
      <c r="K297" s="88">
        <f>_xll.CbondsIndexValue(VLOOKUP($K$1,'Help Page'!$Q:$S,3,0),Calculation!E297)</f>
        <v>20705.47</v>
      </c>
      <c r="L297" s="88">
        <f t="shared" si="23"/>
        <v>20705.47</v>
      </c>
      <c r="M297" s="88">
        <f>_xll.CbondsIndexValue(VLOOKUP($M$1,'Help Page'!$Q:$S,3,0),Calculation!E297)</f>
        <v>8581.68</v>
      </c>
      <c r="N297" s="88">
        <f t="shared" si="24"/>
        <v>8581.68</v>
      </c>
      <c r="AK297" s="35"/>
      <c r="AL297" s="35"/>
      <c r="AM297" s="35"/>
      <c r="AN297" s="35"/>
      <c r="AO297" s="35"/>
      <c r="AP297" s="35"/>
      <c r="AQ297" s="35"/>
      <c r="AR297" s="35"/>
    </row>
    <row r="298" spans="5:44" x14ac:dyDescent="0.3">
      <c r="E298" s="37">
        <f t="shared" si="25"/>
        <v>45727</v>
      </c>
      <c r="F298" s="30">
        <f>_xll.CbondsStockAvgPrice($B$1,E298,$B$27)</f>
        <v>170.57</v>
      </c>
      <c r="G298" s="31">
        <f t="shared" si="22"/>
        <v>170.57</v>
      </c>
      <c r="H298" s="88">
        <f>IF(_xll.CbondsStockTradingVolume($B$1,E298,$B$27) &lt;&gt; "Нет данных",_xll.CbondsStockTradingVolume($B$1,E298,$B$27),"0")</f>
        <v>10429004015.200001</v>
      </c>
      <c r="I298" s="88">
        <f>IF(_xll.CbondsStockDealsNumber($B$1,E298,$B$27) &lt;&gt; "Нет данных",_xll.CbondsStockDealsNumber($B$1,E298,$B$27),"0")</f>
        <v>103829</v>
      </c>
      <c r="K298" s="88">
        <f>_xll.CbondsIndexValue(VLOOKUP($K$1,'Help Page'!$Q:$S,3,0),Calculation!E298)</f>
        <v>20810.89</v>
      </c>
      <c r="L298" s="88">
        <f t="shared" si="23"/>
        <v>20810.89</v>
      </c>
      <c r="M298" s="88">
        <f>_xll.CbondsIndexValue(VLOOKUP($M$1,'Help Page'!$Q:$S,3,0),Calculation!E298)</f>
        <v>8608.6200000000008</v>
      </c>
      <c r="N298" s="88">
        <f t="shared" si="24"/>
        <v>8608.6200000000008</v>
      </c>
      <c r="AK298" s="35"/>
      <c r="AL298" s="35"/>
      <c r="AM298" s="35"/>
      <c r="AN298" s="35"/>
      <c r="AO298" s="35"/>
      <c r="AP298" s="35"/>
      <c r="AQ298" s="35"/>
      <c r="AR298" s="35"/>
    </row>
    <row r="299" spans="5:44" x14ac:dyDescent="0.3">
      <c r="E299" s="37">
        <f t="shared" si="25"/>
        <v>45726</v>
      </c>
      <c r="F299" s="30">
        <f>_xll.CbondsStockAvgPrice($B$1,E299,$B$27)</f>
        <v>171.63</v>
      </c>
      <c r="G299" s="31">
        <f t="shared" si="22"/>
        <v>171.63</v>
      </c>
      <c r="H299" s="88">
        <f>IF(_xll.CbondsStockTradingVolume($B$1,E299,$B$27) &lt;&gt; "Нет данных",_xll.CbondsStockTradingVolume($B$1,E299,$B$27),"0")</f>
        <v>6077621380.1000004</v>
      </c>
      <c r="I299" s="88">
        <f>IF(_xll.CbondsStockDealsNumber($B$1,E299,$B$27) &lt;&gt; "Нет данных",_xll.CbondsStockDealsNumber($B$1,E299,$B$27),"0")</f>
        <v>87923</v>
      </c>
      <c r="K299" s="88">
        <f>_xll.CbondsIndexValue(VLOOKUP($K$1,'Help Page'!$Q:$S,3,0),Calculation!E299)</f>
        <v>20773.169999999998</v>
      </c>
      <c r="L299" s="88">
        <f t="shared" si="23"/>
        <v>20773.169999999998</v>
      </c>
      <c r="M299" s="88">
        <f>_xll.CbondsIndexValue(VLOOKUP($M$1,'Help Page'!$Q:$S,3,0),Calculation!E299)</f>
        <v>8637.7999999999993</v>
      </c>
      <c r="N299" s="88">
        <f t="shared" si="24"/>
        <v>8637.7999999999993</v>
      </c>
      <c r="AK299" s="35"/>
      <c r="AL299" s="35"/>
      <c r="AM299" s="35"/>
      <c r="AN299" s="35"/>
      <c r="AO299" s="35"/>
      <c r="AP299" s="35"/>
      <c r="AQ299" s="35"/>
      <c r="AR299" s="35"/>
    </row>
    <row r="300" spans="5:44" x14ac:dyDescent="0.3">
      <c r="E300" s="37">
        <f t="shared" si="25"/>
        <v>45725</v>
      </c>
      <c r="F300" s="30" t="str">
        <f>_xll.CbondsStockAvgPrice($B$1,E300,$B$27)</f>
        <v>Нет данных</v>
      </c>
      <c r="G300" s="31">
        <f t="shared" si="22"/>
        <v>171.67</v>
      </c>
      <c r="H300" s="88" t="str">
        <f>IF(_xll.CbondsStockTradingVolume($B$1,E300,$B$27) &lt;&gt; "Нет данных",_xll.CbondsStockTradingVolume($B$1,E300,$B$27),"0")</f>
        <v>0</v>
      </c>
      <c r="I300" s="88" t="str">
        <f>IF(_xll.CbondsStockDealsNumber($B$1,E300,$B$27) &lt;&gt; "Нет данных",_xll.CbondsStockDealsNumber($B$1,E300,$B$27),"0")</f>
        <v>0</v>
      </c>
      <c r="K300" s="88" t="str">
        <f>_xll.CbondsIndexValue(VLOOKUP($K$1,'Help Page'!$Q:$S,3,0),Calculation!E300)</f>
        <v>Нет данных</v>
      </c>
      <c r="L300" s="88">
        <f t="shared" si="23"/>
        <v>20589.62</v>
      </c>
      <c r="M300" s="88" t="str">
        <f>_xll.CbondsIndexValue(VLOOKUP($M$1,'Help Page'!$Q:$S,3,0),Calculation!E300)</f>
        <v>Нет данных</v>
      </c>
      <c r="N300" s="88">
        <f t="shared" si="24"/>
        <v>8560.57</v>
      </c>
      <c r="AK300" s="35"/>
      <c r="AL300" s="35"/>
      <c r="AM300" s="35"/>
      <c r="AN300" s="35"/>
      <c r="AO300" s="35"/>
      <c r="AP300" s="35"/>
      <c r="AQ300" s="35"/>
      <c r="AR300" s="35"/>
    </row>
    <row r="301" spans="5:44" x14ac:dyDescent="0.3">
      <c r="E301" s="37">
        <f t="shared" si="25"/>
        <v>45724</v>
      </c>
      <c r="F301" s="30" t="str">
        <f>_xll.CbondsStockAvgPrice($B$1,E301,$B$27)</f>
        <v>Нет данных</v>
      </c>
      <c r="G301" s="31">
        <f t="shared" si="22"/>
        <v>171.67</v>
      </c>
      <c r="H301" s="88" t="str">
        <f>IF(_xll.CbondsStockTradingVolume($B$1,E301,$B$27) &lt;&gt; "Нет данных",_xll.CbondsStockTradingVolume($B$1,E301,$B$27),"0")</f>
        <v>0</v>
      </c>
      <c r="I301" s="88" t="str">
        <f>IF(_xll.CbondsStockDealsNumber($B$1,E301,$B$27) &lt;&gt; "Нет данных",_xll.CbondsStockDealsNumber($B$1,E301,$B$27),"0")</f>
        <v>0</v>
      </c>
      <c r="K301" s="88" t="str">
        <f>_xll.CbondsIndexValue(VLOOKUP($K$1,'Help Page'!$Q:$S,3,0),Calculation!E301)</f>
        <v>Нет данных</v>
      </c>
      <c r="L301" s="88">
        <f t="shared" si="23"/>
        <v>20589.62</v>
      </c>
      <c r="M301" s="88" t="str">
        <f>_xll.CbondsIndexValue(VLOOKUP($M$1,'Help Page'!$Q:$S,3,0),Calculation!E301)</f>
        <v>Нет данных</v>
      </c>
      <c r="N301" s="88">
        <f t="shared" si="24"/>
        <v>8560.57</v>
      </c>
      <c r="AK301" s="35"/>
      <c r="AL301" s="35"/>
      <c r="AM301" s="35"/>
      <c r="AN301" s="35"/>
      <c r="AO301" s="35"/>
      <c r="AP301" s="35"/>
      <c r="AQ301" s="35"/>
      <c r="AR301" s="35"/>
    </row>
    <row r="302" spans="5:44" x14ac:dyDescent="0.3">
      <c r="E302" s="37">
        <f t="shared" si="25"/>
        <v>45723</v>
      </c>
      <c r="F302" s="30">
        <f>_xll.CbondsStockAvgPrice($B$1,E302,$B$27)</f>
        <v>171.67</v>
      </c>
      <c r="G302" s="31">
        <f t="shared" si="22"/>
        <v>171.67</v>
      </c>
      <c r="H302" s="88">
        <f>IF(_xll.CbondsStockTradingVolume($B$1,E302,$B$27) &lt;&gt; "Нет данных",_xll.CbondsStockTradingVolume($B$1,E302,$B$27),"0")</f>
        <v>14594423612.799999</v>
      </c>
      <c r="I302" s="88">
        <f>IF(_xll.CbondsStockDealsNumber($B$1,E302,$B$27) &lt;&gt; "Нет данных",_xll.CbondsStockDealsNumber($B$1,E302,$B$27),"0")</f>
        <v>132891</v>
      </c>
      <c r="K302" s="88">
        <f>_xll.CbondsIndexValue(VLOOKUP($K$1,'Help Page'!$Q:$S,3,0),Calculation!E302)</f>
        <v>20589.62</v>
      </c>
      <c r="L302" s="88">
        <f t="shared" si="23"/>
        <v>20589.62</v>
      </c>
      <c r="M302" s="88">
        <f>_xll.CbondsIndexValue(VLOOKUP($M$1,'Help Page'!$Q:$S,3,0),Calculation!E302)</f>
        <v>8560.57</v>
      </c>
      <c r="N302" s="88">
        <f t="shared" si="24"/>
        <v>8560.57</v>
      </c>
      <c r="AK302" s="35"/>
      <c r="AL302" s="35"/>
      <c r="AM302" s="35"/>
      <c r="AN302" s="35"/>
      <c r="AO302" s="35"/>
      <c r="AP302" s="35"/>
      <c r="AQ302" s="35"/>
      <c r="AR302" s="35"/>
    </row>
    <row r="303" spans="5:44" x14ac:dyDescent="0.3">
      <c r="E303" s="37">
        <f t="shared" si="25"/>
        <v>45722</v>
      </c>
      <c r="F303" s="30">
        <f>_xll.CbondsStockAvgPrice($B$1,E303,$B$27)</f>
        <v>172.73</v>
      </c>
      <c r="G303" s="31">
        <f t="shared" si="22"/>
        <v>172.73</v>
      </c>
      <c r="H303" s="88">
        <f>IF(_xll.CbondsStockTradingVolume($B$1,E303,$B$27) &lt;&gt; "Нет данных",_xll.CbondsStockTradingVolume($B$1,E303,$B$27),"0")</f>
        <v>14941438914.5</v>
      </c>
      <c r="I303" s="88">
        <f>IF(_xll.CbondsStockDealsNumber($B$1,E303,$B$27) &lt;&gt; "Нет данных",_xll.CbondsStockDealsNumber($B$1,E303,$B$27),"0")</f>
        <v>129800</v>
      </c>
      <c r="K303" s="88">
        <f>_xll.CbondsIndexValue(VLOOKUP($K$1,'Help Page'!$Q:$S,3,0),Calculation!E303)</f>
        <v>20838.78</v>
      </c>
      <c r="L303" s="88">
        <f t="shared" si="23"/>
        <v>20838.78</v>
      </c>
      <c r="M303" s="88">
        <f>_xll.CbondsIndexValue(VLOOKUP($M$1,'Help Page'!$Q:$S,3,0),Calculation!E303)</f>
        <v>8660.6</v>
      </c>
      <c r="N303" s="88">
        <f t="shared" si="24"/>
        <v>8660.6</v>
      </c>
      <c r="AK303" s="35"/>
      <c r="AL303" s="35"/>
      <c r="AM303" s="35"/>
      <c r="AN303" s="35"/>
      <c r="AO303" s="35"/>
      <c r="AP303" s="35"/>
      <c r="AQ303" s="35"/>
      <c r="AR303" s="35"/>
    </row>
    <row r="304" spans="5:44" x14ac:dyDescent="0.3">
      <c r="E304" s="37">
        <f t="shared" si="25"/>
        <v>45721</v>
      </c>
      <c r="F304" s="30">
        <f>_xll.CbondsStockAvgPrice($B$1,E304,$B$27)</f>
        <v>174.09</v>
      </c>
      <c r="G304" s="31">
        <f t="shared" si="22"/>
        <v>174.09</v>
      </c>
      <c r="H304" s="88">
        <f>IF(_xll.CbondsStockTradingVolume($B$1,E304,$B$27) &lt;&gt; "Нет данных",_xll.CbondsStockTradingVolume($B$1,E304,$B$27),"0")</f>
        <v>22812024309.099998</v>
      </c>
      <c r="I304" s="88">
        <f>IF(_xll.CbondsStockDealsNumber($B$1,E304,$B$27) &lt;&gt; "Нет данных",_xll.CbondsStockDealsNumber($B$1,E304,$B$27),"0")</f>
        <v>200411</v>
      </c>
      <c r="K304" s="88">
        <f>_xll.CbondsIndexValue(VLOOKUP($K$1,'Help Page'!$Q:$S,3,0),Calculation!E304)</f>
        <v>21171.58</v>
      </c>
      <c r="L304" s="88">
        <f t="shared" si="23"/>
        <v>21171.58</v>
      </c>
      <c r="M304" s="88">
        <f>_xll.CbondsIndexValue(VLOOKUP($M$1,'Help Page'!$Q:$S,3,0),Calculation!E304)</f>
        <v>8836.42</v>
      </c>
      <c r="N304" s="88">
        <f t="shared" si="24"/>
        <v>8836.42</v>
      </c>
      <c r="AK304" s="35"/>
      <c r="AL304" s="35"/>
      <c r="AM304" s="35"/>
      <c r="AN304" s="35"/>
      <c r="AO304" s="35"/>
      <c r="AP304" s="35"/>
      <c r="AQ304" s="35"/>
      <c r="AR304" s="35"/>
    </row>
    <row r="305" spans="5:44" x14ac:dyDescent="0.3">
      <c r="E305" s="37">
        <f t="shared" si="25"/>
        <v>45720</v>
      </c>
      <c r="F305" s="30">
        <f>_xll.CbondsStockAvgPrice($B$1,E305,$B$27)</f>
        <v>172.14</v>
      </c>
      <c r="G305" s="31">
        <f t="shared" si="22"/>
        <v>172.14</v>
      </c>
      <c r="H305" s="88">
        <f>IF(_xll.CbondsStockTradingVolume($B$1,E305,$B$27) &lt;&gt; "Нет данных",_xll.CbondsStockTradingVolume($B$1,E305,$B$27),"0")</f>
        <v>17093331636.6</v>
      </c>
      <c r="I305" s="88">
        <f>IF(_xll.CbondsStockDealsNumber($B$1,E305,$B$27) &lt;&gt; "Нет данных",_xll.CbondsStockDealsNumber($B$1,E305,$B$27),"0")</f>
        <v>142294</v>
      </c>
      <c r="K305" s="88">
        <f>_xll.CbondsIndexValue(VLOOKUP($K$1,'Help Page'!$Q:$S,3,0),Calculation!E305)</f>
        <v>21042.62</v>
      </c>
      <c r="L305" s="88">
        <f t="shared" si="23"/>
        <v>21042.62</v>
      </c>
      <c r="M305" s="88">
        <f>_xll.CbondsIndexValue(VLOOKUP($M$1,'Help Page'!$Q:$S,3,0),Calculation!E305)</f>
        <v>8775.6200000000008</v>
      </c>
      <c r="N305" s="88">
        <f t="shared" si="24"/>
        <v>8775.6200000000008</v>
      </c>
      <c r="AK305" s="35"/>
      <c r="AL305" s="35"/>
      <c r="AM305" s="35"/>
      <c r="AN305" s="35"/>
      <c r="AO305" s="35"/>
      <c r="AP305" s="35"/>
      <c r="AQ305" s="35"/>
      <c r="AR305" s="35"/>
    </row>
    <row r="306" spans="5:44" x14ac:dyDescent="0.3">
      <c r="E306" s="37">
        <f t="shared" si="25"/>
        <v>45719</v>
      </c>
      <c r="F306" s="30">
        <f>_xll.CbondsStockAvgPrice($B$1,E306,$B$27)</f>
        <v>167.26</v>
      </c>
      <c r="G306" s="31">
        <f t="shared" si="22"/>
        <v>167.26</v>
      </c>
      <c r="H306" s="88">
        <f>IF(_xll.CbondsStockTradingVolume($B$1,E306,$B$27) &lt;&gt; "Нет данных",_xll.CbondsStockTradingVolume($B$1,E306,$B$27),"0")</f>
        <v>25935189098.099998</v>
      </c>
      <c r="I306" s="88">
        <f>IF(_xll.CbondsStockDealsNumber($B$1,E306,$B$27) &lt;&gt; "Нет данных",_xll.CbondsStockDealsNumber($B$1,E306,$B$27),"0")</f>
        <v>233009</v>
      </c>
      <c r="K306" s="88">
        <f>_xll.CbondsIndexValue(VLOOKUP($K$1,'Help Page'!$Q:$S,3,0),Calculation!E306)</f>
        <v>20444.150000000001</v>
      </c>
      <c r="L306" s="88">
        <f t="shared" si="23"/>
        <v>20444.150000000001</v>
      </c>
      <c r="M306" s="88">
        <f>_xll.CbondsIndexValue(VLOOKUP($M$1,'Help Page'!$Q:$S,3,0),Calculation!E306)</f>
        <v>8618.5499999999993</v>
      </c>
      <c r="N306" s="88">
        <f t="shared" si="24"/>
        <v>8618.5499999999993</v>
      </c>
      <c r="AK306" s="35"/>
      <c r="AL306" s="35"/>
      <c r="AM306" s="35"/>
      <c r="AN306" s="35"/>
      <c r="AO306" s="35"/>
      <c r="AP306" s="35"/>
      <c r="AQ306" s="35"/>
      <c r="AR306" s="35"/>
    </row>
    <row r="307" spans="5:44" x14ac:dyDescent="0.3">
      <c r="E307" s="37">
        <f t="shared" si="25"/>
        <v>45718</v>
      </c>
      <c r="F307" s="30" t="str">
        <f>_xll.CbondsStockAvgPrice($B$1,E307,$B$27)</f>
        <v>Нет данных</v>
      </c>
      <c r="G307" s="31">
        <f t="shared" si="22"/>
        <v>167.42</v>
      </c>
      <c r="H307" s="88" t="str">
        <f>IF(_xll.CbondsStockTradingVolume($B$1,E307,$B$27) &lt;&gt; "Нет данных",_xll.CbondsStockTradingVolume($B$1,E307,$B$27),"0")</f>
        <v>0</v>
      </c>
      <c r="I307" s="88" t="str">
        <f>IF(_xll.CbondsStockDealsNumber($B$1,E307,$B$27) &lt;&gt; "Нет данных",_xll.CbondsStockDealsNumber($B$1,E307,$B$27),"0")</f>
        <v>0</v>
      </c>
      <c r="K307" s="88" t="str">
        <f>_xll.CbondsIndexValue(VLOOKUP($K$1,'Help Page'!$Q:$S,3,0),Calculation!E307)</f>
        <v>Нет данных</v>
      </c>
      <c r="L307" s="88">
        <f t="shared" si="23"/>
        <v>20804.830000000002</v>
      </c>
      <c r="M307" s="88" t="str">
        <f>_xll.CbondsIndexValue(VLOOKUP($M$1,'Help Page'!$Q:$S,3,0),Calculation!E307)</f>
        <v>Нет данных</v>
      </c>
      <c r="N307" s="88">
        <f t="shared" si="24"/>
        <v>8812.39</v>
      </c>
      <c r="AK307" s="35"/>
      <c r="AL307" s="35"/>
      <c r="AM307" s="35"/>
      <c r="AN307" s="35"/>
      <c r="AO307" s="35"/>
      <c r="AP307" s="35"/>
      <c r="AQ307" s="35"/>
      <c r="AR307" s="35"/>
    </row>
    <row r="308" spans="5:44" x14ac:dyDescent="0.3">
      <c r="E308" s="37">
        <f t="shared" si="25"/>
        <v>45717</v>
      </c>
      <c r="F308" s="30" t="str">
        <f>_xll.CbondsStockAvgPrice($B$1,E308,$B$27)</f>
        <v>Нет данных</v>
      </c>
      <c r="G308" s="31">
        <f t="shared" si="22"/>
        <v>167.42</v>
      </c>
      <c r="H308" s="88" t="str">
        <f>IF(_xll.CbondsStockTradingVolume($B$1,E308,$B$27) &lt;&gt; "Нет данных",_xll.CbondsStockTradingVolume($B$1,E308,$B$27),"0")</f>
        <v>0</v>
      </c>
      <c r="I308" s="88" t="str">
        <f>IF(_xll.CbondsStockDealsNumber($B$1,E308,$B$27) &lt;&gt; "Нет данных",_xll.CbondsStockDealsNumber($B$1,E308,$B$27),"0")</f>
        <v>0</v>
      </c>
      <c r="K308" s="88" t="str">
        <f>_xll.CbondsIndexValue(VLOOKUP($K$1,'Help Page'!$Q:$S,3,0),Calculation!E308)</f>
        <v>Нет данных</v>
      </c>
      <c r="L308" s="88">
        <f t="shared" si="23"/>
        <v>20804.830000000002</v>
      </c>
      <c r="M308" s="88" t="str">
        <f>_xll.CbondsIndexValue(VLOOKUP($M$1,'Help Page'!$Q:$S,3,0),Calculation!E308)</f>
        <v>Нет данных</v>
      </c>
      <c r="N308" s="88">
        <f t="shared" si="24"/>
        <v>8812.39</v>
      </c>
      <c r="AK308" s="35"/>
      <c r="AL308" s="35"/>
      <c r="AM308" s="35"/>
      <c r="AN308" s="35"/>
      <c r="AO308" s="35"/>
      <c r="AP308" s="35"/>
      <c r="AQ308" s="35"/>
      <c r="AR308" s="35"/>
    </row>
    <row r="309" spans="5:44" x14ac:dyDescent="0.3">
      <c r="E309" s="37">
        <f t="shared" si="25"/>
        <v>45716</v>
      </c>
      <c r="F309" s="30">
        <f>_xll.CbondsStockAvgPrice($B$1,E309,$B$27)</f>
        <v>167.42</v>
      </c>
      <c r="G309" s="31">
        <f t="shared" si="22"/>
        <v>167.42</v>
      </c>
      <c r="H309" s="88">
        <f>IF(_xll.CbondsStockTradingVolume($B$1,E309,$B$27) &lt;&gt; "Нет данных",_xll.CbondsStockTradingVolume($B$1,E309,$B$27),"0")</f>
        <v>24516216582.799999</v>
      </c>
      <c r="I309" s="88">
        <f>IF(_xll.CbondsStockDealsNumber($B$1,E309,$B$27) &lt;&gt; "Нет данных",_xll.CbondsStockDealsNumber($B$1,E309,$B$27),"0")</f>
        <v>196449</v>
      </c>
      <c r="K309" s="88">
        <f>_xll.CbondsIndexValue(VLOOKUP($K$1,'Help Page'!$Q:$S,3,0),Calculation!E309)</f>
        <v>20804.830000000002</v>
      </c>
      <c r="L309" s="88">
        <f t="shared" si="23"/>
        <v>20804.830000000002</v>
      </c>
      <c r="M309" s="88">
        <f>_xll.CbondsIndexValue(VLOOKUP($M$1,'Help Page'!$Q:$S,3,0),Calculation!E309)</f>
        <v>8812.39</v>
      </c>
      <c r="N309" s="88">
        <f t="shared" si="24"/>
        <v>8812.39</v>
      </c>
      <c r="AK309" s="35"/>
      <c r="AL309" s="35"/>
      <c r="AM309" s="35"/>
      <c r="AN309" s="35"/>
      <c r="AO309" s="35"/>
      <c r="AP309" s="35"/>
      <c r="AQ309" s="35"/>
      <c r="AR309" s="35"/>
    </row>
    <row r="310" spans="5:44" x14ac:dyDescent="0.3">
      <c r="E310" s="37">
        <f t="shared" si="25"/>
        <v>45715</v>
      </c>
      <c r="F310" s="30">
        <f>_xll.CbondsStockAvgPrice($B$1,E310,$B$27)</f>
        <v>169.26</v>
      </c>
      <c r="G310" s="31">
        <f t="shared" si="22"/>
        <v>169.26</v>
      </c>
      <c r="H310" s="88">
        <f>IF(_xll.CbondsStockTradingVolume($B$1,E310,$B$27) &lt;&gt; "Нет данных",_xll.CbondsStockTradingVolume($B$1,E310,$B$27),"0")</f>
        <v>19565679523.400002</v>
      </c>
      <c r="I310" s="88">
        <f>IF(_xll.CbondsStockDealsNumber($B$1,E310,$B$27) &lt;&gt; "Нет данных",_xll.CbondsStockDealsNumber($B$1,E310,$B$27),"0")</f>
        <v>180686</v>
      </c>
      <c r="K310" s="88">
        <f>_xll.CbondsIndexValue(VLOOKUP($K$1,'Help Page'!$Q:$S,3,0),Calculation!E310)</f>
        <v>21011.84</v>
      </c>
      <c r="L310" s="88">
        <f t="shared" si="23"/>
        <v>21011.84</v>
      </c>
      <c r="M310" s="88">
        <f>_xll.CbondsIndexValue(VLOOKUP($M$1,'Help Page'!$Q:$S,3,0),Calculation!E310)</f>
        <v>8886.8700000000008</v>
      </c>
      <c r="N310" s="88">
        <f t="shared" si="24"/>
        <v>8886.8700000000008</v>
      </c>
      <c r="AK310" s="35"/>
      <c r="AL310" s="35"/>
      <c r="AM310" s="35"/>
      <c r="AN310" s="35"/>
      <c r="AO310" s="35"/>
      <c r="AP310" s="35"/>
      <c r="AQ310" s="35"/>
      <c r="AR310" s="35"/>
    </row>
    <row r="311" spans="5:44" x14ac:dyDescent="0.3">
      <c r="E311" s="37">
        <f t="shared" si="25"/>
        <v>45714</v>
      </c>
      <c r="F311" s="30">
        <f>_xll.CbondsStockAvgPrice($B$1,E311,$B$27)</f>
        <v>171.2</v>
      </c>
      <c r="G311" s="31">
        <f t="shared" si="22"/>
        <v>171.2</v>
      </c>
      <c r="H311" s="88">
        <f>IF(_xll.CbondsStockTradingVolume($B$1,E311,$B$27) &lt;&gt; "Нет данных",_xll.CbondsStockTradingVolume($B$1,E311,$B$27),"0")</f>
        <v>17466274842.900002</v>
      </c>
      <c r="I311" s="88">
        <f>IF(_xll.CbondsStockDealsNumber($B$1,E311,$B$27) &lt;&gt; "Нет данных",_xll.CbondsStockDealsNumber($B$1,E311,$B$27),"0")</f>
        <v>160118</v>
      </c>
      <c r="K311" s="88">
        <f>_xll.CbondsIndexValue(VLOOKUP($K$1,'Help Page'!$Q:$S,3,0),Calculation!E311)</f>
        <v>21255.68</v>
      </c>
      <c r="L311" s="88">
        <f t="shared" si="23"/>
        <v>21255.68</v>
      </c>
      <c r="M311" s="88">
        <f>_xll.CbondsIndexValue(VLOOKUP($M$1,'Help Page'!$Q:$S,3,0),Calculation!E311)</f>
        <v>9034.77</v>
      </c>
      <c r="N311" s="88">
        <f t="shared" si="24"/>
        <v>9034.77</v>
      </c>
      <c r="AK311" s="35"/>
      <c r="AL311" s="35"/>
      <c r="AM311" s="35"/>
      <c r="AN311" s="35"/>
      <c r="AO311" s="35"/>
      <c r="AP311" s="35"/>
      <c r="AQ311" s="35"/>
      <c r="AR311" s="35"/>
    </row>
    <row r="312" spans="5:44" x14ac:dyDescent="0.3">
      <c r="E312" s="37">
        <f t="shared" si="25"/>
        <v>45713</v>
      </c>
      <c r="F312" s="30">
        <f>_xll.CbondsStockAvgPrice($B$1,E312,$B$27)</f>
        <v>176.77</v>
      </c>
      <c r="G312" s="31">
        <f t="shared" si="22"/>
        <v>176.77</v>
      </c>
      <c r="H312" s="88">
        <f>IF(_xll.CbondsStockTradingVolume($B$1,E312,$B$27) &lt;&gt; "Нет данных",_xll.CbondsStockTradingVolume($B$1,E312,$B$27),"0")</f>
        <v>17871363498.700001</v>
      </c>
      <c r="I312" s="88">
        <f>IF(_xll.CbondsStockDealsNumber($B$1,E312,$B$27) &lt;&gt; "Нет данных",_xll.CbondsStockDealsNumber($B$1,E312,$B$27),"0")</f>
        <v>146765</v>
      </c>
      <c r="K312" s="88">
        <f>_xll.CbondsIndexValue(VLOOKUP($K$1,'Help Page'!$Q:$S,3,0),Calculation!E312)</f>
        <v>21589.13</v>
      </c>
      <c r="L312" s="88">
        <f t="shared" si="23"/>
        <v>21589.13</v>
      </c>
      <c r="M312" s="88">
        <f>_xll.CbondsIndexValue(VLOOKUP($M$1,'Help Page'!$Q:$S,3,0),Calculation!E312)</f>
        <v>9181.3700000000008</v>
      </c>
      <c r="N312" s="88">
        <f t="shared" si="24"/>
        <v>9181.3700000000008</v>
      </c>
      <c r="AK312" s="35"/>
      <c r="AL312" s="35"/>
      <c r="AM312" s="35"/>
      <c r="AN312" s="35"/>
      <c r="AO312" s="35"/>
      <c r="AP312" s="35"/>
      <c r="AQ312" s="35"/>
      <c r="AR312" s="35"/>
    </row>
    <row r="313" spans="5:44" x14ac:dyDescent="0.3">
      <c r="E313" s="37">
        <f t="shared" si="25"/>
        <v>45712</v>
      </c>
      <c r="F313" s="30">
        <f>_xll.CbondsStockAvgPrice($B$1,E313,$B$27)</f>
        <v>172.45</v>
      </c>
      <c r="G313" s="31">
        <f t="shared" si="22"/>
        <v>172.45</v>
      </c>
      <c r="H313" s="88">
        <f>IF(_xll.CbondsStockTradingVolume($B$1,E313,$B$27) &lt;&gt; "Нет данных",_xll.CbondsStockTradingVolume($B$1,E313,$B$27),"0")</f>
        <v>20013153567.599998</v>
      </c>
      <c r="I313" s="88">
        <f>IF(_xll.CbondsStockDealsNumber($B$1,E313,$B$27) &lt;&gt; "Нет данных",_xll.CbondsStockDealsNumber($B$1,E313,$B$27),"0")</f>
        <v>166581</v>
      </c>
      <c r="K313" s="88">
        <f>_xll.CbondsIndexValue(VLOOKUP($K$1,'Help Page'!$Q:$S,3,0),Calculation!E313)</f>
        <v>21439.33</v>
      </c>
      <c r="L313" s="88">
        <f t="shared" si="23"/>
        <v>21439.33</v>
      </c>
      <c r="M313" s="88">
        <f>_xll.CbondsIndexValue(VLOOKUP($M$1,'Help Page'!$Q:$S,3,0),Calculation!E313)</f>
        <v>9128.86</v>
      </c>
      <c r="N313" s="88">
        <f t="shared" si="24"/>
        <v>9128.86</v>
      </c>
      <c r="AK313" s="35"/>
      <c r="AL313" s="35"/>
      <c r="AM313" s="35"/>
      <c r="AN313" s="35"/>
      <c r="AO313" s="35"/>
      <c r="AP313" s="35"/>
      <c r="AQ313" s="35"/>
      <c r="AR313" s="35"/>
    </row>
    <row r="314" spans="5:44" x14ac:dyDescent="0.3">
      <c r="E314" s="37">
        <f t="shared" si="25"/>
        <v>45711</v>
      </c>
      <c r="F314" s="30" t="str">
        <f>_xll.CbondsStockAvgPrice($B$1,E314,$B$27)</f>
        <v>Нет данных</v>
      </c>
      <c r="G314" s="31">
        <f t="shared" si="22"/>
        <v>170.61</v>
      </c>
      <c r="H314" s="88" t="str">
        <f>IF(_xll.CbondsStockTradingVolume($B$1,E314,$B$27) &lt;&gt; "Нет данных",_xll.CbondsStockTradingVolume($B$1,E314,$B$27),"0")</f>
        <v>0</v>
      </c>
      <c r="I314" s="88" t="str">
        <f>IF(_xll.CbondsStockDealsNumber($B$1,E314,$B$27) &lt;&gt; "Нет данных",_xll.CbondsStockDealsNumber($B$1,E314,$B$27),"0")</f>
        <v>0</v>
      </c>
      <c r="K314" s="88" t="str">
        <f>_xll.CbondsIndexValue(VLOOKUP($K$1,'Help Page'!$Q:$S,3,0),Calculation!E314)</f>
        <v>Нет данных</v>
      </c>
      <c r="L314" s="88">
        <f t="shared" si="23"/>
        <v>21322.58</v>
      </c>
      <c r="M314" s="88" t="str">
        <f>_xll.CbondsIndexValue(VLOOKUP($M$1,'Help Page'!$Q:$S,3,0),Calculation!E314)</f>
        <v>Нет данных</v>
      </c>
      <c r="N314" s="88">
        <f t="shared" si="24"/>
        <v>9113.19</v>
      </c>
      <c r="AK314" s="35"/>
      <c r="AL314" s="35"/>
      <c r="AM314" s="35"/>
      <c r="AN314" s="35"/>
      <c r="AO314" s="35"/>
      <c r="AP314" s="35"/>
      <c r="AQ314" s="35"/>
      <c r="AR314" s="35"/>
    </row>
    <row r="315" spans="5:44" x14ac:dyDescent="0.3">
      <c r="E315" s="37">
        <f t="shared" si="25"/>
        <v>45710</v>
      </c>
      <c r="F315" s="30" t="str">
        <f>_xll.CbondsStockAvgPrice($B$1,E315,$B$27)</f>
        <v>Нет данных</v>
      </c>
      <c r="G315" s="31">
        <f t="shared" si="22"/>
        <v>170.61</v>
      </c>
      <c r="H315" s="88" t="str">
        <f>IF(_xll.CbondsStockTradingVolume($B$1,E315,$B$27) &lt;&gt; "Нет данных",_xll.CbondsStockTradingVolume($B$1,E315,$B$27),"0")</f>
        <v>0</v>
      </c>
      <c r="I315" s="88" t="str">
        <f>IF(_xll.CbondsStockDealsNumber($B$1,E315,$B$27) &lt;&gt; "Нет данных",_xll.CbondsStockDealsNumber($B$1,E315,$B$27),"0")</f>
        <v>0</v>
      </c>
      <c r="K315" s="88" t="str">
        <f>_xll.CbondsIndexValue(VLOOKUP($K$1,'Help Page'!$Q:$S,3,0),Calculation!E315)</f>
        <v>Нет данных</v>
      </c>
      <c r="L315" s="88">
        <f t="shared" si="23"/>
        <v>21322.58</v>
      </c>
      <c r="M315" s="88" t="str">
        <f>_xll.CbondsIndexValue(VLOOKUP($M$1,'Help Page'!$Q:$S,3,0),Calculation!E315)</f>
        <v>Нет данных</v>
      </c>
      <c r="N315" s="88">
        <f t="shared" si="24"/>
        <v>9113.19</v>
      </c>
      <c r="AK315" s="35"/>
      <c r="AL315" s="35"/>
      <c r="AM315" s="35"/>
      <c r="AN315" s="35"/>
      <c r="AO315" s="35"/>
      <c r="AP315" s="35"/>
      <c r="AQ315" s="35"/>
      <c r="AR315" s="35"/>
    </row>
    <row r="316" spans="5:44" x14ac:dyDescent="0.3">
      <c r="E316" s="37">
        <f t="shared" si="25"/>
        <v>45709</v>
      </c>
      <c r="F316" s="30">
        <f>_xll.CbondsStockAvgPrice($B$1,E316,$B$27)</f>
        <v>170.61</v>
      </c>
      <c r="G316" s="31">
        <f t="shared" si="22"/>
        <v>170.61</v>
      </c>
      <c r="H316" s="88">
        <f>IF(_xll.CbondsStockTradingVolume($B$1,E316,$B$27) &lt;&gt; "Нет данных",_xll.CbondsStockTradingVolume($B$1,E316,$B$27),"0")</f>
        <v>17384025258.799999</v>
      </c>
      <c r="I316" s="88">
        <f>IF(_xll.CbondsStockDealsNumber($B$1,E316,$B$27) &lt;&gt; "Нет данных",_xll.CbondsStockDealsNumber($B$1,E316,$B$27),"0")</f>
        <v>140120</v>
      </c>
      <c r="K316" s="88">
        <f>_xll.CbondsIndexValue(VLOOKUP($K$1,'Help Page'!$Q:$S,3,0),Calculation!E316)</f>
        <v>21322.58</v>
      </c>
      <c r="L316" s="88">
        <f t="shared" si="23"/>
        <v>21322.58</v>
      </c>
      <c r="M316" s="88">
        <f>_xll.CbondsIndexValue(VLOOKUP($M$1,'Help Page'!$Q:$S,3,0),Calculation!E316)</f>
        <v>9113.19</v>
      </c>
      <c r="N316" s="88">
        <f t="shared" si="24"/>
        <v>9113.19</v>
      </c>
      <c r="AK316" s="35"/>
      <c r="AL316" s="35"/>
      <c r="AM316" s="35"/>
      <c r="AN316" s="35"/>
      <c r="AO316" s="35"/>
      <c r="AP316" s="35"/>
      <c r="AQ316" s="35"/>
      <c r="AR316" s="35"/>
    </row>
    <row r="317" spans="5:44" x14ac:dyDescent="0.3">
      <c r="E317" s="37">
        <f t="shared" si="25"/>
        <v>45708</v>
      </c>
      <c r="F317" s="30">
        <f>_xll.CbondsStockAvgPrice($B$1,E317,$B$27)</f>
        <v>174.2</v>
      </c>
      <c r="G317" s="31">
        <f t="shared" si="22"/>
        <v>174.2</v>
      </c>
      <c r="H317" s="88">
        <f>IF(_xll.CbondsStockTradingVolume($B$1,E317,$B$27) &lt;&gt; "Нет данных",_xll.CbondsStockTradingVolume($B$1,E317,$B$27),"0")</f>
        <v>14777846145.9</v>
      </c>
      <c r="I317" s="88">
        <f>IF(_xll.CbondsStockDealsNumber($B$1,E317,$B$27) &lt;&gt; "Нет данных",_xll.CbondsStockDealsNumber($B$1,E317,$B$27),"0")</f>
        <v>156369</v>
      </c>
      <c r="K317" s="88">
        <f>_xll.CbondsIndexValue(VLOOKUP($K$1,'Help Page'!$Q:$S,3,0),Calculation!E317)</f>
        <v>21410.43</v>
      </c>
      <c r="L317" s="88">
        <f t="shared" si="23"/>
        <v>21410.43</v>
      </c>
      <c r="M317" s="88">
        <f>_xll.CbondsIndexValue(VLOOKUP($M$1,'Help Page'!$Q:$S,3,0),Calculation!E317)</f>
        <v>9129.81</v>
      </c>
      <c r="N317" s="88">
        <f t="shared" si="24"/>
        <v>9129.81</v>
      </c>
      <c r="AK317" s="35"/>
      <c r="AL317" s="35"/>
      <c r="AM317" s="35"/>
      <c r="AN317" s="35"/>
      <c r="AO317" s="35"/>
      <c r="AP317" s="35"/>
      <c r="AQ317" s="35"/>
      <c r="AR317" s="35"/>
    </row>
    <row r="318" spans="5:44" x14ac:dyDescent="0.3">
      <c r="E318" s="37">
        <f t="shared" si="25"/>
        <v>45707</v>
      </c>
      <c r="F318" s="30">
        <f>_xll.CbondsStockAvgPrice($B$1,E318,$B$27)</f>
        <v>172.63</v>
      </c>
      <c r="G318" s="31">
        <f t="shared" si="22"/>
        <v>172.63</v>
      </c>
      <c r="H318" s="88">
        <f>IF(_xll.CbondsStockTradingVolume($B$1,E318,$B$27) &lt;&gt; "Нет данных",_xll.CbondsStockTradingVolume($B$1,E318,$B$27),"0")</f>
        <v>24250819162.200001</v>
      </c>
      <c r="I318" s="88">
        <f>IF(_xll.CbondsStockDealsNumber($B$1,E318,$B$27) &lt;&gt; "Нет данных",_xll.CbondsStockDealsNumber($B$1,E318,$B$27),"0")</f>
        <v>208180</v>
      </c>
      <c r="K318" s="88">
        <f>_xll.CbondsIndexValue(VLOOKUP($K$1,'Help Page'!$Q:$S,3,0),Calculation!E318)</f>
        <v>21295.4</v>
      </c>
      <c r="L318" s="88">
        <f t="shared" si="23"/>
        <v>21295.4</v>
      </c>
      <c r="M318" s="88">
        <f>_xll.CbondsIndexValue(VLOOKUP($M$1,'Help Page'!$Q:$S,3,0),Calculation!E318)</f>
        <v>9040.2800000000007</v>
      </c>
      <c r="N318" s="88">
        <f t="shared" si="24"/>
        <v>9040.2800000000007</v>
      </c>
      <c r="AK318" s="35"/>
      <c r="AL318" s="35"/>
      <c r="AM318" s="35"/>
      <c r="AN318" s="35"/>
      <c r="AO318" s="35"/>
      <c r="AP318" s="35"/>
      <c r="AQ318" s="35"/>
      <c r="AR318" s="35"/>
    </row>
    <row r="319" spans="5:44" x14ac:dyDescent="0.3">
      <c r="E319" s="37">
        <f t="shared" si="25"/>
        <v>45706</v>
      </c>
      <c r="F319" s="30">
        <f>_xll.CbondsStockAvgPrice($B$1,E319,$B$27)</f>
        <v>175.51</v>
      </c>
      <c r="G319" s="31">
        <f t="shared" si="22"/>
        <v>175.51</v>
      </c>
      <c r="H319" s="88">
        <f>IF(_xll.CbondsStockTradingVolume($B$1,E319,$B$27) &lt;&gt; "Нет данных",_xll.CbondsStockTradingVolume($B$1,E319,$B$27),"0")</f>
        <v>56022723157.099998</v>
      </c>
      <c r="I319" s="88">
        <f>IF(_xll.CbondsStockDealsNumber($B$1,E319,$B$27) &lt;&gt; "Нет данных",_xll.CbondsStockDealsNumber($B$1,E319,$B$27),"0")</f>
        <v>405134</v>
      </c>
      <c r="K319" s="88">
        <f>_xll.CbondsIndexValue(VLOOKUP($K$1,'Help Page'!$Q:$S,3,0),Calculation!E319)</f>
        <v>21193.06</v>
      </c>
      <c r="L319" s="88">
        <f t="shared" si="23"/>
        <v>21193.06</v>
      </c>
      <c r="M319" s="88">
        <f>_xll.CbondsIndexValue(VLOOKUP($M$1,'Help Page'!$Q:$S,3,0),Calculation!E319)</f>
        <v>9018.8700000000008</v>
      </c>
      <c r="N319" s="88">
        <f t="shared" si="24"/>
        <v>9018.8700000000008</v>
      </c>
      <c r="AK319" s="35"/>
      <c r="AL319" s="35"/>
      <c r="AM319" s="35"/>
      <c r="AN319" s="35"/>
      <c r="AO319" s="35"/>
      <c r="AP319" s="35"/>
      <c r="AQ319" s="35"/>
      <c r="AR319" s="35"/>
    </row>
    <row r="320" spans="5:44" x14ac:dyDescent="0.3">
      <c r="E320" s="37">
        <f t="shared" si="25"/>
        <v>45705</v>
      </c>
      <c r="F320" s="30">
        <f>_xll.CbondsStockAvgPrice($B$1,E320,$B$27)</f>
        <v>174.51</v>
      </c>
      <c r="G320" s="31">
        <f t="shared" si="22"/>
        <v>174.51</v>
      </c>
      <c r="H320" s="88">
        <f>IF(_xll.CbondsStockTradingVolume($B$1,E320,$B$27) &lt;&gt; "Нет данных",_xll.CbondsStockTradingVolume($B$1,E320,$B$27),"0")</f>
        <v>37377111963.5</v>
      </c>
      <c r="I320" s="88">
        <f>IF(_xll.CbondsStockDealsNumber($B$1,E320,$B$27) &lt;&gt; "Нет данных",_xll.CbondsStockDealsNumber($B$1,E320,$B$27),"0")</f>
        <v>309512</v>
      </c>
      <c r="K320" s="88">
        <f>_xll.CbondsIndexValue(VLOOKUP($K$1,'Help Page'!$Q:$S,3,0),Calculation!E320)</f>
        <v>21512.71</v>
      </c>
      <c r="L320" s="88">
        <f t="shared" si="23"/>
        <v>21512.71</v>
      </c>
      <c r="M320" s="88">
        <f>_xll.CbondsIndexValue(VLOOKUP($M$1,'Help Page'!$Q:$S,3,0),Calculation!E320)</f>
        <v>9150.89</v>
      </c>
      <c r="N320" s="88">
        <f t="shared" si="24"/>
        <v>9150.89</v>
      </c>
      <c r="AK320" s="35"/>
      <c r="AL320" s="35"/>
      <c r="AM320" s="35"/>
      <c r="AN320" s="35"/>
      <c r="AO320" s="35"/>
      <c r="AP320" s="35"/>
      <c r="AQ320" s="35"/>
      <c r="AR320" s="35"/>
    </row>
    <row r="321" spans="5:44" x14ac:dyDescent="0.3">
      <c r="E321" s="37">
        <f t="shared" si="25"/>
        <v>45704</v>
      </c>
      <c r="F321" s="30" t="str">
        <f>_xll.CbondsStockAvgPrice($B$1,E321,$B$27)</f>
        <v>Нет данных</v>
      </c>
      <c r="G321" s="31">
        <f t="shared" si="22"/>
        <v>169.1</v>
      </c>
      <c r="H321" s="88" t="str">
        <f>IF(_xll.CbondsStockTradingVolume($B$1,E321,$B$27) &lt;&gt; "Нет данных",_xll.CbondsStockTradingVolume($B$1,E321,$B$27),"0")</f>
        <v>0</v>
      </c>
      <c r="I321" s="88" t="str">
        <f>IF(_xll.CbondsStockDealsNumber($B$1,E321,$B$27) &lt;&gt; "Нет данных",_xll.CbondsStockDealsNumber($B$1,E321,$B$27),"0")</f>
        <v>0</v>
      </c>
      <c r="K321" s="88" t="str">
        <f>_xll.CbondsIndexValue(VLOOKUP($K$1,'Help Page'!$Q:$S,3,0),Calculation!E321)</f>
        <v>Нет данных</v>
      </c>
      <c r="L321" s="88">
        <f t="shared" si="23"/>
        <v>20680</v>
      </c>
      <c r="M321" s="88" t="str">
        <f>_xll.CbondsIndexValue(VLOOKUP($M$1,'Help Page'!$Q:$S,3,0),Calculation!E321)</f>
        <v>Нет данных</v>
      </c>
      <c r="N321" s="88">
        <f t="shared" si="24"/>
        <v>8785.2900000000009</v>
      </c>
      <c r="AK321" s="35"/>
      <c r="AL321" s="35"/>
      <c r="AM321" s="35"/>
      <c r="AN321" s="35"/>
      <c r="AO321" s="35"/>
      <c r="AP321" s="35"/>
      <c r="AQ321" s="35"/>
      <c r="AR321" s="35"/>
    </row>
    <row r="322" spans="5:44" x14ac:dyDescent="0.3">
      <c r="E322" s="37">
        <f t="shared" si="25"/>
        <v>45703</v>
      </c>
      <c r="F322" s="30" t="str">
        <f>_xll.CbondsStockAvgPrice($B$1,E322,$B$27)</f>
        <v>Нет данных</v>
      </c>
      <c r="G322" s="31">
        <f t="shared" si="22"/>
        <v>169.1</v>
      </c>
      <c r="H322" s="88" t="str">
        <f>IF(_xll.CbondsStockTradingVolume($B$1,E322,$B$27) &lt;&gt; "Нет данных",_xll.CbondsStockTradingVolume($B$1,E322,$B$27),"0")</f>
        <v>0</v>
      </c>
      <c r="I322" s="88" t="str">
        <f>IF(_xll.CbondsStockDealsNumber($B$1,E322,$B$27) &lt;&gt; "Нет данных",_xll.CbondsStockDealsNumber($B$1,E322,$B$27),"0")</f>
        <v>0</v>
      </c>
      <c r="K322" s="88" t="str">
        <f>_xll.CbondsIndexValue(VLOOKUP($K$1,'Help Page'!$Q:$S,3,0),Calculation!E322)</f>
        <v>Нет данных</v>
      </c>
      <c r="L322" s="88">
        <f t="shared" si="23"/>
        <v>20680</v>
      </c>
      <c r="M322" s="88" t="str">
        <f>_xll.CbondsIndexValue(VLOOKUP($M$1,'Help Page'!$Q:$S,3,0),Calculation!E322)</f>
        <v>Нет данных</v>
      </c>
      <c r="N322" s="88">
        <f t="shared" si="24"/>
        <v>8785.2900000000009</v>
      </c>
      <c r="AK322" s="35"/>
      <c r="AL322" s="35"/>
      <c r="AM322" s="35"/>
      <c r="AN322" s="35"/>
      <c r="AO322" s="35"/>
      <c r="AP322" s="35"/>
      <c r="AQ322" s="35"/>
      <c r="AR322" s="35"/>
    </row>
    <row r="323" spans="5:44" x14ac:dyDescent="0.3">
      <c r="E323" s="37">
        <f t="shared" si="25"/>
        <v>45702</v>
      </c>
      <c r="F323" s="30">
        <f>_xll.CbondsStockAvgPrice($B$1,E323,$B$27)</f>
        <v>169.1</v>
      </c>
      <c r="G323" s="31">
        <f t="shared" ref="G323:G373" si="26">IF(IF(AND(F323="",E323=""),"",IF(AND(F323="Нет данных",E323&lt;&gt;""),G324,F323)) = 0,"",IF(AND(F323="",E323=""),"",IF(AND(F323="Нет данных",E323&lt;&gt;""),G324,F323)))</f>
        <v>169.1</v>
      </c>
      <c r="H323" s="88">
        <f>IF(_xll.CbondsStockTradingVolume($B$1,E323,$B$27) &lt;&gt; "Нет данных",_xll.CbondsStockTradingVolume($B$1,E323,$B$27),"0")</f>
        <v>55042132529.199997</v>
      </c>
      <c r="I323" s="88">
        <f>IF(_xll.CbondsStockDealsNumber($B$1,E323,$B$27) &lt;&gt; "Нет данных",_xll.CbondsStockDealsNumber($B$1,E323,$B$27),"0")</f>
        <v>442098</v>
      </c>
      <c r="K323" s="88">
        <f>_xll.CbondsIndexValue(VLOOKUP($K$1,'Help Page'!$Q:$S,3,0),Calculation!E323)</f>
        <v>20680</v>
      </c>
      <c r="L323" s="88">
        <f t="shared" ref="L323:L373" si="27">IF(IF(AND(K323="",$E323=""),"",IF(AND(K323="Нет данных",$E323&lt;&gt;""),L324,K323)) = 0,"",IF(AND(K323="",$E323=""),"",IF(AND(K323="Нет данных",$E323&lt;&gt;""),L324,K323)))</f>
        <v>20680</v>
      </c>
      <c r="M323" s="88">
        <f>_xll.CbondsIndexValue(VLOOKUP($M$1,'Help Page'!$Q:$S,3,0),Calculation!E323)</f>
        <v>8785.2900000000009</v>
      </c>
      <c r="N323" s="88">
        <f t="shared" ref="N323:N373" si="28">IF(IF(AND(M323="",$E323=""),"",IF(AND(M323="Нет данных",$E323&lt;&gt;""),N324,M323)) = 0,"",IF(AND(M323="",$E323=""),"",IF(AND(M323="Нет данных",$E323&lt;&gt;""),N324,M323)))</f>
        <v>8785.2900000000009</v>
      </c>
      <c r="AK323" s="35"/>
      <c r="AL323" s="35"/>
      <c r="AM323" s="35"/>
      <c r="AN323" s="35"/>
      <c r="AO323" s="35"/>
      <c r="AP323" s="35"/>
      <c r="AQ323" s="35"/>
      <c r="AR323" s="35"/>
    </row>
    <row r="324" spans="5:44" x14ac:dyDescent="0.3">
      <c r="E324" s="37">
        <f t="shared" ref="E324:E373" si="29">E323-1</f>
        <v>45701</v>
      </c>
      <c r="F324" s="30">
        <f>_xll.CbondsStockAvgPrice($B$1,E324,$B$27)</f>
        <v>165.15</v>
      </c>
      <c r="G324" s="31">
        <f t="shared" si="26"/>
        <v>165.15</v>
      </c>
      <c r="H324" s="88">
        <f>IF(_xll.CbondsStockTradingVolume($B$1,E324,$B$27) &lt;&gt; "Нет данных",_xll.CbondsStockTradingVolume($B$1,E324,$B$27),"0")</f>
        <v>87982590489</v>
      </c>
      <c r="I324" s="88">
        <f>IF(_xll.CbondsStockDealsNumber($B$1,E324,$B$27) &lt;&gt; "Нет данных",_xll.CbondsStockDealsNumber($B$1,E324,$B$27),"0")</f>
        <v>666320</v>
      </c>
      <c r="K324" s="88">
        <f>_xll.CbondsIndexValue(VLOOKUP($K$1,'Help Page'!$Q:$S,3,0),Calculation!E324)</f>
        <v>20824.169999999998</v>
      </c>
      <c r="L324" s="88">
        <f t="shared" si="27"/>
        <v>20824.169999999998</v>
      </c>
      <c r="M324" s="88">
        <f>_xll.CbondsIndexValue(VLOOKUP($M$1,'Help Page'!$Q:$S,3,0),Calculation!E324)</f>
        <v>8899.6</v>
      </c>
      <c r="N324" s="88">
        <f t="shared" si="28"/>
        <v>8899.6</v>
      </c>
      <c r="AK324" s="35"/>
      <c r="AL324" s="35"/>
      <c r="AM324" s="35"/>
      <c r="AN324" s="35"/>
      <c r="AO324" s="35"/>
      <c r="AP324" s="35"/>
      <c r="AQ324" s="35"/>
      <c r="AR324" s="35"/>
    </row>
    <row r="325" spans="5:44" x14ac:dyDescent="0.3">
      <c r="E325" s="37">
        <f t="shared" si="29"/>
        <v>45700</v>
      </c>
      <c r="F325" s="30">
        <f>_xll.CbondsStockAvgPrice($B$1,E325,$B$27)</f>
        <v>149.41999999999999</v>
      </c>
      <c r="G325" s="31">
        <f t="shared" si="26"/>
        <v>149.41999999999999</v>
      </c>
      <c r="H325" s="88">
        <f>IF(_xll.CbondsStockTradingVolume($B$1,E325,$B$27) &lt;&gt; "Нет данных",_xll.CbondsStockTradingVolume($B$1,E325,$B$27),"0")</f>
        <v>34848041637.199997</v>
      </c>
      <c r="I325" s="88">
        <f>IF(_xll.CbondsStockDealsNumber($B$1,E325,$B$27) &lt;&gt; "Нет данных",_xll.CbondsStockDealsNumber($B$1,E325,$B$27),"0")</f>
        <v>232088</v>
      </c>
      <c r="K325" s="88">
        <f>_xll.CbondsIndexValue(VLOOKUP($K$1,'Help Page'!$Q:$S,3,0),Calculation!E325)</f>
        <v>19566.919999999998</v>
      </c>
      <c r="L325" s="88">
        <f t="shared" si="27"/>
        <v>19566.919999999998</v>
      </c>
      <c r="M325" s="88">
        <f>_xll.CbondsIndexValue(VLOOKUP($M$1,'Help Page'!$Q:$S,3,0),Calculation!E325)</f>
        <v>8440.16</v>
      </c>
      <c r="N325" s="88">
        <f t="shared" si="28"/>
        <v>8440.16</v>
      </c>
      <c r="AK325" s="35"/>
      <c r="AL325" s="35"/>
      <c r="AM325" s="35"/>
      <c r="AN325" s="35"/>
      <c r="AO325" s="35"/>
      <c r="AP325" s="35"/>
      <c r="AQ325" s="35"/>
      <c r="AR325" s="35"/>
    </row>
    <row r="326" spans="5:44" x14ac:dyDescent="0.3">
      <c r="E326" s="37">
        <f t="shared" si="29"/>
        <v>45699</v>
      </c>
      <c r="F326" s="30">
        <f>_xll.CbondsStockAvgPrice($B$1,E326,$B$27)</f>
        <v>142.51</v>
      </c>
      <c r="G326" s="31">
        <f t="shared" si="26"/>
        <v>142.51</v>
      </c>
      <c r="H326" s="88">
        <f>IF(_xll.CbondsStockTradingVolume($B$1,E326,$B$27) &lt;&gt; "Нет данных",_xll.CbondsStockTradingVolume($B$1,E326,$B$27),"0")</f>
        <v>6663974172.6000004</v>
      </c>
      <c r="I326" s="88">
        <f>IF(_xll.CbondsStockDealsNumber($B$1,E326,$B$27) &lt;&gt; "Нет данных",_xll.CbondsStockDealsNumber($B$1,E326,$B$27),"0")</f>
        <v>79042</v>
      </c>
      <c r="K326" s="88">
        <f>_xll.CbondsIndexValue(VLOOKUP($K$1,'Help Page'!$Q:$S,3,0),Calculation!E326)</f>
        <v>19474.64</v>
      </c>
      <c r="L326" s="88">
        <f t="shared" si="27"/>
        <v>19474.64</v>
      </c>
      <c r="M326" s="88">
        <f>_xll.CbondsIndexValue(VLOOKUP($M$1,'Help Page'!$Q:$S,3,0),Calculation!E326)</f>
        <v>8413.59</v>
      </c>
      <c r="N326" s="88">
        <f t="shared" si="28"/>
        <v>8413.59</v>
      </c>
      <c r="AK326" s="35"/>
      <c r="AL326" s="35"/>
      <c r="AM326" s="35"/>
      <c r="AN326" s="35"/>
      <c r="AO326" s="35"/>
      <c r="AP326" s="35"/>
      <c r="AQ326" s="35"/>
      <c r="AR326" s="35"/>
    </row>
    <row r="327" spans="5:44" x14ac:dyDescent="0.3">
      <c r="E327" s="37">
        <f t="shared" si="29"/>
        <v>45698</v>
      </c>
      <c r="F327" s="30">
        <f>_xll.CbondsStockAvgPrice($B$1,E327,$B$27)</f>
        <v>143.47999999999999</v>
      </c>
      <c r="G327" s="31">
        <f t="shared" si="26"/>
        <v>143.47999999999999</v>
      </c>
      <c r="H327" s="88">
        <f>IF(_xll.CbondsStockTradingVolume($B$1,E327,$B$27) &lt;&gt; "Нет данных",_xll.CbondsStockTradingVolume($B$1,E327,$B$27),"0")</f>
        <v>8945796246</v>
      </c>
      <c r="I327" s="88">
        <f>IF(_xll.CbondsStockDealsNumber($B$1,E327,$B$27) &lt;&gt; "Нет данных",_xll.CbondsStockDealsNumber($B$1,E327,$B$27),"0")</f>
        <v>90807</v>
      </c>
      <c r="K327" s="88">
        <f>_xll.CbondsIndexValue(VLOOKUP($K$1,'Help Page'!$Q:$S,3,0),Calculation!E327)</f>
        <v>19462.07</v>
      </c>
      <c r="L327" s="88">
        <f t="shared" si="27"/>
        <v>19462.07</v>
      </c>
      <c r="M327" s="88">
        <f>_xll.CbondsIndexValue(VLOOKUP($M$1,'Help Page'!$Q:$S,3,0),Calculation!E327)</f>
        <v>8399.82</v>
      </c>
      <c r="N327" s="88">
        <f t="shared" si="28"/>
        <v>8399.82</v>
      </c>
      <c r="AK327" s="35"/>
      <c r="AL327" s="35"/>
      <c r="AM327" s="35"/>
      <c r="AN327" s="35"/>
      <c r="AO327" s="35"/>
      <c r="AP327" s="35"/>
      <c r="AQ327" s="35"/>
      <c r="AR327" s="35"/>
    </row>
    <row r="328" spans="5:44" x14ac:dyDescent="0.3">
      <c r="E328" s="37">
        <f t="shared" si="29"/>
        <v>45697</v>
      </c>
      <c r="F328" s="30" t="str">
        <f>_xll.CbondsStockAvgPrice($B$1,E328,$B$27)</f>
        <v>Нет данных</v>
      </c>
      <c r="G328" s="31">
        <f t="shared" si="26"/>
        <v>142.11000000000001</v>
      </c>
      <c r="H328" s="88" t="str">
        <f>IF(_xll.CbondsStockTradingVolume($B$1,E328,$B$27) &lt;&gt; "Нет данных",_xll.CbondsStockTradingVolume($B$1,E328,$B$27),"0")</f>
        <v>0</v>
      </c>
      <c r="I328" s="88" t="str">
        <f>IF(_xll.CbondsStockDealsNumber($B$1,E328,$B$27) &lt;&gt; "Нет данных",_xll.CbondsStockDealsNumber($B$1,E328,$B$27),"0")</f>
        <v>0</v>
      </c>
      <c r="K328" s="88" t="str">
        <f>_xll.CbondsIndexValue(VLOOKUP($K$1,'Help Page'!$Q:$S,3,0),Calculation!E328)</f>
        <v>Нет данных</v>
      </c>
      <c r="L328" s="88">
        <f t="shared" si="27"/>
        <v>19155.43</v>
      </c>
      <c r="M328" s="88" t="str">
        <f>_xll.CbondsIndexValue(VLOOKUP($M$1,'Help Page'!$Q:$S,3,0),Calculation!E328)</f>
        <v>Нет данных</v>
      </c>
      <c r="N328" s="88">
        <f t="shared" si="28"/>
        <v>8244.8799999999992</v>
      </c>
      <c r="AK328" s="35"/>
      <c r="AL328" s="35"/>
      <c r="AM328" s="35"/>
      <c r="AN328" s="35"/>
      <c r="AO328" s="35"/>
      <c r="AP328" s="35"/>
      <c r="AQ328" s="35"/>
      <c r="AR328" s="35"/>
    </row>
    <row r="329" spans="5:44" x14ac:dyDescent="0.3">
      <c r="E329" s="37">
        <f t="shared" si="29"/>
        <v>45696</v>
      </c>
      <c r="F329" s="30" t="str">
        <f>_xll.CbondsStockAvgPrice($B$1,E329,$B$27)</f>
        <v>Нет данных</v>
      </c>
      <c r="G329" s="31">
        <f t="shared" si="26"/>
        <v>142.11000000000001</v>
      </c>
      <c r="H329" s="88" t="str">
        <f>IF(_xll.CbondsStockTradingVolume($B$1,E329,$B$27) &lt;&gt; "Нет данных",_xll.CbondsStockTradingVolume($B$1,E329,$B$27),"0")</f>
        <v>0</v>
      </c>
      <c r="I329" s="88" t="str">
        <f>IF(_xll.CbondsStockDealsNumber($B$1,E329,$B$27) &lt;&gt; "Нет данных",_xll.CbondsStockDealsNumber($B$1,E329,$B$27),"0")</f>
        <v>0</v>
      </c>
      <c r="K329" s="88" t="str">
        <f>_xll.CbondsIndexValue(VLOOKUP($K$1,'Help Page'!$Q:$S,3,0),Calculation!E329)</f>
        <v>Нет данных</v>
      </c>
      <c r="L329" s="88">
        <f t="shared" si="27"/>
        <v>19155.43</v>
      </c>
      <c r="M329" s="88" t="str">
        <f>_xll.CbondsIndexValue(VLOOKUP($M$1,'Help Page'!$Q:$S,3,0),Calculation!E329)</f>
        <v>Нет данных</v>
      </c>
      <c r="N329" s="88">
        <f t="shared" si="28"/>
        <v>8244.8799999999992</v>
      </c>
      <c r="AK329" s="35"/>
      <c r="AL329" s="35"/>
      <c r="AM329" s="35"/>
      <c r="AN329" s="35"/>
      <c r="AO329" s="35"/>
      <c r="AP329" s="35"/>
      <c r="AQ329" s="35"/>
      <c r="AR329" s="35"/>
    </row>
    <row r="330" spans="5:44" x14ac:dyDescent="0.3">
      <c r="E330" s="37">
        <f t="shared" si="29"/>
        <v>45695</v>
      </c>
      <c r="F330" s="30">
        <f>_xll.CbondsStockAvgPrice($B$1,E330,$B$27)</f>
        <v>142.11000000000001</v>
      </c>
      <c r="G330" s="31">
        <f t="shared" si="26"/>
        <v>142.11000000000001</v>
      </c>
      <c r="H330" s="88">
        <f>IF(_xll.CbondsStockTradingVolume($B$1,E330,$B$27) &lt;&gt; "Нет данных",_xll.CbondsStockTradingVolume($B$1,E330,$B$27),"0")</f>
        <v>5620473598.1000004</v>
      </c>
      <c r="I330" s="88">
        <f>IF(_xll.CbondsStockDealsNumber($B$1,E330,$B$27) &lt;&gt; "Нет данных",_xll.CbondsStockDealsNumber($B$1,E330,$B$27),"0")</f>
        <v>64182</v>
      </c>
      <c r="K330" s="88">
        <f>_xll.CbondsIndexValue(VLOOKUP($K$1,'Help Page'!$Q:$S,3,0),Calculation!E330)</f>
        <v>19155.43</v>
      </c>
      <c r="L330" s="88">
        <f t="shared" si="27"/>
        <v>19155.43</v>
      </c>
      <c r="M330" s="88">
        <f>_xll.CbondsIndexValue(VLOOKUP($M$1,'Help Page'!$Q:$S,3,0),Calculation!E330)</f>
        <v>8244.8799999999992</v>
      </c>
      <c r="N330" s="88">
        <f t="shared" si="28"/>
        <v>8244.8799999999992</v>
      </c>
      <c r="AK330" s="35"/>
      <c r="AL330" s="35"/>
      <c r="AM330" s="35"/>
      <c r="AN330" s="35"/>
      <c r="AO330" s="35"/>
      <c r="AP330" s="35"/>
      <c r="AQ330" s="35"/>
      <c r="AR330" s="35"/>
    </row>
    <row r="331" spans="5:44" x14ac:dyDescent="0.3">
      <c r="E331" s="37">
        <f t="shared" si="29"/>
        <v>45694</v>
      </c>
      <c r="F331" s="30">
        <f>_xll.CbondsStockAvgPrice($B$1,E331,$B$27)</f>
        <v>141.22999999999999</v>
      </c>
      <c r="G331" s="31">
        <f t="shared" si="26"/>
        <v>141.22999999999999</v>
      </c>
      <c r="H331" s="88">
        <f>IF(_xll.CbondsStockTradingVolume($B$1,E331,$B$27) &lt;&gt; "Нет данных",_xll.CbondsStockTradingVolume($B$1,E331,$B$27),"0")</f>
        <v>10343046246.6</v>
      </c>
      <c r="I331" s="88">
        <f>IF(_xll.CbondsStockDealsNumber($B$1,E331,$B$27) &lt;&gt; "Нет данных",_xll.CbondsStockDealsNumber($B$1,E331,$B$27),"0")</f>
        <v>112178</v>
      </c>
      <c r="K331" s="88">
        <f>_xll.CbondsIndexValue(VLOOKUP($K$1,'Help Page'!$Q:$S,3,0),Calculation!E331)</f>
        <v>19156.13</v>
      </c>
      <c r="L331" s="88">
        <f t="shared" si="27"/>
        <v>19156.13</v>
      </c>
      <c r="M331" s="88">
        <f>_xll.CbondsIndexValue(VLOOKUP($M$1,'Help Page'!$Q:$S,3,0),Calculation!E331)</f>
        <v>8261.5300000000007</v>
      </c>
      <c r="N331" s="88">
        <f t="shared" si="28"/>
        <v>8261.5300000000007</v>
      </c>
      <c r="AK331" s="35"/>
      <c r="AL331" s="35"/>
      <c r="AM331" s="35"/>
      <c r="AN331" s="35"/>
      <c r="AO331" s="35"/>
      <c r="AP331" s="35"/>
      <c r="AQ331" s="35"/>
      <c r="AR331" s="35"/>
    </row>
    <row r="332" spans="5:44" x14ac:dyDescent="0.3">
      <c r="E332" s="37">
        <f t="shared" si="29"/>
        <v>45693</v>
      </c>
      <c r="F332" s="30">
        <f>_xll.CbondsStockAvgPrice($B$1,E332,$B$27)</f>
        <v>138.32</v>
      </c>
      <c r="G332" s="31">
        <f t="shared" si="26"/>
        <v>138.32</v>
      </c>
      <c r="H332" s="88">
        <f>IF(_xll.CbondsStockTradingVolume($B$1,E332,$B$27) &lt;&gt; "Нет данных",_xll.CbondsStockTradingVolume($B$1,E332,$B$27),"0")</f>
        <v>9293505834.2999992</v>
      </c>
      <c r="I332" s="88">
        <f>IF(_xll.CbondsStockDealsNumber($B$1,E332,$B$27) &lt;&gt; "Нет данных",_xll.CbondsStockDealsNumber($B$1,E332,$B$27),"0")</f>
        <v>86978</v>
      </c>
      <c r="K332" s="88">
        <f>_xll.CbondsIndexValue(VLOOKUP($K$1,'Help Page'!$Q:$S,3,0),Calculation!E332)</f>
        <v>18880.91</v>
      </c>
      <c r="L332" s="88">
        <f t="shared" si="27"/>
        <v>18880.91</v>
      </c>
      <c r="M332" s="88">
        <f>_xll.CbondsIndexValue(VLOOKUP($M$1,'Help Page'!$Q:$S,3,0),Calculation!E332)</f>
        <v>8148.18</v>
      </c>
      <c r="N332" s="88">
        <f t="shared" si="28"/>
        <v>8148.18</v>
      </c>
      <c r="AK332" s="35"/>
      <c r="AL332" s="35"/>
      <c r="AM332" s="35"/>
      <c r="AN332" s="35"/>
      <c r="AO332" s="35"/>
      <c r="AP332" s="35"/>
      <c r="AQ332" s="35"/>
      <c r="AR332" s="35"/>
    </row>
    <row r="333" spans="5:44" x14ac:dyDescent="0.3">
      <c r="E333" s="37">
        <f t="shared" si="29"/>
        <v>45692</v>
      </c>
      <c r="F333" s="30">
        <f>_xll.CbondsStockAvgPrice($B$1,E333,$B$27)</f>
        <v>138.26</v>
      </c>
      <c r="G333" s="31">
        <f t="shared" si="26"/>
        <v>138.26</v>
      </c>
      <c r="H333" s="88">
        <f>IF(_xll.CbondsStockTradingVolume($B$1,E333,$B$27) &lt;&gt; "Нет данных",_xll.CbondsStockTradingVolume($B$1,E333,$B$27),"0")</f>
        <v>6967768064.8999996</v>
      </c>
      <c r="I333" s="88">
        <f>IF(_xll.CbondsStockDealsNumber($B$1,E333,$B$27) &lt;&gt; "Нет данных",_xll.CbondsStockDealsNumber($B$1,E333,$B$27),"0")</f>
        <v>79813</v>
      </c>
      <c r="K333" s="88">
        <f>_xll.CbondsIndexValue(VLOOKUP($K$1,'Help Page'!$Q:$S,3,0),Calculation!E333)</f>
        <v>18776.41</v>
      </c>
      <c r="L333" s="88">
        <f t="shared" si="27"/>
        <v>18776.41</v>
      </c>
      <c r="M333" s="88">
        <f>_xll.CbondsIndexValue(VLOOKUP($M$1,'Help Page'!$Q:$S,3,0),Calculation!E333)</f>
        <v>8124.3</v>
      </c>
      <c r="N333" s="88">
        <f t="shared" si="28"/>
        <v>8124.3</v>
      </c>
      <c r="AK333" s="35"/>
      <c r="AL333" s="35"/>
      <c r="AM333" s="35"/>
      <c r="AN333" s="35"/>
      <c r="AO333" s="35"/>
      <c r="AP333" s="35"/>
      <c r="AQ333" s="35"/>
      <c r="AR333" s="35"/>
    </row>
    <row r="334" spans="5:44" x14ac:dyDescent="0.3">
      <c r="E334" s="37">
        <f t="shared" si="29"/>
        <v>45691</v>
      </c>
      <c r="F334" s="30">
        <f>_xll.CbondsStockAvgPrice($B$1,E334,$B$27)</f>
        <v>140.35</v>
      </c>
      <c r="G334" s="31">
        <f t="shared" si="26"/>
        <v>140.35</v>
      </c>
      <c r="H334" s="88">
        <f>IF(_xll.CbondsStockTradingVolume($B$1,E334,$B$27) &lt;&gt; "Нет данных",_xll.CbondsStockTradingVolume($B$1,E334,$B$27),"0")</f>
        <v>8619989728.7999992</v>
      </c>
      <c r="I334" s="88">
        <f>IF(_xll.CbondsStockDealsNumber($B$1,E334,$B$27) &lt;&gt; "Нет данных",_xll.CbondsStockDealsNumber($B$1,E334,$B$27),"0")</f>
        <v>101491</v>
      </c>
      <c r="K334" s="88">
        <f>_xll.CbondsIndexValue(VLOOKUP($K$1,'Help Page'!$Q:$S,3,0),Calculation!E334)</f>
        <v>18842.23</v>
      </c>
      <c r="L334" s="88">
        <f t="shared" si="27"/>
        <v>18842.23</v>
      </c>
      <c r="M334" s="88">
        <f>_xll.CbondsIndexValue(VLOOKUP($M$1,'Help Page'!$Q:$S,3,0),Calculation!E334)</f>
        <v>8150.07</v>
      </c>
      <c r="N334" s="88">
        <f t="shared" si="28"/>
        <v>8150.07</v>
      </c>
      <c r="AK334" s="35"/>
      <c r="AL334" s="35"/>
      <c r="AM334" s="35"/>
      <c r="AN334" s="35"/>
      <c r="AO334" s="35"/>
      <c r="AP334" s="35"/>
      <c r="AQ334" s="35"/>
      <c r="AR334" s="35"/>
    </row>
    <row r="335" spans="5:44" x14ac:dyDescent="0.3">
      <c r="E335" s="37">
        <f t="shared" si="29"/>
        <v>45690</v>
      </c>
      <c r="F335" s="30" t="str">
        <f>_xll.CbondsStockAvgPrice($B$1,E335,$B$27)</f>
        <v>Нет данных</v>
      </c>
      <c r="G335" s="31">
        <f t="shared" si="26"/>
        <v>141.94999999999999</v>
      </c>
      <c r="H335" s="88" t="str">
        <f>IF(_xll.CbondsStockTradingVolume($B$1,E335,$B$27) &lt;&gt; "Нет данных",_xll.CbondsStockTradingVolume($B$1,E335,$B$27),"0")</f>
        <v>0</v>
      </c>
      <c r="I335" s="88" t="str">
        <f>IF(_xll.CbondsStockDealsNumber($B$1,E335,$B$27) &lt;&gt; "Нет данных",_xll.CbondsStockDealsNumber($B$1,E335,$B$27),"0")</f>
        <v>0</v>
      </c>
      <c r="K335" s="88" t="str">
        <f>_xll.CbondsIndexValue(VLOOKUP($K$1,'Help Page'!$Q:$S,3,0),Calculation!E335)</f>
        <v>Нет данных</v>
      </c>
      <c r="L335" s="88">
        <f t="shared" si="27"/>
        <v>18958.52</v>
      </c>
      <c r="M335" s="88" t="str">
        <f>_xll.CbondsIndexValue(VLOOKUP($M$1,'Help Page'!$Q:$S,3,0),Calculation!E335)</f>
        <v>Нет данных</v>
      </c>
      <c r="N335" s="88">
        <f t="shared" si="28"/>
        <v>8189.41</v>
      </c>
      <c r="AK335" s="35"/>
      <c r="AL335" s="35"/>
      <c r="AM335" s="35"/>
      <c r="AN335" s="35"/>
      <c r="AO335" s="35"/>
      <c r="AP335" s="35"/>
      <c r="AQ335" s="35"/>
      <c r="AR335" s="35"/>
    </row>
    <row r="336" spans="5:44" x14ac:dyDescent="0.3">
      <c r="E336" s="37">
        <f t="shared" si="29"/>
        <v>45689</v>
      </c>
      <c r="F336" s="30" t="str">
        <f>_xll.CbondsStockAvgPrice($B$1,E336,$B$27)</f>
        <v>Нет данных</v>
      </c>
      <c r="G336" s="31">
        <f t="shared" si="26"/>
        <v>141.94999999999999</v>
      </c>
      <c r="H336" s="88" t="str">
        <f>IF(_xll.CbondsStockTradingVolume($B$1,E336,$B$27) &lt;&gt; "Нет данных",_xll.CbondsStockTradingVolume($B$1,E336,$B$27),"0")</f>
        <v>0</v>
      </c>
      <c r="I336" s="88" t="str">
        <f>IF(_xll.CbondsStockDealsNumber($B$1,E336,$B$27) &lt;&gt; "Нет данных",_xll.CbondsStockDealsNumber($B$1,E336,$B$27),"0")</f>
        <v>0</v>
      </c>
      <c r="K336" s="88" t="str">
        <f>_xll.CbondsIndexValue(VLOOKUP($K$1,'Help Page'!$Q:$S,3,0),Calculation!E336)</f>
        <v>Нет данных</v>
      </c>
      <c r="L336" s="88">
        <f t="shared" si="27"/>
        <v>18958.52</v>
      </c>
      <c r="M336" s="88" t="str">
        <f>_xll.CbondsIndexValue(VLOOKUP($M$1,'Help Page'!$Q:$S,3,0),Calculation!E336)</f>
        <v>Нет данных</v>
      </c>
      <c r="N336" s="88">
        <f t="shared" si="28"/>
        <v>8189.41</v>
      </c>
      <c r="AK336" s="35"/>
      <c r="AL336" s="35"/>
      <c r="AM336" s="35"/>
      <c r="AN336" s="35"/>
      <c r="AO336" s="35"/>
      <c r="AP336" s="35"/>
      <c r="AQ336" s="35"/>
      <c r="AR336" s="35"/>
    </row>
    <row r="337" spans="5:44" x14ac:dyDescent="0.3">
      <c r="E337" s="37">
        <f t="shared" si="29"/>
        <v>45688</v>
      </c>
      <c r="F337" s="30">
        <f>_xll.CbondsStockAvgPrice($B$1,E337,$B$27)</f>
        <v>141.94999999999999</v>
      </c>
      <c r="G337" s="31">
        <f t="shared" si="26"/>
        <v>141.94999999999999</v>
      </c>
      <c r="H337" s="88">
        <f>IF(_xll.CbondsStockTradingVolume($B$1,E337,$B$27) &lt;&gt; "Нет данных",_xll.CbondsStockTradingVolume($B$1,E337,$B$27),"0")</f>
        <v>14868400816.799999</v>
      </c>
      <c r="I337" s="88">
        <f>IF(_xll.CbondsStockDealsNumber($B$1,E337,$B$27) &lt;&gt; "Нет данных",_xll.CbondsStockDealsNumber($B$1,E337,$B$27),"0")</f>
        <v>148859</v>
      </c>
      <c r="K337" s="88">
        <f>_xll.CbondsIndexValue(VLOOKUP($K$1,'Help Page'!$Q:$S,3,0),Calculation!E337)</f>
        <v>18958.52</v>
      </c>
      <c r="L337" s="88">
        <f t="shared" si="27"/>
        <v>18958.52</v>
      </c>
      <c r="M337" s="88">
        <f>_xll.CbondsIndexValue(VLOOKUP($M$1,'Help Page'!$Q:$S,3,0),Calculation!E337)</f>
        <v>8189.41</v>
      </c>
      <c r="N337" s="88">
        <f t="shared" si="28"/>
        <v>8189.41</v>
      </c>
      <c r="AK337" s="35"/>
      <c r="AL337" s="35"/>
      <c r="AM337" s="35"/>
      <c r="AN337" s="35"/>
      <c r="AO337" s="35"/>
      <c r="AP337" s="35"/>
      <c r="AQ337" s="35"/>
      <c r="AR337" s="35"/>
    </row>
    <row r="338" spans="5:44" x14ac:dyDescent="0.3">
      <c r="E338" s="37">
        <f t="shared" si="29"/>
        <v>45687</v>
      </c>
      <c r="F338" s="30">
        <f>_xll.CbondsStockAvgPrice($B$1,E338,$B$27)</f>
        <v>138.96</v>
      </c>
      <c r="G338" s="31">
        <f t="shared" si="26"/>
        <v>138.96</v>
      </c>
      <c r="H338" s="88">
        <f>IF(_xll.CbondsStockTradingVolume($B$1,E338,$B$27) &lt;&gt; "Нет данных",_xll.CbondsStockTradingVolume($B$1,E338,$B$27),"0")</f>
        <v>9383066313.5</v>
      </c>
      <c r="I338" s="88">
        <f>IF(_xll.CbondsStockDealsNumber($B$1,E338,$B$27) &lt;&gt; "Нет данных",_xll.CbondsStockDealsNumber($B$1,E338,$B$27),"0")</f>
        <v>98025</v>
      </c>
      <c r="K338" s="88">
        <f>_xll.CbondsIndexValue(VLOOKUP($K$1,'Help Page'!$Q:$S,3,0),Calculation!E338)</f>
        <v>19065.61</v>
      </c>
      <c r="L338" s="88">
        <f t="shared" si="27"/>
        <v>19065.61</v>
      </c>
      <c r="M338" s="88">
        <f>_xll.CbondsIndexValue(VLOOKUP($M$1,'Help Page'!$Q:$S,3,0),Calculation!E338)</f>
        <v>8227.86</v>
      </c>
      <c r="N338" s="88">
        <f t="shared" si="28"/>
        <v>8227.86</v>
      </c>
      <c r="AK338" s="35"/>
      <c r="AL338" s="35"/>
      <c r="AM338" s="35"/>
      <c r="AN338" s="35"/>
      <c r="AO338" s="35"/>
      <c r="AP338" s="35"/>
      <c r="AQ338" s="35"/>
      <c r="AR338" s="35"/>
    </row>
    <row r="339" spans="5:44" x14ac:dyDescent="0.3">
      <c r="E339" s="37">
        <f t="shared" si="29"/>
        <v>45686</v>
      </c>
      <c r="F339" s="30">
        <f>_xll.CbondsStockAvgPrice($B$1,E339,$B$27)</f>
        <v>137.27000000000001</v>
      </c>
      <c r="G339" s="31">
        <f t="shared" si="26"/>
        <v>137.27000000000001</v>
      </c>
      <c r="H339" s="88">
        <f>IF(_xll.CbondsStockTradingVolume($B$1,E339,$B$27) &lt;&gt; "Нет данных",_xll.CbondsStockTradingVolume($B$1,E339,$B$27),"0")</f>
        <v>4520217107.8999996</v>
      </c>
      <c r="I339" s="88">
        <f>IF(_xll.CbondsStockDealsNumber($B$1,E339,$B$27) &lt;&gt; "Нет данных",_xll.CbondsStockDealsNumber($B$1,E339,$B$27),"0")</f>
        <v>56365</v>
      </c>
      <c r="K339" s="88">
        <f>_xll.CbondsIndexValue(VLOOKUP($K$1,'Help Page'!$Q:$S,3,0),Calculation!E339)</f>
        <v>18941.650000000001</v>
      </c>
      <c r="L339" s="88">
        <f t="shared" si="27"/>
        <v>18941.650000000001</v>
      </c>
      <c r="M339" s="88">
        <f>_xll.CbondsIndexValue(VLOOKUP($M$1,'Help Page'!$Q:$S,3,0),Calculation!E339)</f>
        <v>8150.74</v>
      </c>
      <c r="N339" s="88">
        <f t="shared" si="28"/>
        <v>8150.74</v>
      </c>
      <c r="AK339" s="35"/>
      <c r="AL339" s="35"/>
      <c r="AM339" s="35"/>
      <c r="AN339" s="35"/>
      <c r="AO339" s="35"/>
      <c r="AP339" s="35"/>
      <c r="AQ339" s="35"/>
      <c r="AR339" s="35"/>
    </row>
    <row r="340" spans="5:44" x14ac:dyDescent="0.3">
      <c r="E340" s="37">
        <f t="shared" si="29"/>
        <v>45685</v>
      </c>
      <c r="F340" s="30">
        <f>_xll.CbondsStockAvgPrice($B$1,E340,$B$27)</f>
        <v>135.83000000000001</v>
      </c>
      <c r="G340" s="31">
        <f t="shared" si="26"/>
        <v>135.83000000000001</v>
      </c>
      <c r="H340" s="88">
        <f>IF(_xll.CbondsStockTradingVolume($B$1,E340,$B$27) &lt;&gt; "Нет данных",_xll.CbondsStockTradingVolume($B$1,E340,$B$27),"0")</f>
        <v>10141457647.6</v>
      </c>
      <c r="I340" s="88">
        <f>IF(_xll.CbondsStockDealsNumber($B$1,E340,$B$27) &lt;&gt; "Нет данных",_xll.CbondsStockDealsNumber($B$1,E340,$B$27),"0")</f>
        <v>101161</v>
      </c>
      <c r="K340" s="88">
        <f>_xll.CbondsIndexValue(VLOOKUP($K$1,'Help Page'!$Q:$S,3,0),Calculation!E340)</f>
        <v>18802.96</v>
      </c>
      <c r="L340" s="88">
        <f t="shared" si="27"/>
        <v>18802.96</v>
      </c>
      <c r="M340" s="88">
        <f>_xll.CbondsIndexValue(VLOOKUP($M$1,'Help Page'!$Q:$S,3,0),Calculation!E340)</f>
        <v>8100.23</v>
      </c>
      <c r="N340" s="88">
        <f t="shared" si="28"/>
        <v>8100.23</v>
      </c>
      <c r="AK340" s="35"/>
      <c r="AL340" s="35"/>
      <c r="AM340" s="35"/>
      <c r="AN340" s="35"/>
      <c r="AO340" s="35"/>
      <c r="AP340" s="35"/>
      <c r="AQ340" s="35"/>
      <c r="AR340" s="35"/>
    </row>
    <row r="341" spans="5:44" x14ac:dyDescent="0.3">
      <c r="E341" s="37">
        <f t="shared" si="29"/>
        <v>45684</v>
      </c>
      <c r="F341" s="30">
        <f>_xll.CbondsStockAvgPrice($B$1,E341,$B$27)</f>
        <v>136</v>
      </c>
      <c r="G341" s="31">
        <f t="shared" si="26"/>
        <v>136</v>
      </c>
      <c r="H341" s="88">
        <f>IF(_xll.CbondsStockTradingVolume($B$1,E341,$B$27) &lt;&gt; "Нет данных",_xll.CbondsStockTradingVolume($B$1,E341,$B$27),"0")</f>
        <v>6290797310.5</v>
      </c>
      <c r="I341" s="88">
        <f>IF(_xll.CbondsStockDealsNumber($B$1,E341,$B$27) &lt;&gt; "Нет данных",_xll.CbondsStockDealsNumber($B$1,E341,$B$27),"0")</f>
        <v>79664</v>
      </c>
      <c r="K341" s="88">
        <f>_xll.CbondsIndexValue(VLOOKUP($K$1,'Help Page'!$Q:$S,3,0),Calculation!E341)</f>
        <v>18526.650000000001</v>
      </c>
      <c r="L341" s="88">
        <f t="shared" si="27"/>
        <v>18526.650000000001</v>
      </c>
      <c r="M341" s="88">
        <f>_xll.CbondsIndexValue(VLOOKUP($M$1,'Help Page'!$Q:$S,3,0),Calculation!E341)</f>
        <v>7958.16</v>
      </c>
      <c r="N341" s="88">
        <f t="shared" si="28"/>
        <v>7958.16</v>
      </c>
      <c r="AK341" s="35"/>
      <c r="AL341" s="35"/>
      <c r="AM341" s="35"/>
      <c r="AN341" s="35"/>
      <c r="AO341" s="35"/>
      <c r="AP341" s="35"/>
      <c r="AQ341" s="35"/>
      <c r="AR341" s="35"/>
    </row>
    <row r="342" spans="5:44" x14ac:dyDescent="0.3">
      <c r="E342" s="37">
        <f t="shared" si="29"/>
        <v>45683</v>
      </c>
      <c r="F342" s="30" t="str">
        <f>_xll.CbondsStockAvgPrice($B$1,E342,$B$27)</f>
        <v>Нет данных</v>
      </c>
      <c r="G342" s="31">
        <f t="shared" si="26"/>
        <v>138.25</v>
      </c>
      <c r="H342" s="88" t="str">
        <f>IF(_xll.CbondsStockTradingVolume($B$1,E342,$B$27) &lt;&gt; "Нет данных",_xll.CbondsStockTradingVolume($B$1,E342,$B$27),"0")</f>
        <v>0</v>
      </c>
      <c r="I342" s="88" t="str">
        <f>IF(_xll.CbondsStockDealsNumber($B$1,E342,$B$27) &lt;&gt; "Нет данных",_xll.CbondsStockDealsNumber($B$1,E342,$B$27),"0")</f>
        <v>0</v>
      </c>
      <c r="K342" s="88" t="str">
        <f>_xll.CbondsIndexValue(VLOOKUP($K$1,'Help Page'!$Q:$S,3,0),Calculation!E342)</f>
        <v>Нет данных</v>
      </c>
      <c r="L342" s="88">
        <f t="shared" si="27"/>
        <v>18899.78</v>
      </c>
      <c r="M342" s="88" t="str">
        <f>_xll.CbondsIndexValue(VLOOKUP($M$1,'Help Page'!$Q:$S,3,0),Calculation!E342)</f>
        <v>Нет данных</v>
      </c>
      <c r="N342" s="88">
        <f t="shared" si="28"/>
        <v>8144.21</v>
      </c>
      <c r="AK342" s="35"/>
      <c r="AL342" s="35"/>
      <c r="AM342" s="35"/>
      <c r="AN342" s="35"/>
      <c r="AO342" s="35"/>
      <c r="AP342" s="35"/>
      <c r="AQ342" s="35"/>
      <c r="AR342" s="35"/>
    </row>
    <row r="343" spans="5:44" x14ac:dyDescent="0.3">
      <c r="E343" s="37">
        <f t="shared" si="29"/>
        <v>45682</v>
      </c>
      <c r="F343" s="30" t="str">
        <f>_xll.CbondsStockAvgPrice($B$1,E343,$B$27)</f>
        <v>Нет данных</v>
      </c>
      <c r="G343" s="31">
        <f t="shared" si="26"/>
        <v>138.25</v>
      </c>
      <c r="H343" s="88" t="str">
        <f>IF(_xll.CbondsStockTradingVolume($B$1,E343,$B$27) &lt;&gt; "Нет данных",_xll.CbondsStockTradingVolume($B$1,E343,$B$27),"0")</f>
        <v>0</v>
      </c>
      <c r="I343" s="88" t="str">
        <f>IF(_xll.CbondsStockDealsNumber($B$1,E343,$B$27) &lt;&gt; "Нет данных",_xll.CbondsStockDealsNumber($B$1,E343,$B$27),"0")</f>
        <v>0</v>
      </c>
      <c r="K343" s="88" t="str">
        <f>_xll.CbondsIndexValue(VLOOKUP($K$1,'Help Page'!$Q:$S,3,0),Calculation!E343)</f>
        <v>Нет данных</v>
      </c>
      <c r="L343" s="88">
        <f t="shared" si="27"/>
        <v>18899.78</v>
      </c>
      <c r="M343" s="88" t="str">
        <f>_xll.CbondsIndexValue(VLOOKUP($M$1,'Help Page'!$Q:$S,3,0),Calculation!E343)</f>
        <v>Нет данных</v>
      </c>
      <c r="N343" s="88">
        <f t="shared" si="28"/>
        <v>8144.21</v>
      </c>
      <c r="AK343" s="35"/>
      <c r="AL343" s="35"/>
      <c r="AM343" s="35"/>
      <c r="AN343" s="35"/>
      <c r="AO343" s="35"/>
      <c r="AP343" s="35"/>
      <c r="AQ343" s="35"/>
      <c r="AR343" s="35"/>
    </row>
    <row r="344" spans="5:44" x14ac:dyDescent="0.3">
      <c r="E344" s="37">
        <f t="shared" si="29"/>
        <v>45681</v>
      </c>
      <c r="F344" s="30">
        <f>_xll.CbondsStockAvgPrice($B$1,E344,$B$27)</f>
        <v>138.25</v>
      </c>
      <c r="G344" s="31">
        <f t="shared" si="26"/>
        <v>138.25</v>
      </c>
      <c r="H344" s="88">
        <f>IF(_xll.CbondsStockTradingVolume($B$1,E344,$B$27) &lt;&gt; "Нет данных",_xll.CbondsStockTradingVolume($B$1,E344,$B$27),"0")</f>
        <v>5668028894</v>
      </c>
      <c r="I344" s="88">
        <f>IF(_xll.CbondsStockDealsNumber($B$1,E344,$B$27) &lt;&gt; "Нет данных",_xll.CbondsStockDealsNumber($B$1,E344,$B$27),"0")</f>
        <v>56932</v>
      </c>
      <c r="K344" s="88">
        <f>_xll.CbondsIndexValue(VLOOKUP($K$1,'Help Page'!$Q:$S,3,0),Calculation!E344)</f>
        <v>18899.78</v>
      </c>
      <c r="L344" s="88">
        <f t="shared" si="27"/>
        <v>18899.78</v>
      </c>
      <c r="M344" s="88">
        <f>_xll.CbondsIndexValue(VLOOKUP($M$1,'Help Page'!$Q:$S,3,0),Calculation!E344)</f>
        <v>8144.21</v>
      </c>
      <c r="N344" s="88">
        <f t="shared" si="28"/>
        <v>8144.21</v>
      </c>
      <c r="AK344" s="35"/>
      <c r="AL344" s="35"/>
      <c r="AM344" s="35"/>
      <c r="AN344" s="35"/>
      <c r="AO344" s="35"/>
      <c r="AP344" s="35"/>
      <c r="AQ344" s="35"/>
      <c r="AR344" s="35"/>
    </row>
    <row r="345" spans="5:44" x14ac:dyDescent="0.3">
      <c r="E345" s="37">
        <f t="shared" si="29"/>
        <v>45680</v>
      </c>
      <c r="F345" s="30">
        <f>_xll.CbondsStockAvgPrice($B$1,E345,$B$27)</f>
        <v>136.66</v>
      </c>
      <c r="G345" s="31">
        <f t="shared" si="26"/>
        <v>136.66</v>
      </c>
      <c r="H345" s="88">
        <f>IF(_xll.CbondsStockTradingVolume($B$1,E345,$B$27) &lt;&gt; "Нет данных",_xll.CbondsStockTradingVolume($B$1,E345,$B$27),"0")</f>
        <v>5104777626.1000004</v>
      </c>
      <c r="I345" s="88">
        <f>IF(_xll.CbondsStockDealsNumber($B$1,E345,$B$27) &lt;&gt; "Нет данных",_xll.CbondsStockDealsNumber($B$1,E345,$B$27),"0")</f>
        <v>59899</v>
      </c>
      <c r="K345" s="88">
        <f>_xll.CbondsIndexValue(VLOOKUP($K$1,'Help Page'!$Q:$S,3,0),Calculation!E345)</f>
        <v>18772.73</v>
      </c>
      <c r="L345" s="88">
        <f t="shared" si="27"/>
        <v>18772.73</v>
      </c>
      <c r="M345" s="88">
        <f>_xll.CbondsIndexValue(VLOOKUP($M$1,'Help Page'!$Q:$S,3,0),Calculation!E345)</f>
        <v>8114.41</v>
      </c>
      <c r="N345" s="88">
        <f t="shared" si="28"/>
        <v>8114.41</v>
      </c>
      <c r="AK345" s="35"/>
      <c r="AL345" s="35"/>
      <c r="AM345" s="35"/>
      <c r="AN345" s="35"/>
      <c r="AO345" s="35"/>
      <c r="AP345" s="35"/>
      <c r="AQ345" s="35"/>
      <c r="AR345" s="35"/>
    </row>
    <row r="346" spans="5:44" x14ac:dyDescent="0.3">
      <c r="E346" s="37">
        <f t="shared" si="29"/>
        <v>45679</v>
      </c>
      <c r="F346" s="30">
        <f>_xll.CbondsStockAvgPrice($B$1,E346,$B$27)</f>
        <v>137.75</v>
      </c>
      <c r="G346" s="31">
        <f t="shared" si="26"/>
        <v>137.75</v>
      </c>
      <c r="H346" s="88">
        <f>IF(_xll.CbondsStockTradingVolume($B$1,E346,$B$27) &lt;&gt; "Нет данных",_xll.CbondsStockTradingVolume($B$1,E346,$B$27),"0")</f>
        <v>7739858107.8999996</v>
      </c>
      <c r="I346" s="88">
        <f>IF(_xll.CbondsStockDealsNumber($B$1,E346,$B$27) &lt;&gt; "Нет данных",_xll.CbondsStockDealsNumber($B$1,E346,$B$27),"0")</f>
        <v>119089</v>
      </c>
      <c r="K346" s="88">
        <f>_xll.CbondsIndexValue(VLOOKUP($K$1,'Help Page'!$Q:$S,3,0),Calculation!E346)</f>
        <v>19058.09</v>
      </c>
      <c r="L346" s="88">
        <f t="shared" si="27"/>
        <v>19058.09</v>
      </c>
      <c r="M346" s="88">
        <f>_xll.CbondsIndexValue(VLOOKUP($M$1,'Help Page'!$Q:$S,3,0),Calculation!E346)</f>
        <v>8240.14</v>
      </c>
      <c r="N346" s="88">
        <f t="shared" si="28"/>
        <v>8240.14</v>
      </c>
      <c r="AK346" s="35"/>
      <c r="AL346" s="35"/>
      <c r="AM346" s="35"/>
      <c r="AN346" s="35"/>
      <c r="AO346" s="35"/>
      <c r="AP346" s="35"/>
      <c r="AQ346" s="35"/>
      <c r="AR346" s="35"/>
    </row>
    <row r="347" spans="5:44" x14ac:dyDescent="0.3">
      <c r="E347" s="37">
        <f t="shared" si="29"/>
        <v>45678</v>
      </c>
      <c r="F347" s="30">
        <f>_xll.CbondsStockAvgPrice($B$1,E347,$B$27)</f>
        <v>136.91999999999999</v>
      </c>
      <c r="G347" s="31">
        <f t="shared" si="26"/>
        <v>136.91999999999999</v>
      </c>
      <c r="H347" s="88">
        <f>IF(_xll.CbondsStockTradingVolume($B$1,E347,$B$27) &lt;&gt; "Нет данных",_xll.CbondsStockTradingVolume($B$1,E347,$B$27),"0")</f>
        <v>6989787015.3999996</v>
      </c>
      <c r="I347" s="88">
        <f>IF(_xll.CbondsStockDealsNumber($B$1,E347,$B$27) &lt;&gt; "Нет данных",_xll.CbondsStockDealsNumber($B$1,E347,$B$27),"0")</f>
        <v>100492</v>
      </c>
      <c r="K347" s="88">
        <f>_xll.CbondsIndexValue(VLOOKUP($K$1,'Help Page'!$Q:$S,3,0),Calculation!E347)</f>
        <v>18831.61</v>
      </c>
      <c r="L347" s="88">
        <f t="shared" si="27"/>
        <v>18831.61</v>
      </c>
      <c r="M347" s="88">
        <f>_xll.CbondsIndexValue(VLOOKUP($M$1,'Help Page'!$Q:$S,3,0),Calculation!E347)</f>
        <v>8061</v>
      </c>
      <c r="N347" s="88">
        <f t="shared" si="28"/>
        <v>8061</v>
      </c>
      <c r="AK347" s="35"/>
      <c r="AL347" s="35"/>
      <c r="AM347" s="35"/>
      <c r="AN347" s="35"/>
      <c r="AO347" s="35"/>
      <c r="AP347" s="35"/>
      <c r="AQ347" s="35"/>
      <c r="AR347" s="35"/>
    </row>
    <row r="348" spans="5:44" x14ac:dyDescent="0.3">
      <c r="E348" s="37">
        <f t="shared" si="29"/>
        <v>45677</v>
      </c>
      <c r="F348" s="30">
        <f>_xll.CbondsStockAvgPrice($B$1,E348,$B$27)</f>
        <v>138.76</v>
      </c>
      <c r="G348" s="31">
        <f t="shared" si="26"/>
        <v>138.76</v>
      </c>
      <c r="H348" s="88">
        <f>IF(_xll.CbondsStockTradingVolume($B$1,E348,$B$27) &lt;&gt; "Нет данных",_xll.CbondsStockTradingVolume($B$1,E348,$B$27),"0")</f>
        <v>11029184775.5</v>
      </c>
      <c r="I348" s="88">
        <f>IF(_xll.CbondsStockDealsNumber($B$1,E348,$B$27) &lt;&gt; "Нет данных",_xll.CbondsStockDealsNumber($B$1,E348,$B$27),"0")</f>
        <v>109411</v>
      </c>
      <c r="K348" s="88">
        <f>_xll.CbondsIndexValue(VLOOKUP($K$1,'Help Page'!$Q:$S,3,0),Calculation!E348)</f>
        <v>18808.04</v>
      </c>
      <c r="L348" s="88">
        <f t="shared" si="27"/>
        <v>18808.04</v>
      </c>
      <c r="M348" s="88">
        <f>_xll.CbondsIndexValue(VLOOKUP($M$1,'Help Page'!$Q:$S,3,0),Calculation!E348)</f>
        <v>8068.28</v>
      </c>
      <c r="N348" s="88">
        <f t="shared" si="28"/>
        <v>8068.28</v>
      </c>
      <c r="AK348" s="35"/>
      <c r="AL348" s="35"/>
      <c r="AM348" s="35"/>
      <c r="AN348" s="35"/>
      <c r="AO348" s="35"/>
      <c r="AP348" s="35"/>
      <c r="AQ348" s="35"/>
      <c r="AR348" s="35"/>
    </row>
    <row r="349" spans="5:44" x14ac:dyDescent="0.3">
      <c r="E349" s="37">
        <f t="shared" si="29"/>
        <v>45676</v>
      </c>
      <c r="F349" s="30" t="str">
        <f>_xll.CbondsStockAvgPrice($B$1,E349,$B$27)</f>
        <v>Нет данных</v>
      </c>
      <c r="G349" s="31">
        <f t="shared" si="26"/>
        <v>137.54</v>
      </c>
      <c r="H349" s="88" t="str">
        <f>IF(_xll.CbondsStockTradingVolume($B$1,E349,$B$27) &lt;&gt; "Нет данных",_xll.CbondsStockTradingVolume($B$1,E349,$B$27),"0")</f>
        <v>0</v>
      </c>
      <c r="I349" s="88" t="str">
        <f>IF(_xll.CbondsStockDealsNumber($B$1,E349,$B$27) &lt;&gt; "Нет данных",_xll.CbondsStockDealsNumber($B$1,E349,$B$27),"0")</f>
        <v>0</v>
      </c>
      <c r="K349" s="88" t="str">
        <f>_xll.CbondsIndexValue(VLOOKUP($K$1,'Help Page'!$Q:$S,3,0),Calculation!E349)</f>
        <v>Нет данных</v>
      </c>
      <c r="L349" s="88">
        <f t="shared" si="27"/>
        <v>18915.84</v>
      </c>
      <c r="M349" s="88" t="str">
        <f>_xll.CbondsIndexValue(VLOOKUP($M$1,'Help Page'!$Q:$S,3,0),Calculation!E349)</f>
        <v>Нет данных</v>
      </c>
      <c r="N349" s="88">
        <f t="shared" si="28"/>
        <v>8085.11</v>
      </c>
      <c r="AK349" s="35"/>
      <c r="AL349" s="35"/>
      <c r="AM349" s="35"/>
      <c r="AN349" s="35"/>
      <c r="AO349" s="35"/>
      <c r="AP349" s="35"/>
      <c r="AQ349" s="35"/>
      <c r="AR349" s="35"/>
    </row>
    <row r="350" spans="5:44" x14ac:dyDescent="0.3">
      <c r="E350" s="37">
        <f t="shared" si="29"/>
        <v>45675</v>
      </c>
      <c r="F350" s="30" t="str">
        <f>_xll.CbondsStockAvgPrice($B$1,E350,$B$27)</f>
        <v>Нет данных</v>
      </c>
      <c r="G350" s="31">
        <f t="shared" si="26"/>
        <v>137.54</v>
      </c>
      <c r="H350" s="88" t="str">
        <f>IF(_xll.CbondsStockTradingVolume($B$1,E350,$B$27) &lt;&gt; "Нет данных",_xll.CbondsStockTradingVolume($B$1,E350,$B$27),"0")</f>
        <v>0</v>
      </c>
      <c r="I350" s="88" t="str">
        <f>IF(_xll.CbondsStockDealsNumber($B$1,E350,$B$27) &lt;&gt; "Нет данных",_xll.CbondsStockDealsNumber($B$1,E350,$B$27),"0")</f>
        <v>0</v>
      </c>
      <c r="K350" s="88" t="str">
        <f>_xll.CbondsIndexValue(VLOOKUP($K$1,'Help Page'!$Q:$S,3,0),Calculation!E350)</f>
        <v>Нет данных</v>
      </c>
      <c r="L350" s="88">
        <f t="shared" si="27"/>
        <v>18915.84</v>
      </c>
      <c r="M350" s="88" t="str">
        <f>_xll.CbondsIndexValue(VLOOKUP($M$1,'Help Page'!$Q:$S,3,0),Calculation!E350)</f>
        <v>Нет данных</v>
      </c>
      <c r="N350" s="88">
        <f t="shared" si="28"/>
        <v>8085.11</v>
      </c>
      <c r="AK350" s="35"/>
      <c r="AL350" s="35"/>
      <c r="AM350" s="35"/>
      <c r="AN350" s="35"/>
      <c r="AO350" s="35"/>
      <c r="AP350" s="35"/>
      <c r="AQ350" s="35"/>
      <c r="AR350" s="35"/>
    </row>
    <row r="351" spans="5:44" x14ac:dyDescent="0.3">
      <c r="E351" s="37">
        <f t="shared" si="29"/>
        <v>45674</v>
      </c>
      <c r="F351" s="30">
        <f>_xll.CbondsStockAvgPrice($B$1,E351,$B$27)</f>
        <v>137.54</v>
      </c>
      <c r="G351" s="31">
        <f t="shared" si="26"/>
        <v>137.54</v>
      </c>
      <c r="H351" s="88">
        <f>IF(_xll.CbondsStockTradingVolume($B$1,E351,$B$27) &lt;&gt; "Нет данных",_xll.CbondsStockTradingVolume($B$1,E351,$B$27),"0")</f>
        <v>9401581815.8999996</v>
      </c>
      <c r="I351" s="88">
        <f>IF(_xll.CbondsStockDealsNumber($B$1,E351,$B$27) &lt;&gt; "Нет данных",_xll.CbondsStockDealsNumber($B$1,E351,$B$27),"0")</f>
        <v>100607</v>
      </c>
      <c r="K351" s="88">
        <f>_xll.CbondsIndexValue(VLOOKUP($K$1,'Help Page'!$Q:$S,3,0),Calculation!E351)</f>
        <v>18915.84</v>
      </c>
      <c r="L351" s="88">
        <f t="shared" si="27"/>
        <v>18915.84</v>
      </c>
      <c r="M351" s="88">
        <f>_xll.CbondsIndexValue(VLOOKUP($M$1,'Help Page'!$Q:$S,3,0),Calculation!E351)</f>
        <v>8085.11</v>
      </c>
      <c r="N351" s="88">
        <f t="shared" si="28"/>
        <v>8085.11</v>
      </c>
      <c r="AK351" s="35"/>
      <c r="AL351" s="35"/>
      <c r="AM351" s="35"/>
      <c r="AN351" s="35"/>
      <c r="AO351" s="35"/>
      <c r="AP351" s="35"/>
      <c r="AQ351" s="35"/>
      <c r="AR351" s="35"/>
    </row>
    <row r="352" spans="5:44" x14ac:dyDescent="0.3">
      <c r="E352" s="37">
        <f t="shared" si="29"/>
        <v>45673</v>
      </c>
      <c r="F352" s="30">
        <f>_xll.CbondsStockAvgPrice($B$1,E352,$B$27)</f>
        <v>135.99</v>
      </c>
      <c r="G352" s="31">
        <f t="shared" si="26"/>
        <v>135.99</v>
      </c>
      <c r="H352" s="88">
        <f>IF(_xll.CbondsStockTradingVolume($B$1,E352,$B$27) &lt;&gt; "Нет данных",_xll.CbondsStockTradingVolume($B$1,E352,$B$27),"0")</f>
        <v>9859906915.7000008</v>
      </c>
      <c r="I352" s="88">
        <f>IF(_xll.CbondsStockDealsNumber($B$1,E352,$B$27) &lt;&gt; "Нет данных",_xll.CbondsStockDealsNumber($B$1,E352,$B$27),"0")</f>
        <v>105507</v>
      </c>
      <c r="K352" s="88">
        <f>_xll.CbondsIndexValue(VLOOKUP($K$1,'Help Page'!$Q:$S,3,0),Calculation!E352)</f>
        <v>18708.349999999999</v>
      </c>
      <c r="L352" s="88">
        <f t="shared" si="27"/>
        <v>18708.349999999999</v>
      </c>
      <c r="M352" s="88">
        <f>_xll.CbondsIndexValue(VLOOKUP($M$1,'Help Page'!$Q:$S,3,0),Calculation!E352)</f>
        <v>8024.82</v>
      </c>
      <c r="N352" s="88">
        <f t="shared" si="28"/>
        <v>8024.82</v>
      </c>
      <c r="AK352" s="35"/>
      <c r="AL352" s="35"/>
      <c r="AM352" s="35"/>
      <c r="AN352" s="35"/>
      <c r="AO352" s="35"/>
      <c r="AP352" s="35"/>
      <c r="AQ352" s="35"/>
      <c r="AR352" s="35"/>
    </row>
    <row r="353" spans="5:44" x14ac:dyDescent="0.3">
      <c r="E353" s="37">
        <f t="shared" si="29"/>
        <v>45672</v>
      </c>
      <c r="F353" s="30">
        <f>_xll.CbondsStockAvgPrice($B$1,E353,$B$27)</f>
        <v>134</v>
      </c>
      <c r="G353" s="31">
        <f t="shared" si="26"/>
        <v>134</v>
      </c>
      <c r="H353" s="88">
        <f>IF(_xll.CbondsStockTradingVolume($B$1,E353,$B$27) &lt;&gt; "Нет данных",_xll.CbondsStockTradingVolume($B$1,E353,$B$27),"0")</f>
        <v>10131531604.200001</v>
      </c>
      <c r="I353" s="88">
        <f>IF(_xll.CbondsStockDealsNumber($B$1,E353,$B$27) &lt;&gt; "Нет данных",_xll.CbondsStockDealsNumber($B$1,E353,$B$27),"0")</f>
        <v>131431</v>
      </c>
      <c r="K353" s="88">
        <f>_xll.CbondsIndexValue(VLOOKUP($K$1,'Help Page'!$Q:$S,3,0),Calculation!E353)</f>
        <v>18293.5</v>
      </c>
      <c r="L353" s="88">
        <f t="shared" si="27"/>
        <v>18293.5</v>
      </c>
      <c r="M353" s="88">
        <f>_xll.CbondsIndexValue(VLOOKUP($M$1,'Help Page'!$Q:$S,3,0),Calculation!E353)</f>
        <v>7826.07</v>
      </c>
      <c r="N353" s="88">
        <f t="shared" si="28"/>
        <v>7826.07</v>
      </c>
      <c r="AK353" s="35"/>
      <c r="AL353" s="35"/>
      <c r="AM353" s="35"/>
      <c r="AN353" s="35"/>
      <c r="AO353" s="35"/>
      <c r="AP353" s="35"/>
      <c r="AQ353" s="35"/>
      <c r="AR353" s="35"/>
    </row>
    <row r="354" spans="5:44" x14ac:dyDescent="0.3">
      <c r="E354" s="37">
        <f t="shared" si="29"/>
        <v>45671</v>
      </c>
      <c r="F354" s="30">
        <f>_xll.CbondsStockAvgPrice($B$1,E354,$B$27)</f>
        <v>133.11000000000001</v>
      </c>
      <c r="G354" s="31">
        <f t="shared" si="26"/>
        <v>133.11000000000001</v>
      </c>
      <c r="H354" s="88">
        <f>IF(_xll.CbondsStockTradingVolume($B$1,E354,$B$27) &lt;&gt; "Нет данных",_xll.CbondsStockTradingVolume($B$1,E354,$B$27),"0")</f>
        <v>12176254187</v>
      </c>
      <c r="I354" s="88">
        <f>IF(_xll.CbondsStockDealsNumber($B$1,E354,$B$27) &lt;&gt; "Нет данных",_xll.CbondsStockDealsNumber($B$1,E354,$B$27),"0")</f>
        <v>183845</v>
      </c>
      <c r="K354" s="88">
        <f>_xll.CbondsIndexValue(VLOOKUP($K$1,'Help Page'!$Q:$S,3,0),Calculation!E354)</f>
        <v>18396.82</v>
      </c>
      <c r="L354" s="88">
        <f t="shared" si="27"/>
        <v>18396.82</v>
      </c>
      <c r="M354" s="88">
        <f>_xll.CbondsIndexValue(VLOOKUP($M$1,'Help Page'!$Q:$S,3,0),Calculation!E354)</f>
        <v>7869.35</v>
      </c>
      <c r="N354" s="88">
        <f t="shared" si="28"/>
        <v>7869.35</v>
      </c>
      <c r="AK354" s="35"/>
      <c r="AL354" s="35"/>
      <c r="AM354" s="35"/>
      <c r="AN354" s="35"/>
      <c r="AO354" s="35"/>
      <c r="AP354" s="35"/>
      <c r="AQ354" s="35"/>
      <c r="AR354" s="35"/>
    </row>
    <row r="355" spans="5:44" x14ac:dyDescent="0.3">
      <c r="E355" s="37">
        <f t="shared" si="29"/>
        <v>45670</v>
      </c>
      <c r="F355" s="30">
        <f>_xll.CbondsStockAvgPrice($B$1,E355,$B$27)</f>
        <v>130.26</v>
      </c>
      <c r="G355" s="31">
        <f t="shared" si="26"/>
        <v>130.26</v>
      </c>
      <c r="H355" s="88">
        <f>IF(_xll.CbondsStockTradingVolume($B$1,E355,$B$27) &lt;&gt; "Нет данных",_xll.CbondsStockTradingVolume($B$1,E355,$B$27),"0")</f>
        <v>13404551556.5</v>
      </c>
      <c r="I355" s="88">
        <f>IF(_xll.CbondsStockDealsNumber($B$1,E355,$B$27) &lt;&gt; "Нет данных",_xll.CbondsStockDealsNumber($B$1,E355,$B$27),"0")</f>
        <v>196327</v>
      </c>
      <c r="K355" s="88">
        <f>_xll.CbondsIndexValue(VLOOKUP($K$1,'Help Page'!$Q:$S,3,0),Calculation!E355)</f>
        <v>18430.79</v>
      </c>
      <c r="L355" s="88">
        <f t="shared" si="27"/>
        <v>18430.79</v>
      </c>
      <c r="M355" s="88">
        <f>_xll.CbondsIndexValue(VLOOKUP($M$1,'Help Page'!$Q:$S,3,0),Calculation!E355)</f>
        <v>7916.63</v>
      </c>
      <c r="N355" s="88">
        <f t="shared" si="28"/>
        <v>7916.63</v>
      </c>
      <c r="AK355" s="35"/>
      <c r="AL355" s="35"/>
      <c r="AM355" s="35"/>
      <c r="AN355" s="35"/>
      <c r="AO355" s="35"/>
      <c r="AP355" s="35"/>
      <c r="AQ355" s="35"/>
      <c r="AR355" s="35"/>
    </row>
    <row r="356" spans="5:44" x14ac:dyDescent="0.3">
      <c r="E356" s="37">
        <f t="shared" si="29"/>
        <v>45669</v>
      </c>
      <c r="F356" s="30" t="str">
        <f>_xll.CbondsStockAvgPrice($B$1,E356,$B$27)</f>
        <v>Нет данных</v>
      </c>
      <c r="G356" s="31">
        <f t="shared" si="26"/>
        <v>124.81</v>
      </c>
      <c r="H356" s="88" t="str">
        <f>IF(_xll.CbondsStockTradingVolume($B$1,E356,$B$27) &lt;&gt; "Нет данных",_xll.CbondsStockTradingVolume($B$1,E356,$B$27),"0")</f>
        <v>0</v>
      </c>
      <c r="I356" s="88" t="str">
        <f>IF(_xll.CbondsStockDealsNumber($B$1,E356,$B$27) &lt;&gt; "Нет данных",_xll.CbondsStockDealsNumber($B$1,E356,$B$27),"0")</f>
        <v>0</v>
      </c>
      <c r="K356" s="88" t="str">
        <f>_xll.CbondsIndexValue(VLOOKUP($K$1,'Help Page'!$Q:$S,3,0),Calculation!E356)</f>
        <v>Нет данных</v>
      </c>
      <c r="L356" s="88">
        <f t="shared" si="27"/>
        <v>18103.25</v>
      </c>
      <c r="M356" s="88" t="str">
        <f>_xll.CbondsIndexValue(VLOOKUP($M$1,'Help Page'!$Q:$S,3,0),Calculation!E356)</f>
        <v>Нет данных</v>
      </c>
      <c r="N356" s="88">
        <f t="shared" si="28"/>
        <v>7789.34</v>
      </c>
      <c r="AK356" s="35"/>
      <c r="AL356" s="35"/>
      <c r="AM356" s="35"/>
      <c r="AN356" s="35"/>
      <c r="AO356" s="35"/>
      <c r="AP356" s="35"/>
      <c r="AQ356" s="35"/>
      <c r="AR356" s="35"/>
    </row>
    <row r="357" spans="5:44" x14ac:dyDescent="0.3">
      <c r="E357" s="37">
        <f t="shared" si="29"/>
        <v>45668</v>
      </c>
      <c r="F357" s="30" t="str">
        <f>_xll.CbondsStockAvgPrice($B$1,E357,$B$27)</f>
        <v>Нет данных</v>
      </c>
      <c r="G357" s="31">
        <f t="shared" si="26"/>
        <v>124.81</v>
      </c>
      <c r="H357" s="88" t="str">
        <f>IF(_xll.CbondsStockTradingVolume($B$1,E357,$B$27) &lt;&gt; "Нет данных",_xll.CbondsStockTradingVolume($B$1,E357,$B$27),"0")</f>
        <v>0</v>
      </c>
      <c r="I357" s="88" t="str">
        <f>IF(_xll.CbondsStockDealsNumber($B$1,E357,$B$27) &lt;&gt; "Нет данных",_xll.CbondsStockDealsNumber($B$1,E357,$B$27),"0")</f>
        <v>0</v>
      </c>
      <c r="K357" s="88" t="str">
        <f>_xll.CbondsIndexValue(VLOOKUP($K$1,'Help Page'!$Q:$S,3,0),Calculation!E357)</f>
        <v>Нет данных</v>
      </c>
      <c r="L357" s="88">
        <f t="shared" si="27"/>
        <v>18103.25</v>
      </c>
      <c r="M357" s="88" t="str">
        <f>_xll.CbondsIndexValue(VLOOKUP($M$1,'Help Page'!$Q:$S,3,0),Calculation!E357)</f>
        <v>Нет данных</v>
      </c>
      <c r="N357" s="88">
        <f t="shared" si="28"/>
        <v>7789.34</v>
      </c>
      <c r="AK357" s="35"/>
      <c r="AL357" s="35"/>
      <c r="AM357" s="35"/>
      <c r="AN357" s="35"/>
      <c r="AO357" s="35"/>
      <c r="AP357" s="35"/>
      <c r="AQ357" s="35"/>
      <c r="AR357" s="35"/>
    </row>
    <row r="358" spans="5:44" x14ac:dyDescent="0.3">
      <c r="E358" s="37">
        <f t="shared" si="29"/>
        <v>45667</v>
      </c>
      <c r="F358" s="30">
        <f>_xll.CbondsStockAvgPrice($B$1,E358,$B$27)</f>
        <v>124.81</v>
      </c>
      <c r="G358" s="31">
        <f t="shared" si="26"/>
        <v>124.81</v>
      </c>
      <c r="H358" s="88">
        <f>IF(_xll.CbondsStockTradingVolume($B$1,E358,$B$27) &lt;&gt; "Нет данных",_xll.CbondsStockTradingVolume($B$1,E358,$B$27),"0")</f>
        <v>12813294507.4</v>
      </c>
      <c r="I358" s="88">
        <f>IF(_xll.CbondsStockDealsNumber($B$1,E358,$B$27) &lt;&gt; "Нет данных",_xll.CbondsStockDealsNumber($B$1,E358,$B$27),"0")</f>
        <v>143593</v>
      </c>
      <c r="K358" s="88">
        <f>_xll.CbondsIndexValue(VLOOKUP($K$1,'Help Page'!$Q:$S,3,0),Calculation!E358)</f>
        <v>18103.25</v>
      </c>
      <c r="L358" s="88">
        <f t="shared" si="27"/>
        <v>18103.25</v>
      </c>
      <c r="M358" s="88">
        <f>_xll.CbondsIndexValue(VLOOKUP($M$1,'Help Page'!$Q:$S,3,0),Calculation!E358)</f>
        <v>7789.34</v>
      </c>
      <c r="N358" s="88">
        <f t="shared" si="28"/>
        <v>7789.34</v>
      </c>
      <c r="AK358" s="35"/>
      <c r="AL358" s="35"/>
      <c r="AM358" s="35"/>
      <c r="AN358" s="35"/>
      <c r="AO358" s="35"/>
      <c r="AP358" s="35"/>
      <c r="AQ358" s="35"/>
      <c r="AR358" s="35"/>
    </row>
    <row r="359" spans="5:44" x14ac:dyDescent="0.3">
      <c r="E359" s="37">
        <f t="shared" si="29"/>
        <v>45666</v>
      </c>
      <c r="F359" s="30">
        <f>_xll.CbondsStockAvgPrice($B$1,E359,$B$27)</f>
        <v>125.92</v>
      </c>
      <c r="G359" s="31">
        <f t="shared" si="26"/>
        <v>125.92</v>
      </c>
      <c r="H359" s="88">
        <f>IF(_xll.CbondsStockTradingVolume($B$1,E359,$B$27) &lt;&gt; "Нет данных",_xll.CbondsStockTradingVolume($B$1,E359,$B$27),"0")</f>
        <v>8331499772</v>
      </c>
      <c r="I359" s="88">
        <f>IF(_xll.CbondsStockDealsNumber($B$1,E359,$B$27) &lt;&gt; "Нет данных",_xll.CbondsStockDealsNumber($B$1,E359,$B$27),"0")</f>
        <v>107005</v>
      </c>
      <c r="K359" s="88">
        <f>_xll.CbondsIndexValue(VLOOKUP($K$1,'Help Page'!$Q:$S,3,0),Calculation!E359)</f>
        <v>17779.900000000001</v>
      </c>
      <c r="L359" s="88">
        <f t="shared" si="27"/>
        <v>17779.900000000001</v>
      </c>
      <c r="M359" s="88">
        <f>_xll.CbondsIndexValue(VLOOKUP($M$1,'Help Page'!$Q:$S,3,0),Calculation!E359)</f>
        <v>7727.02</v>
      </c>
      <c r="N359" s="88">
        <f t="shared" si="28"/>
        <v>7727.02</v>
      </c>
      <c r="AK359" s="35"/>
      <c r="AL359" s="35"/>
      <c r="AM359" s="35"/>
      <c r="AN359" s="35"/>
      <c r="AO359" s="35"/>
      <c r="AP359" s="35"/>
      <c r="AQ359" s="35"/>
      <c r="AR359" s="35"/>
    </row>
    <row r="360" spans="5:44" x14ac:dyDescent="0.3">
      <c r="E360" s="37">
        <f t="shared" si="29"/>
        <v>45665</v>
      </c>
      <c r="F360" s="30">
        <f>_xll.CbondsStockAvgPrice($B$1,E360,$B$27)</f>
        <v>129.30000000000001</v>
      </c>
      <c r="G360" s="31">
        <f t="shared" si="26"/>
        <v>129.30000000000001</v>
      </c>
      <c r="H360" s="88">
        <f>IF(_xll.CbondsStockTradingVolume($B$1,E360,$B$27) &lt;&gt; "Нет данных",_xll.CbondsStockTradingVolume($B$1,E360,$B$27),"0")</f>
        <v>2783477817.5</v>
      </c>
      <c r="I360" s="88">
        <f>IF(_xll.CbondsStockDealsNumber($B$1,E360,$B$27) &lt;&gt; "Нет данных",_xll.CbondsStockDealsNumber($B$1,E360,$B$27),"0")</f>
        <v>38428</v>
      </c>
      <c r="K360" s="88">
        <f>_xll.CbondsIndexValue(VLOOKUP($K$1,'Help Page'!$Q:$S,3,0),Calculation!E360)</f>
        <v>18222.07</v>
      </c>
      <c r="L360" s="88">
        <f t="shared" si="27"/>
        <v>18222.07</v>
      </c>
      <c r="M360" s="88">
        <f>_xll.CbondsIndexValue(VLOOKUP($M$1,'Help Page'!$Q:$S,3,0),Calculation!E360)</f>
        <v>7971.75</v>
      </c>
      <c r="N360" s="88">
        <f t="shared" si="28"/>
        <v>7971.75</v>
      </c>
      <c r="AK360" s="35"/>
      <c r="AL360" s="35"/>
      <c r="AM360" s="35"/>
      <c r="AN360" s="35"/>
      <c r="AO360" s="35"/>
      <c r="AP360" s="35"/>
      <c r="AQ360" s="35"/>
      <c r="AR360" s="35"/>
    </row>
    <row r="361" spans="5:44" x14ac:dyDescent="0.3">
      <c r="E361" s="37">
        <f t="shared" si="29"/>
        <v>45664</v>
      </c>
      <c r="F361" s="30" t="str">
        <f>_xll.CbondsStockAvgPrice($B$1,E361,$B$27)</f>
        <v>Нет данных</v>
      </c>
      <c r="G361" s="31">
        <f t="shared" si="26"/>
        <v>127.7</v>
      </c>
      <c r="H361" s="88" t="str">
        <f>IF(_xll.CbondsStockTradingVolume($B$1,E361,$B$27) &lt;&gt; "Нет данных",_xll.CbondsStockTradingVolume($B$1,E361,$B$27),"0")</f>
        <v>0</v>
      </c>
      <c r="I361" s="88" t="str">
        <f>IF(_xll.CbondsStockDealsNumber($B$1,E361,$B$27) &lt;&gt; "Нет данных",_xll.CbondsStockDealsNumber($B$1,E361,$B$27),"0")</f>
        <v>0</v>
      </c>
      <c r="K361" s="88" t="str">
        <f>_xll.CbondsIndexValue(VLOOKUP($K$1,'Help Page'!$Q:$S,3,0),Calculation!E361)</f>
        <v>Нет данных</v>
      </c>
      <c r="L361" s="88">
        <f t="shared" si="27"/>
        <v>18062.060000000001</v>
      </c>
      <c r="M361" s="88" t="str">
        <f>_xll.CbondsIndexValue(VLOOKUP($M$1,'Help Page'!$Q:$S,3,0),Calculation!E361)</f>
        <v>Нет данных</v>
      </c>
      <c r="N361" s="88">
        <f t="shared" si="28"/>
        <v>7925.27</v>
      </c>
      <c r="AK361" s="35"/>
      <c r="AL361" s="35"/>
      <c r="AM361" s="35"/>
      <c r="AN361" s="35"/>
      <c r="AO361" s="35"/>
      <c r="AP361" s="35"/>
      <c r="AQ361" s="35"/>
      <c r="AR361" s="35"/>
    </row>
    <row r="362" spans="5:44" x14ac:dyDescent="0.3">
      <c r="E362" s="37">
        <f t="shared" si="29"/>
        <v>45663</v>
      </c>
      <c r="F362" s="30">
        <f>_xll.CbondsStockAvgPrice($B$1,E362,$B$27)</f>
        <v>127.7</v>
      </c>
      <c r="G362" s="31">
        <f t="shared" si="26"/>
        <v>127.7</v>
      </c>
      <c r="H362" s="88">
        <f>IF(_xll.CbondsStockTradingVolume($B$1,E362,$B$27) &lt;&gt; "Нет данных",_xll.CbondsStockTradingVolume($B$1,E362,$B$27),"0")</f>
        <v>3026768485.9000001</v>
      </c>
      <c r="I362" s="88">
        <f>IF(_xll.CbondsStockDealsNumber($B$1,E362,$B$27) &lt;&gt; "Нет данных",_xll.CbondsStockDealsNumber($B$1,E362,$B$27),"0")</f>
        <v>41649</v>
      </c>
      <c r="K362" s="88">
        <f>_xll.CbondsIndexValue(VLOOKUP($K$1,'Help Page'!$Q:$S,3,0),Calculation!E362)</f>
        <v>18062.060000000001</v>
      </c>
      <c r="L362" s="88">
        <f t="shared" si="27"/>
        <v>18062.060000000001</v>
      </c>
      <c r="M362" s="88">
        <f>_xll.CbondsIndexValue(VLOOKUP($M$1,'Help Page'!$Q:$S,3,0),Calculation!E362)</f>
        <v>7925.27</v>
      </c>
      <c r="N362" s="88">
        <f t="shared" si="28"/>
        <v>7925.27</v>
      </c>
      <c r="AK362" s="35"/>
      <c r="AL362" s="35"/>
      <c r="AM362" s="35"/>
      <c r="AN362" s="35"/>
      <c r="AO362" s="35"/>
      <c r="AP362" s="35"/>
      <c r="AQ362" s="35"/>
      <c r="AR362" s="35"/>
    </row>
    <row r="363" spans="5:44" x14ac:dyDescent="0.3">
      <c r="E363" s="37">
        <f t="shared" si="29"/>
        <v>45662</v>
      </c>
      <c r="F363" s="30" t="str">
        <f>_xll.CbondsStockAvgPrice($B$1,E363,$B$27)</f>
        <v>Нет данных</v>
      </c>
      <c r="G363" s="31">
        <f t="shared" si="26"/>
        <v>129.47</v>
      </c>
      <c r="H363" s="88" t="str">
        <f>IF(_xll.CbondsStockTradingVolume($B$1,E363,$B$27) &lt;&gt; "Нет данных",_xll.CbondsStockTradingVolume($B$1,E363,$B$27),"0")</f>
        <v>0</v>
      </c>
      <c r="I363" s="88" t="str">
        <f>IF(_xll.CbondsStockDealsNumber($B$1,E363,$B$27) &lt;&gt; "Нет данных",_xll.CbondsStockDealsNumber($B$1,E363,$B$27),"0")</f>
        <v>0</v>
      </c>
      <c r="K363" s="88" t="str">
        <f>_xll.CbondsIndexValue(VLOOKUP($K$1,'Help Page'!$Q:$S,3,0),Calculation!E363)</f>
        <v>Нет данных</v>
      </c>
      <c r="L363" s="88">
        <f t="shared" si="27"/>
        <v>18140.21</v>
      </c>
      <c r="M363" s="88" t="str">
        <f>_xll.CbondsIndexValue(VLOOKUP($M$1,'Help Page'!$Q:$S,3,0),Calculation!E363)</f>
        <v>Нет данных</v>
      </c>
      <c r="N363" s="88">
        <f t="shared" si="28"/>
        <v>7978.67</v>
      </c>
      <c r="AK363" s="35"/>
      <c r="AL363" s="35"/>
      <c r="AM363" s="35"/>
      <c r="AN363" s="35"/>
      <c r="AO363" s="35"/>
      <c r="AP363" s="35"/>
      <c r="AQ363" s="35"/>
      <c r="AR363" s="35"/>
    </row>
    <row r="364" spans="5:44" x14ac:dyDescent="0.3">
      <c r="E364" s="37">
        <f t="shared" si="29"/>
        <v>45661</v>
      </c>
      <c r="F364" s="30" t="str">
        <f>_xll.CbondsStockAvgPrice($B$1,E364,$B$27)</f>
        <v>Нет данных</v>
      </c>
      <c r="G364" s="31">
        <f t="shared" si="26"/>
        <v>129.47</v>
      </c>
      <c r="H364" s="88" t="str">
        <f>IF(_xll.CbondsStockTradingVolume($B$1,E364,$B$27) &lt;&gt; "Нет данных",_xll.CbondsStockTradingVolume($B$1,E364,$B$27),"0")</f>
        <v>0</v>
      </c>
      <c r="I364" s="88" t="str">
        <f>IF(_xll.CbondsStockDealsNumber($B$1,E364,$B$27) &lt;&gt; "Нет данных",_xll.CbondsStockDealsNumber($B$1,E364,$B$27),"0")</f>
        <v>0</v>
      </c>
      <c r="K364" s="88" t="str">
        <f>_xll.CbondsIndexValue(VLOOKUP($K$1,'Help Page'!$Q:$S,3,0),Calculation!E364)</f>
        <v>Нет данных</v>
      </c>
      <c r="L364" s="88">
        <f t="shared" si="27"/>
        <v>18140.21</v>
      </c>
      <c r="M364" s="88" t="str">
        <f>_xll.CbondsIndexValue(VLOOKUP($M$1,'Help Page'!$Q:$S,3,0),Calculation!E364)</f>
        <v>Нет данных</v>
      </c>
      <c r="N364" s="88">
        <f t="shared" si="28"/>
        <v>7978.67</v>
      </c>
      <c r="AK364" s="35"/>
      <c r="AL364" s="35"/>
      <c r="AM364" s="35"/>
      <c r="AN364" s="35"/>
      <c r="AO364" s="35"/>
      <c r="AP364" s="35"/>
      <c r="AQ364" s="35"/>
      <c r="AR364" s="35"/>
    </row>
    <row r="365" spans="5:44" x14ac:dyDescent="0.3">
      <c r="E365" s="37">
        <f t="shared" si="29"/>
        <v>45660</v>
      </c>
      <c r="F365" s="30">
        <f>_xll.CbondsStockAvgPrice($B$1,E365,$B$27)</f>
        <v>129.47</v>
      </c>
      <c r="G365" s="31">
        <f t="shared" si="26"/>
        <v>129.47</v>
      </c>
      <c r="H365" s="88">
        <f>IF(_xll.CbondsStockTradingVolume($B$1,E365,$B$27) &lt;&gt; "Нет данных",_xll.CbondsStockTradingVolume($B$1,E365,$B$27),"0")</f>
        <v>5836326465.1000004</v>
      </c>
      <c r="I365" s="88">
        <f>IF(_xll.CbondsStockDealsNumber($B$1,E365,$B$27) &lt;&gt; "Нет данных",_xll.CbondsStockDealsNumber($B$1,E365,$B$27),"0")</f>
        <v>83470</v>
      </c>
      <c r="K365" s="88">
        <f>_xll.CbondsIndexValue(VLOOKUP($K$1,'Help Page'!$Q:$S,3,0),Calculation!E365)</f>
        <v>18140.21</v>
      </c>
      <c r="L365" s="88">
        <f t="shared" si="27"/>
        <v>18140.21</v>
      </c>
      <c r="M365" s="88">
        <f>_xll.CbondsIndexValue(VLOOKUP($M$1,'Help Page'!$Q:$S,3,0),Calculation!E365)</f>
        <v>7978.67</v>
      </c>
      <c r="N365" s="88">
        <f t="shared" si="28"/>
        <v>7978.67</v>
      </c>
      <c r="AK365" s="35"/>
      <c r="AL365" s="35"/>
      <c r="AM365" s="35"/>
      <c r="AN365" s="35"/>
      <c r="AO365" s="35"/>
      <c r="AP365" s="35"/>
      <c r="AQ365" s="35"/>
      <c r="AR365" s="35"/>
    </row>
    <row r="366" spans="5:44" x14ac:dyDescent="0.3">
      <c r="E366" s="37">
        <f t="shared" si="29"/>
        <v>45659</v>
      </c>
      <c r="F366" s="30" t="str">
        <f>_xll.CbondsStockAvgPrice($B$1,E366,$B$27)</f>
        <v>Нет данных</v>
      </c>
      <c r="G366" s="31">
        <f t="shared" si="26"/>
        <v>131.97</v>
      </c>
      <c r="H366" s="88" t="str">
        <f>IF(_xll.CbondsStockTradingVolume($B$1,E366,$B$27) &lt;&gt; "Нет данных",_xll.CbondsStockTradingVolume($B$1,E366,$B$27),"0")</f>
        <v>0</v>
      </c>
      <c r="I366" s="88" t="str">
        <f>IF(_xll.CbondsStockDealsNumber($B$1,E366,$B$27) &lt;&gt; "Нет данных",_xll.CbondsStockDealsNumber($B$1,E366,$B$27),"0")</f>
        <v>0</v>
      </c>
      <c r="K366" s="88" t="str">
        <f>_xll.CbondsIndexValue(VLOOKUP($K$1,'Help Page'!$Q:$S,3,0),Calculation!E366)</f>
        <v>Нет данных</v>
      </c>
      <c r="L366" s="88">
        <f t="shared" si="27"/>
        <v>18523.330000000002</v>
      </c>
      <c r="M366" s="88" t="str">
        <f>_xll.CbondsIndexValue(VLOOKUP($M$1,'Help Page'!$Q:$S,3,0),Calculation!E366)</f>
        <v>Нет данных</v>
      </c>
      <c r="N366" s="88">
        <f t="shared" si="28"/>
        <v>8155.38</v>
      </c>
      <c r="AK366" s="35"/>
      <c r="AL366" s="35"/>
      <c r="AM366" s="35"/>
      <c r="AN366" s="35"/>
      <c r="AO366" s="35"/>
      <c r="AP366" s="35"/>
      <c r="AQ366" s="35"/>
      <c r="AR366" s="35"/>
    </row>
    <row r="367" spans="5:44" x14ac:dyDescent="0.3">
      <c r="E367" s="37">
        <f t="shared" si="29"/>
        <v>45658</v>
      </c>
      <c r="F367" s="30" t="str">
        <f>_xll.CbondsStockAvgPrice($B$1,E367,$B$27)</f>
        <v>Нет данных</v>
      </c>
      <c r="G367" s="31">
        <f t="shared" si="26"/>
        <v>131.97</v>
      </c>
      <c r="H367" s="88" t="str">
        <f>IF(_xll.CbondsStockTradingVolume($B$1,E367,$B$27) &lt;&gt; "Нет данных",_xll.CbondsStockTradingVolume($B$1,E367,$B$27),"0")</f>
        <v>0</v>
      </c>
      <c r="I367" s="88" t="str">
        <f>IF(_xll.CbondsStockDealsNumber($B$1,E367,$B$27) &lt;&gt; "Нет данных",_xll.CbondsStockDealsNumber($B$1,E367,$B$27),"0")</f>
        <v>0</v>
      </c>
      <c r="K367" s="88" t="str">
        <f>_xll.CbondsIndexValue(VLOOKUP($K$1,'Help Page'!$Q:$S,3,0),Calculation!E367)</f>
        <v>Нет данных</v>
      </c>
      <c r="L367" s="88">
        <f t="shared" si="27"/>
        <v>18523.330000000002</v>
      </c>
      <c r="M367" s="88" t="str">
        <f>_xll.CbondsIndexValue(VLOOKUP($M$1,'Help Page'!$Q:$S,3,0),Calculation!E367)</f>
        <v>Нет данных</v>
      </c>
      <c r="N367" s="88">
        <f t="shared" si="28"/>
        <v>8155.38</v>
      </c>
      <c r="AK367" s="35"/>
      <c r="AL367" s="35"/>
      <c r="AM367" s="35"/>
      <c r="AN367" s="35"/>
      <c r="AO367" s="35"/>
      <c r="AP367" s="35"/>
      <c r="AQ367" s="35"/>
      <c r="AR367" s="35"/>
    </row>
    <row r="368" spans="5:44" x14ac:dyDescent="0.3">
      <c r="E368" s="37">
        <f t="shared" si="29"/>
        <v>45657</v>
      </c>
      <c r="F368" s="30" t="str">
        <f>_xll.CbondsStockAvgPrice($B$1,E368,$B$27)</f>
        <v>Нет данных</v>
      </c>
      <c r="G368" s="31">
        <f t="shared" si="26"/>
        <v>131.97</v>
      </c>
      <c r="H368" s="88" t="str">
        <f>IF(_xll.CbondsStockTradingVolume($B$1,E368,$B$27) &lt;&gt; "Нет данных",_xll.CbondsStockTradingVolume($B$1,E368,$B$27),"0")</f>
        <v>0</v>
      </c>
      <c r="I368" s="88" t="str">
        <f>IF(_xll.CbondsStockDealsNumber($B$1,E368,$B$27) &lt;&gt; "Нет данных",_xll.CbondsStockDealsNumber($B$1,E368,$B$27),"0")</f>
        <v>0</v>
      </c>
      <c r="K368" s="88" t="str">
        <f>_xll.CbondsIndexValue(VLOOKUP($K$1,'Help Page'!$Q:$S,3,0),Calculation!E368)</f>
        <v>Нет данных</v>
      </c>
      <c r="L368" s="88">
        <f t="shared" si="27"/>
        <v>18523.330000000002</v>
      </c>
      <c r="M368" s="88" t="str">
        <f>_xll.CbondsIndexValue(VLOOKUP($M$1,'Help Page'!$Q:$S,3,0),Calculation!E368)</f>
        <v>Нет данных</v>
      </c>
      <c r="N368" s="88">
        <f t="shared" si="28"/>
        <v>8155.38</v>
      </c>
      <c r="AK368" s="35"/>
      <c r="AL368" s="35"/>
      <c r="AM368" s="35"/>
      <c r="AN368" s="35"/>
      <c r="AO368" s="35"/>
      <c r="AP368" s="35"/>
      <c r="AQ368" s="35"/>
      <c r="AR368" s="35"/>
    </row>
    <row r="369" spans="5:44" x14ac:dyDescent="0.3">
      <c r="E369" s="37">
        <f t="shared" si="29"/>
        <v>45656</v>
      </c>
      <c r="F369" s="30">
        <f>_xll.CbondsStockAvgPrice($B$1,E369,$B$27)</f>
        <v>131.97</v>
      </c>
      <c r="G369" s="31">
        <f t="shared" si="26"/>
        <v>131.97</v>
      </c>
      <c r="H369" s="88">
        <f>IF(_xll.CbondsStockTradingVolume($B$1,E369,$B$27) &lt;&gt; "Нет данных",_xll.CbondsStockTradingVolume($B$1,E369,$B$27),"0")</f>
        <v>6976178027.6999998</v>
      </c>
      <c r="I369" s="88">
        <f>IF(_xll.CbondsStockDealsNumber($B$1,E369,$B$27) &lt;&gt; "Нет данных",_xll.CbondsStockDealsNumber($B$1,E369,$B$27),"0")</f>
        <v>76477</v>
      </c>
      <c r="K369" s="88">
        <f>_xll.CbondsIndexValue(VLOOKUP($K$1,'Help Page'!$Q:$S,3,0),Calculation!E369)</f>
        <v>18523.330000000002</v>
      </c>
      <c r="L369" s="88">
        <f t="shared" si="27"/>
        <v>18523.330000000002</v>
      </c>
      <c r="M369" s="88">
        <f>_xll.CbondsIndexValue(VLOOKUP($M$1,'Help Page'!$Q:$S,3,0),Calculation!E369)</f>
        <v>8155.38</v>
      </c>
      <c r="N369" s="88">
        <f t="shared" si="28"/>
        <v>8155.38</v>
      </c>
      <c r="AK369" s="35"/>
      <c r="AL369" s="35"/>
      <c r="AM369" s="35"/>
      <c r="AN369" s="35"/>
      <c r="AO369" s="35"/>
      <c r="AP369" s="35"/>
      <c r="AQ369" s="35"/>
      <c r="AR369" s="35"/>
    </row>
    <row r="370" spans="5:44" x14ac:dyDescent="0.3">
      <c r="E370" s="37">
        <f t="shared" si="29"/>
        <v>45655</v>
      </c>
      <c r="F370" s="30" t="str">
        <f>_xll.CbondsStockAvgPrice($B$1,E370,$B$27)</f>
        <v>Нет данных</v>
      </c>
      <c r="G370" s="31">
        <f t="shared" si="26"/>
        <v>129.22</v>
      </c>
      <c r="H370" s="88" t="str">
        <f>IF(_xll.CbondsStockTradingVolume($B$1,E370,$B$27) &lt;&gt; "Нет данных",_xll.CbondsStockTradingVolume($B$1,E370,$B$27),"0")</f>
        <v>0</v>
      </c>
      <c r="I370" s="88" t="str">
        <f>IF(_xll.CbondsStockDealsNumber($B$1,E370,$B$27) &lt;&gt; "Нет данных",_xll.CbondsStockDealsNumber($B$1,E370,$B$27),"0")</f>
        <v>0</v>
      </c>
      <c r="K370" s="88" t="str">
        <f>_xll.CbondsIndexValue(VLOOKUP($K$1,'Help Page'!$Q:$S,3,0),Calculation!E370)</f>
        <v>Нет данных</v>
      </c>
      <c r="L370" s="88">
        <f t="shared" si="27"/>
        <v>17918.52</v>
      </c>
      <c r="M370" s="88" t="str">
        <f>_xll.CbondsIndexValue(VLOOKUP($M$1,'Help Page'!$Q:$S,3,0),Calculation!E370)</f>
        <v>Нет данных</v>
      </c>
      <c r="N370" s="88">
        <f t="shared" si="28"/>
        <v>7856.07</v>
      </c>
      <c r="AK370" s="35"/>
      <c r="AL370" s="35"/>
      <c r="AM370" s="35"/>
      <c r="AN370" s="35"/>
      <c r="AO370" s="35"/>
      <c r="AP370" s="35"/>
      <c r="AQ370" s="35"/>
      <c r="AR370" s="35"/>
    </row>
    <row r="371" spans="5:44" x14ac:dyDescent="0.3">
      <c r="E371" s="37">
        <f t="shared" si="29"/>
        <v>45654</v>
      </c>
      <c r="F371" s="30">
        <f>_xll.CbondsStockAvgPrice($B$1,E371,$B$27)</f>
        <v>129.22</v>
      </c>
      <c r="G371" s="31">
        <f t="shared" si="26"/>
        <v>129.22</v>
      </c>
      <c r="H371" s="88">
        <f>IF(_xll.CbondsStockTradingVolume($B$1,E371,$B$27) &lt;&gt; "Нет данных",_xll.CbondsStockTradingVolume($B$1,E371,$B$27),"0")</f>
        <v>6852777187.6999998</v>
      </c>
      <c r="I371" s="88">
        <f>IF(_xll.CbondsStockDealsNumber($B$1,E371,$B$27) &lt;&gt; "Нет данных",_xll.CbondsStockDealsNumber($B$1,E371,$B$27),"0")</f>
        <v>72254</v>
      </c>
      <c r="K371" s="88">
        <f>_xll.CbondsIndexValue(VLOOKUP($K$1,'Help Page'!$Q:$S,3,0),Calculation!E371)</f>
        <v>17918.52</v>
      </c>
      <c r="L371" s="88">
        <f t="shared" si="27"/>
        <v>17918.52</v>
      </c>
      <c r="M371" s="88">
        <f>_xll.CbondsIndexValue(VLOOKUP($M$1,'Help Page'!$Q:$S,3,0),Calculation!E371)</f>
        <v>7856.07</v>
      </c>
      <c r="N371" s="88">
        <f t="shared" si="28"/>
        <v>7856.07</v>
      </c>
      <c r="AK371" s="35"/>
      <c r="AL371" s="35"/>
      <c r="AM371" s="35"/>
      <c r="AN371" s="35"/>
      <c r="AO371" s="35"/>
      <c r="AP371" s="35"/>
      <c r="AQ371" s="35"/>
      <c r="AR371" s="35"/>
    </row>
    <row r="372" spans="5:44" x14ac:dyDescent="0.3">
      <c r="E372" s="37">
        <f t="shared" si="29"/>
        <v>45653</v>
      </c>
      <c r="F372" s="30">
        <f>_xll.CbondsStockAvgPrice($B$1,E372,$B$27)</f>
        <v>127.54</v>
      </c>
      <c r="G372" s="31">
        <f t="shared" si="26"/>
        <v>127.54</v>
      </c>
      <c r="H372" s="88">
        <f>IF(_xll.CbondsStockTradingVolume($B$1,E372,$B$27) &lt;&gt; "Нет данных",_xll.CbondsStockTradingVolume($B$1,E372,$B$27),"0")</f>
        <v>6361730319.6999998</v>
      </c>
      <c r="I372" s="88">
        <f>IF(_xll.CbondsStockDealsNumber($B$1,E372,$B$27) &lt;&gt; "Нет данных",_xll.CbondsStockDealsNumber($B$1,E372,$B$27),"0")</f>
        <v>72988</v>
      </c>
      <c r="K372" s="88">
        <f>_xll.CbondsIndexValue(VLOOKUP($K$1,'Help Page'!$Q:$S,3,0),Calculation!E372)</f>
        <v>17748.82</v>
      </c>
      <c r="L372" s="88">
        <f t="shared" si="27"/>
        <v>17748.82</v>
      </c>
      <c r="M372" s="88">
        <f>_xll.CbondsIndexValue(VLOOKUP($M$1,'Help Page'!$Q:$S,3,0),Calculation!E372)</f>
        <v>7739.9</v>
      </c>
      <c r="N372" s="88">
        <f t="shared" si="28"/>
        <v>7739.9</v>
      </c>
      <c r="AK372" s="35"/>
      <c r="AL372" s="35"/>
      <c r="AM372" s="35"/>
      <c r="AN372" s="35"/>
      <c r="AO372" s="35"/>
      <c r="AP372" s="35"/>
      <c r="AQ372" s="35"/>
      <c r="AR372" s="35"/>
    </row>
    <row r="373" spans="5:44" x14ac:dyDescent="0.3">
      <c r="E373" s="37">
        <f t="shared" si="29"/>
        <v>45652</v>
      </c>
      <c r="F373" s="30">
        <f>_xll.CbondsStockAvgPrice($B$1,E373,$B$27)</f>
        <v>127.94</v>
      </c>
      <c r="G373" s="31">
        <f t="shared" si="26"/>
        <v>127.94</v>
      </c>
      <c r="H373" s="88">
        <f>IF(_xll.CbondsStockTradingVolume($B$1,E373,$B$27) &lt;&gt; "Нет данных",_xll.CbondsStockTradingVolume($B$1,E373,$B$27),"0")</f>
        <v>13234472599.799999</v>
      </c>
      <c r="I373" s="88">
        <f>IF(_xll.CbondsStockDealsNumber($B$1,E373,$B$27) &lt;&gt; "Нет данных",_xll.CbondsStockDealsNumber($B$1,E373,$B$27),"0")</f>
        <v>158954</v>
      </c>
      <c r="K373" s="88">
        <f>_xll.CbondsIndexValue(VLOOKUP($K$1,'Help Page'!$Q:$S,3,0),Calculation!E373)</f>
        <v>17814.68</v>
      </c>
      <c r="L373" s="88">
        <f t="shared" si="27"/>
        <v>17814.68</v>
      </c>
      <c r="M373" s="88">
        <f>_xll.CbondsIndexValue(VLOOKUP($M$1,'Help Page'!$Q:$S,3,0),Calculation!E373)</f>
        <v>7750.16</v>
      </c>
      <c r="N373" s="88">
        <f t="shared" si="28"/>
        <v>7750.16</v>
      </c>
      <c r="AK373" s="35"/>
      <c r="AL373" s="35"/>
      <c r="AM373" s="35"/>
      <c r="AN373" s="35"/>
      <c r="AO373" s="35"/>
      <c r="AP373" s="35"/>
      <c r="AQ373" s="35"/>
      <c r="AR373" s="35"/>
    </row>
    <row r="374" spans="5:44" x14ac:dyDescent="0.3">
      <c r="E374" s="26"/>
      <c r="F374" s="26"/>
      <c r="G374" s="59"/>
      <c r="H374" s="57"/>
      <c r="I374" s="57"/>
      <c r="K374" s="27"/>
      <c r="L374" s="27"/>
      <c r="M374" s="27"/>
      <c r="N374" s="88"/>
      <c r="AK374" s="35"/>
      <c r="AL374" s="35"/>
      <c r="AM374" s="35"/>
      <c r="AN374" s="35"/>
      <c r="AO374" s="35"/>
      <c r="AP374" s="35"/>
      <c r="AQ374" s="35"/>
      <c r="AR374" s="35"/>
    </row>
    <row r="375" spans="5:44" x14ac:dyDescent="0.3">
      <c r="E375" s="26"/>
      <c r="F375" s="26"/>
      <c r="G375" s="59" t="str">
        <f t="shared" ref="G375:G438" si="30">IF(AND(F375="",E375=""),"",IF(AND(F375="",E375&lt;&gt;""),G374,F375))</f>
        <v/>
      </c>
      <c r="H375" s="57"/>
      <c r="I375" s="57"/>
      <c r="K375" s="27"/>
      <c r="L375" s="27"/>
      <c r="M375" s="27"/>
      <c r="N375" s="88"/>
      <c r="AK375" s="35"/>
      <c r="AL375" s="35"/>
      <c r="AM375" s="35"/>
      <c r="AN375" s="35"/>
      <c r="AO375" s="35"/>
      <c r="AP375" s="35"/>
      <c r="AQ375" s="35"/>
      <c r="AR375" s="35"/>
    </row>
    <row r="376" spans="5:44" x14ac:dyDescent="0.3">
      <c r="E376" s="26"/>
      <c r="F376" s="26"/>
      <c r="G376" s="59" t="str">
        <f t="shared" si="30"/>
        <v/>
      </c>
      <c r="H376" s="57"/>
      <c r="I376" s="57"/>
      <c r="K376" s="27"/>
      <c r="L376" s="27"/>
      <c r="M376" s="27"/>
      <c r="N376" s="88"/>
      <c r="AK376" s="35"/>
      <c r="AL376" s="35"/>
      <c r="AM376" s="35"/>
      <c r="AN376" s="35"/>
      <c r="AO376" s="35"/>
      <c r="AP376" s="35"/>
      <c r="AQ376" s="35"/>
      <c r="AR376" s="35"/>
    </row>
    <row r="377" spans="5:44" x14ac:dyDescent="0.3">
      <c r="E377" s="26"/>
      <c r="F377" s="26"/>
      <c r="G377" s="59" t="str">
        <f t="shared" si="30"/>
        <v/>
      </c>
      <c r="H377" s="57"/>
      <c r="I377" s="57"/>
      <c r="K377" s="27"/>
      <c r="L377" s="27"/>
      <c r="M377" s="27"/>
      <c r="N377" s="88"/>
      <c r="AK377" s="35"/>
      <c r="AL377" s="35"/>
      <c r="AM377" s="35"/>
      <c r="AN377" s="35"/>
      <c r="AO377" s="35"/>
      <c r="AP377" s="35"/>
      <c r="AQ377" s="35"/>
      <c r="AR377" s="35"/>
    </row>
    <row r="378" spans="5:44" x14ac:dyDescent="0.3">
      <c r="E378" s="26"/>
      <c r="F378" s="26"/>
      <c r="G378" s="59" t="str">
        <f t="shared" si="30"/>
        <v/>
      </c>
      <c r="H378" s="57"/>
      <c r="I378" s="57"/>
      <c r="K378" s="27"/>
      <c r="L378" s="27"/>
      <c r="M378" s="27"/>
      <c r="N378" s="88"/>
      <c r="AK378" s="35"/>
      <c r="AL378" s="35"/>
      <c r="AM378" s="35"/>
      <c r="AN378" s="35"/>
      <c r="AO378" s="35"/>
      <c r="AP378" s="35"/>
      <c r="AQ378" s="35"/>
      <c r="AR378" s="35"/>
    </row>
    <row r="379" spans="5:44" x14ac:dyDescent="0.3">
      <c r="E379" s="26"/>
      <c r="F379" s="26"/>
      <c r="G379" s="59" t="str">
        <f t="shared" si="30"/>
        <v/>
      </c>
      <c r="H379" s="57"/>
      <c r="I379" s="57"/>
      <c r="K379" s="27"/>
      <c r="L379" s="27"/>
      <c r="M379" s="27"/>
      <c r="N379" s="88"/>
      <c r="AK379" s="35"/>
      <c r="AL379" s="35"/>
      <c r="AM379" s="35"/>
      <c r="AN379" s="35"/>
      <c r="AO379" s="35"/>
      <c r="AP379" s="35"/>
      <c r="AQ379" s="35"/>
      <c r="AR379" s="35"/>
    </row>
    <row r="380" spans="5:44" x14ac:dyDescent="0.3">
      <c r="E380" s="26"/>
      <c r="F380" s="26"/>
      <c r="G380" s="59" t="str">
        <f t="shared" si="30"/>
        <v/>
      </c>
      <c r="H380" s="57"/>
      <c r="I380" s="57"/>
      <c r="K380" s="27"/>
      <c r="L380" s="27"/>
      <c r="M380" s="27"/>
      <c r="N380" s="88"/>
      <c r="AK380" s="35"/>
      <c r="AL380" s="35"/>
      <c r="AM380" s="35"/>
      <c r="AN380" s="35"/>
      <c r="AO380" s="35"/>
      <c r="AP380" s="35"/>
      <c r="AQ380" s="35"/>
      <c r="AR380" s="35"/>
    </row>
    <row r="381" spans="5:44" x14ac:dyDescent="0.3">
      <c r="E381" s="26"/>
      <c r="F381" s="26"/>
      <c r="G381" s="59" t="str">
        <f t="shared" si="30"/>
        <v/>
      </c>
      <c r="H381" s="57"/>
      <c r="I381" s="57"/>
      <c r="K381" s="27"/>
      <c r="L381" s="27"/>
      <c r="M381" s="27"/>
      <c r="N381" s="88"/>
      <c r="AK381" s="35"/>
      <c r="AL381" s="35"/>
      <c r="AM381" s="35"/>
      <c r="AN381" s="35"/>
      <c r="AO381" s="35"/>
      <c r="AP381" s="35"/>
      <c r="AQ381" s="35"/>
      <c r="AR381" s="35"/>
    </row>
    <row r="382" spans="5:44" x14ac:dyDescent="0.3">
      <c r="E382" s="26"/>
      <c r="F382" s="26"/>
      <c r="G382" s="59" t="str">
        <f t="shared" si="30"/>
        <v/>
      </c>
      <c r="H382" s="57"/>
      <c r="I382" s="57"/>
      <c r="K382" s="27"/>
      <c r="L382" s="27"/>
      <c r="M382" s="27"/>
      <c r="N382" s="88"/>
      <c r="AK382" s="35"/>
      <c r="AL382" s="35"/>
      <c r="AM382" s="35"/>
      <c r="AN382" s="35"/>
      <c r="AO382" s="35"/>
      <c r="AP382" s="35"/>
      <c r="AQ382" s="35"/>
      <c r="AR382" s="35"/>
    </row>
    <row r="383" spans="5:44" x14ac:dyDescent="0.3">
      <c r="E383" s="26"/>
      <c r="F383" s="26"/>
      <c r="G383" s="59" t="str">
        <f t="shared" si="30"/>
        <v/>
      </c>
      <c r="H383" s="57"/>
      <c r="I383" s="57"/>
      <c r="K383" s="27"/>
      <c r="L383" s="27"/>
      <c r="M383" s="27"/>
      <c r="N383" s="88"/>
      <c r="AK383" s="35"/>
      <c r="AL383" s="35"/>
      <c r="AM383" s="35"/>
      <c r="AN383" s="35"/>
      <c r="AO383" s="35"/>
      <c r="AP383" s="35"/>
      <c r="AQ383" s="35"/>
      <c r="AR383" s="35"/>
    </row>
    <row r="384" spans="5:44" x14ac:dyDescent="0.3">
      <c r="E384" s="26"/>
      <c r="F384" s="26"/>
      <c r="G384" s="59" t="str">
        <f t="shared" si="30"/>
        <v/>
      </c>
      <c r="H384" s="57"/>
      <c r="I384" s="57"/>
      <c r="K384" s="27"/>
      <c r="L384" s="27"/>
      <c r="M384" s="27"/>
      <c r="N384" s="88"/>
      <c r="AK384" s="35"/>
      <c r="AL384" s="35"/>
      <c r="AM384" s="35"/>
      <c r="AN384" s="35"/>
      <c r="AO384" s="35"/>
      <c r="AP384" s="35"/>
      <c r="AQ384" s="35"/>
      <c r="AR384" s="35"/>
    </row>
    <row r="385" spans="5:44" x14ac:dyDescent="0.3">
      <c r="E385" s="26"/>
      <c r="F385" s="26"/>
      <c r="G385" s="59" t="str">
        <f t="shared" si="30"/>
        <v/>
      </c>
      <c r="H385" s="57"/>
      <c r="I385" s="57"/>
      <c r="K385" s="27"/>
      <c r="L385" s="27"/>
      <c r="M385" s="27"/>
      <c r="N385" s="88"/>
      <c r="AK385" s="35"/>
      <c r="AL385" s="35"/>
      <c r="AM385" s="35"/>
      <c r="AN385" s="35"/>
      <c r="AO385" s="35"/>
      <c r="AP385" s="35"/>
      <c r="AQ385" s="35"/>
      <c r="AR385" s="35"/>
    </row>
    <row r="386" spans="5:44" x14ac:dyDescent="0.3">
      <c r="E386" s="26"/>
      <c r="F386" s="26"/>
      <c r="G386" s="59" t="str">
        <f t="shared" si="30"/>
        <v/>
      </c>
      <c r="H386" s="57"/>
      <c r="I386" s="57"/>
      <c r="K386" s="27"/>
      <c r="L386" s="27"/>
      <c r="M386" s="27"/>
      <c r="N386" s="88"/>
      <c r="AK386" s="35"/>
      <c r="AL386" s="35"/>
      <c r="AM386" s="35"/>
      <c r="AN386" s="35"/>
      <c r="AO386" s="35"/>
      <c r="AP386" s="35"/>
      <c r="AQ386" s="35"/>
      <c r="AR386" s="35"/>
    </row>
    <row r="387" spans="5:44" x14ac:dyDescent="0.3">
      <c r="E387" s="26"/>
      <c r="F387" s="26"/>
      <c r="G387" s="59" t="str">
        <f t="shared" si="30"/>
        <v/>
      </c>
      <c r="H387" s="57"/>
      <c r="I387" s="57"/>
      <c r="K387" s="27"/>
      <c r="L387" s="27"/>
      <c r="M387" s="27"/>
      <c r="N387" s="88"/>
      <c r="AK387" s="35"/>
      <c r="AL387" s="35"/>
      <c r="AM387" s="35"/>
      <c r="AN387" s="35"/>
      <c r="AO387" s="35"/>
      <c r="AP387" s="35"/>
      <c r="AQ387" s="35"/>
      <c r="AR387" s="35"/>
    </row>
    <row r="388" spans="5:44" x14ac:dyDescent="0.3">
      <c r="E388" s="26"/>
      <c r="F388" s="26"/>
      <c r="G388" s="59" t="str">
        <f t="shared" si="30"/>
        <v/>
      </c>
      <c r="H388" s="57"/>
      <c r="I388" s="57"/>
      <c r="K388" s="27"/>
      <c r="L388" s="27"/>
      <c r="M388" s="27"/>
      <c r="N388" s="88"/>
      <c r="AK388" s="35"/>
      <c r="AL388" s="35"/>
      <c r="AM388" s="35"/>
      <c r="AN388" s="35"/>
      <c r="AO388" s="35"/>
      <c r="AP388" s="35"/>
      <c r="AQ388" s="35"/>
      <c r="AR388" s="35"/>
    </row>
    <row r="389" spans="5:44" x14ac:dyDescent="0.3">
      <c r="E389" s="26"/>
      <c r="F389" s="26"/>
      <c r="G389" s="59" t="str">
        <f t="shared" si="30"/>
        <v/>
      </c>
      <c r="H389" s="57"/>
      <c r="I389" s="57"/>
      <c r="K389" s="27"/>
      <c r="L389" s="27"/>
      <c r="M389" s="27"/>
      <c r="N389" s="88"/>
      <c r="AK389" s="35"/>
      <c r="AL389" s="35"/>
      <c r="AM389" s="35"/>
      <c r="AN389" s="35"/>
      <c r="AO389" s="35"/>
      <c r="AP389" s="35"/>
      <c r="AQ389" s="35"/>
      <c r="AR389" s="35"/>
    </row>
    <row r="390" spans="5:44" x14ac:dyDescent="0.3">
      <c r="E390" s="26"/>
      <c r="F390" s="26"/>
      <c r="G390" s="59" t="str">
        <f t="shared" si="30"/>
        <v/>
      </c>
      <c r="H390" s="57"/>
      <c r="I390" s="57"/>
      <c r="K390" s="27"/>
      <c r="L390" s="27"/>
      <c r="M390" s="27"/>
      <c r="N390" s="88"/>
      <c r="AK390" s="35"/>
      <c r="AL390" s="35"/>
      <c r="AM390" s="35"/>
      <c r="AN390" s="35"/>
      <c r="AO390" s="35"/>
      <c r="AP390" s="35"/>
      <c r="AQ390" s="35"/>
      <c r="AR390" s="35"/>
    </row>
    <row r="391" spans="5:44" x14ac:dyDescent="0.3">
      <c r="E391" s="26"/>
      <c r="F391" s="26"/>
      <c r="G391" s="59" t="str">
        <f t="shared" si="30"/>
        <v/>
      </c>
      <c r="H391" s="57"/>
      <c r="I391" s="57"/>
      <c r="K391" s="27"/>
      <c r="L391" s="27"/>
      <c r="M391" s="27"/>
      <c r="N391" s="88"/>
      <c r="AK391" s="35"/>
      <c r="AL391" s="35"/>
      <c r="AM391" s="35"/>
      <c r="AN391" s="35"/>
      <c r="AO391" s="35"/>
      <c r="AP391" s="35"/>
      <c r="AQ391" s="35"/>
      <c r="AR391" s="35"/>
    </row>
    <row r="392" spans="5:44" x14ac:dyDescent="0.3">
      <c r="E392" s="26"/>
      <c r="F392" s="26"/>
      <c r="G392" s="59" t="str">
        <f t="shared" si="30"/>
        <v/>
      </c>
      <c r="H392" s="57"/>
      <c r="I392" s="57"/>
      <c r="K392" s="27"/>
      <c r="L392" s="27"/>
      <c r="M392" s="27"/>
      <c r="N392" s="88"/>
      <c r="AK392" s="35"/>
      <c r="AL392" s="35"/>
      <c r="AM392" s="35"/>
      <c r="AN392" s="35"/>
      <c r="AO392" s="35"/>
      <c r="AP392" s="35"/>
      <c r="AQ392" s="35"/>
      <c r="AR392" s="35"/>
    </row>
    <row r="393" spans="5:44" x14ac:dyDescent="0.3">
      <c r="E393" s="26"/>
      <c r="F393" s="26"/>
      <c r="G393" s="59" t="str">
        <f t="shared" si="30"/>
        <v/>
      </c>
      <c r="H393" s="57"/>
      <c r="I393" s="57"/>
      <c r="K393" s="27"/>
      <c r="L393" s="27"/>
      <c r="M393" s="27"/>
      <c r="N393" s="88"/>
      <c r="AK393" s="35"/>
      <c r="AL393" s="35"/>
      <c r="AM393" s="35"/>
      <c r="AN393" s="35"/>
      <c r="AO393" s="35"/>
      <c r="AP393" s="35"/>
      <c r="AQ393" s="35"/>
      <c r="AR393" s="35"/>
    </row>
    <row r="394" spans="5:44" x14ac:dyDescent="0.3">
      <c r="E394" s="26"/>
      <c r="F394" s="26"/>
      <c r="G394" s="59" t="str">
        <f t="shared" si="30"/>
        <v/>
      </c>
      <c r="H394" s="57"/>
      <c r="I394" s="57"/>
      <c r="K394" s="27"/>
      <c r="L394" s="27"/>
      <c r="M394" s="27"/>
      <c r="N394" s="88"/>
      <c r="AK394" s="35"/>
      <c r="AL394" s="35"/>
      <c r="AM394" s="35"/>
      <c r="AN394" s="35"/>
      <c r="AO394" s="35"/>
      <c r="AP394" s="35"/>
      <c r="AQ394" s="35"/>
      <c r="AR394" s="35"/>
    </row>
    <row r="395" spans="5:44" x14ac:dyDescent="0.3">
      <c r="E395" s="26"/>
      <c r="F395" s="26"/>
      <c r="G395" s="59" t="str">
        <f t="shared" si="30"/>
        <v/>
      </c>
      <c r="H395" s="57"/>
      <c r="I395" s="57"/>
      <c r="K395" s="27"/>
      <c r="L395" s="27"/>
      <c r="M395" s="27"/>
      <c r="N395" s="88"/>
      <c r="AK395" s="35"/>
      <c r="AL395" s="35"/>
      <c r="AM395" s="35"/>
      <c r="AN395" s="35"/>
      <c r="AO395" s="35"/>
      <c r="AP395" s="35"/>
      <c r="AQ395" s="35"/>
      <c r="AR395" s="35"/>
    </row>
    <row r="396" spans="5:44" x14ac:dyDescent="0.3">
      <c r="E396" s="26"/>
      <c r="F396" s="26"/>
      <c r="G396" s="59" t="str">
        <f t="shared" si="30"/>
        <v/>
      </c>
      <c r="H396" s="57"/>
      <c r="I396" s="57"/>
      <c r="K396" s="27"/>
      <c r="L396" s="27"/>
      <c r="M396" s="27"/>
      <c r="N396" s="88"/>
      <c r="AK396" s="35"/>
      <c r="AL396" s="35"/>
      <c r="AM396" s="35"/>
      <c r="AN396" s="35"/>
      <c r="AO396" s="35"/>
      <c r="AP396" s="35"/>
      <c r="AQ396" s="35"/>
      <c r="AR396" s="35"/>
    </row>
    <row r="397" spans="5:44" x14ac:dyDescent="0.3">
      <c r="E397" s="26"/>
      <c r="F397" s="26"/>
      <c r="G397" s="59" t="str">
        <f t="shared" si="30"/>
        <v/>
      </c>
      <c r="H397" s="57"/>
      <c r="I397" s="57"/>
      <c r="K397" s="27"/>
      <c r="L397" s="27"/>
      <c r="M397" s="27"/>
      <c r="N397" s="88"/>
      <c r="AK397" s="35"/>
      <c r="AL397" s="35"/>
      <c r="AM397" s="35"/>
      <c r="AN397" s="35"/>
      <c r="AO397" s="35"/>
      <c r="AP397" s="35"/>
      <c r="AQ397" s="35"/>
      <c r="AR397" s="35"/>
    </row>
    <row r="398" spans="5:44" x14ac:dyDescent="0.3">
      <c r="E398" s="26"/>
      <c r="F398" s="26"/>
      <c r="G398" s="59" t="str">
        <f t="shared" si="30"/>
        <v/>
      </c>
      <c r="H398" s="57"/>
      <c r="I398" s="57"/>
      <c r="K398" s="27"/>
      <c r="L398" s="27"/>
      <c r="M398" s="27"/>
      <c r="N398" s="88"/>
      <c r="AK398" s="35"/>
      <c r="AL398" s="35"/>
      <c r="AM398" s="35"/>
      <c r="AN398" s="35"/>
      <c r="AO398" s="35"/>
      <c r="AP398" s="35"/>
      <c r="AQ398" s="35"/>
      <c r="AR398" s="35"/>
    </row>
    <row r="399" spans="5:44" x14ac:dyDescent="0.3">
      <c r="E399" s="26"/>
      <c r="F399" s="26"/>
      <c r="G399" s="59" t="str">
        <f t="shared" si="30"/>
        <v/>
      </c>
      <c r="H399" s="57"/>
      <c r="I399" s="57"/>
      <c r="K399" s="27"/>
      <c r="L399" s="27"/>
      <c r="M399" s="27"/>
      <c r="N399" s="88"/>
      <c r="AK399" s="35"/>
      <c r="AL399" s="35"/>
      <c r="AM399" s="35"/>
      <c r="AN399" s="35"/>
      <c r="AO399" s="35"/>
      <c r="AP399" s="35"/>
      <c r="AQ399" s="35"/>
      <c r="AR399" s="35"/>
    </row>
    <row r="400" spans="5:44" x14ac:dyDescent="0.3">
      <c r="E400" s="26"/>
      <c r="F400" s="26"/>
      <c r="G400" s="59" t="str">
        <f t="shared" si="30"/>
        <v/>
      </c>
      <c r="H400" s="57"/>
      <c r="I400" s="57"/>
      <c r="K400" s="27"/>
      <c r="L400" s="27"/>
      <c r="M400" s="27"/>
      <c r="N400" s="88"/>
      <c r="AK400" s="35"/>
      <c r="AL400" s="35"/>
      <c r="AM400" s="35"/>
      <c r="AN400" s="35"/>
      <c r="AO400" s="35"/>
      <c r="AP400" s="35"/>
      <c r="AQ400" s="35"/>
      <c r="AR400" s="35"/>
    </row>
    <row r="401" spans="5:44" x14ac:dyDescent="0.3">
      <c r="E401" s="26"/>
      <c r="F401" s="26"/>
      <c r="G401" s="59" t="str">
        <f t="shared" si="30"/>
        <v/>
      </c>
      <c r="H401" s="57"/>
      <c r="I401" s="57"/>
      <c r="K401" s="27"/>
      <c r="L401" s="27"/>
      <c r="M401" s="27"/>
      <c r="N401" s="88"/>
      <c r="AK401" s="35"/>
      <c r="AL401" s="35"/>
      <c r="AM401" s="35"/>
      <c r="AN401" s="35"/>
      <c r="AO401" s="35"/>
      <c r="AP401" s="35"/>
      <c r="AQ401" s="35"/>
      <c r="AR401" s="35"/>
    </row>
    <row r="402" spans="5:44" x14ac:dyDescent="0.3">
      <c r="E402" s="26"/>
      <c r="F402" s="26"/>
      <c r="G402" s="59" t="str">
        <f t="shared" si="30"/>
        <v/>
      </c>
      <c r="H402" s="57"/>
      <c r="I402" s="57"/>
      <c r="K402" s="27"/>
      <c r="L402" s="27"/>
      <c r="M402" s="27"/>
      <c r="N402" s="88"/>
      <c r="AK402" s="35"/>
      <c r="AL402" s="35"/>
      <c r="AM402" s="35"/>
      <c r="AN402" s="35"/>
      <c r="AO402" s="35"/>
      <c r="AP402" s="35"/>
      <c r="AQ402" s="35"/>
      <c r="AR402" s="35"/>
    </row>
    <row r="403" spans="5:44" x14ac:dyDescent="0.3">
      <c r="E403" s="26"/>
      <c r="F403" s="26"/>
      <c r="G403" s="59" t="str">
        <f t="shared" si="30"/>
        <v/>
      </c>
      <c r="H403" s="57"/>
      <c r="I403" s="57"/>
      <c r="K403" s="27"/>
      <c r="L403" s="27"/>
      <c r="M403" s="27"/>
      <c r="N403" s="88"/>
      <c r="AK403" s="35"/>
      <c r="AL403" s="35"/>
      <c r="AM403" s="35"/>
      <c r="AN403" s="35"/>
      <c r="AO403" s="35"/>
      <c r="AP403" s="35"/>
      <c r="AQ403" s="35"/>
      <c r="AR403" s="35"/>
    </row>
    <row r="404" spans="5:44" x14ac:dyDescent="0.3">
      <c r="E404" s="26"/>
      <c r="F404" s="26"/>
      <c r="G404" s="59" t="str">
        <f t="shared" si="30"/>
        <v/>
      </c>
      <c r="H404" s="57"/>
      <c r="I404" s="57"/>
      <c r="K404" s="27"/>
      <c r="L404" s="27"/>
      <c r="M404" s="27"/>
      <c r="N404" s="88"/>
      <c r="AK404" s="35"/>
      <c r="AL404" s="35"/>
      <c r="AM404" s="35"/>
      <c r="AN404" s="35"/>
      <c r="AO404" s="35"/>
      <c r="AP404" s="35"/>
      <c r="AQ404" s="35"/>
      <c r="AR404" s="35"/>
    </row>
    <row r="405" spans="5:44" x14ac:dyDescent="0.3">
      <c r="E405" s="26"/>
      <c r="F405" s="26"/>
      <c r="G405" s="59" t="str">
        <f t="shared" si="30"/>
        <v/>
      </c>
      <c r="H405" s="57"/>
      <c r="I405" s="57"/>
      <c r="K405" s="27"/>
      <c r="L405" s="27"/>
      <c r="M405" s="27"/>
      <c r="N405" s="88"/>
      <c r="AK405" s="35"/>
      <c r="AL405" s="35"/>
      <c r="AM405" s="35"/>
      <c r="AN405" s="35"/>
      <c r="AO405" s="35"/>
      <c r="AP405" s="35"/>
      <c r="AQ405" s="35"/>
      <c r="AR405" s="35"/>
    </row>
    <row r="406" spans="5:44" x14ac:dyDescent="0.3">
      <c r="E406" s="26"/>
      <c r="F406" s="26"/>
      <c r="G406" s="59" t="str">
        <f t="shared" si="30"/>
        <v/>
      </c>
      <c r="H406" s="57"/>
      <c r="I406" s="57"/>
      <c r="K406" s="27"/>
      <c r="L406" s="27"/>
      <c r="M406" s="27"/>
      <c r="N406" s="88"/>
      <c r="AK406" s="35"/>
      <c r="AL406" s="35"/>
      <c r="AM406" s="35"/>
      <c r="AN406" s="35"/>
      <c r="AO406" s="35"/>
      <c r="AP406" s="35"/>
      <c r="AQ406" s="35"/>
      <c r="AR406" s="35"/>
    </row>
    <row r="407" spans="5:44" x14ac:dyDescent="0.3">
      <c r="E407" s="26"/>
      <c r="F407" s="26"/>
      <c r="G407" s="59" t="str">
        <f t="shared" si="30"/>
        <v/>
      </c>
      <c r="H407" s="57"/>
      <c r="I407" s="57"/>
      <c r="K407" s="27"/>
      <c r="L407" s="27"/>
      <c r="M407" s="27"/>
      <c r="N407" s="88"/>
      <c r="AK407" s="35"/>
      <c r="AL407" s="35"/>
      <c r="AM407" s="35"/>
      <c r="AN407" s="35"/>
      <c r="AO407" s="35"/>
      <c r="AP407" s="35"/>
      <c r="AQ407" s="35"/>
      <c r="AR407" s="35"/>
    </row>
    <row r="408" spans="5:44" x14ac:dyDescent="0.3">
      <c r="E408" s="26"/>
      <c r="F408" s="26"/>
      <c r="G408" s="59" t="str">
        <f t="shared" si="30"/>
        <v/>
      </c>
      <c r="H408" s="57"/>
      <c r="I408" s="57"/>
      <c r="K408" s="27"/>
      <c r="L408" s="27"/>
      <c r="M408" s="27"/>
      <c r="N408" s="88"/>
      <c r="AK408" s="35"/>
      <c r="AL408" s="35"/>
      <c r="AM408" s="35"/>
      <c r="AN408" s="35"/>
      <c r="AO408" s="35"/>
      <c r="AP408" s="35"/>
      <c r="AQ408" s="35"/>
      <c r="AR408" s="35"/>
    </row>
    <row r="409" spans="5:44" x14ac:dyDescent="0.3">
      <c r="E409" s="26"/>
      <c r="F409" s="26"/>
      <c r="G409" s="59" t="str">
        <f t="shared" si="30"/>
        <v/>
      </c>
      <c r="H409" s="57"/>
      <c r="I409" s="57"/>
      <c r="K409" s="27"/>
      <c r="L409" s="27"/>
      <c r="M409" s="27"/>
      <c r="N409" s="88"/>
      <c r="AK409" s="35"/>
      <c r="AL409" s="35"/>
      <c r="AM409" s="35"/>
      <c r="AN409" s="35"/>
      <c r="AO409" s="35"/>
      <c r="AP409" s="35"/>
      <c r="AQ409" s="35"/>
      <c r="AR409" s="35"/>
    </row>
    <row r="410" spans="5:44" x14ac:dyDescent="0.3">
      <c r="E410" s="26"/>
      <c r="F410" s="26"/>
      <c r="G410" s="59" t="str">
        <f t="shared" si="30"/>
        <v/>
      </c>
      <c r="H410" s="57"/>
      <c r="I410" s="57"/>
      <c r="K410" s="27"/>
      <c r="L410" s="27"/>
      <c r="M410" s="27"/>
      <c r="N410" s="88"/>
      <c r="AK410" s="35"/>
      <c r="AL410" s="35"/>
      <c r="AM410" s="35"/>
      <c r="AN410" s="35"/>
      <c r="AO410" s="35"/>
      <c r="AP410" s="35"/>
      <c r="AQ410" s="35"/>
      <c r="AR410" s="35"/>
    </row>
    <row r="411" spans="5:44" x14ac:dyDescent="0.3">
      <c r="E411" s="26"/>
      <c r="F411" s="26"/>
      <c r="G411" s="59" t="str">
        <f t="shared" si="30"/>
        <v/>
      </c>
      <c r="H411" s="57"/>
      <c r="I411" s="57"/>
      <c r="K411" s="27"/>
      <c r="L411" s="27"/>
      <c r="M411" s="27"/>
      <c r="N411" s="88"/>
      <c r="AK411" s="35"/>
      <c r="AL411" s="35"/>
      <c r="AM411" s="35"/>
      <c r="AN411" s="35"/>
      <c r="AO411" s="35"/>
      <c r="AP411" s="35"/>
      <c r="AQ411" s="35"/>
      <c r="AR411" s="35"/>
    </row>
    <row r="412" spans="5:44" x14ac:dyDescent="0.3">
      <c r="E412" s="26"/>
      <c r="F412" s="26"/>
      <c r="G412" s="59" t="str">
        <f t="shared" si="30"/>
        <v/>
      </c>
      <c r="H412" s="57"/>
      <c r="I412" s="57"/>
      <c r="K412" s="27"/>
      <c r="L412" s="27"/>
      <c r="M412" s="27"/>
      <c r="N412" s="88"/>
      <c r="AK412" s="35"/>
      <c r="AL412" s="35"/>
      <c r="AM412" s="35"/>
      <c r="AN412" s="35"/>
      <c r="AO412" s="35"/>
      <c r="AP412" s="35"/>
      <c r="AQ412" s="35"/>
      <c r="AR412" s="35"/>
    </row>
    <row r="413" spans="5:44" x14ac:dyDescent="0.3">
      <c r="E413" s="26"/>
      <c r="F413" s="26"/>
      <c r="G413" s="59" t="str">
        <f t="shared" si="30"/>
        <v/>
      </c>
      <c r="H413" s="57"/>
      <c r="I413" s="57"/>
      <c r="K413" s="27"/>
      <c r="L413" s="27"/>
      <c r="M413" s="27"/>
      <c r="N413" s="88"/>
      <c r="AK413" s="35"/>
      <c r="AL413" s="35"/>
      <c r="AM413" s="35"/>
      <c r="AN413" s="35"/>
      <c r="AO413" s="35"/>
      <c r="AP413" s="35"/>
      <c r="AQ413" s="35"/>
      <c r="AR413" s="35"/>
    </row>
    <row r="414" spans="5:44" x14ac:dyDescent="0.3">
      <c r="E414" s="26"/>
      <c r="F414" s="26"/>
      <c r="G414" s="59" t="str">
        <f t="shared" si="30"/>
        <v/>
      </c>
      <c r="H414" s="57"/>
      <c r="I414" s="57"/>
      <c r="K414" s="27"/>
      <c r="L414" s="27"/>
      <c r="M414" s="27"/>
      <c r="N414" s="88"/>
      <c r="AK414" s="35"/>
      <c r="AL414" s="35"/>
      <c r="AM414" s="35"/>
      <c r="AN414" s="35"/>
      <c r="AO414" s="35"/>
      <c r="AP414" s="35"/>
      <c r="AQ414" s="35"/>
      <c r="AR414" s="35"/>
    </row>
    <row r="415" spans="5:44" x14ac:dyDescent="0.3">
      <c r="E415" s="26"/>
      <c r="F415" s="26"/>
      <c r="G415" s="59" t="str">
        <f t="shared" si="30"/>
        <v/>
      </c>
      <c r="H415" s="57"/>
      <c r="I415" s="57"/>
      <c r="K415" s="27"/>
      <c r="L415" s="27"/>
      <c r="M415" s="27"/>
      <c r="N415" s="88"/>
      <c r="AK415" s="35"/>
      <c r="AL415" s="35"/>
      <c r="AM415" s="35"/>
      <c r="AN415" s="35"/>
      <c r="AO415" s="35"/>
      <c r="AP415" s="35"/>
      <c r="AQ415" s="35"/>
      <c r="AR415" s="35"/>
    </row>
    <row r="416" spans="5:44" x14ac:dyDescent="0.3">
      <c r="E416" s="26"/>
      <c r="F416" s="26"/>
      <c r="G416" s="59" t="str">
        <f t="shared" si="30"/>
        <v/>
      </c>
      <c r="H416" s="57"/>
      <c r="I416" s="57"/>
      <c r="K416" s="27"/>
      <c r="L416" s="27"/>
      <c r="M416" s="27"/>
      <c r="N416" s="88"/>
      <c r="AK416" s="35"/>
      <c r="AL416" s="35"/>
      <c r="AM416" s="35"/>
      <c r="AN416" s="35"/>
      <c r="AO416" s="35"/>
      <c r="AP416" s="35"/>
      <c r="AQ416" s="35"/>
      <c r="AR416" s="35"/>
    </row>
    <row r="417" spans="5:44" x14ac:dyDescent="0.3">
      <c r="E417" s="26"/>
      <c r="F417" s="26"/>
      <c r="G417" s="59" t="str">
        <f t="shared" si="30"/>
        <v/>
      </c>
      <c r="H417" s="57"/>
      <c r="I417" s="57"/>
      <c r="K417" s="27"/>
      <c r="L417" s="27"/>
      <c r="M417" s="27"/>
      <c r="N417" s="88"/>
      <c r="AK417" s="35"/>
      <c r="AL417" s="35"/>
      <c r="AM417" s="35"/>
      <c r="AN417" s="35"/>
      <c r="AO417" s="35"/>
      <c r="AP417" s="35"/>
      <c r="AQ417" s="35"/>
      <c r="AR417" s="35"/>
    </row>
    <row r="418" spans="5:44" x14ac:dyDescent="0.3">
      <c r="E418" s="26"/>
      <c r="F418" s="26"/>
      <c r="G418" s="59" t="str">
        <f t="shared" si="30"/>
        <v/>
      </c>
      <c r="H418" s="57"/>
      <c r="I418" s="57"/>
      <c r="K418" s="27"/>
      <c r="L418" s="27"/>
      <c r="M418" s="27"/>
      <c r="N418" s="88"/>
      <c r="AK418" s="35"/>
      <c r="AL418" s="35"/>
      <c r="AM418" s="35"/>
      <c r="AN418" s="35"/>
      <c r="AO418" s="35"/>
      <c r="AP418" s="35"/>
      <c r="AQ418" s="35"/>
      <c r="AR418" s="35"/>
    </row>
    <row r="419" spans="5:44" x14ac:dyDescent="0.3">
      <c r="E419" s="26"/>
      <c r="F419" s="26"/>
      <c r="G419" s="59" t="str">
        <f t="shared" si="30"/>
        <v/>
      </c>
      <c r="H419" s="57"/>
      <c r="I419" s="57"/>
      <c r="K419" s="27"/>
      <c r="L419" s="27"/>
      <c r="M419" s="27"/>
      <c r="N419" s="88"/>
      <c r="AK419" s="35"/>
      <c r="AL419" s="35"/>
      <c r="AM419" s="35"/>
      <c r="AN419" s="35"/>
      <c r="AO419" s="35"/>
      <c r="AP419" s="35"/>
      <c r="AQ419" s="35"/>
      <c r="AR419" s="35"/>
    </row>
    <row r="420" spans="5:44" x14ac:dyDescent="0.3">
      <c r="E420" s="26"/>
      <c r="F420" s="26"/>
      <c r="G420" s="59" t="str">
        <f t="shared" si="30"/>
        <v/>
      </c>
      <c r="H420" s="57"/>
      <c r="I420" s="57"/>
      <c r="K420" s="27"/>
      <c r="L420" s="27"/>
      <c r="M420" s="27"/>
      <c r="N420" s="88"/>
      <c r="AK420" s="35"/>
      <c r="AL420" s="35"/>
      <c r="AM420" s="35"/>
      <c r="AN420" s="35"/>
      <c r="AO420" s="35"/>
      <c r="AP420" s="35"/>
      <c r="AQ420" s="35"/>
      <c r="AR420" s="35"/>
    </row>
    <row r="421" spans="5:44" x14ac:dyDescent="0.3">
      <c r="E421" s="26"/>
      <c r="F421" s="26"/>
      <c r="G421" s="59" t="str">
        <f t="shared" si="30"/>
        <v/>
      </c>
      <c r="H421" s="57"/>
      <c r="I421" s="57"/>
      <c r="K421" s="27"/>
      <c r="L421" s="27"/>
      <c r="M421" s="27"/>
      <c r="N421" s="88"/>
      <c r="AK421" s="35"/>
      <c r="AL421" s="35"/>
      <c r="AM421" s="35"/>
      <c r="AN421" s="35"/>
      <c r="AO421" s="35"/>
      <c r="AP421" s="35"/>
      <c r="AQ421" s="35"/>
      <c r="AR421" s="35"/>
    </row>
    <row r="422" spans="5:44" x14ac:dyDescent="0.3">
      <c r="E422" s="26"/>
      <c r="F422" s="26"/>
      <c r="G422" s="59" t="str">
        <f t="shared" si="30"/>
        <v/>
      </c>
      <c r="H422" s="57"/>
      <c r="I422" s="57"/>
      <c r="K422" s="27"/>
      <c r="L422" s="27"/>
      <c r="M422" s="27"/>
      <c r="N422" s="88"/>
      <c r="AK422" s="35"/>
      <c r="AL422" s="35"/>
      <c r="AM422" s="35"/>
      <c r="AN422" s="35"/>
      <c r="AO422" s="35"/>
      <c r="AP422" s="35"/>
      <c r="AQ422" s="35"/>
      <c r="AR422" s="35"/>
    </row>
    <row r="423" spans="5:44" x14ac:dyDescent="0.3">
      <c r="E423" s="26"/>
      <c r="F423" s="26"/>
      <c r="G423" s="59" t="str">
        <f t="shared" si="30"/>
        <v/>
      </c>
      <c r="H423" s="57"/>
      <c r="I423" s="57"/>
      <c r="K423" s="27"/>
      <c r="L423" s="27"/>
      <c r="M423" s="27"/>
      <c r="N423" s="88"/>
      <c r="AK423" s="35"/>
      <c r="AL423" s="35"/>
      <c r="AM423" s="35"/>
      <c r="AN423" s="35"/>
      <c r="AO423" s="35"/>
      <c r="AP423" s="35"/>
      <c r="AQ423" s="35"/>
      <c r="AR423" s="35"/>
    </row>
    <row r="424" spans="5:44" x14ac:dyDescent="0.3">
      <c r="E424" s="26"/>
      <c r="F424" s="26"/>
      <c r="G424" s="59" t="str">
        <f t="shared" si="30"/>
        <v/>
      </c>
      <c r="H424" s="57"/>
      <c r="I424" s="57"/>
      <c r="K424" s="27"/>
      <c r="L424" s="27"/>
      <c r="M424" s="27"/>
      <c r="N424" s="88"/>
      <c r="AK424" s="35"/>
      <c r="AL424" s="35"/>
      <c r="AM424" s="35"/>
      <c r="AN424" s="35"/>
      <c r="AO424" s="35"/>
      <c r="AP424" s="35"/>
      <c r="AQ424" s="35"/>
      <c r="AR424" s="35"/>
    </row>
    <row r="425" spans="5:44" x14ac:dyDescent="0.3">
      <c r="E425" s="26"/>
      <c r="F425" s="26"/>
      <c r="G425" s="59" t="str">
        <f t="shared" si="30"/>
        <v/>
      </c>
      <c r="H425" s="57"/>
      <c r="I425" s="57"/>
      <c r="K425" s="27"/>
      <c r="L425" s="27"/>
      <c r="M425" s="27"/>
      <c r="N425" s="88"/>
      <c r="AK425" s="35"/>
      <c r="AL425" s="35"/>
      <c r="AM425" s="35"/>
      <c r="AN425" s="35"/>
      <c r="AO425" s="35"/>
      <c r="AP425" s="35"/>
      <c r="AQ425" s="35"/>
      <c r="AR425" s="35"/>
    </row>
    <row r="426" spans="5:44" x14ac:dyDescent="0.3">
      <c r="E426" s="26"/>
      <c r="F426" s="26"/>
      <c r="G426" s="59" t="str">
        <f t="shared" si="30"/>
        <v/>
      </c>
      <c r="H426" s="57"/>
      <c r="I426" s="57"/>
      <c r="K426" s="27"/>
      <c r="L426" s="27"/>
      <c r="M426" s="27"/>
      <c r="N426" s="88"/>
      <c r="AK426" s="35"/>
      <c r="AL426" s="35"/>
      <c r="AM426" s="35"/>
      <c r="AN426" s="35"/>
      <c r="AO426" s="35"/>
      <c r="AP426" s="35"/>
      <c r="AQ426" s="35"/>
      <c r="AR426" s="35"/>
    </row>
    <row r="427" spans="5:44" x14ac:dyDescent="0.3">
      <c r="E427" s="26"/>
      <c r="F427" s="26"/>
      <c r="G427" s="59" t="str">
        <f t="shared" si="30"/>
        <v/>
      </c>
      <c r="H427" s="57"/>
      <c r="I427" s="57"/>
      <c r="K427" s="27"/>
      <c r="L427" s="27"/>
      <c r="M427" s="27"/>
      <c r="N427" s="88"/>
      <c r="AK427" s="35"/>
      <c r="AL427" s="35"/>
      <c r="AM427" s="35"/>
      <c r="AN427" s="35"/>
      <c r="AO427" s="35"/>
      <c r="AP427" s="35"/>
      <c r="AQ427" s="35"/>
      <c r="AR427" s="35"/>
    </row>
    <row r="428" spans="5:44" x14ac:dyDescent="0.3">
      <c r="E428" s="26"/>
      <c r="F428" s="26"/>
      <c r="G428" s="59" t="str">
        <f t="shared" si="30"/>
        <v/>
      </c>
      <c r="H428" s="57"/>
      <c r="I428" s="57"/>
      <c r="K428" s="27"/>
      <c r="L428" s="27"/>
      <c r="M428" s="27"/>
      <c r="N428" s="88"/>
      <c r="AK428" s="35"/>
      <c r="AL428" s="35"/>
      <c r="AM428" s="35"/>
      <c r="AN428" s="35"/>
      <c r="AO428" s="35"/>
      <c r="AP428" s="35"/>
      <c r="AQ428" s="35"/>
      <c r="AR428" s="35"/>
    </row>
    <row r="429" spans="5:44" x14ac:dyDescent="0.3">
      <c r="E429" s="26"/>
      <c r="F429" s="26"/>
      <c r="G429" s="59" t="str">
        <f t="shared" si="30"/>
        <v/>
      </c>
      <c r="H429" s="57"/>
      <c r="I429" s="57"/>
      <c r="K429" s="27"/>
      <c r="L429" s="27"/>
      <c r="M429" s="27"/>
      <c r="N429" s="88"/>
      <c r="AK429" s="35"/>
      <c r="AL429" s="35"/>
      <c r="AM429" s="35"/>
      <c r="AN429" s="35"/>
      <c r="AO429" s="35"/>
      <c r="AP429" s="35"/>
      <c r="AQ429" s="35"/>
      <c r="AR429" s="35"/>
    </row>
    <row r="430" spans="5:44" x14ac:dyDescent="0.3">
      <c r="E430" s="26"/>
      <c r="F430" s="26"/>
      <c r="G430" s="59" t="str">
        <f t="shared" si="30"/>
        <v/>
      </c>
      <c r="H430" s="57"/>
      <c r="I430" s="57"/>
      <c r="K430" s="27"/>
      <c r="L430" s="27"/>
      <c r="M430" s="27"/>
      <c r="N430" s="88"/>
      <c r="AK430" s="35"/>
      <c r="AL430" s="35"/>
      <c r="AM430" s="35"/>
      <c r="AN430" s="35"/>
      <c r="AO430" s="35"/>
      <c r="AP430" s="35"/>
      <c r="AQ430" s="35"/>
      <c r="AR430" s="35"/>
    </row>
    <row r="431" spans="5:44" x14ac:dyDescent="0.3">
      <c r="E431" s="26"/>
      <c r="F431" s="26"/>
      <c r="G431" s="59" t="str">
        <f t="shared" si="30"/>
        <v/>
      </c>
      <c r="H431" s="57"/>
      <c r="I431" s="57"/>
      <c r="K431" s="27"/>
      <c r="L431" s="27"/>
      <c r="M431" s="27"/>
      <c r="N431" s="88"/>
      <c r="AK431" s="35"/>
      <c r="AL431" s="35"/>
      <c r="AM431" s="35"/>
      <c r="AN431" s="35"/>
      <c r="AO431" s="35"/>
      <c r="AP431" s="35"/>
      <c r="AQ431" s="35"/>
      <c r="AR431" s="35"/>
    </row>
    <row r="432" spans="5:44" x14ac:dyDescent="0.3">
      <c r="E432" s="26"/>
      <c r="F432" s="26"/>
      <c r="G432" s="59" t="str">
        <f t="shared" si="30"/>
        <v/>
      </c>
      <c r="H432" s="57"/>
      <c r="I432" s="57"/>
      <c r="K432" s="27"/>
      <c r="L432" s="27"/>
      <c r="M432" s="27"/>
      <c r="N432" s="88"/>
      <c r="AK432" s="35"/>
      <c r="AL432" s="35"/>
      <c r="AM432" s="35"/>
      <c r="AN432" s="35"/>
      <c r="AO432" s="35"/>
      <c r="AP432" s="35"/>
      <c r="AQ432" s="35"/>
      <c r="AR432" s="35"/>
    </row>
    <row r="433" spans="5:44" x14ac:dyDescent="0.3">
      <c r="E433" s="26"/>
      <c r="F433" s="26"/>
      <c r="G433" s="59" t="str">
        <f t="shared" si="30"/>
        <v/>
      </c>
      <c r="H433" s="57"/>
      <c r="I433" s="57"/>
      <c r="K433" s="27"/>
      <c r="L433" s="27"/>
      <c r="M433" s="27"/>
      <c r="N433" s="88"/>
      <c r="AK433" s="35"/>
      <c r="AL433" s="35"/>
      <c r="AM433" s="35"/>
      <c r="AN433" s="35"/>
      <c r="AO433" s="35"/>
      <c r="AP433" s="35"/>
      <c r="AQ433" s="35"/>
      <c r="AR433" s="35"/>
    </row>
    <row r="434" spans="5:44" x14ac:dyDescent="0.3">
      <c r="E434" s="26"/>
      <c r="F434" s="26"/>
      <c r="G434" s="59" t="str">
        <f t="shared" si="30"/>
        <v/>
      </c>
      <c r="H434" s="57"/>
      <c r="I434" s="57"/>
      <c r="K434" s="27"/>
      <c r="L434" s="27"/>
      <c r="M434" s="27"/>
      <c r="N434" s="88"/>
      <c r="AK434" s="35"/>
      <c r="AL434" s="35"/>
      <c r="AM434" s="35"/>
      <c r="AN434" s="35"/>
      <c r="AO434" s="35"/>
      <c r="AP434" s="35"/>
      <c r="AQ434" s="35"/>
      <c r="AR434" s="35"/>
    </row>
    <row r="435" spans="5:44" x14ac:dyDescent="0.3">
      <c r="E435" s="26"/>
      <c r="F435" s="26"/>
      <c r="G435" s="59" t="str">
        <f t="shared" si="30"/>
        <v/>
      </c>
      <c r="H435" s="57"/>
      <c r="I435" s="57"/>
      <c r="K435" s="27"/>
      <c r="L435" s="27"/>
      <c r="M435" s="27"/>
      <c r="N435" s="88"/>
      <c r="AK435" s="35"/>
      <c r="AL435" s="35"/>
      <c r="AM435" s="35"/>
      <c r="AN435" s="35"/>
      <c r="AO435" s="35"/>
      <c r="AP435" s="35"/>
      <c r="AQ435" s="35"/>
      <c r="AR435" s="35"/>
    </row>
    <row r="436" spans="5:44" x14ac:dyDescent="0.3">
      <c r="E436" s="26"/>
      <c r="F436" s="26"/>
      <c r="G436" s="59" t="str">
        <f t="shared" si="30"/>
        <v/>
      </c>
      <c r="H436" s="57"/>
      <c r="I436" s="57"/>
      <c r="K436" s="27"/>
      <c r="L436" s="27"/>
      <c r="M436" s="27"/>
      <c r="N436" s="88"/>
      <c r="AK436" s="35"/>
      <c r="AL436" s="35"/>
      <c r="AM436" s="35"/>
      <c r="AN436" s="35"/>
      <c r="AO436" s="35"/>
      <c r="AP436" s="35"/>
      <c r="AQ436" s="35"/>
      <c r="AR436" s="35"/>
    </row>
    <row r="437" spans="5:44" x14ac:dyDescent="0.3">
      <c r="E437" s="26"/>
      <c r="F437" s="26"/>
      <c r="G437" s="59" t="str">
        <f t="shared" si="30"/>
        <v/>
      </c>
      <c r="H437" s="57"/>
      <c r="I437" s="57"/>
      <c r="K437" s="27"/>
      <c r="L437" s="27"/>
      <c r="M437" s="27"/>
      <c r="N437" s="88"/>
      <c r="AK437" s="35"/>
      <c r="AL437" s="35"/>
      <c r="AM437" s="35"/>
      <c r="AN437" s="35"/>
      <c r="AO437" s="35"/>
      <c r="AP437" s="35"/>
      <c r="AQ437" s="35"/>
      <c r="AR437" s="35"/>
    </row>
    <row r="438" spans="5:44" x14ac:dyDescent="0.3">
      <c r="E438" s="26"/>
      <c r="F438" s="26"/>
      <c r="G438" s="59" t="str">
        <f t="shared" si="30"/>
        <v/>
      </c>
      <c r="H438" s="57"/>
      <c r="I438" s="57"/>
      <c r="K438" s="27"/>
      <c r="L438" s="27"/>
      <c r="M438" s="27"/>
      <c r="N438" s="88"/>
      <c r="AK438" s="35"/>
      <c r="AL438" s="35"/>
      <c r="AM438" s="35"/>
      <c r="AN438" s="35"/>
      <c r="AO438" s="35"/>
      <c r="AP438" s="35"/>
      <c r="AQ438" s="35"/>
      <c r="AR438" s="35"/>
    </row>
    <row r="439" spans="5:44" x14ac:dyDescent="0.3">
      <c r="E439" s="26"/>
      <c r="F439" s="26"/>
      <c r="G439" s="59" t="str">
        <f t="shared" ref="G439:G502" si="31">IF(AND(F439="",E439=""),"",IF(AND(F439="",E439&lt;&gt;""),G438,F439))</f>
        <v/>
      </c>
      <c r="H439" s="57"/>
      <c r="I439" s="57"/>
      <c r="K439" s="27"/>
      <c r="L439" s="27"/>
      <c r="M439" s="27"/>
      <c r="N439" s="88"/>
      <c r="AK439" s="35"/>
      <c r="AL439" s="35"/>
      <c r="AM439" s="35"/>
      <c r="AN439" s="35"/>
      <c r="AO439" s="35"/>
      <c r="AP439" s="35"/>
      <c r="AQ439" s="35"/>
      <c r="AR439" s="35"/>
    </row>
    <row r="440" spans="5:44" x14ac:dyDescent="0.3">
      <c r="E440" s="26"/>
      <c r="F440" s="26"/>
      <c r="G440" s="59" t="str">
        <f t="shared" si="31"/>
        <v/>
      </c>
      <c r="H440" s="57"/>
      <c r="I440" s="57"/>
      <c r="K440" s="27"/>
      <c r="L440" s="27"/>
      <c r="M440" s="27"/>
      <c r="N440" s="88"/>
      <c r="AK440" s="35"/>
      <c r="AL440" s="35"/>
      <c r="AM440" s="35"/>
      <c r="AN440" s="35"/>
      <c r="AO440" s="35"/>
      <c r="AP440" s="35"/>
      <c r="AQ440" s="35"/>
      <c r="AR440" s="35"/>
    </row>
    <row r="441" spans="5:44" x14ac:dyDescent="0.3">
      <c r="E441" s="26"/>
      <c r="F441" s="26"/>
      <c r="G441" s="59" t="str">
        <f t="shared" si="31"/>
        <v/>
      </c>
      <c r="H441" s="57"/>
      <c r="I441" s="57"/>
      <c r="K441" s="27"/>
      <c r="L441" s="27"/>
      <c r="M441" s="27"/>
      <c r="N441" s="88"/>
      <c r="AK441" s="35"/>
      <c r="AL441" s="35"/>
      <c r="AM441" s="35"/>
      <c r="AN441" s="35"/>
      <c r="AO441" s="35"/>
      <c r="AP441" s="35"/>
      <c r="AQ441" s="35"/>
      <c r="AR441" s="35"/>
    </row>
    <row r="442" spans="5:44" x14ac:dyDescent="0.3">
      <c r="E442" s="26"/>
      <c r="F442" s="26"/>
      <c r="G442" s="59" t="str">
        <f t="shared" si="31"/>
        <v/>
      </c>
      <c r="H442" s="57"/>
      <c r="I442" s="57"/>
      <c r="K442" s="27"/>
      <c r="L442" s="27"/>
      <c r="M442" s="27"/>
      <c r="N442" s="88"/>
      <c r="AK442" s="35"/>
      <c r="AL442" s="35"/>
      <c r="AM442" s="35"/>
      <c r="AN442" s="35"/>
      <c r="AO442" s="35"/>
      <c r="AP442" s="35"/>
      <c r="AQ442" s="35"/>
      <c r="AR442" s="35"/>
    </row>
    <row r="443" spans="5:44" x14ac:dyDescent="0.3">
      <c r="E443" s="26"/>
      <c r="F443" s="26"/>
      <c r="G443" s="59" t="str">
        <f t="shared" si="31"/>
        <v/>
      </c>
      <c r="H443" s="57"/>
      <c r="I443" s="57"/>
      <c r="K443" s="27"/>
      <c r="L443" s="27"/>
      <c r="M443" s="27"/>
      <c r="N443" s="88"/>
      <c r="AK443" s="35"/>
      <c r="AL443" s="35"/>
      <c r="AM443" s="35"/>
      <c r="AN443" s="35"/>
      <c r="AO443" s="35"/>
      <c r="AP443" s="35"/>
      <c r="AQ443" s="35"/>
      <c r="AR443" s="35"/>
    </row>
    <row r="444" spans="5:44" x14ac:dyDescent="0.3">
      <c r="E444" s="26"/>
      <c r="F444" s="26"/>
      <c r="G444" s="59" t="str">
        <f t="shared" si="31"/>
        <v/>
      </c>
      <c r="H444" s="57"/>
      <c r="I444" s="57"/>
      <c r="K444" s="27"/>
      <c r="L444" s="27"/>
      <c r="M444" s="27"/>
      <c r="N444" s="88"/>
      <c r="AK444" s="35"/>
      <c r="AL444" s="35"/>
      <c r="AM444" s="35"/>
      <c r="AN444" s="35"/>
      <c r="AO444" s="35"/>
      <c r="AP444" s="35"/>
      <c r="AQ444" s="35"/>
      <c r="AR444" s="35"/>
    </row>
    <row r="445" spans="5:44" x14ac:dyDescent="0.3">
      <c r="E445" s="26"/>
      <c r="F445" s="26"/>
      <c r="G445" s="59" t="str">
        <f t="shared" si="31"/>
        <v/>
      </c>
      <c r="H445" s="57"/>
      <c r="I445" s="57"/>
      <c r="K445" s="27"/>
      <c r="L445" s="27"/>
      <c r="M445" s="27"/>
      <c r="N445" s="88"/>
      <c r="AK445" s="35"/>
      <c r="AL445" s="35"/>
      <c r="AM445" s="35"/>
      <c r="AN445" s="35"/>
      <c r="AO445" s="35"/>
      <c r="AP445" s="35"/>
      <c r="AQ445" s="35"/>
      <c r="AR445" s="35"/>
    </row>
    <row r="446" spans="5:44" x14ac:dyDescent="0.3">
      <c r="E446" s="26"/>
      <c r="F446" s="26"/>
      <c r="G446" s="59" t="str">
        <f t="shared" si="31"/>
        <v/>
      </c>
      <c r="H446" s="57"/>
      <c r="I446" s="57"/>
      <c r="K446" s="27"/>
      <c r="L446" s="27"/>
      <c r="M446" s="27"/>
      <c r="N446" s="88"/>
      <c r="AK446" s="35"/>
      <c r="AL446" s="35"/>
      <c r="AM446" s="35"/>
      <c r="AN446" s="35"/>
      <c r="AO446" s="35"/>
      <c r="AP446" s="35"/>
      <c r="AQ446" s="35"/>
      <c r="AR446" s="35"/>
    </row>
    <row r="447" spans="5:44" x14ac:dyDescent="0.3">
      <c r="E447" s="26"/>
      <c r="F447" s="26"/>
      <c r="G447" s="59" t="str">
        <f t="shared" si="31"/>
        <v/>
      </c>
      <c r="H447" s="57"/>
      <c r="I447" s="57"/>
      <c r="K447" s="27"/>
      <c r="L447" s="27"/>
      <c r="M447" s="27"/>
      <c r="N447" s="88"/>
      <c r="AK447" s="35"/>
      <c r="AL447" s="35"/>
      <c r="AM447" s="35"/>
      <c r="AN447" s="35"/>
      <c r="AO447" s="35"/>
      <c r="AP447" s="35"/>
      <c r="AQ447" s="35"/>
      <c r="AR447" s="35"/>
    </row>
    <row r="448" spans="5:44" x14ac:dyDescent="0.3">
      <c r="E448" s="26"/>
      <c r="F448" s="26"/>
      <c r="G448" s="59" t="str">
        <f t="shared" si="31"/>
        <v/>
      </c>
      <c r="H448" s="57"/>
      <c r="I448" s="57"/>
      <c r="K448" s="27"/>
      <c r="L448" s="27"/>
      <c r="M448" s="27"/>
      <c r="N448" s="88"/>
      <c r="AK448" s="35"/>
      <c r="AL448" s="35"/>
      <c r="AM448" s="35"/>
      <c r="AN448" s="35"/>
      <c r="AO448" s="35"/>
      <c r="AP448" s="35"/>
      <c r="AQ448" s="35"/>
      <c r="AR448" s="35"/>
    </row>
    <row r="449" spans="5:44" x14ac:dyDescent="0.3">
      <c r="E449" s="26"/>
      <c r="F449" s="26"/>
      <c r="G449" s="59" t="str">
        <f t="shared" si="31"/>
        <v/>
      </c>
      <c r="H449" s="57"/>
      <c r="I449" s="57"/>
      <c r="K449" s="27"/>
      <c r="L449" s="27"/>
      <c r="M449" s="27"/>
      <c r="N449" s="88"/>
      <c r="AK449" s="35"/>
      <c r="AL449" s="35"/>
      <c r="AM449" s="35"/>
      <c r="AN449" s="35"/>
      <c r="AO449" s="35"/>
      <c r="AP449" s="35"/>
      <c r="AQ449" s="35"/>
      <c r="AR449" s="35"/>
    </row>
    <row r="450" spans="5:44" x14ac:dyDescent="0.3">
      <c r="E450" s="26"/>
      <c r="F450" s="26"/>
      <c r="G450" s="59" t="str">
        <f t="shared" si="31"/>
        <v/>
      </c>
      <c r="H450" s="57"/>
      <c r="I450" s="57"/>
      <c r="K450" s="27"/>
      <c r="L450" s="27"/>
      <c r="M450" s="27"/>
      <c r="N450" s="88"/>
      <c r="AK450" s="35"/>
      <c r="AL450" s="35"/>
      <c r="AM450" s="35"/>
      <c r="AN450" s="35"/>
      <c r="AO450" s="35"/>
      <c r="AP450" s="35"/>
      <c r="AQ450" s="35"/>
      <c r="AR450" s="35"/>
    </row>
    <row r="451" spans="5:44" x14ac:dyDescent="0.3">
      <c r="E451" s="26"/>
      <c r="F451" s="26"/>
      <c r="G451" s="59" t="str">
        <f t="shared" si="31"/>
        <v/>
      </c>
      <c r="H451" s="57"/>
      <c r="I451" s="57"/>
      <c r="K451" s="27"/>
      <c r="L451" s="27"/>
      <c r="M451" s="27"/>
      <c r="N451" s="88"/>
      <c r="AK451" s="35"/>
      <c r="AL451" s="35"/>
      <c r="AM451" s="35"/>
      <c r="AN451" s="35"/>
      <c r="AO451" s="35"/>
      <c r="AP451" s="35"/>
      <c r="AQ451" s="35"/>
      <c r="AR451" s="35"/>
    </row>
    <row r="452" spans="5:44" x14ac:dyDescent="0.3">
      <c r="E452" s="26"/>
      <c r="F452" s="26"/>
      <c r="G452" s="59" t="str">
        <f t="shared" si="31"/>
        <v/>
      </c>
      <c r="H452" s="57"/>
      <c r="I452" s="57"/>
      <c r="K452" s="27"/>
      <c r="L452" s="27"/>
      <c r="M452" s="27"/>
      <c r="N452" s="88"/>
      <c r="AK452" s="35"/>
      <c r="AL452" s="35"/>
      <c r="AM452" s="35"/>
      <c r="AN452" s="35"/>
      <c r="AO452" s="35"/>
      <c r="AP452" s="35"/>
      <c r="AQ452" s="35"/>
      <c r="AR452" s="35"/>
    </row>
    <row r="453" spans="5:44" x14ac:dyDescent="0.3">
      <c r="E453" s="26"/>
      <c r="F453" s="26"/>
      <c r="G453" s="59" t="str">
        <f t="shared" si="31"/>
        <v/>
      </c>
      <c r="H453" s="57"/>
      <c r="I453" s="57"/>
      <c r="K453" s="27"/>
      <c r="L453" s="27"/>
      <c r="M453" s="27"/>
      <c r="N453" s="88"/>
      <c r="AK453" s="35"/>
      <c r="AL453" s="35"/>
      <c r="AM453" s="35"/>
      <c r="AN453" s="35"/>
      <c r="AO453" s="35"/>
      <c r="AP453" s="35"/>
      <c r="AQ453" s="35"/>
      <c r="AR453" s="35"/>
    </row>
    <row r="454" spans="5:44" x14ac:dyDescent="0.3">
      <c r="E454" s="26"/>
      <c r="F454" s="26"/>
      <c r="G454" s="59" t="str">
        <f t="shared" si="31"/>
        <v/>
      </c>
      <c r="H454" s="57"/>
      <c r="I454" s="57"/>
      <c r="K454" s="27"/>
      <c r="L454" s="27"/>
      <c r="M454" s="27"/>
      <c r="N454" s="88"/>
      <c r="AK454" s="35"/>
      <c r="AL454" s="35"/>
      <c r="AM454" s="35"/>
      <c r="AN454" s="35"/>
      <c r="AO454" s="35"/>
      <c r="AP454" s="35"/>
      <c r="AQ454" s="35"/>
      <c r="AR454" s="35"/>
    </row>
    <row r="455" spans="5:44" x14ac:dyDescent="0.3">
      <c r="E455" s="26"/>
      <c r="F455" s="26"/>
      <c r="G455" s="59" t="str">
        <f t="shared" si="31"/>
        <v/>
      </c>
      <c r="H455" s="57"/>
      <c r="I455" s="57"/>
      <c r="K455" s="27"/>
      <c r="L455" s="27"/>
      <c r="M455" s="27"/>
      <c r="N455" s="88"/>
      <c r="AK455" s="35"/>
      <c r="AL455" s="35"/>
      <c r="AM455" s="35"/>
      <c r="AN455" s="35"/>
      <c r="AO455" s="35"/>
      <c r="AP455" s="35"/>
      <c r="AQ455" s="35"/>
      <c r="AR455" s="35"/>
    </row>
    <row r="456" spans="5:44" x14ac:dyDescent="0.3">
      <c r="E456" s="26"/>
      <c r="F456" s="26"/>
      <c r="G456" s="59" t="str">
        <f t="shared" si="31"/>
        <v/>
      </c>
      <c r="H456" s="57"/>
      <c r="I456" s="57"/>
      <c r="K456" s="27"/>
      <c r="L456" s="27"/>
      <c r="M456" s="27"/>
      <c r="N456" s="88"/>
      <c r="AK456" s="35"/>
      <c r="AL456" s="35"/>
      <c r="AM456" s="35"/>
      <c r="AN456" s="35"/>
      <c r="AO456" s="35"/>
      <c r="AP456" s="35"/>
      <c r="AQ456" s="35"/>
      <c r="AR456" s="35"/>
    </row>
    <row r="457" spans="5:44" x14ac:dyDescent="0.3">
      <c r="E457" s="26"/>
      <c r="F457" s="26"/>
      <c r="G457" s="59" t="str">
        <f t="shared" si="31"/>
        <v/>
      </c>
      <c r="H457" s="57"/>
      <c r="I457" s="57"/>
      <c r="K457" s="27"/>
      <c r="L457" s="27"/>
      <c r="M457" s="27"/>
      <c r="N457" s="88"/>
      <c r="AK457" s="35"/>
      <c r="AL457" s="35"/>
      <c r="AM457" s="35"/>
      <c r="AN457" s="35"/>
      <c r="AO457" s="35"/>
      <c r="AP457" s="35"/>
      <c r="AQ457" s="35"/>
      <c r="AR457" s="35"/>
    </row>
    <row r="458" spans="5:44" x14ac:dyDescent="0.3">
      <c r="E458" s="26"/>
      <c r="F458" s="26"/>
      <c r="G458" s="59" t="str">
        <f t="shared" si="31"/>
        <v/>
      </c>
      <c r="H458" s="57"/>
      <c r="I458" s="57"/>
      <c r="K458" s="27"/>
      <c r="L458" s="27"/>
      <c r="M458" s="27"/>
      <c r="N458" s="88"/>
      <c r="AK458" s="35"/>
      <c r="AL458" s="35"/>
      <c r="AM458" s="35"/>
      <c r="AN458" s="35"/>
      <c r="AO458" s="35"/>
      <c r="AP458" s="35"/>
      <c r="AQ458" s="35"/>
      <c r="AR458" s="35"/>
    </row>
    <row r="459" spans="5:44" x14ac:dyDescent="0.3">
      <c r="E459" s="26"/>
      <c r="F459" s="26"/>
      <c r="G459" s="59" t="str">
        <f t="shared" si="31"/>
        <v/>
      </c>
      <c r="H459" s="57"/>
      <c r="I459" s="57"/>
      <c r="K459" s="27"/>
      <c r="L459" s="27"/>
      <c r="M459" s="27"/>
      <c r="N459" s="88"/>
      <c r="AK459" s="35"/>
      <c r="AL459" s="35"/>
      <c r="AM459" s="35"/>
      <c r="AN459" s="35"/>
      <c r="AO459" s="35"/>
      <c r="AP459" s="35"/>
      <c r="AQ459" s="35"/>
      <c r="AR459" s="35"/>
    </row>
    <row r="460" spans="5:44" x14ac:dyDescent="0.3">
      <c r="E460" s="26"/>
      <c r="F460" s="26"/>
      <c r="G460" s="59" t="str">
        <f t="shared" si="31"/>
        <v/>
      </c>
      <c r="H460" s="57"/>
      <c r="I460" s="57"/>
      <c r="K460" s="27"/>
      <c r="L460" s="27"/>
      <c r="M460" s="27"/>
      <c r="N460" s="88"/>
      <c r="AK460" s="35"/>
      <c r="AL460" s="35"/>
      <c r="AM460" s="35"/>
      <c r="AN460" s="35"/>
      <c r="AO460" s="35"/>
      <c r="AP460" s="35"/>
      <c r="AQ460" s="35"/>
      <c r="AR460" s="35"/>
    </row>
    <row r="461" spans="5:44" x14ac:dyDescent="0.3">
      <c r="E461" s="26"/>
      <c r="F461" s="26"/>
      <c r="G461" s="59" t="str">
        <f t="shared" si="31"/>
        <v/>
      </c>
      <c r="H461" s="57"/>
      <c r="I461" s="57"/>
      <c r="K461" s="27"/>
      <c r="L461" s="27"/>
      <c r="M461" s="27"/>
      <c r="N461" s="88"/>
      <c r="AK461" s="35"/>
      <c r="AL461" s="35"/>
      <c r="AM461" s="35"/>
      <c r="AN461" s="35"/>
      <c r="AO461" s="35"/>
      <c r="AP461" s="35"/>
      <c r="AQ461" s="35"/>
      <c r="AR461" s="35"/>
    </row>
    <row r="462" spans="5:44" x14ac:dyDescent="0.3">
      <c r="E462" s="26"/>
      <c r="F462" s="26"/>
      <c r="G462" s="59" t="str">
        <f t="shared" si="31"/>
        <v/>
      </c>
      <c r="H462" s="57"/>
      <c r="I462" s="57"/>
      <c r="K462" s="27"/>
      <c r="L462" s="27"/>
      <c r="M462" s="27"/>
      <c r="N462" s="88"/>
      <c r="AK462" s="35"/>
      <c r="AL462" s="35"/>
      <c r="AM462" s="35"/>
      <c r="AN462" s="35"/>
      <c r="AO462" s="35"/>
      <c r="AP462" s="35"/>
      <c r="AQ462" s="35"/>
      <c r="AR462" s="35"/>
    </row>
    <row r="463" spans="5:44" x14ac:dyDescent="0.3">
      <c r="E463" s="26"/>
      <c r="F463" s="26"/>
      <c r="G463" s="59" t="str">
        <f t="shared" si="31"/>
        <v/>
      </c>
      <c r="H463" s="57"/>
      <c r="I463" s="57"/>
      <c r="K463" s="27"/>
      <c r="L463" s="27"/>
      <c r="M463" s="27"/>
      <c r="N463" s="88"/>
      <c r="AK463" s="35"/>
      <c r="AL463" s="35"/>
      <c r="AM463" s="35"/>
      <c r="AN463" s="35"/>
      <c r="AO463" s="35"/>
      <c r="AP463" s="35"/>
      <c r="AQ463" s="35"/>
      <c r="AR463" s="35"/>
    </row>
    <row r="464" spans="5:44" x14ac:dyDescent="0.3">
      <c r="E464" s="26"/>
      <c r="F464" s="26"/>
      <c r="G464" s="59" t="str">
        <f t="shared" si="31"/>
        <v/>
      </c>
      <c r="H464" s="57"/>
      <c r="I464" s="57"/>
      <c r="K464" s="27"/>
      <c r="L464" s="27"/>
      <c r="M464" s="27"/>
      <c r="N464" s="88"/>
      <c r="AK464" s="35"/>
      <c r="AL464" s="35"/>
      <c r="AM464" s="35"/>
      <c r="AN464" s="35"/>
      <c r="AO464" s="35"/>
      <c r="AP464" s="35"/>
      <c r="AQ464" s="35"/>
      <c r="AR464" s="35"/>
    </row>
    <row r="465" spans="5:44" x14ac:dyDescent="0.3">
      <c r="E465" s="26"/>
      <c r="F465" s="26"/>
      <c r="G465" s="59" t="str">
        <f t="shared" si="31"/>
        <v/>
      </c>
      <c r="H465" s="57"/>
      <c r="I465" s="57"/>
      <c r="K465" s="27"/>
      <c r="L465" s="27"/>
      <c r="M465" s="27"/>
      <c r="N465" s="88"/>
      <c r="AK465" s="35"/>
      <c r="AL465" s="35"/>
      <c r="AM465" s="35"/>
      <c r="AN465" s="35"/>
      <c r="AO465" s="35"/>
      <c r="AP465" s="35"/>
      <c r="AQ465" s="35"/>
      <c r="AR465" s="35"/>
    </row>
    <row r="466" spans="5:44" x14ac:dyDescent="0.3">
      <c r="E466" s="26"/>
      <c r="F466" s="26"/>
      <c r="G466" s="59" t="str">
        <f t="shared" si="31"/>
        <v/>
      </c>
      <c r="H466" s="57"/>
      <c r="I466" s="57"/>
      <c r="K466" s="27"/>
      <c r="L466" s="27"/>
      <c r="M466" s="27"/>
      <c r="N466" s="88"/>
      <c r="AK466" s="35"/>
      <c r="AL466" s="35"/>
      <c r="AM466" s="35"/>
      <c r="AN466" s="35"/>
      <c r="AO466" s="35"/>
      <c r="AP466" s="35"/>
      <c r="AQ466" s="35"/>
      <c r="AR466" s="35"/>
    </row>
    <row r="467" spans="5:44" x14ac:dyDescent="0.3">
      <c r="E467" s="26"/>
      <c r="F467" s="26"/>
      <c r="G467" s="59" t="str">
        <f t="shared" si="31"/>
        <v/>
      </c>
      <c r="H467" s="57"/>
      <c r="I467" s="57"/>
      <c r="K467" s="27"/>
      <c r="L467" s="27"/>
      <c r="M467" s="27"/>
      <c r="N467" s="88"/>
      <c r="AK467" s="35"/>
      <c r="AL467" s="35"/>
      <c r="AM467" s="35"/>
      <c r="AN467" s="35"/>
      <c r="AO467" s="35"/>
      <c r="AP467" s="35"/>
      <c r="AQ467" s="35"/>
      <c r="AR467" s="35"/>
    </row>
    <row r="468" spans="5:44" x14ac:dyDescent="0.3">
      <c r="E468" s="26"/>
      <c r="F468" s="26"/>
      <c r="G468" s="59" t="str">
        <f t="shared" si="31"/>
        <v/>
      </c>
      <c r="H468" s="57"/>
      <c r="I468" s="57"/>
      <c r="K468" s="27"/>
      <c r="L468" s="27"/>
      <c r="M468" s="27"/>
      <c r="N468" s="88"/>
      <c r="AK468" s="35"/>
      <c r="AL468" s="35"/>
      <c r="AM468" s="35"/>
      <c r="AN468" s="35"/>
      <c r="AO468" s="35"/>
      <c r="AP468" s="35"/>
      <c r="AQ468" s="35"/>
      <c r="AR468" s="35"/>
    </row>
    <row r="469" spans="5:44" x14ac:dyDescent="0.3">
      <c r="E469" s="26"/>
      <c r="F469" s="26"/>
      <c r="G469" s="59" t="str">
        <f t="shared" si="31"/>
        <v/>
      </c>
      <c r="H469" s="57"/>
      <c r="I469" s="57"/>
      <c r="K469" s="27"/>
      <c r="L469" s="27"/>
      <c r="M469" s="27"/>
      <c r="N469" s="88"/>
      <c r="AK469" s="35"/>
      <c r="AL469" s="35"/>
      <c r="AM469" s="35"/>
      <c r="AN469" s="35"/>
      <c r="AO469" s="35"/>
      <c r="AP469" s="35"/>
      <c r="AQ469" s="35"/>
      <c r="AR469" s="35"/>
    </row>
    <row r="470" spans="5:44" x14ac:dyDescent="0.3">
      <c r="E470" s="26"/>
      <c r="F470" s="26"/>
      <c r="G470" s="59" t="str">
        <f t="shared" si="31"/>
        <v/>
      </c>
      <c r="H470" s="57"/>
      <c r="I470" s="57"/>
      <c r="K470" s="27"/>
      <c r="L470" s="27"/>
      <c r="M470" s="27"/>
      <c r="N470" s="88"/>
      <c r="AK470" s="35"/>
      <c r="AL470" s="35"/>
      <c r="AM470" s="35"/>
      <c r="AN470" s="35"/>
      <c r="AO470" s="35"/>
      <c r="AP470" s="35"/>
      <c r="AQ470" s="35"/>
      <c r="AR470" s="35"/>
    </row>
    <row r="471" spans="5:44" x14ac:dyDescent="0.3">
      <c r="E471" s="26"/>
      <c r="F471" s="26"/>
      <c r="G471" s="59" t="str">
        <f t="shared" si="31"/>
        <v/>
      </c>
      <c r="H471" s="57"/>
      <c r="I471" s="57"/>
      <c r="K471" s="27"/>
      <c r="L471" s="27"/>
      <c r="M471" s="27"/>
      <c r="N471" s="88"/>
      <c r="AK471" s="35"/>
      <c r="AL471" s="35"/>
      <c r="AM471" s="35"/>
      <c r="AN471" s="35"/>
      <c r="AO471" s="35"/>
      <c r="AP471" s="35"/>
      <c r="AQ471" s="35"/>
      <c r="AR471" s="35"/>
    </row>
    <row r="472" spans="5:44" x14ac:dyDescent="0.3">
      <c r="E472" s="26"/>
      <c r="F472" s="26"/>
      <c r="G472" s="59" t="str">
        <f t="shared" si="31"/>
        <v/>
      </c>
      <c r="H472" s="57"/>
      <c r="I472" s="57"/>
      <c r="K472" s="27"/>
      <c r="L472" s="27"/>
      <c r="M472" s="27"/>
      <c r="N472" s="88"/>
      <c r="AK472" s="35"/>
      <c r="AL472" s="35"/>
      <c r="AM472" s="35"/>
      <c r="AN472" s="35"/>
      <c r="AO472" s="35"/>
      <c r="AP472" s="35"/>
      <c r="AQ472" s="35"/>
      <c r="AR472" s="35"/>
    </row>
    <row r="473" spans="5:44" x14ac:dyDescent="0.3">
      <c r="E473" s="26"/>
      <c r="F473" s="26"/>
      <c r="G473" s="59" t="str">
        <f t="shared" si="31"/>
        <v/>
      </c>
      <c r="H473" s="57"/>
      <c r="I473" s="57"/>
      <c r="K473" s="27"/>
      <c r="L473" s="27"/>
      <c r="M473" s="27"/>
      <c r="N473" s="88"/>
      <c r="AK473" s="35"/>
      <c r="AL473" s="35"/>
      <c r="AM473" s="35"/>
      <c r="AN473" s="35"/>
      <c r="AO473" s="35"/>
      <c r="AP473" s="35"/>
      <c r="AQ473" s="35"/>
      <c r="AR473" s="35"/>
    </row>
    <row r="474" spans="5:44" x14ac:dyDescent="0.3">
      <c r="E474" s="26"/>
      <c r="F474" s="26"/>
      <c r="G474" s="59" t="str">
        <f t="shared" si="31"/>
        <v/>
      </c>
      <c r="H474" s="57"/>
      <c r="I474" s="57"/>
      <c r="K474" s="27"/>
      <c r="L474" s="27"/>
      <c r="M474" s="27"/>
      <c r="N474" s="88"/>
      <c r="AK474" s="35"/>
      <c r="AL474" s="35"/>
      <c r="AM474" s="35"/>
      <c r="AN474" s="35"/>
      <c r="AO474" s="35"/>
      <c r="AP474" s="35"/>
      <c r="AQ474" s="35"/>
      <c r="AR474" s="35"/>
    </row>
    <row r="475" spans="5:44" x14ac:dyDescent="0.3">
      <c r="E475" s="26"/>
      <c r="F475" s="26"/>
      <c r="G475" s="59" t="str">
        <f t="shared" si="31"/>
        <v/>
      </c>
      <c r="H475" s="57"/>
      <c r="I475" s="57"/>
      <c r="K475" s="27"/>
      <c r="L475" s="27"/>
      <c r="M475" s="27"/>
      <c r="N475" s="88"/>
      <c r="AK475" s="35"/>
      <c r="AL475" s="35"/>
      <c r="AM475" s="35"/>
      <c r="AN475" s="35"/>
      <c r="AO475" s="35"/>
      <c r="AP475" s="35"/>
      <c r="AQ475" s="35"/>
      <c r="AR475" s="35"/>
    </row>
    <row r="476" spans="5:44" x14ac:dyDescent="0.3">
      <c r="E476" s="26"/>
      <c r="F476" s="26"/>
      <c r="G476" s="59" t="str">
        <f t="shared" si="31"/>
        <v/>
      </c>
      <c r="H476" s="57"/>
      <c r="I476" s="57"/>
      <c r="K476" s="27"/>
      <c r="L476" s="27"/>
      <c r="M476" s="27"/>
      <c r="N476" s="88"/>
      <c r="AK476" s="35"/>
      <c r="AL476" s="35"/>
      <c r="AM476" s="35"/>
      <c r="AN476" s="35"/>
      <c r="AO476" s="35"/>
      <c r="AP476" s="35"/>
      <c r="AQ476" s="35"/>
      <c r="AR476" s="35"/>
    </row>
    <row r="477" spans="5:44" x14ac:dyDescent="0.3">
      <c r="E477" s="26"/>
      <c r="F477" s="26"/>
      <c r="G477" s="59" t="str">
        <f t="shared" si="31"/>
        <v/>
      </c>
      <c r="H477" s="57"/>
      <c r="I477" s="57"/>
      <c r="K477" s="27"/>
      <c r="L477" s="27"/>
      <c r="M477" s="27"/>
      <c r="N477" s="88"/>
      <c r="AK477" s="35"/>
      <c r="AL477" s="35"/>
      <c r="AM477" s="35"/>
      <c r="AN477" s="35"/>
      <c r="AO477" s="35"/>
      <c r="AP477" s="35"/>
      <c r="AQ477" s="35"/>
      <c r="AR477" s="35"/>
    </row>
    <row r="478" spans="5:44" x14ac:dyDescent="0.3">
      <c r="E478" s="26"/>
      <c r="F478" s="26"/>
      <c r="G478" s="59" t="str">
        <f t="shared" si="31"/>
        <v/>
      </c>
      <c r="H478" s="57"/>
      <c r="I478" s="57"/>
      <c r="K478" s="27"/>
      <c r="L478" s="27"/>
      <c r="M478" s="27"/>
      <c r="N478" s="88"/>
      <c r="AK478" s="35"/>
      <c r="AL478" s="35"/>
      <c r="AM478" s="35"/>
      <c r="AN478" s="35"/>
      <c r="AO478" s="35"/>
      <c r="AP478" s="35"/>
      <c r="AQ478" s="35"/>
      <c r="AR478" s="35"/>
    </row>
    <row r="479" spans="5:44" x14ac:dyDescent="0.3">
      <c r="E479" s="26"/>
      <c r="F479" s="26"/>
      <c r="G479" s="59" t="str">
        <f t="shared" si="31"/>
        <v/>
      </c>
      <c r="H479" s="57"/>
      <c r="I479" s="57"/>
      <c r="K479" s="27"/>
      <c r="L479" s="27"/>
      <c r="M479" s="27"/>
      <c r="N479" s="88"/>
      <c r="AK479" s="35"/>
      <c r="AL479" s="35"/>
      <c r="AM479" s="35"/>
      <c r="AN479" s="35"/>
      <c r="AO479" s="35"/>
      <c r="AP479" s="35"/>
      <c r="AQ479" s="35"/>
      <c r="AR479" s="35"/>
    </row>
    <row r="480" spans="5:44" x14ac:dyDescent="0.3">
      <c r="E480" s="26"/>
      <c r="F480" s="26"/>
      <c r="G480" s="59" t="str">
        <f t="shared" si="31"/>
        <v/>
      </c>
      <c r="H480" s="57"/>
      <c r="I480" s="57"/>
      <c r="K480" s="27"/>
      <c r="L480" s="27"/>
      <c r="M480" s="27"/>
      <c r="N480" s="88"/>
      <c r="AK480" s="35"/>
      <c r="AL480" s="35"/>
      <c r="AM480" s="35"/>
      <c r="AN480" s="35"/>
      <c r="AO480" s="35"/>
      <c r="AP480" s="35"/>
      <c r="AQ480" s="35"/>
      <c r="AR480" s="35"/>
    </row>
    <row r="481" spans="5:44" x14ac:dyDescent="0.3">
      <c r="E481" s="26"/>
      <c r="F481" s="26"/>
      <c r="G481" s="59" t="str">
        <f t="shared" si="31"/>
        <v/>
      </c>
      <c r="H481" s="57"/>
      <c r="I481" s="57"/>
      <c r="K481" s="27"/>
      <c r="L481" s="27"/>
      <c r="M481" s="27"/>
      <c r="N481" s="88"/>
      <c r="AK481" s="35"/>
      <c r="AL481" s="35"/>
      <c r="AM481" s="35"/>
      <c r="AN481" s="35"/>
      <c r="AO481" s="35"/>
      <c r="AP481" s="35"/>
      <c r="AQ481" s="35"/>
      <c r="AR481" s="35"/>
    </row>
    <row r="482" spans="5:44" x14ac:dyDescent="0.3">
      <c r="E482" s="26"/>
      <c r="F482" s="26"/>
      <c r="G482" s="59" t="str">
        <f t="shared" si="31"/>
        <v/>
      </c>
      <c r="H482" s="57"/>
      <c r="I482" s="57"/>
      <c r="K482" s="27"/>
      <c r="L482" s="27"/>
      <c r="M482" s="27"/>
      <c r="N482" s="88"/>
      <c r="AK482" s="35"/>
      <c r="AL482" s="35"/>
      <c r="AM482" s="35"/>
      <c r="AN482" s="35"/>
      <c r="AO482" s="35"/>
      <c r="AP482" s="35"/>
      <c r="AQ482" s="35"/>
      <c r="AR482" s="35"/>
    </row>
    <row r="483" spans="5:44" x14ac:dyDescent="0.3">
      <c r="E483" s="26"/>
      <c r="F483" s="26"/>
      <c r="G483" s="59" t="str">
        <f t="shared" si="31"/>
        <v/>
      </c>
      <c r="H483" s="57"/>
      <c r="I483" s="57"/>
      <c r="K483" s="27"/>
      <c r="L483" s="27"/>
      <c r="M483" s="27"/>
      <c r="N483" s="88"/>
      <c r="AK483" s="35"/>
      <c r="AL483" s="35"/>
      <c r="AM483" s="35"/>
      <c r="AN483" s="35"/>
      <c r="AO483" s="35"/>
      <c r="AP483" s="35"/>
      <c r="AQ483" s="35"/>
      <c r="AR483" s="35"/>
    </row>
    <row r="484" spans="5:44" x14ac:dyDescent="0.3">
      <c r="E484" s="26"/>
      <c r="F484" s="26"/>
      <c r="G484" s="59" t="str">
        <f t="shared" si="31"/>
        <v/>
      </c>
      <c r="H484" s="57"/>
      <c r="I484" s="57"/>
      <c r="K484" s="27"/>
      <c r="L484" s="27"/>
      <c r="M484" s="27"/>
      <c r="N484" s="88"/>
      <c r="AK484" s="35"/>
      <c r="AL484" s="35"/>
      <c r="AM484" s="35"/>
      <c r="AN484" s="35"/>
      <c r="AO484" s="35"/>
      <c r="AP484" s="35"/>
      <c r="AQ484" s="35"/>
      <c r="AR484" s="35"/>
    </row>
    <row r="485" spans="5:44" x14ac:dyDescent="0.3">
      <c r="E485" s="26"/>
      <c r="F485" s="26"/>
      <c r="G485" s="59" t="str">
        <f t="shared" si="31"/>
        <v/>
      </c>
      <c r="H485" s="57"/>
      <c r="I485" s="57"/>
      <c r="K485" s="27"/>
      <c r="L485" s="27"/>
      <c r="M485" s="27"/>
      <c r="N485" s="88"/>
      <c r="AK485" s="35"/>
      <c r="AL485" s="35"/>
      <c r="AM485" s="35"/>
      <c r="AN485" s="35"/>
      <c r="AO485" s="35"/>
      <c r="AP485" s="35"/>
      <c r="AQ485" s="35"/>
      <c r="AR485" s="35"/>
    </row>
    <row r="486" spans="5:44" x14ac:dyDescent="0.3">
      <c r="E486" s="26"/>
      <c r="F486" s="26"/>
      <c r="G486" s="59" t="str">
        <f t="shared" si="31"/>
        <v/>
      </c>
      <c r="H486" s="57"/>
      <c r="I486" s="57"/>
      <c r="K486" s="27"/>
      <c r="L486" s="27"/>
      <c r="M486" s="27"/>
      <c r="N486" s="88"/>
      <c r="AK486" s="35"/>
      <c r="AL486" s="35"/>
      <c r="AM486" s="35"/>
      <c r="AN486" s="35"/>
      <c r="AO486" s="35"/>
      <c r="AP486" s="35"/>
      <c r="AQ486" s="35"/>
      <c r="AR486" s="35"/>
    </row>
    <row r="487" spans="5:44" x14ac:dyDescent="0.3">
      <c r="E487" s="26"/>
      <c r="F487" s="26"/>
      <c r="G487" s="59" t="str">
        <f t="shared" si="31"/>
        <v/>
      </c>
      <c r="H487" s="57"/>
      <c r="I487" s="57"/>
      <c r="K487" s="27"/>
      <c r="L487" s="27"/>
      <c r="M487" s="27"/>
      <c r="N487" s="88"/>
      <c r="AK487" s="35"/>
      <c r="AL487" s="35"/>
      <c r="AM487" s="35"/>
      <c r="AN487" s="35"/>
      <c r="AO487" s="35"/>
      <c r="AP487" s="35"/>
      <c r="AQ487" s="35"/>
      <c r="AR487" s="35"/>
    </row>
    <row r="488" spans="5:44" x14ac:dyDescent="0.3">
      <c r="E488" s="26"/>
      <c r="F488" s="26"/>
      <c r="G488" s="59" t="str">
        <f t="shared" si="31"/>
        <v/>
      </c>
      <c r="H488" s="57"/>
      <c r="I488" s="57"/>
      <c r="K488" s="27"/>
      <c r="L488" s="27"/>
      <c r="M488" s="27"/>
      <c r="N488" s="88"/>
      <c r="AK488" s="35"/>
      <c r="AL488" s="35"/>
      <c r="AM488" s="35"/>
      <c r="AN488" s="35"/>
      <c r="AO488" s="35"/>
      <c r="AP488" s="35"/>
      <c r="AQ488" s="35"/>
      <c r="AR488" s="35"/>
    </row>
    <row r="489" spans="5:44" x14ac:dyDescent="0.3">
      <c r="E489" s="26"/>
      <c r="F489" s="26"/>
      <c r="G489" s="59" t="str">
        <f t="shared" si="31"/>
        <v/>
      </c>
      <c r="H489" s="57"/>
      <c r="I489" s="57"/>
      <c r="K489" s="27"/>
      <c r="L489" s="27"/>
      <c r="M489" s="27"/>
      <c r="N489" s="88"/>
      <c r="AK489" s="35"/>
      <c r="AL489" s="35"/>
      <c r="AM489" s="35"/>
      <c r="AN489" s="35"/>
      <c r="AO489" s="35"/>
      <c r="AP489" s="35"/>
      <c r="AQ489" s="35"/>
      <c r="AR489" s="35"/>
    </row>
    <row r="490" spans="5:44" x14ac:dyDescent="0.3">
      <c r="E490" s="26"/>
      <c r="F490" s="26"/>
      <c r="G490" s="59" t="str">
        <f t="shared" si="31"/>
        <v/>
      </c>
      <c r="H490" s="57"/>
      <c r="I490" s="57"/>
      <c r="K490" s="27"/>
      <c r="L490" s="27"/>
      <c r="M490" s="27"/>
      <c r="N490" s="88"/>
      <c r="AK490" s="35"/>
      <c r="AL490" s="35"/>
      <c r="AM490" s="35"/>
      <c r="AN490" s="35"/>
      <c r="AO490" s="35"/>
      <c r="AP490" s="35"/>
      <c r="AQ490" s="35"/>
      <c r="AR490" s="35"/>
    </row>
    <row r="491" spans="5:44" x14ac:dyDescent="0.3">
      <c r="E491" s="26"/>
      <c r="F491" s="26"/>
      <c r="G491" s="59" t="str">
        <f t="shared" si="31"/>
        <v/>
      </c>
      <c r="H491" s="57"/>
      <c r="I491" s="57"/>
      <c r="K491" s="27"/>
      <c r="L491" s="27"/>
      <c r="M491" s="27"/>
      <c r="N491" s="88"/>
      <c r="AK491" s="35"/>
      <c r="AL491" s="35"/>
      <c r="AM491" s="35"/>
      <c r="AN491" s="35"/>
      <c r="AO491" s="35"/>
      <c r="AP491" s="35"/>
      <c r="AQ491" s="35"/>
      <c r="AR491" s="35"/>
    </row>
    <row r="492" spans="5:44" x14ac:dyDescent="0.3">
      <c r="E492" s="26"/>
      <c r="F492" s="26"/>
      <c r="G492" s="59" t="str">
        <f t="shared" si="31"/>
        <v/>
      </c>
      <c r="H492" s="57"/>
      <c r="I492" s="57"/>
      <c r="K492" s="27"/>
      <c r="L492" s="27"/>
      <c r="M492" s="27"/>
      <c r="N492" s="88"/>
      <c r="AK492" s="35"/>
      <c r="AL492" s="35"/>
      <c r="AM492" s="35"/>
      <c r="AN492" s="35"/>
      <c r="AO492" s="35"/>
      <c r="AP492" s="35"/>
      <c r="AQ492" s="35"/>
      <c r="AR492" s="35"/>
    </row>
    <row r="493" spans="5:44" x14ac:dyDescent="0.3">
      <c r="E493" s="26"/>
      <c r="F493" s="26"/>
      <c r="G493" s="59" t="str">
        <f t="shared" si="31"/>
        <v/>
      </c>
      <c r="H493" s="57"/>
      <c r="I493" s="57"/>
      <c r="K493" s="27"/>
      <c r="L493" s="27"/>
      <c r="M493" s="27"/>
      <c r="N493" s="88"/>
      <c r="AK493" s="35"/>
      <c r="AL493" s="35"/>
      <c r="AM493" s="35"/>
      <c r="AN493" s="35"/>
      <c r="AO493" s="35"/>
      <c r="AP493" s="35"/>
      <c r="AQ493" s="35"/>
      <c r="AR493" s="35"/>
    </row>
    <row r="494" spans="5:44" x14ac:dyDescent="0.3">
      <c r="E494" s="26"/>
      <c r="F494" s="26"/>
      <c r="G494" s="59" t="str">
        <f t="shared" si="31"/>
        <v/>
      </c>
      <c r="H494" s="57"/>
      <c r="I494" s="57"/>
      <c r="K494" s="27"/>
      <c r="L494" s="27"/>
      <c r="M494" s="27"/>
      <c r="N494" s="88"/>
      <c r="AK494" s="35"/>
      <c r="AL494" s="35"/>
      <c r="AM494" s="35"/>
      <c r="AN494" s="35"/>
      <c r="AO494" s="35"/>
      <c r="AP494" s="35"/>
      <c r="AQ494" s="35"/>
      <c r="AR494" s="35"/>
    </row>
    <row r="495" spans="5:44" x14ac:dyDescent="0.3">
      <c r="E495" s="26"/>
      <c r="F495" s="26"/>
      <c r="G495" s="59" t="str">
        <f t="shared" si="31"/>
        <v/>
      </c>
      <c r="H495" s="57"/>
      <c r="I495" s="57"/>
      <c r="K495" s="27"/>
      <c r="L495" s="27"/>
      <c r="M495" s="27"/>
      <c r="N495" s="88"/>
      <c r="AK495" s="35"/>
      <c r="AL495" s="35"/>
      <c r="AM495" s="35"/>
      <c r="AN495" s="35"/>
      <c r="AO495" s="35"/>
      <c r="AP495" s="35"/>
      <c r="AQ495" s="35"/>
      <c r="AR495" s="35"/>
    </row>
    <row r="496" spans="5:44" x14ac:dyDescent="0.3">
      <c r="E496" s="26"/>
      <c r="F496" s="26"/>
      <c r="G496" s="59" t="str">
        <f t="shared" si="31"/>
        <v/>
      </c>
      <c r="H496" s="57"/>
      <c r="I496" s="57"/>
      <c r="K496" s="27"/>
      <c r="L496" s="27"/>
      <c r="M496" s="27"/>
      <c r="N496" s="88"/>
      <c r="AK496" s="35"/>
      <c r="AL496" s="35"/>
      <c r="AM496" s="35"/>
      <c r="AN496" s="35"/>
      <c r="AO496" s="35"/>
      <c r="AP496" s="35"/>
      <c r="AQ496" s="35"/>
      <c r="AR496" s="35"/>
    </row>
    <row r="497" spans="5:44" x14ac:dyDescent="0.3">
      <c r="E497" s="26"/>
      <c r="F497" s="26"/>
      <c r="G497" s="59" t="str">
        <f t="shared" si="31"/>
        <v/>
      </c>
      <c r="H497" s="57"/>
      <c r="I497" s="57"/>
      <c r="K497" s="27"/>
      <c r="L497" s="27"/>
      <c r="M497" s="27"/>
      <c r="N497" s="88"/>
      <c r="AK497" s="35"/>
      <c r="AL497" s="35"/>
      <c r="AM497" s="35"/>
      <c r="AN497" s="35"/>
      <c r="AO497" s="35"/>
      <c r="AP497" s="35"/>
      <c r="AQ497" s="35"/>
      <c r="AR497" s="35"/>
    </row>
    <row r="498" spans="5:44" x14ac:dyDescent="0.3">
      <c r="E498" s="26"/>
      <c r="F498" s="26"/>
      <c r="G498" s="59" t="str">
        <f t="shared" si="31"/>
        <v/>
      </c>
      <c r="H498" s="57"/>
      <c r="I498" s="57"/>
      <c r="K498" s="27"/>
      <c r="L498" s="27"/>
      <c r="M498" s="27"/>
      <c r="N498" s="88"/>
      <c r="AK498" s="35"/>
      <c r="AL498" s="35"/>
      <c r="AM498" s="35"/>
      <c r="AN498" s="35"/>
      <c r="AO498" s="35"/>
      <c r="AP498" s="35"/>
      <c r="AQ498" s="35"/>
      <c r="AR498" s="35"/>
    </row>
    <row r="499" spans="5:44" x14ac:dyDescent="0.3">
      <c r="E499" s="26"/>
      <c r="F499" s="26"/>
      <c r="G499" s="59" t="str">
        <f t="shared" si="31"/>
        <v/>
      </c>
      <c r="H499" s="57"/>
      <c r="I499" s="57"/>
      <c r="K499" s="27"/>
      <c r="L499" s="27"/>
      <c r="M499" s="27"/>
      <c r="N499" s="88"/>
      <c r="AK499" s="35"/>
      <c r="AL499" s="35"/>
      <c r="AM499" s="35"/>
      <c r="AN499" s="35"/>
      <c r="AO499" s="35"/>
      <c r="AP499" s="35"/>
      <c r="AQ499" s="35"/>
      <c r="AR499" s="35"/>
    </row>
    <row r="500" spans="5:44" x14ac:dyDescent="0.3">
      <c r="E500" s="26"/>
      <c r="F500" s="26"/>
      <c r="G500" s="59" t="str">
        <f t="shared" si="31"/>
        <v/>
      </c>
      <c r="H500" s="57"/>
      <c r="I500" s="57"/>
      <c r="K500" s="27"/>
      <c r="L500" s="27"/>
      <c r="M500" s="27"/>
      <c r="N500" s="88"/>
      <c r="AK500" s="35"/>
      <c r="AL500" s="35"/>
      <c r="AM500" s="35"/>
      <c r="AN500" s="35"/>
      <c r="AO500" s="35"/>
      <c r="AP500" s="35"/>
      <c r="AQ500" s="35"/>
      <c r="AR500" s="35"/>
    </row>
    <row r="501" spans="5:44" x14ac:dyDescent="0.3">
      <c r="E501" s="26"/>
      <c r="F501" s="26"/>
      <c r="G501" s="59" t="str">
        <f t="shared" si="31"/>
        <v/>
      </c>
      <c r="H501" s="57"/>
      <c r="I501" s="57"/>
      <c r="K501" s="27"/>
      <c r="L501" s="27"/>
      <c r="M501" s="27"/>
      <c r="N501" s="88"/>
      <c r="AK501" s="35"/>
      <c r="AL501" s="35"/>
      <c r="AM501" s="35"/>
      <c r="AN501" s="35"/>
      <c r="AO501" s="35"/>
      <c r="AP501" s="35"/>
      <c r="AQ501" s="35"/>
      <c r="AR501" s="35"/>
    </row>
    <row r="502" spans="5:44" x14ac:dyDescent="0.3">
      <c r="E502" s="26"/>
      <c r="F502" s="26"/>
      <c r="G502" s="59" t="str">
        <f t="shared" si="31"/>
        <v/>
      </c>
      <c r="H502" s="57"/>
      <c r="I502" s="57"/>
      <c r="K502" s="27"/>
      <c r="L502" s="27"/>
      <c r="M502" s="27"/>
      <c r="N502" s="88"/>
      <c r="AK502" s="35"/>
      <c r="AL502" s="35"/>
      <c r="AM502" s="35"/>
      <c r="AN502" s="35"/>
      <c r="AO502" s="35"/>
      <c r="AP502" s="35"/>
      <c r="AQ502" s="35"/>
      <c r="AR502" s="35"/>
    </row>
    <row r="503" spans="5:44" x14ac:dyDescent="0.3">
      <c r="E503" s="26"/>
      <c r="F503" s="26"/>
      <c r="G503" s="59" t="str">
        <f t="shared" ref="G503:G566" si="32">IF(AND(F503="",E503=""),"",IF(AND(F503="",E503&lt;&gt;""),G502,F503))</f>
        <v/>
      </c>
      <c r="H503" s="57"/>
      <c r="I503" s="57"/>
      <c r="K503" s="27"/>
      <c r="L503" s="27"/>
      <c r="M503" s="27"/>
      <c r="N503" s="88"/>
      <c r="AK503" s="35"/>
      <c r="AL503" s="35"/>
      <c r="AM503" s="35"/>
      <c r="AN503" s="35"/>
      <c r="AO503" s="35"/>
      <c r="AP503" s="35"/>
      <c r="AQ503" s="35"/>
      <c r="AR503" s="35"/>
    </row>
    <row r="504" spans="5:44" x14ac:dyDescent="0.3">
      <c r="E504" s="26"/>
      <c r="F504" s="26"/>
      <c r="G504" s="59" t="str">
        <f t="shared" si="32"/>
        <v/>
      </c>
      <c r="H504" s="57"/>
      <c r="I504" s="57"/>
      <c r="K504" s="27"/>
      <c r="L504" s="27"/>
      <c r="M504" s="27"/>
      <c r="N504" s="88"/>
      <c r="AK504" s="35"/>
      <c r="AL504" s="35"/>
      <c r="AM504" s="35"/>
      <c r="AN504" s="35"/>
      <c r="AO504" s="35"/>
      <c r="AP504" s="35"/>
      <c r="AQ504" s="35"/>
      <c r="AR504" s="35"/>
    </row>
    <row r="505" spans="5:44" x14ac:dyDescent="0.3">
      <c r="E505" s="26"/>
      <c r="F505" s="26"/>
      <c r="G505" s="59" t="str">
        <f t="shared" si="32"/>
        <v/>
      </c>
      <c r="H505" s="57"/>
      <c r="I505" s="57"/>
      <c r="K505" s="27"/>
      <c r="L505" s="27"/>
      <c r="M505" s="27"/>
      <c r="N505" s="88"/>
      <c r="AK505" s="35"/>
      <c r="AL505" s="35"/>
      <c r="AM505" s="35"/>
      <c r="AN505" s="35"/>
      <c r="AO505" s="35"/>
      <c r="AP505" s="35"/>
      <c r="AQ505" s="35"/>
      <c r="AR505" s="35"/>
    </row>
    <row r="506" spans="5:44" x14ac:dyDescent="0.3">
      <c r="E506" s="26"/>
      <c r="F506" s="26"/>
      <c r="G506" s="59" t="str">
        <f t="shared" si="32"/>
        <v/>
      </c>
      <c r="H506" s="57"/>
      <c r="I506" s="57"/>
      <c r="K506" s="27"/>
      <c r="L506" s="27"/>
      <c r="M506" s="27"/>
      <c r="N506" s="88"/>
      <c r="AK506" s="35"/>
      <c r="AL506" s="35"/>
      <c r="AM506" s="35"/>
      <c r="AN506" s="35"/>
      <c r="AO506" s="35"/>
      <c r="AP506" s="35"/>
      <c r="AQ506" s="35"/>
      <c r="AR506" s="35"/>
    </row>
    <row r="507" spans="5:44" x14ac:dyDescent="0.3">
      <c r="E507" s="26"/>
      <c r="F507" s="26"/>
      <c r="G507" s="59" t="str">
        <f t="shared" si="32"/>
        <v/>
      </c>
      <c r="H507" s="57"/>
      <c r="I507" s="57"/>
      <c r="K507" s="27"/>
      <c r="L507" s="27"/>
      <c r="M507" s="27"/>
      <c r="N507" s="88"/>
      <c r="AK507" s="35"/>
      <c r="AL507" s="35"/>
      <c r="AM507" s="35"/>
      <c r="AN507" s="35"/>
      <c r="AO507" s="35"/>
      <c r="AP507" s="35"/>
      <c r="AQ507" s="35"/>
      <c r="AR507" s="35"/>
    </row>
    <row r="508" spans="5:44" x14ac:dyDescent="0.3">
      <c r="E508" s="26"/>
      <c r="F508" s="26"/>
      <c r="G508" s="59" t="str">
        <f t="shared" si="32"/>
        <v/>
      </c>
      <c r="H508" s="57"/>
      <c r="I508" s="57"/>
      <c r="K508" s="27"/>
      <c r="L508" s="27"/>
      <c r="M508" s="27"/>
      <c r="N508" s="88"/>
      <c r="AK508" s="35"/>
      <c r="AL508" s="35"/>
      <c r="AM508" s="35"/>
      <c r="AN508" s="35"/>
      <c r="AO508" s="35"/>
      <c r="AP508" s="35"/>
      <c r="AQ508" s="35"/>
      <c r="AR508" s="35"/>
    </row>
    <row r="509" spans="5:44" x14ac:dyDescent="0.3">
      <c r="E509" s="26"/>
      <c r="F509" s="26"/>
      <c r="G509" s="59" t="str">
        <f t="shared" si="32"/>
        <v/>
      </c>
      <c r="H509" s="57"/>
      <c r="I509" s="57"/>
      <c r="K509" s="27"/>
      <c r="L509" s="27"/>
      <c r="M509" s="27"/>
      <c r="N509" s="88"/>
      <c r="AK509" s="35"/>
      <c r="AL509" s="35"/>
      <c r="AM509" s="35"/>
      <c r="AN509" s="35"/>
      <c r="AO509" s="35"/>
      <c r="AP509" s="35"/>
      <c r="AQ509" s="35"/>
      <c r="AR509" s="35"/>
    </row>
    <row r="510" spans="5:44" x14ac:dyDescent="0.3">
      <c r="E510" s="26"/>
      <c r="F510" s="26"/>
      <c r="G510" s="59" t="str">
        <f t="shared" si="32"/>
        <v/>
      </c>
      <c r="H510" s="57"/>
      <c r="I510" s="57"/>
      <c r="K510" s="27"/>
      <c r="L510" s="27"/>
      <c r="M510" s="27"/>
      <c r="N510" s="88"/>
      <c r="AK510" s="35"/>
      <c r="AL510" s="35"/>
      <c r="AM510" s="35"/>
      <c r="AN510" s="35"/>
      <c r="AO510" s="35"/>
      <c r="AP510" s="35"/>
      <c r="AQ510" s="35"/>
      <c r="AR510" s="35"/>
    </row>
    <row r="511" spans="5:44" x14ac:dyDescent="0.3">
      <c r="E511" s="26"/>
      <c r="F511" s="26"/>
      <c r="G511" s="59" t="str">
        <f t="shared" si="32"/>
        <v/>
      </c>
      <c r="H511" s="57"/>
      <c r="I511" s="57"/>
      <c r="K511" s="27"/>
      <c r="L511" s="27"/>
      <c r="M511" s="27"/>
      <c r="N511" s="88"/>
      <c r="AK511" s="35"/>
      <c r="AL511" s="35"/>
      <c r="AM511" s="35"/>
      <c r="AN511" s="35"/>
      <c r="AO511" s="35"/>
      <c r="AP511" s="35"/>
      <c r="AQ511" s="35"/>
      <c r="AR511" s="35"/>
    </row>
    <row r="512" spans="5:44" x14ac:dyDescent="0.3">
      <c r="E512" s="26"/>
      <c r="F512" s="26"/>
      <c r="G512" s="59" t="str">
        <f t="shared" si="32"/>
        <v/>
      </c>
      <c r="H512" s="57"/>
      <c r="I512" s="57"/>
      <c r="K512" s="27"/>
      <c r="L512" s="27"/>
      <c r="M512" s="27"/>
      <c r="N512" s="88"/>
      <c r="AK512" s="35"/>
      <c r="AL512" s="35"/>
      <c r="AM512" s="35"/>
      <c r="AN512" s="35"/>
      <c r="AO512" s="35"/>
      <c r="AP512" s="35"/>
      <c r="AQ512" s="35"/>
      <c r="AR512" s="35"/>
    </row>
    <row r="513" spans="5:44" x14ac:dyDescent="0.3">
      <c r="E513" s="26"/>
      <c r="F513" s="26"/>
      <c r="G513" s="59" t="str">
        <f t="shared" si="32"/>
        <v/>
      </c>
      <c r="H513" s="57"/>
      <c r="I513" s="57"/>
      <c r="K513" s="27"/>
      <c r="L513" s="27"/>
      <c r="M513" s="27"/>
      <c r="N513" s="88"/>
      <c r="AK513" s="35"/>
      <c r="AL513" s="35"/>
      <c r="AM513" s="35"/>
      <c r="AN513" s="35"/>
      <c r="AO513" s="35"/>
      <c r="AP513" s="35"/>
      <c r="AQ513" s="35"/>
      <c r="AR513" s="35"/>
    </row>
    <row r="514" spans="5:44" x14ac:dyDescent="0.3">
      <c r="E514" s="26"/>
      <c r="F514" s="26"/>
      <c r="G514" s="59" t="str">
        <f t="shared" si="32"/>
        <v/>
      </c>
      <c r="H514" s="57"/>
      <c r="I514" s="57"/>
      <c r="K514" s="27"/>
      <c r="L514" s="27"/>
      <c r="M514" s="27"/>
      <c r="N514" s="88"/>
      <c r="AK514" s="35"/>
      <c r="AL514" s="35"/>
      <c r="AM514" s="35"/>
      <c r="AN514" s="35"/>
      <c r="AO514" s="35"/>
      <c r="AP514" s="35"/>
      <c r="AQ514" s="35"/>
      <c r="AR514" s="35"/>
    </row>
    <row r="515" spans="5:44" x14ac:dyDescent="0.3">
      <c r="E515" s="26"/>
      <c r="F515" s="26"/>
      <c r="G515" s="59" t="str">
        <f t="shared" si="32"/>
        <v/>
      </c>
      <c r="H515" s="57"/>
      <c r="I515" s="57"/>
      <c r="K515" s="27"/>
      <c r="L515" s="27"/>
      <c r="M515" s="27"/>
      <c r="N515" s="88"/>
      <c r="AK515" s="35"/>
      <c r="AL515" s="35"/>
      <c r="AM515" s="35"/>
      <c r="AN515" s="35"/>
      <c r="AO515" s="35"/>
      <c r="AP515" s="35"/>
      <c r="AQ515" s="35"/>
      <c r="AR515" s="35"/>
    </row>
    <row r="516" spans="5:44" x14ac:dyDescent="0.3">
      <c r="E516" s="26"/>
      <c r="F516" s="26"/>
      <c r="G516" s="59" t="str">
        <f t="shared" si="32"/>
        <v/>
      </c>
      <c r="H516" s="57"/>
      <c r="I516" s="57"/>
      <c r="K516" s="27"/>
      <c r="L516" s="27"/>
      <c r="M516" s="27"/>
      <c r="N516" s="88"/>
      <c r="AK516" s="35"/>
      <c r="AL516" s="35"/>
      <c r="AM516" s="35"/>
      <c r="AN516" s="35"/>
      <c r="AO516" s="35"/>
      <c r="AP516" s="35"/>
      <c r="AQ516" s="35"/>
      <c r="AR516" s="35"/>
    </row>
    <row r="517" spans="5:44" x14ac:dyDescent="0.3">
      <c r="E517" s="26"/>
      <c r="F517" s="26"/>
      <c r="G517" s="59" t="str">
        <f t="shared" si="32"/>
        <v/>
      </c>
      <c r="H517" s="57"/>
      <c r="I517" s="57"/>
      <c r="K517" s="27"/>
      <c r="L517" s="27"/>
      <c r="M517" s="27"/>
      <c r="N517" s="88"/>
      <c r="AK517" s="35"/>
      <c r="AL517" s="35"/>
      <c r="AM517" s="35"/>
      <c r="AN517" s="35"/>
      <c r="AO517" s="35"/>
      <c r="AP517" s="35"/>
      <c r="AQ517" s="35"/>
      <c r="AR517" s="35"/>
    </row>
    <row r="518" spans="5:44" x14ac:dyDescent="0.3">
      <c r="E518" s="26"/>
      <c r="F518" s="26"/>
      <c r="G518" s="59" t="str">
        <f t="shared" si="32"/>
        <v/>
      </c>
      <c r="H518" s="57"/>
      <c r="I518" s="57"/>
      <c r="K518" s="27"/>
      <c r="L518" s="27"/>
      <c r="M518" s="27"/>
      <c r="N518" s="88"/>
      <c r="AK518" s="35"/>
      <c r="AL518" s="35"/>
      <c r="AM518" s="35"/>
      <c r="AN518" s="35"/>
      <c r="AO518" s="35"/>
      <c r="AP518" s="35"/>
      <c r="AQ518" s="35"/>
      <c r="AR518" s="35"/>
    </row>
    <row r="519" spans="5:44" x14ac:dyDescent="0.3">
      <c r="E519" s="26"/>
      <c r="F519" s="26"/>
      <c r="G519" s="59" t="str">
        <f t="shared" si="32"/>
        <v/>
      </c>
      <c r="H519" s="57"/>
      <c r="I519" s="57"/>
      <c r="K519" s="27"/>
      <c r="L519" s="27"/>
      <c r="M519" s="27"/>
      <c r="N519" s="88"/>
      <c r="AK519" s="35"/>
      <c r="AL519" s="35"/>
      <c r="AM519" s="35"/>
      <c r="AN519" s="35"/>
      <c r="AO519" s="35"/>
      <c r="AP519" s="35"/>
      <c r="AQ519" s="35"/>
      <c r="AR519" s="35"/>
    </row>
    <row r="520" spans="5:44" x14ac:dyDescent="0.3">
      <c r="E520" s="26"/>
      <c r="F520" s="26"/>
      <c r="G520" s="59" t="str">
        <f t="shared" si="32"/>
        <v/>
      </c>
      <c r="H520" s="57"/>
      <c r="I520" s="57"/>
      <c r="K520" s="27"/>
      <c r="L520" s="27"/>
      <c r="M520" s="27"/>
      <c r="N520" s="88"/>
      <c r="AK520" s="35"/>
      <c r="AL520" s="35"/>
      <c r="AM520" s="35"/>
      <c r="AN520" s="35"/>
      <c r="AO520" s="35"/>
      <c r="AP520" s="35"/>
      <c r="AQ520" s="35"/>
      <c r="AR520" s="35"/>
    </row>
    <row r="521" spans="5:44" x14ac:dyDescent="0.3">
      <c r="E521" s="26"/>
      <c r="F521" s="26"/>
      <c r="G521" s="59" t="str">
        <f t="shared" si="32"/>
        <v/>
      </c>
      <c r="H521" s="57"/>
      <c r="I521" s="57"/>
      <c r="K521" s="27"/>
      <c r="L521" s="27"/>
      <c r="M521" s="27"/>
      <c r="N521" s="88"/>
      <c r="AK521" s="35"/>
      <c r="AL521" s="35"/>
      <c r="AM521" s="35"/>
      <c r="AN521" s="35"/>
      <c r="AO521" s="35"/>
      <c r="AP521" s="35"/>
      <c r="AQ521" s="35"/>
      <c r="AR521" s="35"/>
    </row>
    <row r="522" spans="5:44" x14ac:dyDescent="0.3">
      <c r="E522" s="26"/>
      <c r="F522" s="26"/>
      <c r="G522" s="59" t="str">
        <f t="shared" si="32"/>
        <v/>
      </c>
      <c r="H522" s="57"/>
      <c r="I522" s="57"/>
      <c r="K522" s="27"/>
      <c r="L522" s="27"/>
      <c r="M522" s="27"/>
      <c r="N522" s="88"/>
      <c r="AK522" s="35"/>
      <c r="AL522" s="35"/>
      <c r="AM522" s="35"/>
      <c r="AN522" s="35"/>
      <c r="AO522" s="35"/>
      <c r="AP522" s="35"/>
      <c r="AQ522" s="35"/>
      <c r="AR522" s="35"/>
    </row>
    <row r="523" spans="5:44" x14ac:dyDescent="0.3">
      <c r="E523" s="26"/>
      <c r="F523" s="26"/>
      <c r="G523" s="59" t="str">
        <f t="shared" si="32"/>
        <v/>
      </c>
      <c r="H523" s="57"/>
      <c r="I523" s="57"/>
      <c r="K523" s="27"/>
      <c r="L523" s="27"/>
      <c r="M523" s="27"/>
      <c r="N523" s="88"/>
      <c r="AK523" s="35"/>
      <c r="AL523" s="35"/>
      <c r="AM523" s="35"/>
      <c r="AN523" s="35"/>
      <c r="AO523" s="35"/>
      <c r="AP523" s="35"/>
      <c r="AQ523" s="35"/>
      <c r="AR523" s="35"/>
    </row>
    <row r="524" spans="5:44" x14ac:dyDescent="0.3">
      <c r="E524" s="26"/>
      <c r="F524" s="26"/>
      <c r="G524" s="59" t="str">
        <f t="shared" si="32"/>
        <v/>
      </c>
      <c r="H524" s="57"/>
      <c r="I524" s="57"/>
      <c r="K524" s="27"/>
      <c r="L524" s="27"/>
      <c r="M524" s="27"/>
      <c r="N524" s="88"/>
      <c r="AK524" s="35"/>
      <c r="AL524" s="35"/>
      <c r="AM524" s="35"/>
      <c r="AN524" s="35"/>
      <c r="AO524" s="35"/>
      <c r="AP524" s="35"/>
      <c r="AQ524" s="35"/>
      <c r="AR524" s="35"/>
    </row>
    <row r="525" spans="5:44" x14ac:dyDescent="0.3">
      <c r="E525" s="26"/>
      <c r="F525" s="26"/>
      <c r="G525" s="59" t="str">
        <f t="shared" si="32"/>
        <v/>
      </c>
      <c r="H525" s="57"/>
      <c r="I525" s="57"/>
      <c r="K525" s="27"/>
      <c r="L525" s="27"/>
      <c r="M525" s="27"/>
      <c r="N525" s="88"/>
      <c r="AK525" s="35"/>
      <c r="AL525" s="35"/>
      <c r="AM525" s="35"/>
      <c r="AN525" s="35"/>
      <c r="AO525" s="35"/>
      <c r="AP525" s="35"/>
      <c r="AQ525" s="35"/>
      <c r="AR525" s="35"/>
    </row>
    <row r="526" spans="5:44" x14ac:dyDescent="0.3">
      <c r="E526" s="26"/>
      <c r="F526" s="26"/>
      <c r="G526" s="59" t="str">
        <f t="shared" si="32"/>
        <v/>
      </c>
      <c r="H526" s="57"/>
      <c r="I526" s="57"/>
      <c r="K526" s="27"/>
      <c r="L526" s="27"/>
      <c r="M526" s="27"/>
      <c r="N526" s="88"/>
      <c r="AK526" s="35"/>
      <c r="AL526" s="35"/>
      <c r="AM526" s="35"/>
      <c r="AN526" s="35"/>
      <c r="AO526" s="35"/>
      <c r="AP526" s="35"/>
      <c r="AQ526" s="35"/>
      <c r="AR526" s="35"/>
    </row>
    <row r="527" spans="5:44" x14ac:dyDescent="0.3">
      <c r="E527" s="26"/>
      <c r="F527" s="26"/>
      <c r="G527" s="59" t="str">
        <f t="shared" si="32"/>
        <v/>
      </c>
      <c r="H527" s="57"/>
      <c r="I527" s="57"/>
      <c r="K527" s="27"/>
      <c r="L527" s="27"/>
      <c r="M527" s="27"/>
      <c r="N527" s="88"/>
      <c r="AK527" s="35"/>
      <c r="AL527" s="35"/>
      <c r="AM527" s="35"/>
      <c r="AN527" s="35"/>
      <c r="AO527" s="35"/>
      <c r="AP527" s="35"/>
      <c r="AQ527" s="35"/>
      <c r="AR527" s="35"/>
    </row>
    <row r="528" spans="5:44" x14ac:dyDescent="0.3">
      <c r="E528" s="26"/>
      <c r="F528" s="26"/>
      <c r="G528" s="59" t="str">
        <f t="shared" si="32"/>
        <v/>
      </c>
      <c r="H528" s="57"/>
      <c r="I528" s="57"/>
      <c r="K528" s="27"/>
      <c r="L528" s="27"/>
      <c r="M528" s="27"/>
      <c r="N528" s="88"/>
      <c r="AK528" s="35"/>
      <c r="AL528" s="35"/>
      <c r="AM528" s="35"/>
      <c r="AN528" s="35"/>
      <c r="AO528" s="35"/>
      <c r="AP528" s="35"/>
      <c r="AQ528" s="35"/>
      <c r="AR528" s="35"/>
    </row>
    <row r="529" spans="5:44" x14ac:dyDescent="0.3">
      <c r="E529" s="26"/>
      <c r="F529" s="26"/>
      <c r="G529" s="59" t="str">
        <f t="shared" si="32"/>
        <v/>
      </c>
      <c r="H529" s="57"/>
      <c r="I529" s="57"/>
      <c r="K529" s="27"/>
      <c r="L529" s="27"/>
      <c r="M529" s="27"/>
      <c r="N529" s="88"/>
      <c r="AK529" s="35"/>
      <c r="AL529" s="35"/>
      <c r="AM529" s="35"/>
      <c r="AN529" s="35"/>
      <c r="AO529" s="35"/>
      <c r="AP529" s="35"/>
      <c r="AQ529" s="35"/>
      <c r="AR529" s="35"/>
    </row>
    <row r="530" spans="5:44" x14ac:dyDescent="0.3">
      <c r="E530" s="26"/>
      <c r="F530" s="26"/>
      <c r="G530" s="59" t="str">
        <f t="shared" si="32"/>
        <v/>
      </c>
      <c r="H530" s="57"/>
      <c r="I530" s="57"/>
      <c r="K530" s="27"/>
      <c r="L530" s="27"/>
      <c r="M530" s="27"/>
      <c r="N530" s="88"/>
      <c r="AK530" s="35"/>
      <c r="AL530" s="35"/>
      <c r="AM530" s="35"/>
      <c r="AN530" s="35"/>
      <c r="AO530" s="35"/>
      <c r="AP530" s="35"/>
      <c r="AQ530" s="35"/>
      <c r="AR530" s="35"/>
    </row>
    <row r="531" spans="5:44" x14ac:dyDescent="0.3">
      <c r="E531" s="26"/>
      <c r="F531" s="26"/>
      <c r="G531" s="59" t="str">
        <f t="shared" si="32"/>
        <v/>
      </c>
      <c r="H531" s="57"/>
      <c r="I531" s="57"/>
      <c r="K531" s="27"/>
      <c r="L531" s="27"/>
      <c r="M531" s="27"/>
      <c r="N531" s="88"/>
      <c r="AK531" s="35"/>
      <c r="AL531" s="35"/>
      <c r="AM531" s="35"/>
      <c r="AN531" s="35"/>
      <c r="AO531" s="35"/>
      <c r="AP531" s="35"/>
      <c r="AQ531" s="35"/>
      <c r="AR531" s="35"/>
    </row>
    <row r="532" spans="5:44" x14ac:dyDescent="0.3">
      <c r="E532" s="26"/>
      <c r="F532" s="26"/>
      <c r="G532" s="59" t="str">
        <f t="shared" si="32"/>
        <v/>
      </c>
      <c r="H532" s="57"/>
      <c r="I532" s="57"/>
      <c r="K532" s="27"/>
      <c r="L532" s="27"/>
      <c r="M532" s="27"/>
      <c r="N532" s="88"/>
      <c r="AK532" s="35"/>
      <c r="AL532" s="35"/>
      <c r="AM532" s="35"/>
      <c r="AN532" s="35"/>
      <c r="AO532" s="35"/>
      <c r="AP532" s="35"/>
      <c r="AQ532" s="35"/>
      <c r="AR532" s="35"/>
    </row>
    <row r="533" spans="5:44" x14ac:dyDescent="0.3">
      <c r="E533" s="26"/>
      <c r="F533" s="26"/>
      <c r="G533" s="59" t="str">
        <f t="shared" si="32"/>
        <v/>
      </c>
      <c r="H533" s="57"/>
      <c r="I533" s="57"/>
      <c r="K533" s="27"/>
      <c r="L533" s="27"/>
      <c r="M533" s="27"/>
      <c r="N533" s="88"/>
      <c r="AK533" s="35"/>
      <c r="AL533" s="35"/>
      <c r="AM533" s="35"/>
      <c r="AN533" s="35"/>
      <c r="AO533" s="35"/>
      <c r="AP533" s="35"/>
      <c r="AQ533" s="35"/>
      <c r="AR533" s="35"/>
    </row>
    <row r="534" spans="5:44" x14ac:dyDescent="0.3">
      <c r="E534" s="26"/>
      <c r="F534" s="26"/>
      <c r="G534" s="59" t="str">
        <f t="shared" si="32"/>
        <v/>
      </c>
      <c r="H534" s="57"/>
      <c r="I534" s="57"/>
      <c r="K534" s="27"/>
      <c r="L534" s="27"/>
      <c r="M534" s="27"/>
      <c r="N534" s="88"/>
      <c r="AK534" s="35"/>
      <c r="AL534" s="35"/>
      <c r="AM534" s="35"/>
      <c r="AN534" s="35"/>
      <c r="AO534" s="35"/>
      <c r="AP534" s="35"/>
      <c r="AQ534" s="35"/>
      <c r="AR534" s="35"/>
    </row>
    <row r="535" spans="5:44" x14ac:dyDescent="0.3">
      <c r="E535" s="26"/>
      <c r="F535" s="26"/>
      <c r="G535" s="59" t="str">
        <f t="shared" si="32"/>
        <v/>
      </c>
      <c r="H535" s="57"/>
      <c r="I535" s="57"/>
      <c r="K535" s="27"/>
      <c r="L535" s="27"/>
      <c r="M535" s="27"/>
      <c r="N535" s="88"/>
      <c r="AK535" s="35"/>
      <c r="AL535" s="35"/>
      <c r="AM535" s="35"/>
      <c r="AN535" s="35"/>
      <c r="AO535" s="35"/>
      <c r="AP535" s="35"/>
      <c r="AQ535" s="35"/>
      <c r="AR535" s="35"/>
    </row>
    <row r="536" spans="5:44" x14ac:dyDescent="0.3">
      <c r="E536" s="26"/>
      <c r="F536" s="26"/>
      <c r="G536" s="59" t="str">
        <f t="shared" si="32"/>
        <v/>
      </c>
      <c r="H536" s="57"/>
      <c r="I536" s="57"/>
      <c r="K536" s="27"/>
      <c r="L536" s="27"/>
      <c r="M536" s="27"/>
      <c r="N536" s="88"/>
      <c r="AK536" s="35"/>
      <c r="AL536" s="35"/>
      <c r="AM536" s="35"/>
      <c r="AN536" s="35"/>
      <c r="AO536" s="35"/>
      <c r="AP536" s="35"/>
      <c r="AQ536" s="35"/>
      <c r="AR536" s="35"/>
    </row>
    <row r="537" spans="5:44" x14ac:dyDescent="0.3">
      <c r="E537" s="26"/>
      <c r="F537" s="26"/>
      <c r="G537" s="59" t="str">
        <f t="shared" si="32"/>
        <v/>
      </c>
      <c r="H537" s="57"/>
      <c r="I537" s="57"/>
      <c r="K537" s="27"/>
      <c r="L537" s="27"/>
      <c r="M537" s="27"/>
      <c r="N537" s="88"/>
      <c r="AK537" s="35"/>
      <c r="AL537" s="35"/>
      <c r="AM537" s="35"/>
      <c r="AN537" s="35"/>
      <c r="AO537" s="35"/>
      <c r="AP537" s="35"/>
      <c r="AQ537" s="35"/>
      <c r="AR537" s="35"/>
    </row>
    <row r="538" spans="5:44" x14ac:dyDescent="0.3">
      <c r="E538" s="26"/>
      <c r="F538" s="26"/>
      <c r="G538" s="59" t="str">
        <f t="shared" si="32"/>
        <v/>
      </c>
      <c r="H538" s="57"/>
      <c r="I538" s="57"/>
      <c r="K538" s="27"/>
      <c r="L538" s="27"/>
      <c r="M538" s="27"/>
      <c r="N538" s="88"/>
      <c r="AK538" s="35"/>
      <c r="AL538" s="35"/>
      <c r="AM538" s="35"/>
      <c r="AN538" s="35"/>
      <c r="AO538" s="35"/>
      <c r="AP538" s="35"/>
      <c r="AQ538" s="35"/>
      <c r="AR538" s="35"/>
    </row>
    <row r="539" spans="5:44" x14ac:dyDescent="0.3">
      <c r="E539" s="26"/>
      <c r="F539" s="26"/>
      <c r="G539" s="59" t="str">
        <f t="shared" si="32"/>
        <v/>
      </c>
      <c r="H539" s="57"/>
      <c r="I539" s="57"/>
      <c r="K539" s="27"/>
      <c r="L539" s="27"/>
      <c r="M539" s="27"/>
      <c r="N539" s="88"/>
      <c r="AK539" s="35"/>
      <c r="AL539" s="35"/>
      <c r="AM539" s="35"/>
      <c r="AN539" s="35"/>
      <c r="AO539" s="35"/>
      <c r="AP539" s="35"/>
      <c r="AQ539" s="35"/>
      <c r="AR539" s="35"/>
    </row>
    <row r="540" spans="5:44" x14ac:dyDescent="0.3">
      <c r="E540" s="26"/>
      <c r="F540" s="26"/>
      <c r="G540" s="59" t="str">
        <f t="shared" si="32"/>
        <v/>
      </c>
      <c r="H540" s="57"/>
      <c r="I540" s="57"/>
      <c r="K540" s="27"/>
      <c r="L540" s="27"/>
      <c r="M540" s="27"/>
      <c r="N540" s="88"/>
      <c r="AK540" s="35"/>
      <c r="AL540" s="35"/>
      <c r="AM540" s="35"/>
      <c r="AN540" s="35"/>
      <c r="AO540" s="35"/>
      <c r="AP540" s="35"/>
      <c r="AQ540" s="35"/>
      <c r="AR540" s="35"/>
    </row>
    <row r="541" spans="5:44" x14ac:dyDescent="0.3">
      <c r="E541" s="26"/>
      <c r="F541" s="26"/>
      <c r="G541" s="59" t="str">
        <f t="shared" si="32"/>
        <v/>
      </c>
      <c r="H541" s="57"/>
      <c r="I541" s="57"/>
      <c r="K541" s="27"/>
      <c r="L541" s="27"/>
      <c r="M541" s="27"/>
      <c r="N541" s="88"/>
      <c r="AK541" s="35"/>
      <c r="AL541" s="35"/>
      <c r="AM541" s="35"/>
      <c r="AN541" s="35"/>
      <c r="AO541" s="35"/>
      <c r="AP541" s="35"/>
      <c r="AQ541" s="35"/>
      <c r="AR541" s="35"/>
    </row>
    <row r="542" spans="5:44" x14ac:dyDescent="0.3">
      <c r="E542" s="26"/>
      <c r="F542" s="26"/>
      <c r="G542" s="59" t="str">
        <f t="shared" si="32"/>
        <v/>
      </c>
      <c r="H542" s="57"/>
      <c r="I542" s="57"/>
      <c r="K542" s="27"/>
      <c r="L542" s="27"/>
      <c r="M542" s="27"/>
      <c r="N542" s="88"/>
      <c r="AK542" s="35"/>
      <c r="AL542" s="35"/>
      <c r="AM542" s="35"/>
      <c r="AN542" s="35"/>
      <c r="AO542" s="35"/>
      <c r="AP542" s="35"/>
      <c r="AQ542" s="35"/>
      <c r="AR542" s="35"/>
    </row>
    <row r="543" spans="5:44" x14ac:dyDescent="0.3">
      <c r="E543" s="26"/>
      <c r="F543" s="26"/>
      <c r="G543" s="59" t="str">
        <f t="shared" si="32"/>
        <v/>
      </c>
      <c r="H543" s="57"/>
      <c r="I543" s="57"/>
      <c r="K543" s="27"/>
      <c r="L543" s="27"/>
      <c r="M543" s="27"/>
      <c r="N543" s="88"/>
      <c r="AK543" s="35"/>
      <c r="AL543" s="35"/>
      <c r="AM543" s="35"/>
      <c r="AN543" s="35"/>
      <c r="AO543" s="35"/>
      <c r="AP543" s="35"/>
      <c r="AQ543" s="35"/>
      <c r="AR543" s="35"/>
    </row>
    <row r="544" spans="5:44" x14ac:dyDescent="0.3">
      <c r="E544" s="26"/>
      <c r="F544" s="26"/>
      <c r="G544" s="59" t="str">
        <f t="shared" si="32"/>
        <v/>
      </c>
      <c r="H544" s="57"/>
      <c r="I544" s="57"/>
      <c r="K544" s="27"/>
      <c r="L544" s="27"/>
      <c r="M544" s="27"/>
      <c r="N544" s="88"/>
      <c r="AK544" s="35"/>
      <c r="AL544" s="35"/>
      <c r="AM544" s="35"/>
      <c r="AN544" s="35"/>
      <c r="AO544" s="35"/>
      <c r="AP544" s="35"/>
      <c r="AQ544" s="35"/>
      <c r="AR544" s="35"/>
    </row>
    <row r="545" spans="5:44" x14ac:dyDescent="0.3">
      <c r="E545" s="26"/>
      <c r="F545" s="26"/>
      <c r="G545" s="59" t="str">
        <f t="shared" si="32"/>
        <v/>
      </c>
      <c r="H545" s="57"/>
      <c r="I545" s="57"/>
      <c r="K545" s="27"/>
      <c r="L545" s="27"/>
      <c r="M545" s="27"/>
      <c r="N545" s="88"/>
      <c r="AK545" s="35"/>
      <c r="AL545" s="35"/>
      <c r="AM545" s="35"/>
      <c r="AN545" s="35"/>
      <c r="AO545" s="35"/>
      <c r="AP545" s="35"/>
      <c r="AQ545" s="35"/>
      <c r="AR545" s="35"/>
    </row>
    <row r="546" spans="5:44" x14ac:dyDescent="0.3">
      <c r="E546" s="26"/>
      <c r="F546" s="26"/>
      <c r="G546" s="59" t="str">
        <f t="shared" si="32"/>
        <v/>
      </c>
      <c r="H546" s="57"/>
      <c r="I546" s="57"/>
      <c r="K546" s="27"/>
      <c r="L546" s="27"/>
      <c r="M546" s="27"/>
      <c r="N546" s="88"/>
      <c r="AK546" s="35"/>
      <c r="AL546" s="35"/>
      <c r="AM546" s="35"/>
      <c r="AN546" s="35"/>
      <c r="AO546" s="35"/>
      <c r="AP546" s="35"/>
      <c r="AQ546" s="35"/>
      <c r="AR546" s="35"/>
    </row>
    <row r="547" spans="5:44" x14ac:dyDescent="0.3">
      <c r="E547" s="26"/>
      <c r="F547" s="26"/>
      <c r="G547" s="59" t="str">
        <f t="shared" si="32"/>
        <v/>
      </c>
      <c r="H547" s="57"/>
      <c r="I547" s="57"/>
      <c r="K547" s="27"/>
      <c r="L547" s="27"/>
      <c r="M547" s="27"/>
      <c r="N547" s="88"/>
      <c r="AK547" s="35"/>
      <c r="AL547" s="35"/>
      <c r="AM547" s="35"/>
      <c r="AN547" s="35"/>
      <c r="AO547" s="35"/>
      <c r="AP547" s="35"/>
      <c r="AQ547" s="35"/>
      <c r="AR547" s="35"/>
    </row>
    <row r="548" spans="5:44" x14ac:dyDescent="0.3">
      <c r="E548" s="26"/>
      <c r="F548" s="26"/>
      <c r="G548" s="59" t="str">
        <f t="shared" si="32"/>
        <v/>
      </c>
      <c r="H548" s="57"/>
      <c r="I548" s="57"/>
      <c r="K548" s="27"/>
      <c r="L548" s="27"/>
      <c r="M548" s="27"/>
      <c r="N548" s="88"/>
      <c r="AK548" s="35"/>
      <c r="AL548" s="35"/>
      <c r="AM548" s="35"/>
      <c r="AN548" s="35"/>
      <c r="AO548" s="35"/>
      <c r="AP548" s="35"/>
      <c r="AQ548" s="35"/>
      <c r="AR548" s="35"/>
    </row>
    <row r="549" spans="5:44" x14ac:dyDescent="0.3">
      <c r="E549" s="26"/>
      <c r="F549" s="26"/>
      <c r="G549" s="59" t="str">
        <f t="shared" si="32"/>
        <v/>
      </c>
      <c r="H549" s="57"/>
      <c r="I549" s="57"/>
      <c r="K549" s="27"/>
      <c r="L549" s="27"/>
      <c r="M549" s="27"/>
      <c r="N549" s="88"/>
      <c r="AK549" s="35"/>
      <c r="AL549" s="35"/>
      <c r="AM549" s="35"/>
      <c r="AN549" s="35"/>
      <c r="AO549" s="35"/>
      <c r="AP549" s="35"/>
      <c r="AQ549" s="35"/>
      <c r="AR549" s="35"/>
    </row>
    <row r="550" spans="5:44" x14ac:dyDescent="0.3">
      <c r="E550" s="26"/>
      <c r="F550" s="26"/>
      <c r="G550" s="59" t="str">
        <f t="shared" si="32"/>
        <v/>
      </c>
      <c r="H550" s="57"/>
      <c r="I550" s="57"/>
      <c r="K550" s="27"/>
      <c r="L550" s="27"/>
      <c r="M550" s="27"/>
      <c r="N550" s="88"/>
      <c r="AK550" s="35"/>
      <c r="AL550" s="35"/>
      <c r="AM550" s="35"/>
      <c r="AN550" s="35"/>
      <c r="AO550" s="35"/>
      <c r="AP550" s="35"/>
      <c r="AQ550" s="35"/>
      <c r="AR550" s="35"/>
    </row>
    <row r="551" spans="5:44" x14ac:dyDescent="0.3">
      <c r="E551" s="26"/>
      <c r="F551" s="26"/>
      <c r="G551" s="59" t="str">
        <f t="shared" si="32"/>
        <v/>
      </c>
      <c r="H551" s="57"/>
      <c r="I551" s="57"/>
      <c r="K551" s="27"/>
      <c r="L551" s="27"/>
      <c r="M551" s="27"/>
      <c r="N551" s="88"/>
      <c r="AK551" s="35"/>
      <c r="AL551" s="35"/>
      <c r="AM551" s="35"/>
      <c r="AN551" s="35"/>
      <c r="AO551" s="35"/>
      <c r="AP551" s="35"/>
      <c r="AQ551" s="35"/>
      <c r="AR551" s="35"/>
    </row>
    <row r="552" spans="5:44" x14ac:dyDescent="0.3">
      <c r="E552" s="26"/>
      <c r="F552" s="26"/>
      <c r="G552" s="59" t="str">
        <f t="shared" si="32"/>
        <v/>
      </c>
      <c r="H552" s="57"/>
      <c r="I552" s="57"/>
      <c r="K552" s="27"/>
      <c r="L552" s="27"/>
      <c r="M552" s="27"/>
      <c r="N552" s="88"/>
      <c r="AK552" s="35"/>
      <c r="AL552" s="35"/>
      <c r="AM552" s="35"/>
      <c r="AN552" s="35"/>
      <c r="AO552" s="35"/>
      <c r="AP552" s="35"/>
      <c r="AQ552" s="35"/>
      <c r="AR552" s="35"/>
    </row>
    <row r="553" spans="5:44" x14ac:dyDescent="0.3">
      <c r="E553" s="26"/>
      <c r="F553" s="26"/>
      <c r="G553" s="59" t="str">
        <f t="shared" si="32"/>
        <v/>
      </c>
      <c r="H553" s="57"/>
      <c r="I553" s="57"/>
      <c r="K553" s="27"/>
      <c r="L553" s="27"/>
      <c r="M553" s="27"/>
      <c r="N553" s="88"/>
      <c r="AK553" s="35"/>
      <c r="AL553" s="35"/>
      <c r="AM553" s="35"/>
      <c r="AN553" s="35"/>
      <c r="AO553" s="35"/>
      <c r="AP553" s="35"/>
      <c r="AQ553" s="35"/>
      <c r="AR553" s="35"/>
    </row>
    <row r="554" spans="5:44" x14ac:dyDescent="0.3">
      <c r="E554" s="26"/>
      <c r="F554" s="26"/>
      <c r="G554" s="59" t="str">
        <f t="shared" si="32"/>
        <v/>
      </c>
      <c r="H554" s="57"/>
      <c r="I554" s="57"/>
      <c r="K554" s="27"/>
      <c r="L554" s="27"/>
      <c r="M554" s="27"/>
      <c r="N554" s="88"/>
      <c r="AK554" s="35"/>
      <c r="AL554" s="35"/>
      <c r="AM554" s="35"/>
      <c r="AN554" s="35"/>
      <c r="AO554" s="35"/>
      <c r="AP554" s="35"/>
      <c r="AQ554" s="35"/>
      <c r="AR554" s="35"/>
    </row>
    <row r="555" spans="5:44" x14ac:dyDescent="0.3">
      <c r="E555" s="26"/>
      <c r="F555" s="26"/>
      <c r="G555" s="59" t="str">
        <f t="shared" si="32"/>
        <v/>
      </c>
      <c r="H555" s="57"/>
      <c r="I555" s="57"/>
      <c r="K555" s="27"/>
      <c r="L555" s="27"/>
      <c r="M555" s="27"/>
      <c r="N555" s="88"/>
      <c r="AK555" s="35"/>
      <c r="AL555" s="35"/>
      <c r="AM555" s="35"/>
      <c r="AN555" s="35"/>
      <c r="AO555" s="35"/>
      <c r="AP555" s="35"/>
      <c r="AQ555" s="35"/>
      <c r="AR555" s="35"/>
    </row>
    <row r="556" spans="5:44" x14ac:dyDescent="0.3">
      <c r="E556" s="26"/>
      <c r="F556" s="26"/>
      <c r="G556" s="59" t="str">
        <f t="shared" si="32"/>
        <v/>
      </c>
      <c r="H556" s="57"/>
      <c r="I556" s="57"/>
      <c r="K556" s="27"/>
      <c r="L556" s="27"/>
      <c r="M556" s="27"/>
      <c r="N556" s="88"/>
      <c r="AK556" s="35"/>
      <c r="AL556" s="35"/>
      <c r="AM556" s="35"/>
      <c r="AN556" s="35"/>
      <c r="AO556" s="35"/>
      <c r="AP556" s="35"/>
      <c r="AQ556" s="35"/>
      <c r="AR556" s="35"/>
    </row>
    <row r="557" spans="5:44" x14ac:dyDescent="0.3">
      <c r="E557" s="26"/>
      <c r="F557" s="26"/>
      <c r="G557" s="59" t="str">
        <f t="shared" si="32"/>
        <v/>
      </c>
      <c r="H557" s="57"/>
      <c r="I557" s="57"/>
      <c r="K557" s="27"/>
      <c r="L557" s="27"/>
      <c r="M557" s="27"/>
      <c r="N557" s="88"/>
      <c r="AK557" s="35"/>
      <c r="AL557" s="35"/>
      <c r="AM557" s="35"/>
      <c r="AN557" s="35"/>
      <c r="AO557" s="35"/>
      <c r="AP557" s="35"/>
      <c r="AQ557" s="35"/>
      <c r="AR557" s="35"/>
    </row>
    <row r="558" spans="5:44" x14ac:dyDescent="0.3">
      <c r="E558" s="26"/>
      <c r="F558" s="26"/>
      <c r="G558" s="59" t="str">
        <f t="shared" si="32"/>
        <v/>
      </c>
      <c r="H558" s="57"/>
      <c r="I558" s="57"/>
      <c r="K558" s="27"/>
      <c r="L558" s="27"/>
      <c r="M558" s="27"/>
      <c r="N558" s="88"/>
      <c r="AK558" s="35"/>
      <c r="AL558" s="35"/>
      <c r="AM558" s="35"/>
      <c r="AN558" s="35"/>
      <c r="AO558" s="35"/>
      <c r="AP558" s="35"/>
      <c r="AQ558" s="35"/>
      <c r="AR558" s="35"/>
    </row>
    <row r="559" spans="5:44" x14ac:dyDescent="0.3">
      <c r="E559" s="26"/>
      <c r="F559" s="26"/>
      <c r="G559" s="59" t="str">
        <f t="shared" si="32"/>
        <v/>
      </c>
      <c r="H559" s="57"/>
      <c r="I559" s="57"/>
      <c r="K559" s="27"/>
      <c r="L559" s="27"/>
      <c r="M559" s="27"/>
      <c r="N559" s="88"/>
      <c r="AK559" s="35"/>
      <c r="AL559" s="35"/>
      <c r="AM559" s="35"/>
      <c r="AN559" s="35"/>
      <c r="AO559" s="35"/>
      <c r="AP559" s="35"/>
      <c r="AQ559" s="35"/>
      <c r="AR559" s="35"/>
    </row>
    <row r="560" spans="5:44" x14ac:dyDescent="0.3">
      <c r="E560" s="26"/>
      <c r="F560" s="26"/>
      <c r="G560" s="59" t="str">
        <f t="shared" si="32"/>
        <v/>
      </c>
      <c r="H560" s="57"/>
      <c r="I560" s="57"/>
      <c r="K560" s="27"/>
      <c r="L560" s="27"/>
      <c r="M560" s="27"/>
      <c r="N560" s="88"/>
      <c r="AK560" s="35"/>
      <c r="AL560" s="35"/>
      <c r="AM560" s="35"/>
      <c r="AN560" s="35"/>
      <c r="AO560" s="35"/>
      <c r="AP560" s="35"/>
      <c r="AQ560" s="35"/>
      <c r="AR560" s="35"/>
    </row>
    <row r="561" spans="5:44" x14ac:dyDescent="0.3">
      <c r="E561" s="26"/>
      <c r="F561" s="26"/>
      <c r="G561" s="59" t="str">
        <f t="shared" si="32"/>
        <v/>
      </c>
      <c r="H561" s="57"/>
      <c r="I561" s="57"/>
      <c r="K561" s="27"/>
      <c r="L561" s="27"/>
      <c r="M561" s="27"/>
      <c r="N561" s="88"/>
      <c r="AK561" s="35"/>
      <c r="AL561" s="35"/>
      <c r="AM561" s="35"/>
      <c r="AN561" s="35"/>
      <c r="AO561" s="35"/>
      <c r="AP561" s="35"/>
      <c r="AQ561" s="35"/>
      <c r="AR561" s="35"/>
    </row>
    <row r="562" spans="5:44" x14ac:dyDescent="0.3">
      <c r="E562" s="26"/>
      <c r="F562" s="26"/>
      <c r="G562" s="59" t="str">
        <f t="shared" si="32"/>
        <v/>
      </c>
      <c r="H562" s="57"/>
      <c r="I562" s="57"/>
      <c r="K562" s="27"/>
      <c r="L562" s="27"/>
      <c r="M562" s="27"/>
      <c r="N562" s="88"/>
      <c r="AK562" s="35"/>
      <c r="AL562" s="35"/>
      <c r="AM562" s="35"/>
      <c r="AN562" s="35"/>
      <c r="AO562" s="35"/>
      <c r="AP562" s="35"/>
      <c r="AQ562" s="35"/>
      <c r="AR562" s="35"/>
    </row>
    <row r="563" spans="5:44" x14ac:dyDescent="0.3">
      <c r="E563" s="26"/>
      <c r="F563" s="26"/>
      <c r="G563" s="59" t="str">
        <f t="shared" si="32"/>
        <v/>
      </c>
      <c r="H563" s="57"/>
      <c r="I563" s="57"/>
      <c r="K563" s="27"/>
      <c r="L563" s="27"/>
      <c r="M563" s="27"/>
      <c r="N563" s="88"/>
      <c r="AK563" s="35"/>
      <c r="AL563" s="35"/>
      <c r="AM563" s="35"/>
      <c r="AN563" s="35"/>
      <c r="AO563" s="35"/>
      <c r="AP563" s="35"/>
      <c r="AQ563" s="35"/>
      <c r="AR563" s="35"/>
    </row>
    <row r="564" spans="5:44" x14ac:dyDescent="0.3">
      <c r="E564" s="26"/>
      <c r="F564" s="26"/>
      <c r="G564" s="59" t="str">
        <f t="shared" si="32"/>
        <v/>
      </c>
      <c r="H564" s="57"/>
      <c r="I564" s="57"/>
      <c r="K564" s="27"/>
      <c r="L564" s="27"/>
      <c r="M564" s="27"/>
      <c r="N564" s="88"/>
      <c r="AK564" s="35"/>
      <c r="AL564" s="35"/>
      <c r="AM564" s="35"/>
      <c r="AN564" s="35"/>
      <c r="AO564" s="35"/>
      <c r="AP564" s="35"/>
      <c r="AQ564" s="35"/>
      <c r="AR564" s="35"/>
    </row>
    <row r="565" spans="5:44" x14ac:dyDescent="0.3">
      <c r="E565" s="26"/>
      <c r="F565" s="26"/>
      <c r="G565" s="59" t="str">
        <f t="shared" si="32"/>
        <v/>
      </c>
      <c r="H565" s="57"/>
      <c r="I565" s="57"/>
      <c r="K565" s="27"/>
      <c r="L565" s="27"/>
      <c r="M565" s="27"/>
      <c r="N565" s="88"/>
      <c r="AK565" s="35"/>
      <c r="AL565" s="35"/>
      <c r="AM565" s="35"/>
      <c r="AN565" s="35"/>
      <c r="AO565" s="35"/>
      <c r="AP565" s="35"/>
      <c r="AQ565" s="35"/>
      <c r="AR565" s="35"/>
    </row>
    <row r="566" spans="5:44" x14ac:dyDescent="0.3">
      <c r="E566" s="26"/>
      <c r="F566" s="26"/>
      <c r="G566" s="59" t="str">
        <f t="shared" si="32"/>
        <v/>
      </c>
      <c r="H566" s="57"/>
      <c r="I566" s="57"/>
      <c r="K566" s="27"/>
      <c r="L566" s="27"/>
      <c r="M566" s="27"/>
      <c r="N566" s="88"/>
      <c r="AK566" s="35"/>
      <c r="AL566" s="35"/>
      <c r="AM566" s="35"/>
      <c r="AN566" s="35"/>
      <c r="AO566" s="35"/>
      <c r="AP566" s="35"/>
      <c r="AQ566" s="35"/>
      <c r="AR566" s="35"/>
    </row>
    <row r="567" spans="5:44" x14ac:dyDescent="0.3">
      <c r="E567" s="26"/>
      <c r="F567" s="26"/>
      <c r="G567" s="59" t="str">
        <f t="shared" ref="G567:G630" si="33">IF(AND(F567="",E567=""),"",IF(AND(F567="",E567&lt;&gt;""),G566,F567))</f>
        <v/>
      </c>
      <c r="H567" s="57"/>
      <c r="I567" s="57"/>
      <c r="K567" s="27"/>
      <c r="L567" s="27"/>
      <c r="M567" s="27"/>
      <c r="N567" s="88"/>
      <c r="AK567" s="35"/>
      <c r="AL567" s="35"/>
      <c r="AM567" s="35"/>
      <c r="AN567" s="35"/>
      <c r="AO567" s="35"/>
      <c r="AP567" s="35"/>
      <c r="AQ567" s="35"/>
      <c r="AR567" s="35"/>
    </row>
    <row r="568" spans="5:44" x14ac:dyDescent="0.3">
      <c r="E568" s="26"/>
      <c r="F568" s="26"/>
      <c r="G568" s="59" t="str">
        <f t="shared" si="33"/>
        <v/>
      </c>
      <c r="H568" s="57"/>
      <c r="I568" s="57"/>
      <c r="K568" s="27"/>
      <c r="L568" s="27"/>
      <c r="M568" s="27"/>
      <c r="N568" s="88"/>
      <c r="AK568" s="35"/>
      <c r="AL568" s="35"/>
      <c r="AM568" s="35"/>
      <c r="AN568" s="35"/>
      <c r="AO568" s="35"/>
      <c r="AP568" s="35"/>
      <c r="AQ568" s="35"/>
      <c r="AR568" s="35"/>
    </row>
    <row r="569" spans="5:44" x14ac:dyDescent="0.3">
      <c r="E569" s="26"/>
      <c r="F569" s="26"/>
      <c r="G569" s="59" t="str">
        <f t="shared" si="33"/>
        <v/>
      </c>
      <c r="H569" s="57"/>
      <c r="I569" s="57"/>
      <c r="K569" s="27"/>
      <c r="L569" s="27"/>
      <c r="M569" s="27"/>
      <c r="N569" s="88"/>
      <c r="AK569" s="35"/>
      <c r="AL569" s="35"/>
      <c r="AM569" s="35"/>
      <c r="AN569" s="35"/>
      <c r="AO569" s="35"/>
      <c r="AP569" s="35"/>
      <c r="AQ569" s="35"/>
      <c r="AR569" s="35"/>
    </row>
    <row r="570" spans="5:44" x14ac:dyDescent="0.3">
      <c r="E570" s="26"/>
      <c r="F570" s="26"/>
      <c r="G570" s="59" t="str">
        <f t="shared" si="33"/>
        <v/>
      </c>
      <c r="H570" s="57"/>
      <c r="I570" s="57"/>
      <c r="K570" s="27"/>
      <c r="L570" s="27"/>
      <c r="M570" s="27"/>
      <c r="N570" s="88"/>
      <c r="AK570" s="35"/>
      <c r="AL570" s="35"/>
      <c r="AM570" s="35"/>
      <c r="AN570" s="35"/>
      <c r="AO570" s="35"/>
      <c r="AP570" s="35"/>
      <c r="AQ570" s="35"/>
      <c r="AR570" s="35"/>
    </row>
    <row r="571" spans="5:44" x14ac:dyDescent="0.3">
      <c r="E571" s="26"/>
      <c r="F571" s="26"/>
      <c r="G571" s="59" t="str">
        <f t="shared" si="33"/>
        <v/>
      </c>
      <c r="H571" s="57"/>
      <c r="I571" s="57"/>
      <c r="K571" s="27"/>
      <c r="L571" s="27"/>
      <c r="M571" s="27"/>
      <c r="N571" s="88"/>
      <c r="AK571" s="35"/>
      <c r="AL571" s="35"/>
      <c r="AM571" s="35"/>
      <c r="AN571" s="35"/>
      <c r="AO571" s="35"/>
      <c r="AP571" s="35"/>
      <c r="AQ571" s="35"/>
      <c r="AR571" s="35"/>
    </row>
    <row r="572" spans="5:44" x14ac:dyDescent="0.3">
      <c r="E572" s="26"/>
      <c r="F572" s="26"/>
      <c r="G572" s="59" t="str">
        <f t="shared" si="33"/>
        <v/>
      </c>
      <c r="H572" s="57"/>
      <c r="I572" s="57"/>
      <c r="K572" s="27"/>
      <c r="L572" s="27"/>
      <c r="M572" s="27"/>
      <c r="N572" s="88"/>
      <c r="AK572" s="35"/>
      <c r="AL572" s="35"/>
      <c r="AM572" s="35"/>
      <c r="AN572" s="35"/>
      <c r="AO572" s="35"/>
      <c r="AP572" s="35"/>
      <c r="AQ572" s="35"/>
      <c r="AR572" s="35"/>
    </row>
    <row r="573" spans="5:44" x14ac:dyDescent="0.3">
      <c r="E573" s="26"/>
      <c r="F573" s="26"/>
      <c r="G573" s="59" t="str">
        <f t="shared" si="33"/>
        <v/>
      </c>
      <c r="H573" s="57"/>
      <c r="I573" s="57"/>
      <c r="K573" s="27"/>
      <c r="L573" s="27"/>
      <c r="M573" s="27"/>
      <c r="N573" s="88"/>
      <c r="AK573" s="35"/>
      <c r="AL573" s="35"/>
      <c r="AM573" s="35"/>
      <c r="AN573" s="35"/>
      <c r="AO573" s="35"/>
      <c r="AP573" s="35"/>
      <c r="AQ573" s="35"/>
      <c r="AR573" s="35"/>
    </row>
    <row r="574" spans="5:44" x14ac:dyDescent="0.3">
      <c r="E574" s="26"/>
      <c r="F574" s="26"/>
      <c r="G574" s="59" t="str">
        <f t="shared" si="33"/>
        <v/>
      </c>
      <c r="H574" s="57"/>
      <c r="I574" s="57"/>
      <c r="K574" s="27"/>
      <c r="L574" s="27"/>
      <c r="M574" s="27"/>
      <c r="N574" s="88"/>
      <c r="AK574" s="35"/>
      <c r="AL574" s="35"/>
      <c r="AM574" s="35"/>
      <c r="AN574" s="35"/>
      <c r="AO574" s="35"/>
      <c r="AP574" s="35"/>
      <c r="AQ574" s="35"/>
      <c r="AR574" s="35"/>
    </row>
    <row r="575" spans="5:44" x14ac:dyDescent="0.3">
      <c r="E575" s="26"/>
      <c r="F575" s="26"/>
      <c r="G575" s="59" t="str">
        <f t="shared" si="33"/>
        <v/>
      </c>
      <c r="H575" s="57"/>
      <c r="I575" s="57"/>
      <c r="K575" s="27"/>
      <c r="L575" s="27"/>
      <c r="M575" s="27"/>
      <c r="N575" s="88"/>
      <c r="AK575" s="35"/>
      <c r="AL575" s="35"/>
      <c r="AM575" s="35"/>
      <c r="AN575" s="35"/>
      <c r="AO575" s="35"/>
      <c r="AP575" s="35"/>
      <c r="AQ575" s="35"/>
      <c r="AR575" s="35"/>
    </row>
    <row r="576" spans="5:44" x14ac:dyDescent="0.3">
      <c r="E576" s="26"/>
      <c r="F576" s="26"/>
      <c r="G576" s="59" t="str">
        <f t="shared" si="33"/>
        <v/>
      </c>
      <c r="H576" s="57"/>
      <c r="I576" s="57"/>
      <c r="K576" s="27"/>
      <c r="L576" s="27"/>
      <c r="M576" s="27"/>
      <c r="N576" s="88"/>
      <c r="AK576" s="35"/>
      <c r="AL576" s="35"/>
      <c r="AM576" s="35"/>
      <c r="AN576" s="35"/>
      <c r="AO576" s="35"/>
      <c r="AP576" s="35"/>
      <c r="AQ576" s="35"/>
      <c r="AR576" s="35"/>
    </row>
    <row r="577" spans="5:44" x14ac:dyDescent="0.3">
      <c r="E577" s="26"/>
      <c r="F577" s="26"/>
      <c r="G577" s="59" t="str">
        <f t="shared" si="33"/>
        <v/>
      </c>
      <c r="H577" s="57"/>
      <c r="I577" s="57"/>
      <c r="K577" s="27"/>
      <c r="L577" s="27"/>
      <c r="M577" s="27"/>
      <c r="N577" s="88"/>
      <c r="AK577" s="35"/>
      <c r="AL577" s="35"/>
      <c r="AM577" s="35"/>
      <c r="AN577" s="35"/>
      <c r="AO577" s="35"/>
      <c r="AP577" s="35"/>
      <c r="AQ577" s="35"/>
      <c r="AR577" s="35"/>
    </row>
    <row r="578" spans="5:44" x14ac:dyDescent="0.3">
      <c r="E578" s="26"/>
      <c r="F578" s="26"/>
      <c r="G578" s="59" t="str">
        <f t="shared" si="33"/>
        <v/>
      </c>
      <c r="H578" s="57"/>
      <c r="I578" s="57"/>
      <c r="K578" s="27"/>
      <c r="L578" s="27"/>
      <c r="M578" s="27"/>
      <c r="N578" s="88"/>
      <c r="AK578" s="35"/>
      <c r="AL578" s="35"/>
      <c r="AM578" s="35"/>
      <c r="AN578" s="35"/>
      <c r="AO578" s="35"/>
      <c r="AP578" s="35"/>
      <c r="AQ578" s="35"/>
      <c r="AR578" s="35"/>
    </row>
    <row r="579" spans="5:44" x14ac:dyDescent="0.3">
      <c r="E579" s="26"/>
      <c r="F579" s="26"/>
      <c r="G579" s="59" t="str">
        <f t="shared" si="33"/>
        <v/>
      </c>
      <c r="H579" s="57"/>
      <c r="I579" s="57"/>
      <c r="K579" s="27"/>
      <c r="L579" s="27"/>
      <c r="M579" s="27"/>
      <c r="N579" s="88"/>
      <c r="AK579" s="35"/>
      <c r="AL579" s="35"/>
      <c r="AM579" s="35"/>
      <c r="AN579" s="35"/>
      <c r="AO579" s="35"/>
      <c r="AP579" s="35"/>
      <c r="AQ579" s="35"/>
      <c r="AR579" s="35"/>
    </row>
    <row r="580" spans="5:44" x14ac:dyDescent="0.3">
      <c r="E580" s="26"/>
      <c r="F580" s="26"/>
      <c r="G580" s="59" t="str">
        <f t="shared" si="33"/>
        <v/>
      </c>
      <c r="H580" s="57"/>
      <c r="I580" s="57"/>
      <c r="K580" s="27"/>
      <c r="L580" s="27"/>
      <c r="M580" s="27"/>
      <c r="N580" s="88"/>
      <c r="AK580" s="35"/>
      <c r="AL580" s="35"/>
      <c r="AM580" s="35"/>
      <c r="AN580" s="35"/>
      <c r="AO580" s="35"/>
      <c r="AP580" s="35"/>
      <c r="AQ580" s="35"/>
      <c r="AR580" s="35"/>
    </row>
    <row r="581" spans="5:44" x14ac:dyDescent="0.3">
      <c r="E581" s="26"/>
      <c r="F581" s="26"/>
      <c r="G581" s="59" t="str">
        <f t="shared" si="33"/>
        <v/>
      </c>
      <c r="H581" s="57"/>
      <c r="I581" s="57"/>
      <c r="K581" s="27"/>
      <c r="L581" s="27"/>
      <c r="M581" s="27"/>
      <c r="N581" s="88"/>
      <c r="AK581" s="35"/>
      <c r="AL581" s="35"/>
      <c r="AM581" s="35"/>
      <c r="AN581" s="35"/>
      <c r="AO581" s="35"/>
      <c r="AP581" s="35"/>
      <c r="AQ581" s="35"/>
      <c r="AR581" s="35"/>
    </row>
    <row r="582" spans="5:44" x14ac:dyDescent="0.3">
      <c r="E582" s="26"/>
      <c r="F582" s="26"/>
      <c r="G582" s="59" t="str">
        <f t="shared" si="33"/>
        <v/>
      </c>
      <c r="H582" s="57"/>
      <c r="I582" s="57"/>
      <c r="K582" s="27"/>
      <c r="L582" s="27"/>
      <c r="M582" s="27"/>
      <c r="N582" s="88"/>
      <c r="AK582" s="35"/>
      <c r="AL582" s="35"/>
      <c r="AM582" s="35"/>
      <c r="AN582" s="35"/>
      <c r="AO582" s="35"/>
      <c r="AP582" s="35"/>
      <c r="AQ582" s="35"/>
      <c r="AR582" s="35"/>
    </row>
    <row r="583" spans="5:44" x14ac:dyDescent="0.3">
      <c r="E583" s="26"/>
      <c r="F583" s="26"/>
      <c r="G583" s="59" t="str">
        <f t="shared" si="33"/>
        <v/>
      </c>
      <c r="H583" s="57"/>
      <c r="I583" s="57"/>
      <c r="K583" s="27"/>
      <c r="L583" s="27"/>
      <c r="M583" s="27"/>
      <c r="N583" s="88"/>
      <c r="AK583" s="35"/>
      <c r="AL583" s="35"/>
      <c r="AM583" s="35"/>
      <c r="AN583" s="35"/>
      <c r="AO583" s="35"/>
      <c r="AP583" s="35"/>
      <c r="AQ583" s="35"/>
      <c r="AR583" s="35"/>
    </row>
    <row r="584" spans="5:44" x14ac:dyDescent="0.3">
      <c r="E584" s="26"/>
      <c r="F584" s="26"/>
      <c r="G584" s="59" t="str">
        <f t="shared" si="33"/>
        <v/>
      </c>
      <c r="H584" s="57"/>
      <c r="I584" s="57"/>
      <c r="K584" s="27"/>
      <c r="L584" s="27"/>
      <c r="M584" s="27"/>
      <c r="N584" s="88"/>
      <c r="AK584" s="35"/>
      <c r="AL584" s="35"/>
      <c r="AM584" s="35"/>
      <c r="AN584" s="35"/>
      <c r="AO584" s="35"/>
      <c r="AP584" s="35"/>
      <c r="AQ584" s="35"/>
      <c r="AR584" s="35"/>
    </row>
    <row r="585" spans="5:44" x14ac:dyDescent="0.3">
      <c r="E585" s="26"/>
      <c r="F585" s="26"/>
      <c r="G585" s="59" t="str">
        <f t="shared" si="33"/>
        <v/>
      </c>
      <c r="H585" s="57"/>
      <c r="I585" s="57"/>
      <c r="K585" s="27"/>
      <c r="L585" s="27"/>
      <c r="M585" s="27"/>
      <c r="N585" s="88"/>
      <c r="AK585" s="35"/>
      <c r="AL585" s="35"/>
      <c r="AM585" s="35"/>
      <c r="AN585" s="35"/>
      <c r="AO585" s="35"/>
      <c r="AP585" s="35"/>
      <c r="AQ585" s="35"/>
      <c r="AR585" s="35"/>
    </row>
    <row r="586" spans="5:44" x14ac:dyDescent="0.3">
      <c r="E586" s="26"/>
      <c r="F586" s="26"/>
      <c r="G586" s="59" t="str">
        <f t="shared" si="33"/>
        <v/>
      </c>
      <c r="H586" s="57"/>
      <c r="I586" s="57"/>
      <c r="K586" s="27"/>
      <c r="L586" s="27"/>
      <c r="M586" s="27"/>
      <c r="N586" s="88"/>
      <c r="AK586" s="35"/>
      <c r="AL586" s="35"/>
      <c r="AM586" s="35"/>
      <c r="AN586" s="35"/>
      <c r="AO586" s="35"/>
      <c r="AP586" s="35"/>
      <c r="AQ586" s="35"/>
      <c r="AR586" s="35"/>
    </row>
    <row r="587" spans="5:44" x14ac:dyDescent="0.3">
      <c r="E587" s="26"/>
      <c r="F587" s="26"/>
      <c r="G587" s="59" t="str">
        <f t="shared" si="33"/>
        <v/>
      </c>
      <c r="H587" s="57"/>
      <c r="I587" s="57"/>
      <c r="K587" s="27"/>
      <c r="L587" s="27"/>
      <c r="M587" s="27"/>
      <c r="N587" s="88"/>
      <c r="AK587" s="35"/>
      <c r="AL587" s="35"/>
      <c r="AM587" s="35"/>
      <c r="AN587" s="35"/>
      <c r="AO587" s="35"/>
      <c r="AP587" s="35"/>
      <c r="AQ587" s="35"/>
      <c r="AR587" s="35"/>
    </row>
    <row r="588" spans="5:44" x14ac:dyDescent="0.3">
      <c r="E588" s="26"/>
      <c r="F588" s="26"/>
      <c r="G588" s="59" t="str">
        <f t="shared" si="33"/>
        <v/>
      </c>
      <c r="H588" s="57"/>
      <c r="I588" s="57"/>
      <c r="K588" s="27"/>
      <c r="L588" s="27"/>
      <c r="M588" s="27"/>
      <c r="N588" s="88"/>
      <c r="AK588" s="35"/>
      <c r="AL588" s="35"/>
      <c r="AM588" s="35"/>
      <c r="AN588" s="35"/>
      <c r="AO588" s="35"/>
      <c r="AP588" s="35"/>
      <c r="AQ588" s="35"/>
      <c r="AR588" s="35"/>
    </row>
    <row r="589" spans="5:44" x14ac:dyDescent="0.3">
      <c r="E589" s="26"/>
      <c r="F589" s="26"/>
      <c r="G589" s="59" t="str">
        <f t="shared" si="33"/>
        <v/>
      </c>
      <c r="H589" s="57"/>
      <c r="I589" s="57"/>
      <c r="K589" s="27"/>
      <c r="L589" s="27"/>
      <c r="M589" s="27"/>
      <c r="N589" s="88"/>
      <c r="AK589" s="35"/>
      <c r="AL589" s="35"/>
      <c r="AM589" s="35"/>
      <c r="AN589" s="35"/>
      <c r="AO589" s="35"/>
      <c r="AP589" s="35"/>
      <c r="AQ589" s="35"/>
      <c r="AR589" s="35"/>
    </row>
    <row r="590" spans="5:44" x14ac:dyDescent="0.3">
      <c r="E590" s="26"/>
      <c r="F590" s="26"/>
      <c r="G590" s="59" t="str">
        <f t="shared" si="33"/>
        <v/>
      </c>
      <c r="H590" s="57"/>
      <c r="I590" s="57"/>
      <c r="K590" s="27"/>
      <c r="L590" s="27"/>
      <c r="M590" s="27"/>
      <c r="N590" s="88"/>
      <c r="AK590" s="35"/>
      <c r="AL590" s="35"/>
      <c r="AM590" s="35"/>
      <c r="AN590" s="35"/>
      <c r="AO590" s="35"/>
      <c r="AP590" s="35"/>
      <c r="AQ590" s="35"/>
      <c r="AR590" s="35"/>
    </row>
    <row r="591" spans="5:44" x14ac:dyDescent="0.3">
      <c r="E591" s="26"/>
      <c r="F591" s="26"/>
      <c r="G591" s="59" t="str">
        <f t="shared" si="33"/>
        <v/>
      </c>
      <c r="H591" s="57"/>
      <c r="I591" s="57"/>
      <c r="K591" s="27"/>
      <c r="L591" s="27"/>
      <c r="M591" s="27"/>
      <c r="N591" s="88"/>
      <c r="AK591" s="35"/>
      <c r="AL591" s="35"/>
      <c r="AM591" s="35"/>
      <c r="AN591" s="35"/>
      <c r="AO591" s="35"/>
      <c r="AP591" s="35"/>
      <c r="AQ591" s="35"/>
      <c r="AR591" s="35"/>
    </row>
    <row r="592" spans="5:44" x14ac:dyDescent="0.3">
      <c r="E592" s="26"/>
      <c r="F592" s="26"/>
      <c r="G592" s="59" t="str">
        <f t="shared" si="33"/>
        <v/>
      </c>
      <c r="H592" s="57"/>
      <c r="I592" s="57"/>
      <c r="K592" s="27"/>
      <c r="L592" s="27"/>
      <c r="M592" s="27"/>
      <c r="N592" s="88"/>
      <c r="AK592" s="35"/>
      <c r="AL592" s="35"/>
      <c r="AM592" s="35"/>
      <c r="AN592" s="35"/>
      <c r="AO592" s="35"/>
      <c r="AP592" s="35"/>
      <c r="AQ592" s="35"/>
      <c r="AR592" s="35"/>
    </row>
    <row r="593" spans="5:44" x14ac:dyDescent="0.3">
      <c r="E593" s="26"/>
      <c r="F593" s="26"/>
      <c r="G593" s="59" t="str">
        <f t="shared" si="33"/>
        <v/>
      </c>
      <c r="H593" s="57"/>
      <c r="I593" s="57"/>
      <c r="K593" s="27"/>
      <c r="L593" s="27"/>
      <c r="M593" s="27"/>
      <c r="N593" s="88"/>
      <c r="AK593" s="35"/>
      <c r="AL593" s="35"/>
      <c r="AM593" s="35"/>
      <c r="AN593" s="35"/>
      <c r="AO593" s="35"/>
      <c r="AP593" s="35"/>
      <c r="AQ593" s="35"/>
      <c r="AR593" s="35"/>
    </row>
    <row r="594" spans="5:44" x14ac:dyDescent="0.3">
      <c r="E594" s="26"/>
      <c r="F594" s="26"/>
      <c r="G594" s="59" t="str">
        <f t="shared" si="33"/>
        <v/>
      </c>
      <c r="H594" s="57"/>
      <c r="I594" s="57"/>
      <c r="K594" s="27"/>
      <c r="L594" s="27"/>
      <c r="M594" s="27"/>
      <c r="N594" s="88"/>
      <c r="AK594" s="35"/>
      <c r="AL594" s="35"/>
      <c r="AM594" s="35"/>
      <c r="AN594" s="35"/>
      <c r="AO594" s="35"/>
      <c r="AP594" s="35"/>
      <c r="AQ594" s="35"/>
      <c r="AR594" s="35"/>
    </row>
    <row r="595" spans="5:44" x14ac:dyDescent="0.3">
      <c r="E595" s="26"/>
      <c r="F595" s="26"/>
      <c r="G595" s="59" t="str">
        <f t="shared" si="33"/>
        <v/>
      </c>
      <c r="H595" s="57"/>
      <c r="I595" s="57"/>
      <c r="K595" s="27"/>
      <c r="L595" s="27"/>
      <c r="M595" s="27"/>
      <c r="N595" s="88"/>
      <c r="AK595" s="35"/>
      <c r="AL595" s="35"/>
      <c r="AM595" s="35"/>
      <c r="AN595" s="35"/>
      <c r="AO595" s="35"/>
      <c r="AP595" s="35"/>
      <c r="AQ595" s="35"/>
      <c r="AR595" s="35"/>
    </row>
    <row r="596" spans="5:44" x14ac:dyDescent="0.3">
      <c r="E596" s="26"/>
      <c r="F596" s="26"/>
      <c r="G596" s="59" t="str">
        <f t="shared" si="33"/>
        <v/>
      </c>
      <c r="H596" s="57"/>
      <c r="I596" s="57"/>
      <c r="K596" s="27"/>
      <c r="L596" s="27"/>
      <c r="M596" s="27"/>
      <c r="N596" s="88"/>
      <c r="AK596" s="35"/>
      <c r="AL596" s="35"/>
      <c r="AM596" s="35"/>
      <c r="AN596" s="35"/>
      <c r="AO596" s="35"/>
      <c r="AP596" s="35"/>
      <c r="AQ596" s="35"/>
      <c r="AR596" s="35"/>
    </row>
    <row r="597" spans="5:44" x14ac:dyDescent="0.3">
      <c r="E597" s="26"/>
      <c r="F597" s="26"/>
      <c r="G597" s="59" t="str">
        <f t="shared" si="33"/>
        <v/>
      </c>
      <c r="H597" s="57"/>
      <c r="I597" s="57"/>
      <c r="K597" s="27"/>
      <c r="L597" s="27"/>
      <c r="M597" s="27"/>
      <c r="N597" s="88"/>
      <c r="AK597" s="35"/>
      <c r="AL597" s="35"/>
      <c r="AM597" s="35"/>
      <c r="AN597" s="35"/>
      <c r="AO597" s="35"/>
      <c r="AP597" s="35"/>
      <c r="AQ597" s="35"/>
      <c r="AR597" s="35"/>
    </row>
    <row r="598" spans="5:44" x14ac:dyDescent="0.3">
      <c r="E598" s="26"/>
      <c r="F598" s="26"/>
      <c r="G598" s="59" t="str">
        <f t="shared" si="33"/>
        <v/>
      </c>
      <c r="H598" s="57"/>
      <c r="I598" s="57"/>
      <c r="K598" s="27"/>
      <c r="L598" s="27"/>
      <c r="M598" s="27"/>
      <c r="N598" s="88"/>
      <c r="AK598" s="35"/>
      <c r="AL598" s="35"/>
      <c r="AM598" s="35"/>
      <c r="AN598" s="35"/>
      <c r="AO598" s="35"/>
      <c r="AP598" s="35"/>
      <c r="AQ598" s="35"/>
      <c r="AR598" s="35"/>
    </row>
    <row r="599" spans="5:44" x14ac:dyDescent="0.3">
      <c r="E599" s="26"/>
      <c r="F599" s="26"/>
      <c r="G599" s="59" t="str">
        <f t="shared" si="33"/>
        <v/>
      </c>
      <c r="H599" s="57"/>
      <c r="I599" s="57"/>
      <c r="K599" s="27"/>
      <c r="L599" s="27"/>
      <c r="M599" s="27"/>
      <c r="N599" s="88"/>
      <c r="AK599" s="35"/>
      <c r="AL599" s="35"/>
      <c r="AM599" s="35"/>
      <c r="AN599" s="35"/>
      <c r="AO599" s="35"/>
      <c r="AP599" s="35"/>
      <c r="AQ599" s="35"/>
      <c r="AR599" s="35"/>
    </row>
    <row r="600" spans="5:44" x14ac:dyDescent="0.3">
      <c r="E600" s="26"/>
      <c r="F600" s="26"/>
      <c r="G600" s="59" t="str">
        <f t="shared" si="33"/>
        <v/>
      </c>
      <c r="H600" s="57"/>
      <c r="I600" s="57"/>
      <c r="K600" s="27"/>
      <c r="L600" s="27"/>
      <c r="M600" s="27"/>
      <c r="N600" s="88"/>
      <c r="AK600" s="35"/>
      <c r="AL600" s="35"/>
      <c r="AM600" s="35"/>
      <c r="AN600" s="35"/>
      <c r="AO600" s="35"/>
      <c r="AP600" s="35"/>
      <c r="AQ600" s="35"/>
      <c r="AR600" s="35"/>
    </row>
    <row r="601" spans="5:44" x14ac:dyDescent="0.3">
      <c r="E601" s="26"/>
      <c r="F601" s="26"/>
      <c r="G601" s="59" t="str">
        <f t="shared" si="33"/>
        <v/>
      </c>
      <c r="H601" s="57"/>
      <c r="I601" s="57"/>
      <c r="K601" s="27"/>
      <c r="L601" s="27"/>
      <c r="M601" s="27"/>
      <c r="N601" s="88"/>
      <c r="AK601" s="35"/>
      <c r="AL601" s="35"/>
      <c r="AM601" s="35"/>
      <c r="AN601" s="35"/>
      <c r="AO601" s="35"/>
      <c r="AP601" s="35"/>
      <c r="AQ601" s="35"/>
      <c r="AR601" s="35"/>
    </row>
    <row r="602" spans="5:44" x14ac:dyDescent="0.3">
      <c r="E602" s="26"/>
      <c r="F602" s="26"/>
      <c r="G602" s="59" t="str">
        <f t="shared" si="33"/>
        <v/>
      </c>
      <c r="H602" s="57"/>
      <c r="I602" s="57"/>
      <c r="K602" s="27"/>
      <c r="L602" s="27"/>
      <c r="M602" s="27"/>
      <c r="N602" s="88"/>
      <c r="AK602" s="35"/>
      <c r="AL602" s="35"/>
      <c r="AM602" s="35"/>
      <c r="AN602" s="35"/>
      <c r="AO602" s="35"/>
      <c r="AP602" s="35"/>
      <c r="AQ602" s="35"/>
      <c r="AR602" s="35"/>
    </row>
    <row r="603" spans="5:44" x14ac:dyDescent="0.3">
      <c r="E603" s="26"/>
      <c r="F603" s="26"/>
      <c r="G603" s="59" t="str">
        <f t="shared" si="33"/>
        <v/>
      </c>
      <c r="H603" s="57"/>
      <c r="I603" s="57"/>
      <c r="K603" s="27"/>
      <c r="L603" s="27"/>
      <c r="M603" s="27"/>
      <c r="N603" s="88"/>
      <c r="AK603" s="35"/>
      <c r="AL603" s="35"/>
      <c r="AM603" s="35"/>
      <c r="AN603" s="35"/>
      <c r="AO603" s="35"/>
      <c r="AP603" s="35"/>
      <c r="AQ603" s="35"/>
      <c r="AR603" s="35"/>
    </row>
    <row r="604" spans="5:44" x14ac:dyDescent="0.3">
      <c r="E604" s="26"/>
      <c r="F604" s="26"/>
      <c r="G604" s="59" t="str">
        <f t="shared" si="33"/>
        <v/>
      </c>
      <c r="H604" s="57"/>
      <c r="I604" s="57"/>
      <c r="K604" s="27"/>
      <c r="L604" s="27"/>
      <c r="M604" s="27"/>
      <c r="N604" s="88"/>
      <c r="AK604" s="35"/>
      <c r="AL604" s="35"/>
      <c r="AM604" s="35"/>
      <c r="AN604" s="35"/>
      <c r="AO604" s="35"/>
      <c r="AP604" s="35"/>
      <c r="AQ604" s="35"/>
      <c r="AR604" s="35"/>
    </row>
    <row r="605" spans="5:44" x14ac:dyDescent="0.3">
      <c r="E605" s="26"/>
      <c r="F605" s="26"/>
      <c r="G605" s="59" t="str">
        <f t="shared" si="33"/>
        <v/>
      </c>
      <c r="H605" s="57"/>
      <c r="I605" s="57"/>
      <c r="K605" s="27"/>
      <c r="L605" s="27"/>
      <c r="M605" s="27"/>
      <c r="N605" s="88"/>
      <c r="AK605" s="35"/>
      <c r="AL605" s="35"/>
      <c r="AM605" s="35"/>
      <c r="AN605" s="35"/>
      <c r="AO605" s="35"/>
      <c r="AP605" s="35"/>
      <c r="AQ605" s="35"/>
      <c r="AR605" s="35"/>
    </row>
    <row r="606" spans="5:44" x14ac:dyDescent="0.3">
      <c r="E606" s="26"/>
      <c r="F606" s="26"/>
      <c r="G606" s="59" t="str">
        <f t="shared" si="33"/>
        <v/>
      </c>
      <c r="H606" s="57"/>
      <c r="I606" s="57"/>
      <c r="K606" s="27"/>
      <c r="L606" s="27"/>
      <c r="M606" s="27"/>
      <c r="N606" s="88"/>
      <c r="AK606" s="35"/>
      <c r="AL606" s="35"/>
      <c r="AM606" s="35"/>
      <c r="AN606" s="35"/>
      <c r="AO606" s="35"/>
      <c r="AP606" s="35"/>
      <c r="AQ606" s="35"/>
      <c r="AR606" s="35"/>
    </row>
    <row r="607" spans="5:44" x14ac:dyDescent="0.3">
      <c r="E607" s="26"/>
      <c r="F607" s="26"/>
      <c r="G607" s="59" t="str">
        <f t="shared" si="33"/>
        <v/>
      </c>
      <c r="H607" s="57"/>
      <c r="I607" s="57"/>
      <c r="K607" s="27"/>
      <c r="L607" s="27"/>
      <c r="M607" s="27"/>
      <c r="N607" s="88"/>
      <c r="AK607" s="35"/>
      <c r="AL607" s="35"/>
      <c r="AM607" s="35"/>
      <c r="AN607" s="35"/>
      <c r="AO607" s="35"/>
      <c r="AP607" s="35"/>
      <c r="AQ607" s="35"/>
      <c r="AR607" s="35"/>
    </row>
    <row r="608" spans="5:44" x14ac:dyDescent="0.3">
      <c r="E608" s="26"/>
      <c r="F608" s="26"/>
      <c r="G608" s="59" t="str">
        <f t="shared" si="33"/>
        <v/>
      </c>
      <c r="H608" s="57"/>
      <c r="I608" s="57"/>
      <c r="K608" s="27"/>
      <c r="L608" s="27"/>
      <c r="M608" s="27"/>
      <c r="N608" s="88"/>
      <c r="AK608" s="35"/>
      <c r="AL608" s="35"/>
      <c r="AM608" s="35"/>
      <c r="AN608" s="35"/>
      <c r="AO608" s="35"/>
      <c r="AP608" s="35"/>
      <c r="AQ608" s="35"/>
      <c r="AR608" s="35"/>
    </row>
    <row r="609" spans="5:44" x14ac:dyDescent="0.3">
      <c r="E609" s="26"/>
      <c r="F609" s="26"/>
      <c r="G609" s="59" t="str">
        <f t="shared" si="33"/>
        <v/>
      </c>
      <c r="H609" s="57"/>
      <c r="I609" s="57"/>
      <c r="K609" s="27"/>
      <c r="L609" s="27"/>
      <c r="M609" s="27"/>
      <c r="N609" s="88"/>
      <c r="AK609" s="35"/>
      <c r="AL609" s="35"/>
      <c r="AM609" s="35"/>
      <c r="AN609" s="35"/>
      <c r="AO609" s="35"/>
      <c r="AP609" s="35"/>
      <c r="AQ609" s="35"/>
      <c r="AR609" s="35"/>
    </row>
    <row r="610" spans="5:44" x14ac:dyDescent="0.3">
      <c r="E610" s="26"/>
      <c r="F610" s="26"/>
      <c r="G610" s="59" t="str">
        <f t="shared" si="33"/>
        <v/>
      </c>
      <c r="H610" s="57"/>
      <c r="I610" s="57"/>
      <c r="K610" s="27"/>
      <c r="L610" s="27"/>
      <c r="M610" s="27"/>
      <c r="N610" s="88"/>
      <c r="AK610" s="35"/>
      <c r="AL610" s="35"/>
      <c r="AM610" s="35"/>
      <c r="AN610" s="35"/>
      <c r="AO610" s="35"/>
      <c r="AP610" s="35"/>
      <c r="AQ610" s="35"/>
      <c r="AR610" s="35"/>
    </row>
    <row r="611" spans="5:44" x14ac:dyDescent="0.3">
      <c r="E611" s="26"/>
      <c r="F611" s="26"/>
      <c r="G611" s="59" t="str">
        <f t="shared" si="33"/>
        <v/>
      </c>
      <c r="H611" s="57"/>
      <c r="I611" s="57"/>
      <c r="K611" s="27"/>
      <c r="L611" s="27"/>
      <c r="M611" s="27"/>
      <c r="N611" s="88"/>
      <c r="AK611" s="35"/>
      <c r="AL611" s="35"/>
      <c r="AM611" s="35"/>
      <c r="AN611" s="35"/>
      <c r="AO611" s="35"/>
      <c r="AP611" s="35"/>
      <c r="AQ611" s="35"/>
      <c r="AR611" s="35"/>
    </row>
    <row r="612" spans="5:44" x14ac:dyDescent="0.3">
      <c r="E612" s="26"/>
      <c r="F612" s="26"/>
      <c r="G612" s="59" t="str">
        <f t="shared" si="33"/>
        <v/>
      </c>
      <c r="H612" s="57"/>
      <c r="I612" s="57"/>
      <c r="K612" s="27"/>
      <c r="L612" s="27"/>
      <c r="M612" s="27"/>
      <c r="N612" s="88"/>
      <c r="AK612" s="35"/>
      <c r="AL612" s="35"/>
      <c r="AM612" s="35"/>
      <c r="AN612" s="35"/>
      <c r="AO612" s="35"/>
      <c r="AP612" s="35"/>
      <c r="AQ612" s="35"/>
      <c r="AR612" s="35"/>
    </row>
    <row r="613" spans="5:44" x14ac:dyDescent="0.3">
      <c r="E613" s="26"/>
      <c r="F613" s="26"/>
      <c r="G613" s="59" t="str">
        <f t="shared" si="33"/>
        <v/>
      </c>
      <c r="H613" s="57"/>
      <c r="I613" s="57"/>
      <c r="K613" s="27"/>
      <c r="L613" s="27"/>
      <c r="M613" s="27"/>
      <c r="N613" s="88"/>
      <c r="AK613" s="35"/>
      <c r="AL613" s="35"/>
      <c r="AM613" s="35"/>
      <c r="AN613" s="35"/>
      <c r="AO613" s="35"/>
      <c r="AP613" s="35"/>
      <c r="AQ613" s="35"/>
      <c r="AR613" s="35"/>
    </row>
    <row r="614" spans="5:44" x14ac:dyDescent="0.3">
      <c r="E614" s="26"/>
      <c r="F614" s="26"/>
      <c r="G614" s="59" t="str">
        <f t="shared" si="33"/>
        <v/>
      </c>
      <c r="H614" s="57"/>
      <c r="I614" s="57"/>
      <c r="K614" s="27"/>
      <c r="L614" s="27"/>
      <c r="M614" s="27"/>
      <c r="N614" s="88"/>
      <c r="AK614" s="35"/>
      <c r="AL614" s="35"/>
      <c r="AM614" s="35"/>
      <c r="AN614" s="35"/>
      <c r="AO614" s="35"/>
      <c r="AP614" s="35"/>
      <c r="AQ614" s="35"/>
      <c r="AR614" s="35"/>
    </row>
    <row r="615" spans="5:44" x14ac:dyDescent="0.3">
      <c r="E615" s="26"/>
      <c r="F615" s="26"/>
      <c r="G615" s="59" t="str">
        <f t="shared" si="33"/>
        <v/>
      </c>
      <c r="H615" s="57"/>
      <c r="I615" s="57"/>
      <c r="K615" s="27"/>
      <c r="L615" s="27"/>
      <c r="M615" s="27"/>
      <c r="N615" s="88"/>
      <c r="AK615" s="35"/>
      <c r="AL615" s="35"/>
      <c r="AM615" s="35"/>
      <c r="AN615" s="35"/>
      <c r="AO615" s="35"/>
      <c r="AP615" s="35"/>
      <c r="AQ615" s="35"/>
      <c r="AR615" s="35"/>
    </row>
    <row r="616" spans="5:44" x14ac:dyDescent="0.3">
      <c r="E616" s="26"/>
      <c r="F616" s="26"/>
      <c r="G616" s="59" t="str">
        <f t="shared" si="33"/>
        <v/>
      </c>
      <c r="H616" s="57"/>
      <c r="I616" s="57"/>
      <c r="K616" s="27"/>
      <c r="L616" s="27"/>
      <c r="M616" s="27"/>
      <c r="N616" s="88"/>
      <c r="AK616" s="35"/>
      <c r="AL616" s="35"/>
      <c r="AM616" s="35"/>
      <c r="AN616" s="35"/>
      <c r="AO616" s="35"/>
      <c r="AP616" s="35"/>
      <c r="AQ616" s="35"/>
      <c r="AR616" s="35"/>
    </row>
    <row r="617" spans="5:44" x14ac:dyDescent="0.3">
      <c r="E617" s="26"/>
      <c r="F617" s="26"/>
      <c r="G617" s="59" t="str">
        <f t="shared" si="33"/>
        <v/>
      </c>
      <c r="H617" s="57"/>
      <c r="I617" s="57"/>
      <c r="K617" s="27"/>
      <c r="L617" s="27"/>
      <c r="M617" s="27"/>
      <c r="N617" s="88"/>
      <c r="AK617" s="35"/>
      <c r="AL617" s="35"/>
      <c r="AM617" s="35"/>
      <c r="AN617" s="35"/>
      <c r="AO617" s="35"/>
      <c r="AP617" s="35"/>
      <c r="AQ617" s="35"/>
      <c r="AR617" s="35"/>
    </row>
    <row r="618" spans="5:44" x14ac:dyDescent="0.3">
      <c r="E618" s="26"/>
      <c r="F618" s="26"/>
      <c r="G618" s="59" t="str">
        <f t="shared" si="33"/>
        <v/>
      </c>
      <c r="H618" s="57"/>
      <c r="I618" s="57"/>
      <c r="K618" s="27"/>
      <c r="L618" s="27"/>
      <c r="M618" s="27"/>
      <c r="N618" s="88"/>
      <c r="AK618" s="35"/>
      <c r="AL618" s="35"/>
      <c r="AM618" s="35"/>
      <c r="AN618" s="35"/>
      <c r="AO618" s="35"/>
      <c r="AP618" s="35"/>
      <c r="AQ618" s="35"/>
      <c r="AR618" s="35"/>
    </row>
    <row r="619" spans="5:44" x14ac:dyDescent="0.3">
      <c r="E619" s="26"/>
      <c r="F619" s="26"/>
      <c r="G619" s="59" t="str">
        <f t="shared" si="33"/>
        <v/>
      </c>
      <c r="H619" s="57"/>
      <c r="I619" s="57"/>
      <c r="K619" s="27"/>
      <c r="L619" s="27"/>
      <c r="M619" s="27"/>
      <c r="N619" s="88"/>
      <c r="AK619" s="35"/>
      <c r="AL619" s="35"/>
      <c r="AM619" s="35"/>
      <c r="AN619" s="35"/>
      <c r="AO619" s="35"/>
      <c r="AP619" s="35"/>
      <c r="AQ619" s="35"/>
      <c r="AR619" s="35"/>
    </row>
    <row r="620" spans="5:44" x14ac:dyDescent="0.3">
      <c r="E620" s="26"/>
      <c r="F620" s="26"/>
      <c r="G620" s="59" t="str">
        <f t="shared" si="33"/>
        <v/>
      </c>
      <c r="H620" s="57"/>
      <c r="I620" s="57"/>
      <c r="K620" s="27"/>
      <c r="L620" s="27"/>
      <c r="M620" s="27"/>
      <c r="N620" s="88"/>
      <c r="AK620" s="35"/>
      <c r="AL620" s="35"/>
      <c r="AM620" s="35"/>
      <c r="AN620" s="35"/>
      <c r="AO620" s="35"/>
      <c r="AP620" s="35"/>
      <c r="AQ620" s="35"/>
      <c r="AR620" s="35"/>
    </row>
    <row r="621" spans="5:44" x14ac:dyDescent="0.3">
      <c r="E621" s="26"/>
      <c r="F621" s="26"/>
      <c r="G621" s="59" t="str">
        <f t="shared" si="33"/>
        <v/>
      </c>
      <c r="H621" s="57"/>
      <c r="I621" s="57"/>
      <c r="K621" s="27"/>
      <c r="L621" s="27"/>
      <c r="M621" s="27"/>
      <c r="N621" s="88"/>
      <c r="AK621" s="35"/>
      <c r="AL621" s="35"/>
      <c r="AM621" s="35"/>
      <c r="AN621" s="35"/>
      <c r="AO621" s="35"/>
      <c r="AP621" s="35"/>
      <c r="AQ621" s="35"/>
      <c r="AR621" s="35"/>
    </row>
    <row r="622" spans="5:44" x14ac:dyDescent="0.3">
      <c r="E622" s="26"/>
      <c r="F622" s="26"/>
      <c r="G622" s="59" t="str">
        <f t="shared" si="33"/>
        <v/>
      </c>
      <c r="H622" s="57"/>
      <c r="I622" s="57"/>
      <c r="K622" s="27"/>
      <c r="L622" s="27"/>
      <c r="M622" s="27"/>
      <c r="N622" s="88"/>
      <c r="AK622" s="35"/>
      <c r="AL622" s="35"/>
      <c r="AM622" s="35"/>
      <c r="AN622" s="35"/>
      <c r="AO622" s="35"/>
      <c r="AP622" s="35"/>
      <c r="AQ622" s="35"/>
      <c r="AR622" s="35"/>
    </row>
    <row r="623" spans="5:44" x14ac:dyDescent="0.3">
      <c r="E623" s="26"/>
      <c r="F623" s="26"/>
      <c r="G623" s="59" t="str">
        <f t="shared" si="33"/>
        <v/>
      </c>
      <c r="H623" s="57"/>
      <c r="I623" s="57"/>
      <c r="K623" s="27"/>
      <c r="L623" s="27"/>
      <c r="M623" s="27"/>
      <c r="N623" s="88"/>
      <c r="AK623" s="35"/>
      <c r="AL623" s="35"/>
      <c r="AM623" s="35"/>
      <c r="AN623" s="35"/>
      <c r="AO623" s="35"/>
      <c r="AP623" s="35"/>
      <c r="AQ623" s="35"/>
      <c r="AR623" s="35"/>
    </row>
    <row r="624" spans="5:44" x14ac:dyDescent="0.3">
      <c r="E624" s="26"/>
      <c r="F624" s="26"/>
      <c r="G624" s="59" t="str">
        <f t="shared" si="33"/>
        <v/>
      </c>
      <c r="H624" s="57"/>
      <c r="I624" s="57"/>
      <c r="K624" s="27"/>
      <c r="L624" s="27"/>
      <c r="M624" s="27"/>
      <c r="N624" s="88"/>
      <c r="AK624" s="35"/>
      <c r="AL624" s="35"/>
      <c r="AM624" s="35"/>
      <c r="AN624" s="35"/>
      <c r="AO624" s="35"/>
      <c r="AP624" s="35"/>
      <c r="AQ624" s="35"/>
      <c r="AR624" s="35"/>
    </row>
    <row r="625" spans="5:44" x14ac:dyDescent="0.3">
      <c r="E625" s="26"/>
      <c r="F625" s="26"/>
      <c r="G625" s="59" t="str">
        <f t="shared" si="33"/>
        <v/>
      </c>
      <c r="H625" s="57"/>
      <c r="I625" s="57"/>
      <c r="K625" s="27"/>
      <c r="L625" s="27"/>
      <c r="M625" s="27"/>
      <c r="N625" s="88"/>
      <c r="AK625" s="35"/>
      <c r="AL625" s="35"/>
      <c r="AM625" s="35"/>
      <c r="AN625" s="35"/>
      <c r="AO625" s="35"/>
      <c r="AP625" s="35"/>
      <c r="AQ625" s="35"/>
      <c r="AR625" s="35"/>
    </row>
    <row r="626" spans="5:44" x14ac:dyDescent="0.3">
      <c r="E626" s="26"/>
      <c r="F626" s="26"/>
      <c r="G626" s="59" t="str">
        <f t="shared" si="33"/>
        <v/>
      </c>
      <c r="H626" s="57"/>
      <c r="I626" s="57"/>
      <c r="K626" s="27"/>
      <c r="L626" s="27"/>
      <c r="M626" s="27"/>
      <c r="N626" s="88"/>
      <c r="AK626" s="35"/>
      <c r="AL626" s="35"/>
      <c r="AM626" s="35"/>
      <c r="AN626" s="35"/>
      <c r="AO626" s="35"/>
      <c r="AP626" s="35"/>
      <c r="AQ626" s="35"/>
      <c r="AR626" s="35"/>
    </row>
    <row r="627" spans="5:44" x14ac:dyDescent="0.3">
      <c r="E627" s="26"/>
      <c r="F627" s="26"/>
      <c r="G627" s="59" t="str">
        <f t="shared" si="33"/>
        <v/>
      </c>
      <c r="H627" s="57"/>
      <c r="I627" s="57"/>
      <c r="K627" s="27"/>
      <c r="L627" s="27"/>
      <c r="M627" s="27"/>
      <c r="N627" s="88"/>
      <c r="AK627" s="35"/>
      <c r="AL627" s="35"/>
      <c r="AM627" s="35"/>
      <c r="AN627" s="35"/>
      <c r="AO627" s="35"/>
      <c r="AP627" s="35"/>
      <c r="AQ627" s="35"/>
      <c r="AR627" s="35"/>
    </row>
    <row r="628" spans="5:44" x14ac:dyDescent="0.3">
      <c r="E628" s="26"/>
      <c r="F628" s="26"/>
      <c r="G628" s="59" t="str">
        <f t="shared" si="33"/>
        <v/>
      </c>
      <c r="H628" s="57"/>
      <c r="I628" s="57"/>
      <c r="K628" s="27"/>
      <c r="L628" s="27"/>
      <c r="M628" s="27"/>
      <c r="N628" s="88"/>
      <c r="AK628" s="35"/>
      <c r="AL628" s="35"/>
      <c r="AM628" s="35"/>
      <c r="AN628" s="35"/>
      <c r="AO628" s="35"/>
      <c r="AP628" s="35"/>
      <c r="AQ628" s="35"/>
      <c r="AR628" s="35"/>
    </row>
    <row r="629" spans="5:44" x14ac:dyDescent="0.3">
      <c r="E629" s="26"/>
      <c r="F629" s="26"/>
      <c r="G629" s="59" t="str">
        <f t="shared" si="33"/>
        <v/>
      </c>
      <c r="H629" s="57"/>
      <c r="I629" s="57"/>
      <c r="K629" s="27"/>
      <c r="L629" s="27"/>
      <c r="M629" s="27"/>
      <c r="N629" s="88"/>
      <c r="AK629" s="35"/>
      <c r="AL629" s="35"/>
      <c r="AM629" s="35"/>
      <c r="AN629" s="35"/>
      <c r="AO629" s="35"/>
      <c r="AP629" s="35"/>
      <c r="AQ629" s="35"/>
      <c r="AR629" s="35"/>
    </row>
    <row r="630" spans="5:44" x14ac:dyDescent="0.3">
      <c r="E630" s="26"/>
      <c r="F630" s="26"/>
      <c r="G630" s="59" t="str">
        <f t="shared" si="33"/>
        <v/>
      </c>
      <c r="H630" s="57"/>
      <c r="I630" s="57"/>
      <c r="K630" s="27"/>
      <c r="L630" s="27"/>
      <c r="M630" s="27"/>
      <c r="N630" s="88"/>
      <c r="AK630" s="35"/>
      <c r="AL630" s="35"/>
      <c r="AM630" s="35"/>
      <c r="AN630" s="35"/>
      <c r="AO630" s="35"/>
      <c r="AP630" s="35"/>
      <c r="AQ630" s="35"/>
      <c r="AR630" s="35"/>
    </row>
    <row r="631" spans="5:44" x14ac:dyDescent="0.3">
      <c r="E631" s="26"/>
      <c r="F631" s="26"/>
      <c r="G631" s="59" t="str">
        <f t="shared" ref="G631:G694" si="34">IF(AND(F631="",E631=""),"",IF(AND(F631="",E631&lt;&gt;""),G630,F631))</f>
        <v/>
      </c>
      <c r="H631" s="57"/>
      <c r="I631" s="57"/>
      <c r="K631" s="27"/>
      <c r="L631" s="27"/>
      <c r="M631" s="27"/>
      <c r="N631" s="88"/>
      <c r="AK631" s="35"/>
      <c r="AL631" s="35"/>
      <c r="AM631" s="35"/>
      <c r="AN631" s="35"/>
      <c r="AO631" s="35"/>
      <c r="AP631" s="35"/>
      <c r="AQ631" s="35"/>
      <c r="AR631" s="35"/>
    </row>
    <row r="632" spans="5:44" x14ac:dyDescent="0.3">
      <c r="E632" s="26"/>
      <c r="F632" s="26"/>
      <c r="G632" s="59" t="str">
        <f t="shared" si="34"/>
        <v/>
      </c>
      <c r="H632" s="57"/>
      <c r="I632" s="57"/>
      <c r="K632" s="27"/>
      <c r="L632" s="27"/>
      <c r="M632" s="27"/>
      <c r="N632" s="88"/>
      <c r="AK632" s="35"/>
      <c r="AL632" s="35"/>
      <c r="AM632" s="35"/>
      <c r="AN632" s="35"/>
      <c r="AO632" s="35"/>
      <c r="AP632" s="35"/>
      <c r="AQ632" s="35"/>
      <c r="AR632" s="35"/>
    </row>
    <row r="633" spans="5:44" x14ac:dyDescent="0.3">
      <c r="E633" s="26"/>
      <c r="F633" s="26"/>
      <c r="G633" s="59" t="str">
        <f t="shared" si="34"/>
        <v/>
      </c>
      <c r="H633" s="57"/>
      <c r="I633" s="57"/>
      <c r="K633" s="27"/>
      <c r="L633" s="27"/>
      <c r="M633" s="27"/>
      <c r="N633" s="88"/>
      <c r="AK633" s="35"/>
      <c r="AL633" s="35"/>
      <c r="AM633" s="35"/>
      <c r="AN633" s="35"/>
      <c r="AO633" s="35"/>
      <c r="AP633" s="35"/>
      <c r="AQ633" s="35"/>
      <c r="AR633" s="35"/>
    </row>
    <row r="634" spans="5:44" x14ac:dyDescent="0.3">
      <c r="E634" s="26"/>
      <c r="F634" s="26"/>
      <c r="G634" s="59" t="str">
        <f t="shared" si="34"/>
        <v/>
      </c>
      <c r="H634" s="57"/>
      <c r="I634" s="57"/>
      <c r="K634" s="27"/>
      <c r="L634" s="27"/>
      <c r="M634" s="27"/>
      <c r="N634" s="88"/>
      <c r="AK634" s="35"/>
      <c r="AL634" s="35"/>
      <c r="AM634" s="35"/>
      <c r="AN634" s="35"/>
      <c r="AO634" s="35"/>
      <c r="AP634" s="35"/>
      <c r="AQ634" s="35"/>
      <c r="AR634" s="35"/>
    </row>
    <row r="635" spans="5:44" x14ac:dyDescent="0.3">
      <c r="E635" s="26"/>
      <c r="F635" s="26"/>
      <c r="G635" s="59" t="str">
        <f t="shared" si="34"/>
        <v/>
      </c>
      <c r="H635" s="57"/>
      <c r="I635" s="57"/>
      <c r="K635" s="27"/>
      <c r="L635" s="27"/>
      <c r="M635" s="27"/>
      <c r="N635" s="88"/>
      <c r="AK635" s="35"/>
      <c r="AL635" s="35"/>
      <c r="AM635" s="35"/>
      <c r="AN635" s="35"/>
      <c r="AO635" s="35"/>
      <c r="AP635" s="35"/>
      <c r="AQ635" s="35"/>
      <c r="AR635" s="35"/>
    </row>
    <row r="636" spans="5:44" x14ac:dyDescent="0.3">
      <c r="E636" s="26"/>
      <c r="F636" s="26"/>
      <c r="G636" s="59" t="str">
        <f t="shared" si="34"/>
        <v/>
      </c>
      <c r="H636" s="57"/>
      <c r="I636" s="57"/>
      <c r="K636" s="27"/>
      <c r="L636" s="27"/>
      <c r="M636" s="27"/>
      <c r="N636" s="88"/>
      <c r="AK636" s="35"/>
      <c r="AL636" s="35"/>
      <c r="AM636" s="35"/>
      <c r="AN636" s="35"/>
      <c r="AO636" s="35"/>
      <c r="AP636" s="35"/>
      <c r="AQ636" s="35"/>
      <c r="AR636" s="35"/>
    </row>
    <row r="637" spans="5:44" x14ac:dyDescent="0.3">
      <c r="E637" s="26"/>
      <c r="F637" s="26"/>
      <c r="G637" s="59" t="str">
        <f t="shared" si="34"/>
        <v/>
      </c>
      <c r="H637" s="57"/>
      <c r="I637" s="57"/>
      <c r="K637" s="27"/>
      <c r="L637" s="27"/>
      <c r="M637" s="27"/>
      <c r="N637" s="88"/>
      <c r="AK637" s="35"/>
      <c r="AL637" s="35"/>
      <c r="AM637" s="35"/>
      <c r="AN637" s="35"/>
      <c r="AO637" s="35"/>
      <c r="AP637" s="35"/>
      <c r="AQ637" s="35"/>
      <c r="AR637" s="35"/>
    </row>
    <row r="638" spans="5:44" x14ac:dyDescent="0.3">
      <c r="E638" s="26"/>
      <c r="F638" s="26"/>
      <c r="G638" s="59" t="str">
        <f t="shared" si="34"/>
        <v/>
      </c>
      <c r="H638" s="57"/>
      <c r="I638" s="57"/>
      <c r="K638" s="27"/>
      <c r="L638" s="27"/>
      <c r="M638" s="27"/>
      <c r="N638" s="88"/>
      <c r="AK638" s="35"/>
      <c r="AL638" s="35"/>
      <c r="AM638" s="35"/>
      <c r="AN638" s="35"/>
      <c r="AO638" s="35"/>
      <c r="AP638" s="35"/>
      <c r="AQ638" s="35"/>
      <c r="AR638" s="35"/>
    </row>
    <row r="639" spans="5:44" x14ac:dyDescent="0.3">
      <c r="E639" s="26"/>
      <c r="F639" s="26"/>
      <c r="G639" s="59" t="str">
        <f t="shared" si="34"/>
        <v/>
      </c>
      <c r="H639" s="57"/>
      <c r="I639" s="57"/>
      <c r="K639" s="27"/>
      <c r="L639" s="27"/>
      <c r="M639" s="27"/>
      <c r="N639" s="88"/>
      <c r="AK639" s="35"/>
      <c r="AL639" s="35"/>
      <c r="AM639" s="35"/>
      <c r="AN639" s="35"/>
      <c r="AO639" s="35"/>
      <c r="AP639" s="35"/>
      <c r="AQ639" s="35"/>
      <c r="AR639" s="35"/>
    </row>
    <row r="640" spans="5:44" x14ac:dyDescent="0.3">
      <c r="E640" s="26"/>
      <c r="F640" s="26"/>
      <c r="G640" s="59" t="str">
        <f t="shared" si="34"/>
        <v/>
      </c>
      <c r="H640" s="57"/>
      <c r="I640" s="57"/>
      <c r="K640" s="27"/>
      <c r="L640" s="27"/>
      <c r="M640" s="27"/>
      <c r="N640" s="88"/>
      <c r="AK640" s="35"/>
      <c r="AL640" s="35"/>
      <c r="AM640" s="35"/>
      <c r="AN640" s="35"/>
      <c r="AO640" s="35"/>
      <c r="AP640" s="35"/>
      <c r="AQ640" s="35"/>
      <c r="AR640" s="35"/>
    </row>
    <row r="641" spans="5:44" x14ac:dyDescent="0.3">
      <c r="E641" s="26"/>
      <c r="F641" s="26"/>
      <c r="G641" s="59" t="str">
        <f t="shared" si="34"/>
        <v/>
      </c>
      <c r="H641" s="57"/>
      <c r="I641" s="57"/>
      <c r="K641" s="27"/>
      <c r="L641" s="27"/>
      <c r="M641" s="27"/>
      <c r="N641" s="88"/>
      <c r="AK641" s="35"/>
      <c r="AL641" s="35"/>
      <c r="AM641" s="35"/>
      <c r="AN641" s="35"/>
      <c r="AO641" s="35"/>
      <c r="AP641" s="35"/>
      <c r="AQ641" s="35"/>
      <c r="AR641" s="35"/>
    </row>
    <row r="642" spans="5:44" x14ac:dyDescent="0.3">
      <c r="E642" s="26"/>
      <c r="F642" s="26"/>
      <c r="G642" s="59" t="str">
        <f t="shared" si="34"/>
        <v/>
      </c>
      <c r="H642" s="57"/>
      <c r="I642" s="57"/>
      <c r="K642" s="27"/>
      <c r="L642" s="27"/>
      <c r="M642" s="27"/>
      <c r="N642" s="88"/>
      <c r="AK642" s="35"/>
      <c r="AL642" s="35"/>
      <c r="AM642" s="35"/>
      <c r="AN642" s="35"/>
      <c r="AO642" s="35"/>
      <c r="AP642" s="35"/>
      <c r="AQ642" s="35"/>
      <c r="AR642" s="35"/>
    </row>
    <row r="643" spans="5:44" x14ac:dyDescent="0.3">
      <c r="E643" s="26"/>
      <c r="F643" s="26"/>
      <c r="G643" s="59" t="str">
        <f t="shared" si="34"/>
        <v/>
      </c>
      <c r="H643" s="57"/>
      <c r="I643" s="57"/>
      <c r="K643" s="27"/>
      <c r="L643" s="27"/>
      <c r="M643" s="27"/>
      <c r="N643" s="88"/>
      <c r="AK643" s="35"/>
      <c r="AL643" s="35"/>
      <c r="AM643" s="35"/>
      <c r="AN643" s="35"/>
      <c r="AO643" s="35"/>
      <c r="AP643" s="35"/>
      <c r="AQ643" s="35"/>
      <c r="AR643" s="35"/>
    </row>
    <row r="644" spans="5:44" x14ac:dyDescent="0.3">
      <c r="E644" s="26"/>
      <c r="F644" s="26"/>
      <c r="G644" s="59" t="str">
        <f t="shared" si="34"/>
        <v/>
      </c>
      <c r="H644" s="57"/>
      <c r="I644" s="57"/>
      <c r="K644" s="27"/>
      <c r="L644" s="27"/>
      <c r="M644" s="27"/>
      <c r="N644" s="88"/>
      <c r="AK644" s="35"/>
      <c r="AL644" s="35"/>
      <c r="AM644" s="35"/>
      <c r="AN644" s="35"/>
      <c r="AO644" s="35"/>
      <c r="AP644" s="35"/>
      <c r="AQ644" s="35"/>
      <c r="AR644" s="35"/>
    </row>
    <row r="645" spans="5:44" x14ac:dyDescent="0.3">
      <c r="E645" s="26"/>
      <c r="F645" s="26"/>
      <c r="G645" s="59" t="str">
        <f t="shared" si="34"/>
        <v/>
      </c>
      <c r="H645" s="57"/>
      <c r="I645" s="57"/>
      <c r="K645" s="27"/>
      <c r="L645" s="27"/>
      <c r="M645" s="27"/>
      <c r="N645" s="88"/>
      <c r="AK645" s="35"/>
      <c r="AL645" s="35"/>
      <c r="AM645" s="35"/>
      <c r="AN645" s="35"/>
      <c r="AO645" s="35"/>
      <c r="AP645" s="35"/>
      <c r="AQ645" s="35"/>
      <c r="AR645" s="35"/>
    </row>
    <row r="646" spans="5:44" x14ac:dyDescent="0.3">
      <c r="E646" s="26"/>
      <c r="F646" s="26"/>
      <c r="G646" s="59" t="str">
        <f t="shared" si="34"/>
        <v/>
      </c>
      <c r="H646" s="57"/>
      <c r="I646" s="57"/>
      <c r="K646" s="27"/>
      <c r="L646" s="27"/>
      <c r="M646" s="27"/>
      <c r="N646" s="88"/>
      <c r="AK646" s="35"/>
      <c r="AL646" s="35"/>
      <c r="AM646" s="35"/>
      <c r="AN646" s="35"/>
      <c r="AO646" s="35"/>
      <c r="AP646" s="35"/>
      <c r="AQ646" s="35"/>
      <c r="AR646" s="35"/>
    </row>
    <row r="647" spans="5:44" x14ac:dyDescent="0.3">
      <c r="E647" s="26"/>
      <c r="F647" s="26"/>
      <c r="G647" s="59" t="str">
        <f t="shared" si="34"/>
        <v/>
      </c>
      <c r="H647" s="57"/>
      <c r="I647" s="57"/>
      <c r="K647" s="27"/>
      <c r="L647" s="27"/>
      <c r="M647" s="27"/>
      <c r="N647" s="88"/>
      <c r="AK647" s="35"/>
      <c r="AL647" s="35"/>
      <c r="AM647" s="35"/>
      <c r="AN647" s="35"/>
      <c r="AO647" s="35"/>
      <c r="AP647" s="35"/>
      <c r="AQ647" s="35"/>
      <c r="AR647" s="35"/>
    </row>
    <row r="648" spans="5:44" x14ac:dyDescent="0.3">
      <c r="E648" s="26"/>
      <c r="F648" s="26"/>
      <c r="G648" s="59" t="str">
        <f t="shared" si="34"/>
        <v/>
      </c>
      <c r="H648" s="57"/>
      <c r="I648" s="57"/>
      <c r="K648" s="27"/>
      <c r="L648" s="27"/>
      <c r="M648" s="27"/>
      <c r="N648" s="88"/>
      <c r="AK648" s="35"/>
      <c r="AL648" s="35"/>
      <c r="AM648" s="35"/>
      <c r="AN648" s="35"/>
      <c r="AO648" s="35"/>
      <c r="AP648" s="35"/>
      <c r="AQ648" s="35"/>
      <c r="AR648" s="35"/>
    </row>
    <row r="649" spans="5:44" x14ac:dyDescent="0.3">
      <c r="E649" s="26"/>
      <c r="F649" s="26"/>
      <c r="G649" s="59" t="str">
        <f t="shared" si="34"/>
        <v/>
      </c>
      <c r="H649" s="57"/>
      <c r="I649" s="57"/>
      <c r="K649" s="27"/>
      <c r="L649" s="27"/>
      <c r="M649" s="27"/>
      <c r="N649" s="88"/>
      <c r="AK649" s="35"/>
      <c r="AL649" s="35"/>
      <c r="AM649" s="35"/>
      <c r="AN649" s="35"/>
      <c r="AO649" s="35"/>
      <c r="AP649" s="35"/>
      <c r="AQ649" s="35"/>
      <c r="AR649" s="35"/>
    </row>
    <row r="650" spans="5:44" x14ac:dyDescent="0.3">
      <c r="E650" s="26"/>
      <c r="F650" s="26"/>
      <c r="G650" s="59" t="str">
        <f t="shared" si="34"/>
        <v/>
      </c>
      <c r="H650" s="57"/>
      <c r="I650" s="57"/>
      <c r="K650" s="27"/>
      <c r="L650" s="27"/>
      <c r="M650" s="27"/>
      <c r="N650" s="88"/>
      <c r="AK650" s="35"/>
      <c r="AL650" s="35"/>
      <c r="AM650" s="35"/>
      <c r="AN650" s="35"/>
      <c r="AO650" s="35"/>
      <c r="AP650" s="35"/>
      <c r="AQ650" s="35"/>
      <c r="AR650" s="35"/>
    </row>
    <row r="651" spans="5:44" x14ac:dyDescent="0.3">
      <c r="E651" s="26"/>
      <c r="F651" s="26"/>
      <c r="G651" s="59" t="str">
        <f t="shared" si="34"/>
        <v/>
      </c>
      <c r="H651" s="57"/>
      <c r="I651" s="57"/>
      <c r="K651" s="27"/>
      <c r="L651" s="27"/>
      <c r="M651" s="27"/>
      <c r="N651" s="88"/>
      <c r="AK651" s="35"/>
      <c r="AL651" s="35"/>
      <c r="AM651" s="35"/>
      <c r="AN651" s="35"/>
      <c r="AO651" s="35"/>
      <c r="AP651" s="35"/>
      <c r="AQ651" s="35"/>
      <c r="AR651" s="35"/>
    </row>
    <row r="652" spans="5:44" x14ac:dyDescent="0.3">
      <c r="E652" s="26"/>
      <c r="F652" s="26"/>
      <c r="G652" s="59" t="str">
        <f t="shared" si="34"/>
        <v/>
      </c>
      <c r="H652" s="57"/>
      <c r="I652" s="57"/>
      <c r="K652" s="27"/>
      <c r="L652" s="27"/>
      <c r="M652" s="27"/>
      <c r="N652" s="88"/>
      <c r="AK652" s="35"/>
      <c r="AL652" s="35"/>
      <c r="AM652" s="35"/>
      <c r="AN652" s="35"/>
      <c r="AO652" s="35"/>
      <c r="AP652" s="35"/>
      <c r="AQ652" s="35"/>
      <c r="AR652" s="35"/>
    </row>
    <row r="653" spans="5:44" x14ac:dyDescent="0.3">
      <c r="E653" s="26"/>
      <c r="F653" s="26"/>
      <c r="G653" s="59" t="str">
        <f t="shared" si="34"/>
        <v/>
      </c>
      <c r="H653" s="57"/>
      <c r="I653" s="57"/>
      <c r="K653" s="27"/>
      <c r="L653" s="27"/>
      <c r="M653" s="27"/>
      <c r="N653" s="88"/>
      <c r="AK653" s="35"/>
      <c r="AL653" s="35"/>
      <c r="AM653" s="35"/>
      <c r="AN653" s="35"/>
      <c r="AO653" s="35"/>
      <c r="AP653" s="35"/>
      <c r="AQ653" s="35"/>
      <c r="AR653" s="35"/>
    </row>
    <row r="654" spans="5:44" x14ac:dyDescent="0.3">
      <c r="E654" s="26"/>
      <c r="F654" s="26"/>
      <c r="G654" s="59" t="str">
        <f t="shared" si="34"/>
        <v/>
      </c>
      <c r="H654" s="57"/>
      <c r="I654" s="57"/>
      <c r="K654" s="27"/>
      <c r="L654" s="27"/>
      <c r="M654" s="27"/>
      <c r="N654" s="88"/>
      <c r="AK654" s="35"/>
      <c r="AL654" s="35"/>
      <c r="AM654" s="35"/>
      <c r="AN654" s="35"/>
      <c r="AO654" s="35"/>
      <c r="AP654" s="35"/>
      <c r="AQ654" s="35"/>
      <c r="AR654" s="35"/>
    </row>
    <row r="655" spans="5:44" x14ac:dyDescent="0.3">
      <c r="E655" s="26"/>
      <c r="F655" s="26"/>
      <c r="G655" s="59" t="str">
        <f t="shared" si="34"/>
        <v/>
      </c>
      <c r="H655" s="57"/>
      <c r="I655" s="57"/>
      <c r="K655" s="27"/>
      <c r="L655" s="27"/>
      <c r="M655" s="27"/>
      <c r="N655" s="88"/>
      <c r="AK655" s="35"/>
      <c r="AL655" s="35"/>
      <c r="AM655" s="35"/>
      <c r="AN655" s="35"/>
      <c r="AO655" s="35"/>
      <c r="AP655" s="35"/>
      <c r="AQ655" s="35"/>
      <c r="AR655" s="35"/>
    </row>
    <row r="656" spans="5:44" x14ac:dyDescent="0.3">
      <c r="E656" s="26"/>
      <c r="F656" s="26"/>
      <c r="G656" s="59" t="str">
        <f t="shared" si="34"/>
        <v/>
      </c>
      <c r="H656" s="57"/>
      <c r="I656" s="57"/>
      <c r="K656" s="27"/>
      <c r="L656" s="27"/>
      <c r="M656" s="27"/>
      <c r="N656" s="88"/>
      <c r="AK656" s="35"/>
      <c r="AL656" s="35"/>
      <c r="AM656" s="35"/>
      <c r="AN656" s="35"/>
      <c r="AO656" s="35"/>
      <c r="AP656" s="35"/>
      <c r="AQ656" s="35"/>
      <c r="AR656" s="35"/>
    </row>
    <row r="657" spans="5:44" x14ac:dyDescent="0.3">
      <c r="E657" s="26"/>
      <c r="F657" s="26"/>
      <c r="G657" s="59" t="str">
        <f t="shared" si="34"/>
        <v/>
      </c>
      <c r="H657" s="57"/>
      <c r="I657" s="57"/>
      <c r="K657" s="27"/>
      <c r="L657" s="27"/>
      <c r="M657" s="27"/>
      <c r="N657" s="88"/>
      <c r="AK657" s="35"/>
      <c r="AL657" s="35"/>
      <c r="AM657" s="35"/>
      <c r="AN657" s="35"/>
      <c r="AO657" s="35"/>
      <c r="AP657" s="35"/>
      <c r="AQ657" s="35"/>
      <c r="AR657" s="35"/>
    </row>
    <row r="658" spans="5:44" x14ac:dyDescent="0.3">
      <c r="E658" s="26"/>
      <c r="F658" s="26"/>
      <c r="G658" s="59" t="str">
        <f t="shared" si="34"/>
        <v/>
      </c>
      <c r="H658" s="57"/>
      <c r="I658" s="57"/>
      <c r="K658" s="27"/>
      <c r="L658" s="27"/>
      <c r="M658" s="27"/>
      <c r="N658" s="88"/>
      <c r="AK658" s="35"/>
      <c r="AL658" s="35"/>
      <c r="AM658" s="35"/>
      <c r="AN658" s="35"/>
      <c r="AO658" s="35"/>
      <c r="AP658" s="35"/>
      <c r="AQ658" s="35"/>
      <c r="AR658" s="35"/>
    </row>
    <row r="659" spans="5:44" x14ac:dyDescent="0.3">
      <c r="E659" s="26"/>
      <c r="F659" s="26"/>
      <c r="G659" s="59" t="str">
        <f t="shared" si="34"/>
        <v/>
      </c>
      <c r="H659" s="57"/>
      <c r="I659" s="57"/>
      <c r="K659" s="27"/>
      <c r="L659" s="27"/>
      <c r="M659" s="27"/>
      <c r="N659" s="88"/>
      <c r="AK659" s="35"/>
      <c r="AL659" s="35"/>
      <c r="AM659" s="35"/>
      <c r="AN659" s="35"/>
      <c r="AO659" s="35"/>
      <c r="AP659" s="35"/>
      <c r="AQ659" s="35"/>
      <c r="AR659" s="35"/>
    </row>
    <row r="660" spans="5:44" x14ac:dyDescent="0.3">
      <c r="E660" s="26"/>
      <c r="F660" s="26"/>
      <c r="G660" s="59" t="str">
        <f t="shared" si="34"/>
        <v/>
      </c>
      <c r="H660" s="57"/>
      <c r="I660" s="57"/>
      <c r="K660" s="27"/>
      <c r="L660" s="27"/>
      <c r="M660" s="27"/>
      <c r="N660" s="88"/>
      <c r="AK660" s="35"/>
      <c r="AL660" s="35"/>
      <c r="AM660" s="35"/>
      <c r="AN660" s="35"/>
      <c r="AO660" s="35"/>
      <c r="AP660" s="35"/>
      <c r="AQ660" s="35"/>
      <c r="AR660" s="35"/>
    </row>
    <row r="661" spans="5:44" x14ac:dyDescent="0.3">
      <c r="E661" s="26"/>
      <c r="F661" s="26"/>
      <c r="G661" s="59" t="str">
        <f t="shared" si="34"/>
        <v/>
      </c>
      <c r="H661" s="57"/>
      <c r="I661" s="57"/>
      <c r="K661" s="27"/>
      <c r="L661" s="27"/>
      <c r="M661" s="27"/>
      <c r="N661" s="88"/>
      <c r="AK661" s="35"/>
      <c r="AL661" s="35"/>
      <c r="AM661" s="35"/>
      <c r="AN661" s="35"/>
      <c r="AO661" s="35"/>
      <c r="AP661" s="35"/>
      <c r="AQ661" s="35"/>
      <c r="AR661" s="35"/>
    </row>
    <row r="662" spans="5:44" x14ac:dyDescent="0.3">
      <c r="E662" s="26"/>
      <c r="F662" s="26"/>
      <c r="G662" s="59" t="str">
        <f t="shared" si="34"/>
        <v/>
      </c>
      <c r="H662" s="57"/>
      <c r="I662" s="57"/>
      <c r="K662" s="27"/>
      <c r="L662" s="27"/>
      <c r="M662" s="27"/>
      <c r="N662" s="88"/>
      <c r="AK662" s="35"/>
      <c r="AL662" s="35"/>
      <c r="AM662" s="35"/>
      <c r="AN662" s="35"/>
      <c r="AO662" s="35"/>
      <c r="AP662" s="35"/>
      <c r="AQ662" s="35"/>
      <c r="AR662" s="35"/>
    </row>
    <row r="663" spans="5:44" x14ac:dyDescent="0.3">
      <c r="E663" s="26"/>
      <c r="F663" s="26"/>
      <c r="G663" s="59" t="str">
        <f t="shared" si="34"/>
        <v/>
      </c>
      <c r="H663" s="57"/>
      <c r="I663" s="57"/>
      <c r="K663" s="27"/>
      <c r="L663" s="27"/>
      <c r="M663" s="27"/>
      <c r="N663" s="88"/>
      <c r="AK663" s="35"/>
      <c r="AL663" s="35"/>
      <c r="AM663" s="35"/>
      <c r="AN663" s="35"/>
      <c r="AO663" s="35"/>
      <c r="AP663" s="35"/>
      <c r="AQ663" s="35"/>
      <c r="AR663" s="35"/>
    </row>
    <row r="664" spans="5:44" x14ac:dyDescent="0.3">
      <c r="E664" s="26"/>
      <c r="F664" s="26"/>
      <c r="G664" s="59" t="str">
        <f t="shared" si="34"/>
        <v/>
      </c>
      <c r="H664" s="57"/>
      <c r="I664" s="57"/>
      <c r="K664" s="27"/>
      <c r="L664" s="27"/>
      <c r="M664" s="27"/>
      <c r="N664" s="88"/>
      <c r="AK664" s="35"/>
      <c r="AL664" s="35"/>
      <c r="AM664" s="35"/>
      <c r="AN664" s="35"/>
      <c r="AO664" s="35"/>
      <c r="AP664" s="35"/>
      <c r="AQ664" s="35"/>
      <c r="AR664" s="35"/>
    </row>
    <row r="665" spans="5:44" x14ac:dyDescent="0.3">
      <c r="E665" s="26"/>
      <c r="F665" s="26"/>
      <c r="G665" s="59" t="str">
        <f t="shared" si="34"/>
        <v/>
      </c>
      <c r="H665" s="57"/>
      <c r="I665" s="57"/>
      <c r="K665" s="27"/>
      <c r="L665" s="27"/>
      <c r="M665" s="27"/>
      <c r="N665" s="88"/>
      <c r="AK665" s="35"/>
      <c r="AL665" s="35"/>
      <c r="AM665" s="35"/>
      <c r="AN665" s="35"/>
      <c r="AO665" s="35"/>
      <c r="AP665" s="35"/>
      <c r="AQ665" s="35"/>
      <c r="AR665" s="35"/>
    </row>
    <row r="666" spans="5:44" x14ac:dyDescent="0.3">
      <c r="E666" s="26"/>
      <c r="F666" s="26"/>
      <c r="G666" s="59" t="str">
        <f t="shared" si="34"/>
        <v/>
      </c>
      <c r="H666" s="57"/>
      <c r="I666" s="57"/>
      <c r="K666" s="27"/>
      <c r="L666" s="27"/>
      <c r="M666" s="27"/>
      <c r="N666" s="88"/>
      <c r="AK666" s="35"/>
      <c r="AL666" s="35"/>
      <c r="AM666" s="35"/>
      <c r="AN666" s="35"/>
      <c r="AO666" s="35"/>
      <c r="AP666" s="35"/>
      <c r="AQ666" s="35"/>
      <c r="AR666" s="35"/>
    </row>
    <row r="667" spans="5:44" x14ac:dyDescent="0.3">
      <c r="E667" s="26"/>
      <c r="F667" s="26"/>
      <c r="G667" s="59" t="str">
        <f t="shared" si="34"/>
        <v/>
      </c>
      <c r="H667" s="57"/>
      <c r="I667" s="57"/>
      <c r="K667" s="27"/>
      <c r="L667" s="27"/>
      <c r="M667" s="27"/>
      <c r="N667" s="88"/>
      <c r="AK667" s="35"/>
      <c r="AL667" s="35"/>
      <c r="AM667" s="35"/>
      <c r="AN667" s="35"/>
      <c r="AO667" s="35"/>
      <c r="AP667" s="35"/>
      <c r="AQ667" s="35"/>
      <c r="AR667" s="35"/>
    </row>
    <row r="668" spans="5:44" x14ac:dyDescent="0.3">
      <c r="E668" s="26"/>
      <c r="F668" s="26"/>
      <c r="G668" s="59" t="str">
        <f t="shared" si="34"/>
        <v/>
      </c>
      <c r="H668" s="57"/>
      <c r="I668" s="57"/>
      <c r="K668" s="27"/>
      <c r="L668" s="27"/>
      <c r="M668" s="27"/>
      <c r="N668" s="88"/>
      <c r="AK668" s="35"/>
      <c r="AL668" s="35"/>
      <c r="AM668" s="35"/>
      <c r="AN668" s="35"/>
      <c r="AO668" s="35"/>
      <c r="AP668" s="35"/>
      <c r="AQ668" s="35"/>
      <c r="AR668" s="35"/>
    </row>
    <row r="669" spans="5:44" x14ac:dyDescent="0.3">
      <c r="E669" s="26"/>
      <c r="F669" s="26"/>
      <c r="G669" s="59" t="str">
        <f t="shared" si="34"/>
        <v/>
      </c>
      <c r="H669" s="57"/>
      <c r="I669" s="57"/>
      <c r="K669" s="27"/>
      <c r="L669" s="27"/>
      <c r="M669" s="27"/>
      <c r="N669" s="88"/>
      <c r="AK669" s="35"/>
      <c r="AL669" s="35"/>
      <c r="AM669" s="35"/>
      <c r="AN669" s="35"/>
      <c r="AO669" s="35"/>
      <c r="AP669" s="35"/>
      <c r="AQ669" s="35"/>
      <c r="AR669" s="35"/>
    </row>
    <row r="670" spans="5:44" x14ac:dyDescent="0.3">
      <c r="E670" s="26"/>
      <c r="F670" s="26"/>
      <c r="G670" s="59" t="str">
        <f t="shared" si="34"/>
        <v/>
      </c>
      <c r="H670" s="57"/>
      <c r="I670" s="57"/>
      <c r="K670" s="27"/>
      <c r="L670" s="27"/>
      <c r="M670" s="27"/>
      <c r="N670" s="88"/>
      <c r="AK670" s="35"/>
      <c r="AL670" s="35"/>
      <c r="AM670" s="35"/>
      <c r="AN670" s="35"/>
      <c r="AO670" s="35"/>
      <c r="AP670" s="35"/>
      <c r="AQ670" s="35"/>
      <c r="AR670" s="35"/>
    </row>
    <row r="671" spans="5:44" x14ac:dyDescent="0.3">
      <c r="E671" s="26"/>
      <c r="F671" s="26"/>
      <c r="G671" s="59" t="str">
        <f t="shared" si="34"/>
        <v/>
      </c>
      <c r="H671" s="57"/>
      <c r="I671" s="57"/>
      <c r="K671" s="27"/>
      <c r="L671" s="27"/>
      <c r="M671" s="27"/>
      <c r="N671" s="88"/>
      <c r="AK671" s="35"/>
      <c r="AL671" s="35"/>
      <c r="AM671" s="35"/>
      <c r="AN671" s="35"/>
      <c r="AO671" s="35"/>
      <c r="AP671" s="35"/>
      <c r="AQ671" s="35"/>
      <c r="AR671" s="35"/>
    </row>
    <row r="672" spans="5:44" x14ac:dyDescent="0.3">
      <c r="E672" s="26"/>
      <c r="F672" s="26"/>
      <c r="G672" s="59" t="str">
        <f t="shared" si="34"/>
        <v/>
      </c>
      <c r="H672" s="57"/>
      <c r="I672" s="57"/>
      <c r="K672" s="27"/>
      <c r="L672" s="27"/>
      <c r="M672" s="27"/>
      <c r="N672" s="88"/>
      <c r="AK672" s="35"/>
      <c r="AL672" s="35"/>
      <c r="AM672" s="35"/>
      <c r="AN672" s="35"/>
      <c r="AO672" s="35"/>
      <c r="AP672" s="35"/>
      <c r="AQ672" s="35"/>
      <c r="AR672" s="35"/>
    </row>
    <row r="673" spans="5:44" x14ac:dyDescent="0.3">
      <c r="E673" s="26"/>
      <c r="F673" s="26"/>
      <c r="G673" s="59" t="str">
        <f t="shared" si="34"/>
        <v/>
      </c>
      <c r="H673" s="57"/>
      <c r="I673" s="57"/>
      <c r="K673" s="27"/>
      <c r="L673" s="27"/>
      <c r="M673" s="27"/>
      <c r="N673" s="88"/>
      <c r="AK673" s="35"/>
      <c r="AL673" s="35"/>
      <c r="AM673" s="35"/>
      <c r="AN673" s="35"/>
      <c r="AO673" s="35"/>
      <c r="AP673" s="35"/>
      <c r="AQ673" s="35"/>
      <c r="AR673" s="35"/>
    </row>
    <row r="674" spans="5:44" x14ac:dyDescent="0.3">
      <c r="E674" s="26"/>
      <c r="F674" s="26"/>
      <c r="G674" s="59" t="str">
        <f t="shared" si="34"/>
        <v/>
      </c>
      <c r="H674" s="57"/>
      <c r="I674" s="57"/>
      <c r="K674" s="27"/>
      <c r="L674" s="27"/>
      <c r="M674" s="27"/>
      <c r="N674" s="88"/>
      <c r="AK674" s="35"/>
      <c r="AL674" s="35"/>
      <c r="AM674" s="35"/>
      <c r="AN674" s="35"/>
      <c r="AO674" s="35"/>
      <c r="AP674" s="35"/>
      <c r="AQ674" s="35"/>
      <c r="AR674" s="35"/>
    </row>
    <row r="675" spans="5:44" x14ac:dyDescent="0.3">
      <c r="E675" s="26"/>
      <c r="F675" s="26"/>
      <c r="G675" s="59" t="str">
        <f t="shared" si="34"/>
        <v/>
      </c>
      <c r="H675" s="57"/>
      <c r="I675" s="57"/>
      <c r="K675" s="27"/>
      <c r="L675" s="27"/>
      <c r="M675" s="27"/>
      <c r="N675" s="88"/>
      <c r="AK675" s="35"/>
      <c r="AL675" s="35"/>
      <c r="AM675" s="35"/>
      <c r="AN675" s="35"/>
      <c r="AO675" s="35"/>
      <c r="AP675" s="35"/>
      <c r="AQ675" s="35"/>
      <c r="AR675" s="35"/>
    </row>
    <row r="676" spans="5:44" x14ac:dyDescent="0.3">
      <c r="E676" s="26"/>
      <c r="F676" s="26"/>
      <c r="G676" s="59" t="str">
        <f t="shared" si="34"/>
        <v/>
      </c>
      <c r="H676" s="57"/>
      <c r="I676" s="57"/>
      <c r="K676" s="27"/>
      <c r="L676" s="27"/>
      <c r="M676" s="27"/>
      <c r="N676" s="88"/>
      <c r="AK676" s="35"/>
      <c r="AL676" s="35"/>
      <c r="AM676" s="35"/>
      <c r="AN676" s="35"/>
      <c r="AO676" s="35"/>
      <c r="AP676" s="35"/>
      <c r="AQ676" s="35"/>
      <c r="AR676" s="35"/>
    </row>
    <row r="677" spans="5:44" x14ac:dyDescent="0.3">
      <c r="E677" s="26"/>
      <c r="F677" s="26"/>
      <c r="G677" s="59" t="str">
        <f t="shared" si="34"/>
        <v/>
      </c>
      <c r="H677" s="57"/>
      <c r="I677" s="57"/>
      <c r="K677" s="27"/>
      <c r="L677" s="27"/>
      <c r="M677" s="27"/>
      <c r="N677" s="88"/>
      <c r="AK677" s="35"/>
      <c r="AL677" s="35"/>
      <c r="AM677" s="35"/>
      <c r="AN677" s="35"/>
      <c r="AO677" s="35"/>
      <c r="AP677" s="35"/>
      <c r="AQ677" s="35"/>
      <c r="AR677" s="35"/>
    </row>
    <row r="678" spans="5:44" x14ac:dyDescent="0.3">
      <c r="E678" s="26"/>
      <c r="F678" s="26"/>
      <c r="G678" s="59" t="str">
        <f t="shared" si="34"/>
        <v/>
      </c>
      <c r="H678" s="57"/>
      <c r="I678" s="57"/>
      <c r="K678" s="27"/>
      <c r="L678" s="27"/>
      <c r="M678" s="27"/>
      <c r="N678" s="88"/>
      <c r="AK678" s="35"/>
      <c r="AL678" s="35"/>
      <c r="AM678" s="35"/>
      <c r="AN678" s="35"/>
      <c r="AO678" s="35"/>
      <c r="AP678" s="35"/>
      <c r="AQ678" s="35"/>
      <c r="AR678" s="35"/>
    </row>
    <row r="679" spans="5:44" x14ac:dyDescent="0.3">
      <c r="E679" s="26"/>
      <c r="F679" s="26"/>
      <c r="G679" s="59" t="str">
        <f t="shared" si="34"/>
        <v/>
      </c>
      <c r="H679" s="57"/>
      <c r="I679" s="57"/>
      <c r="K679" s="27"/>
      <c r="L679" s="27"/>
      <c r="M679" s="27"/>
      <c r="N679" s="88"/>
      <c r="AK679" s="35"/>
      <c r="AL679" s="35"/>
      <c r="AM679" s="35"/>
      <c r="AN679" s="35"/>
      <c r="AO679" s="35"/>
      <c r="AP679" s="35"/>
      <c r="AQ679" s="35"/>
      <c r="AR679" s="35"/>
    </row>
    <row r="680" spans="5:44" x14ac:dyDescent="0.3">
      <c r="E680" s="26"/>
      <c r="F680" s="26"/>
      <c r="G680" s="59" t="str">
        <f t="shared" si="34"/>
        <v/>
      </c>
      <c r="H680" s="57"/>
      <c r="I680" s="57"/>
      <c r="K680" s="27"/>
      <c r="L680" s="27"/>
      <c r="M680" s="27"/>
      <c r="N680" s="88"/>
      <c r="AK680" s="35"/>
      <c r="AL680" s="35"/>
      <c r="AM680" s="35"/>
      <c r="AN680" s="35"/>
      <c r="AO680" s="35"/>
      <c r="AP680" s="35"/>
      <c r="AQ680" s="35"/>
      <c r="AR680" s="35"/>
    </row>
    <row r="681" spans="5:44" x14ac:dyDescent="0.3">
      <c r="E681" s="26"/>
      <c r="F681" s="26"/>
      <c r="G681" s="59" t="str">
        <f t="shared" si="34"/>
        <v/>
      </c>
      <c r="H681" s="57"/>
      <c r="I681" s="57"/>
      <c r="K681" s="27"/>
      <c r="L681" s="27"/>
      <c r="M681" s="27"/>
      <c r="N681" s="88"/>
      <c r="AK681" s="35"/>
      <c r="AL681" s="35"/>
      <c r="AM681" s="35"/>
      <c r="AN681" s="35"/>
      <c r="AO681" s="35"/>
      <c r="AP681" s="35"/>
      <c r="AQ681" s="35"/>
      <c r="AR681" s="35"/>
    </row>
    <row r="682" spans="5:44" x14ac:dyDescent="0.3">
      <c r="E682" s="26"/>
      <c r="F682" s="26"/>
      <c r="G682" s="59" t="str">
        <f t="shared" si="34"/>
        <v/>
      </c>
      <c r="H682" s="57"/>
      <c r="I682" s="57"/>
      <c r="K682" s="27"/>
      <c r="L682" s="27"/>
      <c r="M682" s="27"/>
      <c r="N682" s="88"/>
      <c r="AK682" s="35"/>
      <c r="AL682" s="35"/>
      <c r="AM682" s="35"/>
      <c r="AN682" s="35"/>
      <c r="AO682" s="35"/>
      <c r="AP682" s="35"/>
      <c r="AQ682" s="35"/>
      <c r="AR682" s="35"/>
    </row>
    <row r="683" spans="5:44" x14ac:dyDescent="0.3">
      <c r="E683" s="26"/>
      <c r="F683" s="26"/>
      <c r="G683" s="59" t="str">
        <f t="shared" si="34"/>
        <v/>
      </c>
      <c r="H683" s="57"/>
      <c r="I683" s="57"/>
      <c r="K683" s="27"/>
      <c r="L683" s="27"/>
      <c r="M683" s="27"/>
      <c r="N683" s="88"/>
      <c r="AK683" s="35"/>
      <c r="AL683" s="35"/>
      <c r="AM683" s="35"/>
      <c r="AN683" s="35"/>
      <c r="AO683" s="35"/>
      <c r="AP683" s="35"/>
      <c r="AQ683" s="35"/>
      <c r="AR683" s="35"/>
    </row>
    <row r="684" spans="5:44" x14ac:dyDescent="0.3">
      <c r="E684" s="26"/>
      <c r="F684" s="26"/>
      <c r="G684" s="59" t="str">
        <f t="shared" si="34"/>
        <v/>
      </c>
      <c r="H684" s="57"/>
      <c r="I684" s="57"/>
      <c r="K684" s="27"/>
      <c r="L684" s="27"/>
      <c r="M684" s="27"/>
      <c r="N684" s="88"/>
      <c r="AK684" s="35"/>
      <c r="AL684" s="35"/>
      <c r="AM684" s="35"/>
      <c r="AN684" s="35"/>
      <c r="AO684" s="35"/>
      <c r="AP684" s="35"/>
      <c r="AQ684" s="35"/>
      <c r="AR684" s="35"/>
    </row>
    <row r="685" spans="5:44" x14ac:dyDescent="0.3">
      <c r="E685" s="26"/>
      <c r="F685" s="26"/>
      <c r="G685" s="59" t="str">
        <f t="shared" si="34"/>
        <v/>
      </c>
      <c r="H685" s="57"/>
      <c r="I685" s="57"/>
      <c r="K685" s="27"/>
      <c r="L685" s="27"/>
      <c r="M685" s="27"/>
      <c r="N685" s="88"/>
      <c r="AK685" s="35"/>
      <c r="AL685" s="35"/>
      <c r="AM685" s="35"/>
      <c r="AN685" s="35"/>
      <c r="AO685" s="35"/>
      <c r="AP685" s="35"/>
      <c r="AQ685" s="35"/>
      <c r="AR685" s="35"/>
    </row>
    <row r="686" spans="5:44" x14ac:dyDescent="0.3">
      <c r="E686" s="26"/>
      <c r="F686" s="26"/>
      <c r="G686" s="59" t="str">
        <f t="shared" si="34"/>
        <v/>
      </c>
      <c r="H686" s="57"/>
      <c r="I686" s="57"/>
      <c r="K686" s="27"/>
      <c r="L686" s="27"/>
      <c r="M686" s="27"/>
      <c r="N686" s="88"/>
      <c r="AK686" s="35"/>
      <c r="AL686" s="35"/>
      <c r="AM686" s="35"/>
      <c r="AN686" s="35"/>
      <c r="AO686" s="35"/>
      <c r="AP686" s="35"/>
      <c r="AQ686" s="35"/>
      <c r="AR686" s="35"/>
    </row>
    <row r="687" spans="5:44" x14ac:dyDescent="0.3">
      <c r="E687" s="26"/>
      <c r="F687" s="26"/>
      <c r="G687" s="59" t="str">
        <f t="shared" si="34"/>
        <v/>
      </c>
      <c r="H687" s="57"/>
      <c r="I687" s="57"/>
      <c r="K687" s="27"/>
      <c r="L687" s="27"/>
      <c r="M687" s="27"/>
      <c r="N687" s="88"/>
      <c r="AK687" s="35"/>
      <c r="AL687" s="35"/>
      <c r="AM687" s="35"/>
      <c r="AN687" s="35"/>
      <c r="AO687" s="35"/>
      <c r="AP687" s="35"/>
      <c r="AQ687" s="35"/>
      <c r="AR687" s="35"/>
    </row>
    <row r="688" spans="5:44" x14ac:dyDescent="0.3">
      <c r="E688" s="26"/>
      <c r="F688" s="26"/>
      <c r="G688" s="59" t="str">
        <f t="shared" si="34"/>
        <v/>
      </c>
      <c r="H688" s="57"/>
      <c r="I688" s="57"/>
      <c r="K688" s="27"/>
      <c r="L688" s="27"/>
      <c r="M688" s="27"/>
      <c r="N688" s="88"/>
      <c r="AK688" s="35"/>
      <c r="AL688" s="35"/>
      <c r="AM688" s="35"/>
      <c r="AN688" s="35"/>
      <c r="AO688" s="35"/>
      <c r="AP688" s="35"/>
      <c r="AQ688" s="35"/>
      <c r="AR688" s="35"/>
    </row>
    <row r="689" spans="5:44" x14ac:dyDescent="0.3">
      <c r="E689" s="26"/>
      <c r="F689" s="26"/>
      <c r="G689" s="59" t="str">
        <f t="shared" si="34"/>
        <v/>
      </c>
      <c r="H689" s="57"/>
      <c r="I689" s="57"/>
      <c r="K689" s="27"/>
      <c r="L689" s="27"/>
      <c r="M689" s="27"/>
      <c r="N689" s="88"/>
      <c r="AK689" s="35"/>
      <c r="AL689" s="35"/>
      <c r="AM689" s="35"/>
      <c r="AN689" s="35"/>
      <c r="AO689" s="35"/>
      <c r="AP689" s="35"/>
      <c r="AQ689" s="35"/>
      <c r="AR689" s="35"/>
    </row>
    <row r="690" spans="5:44" x14ac:dyDescent="0.3">
      <c r="E690" s="26"/>
      <c r="F690" s="26"/>
      <c r="G690" s="59" t="str">
        <f t="shared" si="34"/>
        <v/>
      </c>
      <c r="H690" s="57"/>
      <c r="I690" s="57"/>
      <c r="K690" s="27"/>
      <c r="L690" s="27"/>
      <c r="M690" s="27"/>
      <c r="N690" s="88"/>
      <c r="AK690" s="35"/>
      <c r="AL690" s="35"/>
      <c r="AM690" s="35"/>
      <c r="AN690" s="35"/>
      <c r="AO690" s="35"/>
      <c r="AP690" s="35"/>
      <c r="AQ690" s="35"/>
      <c r="AR690" s="35"/>
    </row>
    <row r="691" spans="5:44" x14ac:dyDescent="0.3">
      <c r="E691" s="26"/>
      <c r="F691" s="26"/>
      <c r="G691" s="59" t="str">
        <f t="shared" si="34"/>
        <v/>
      </c>
      <c r="H691" s="57"/>
      <c r="I691" s="57"/>
      <c r="K691" s="27"/>
      <c r="L691" s="27"/>
      <c r="M691" s="27"/>
      <c r="N691" s="88"/>
      <c r="AK691" s="35"/>
      <c r="AL691" s="35"/>
      <c r="AM691" s="35"/>
      <c r="AN691" s="35"/>
      <c r="AO691" s="35"/>
      <c r="AP691" s="35"/>
      <c r="AQ691" s="35"/>
      <c r="AR691" s="35"/>
    </row>
    <row r="692" spans="5:44" x14ac:dyDescent="0.3">
      <c r="E692" s="26"/>
      <c r="F692" s="26"/>
      <c r="G692" s="59" t="str">
        <f t="shared" si="34"/>
        <v/>
      </c>
      <c r="H692" s="57"/>
      <c r="I692" s="57"/>
      <c r="K692" s="27"/>
      <c r="L692" s="27"/>
      <c r="M692" s="27"/>
      <c r="N692" s="88"/>
      <c r="AK692" s="35"/>
      <c r="AL692" s="35"/>
      <c r="AM692" s="35"/>
      <c r="AN692" s="35"/>
      <c r="AO692" s="35"/>
      <c r="AP692" s="35"/>
      <c r="AQ692" s="35"/>
      <c r="AR692" s="35"/>
    </row>
    <row r="693" spans="5:44" x14ac:dyDescent="0.3">
      <c r="E693" s="26"/>
      <c r="F693" s="26"/>
      <c r="G693" s="59" t="str">
        <f t="shared" si="34"/>
        <v/>
      </c>
      <c r="H693" s="57"/>
      <c r="I693" s="57"/>
      <c r="K693" s="27"/>
      <c r="L693" s="27"/>
      <c r="M693" s="27"/>
      <c r="N693" s="88"/>
      <c r="AK693" s="35"/>
      <c r="AL693" s="35"/>
      <c r="AM693" s="35"/>
      <c r="AN693" s="35"/>
      <c r="AO693" s="35"/>
      <c r="AP693" s="35"/>
      <c r="AQ693" s="35"/>
      <c r="AR693" s="35"/>
    </row>
    <row r="694" spans="5:44" x14ac:dyDescent="0.3">
      <c r="E694" s="26"/>
      <c r="F694" s="26"/>
      <c r="G694" s="59" t="str">
        <f t="shared" si="34"/>
        <v/>
      </c>
      <c r="H694" s="57"/>
      <c r="I694" s="57"/>
      <c r="K694" s="27"/>
      <c r="L694" s="27"/>
      <c r="M694" s="27"/>
      <c r="N694" s="88"/>
      <c r="AK694" s="35"/>
      <c r="AL694" s="35"/>
      <c r="AM694" s="35"/>
      <c r="AN694" s="35"/>
      <c r="AO694" s="35"/>
      <c r="AP694" s="35"/>
      <c r="AQ694" s="35"/>
      <c r="AR694" s="35"/>
    </row>
    <row r="695" spans="5:44" x14ac:dyDescent="0.3">
      <c r="E695" s="26"/>
      <c r="F695" s="26"/>
      <c r="G695" s="59" t="str">
        <f t="shared" ref="G695:G758" si="35">IF(AND(F695="",E695=""),"",IF(AND(F695="",E695&lt;&gt;""),G694,F695))</f>
        <v/>
      </c>
      <c r="H695" s="57"/>
      <c r="I695" s="57"/>
      <c r="K695" s="27"/>
      <c r="L695" s="27"/>
      <c r="M695" s="27"/>
      <c r="N695" s="88"/>
      <c r="AK695" s="35"/>
      <c r="AL695" s="35"/>
      <c r="AM695" s="35"/>
      <c r="AN695" s="35"/>
      <c r="AO695" s="35"/>
      <c r="AP695" s="35"/>
      <c r="AQ695" s="35"/>
      <c r="AR695" s="35"/>
    </row>
    <row r="696" spans="5:44" x14ac:dyDescent="0.3">
      <c r="E696" s="26"/>
      <c r="F696" s="26"/>
      <c r="G696" s="59" t="str">
        <f t="shared" si="35"/>
        <v/>
      </c>
      <c r="H696" s="57"/>
      <c r="I696" s="57"/>
      <c r="K696" s="27"/>
      <c r="L696" s="27"/>
      <c r="M696" s="27"/>
      <c r="N696" s="88"/>
      <c r="AK696" s="35"/>
      <c r="AL696" s="35"/>
      <c r="AM696" s="35"/>
      <c r="AN696" s="35"/>
      <c r="AO696" s="35"/>
      <c r="AP696" s="35"/>
      <c r="AQ696" s="35"/>
      <c r="AR696" s="35"/>
    </row>
    <row r="697" spans="5:44" x14ac:dyDescent="0.3">
      <c r="E697" s="26"/>
      <c r="F697" s="26"/>
      <c r="G697" s="59" t="str">
        <f t="shared" si="35"/>
        <v/>
      </c>
      <c r="H697" s="57"/>
      <c r="I697" s="57"/>
      <c r="K697" s="27"/>
      <c r="L697" s="27"/>
      <c r="M697" s="27"/>
      <c r="N697" s="88"/>
      <c r="AK697" s="35"/>
      <c r="AL697" s="35"/>
      <c r="AM697" s="35"/>
      <c r="AN697" s="35"/>
      <c r="AO697" s="35"/>
      <c r="AP697" s="35"/>
      <c r="AQ697" s="35"/>
      <c r="AR697" s="35"/>
    </row>
    <row r="698" spans="5:44" x14ac:dyDescent="0.3">
      <c r="E698" s="26"/>
      <c r="F698" s="26"/>
      <c r="G698" s="59" t="str">
        <f t="shared" si="35"/>
        <v/>
      </c>
      <c r="H698" s="57"/>
      <c r="I698" s="57"/>
      <c r="K698" s="27"/>
      <c r="L698" s="27"/>
      <c r="M698" s="27"/>
      <c r="N698" s="88"/>
      <c r="AK698" s="35"/>
      <c r="AL698" s="35"/>
      <c r="AM698" s="35"/>
      <c r="AN698" s="35"/>
      <c r="AO698" s="35"/>
      <c r="AP698" s="35"/>
      <c r="AQ698" s="35"/>
      <c r="AR698" s="35"/>
    </row>
    <row r="699" spans="5:44" x14ac:dyDescent="0.3">
      <c r="E699" s="26"/>
      <c r="F699" s="26"/>
      <c r="G699" s="59" t="str">
        <f t="shared" si="35"/>
        <v/>
      </c>
      <c r="H699" s="57"/>
      <c r="I699" s="57"/>
      <c r="K699" s="27"/>
      <c r="L699" s="27"/>
      <c r="M699" s="27"/>
      <c r="N699" s="88"/>
      <c r="AK699" s="35"/>
      <c r="AL699" s="35"/>
      <c r="AM699" s="35"/>
      <c r="AN699" s="35"/>
      <c r="AO699" s="35"/>
      <c r="AP699" s="35"/>
      <c r="AQ699" s="35"/>
      <c r="AR699" s="35"/>
    </row>
    <row r="700" spans="5:44" x14ac:dyDescent="0.3">
      <c r="E700" s="26"/>
      <c r="F700" s="26"/>
      <c r="G700" s="59" t="str">
        <f t="shared" si="35"/>
        <v/>
      </c>
      <c r="H700" s="57"/>
      <c r="I700" s="57"/>
      <c r="K700" s="27"/>
      <c r="L700" s="27"/>
      <c r="M700" s="27"/>
      <c r="N700" s="88"/>
      <c r="AK700" s="35"/>
      <c r="AL700" s="35"/>
      <c r="AM700" s="35"/>
      <c r="AN700" s="35"/>
      <c r="AO700" s="35"/>
      <c r="AP700" s="35"/>
      <c r="AQ700" s="35"/>
      <c r="AR700" s="35"/>
    </row>
    <row r="701" spans="5:44" x14ac:dyDescent="0.3">
      <c r="E701" s="26"/>
      <c r="F701" s="26"/>
      <c r="G701" s="59" t="str">
        <f t="shared" si="35"/>
        <v/>
      </c>
      <c r="H701" s="57"/>
      <c r="I701" s="57"/>
      <c r="K701" s="27"/>
      <c r="L701" s="27"/>
      <c r="M701" s="27"/>
      <c r="N701" s="88"/>
      <c r="AK701" s="35"/>
      <c r="AL701" s="35"/>
      <c r="AM701" s="35"/>
      <c r="AN701" s="35"/>
      <c r="AO701" s="35"/>
      <c r="AP701" s="35"/>
      <c r="AQ701" s="35"/>
      <c r="AR701" s="35"/>
    </row>
    <row r="702" spans="5:44" x14ac:dyDescent="0.3">
      <c r="E702" s="26"/>
      <c r="F702" s="26"/>
      <c r="G702" s="59" t="str">
        <f t="shared" si="35"/>
        <v/>
      </c>
      <c r="H702" s="57"/>
      <c r="I702" s="57"/>
      <c r="K702" s="27"/>
      <c r="L702" s="27"/>
      <c r="M702" s="27"/>
      <c r="N702" s="88"/>
      <c r="AK702" s="35"/>
      <c r="AL702" s="35"/>
      <c r="AM702" s="35"/>
      <c r="AN702" s="35"/>
      <c r="AO702" s="35"/>
      <c r="AP702" s="35"/>
      <c r="AQ702" s="35"/>
      <c r="AR702" s="35"/>
    </row>
    <row r="703" spans="5:44" x14ac:dyDescent="0.3">
      <c r="E703" s="26"/>
      <c r="F703" s="26"/>
      <c r="G703" s="59" t="str">
        <f t="shared" si="35"/>
        <v/>
      </c>
      <c r="H703" s="57"/>
      <c r="I703" s="57"/>
      <c r="K703" s="27"/>
      <c r="L703" s="27"/>
      <c r="M703" s="27"/>
      <c r="N703" s="88"/>
      <c r="AK703" s="35"/>
      <c r="AL703" s="35"/>
      <c r="AM703" s="35"/>
      <c r="AN703" s="35"/>
      <c r="AO703" s="35"/>
      <c r="AP703" s="35"/>
      <c r="AQ703" s="35"/>
      <c r="AR703" s="35"/>
    </row>
    <row r="704" spans="5:44" x14ac:dyDescent="0.3">
      <c r="E704" s="26"/>
      <c r="F704" s="26"/>
      <c r="G704" s="59" t="str">
        <f t="shared" si="35"/>
        <v/>
      </c>
      <c r="H704" s="57"/>
      <c r="I704" s="57"/>
      <c r="K704" s="27"/>
      <c r="L704" s="27"/>
      <c r="M704" s="27"/>
      <c r="N704" s="88"/>
      <c r="AK704" s="35"/>
      <c r="AL704" s="35"/>
      <c r="AM704" s="35"/>
      <c r="AN704" s="35"/>
      <c r="AO704" s="35"/>
      <c r="AP704" s="35"/>
      <c r="AQ704" s="35"/>
      <c r="AR704" s="35"/>
    </row>
    <row r="705" spans="5:44" x14ac:dyDescent="0.3">
      <c r="E705" s="26"/>
      <c r="F705" s="26"/>
      <c r="G705" s="59" t="str">
        <f t="shared" si="35"/>
        <v/>
      </c>
      <c r="H705" s="57"/>
      <c r="I705" s="57"/>
      <c r="K705" s="27"/>
      <c r="L705" s="27"/>
      <c r="M705" s="27"/>
      <c r="N705" s="88"/>
      <c r="AK705" s="35"/>
      <c r="AL705" s="35"/>
      <c r="AM705" s="35"/>
      <c r="AN705" s="35"/>
      <c r="AO705" s="35"/>
      <c r="AP705" s="35"/>
      <c r="AQ705" s="35"/>
      <c r="AR705" s="35"/>
    </row>
    <row r="706" spans="5:44" x14ac:dyDescent="0.3">
      <c r="E706" s="26"/>
      <c r="F706" s="26"/>
      <c r="G706" s="59" t="str">
        <f t="shared" si="35"/>
        <v/>
      </c>
      <c r="H706" s="57"/>
      <c r="I706" s="57"/>
      <c r="K706" s="27"/>
      <c r="L706" s="27"/>
      <c r="M706" s="27"/>
      <c r="N706" s="88"/>
      <c r="AK706" s="35"/>
      <c r="AL706" s="35"/>
      <c r="AM706" s="35"/>
      <c r="AN706" s="35"/>
      <c r="AO706" s="35"/>
      <c r="AP706" s="35"/>
      <c r="AQ706" s="35"/>
      <c r="AR706" s="35"/>
    </row>
    <row r="707" spans="5:44" x14ac:dyDescent="0.3">
      <c r="E707" s="26"/>
      <c r="F707" s="26"/>
      <c r="G707" s="59" t="str">
        <f t="shared" si="35"/>
        <v/>
      </c>
      <c r="H707" s="57"/>
      <c r="I707" s="57"/>
      <c r="K707" s="27"/>
      <c r="L707" s="27"/>
      <c r="M707" s="27"/>
      <c r="N707" s="88"/>
      <c r="AK707" s="35"/>
      <c r="AL707" s="35"/>
      <c r="AM707" s="35"/>
      <c r="AN707" s="35"/>
      <c r="AO707" s="35"/>
      <c r="AP707" s="35"/>
      <c r="AQ707" s="35"/>
      <c r="AR707" s="35"/>
    </row>
    <row r="708" spans="5:44" x14ac:dyDescent="0.3">
      <c r="E708" s="26"/>
      <c r="F708" s="26"/>
      <c r="G708" s="59" t="str">
        <f t="shared" si="35"/>
        <v/>
      </c>
      <c r="H708" s="57"/>
      <c r="I708" s="57"/>
      <c r="K708" s="27"/>
      <c r="L708" s="27"/>
      <c r="M708" s="27"/>
      <c r="N708" s="88"/>
      <c r="AK708" s="35"/>
      <c r="AL708" s="35"/>
      <c r="AM708" s="35"/>
      <c r="AN708" s="35"/>
      <c r="AO708" s="35"/>
      <c r="AP708" s="35"/>
      <c r="AQ708" s="35"/>
      <c r="AR708" s="35"/>
    </row>
    <row r="709" spans="5:44" x14ac:dyDescent="0.3">
      <c r="E709" s="26"/>
      <c r="F709" s="26"/>
      <c r="G709" s="59" t="str">
        <f t="shared" si="35"/>
        <v/>
      </c>
      <c r="H709" s="57"/>
      <c r="I709" s="57"/>
      <c r="K709" s="27"/>
      <c r="L709" s="27"/>
      <c r="M709" s="27"/>
      <c r="N709" s="88"/>
      <c r="AK709" s="35"/>
      <c r="AL709" s="35"/>
      <c r="AM709" s="35"/>
      <c r="AN709" s="35"/>
      <c r="AO709" s="35"/>
      <c r="AP709" s="35"/>
      <c r="AQ709" s="35"/>
      <c r="AR709" s="35"/>
    </row>
    <row r="710" spans="5:44" x14ac:dyDescent="0.3">
      <c r="E710" s="26"/>
      <c r="F710" s="26"/>
      <c r="G710" s="59" t="str">
        <f t="shared" si="35"/>
        <v/>
      </c>
      <c r="H710" s="57"/>
      <c r="I710" s="57"/>
      <c r="K710" s="27"/>
      <c r="L710" s="27"/>
      <c r="M710" s="27"/>
      <c r="N710" s="88"/>
      <c r="AK710" s="35"/>
      <c r="AL710" s="35"/>
      <c r="AM710" s="35"/>
      <c r="AN710" s="35"/>
      <c r="AO710" s="35"/>
      <c r="AP710" s="35"/>
      <c r="AQ710" s="35"/>
      <c r="AR710" s="35"/>
    </row>
    <row r="711" spans="5:44" x14ac:dyDescent="0.3">
      <c r="E711" s="26"/>
      <c r="F711" s="26"/>
      <c r="G711" s="59" t="str">
        <f t="shared" si="35"/>
        <v/>
      </c>
      <c r="H711" s="57"/>
      <c r="I711" s="57"/>
      <c r="K711" s="27"/>
      <c r="L711" s="27"/>
      <c r="M711" s="27"/>
      <c r="N711" s="88"/>
      <c r="AK711" s="35"/>
      <c r="AL711" s="35"/>
      <c r="AM711" s="35"/>
      <c r="AN711" s="35"/>
      <c r="AO711" s="35"/>
      <c r="AP711" s="35"/>
      <c r="AQ711" s="35"/>
      <c r="AR711" s="35"/>
    </row>
    <row r="712" spans="5:44" x14ac:dyDescent="0.3">
      <c r="E712" s="26"/>
      <c r="F712" s="26"/>
      <c r="G712" s="59" t="str">
        <f t="shared" si="35"/>
        <v/>
      </c>
      <c r="H712" s="57"/>
      <c r="I712" s="57"/>
      <c r="K712" s="27"/>
      <c r="L712" s="27"/>
      <c r="M712" s="27"/>
      <c r="N712" s="88"/>
      <c r="AK712" s="35"/>
      <c r="AL712" s="35"/>
      <c r="AM712" s="35"/>
      <c r="AN712" s="35"/>
      <c r="AO712" s="35"/>
      <c r="AP712" s="35"/>
      <c r="AQ712" s="35"/>
      <c r="AR712" s="35"/>
    </row>
    <row r="713" spans="5:44" x14ac:dyDescent="0.3">
      <c r="E713" s="26"/>
      <c r="F713" s="26"/>
      <c r="G713" s="59" t="str">
        <f t="shared" si="35"/>
        <v/>
      </c>
      <c r="H713" s="57"/>
      <c r="I713" s="57"/>
      <c r="K713" s="27"/>
      <c r="L713" s="27"/>
      <c r="M713" s="27"/>
      <c r="N713" s="88"/>
      <c r="AK713" s="35"/>
      <c r="AL713" s="35"/>
      <c r="AM713" s="35"/>
      <c r="AN713" s="35"/>
      <c r="AO713" s="35"/>
      <c r="AP713" s="35"/>
      <c r="AQ713" s="35"/>
      <c r="AR713" s="35"/>
    </row>
    <row r="714" spans="5:44" x14ac:dyDescent="0.3">
      <c r="E714" s="26"/>
      <c r="F714" s="26"/>
      <c r="G714" s="59" t="str">
        <f t="shared" si="35"/>
        <v/>
      </c>
      <c r="H714" s="57"/>
      <c r="I714" s="57"/>
      <c r="K714" s="27"/>
      <c r="L714" s="27"/>
      <c r="M714" s="27"/>
      <c r="N714" s="88"/>
      <c r="AK714" s="35"/>
      <c r="AL714" s="35"/>
      <c r="AM714" s="35"/>
      <c r="AN714" s="35"/>
      <c r="AO714" s="35"/>
      <c r="AP714" s="35"/>
      <c r="AQ714" s="35"/>
      <c r="AR714" s="35"/>
    </row>
    <row r="715" spans="5:44" x14ac:dyDescent="0.3">
      <c r="E715" s="26"/>
      <c r="F715" s="26"/>
      <c r="G715" s="59" t="str">
        <f t="shared" si="35"/>
        <v/>
      </c>
      <c r="H715" s="57"/>
      <c r="I715" s="57"/>
      <c r="K715" s="27"/>
      <c r="L715" s="27"/>
      <c r="M715" s="27"/>
      <c r="N715" s="88"/>
      <c r="AK715" s="35"/>
      <c r="AL715" s="35"/>
      <c r="AM715" s="35"/>
      <c r="AN715" s="35"/>
      <c r="AO715" s="35"/>
      <c r="AP715" s="35"/>
      <c r="AQ715" s="35"/>
      <c r="AR715" s="35"/>
    </row>
    <row r="716" spans="5:44" x14ac:dyDescent="0.3">
      <c r="E716" s="26"/>
      <c r="F716" s="26"/>
      <c r="G716" s="59" t="str">
        <f t="shared" si="35"/>
        <v/>
      </c>
      <c r="H716" s="57"/>
      <c r="I716" s="57"/>
      <c r="K716" s="27"/>
      <c r="L716" s="27"/>
      <c r="M716" s="27"/>
      <c r="N716" s="88"/>
      <c r="AK716" s="35"/>
      <c r="AL716" s="35"/>
      <c r="AM716" s="35"/>
      <c r="AN716" s="35"/>
      <c r="AO716" s="35"/>
      <c r="AP716" s="35"/>
      <c r="AQ716" s="35"/>
      <c r="AR716" s="35"/>
    </row>
    <row r="717" spans="5:44" x14ac:dyDescent="0.3">
      <c r="E717" s="26"/>
      <c r="F717" s="26"/>
      <c r="G717" s="59" t="str">
        <f t="shared" si="35"/>
        <v/>
      </c>
      <c r="H717" s="57"/>
      <c r="I717" s="57"/>
      <c r="K717" s="27"/>
      <c r="L717" s="27"/>
      <c r="M717" s="27"/>
      <c r="N717" s="88"/>
      <c r="AK717" s="35"/>
      <c r="AL717" s="35"/>
      <c r="AM717" s="35"/>
      <c r="AN717" s="35"/>
      <c r="AO717" s="35"/>
      <c r="AP717" s="35"/>
      <c r="AQ717" s="35"/>
      <c r="AR717" s="35"/>
    </row>
    <row r="718" spans="5:44" x14ac:dyDescent="0.3">
      <c r="E718" s="26"/>
      <c r="F718" s="26"/>
      <c r="G718" s="59" t="str">
        <f t="shared" si="35"/>
        <v/>
      </c>
      <c r="H718" s="57"/>
      <c r="I718" s="57"/>
      <c r="K718" s="27"/>
      <c r="L718" s="27"/>
      <c r="M718" s="27"/>
      <c r="N718" s="88"/>
      <c r="AK718" s="35"/>
      <c r="AL718" s="35"/>
      <c r="AM718" s="35"/>
      <c r="AN718" s="35"/>
      <c r="AO718" s="35"/>
      <c r="AP718" s="35"/>
      <c r="AQ718" s="35"/>
      <c r="AR718" s="35"/>
    </row>
    <row r="719" spans="5:44" x14ac:dyDescent="0.3">
      <c r="E719" s="26"/>
      <c r="F719" s="26"/>
      <c r="G719" s="59" t="str">
        <f t="shared" si="35"/>
        <v/>
      </c>
      <c r="H719" s="57"/>
      <c r="I719" s="57"/>
      <c r="K719" s="27"/>
      <c r="L719" s="27"/>
      <c r="M719" s="27"/>
      <c r="N719" s="88"/>
      <c r="AK719" s="35"/>
      <c r="AL719" s="35"/>
      <c r="AM719" s="35"/>
      <c r="AN719" s="35"/>
      <c r="AO719" s="35"/>
      <c r="AP719" s="35"/>
      <c r="AQ719" s="35"/>
      <c r="AR719" s="35"/>
    </row>
    <row r="720" spans="5:44" x14ac:dyDescent="0.3">
      <c r="E720" s="26"/>
      <c r="F720" s="26"/>
      <c r="G720" s="59" t="str">
        <f t="shared" si="35"/>
        <v/>
      </c>
      <c r="H720" s="57"/>
      <c r="I720" s="57"/>
      <c r="K720" s="27"/>
      <c r="L720" s="27"/>
      <c r="M720" s="27"/>
      <c r="N720" s="88"/>
      <c r="AK720" s="35"/>
      <c r="AL720" s="35"/>
      <c r="AM720" s="35"/>
      <c r="AN720" s="35"/>
      <c r="AO720" s="35"/>
      <c r="AP720" s="35"/>
      <c r="AQ720" s="35"/>
      <c r="AR720" s="35"/>
    </row>
    <row r="721" spans="5:44" x14ac:dyDescent="0.3">
      <c r="E721" s="26"/>
      <c r="F721" s="26"/>
      <c r="G721" s="59" t="str">
        <f t="shared" si="35"/>
        <v/>
      </c>
      <c r="H721" s="57"/>
      <c r="I721" s="57"/>
      <c r="K721" s="27"/>
      <c r="L721" s="27"/>
      <c r="M721" s="27"/>
      <c r="N721" s="88"/>
      <c r="AK721" s="35"/>
      <c r="AL721" s="35"/>
      <c r="AM721" s="35"/>
      <c r="AN721" s="35"/>
      <c r="AO721" s="35"/>
      <c r="AP721" s="35"/>
      <c r="AQ721" s="35"/>
      <c r="AR721" s="35"/>
    </row>
    <row r="722" spans="5:44" x14ac:dyDescent="0.3">
      <c r="E722" s="26"/>
      <c r="F722" s="26"/>
      <c r="G722" s="59" t="str">
        <f t="shared" si="35"/>
        <v/>
      </c>
      <c r="H722" s="57"/>
      <c r="I722" s="57"/>
      <c r="K722" s="27"/>
      <c r="L722" s="27"/>
      <c r="M722" s="27"/>
      <c r="N722" s="88"/>
      <c r="AK722" s="35"/>
      <c r="AL722" s="35"/>
      <c r="AM722" s="35"/>
      <c r="AN722" s="35"/>
      <c r="AO722" s="35"/>
      <c r="AP722" s="35"/>
      <c r="AQ722" s="35"/>
      <c r="AR722" s="35"/>
    </row>
    <row r="723" spans="5:44" x14ac:dyDescent="0.3">
      <c r="E723" s="26"/>
      <c r="F723" s="26"/>
      <c r="G723" s="59" t="str">
        <f t="shared" si="35"/>
        <v/>
      </c>
      <c r="H723" s="57"/>
      <c r="I723" s="57"/>
      <c r="K723" s="27"/>
      <c r="L723" s="27"/>
      <c r="M723" s="27"/>
      <c r="N723" s="88"/>
      <c r="AK723" s="35"/>
      <c r="AL723" s="35"/>
      <c r="AM723" s="35"/>
      <c r="AN723" s="35"/>
      <c r="AO723" s="35"/>
      <c r="AP723" s="35"/>
      <c r="AQ723" s="35"/>
      <c r="AR723" s="35"/>
    </row>
    <row r="724" spans="5:44" x14ac:dyDescent="0.3">
      <c r="E724" s="26"/>
      <c r="F724" s="26"/>
      <c r="G724" s="59" t="str">
        <f t="shared" si="35"/>
        <v/>
      </c>
      <c r="H724" s="57"/>
      <c r="I724" s="57"/>
      <c r="K724" s="27"/>
      <c r="L724" s="27"/>
      <c r="M724" s="27"/>
      <c r="N724" s="88"/>
      <c r="AK724" s="35"/>
      <c r="AL724" s="35"/>
      <c r="AM724" s="35"/>
      <c r="AN724" s="35"/>
      <c r="AO724" s="35"/>
      <c r="AP724" s="35"/>
      <c r="AQ724" s="35"/>
      <c r="AR724" s="35"/>
    </row>
    <row r="725" spans="5:44" x14ac:dyDescent="0.3">
      <c r="E725" s="26"/>
      <c r="F725" s="26"/>
      <c r="G725" s="59" t="str">
        <f t="shared" si="35"/>
        <v/>
      </c>
      <c r="H725" s="57"/>
      <c r="I725" s="57"/>
      <c r="K725" s="27"/>
      <c r="L725" s="27"/>
      <c r="M725" s="27"/>
      <c r="N725" s="88"/>
      <c r="AK725" s="35"/>
      <c r="AL725" s="35"/>
      <c r="AM725" s="35"/>
      <c r="AN725" s="35"/>
      <c r="AO725" s="35"/>
      <c r="AP725" s="35"/>
      <c r="AQ725" s="35"/>
      <c r="AR725" s="35"/>
    </row>
    <row r="726" spans="5:44" x14ac:dyDescent="0.3">
      <c r="E726" s="26"/>
      <c r="F726" s="26"/>
      <c r="G726" s="59" t="str">
        <f t="shared" si="35"/>
        <v/>
      </c>
      <c r="H726" s="57"/>
      <c r="I726" s="57"/>
      <c r="K726" s="27"/>
      <c r="L726" s="27"/>
      <c r="M726" s="27"/>
      <c r="N726" s="88"/>
      <c r="AK726" s="35"/>
      <c r="AL726" s="35"/>
      <c r="AM726" s="35"/>
      <c r="AN726" s="35"/>
      <c r="AO726" s="35"/>
      <c r="AP726" s="35"/>
      <c r="AQ726" s="35"/>
      <c r="AR726" s="35"/>
    </row>
    <row r="727" spans="5:44" x14ac:dyDescent="0.3">
      <c r="E727" s="26"/>
      <c r="F727" s="26"/>
      <c r="G727" s="59" t="str">
        <f t="shared" si="35"/>
        <v/>
      </c>
      <c r="H727" s="57"/>
      <c r="I727" s="57"/>
      <c r="K727" s="27"/>
      <c r="L727" s="27"/>
      <c r="M727" s="27"/>
      <c r="N727" s="88"/>
      <c r="AK727" s="35"/>
      <c r="AL727" s="35"/>
      <c r="AM727" s="35"/>
      <c r="AN727" s="35"/>
      <c r="AO727" s="35"/>
      <c r="AP727" s="35"/>
      <c r="AQ727" s="35"/>
      <c r="AR727" s="35"/>
    </row>
    <row r="728" spans="5:44" x14ac:dyDescent="0.3">
      <c r="E728" s="26"/>
      <c r="F728" s="26"/>
      <c r="G728" s="59" t="str">
        <f t="shared" si="35"/>
        <v/>
      </c>
      <c r="H728" s="57"/>
      <c r="I728" s="57"/>
      <c r="K728" s="27"/>
      <c r="L728" s="27"/>
      <c r="M728" s="27"/>
      <c r="N728" s="88"/>
      <c r="AK728" s="35"/>
      <c r="AL728" s="35"/>
      <c r="AM728" s="35"/>
      <c r="AN728" s="35"/>
      <c r="AO728" s="35"/>
      <c r="AP728" s="35"/>
      <c r="AQ728" s="35"/>
      <c r="AR728" s="35"/>
    </row>
    <row r="729" spans="5:44" x14ac:dyDescent="0.3">
      <c r="E729" s="26"/>
      <c r="F729" s="26"/>
      <c r="G729" s="59" t="str">
        <f t="shared" si="35"/>
        <v/>
      </c>
      <c r="H729" s="57"/>
      <c r="I729" s="57"/>
      <c r="K729" s="27"/>
      <c r="L729" s="27"/>
      <c r="M729" s="27"/>
      <c r="N729" s="88"/>
      <c r="AK729" s="35"/>
      <c r="AL729" s="35"/>
      <c r="AM729" s="35"/>
      <c r="AN729" s="35"/>
      <c r="AO729" s="35"/>
      <c r="AP729" s="35"/>
      <c r="AQ729" s="35"/>
      <c r="AR729" s="35"/>
    </row>
    <row r="730" spans="5:44" x14ac:dyDescent="0.3">
      <c r="E730" s="26"/>
      <c r="F730" s="26"/>
      <c r="G730" s="59" t="str">
        <f t="shared" si="35"/>
        <v/>
      </c>
      <c r="H730" s="57"/>
      <c r="I730" s="57"/>
      <c r="K730" s="27"/>
      <c r="L730" s="27"/>
      <c r="M730" s="27"/>
      <c r="N730" s="88"/>
      <c r="AK730" s="35"/>
      <c r="AL730" s="35"/>
      <c r="AM730" s="35"/>
      <c r="AN730" s="35"/>
      <c r="AO730" s="35"/>
      <c r="AP730" s="35"/>
      <c r="AQ730" s="35"/>
      <c r="AR730" s="35"/>
    </row>
    <row r="731" spans="5:44" x14ac:dyDescent="0.3">
      <c r="E731" s="26"/>
      <c r="F731" s="26"/>
      <c r="G731" s="59" t="str">
        <f t="shared" si="35"/>
        <v/>
      </c>
      <c r="H731" s="57"/>
      <c r="I731" s="57"/>
      <c r="K731" s="27"/>
      <c r="L731" s="27"/>
      <c r="M731" s="27"/>
      <c r="N731" s="88"/>
      <c r="AK731" s="35"/>
      <c r="AL731" s="35"/>
      <c r="AM731" s="35"/>
      <c r="AN731" s="35"/>
      <c r="AO731" s="35"/>
      <c r="AP731" s="35"/>
      <c r="AQ731" s="35"/>
      <c r="AR731" s="35"/>
    </row>
    <row r="732" spans="5:44" x14ac:dyDescent="0.3">
      <c r="E732" s="26"/>
      <c r="F732" s="26"/>
      <c r="G732" s="59" t="str">
        <f t="shared" si="35"/>
        <v/>
      </c>
      <c r="H732" s="57"/>
      <c r="I732" s="57"/>
      <c r="K732" s="27"/>
      <c r="L732" s="27"/>
      <c r="M732" s="27"/>
      <c r="N732" s="88"/>
      <c r="AK732" s="35"/>
      <c r="AL732" s="35"/>
      <c r="AM732" s="35"/>
      <c r="AN732" s="35"/>
      <c r="AO732" s="35"/>
      <c r="AP732" s="35"/>
      <c r="AQ732" s="35"/>
      <c r="AR732" s="35"/>
    </row>
    <row r="733" spans="5:44" x14ac:dyDescent="0.3">
      <c r="E733" s="26"/>
      <c r="F733" s="26"/>
      <c r="G733" s="59" t="str">
        <f t="shared" si="35"/>
        <v/>
      </c>
      <c r="H733" s="57"/>
      <c r="I733" s="57"/>
      <c r="K733" s="27"/>
      <c r="L733" s="27"/>
      <c r="M733" s="27"/>
      <c r="N733" s="88"/>
      <c r="AK733" s="35"/>
      <c r="AL733" s="35"/>
      <c r="AM733" s="35"/>
      <c r="AN733" s="35"/>
      <c r="AO733" s="35"/>
      <c r="AP733" s="35"/>
      <c r="AQ733" s="35"/>
      <c r="AR733" s="35"/>
    </row>
    <row r="734" spans="5:44" x14ac:dyDescent="0.3">
      <c r="E734" s="26"/>
      <c r="F734" s="26"/>
      <c r="G734" s="59" t="str">
        <f t="shared" si="35"/>
        <v/>
      </c>
      <c r="H734" s="57"/>
      <c r="I734" s="57"/>
      <c r="K734" s="27"/>
      <c r="L734" s="27"/>
      <c r="M734" s="27"/>
      <c r="N734" s="88"/>
      <c r="AK734" s="35"/>
      <c r="AL734" s="35"/>
      <c r="AM734" s="35"/>
      <c r="AN734" s="35"/>
      <c r="AO734" s="35"/>
      <c r="AP734" s="35"/>
      <c r="AQ734" s="35"/>
      <c r="AR734" s="35"/>
    </row>
    <row r="735" spans="5:44" x14ac:dyDescent="0.3">
      <c r="E735" s="26"/>
      <c r="F735" s="26"/>
      <c r="G735" s="59" t="str">
        <f t="shared" si="35"/>
        <v/>
      </c>
      <c r="H735" s="57"/>
      <c r="I735" s="57"/>
      <c r="K735" s="27"/>
      <c r="L735" s="27"/>
      <c r="M735" s="27"/>
      <c r="N735" s="88"/>
      <c r="AK735" s="35"/>
      <c r="AL735" s="35"/>
      <c r="AM735" s="35"/>
      <c r="AN735" s="35"/>
      <c r="AO735" s="35"/>
      <c r="AP735" s="35"/>
      <c r="AQ735" s="35"/>
      <c r="AR735" s="35"/>
    </row>
    <row r="736" spans="5:44" x14ac:dyDescent="0.3">
      <c r="E736" s="26"/>
      <c r="F736" s="26"/>
      <c r="G736" s="59" t="str">
        <f t="shared" si="35"/>
        <v/>
      </c>
      <c r="H736" s="57"/>
      <c r="I736" s="57"/>
      <c r="K736" s="27"/>
      <c r="L736" s="27"/>
      <c r="M736" s="27"/>
      <c r="N736" s="88"/>
      <c r="AK736" s="35"/>
      <c r="AL736" s="35"/>
      <c r="AM736" s="35"/>
      <c r="AN736" s="35"/>
      <c r="AO736" s="35"/>
      <c r="AP736" s="35"/>
      <c r="AQ736" s="35"/>
      <c r="AR736" s="35"/>
    </row>
    <row r="737" spans="5:44" x14ac:dyDescent="0.3">
      <c r="E737" s="26"/>
      <c r="F737" s="26"/>
      <c r="G737" s="59" t="str">
        <f t="shared" si="35"/>
        <v/>
      </c>
      <c r="H737" s="57"/>
      <c r="I737" s="57"/>
      <c r="K737" s="27"/>
      <c r="L737" s="27"/>
      <c r="M737" s="27"/>
      <c r="N737" s="88"/>
      <c r="AK737" s="35"/>
      <c r="AL737" s="35"/>
      <c r="AM737" s="35"/>
      <c r="AN737" s="35"/>
      <c r="AO737" s="35"/>
      <c r="AP737" s="35"/>
      <c r="AQ737" s="35"/>
      <c r="AR737" s="35"/>
    </row>
    <row r="738" spans="5:44" x14ac:dyDescent="0.3">
      <c r="E738" s="26"/>
      <c r="F738" s="26"/>
      <c r="G738" s="59" t="str">
        <f t="shared" si="35"/>
        <v/>
      </c>
      <c r="H738" s="57"/>
      <c r="I738" s="57"/>
      <c r="K738" s="27"/>
      <c r="L738" s="27"/>
      <c r="M738" s="27"/>
      <c r="N738" s="88"/>
      <c r="AK738" s="35"/>
      <c r="AL738" s="35"/>
      <c r="AM738" s="35"/>
      <c r="AN738" s="35"/>
      <c r="AO738" s="35"/>
      <c r="AP738" s="35"/>
      <c r="AQ738" s="35"/>
      <c r="AR738" s="35"/>
    </row>
    <row r="739" spans="5:44" x14ac:dyDescent="0.3">
      <c r="E739" s="26"/>
      <c r="F739" s="26"/>
      <c r="G739" s="59" t="str">
        <f t="shared" si="35"/>
        <v/>
      </c>
      <c r="H739" s="57"/>
      <c r="I739" s="57"/>
      <c r="K739" s="27"/>
      <c r="L739" s="27"/>
      <c r="M739" s="27"/>
      <c r="N739" s="88"/>
      <c r="AK739" s="35"/>
      <c r="AL739" s="35"/>
      <c r="AM739" s="35"/>
      <c r="AN739" s="35"/>
      <c r="AO739" s="35"/>
      <c r="AP739" s="35"/>
      <c r="AQ739" s="35"/>
      <c r="AR739" s="35"/>
    </row>
    <row r="740" spans="5:44" x14ac:dyDescent="0.3">
      <c r="E740" s="26"/>
      <c r="F740" s="26"/>
      <c r="G740" s="59" t="str">
        <f t="shared" si="35"/>
        <v/>
      </c>
      <c r="H740" s="57"/>
      <c r="I740" s="57"/>
      <c r="K740" s="27"/>
      <c r="L740" s="27"/>
      <c r="M740" s="27"/>
      <c r="N740" s="88"/>
      <c r="AK740" s="35"/>
      <c r="AL740" s="35"/>
      <c r="AM740" s="35"/>
      <c r="AN740" s="35"/>
      <c r="AO740" s="35"/>
      <c r="AP740" s="35"/>
      <c r="AQ740" s="35"/>
      <c r="AR740" s="35"/>
    </row>
    <row r="741" spans="5:44" x14ac:dyDescent="0.3">
      <c r="E741" s="26"/>
      <c r="F741" s="26"/>
      <c r="G741" s="59" t="str">
        <f t="shared" si="35"/>
        <v/>
      </c>
      <c r="H741" s="57"/>
      <c r="I741" s="57"/>
      <c r="K741" s="27"/>
      <c r="L741" s="27"/>
      <c r="M741" s="27"/>
      <c r="N741" s="88"/>
      <c r="AK741" s="35"/>
      <c r="AL741" s="35"/>
      <c r="AM741" s="35"/>
      <c r="AN741" s="35"/>
      <c r="AO741" s="35"/>
      <c r="AP741" s="35"/>
      <c r="AQ741" s="35"/>
      <c r="AR741" s="35"/>
    </row>
    <row r="742" spans="5:44" x14ac:dyDescent="0.3">
      <c r="E742" s="26"/>
      <c r="F742" s="26"/>
      <c r="G742" s="59" t="str">
        <f t="shared" si="35"/>
        <v/>
      </c>
      <c r="H742" s="57"/>
      <c r="I742" s="57"/>
      <c r="K742" s="27"/>
      <c r="L742" s="27"/>
      <c r="M742" s="27"/>
      <c r="N742" s="88"/>
      <c r="AK742" s="35"/>
      <c r="AL742" s="35"/>
      <c r="AM742" s="35"/>
      <c r="AN742" s="35"/>
      <c r="AO742" s="35"/>
      <c r="AP742" s="35"/>
      <c r="AQ742" s="35"/>
      <c r="AR742" s="35"/>
    </row>
    <row r="743" spans="5:44" x14ac:dyDescent="0.3">
      <c r="E743" s="26"/>
      <c r="F743" s="26"/>
      <c r="G743" s="59" t="str">
        <f t="shared" si="35"/>
        <v/>
      </c>
      <c r="H743" s="57"/>
      <c r="I743" s="57"/>
      <c r="K743" s="27"/>
      <c r="L743" s="27"/>
      <c r="M743" s="27"/>
      <c r="N743" s="88"/>
      <c r="AK743" s="35"/>
      <c r="AL743" s="35"/>
      <c r="AM743" s="35"/>
      <c r="AN743" s="35"/>
      <c r="AO743" s="35"/>
      <c r="AP743" s="35"/>
      <c r="AQ743" s="35"/>
      <c r="AR743" s="35"/>
    </row>
    <row r="744" spans="5:44" x14ac:dyDescent="0.3">
      <c r="E744" s="26"/>
      <c r="F744" s="26"/>
      <c r="G744" s="59" t="str">
        <f t="shared" si="35"/>
        <v/>
      </c>
      <c r="H744" s="57"/>
      <c r="I744" s="57"/>
      <c r="K744" s="27"/>
      <c r="L744" s="27"/>
      <c r="M744" s="27"/>
      <c r="N744" s="88"/>
      <c r="AK744" s="35"/>
      <c r="AL744" s="35"/>
      <c r="AM744" s="35"/>
      <c r="AN744" s="35"/>
      <c r="AO744" s="35"/>
      <c r="AP744" s="35"/>
      <c r="AQ744" s="35"/>
      <c r="AR744" s="35"/>
    </row>
    <row r="745" spans="5:44" x14ac:dyDescent="0.3">
      <c r="E745" s="26"/>
      <c r="F745" s="26"/>
      <c r="G745" s="59" t="str">
        <f t="shared" si="35"/>
        <v/>
      </c>
      <c r="H745" s="57"/>
      <c r="I745" s="57"/>
      <c r="K745" s="27"/>
      <c r="L745" s="27"/>
      <c r="M745" s="27"/>
      <c r="N745" s="88"/>
      <c r="AK745" s="35"/>
      <c r="AL745" s="35"/>
      <c r="AM745" s="35"/>
      <c r="AN745" s="35"/>
      <c r="AO745" s="35"/>
      <c r="AP745" s="35"/>
      <c r="AQ745" s="35"/>
      <c r="AR745" s="35"/>
    </row>
    <row r="746" spans="5:44" x14ac:dyDescent="0.3">
      <c r="E746" s="26"/>
      <c r="F746" s="26"/>
      <c r="G746" s="59" t="str">
        <f t="shared" si="35"/>
        <v/>
      </c>
      <c r="H746" s="57"/>
      <c r="I746" s="57"/>
      <c r="K746" s="27"/>
      <c r="L746" s="27"/>
      <c r="M746" s="27"/>
      <c r="N746" s="88"/>
      <c r="AK746" s="35"/>
      <c r="AL746" s="35"/>
      <c r="AM746" s="35"/>
      <c r="AN746" s="35"/>
      <c r="AO746" s="35"/>
      <c r="AP746" s="35"/>
      <c r="AQ746" s="35"/>
      <c r="AR746" s="35"/>
    </row>
    <row r="747" spans="5:44" x14ac:dyDescent="0.3">
      <c r="E747" s="26"/>
      <c r="F747" s="26"/>
      <c r="G747" s="59" t="str">
        <f t="shared" si="35"/>
        <v/>
      </c>
      <c r="H747" s="57"/>
      <c r="I747" s="57"/>
      <c r="K747" s="27"/>
      <c r="L747" s="27"/>
      <c r="M747" s="27"/>
      <c r="N747" s="88"/>
      <c r="AK747" s="35"/>
      <c r="AL747" s="35"/>
      <c r="AM747" s="35"/>
      <c r="AN747" s="35"/>
      <c r="AO747" s="35"/>
      <c r="AP747" s="35"/>
      <c r="AQ747" s="35"/>
      <c r="AR747" s="35"/>
    </row>
    <row r="748" spans="5:44" x14ac:dyDescent="0.3">
      <c r="E748" s="26"/>
      <c r="F748" s="26"/>
      <c r="G748" s="59" t="str">
        <f t="shared" si="35"/>
        <v/>
      </c>
      <c r="H748" s="57"/>
      <c r="I748" s="57"/>
      <c r="K748" s="27"/>
      <c r="L748" s="27"/>
      <c r="M748" s="27"/>
      <c r="N748" s="88"/>
      <c r="AK748" s="35"/>
      <c r="AL748" s="35"/>
      <c r="AM748" s="35"/>
      <c r="AN748" s="35"/>
      <c r="AO748" s="35"/>
      <c r="AP748" s="35"/>
      <c r="AQ748" s="35"/>
      <c r="AR748" s="35"/>
    </row>
    <row r="749" spans="5:44" x14ac:dyDescent="0.3">
      <c r="E749" s="26"/>
      <c r="F749" s="26"/>
      <c r="G749" s="59" t="str">
        <f t="shared" si="35"/>
        <v/>
      </c>
      <c r="H749" s="57"/>
      <c r="I749" s="57"/>
      <c r="K749" s="27"/>
      <c r="L749" s="27"/>
      <c r="M749" s="27"/>
      <c r="N749" s="88"/>
      <c r="AK749" s="35"/>
      <c r="AL749" s="35"/>
      <c r="AM749" s="35"/>
      <c r="AN749" s="35"/>
      <c r="AO749" s="35"/>
      <c r="AP749" s="35"/>
      <c r="AQ749" s="35"/>
      <c r="AR749" s="35"/>
    </row>
    <row r="750" spans="5:44" x14ac:dyDescent="0.3">
      <c r="E750" s="26"/>
      <c r="F750" s="26"/>
      <c r="G750" s="59" t="str">
        <f t="shared" si="35"/>
        <v/>
      </c>
      <c r="H750" s="57"/>
      <c r="I750" s="57"/>
      <c r="K750" s="27"/>
      <c r="L750" s="27"/>
      <c r="M750" s="27"/>
      <c r="N750" s="88"/>
      <c r="AK750" s="35"/>
      <c r="AL750" s="35"/>
      <c r="AM750" s="35"/>
      <c r="AN750" s="35"/>
      <c r="AO750" s="35"/>
      <c r="AP750" s="35"/>
      <c r="AQ750" s="35"/>
      <c r="AR750" s="35"/>
    </row>
    <row r="751" spans="5:44" x14ac:dyDescent="0.3">
      <c r="E751" s="26"/>
      <c r="F751" s="26"/>
      <c r="G751" s="59" t="str">
        <f t="shared" si="35"/>
        <v/>
      </c>
      <c r="H751" s="57"/>
      <c r="I751" s="57"/>
      <c r="K751" s="27"/>
      <c r="L751" s="27"/>
      <c r="M751" s="27"/>
      <c r="N751" s="88"/>
      <c r="AK751" s="35"/>
      <c r="AL751" s="35"/>
      <c r="AM751" s="35"/>
      <c r="AN751" s="35"/>
      <c r="AO751" s="35"/>
      <c r="AP751" s="35"/>
      <c r="AQ751" s="35"/>
      <c r="AR751" s="35"/>
    </row>
    <row r="752" spans="5:44" x14ac:dyDescent="0.3">
      <c r="E752" s="26"/>
      <c r="F752" s="26"/>
      <c r="G752" s="59" t="str">
        <f t="shared" si="35"/>
        <v/>
      </c>
      <c r="H752" s="57"/>
      <c r="I752" s="57"/>
      <c r="K752" s="27"/>
      <c r="L752" s="27"/>
      <c r="M752" s="27"/>
      <c r="N752" s="88"/>
      <c r="AK752" s="35"/>
      <c r="AL752" s="35"/>
      <c r="AM752" s="35"/>
      <c r="AN752" s="35"/>
      <c r="AO752" s="35"/>
      <c r="AP752" s="35"/>
      <c r="AQ752" s="35"/>
      <c r="AR752" s="35"/>
    </row>
    <row r="753" spans="5:44" x14ac:dyDescent="0.3">
      <c r="E753" s="26"/>
      <c r="F753" s="26"/>
      <c r="G753" s="59" t="str">
        <f t="shared" si="35"/>
        <v/>
      </c>
      <c r="H753" s="57"/>
      <c r="I753" s="57"/>
      <c r="K753" s="27"/>
      <c r="L753" s="27"/>
      <c r="M753" s="27"/>
      <c r="N753" s="88"/>
      <c r="AK753" s="35"/>
      <c r="AL753" s="35"/>
      <c r="AM753" s="35"/>
      <c r="AN753" s="35"/>
      <c r="AO753" s="35"/>
      <c r="AP753" s="35"/>
      <c r="AQ753" s="35"/>
      <c r="AR753" s="35"/>
    </row>
    <row r="754" spans="5:44" x14ac:dyDescent="0.3">
      <c r="E754" s="26"/>
      <c r="F754" s="26"/>
      <c r="G754" s="59" t="str">
        <f t="shared" si="35"/>
        <v/>
      </c>
      <c r="H754" s="57"/>
      <c r="I754" s="57"/>
      <c r="K754" s="27"/>
      <c r="L754" s="27"/>
      <c r="M754" s="27"/>
      <c r="N754" s="88"/>
      <c r="AK754" s="35"/>
      <c r="AL754" s="35"/>
      <c r="AM754" s="35"/>
      <c r="AN754" s="35"/>
      <c r="AO754" s="35"/>
      <c r="AP754" s="35"/>
      <c r="AQ754" s="35"/>
      <c r="AR754" s="35"/>
    </row>
    <row r="755" spans="5:44" x14ac:dyDescent="0.3">
      <c r="E755" s="26"/>
      <c r="F755" s="26"/>
      <c r="G755" s="59" t="str">
        <f t="shared" si="35"/>
        <v/>
      </c>
      <c r="H755" s="57"/>
      <c r="I755" s="57"/>
      <c r="K755" s="27"/>
      <c r="L755" s="27"/>
      <c r="M755" s="27"/>
      <c r="N755" s="88"/>
      <c r="AK755" s="35"/>
      <c r="AL755" s="35"/>
      <c r="AM755" s="35"/>
      <c r="AN755" s="35"/>
      <c r="AO755" s="35"/>
      <c r="AP755" s="35"/>
      <c r="AQ755" s="35"/>
      <c r="AR755" s="35"/>
    </row>
    <row r="756" spans="5:44" x14ac:dyDescent="0.3">
      <c r="E756" s="26"/>
      <c r="F756" s="26"/>
      <c r="G756" s="59" t="str">
        <f t="shared" si="35"/>
        <v/>
      </c>
      <c r="H756" s="57"/>
      <c r="I756" s="57"/>
      <c r="K756" s="27"/>
      <c r="L756" s="27"/>
      <c r="M756" s="27"/>
      <c r="N756" s="88"/>
      <c r="AK756" s="35"/>
      <c r="AL756" s="35"/>
      <c r="AM756" s="35"/>
      <c r="AN756" s="35"/>
      <c r="AO756" s="35"/>
      <c r="AP756" s="35"/>
      <c r="AQ756" s="35"/>
      <c r="AR756" s="35"/>
    </row>
    <row r="757" spans="5:44" x14ac:dyDescent="0.3">
      <c r="E757" s="26"/>
      <c r="F757" s="26"/>
      <c r="G757" s="59" t="str">
        <f t="shared" si="35"/>
        <v/>
      </c>
      <c r="H757" s="57"/>
      <c r="I757" s="57"/>
      <c r="K757" s="27"/>
      <c r="L757" s="27"/>
      <c r="M757" s="27"/>
      <c r="N757" s="88"/>
      <c r="AK757" s="35"/>
      <c r="AL757" s="35"/>
      <c r="AM757" s="35"/>
      <c r="AN757" s="35"/>
      <c r="AO757" s="35"/>
      <c r="AP757" s="35"/>
      <c r="AQ757" s="35"/>
      <c r="AR757" s="35"/>
    </row>
    <row r="758" spans="5:44" x14ac:dyDescent="0.3">
      <c r="E758" s="26"/>
      <c r="F758" s="26"/>
      <c r="G758" s="59" t="str">
        <f t="shared" si="35"/>
        <v/>
      </c>
      <c r="H758" s="57"/>
      <c r="I758" s="57"/>
      <c r="K758" s="27"/>
      <c r="L758" s="27"/>
      <c r="M758" s="27"/>
      <c r="N758" s="88"/>
      <c r="AK758" s="35"/>
      <c r="AL758" s="35"/>
      <c r="AM758" s="35"/>
      <c r="AN758" s="35"/>
      <c r="AO758" s="35"/>
      <c r="AP758" s="35"/>
      <c r="AQ758" s="35"/>
      <c r="AR758" s="35"/>
    </row>
    <row r="759" spans="5:44" x14ac:dyDescent="0.3">
      <c r="E759" s="26"/>
      <c r="F759" s="26"/>
      <c r="G759" s="59" t="str">
        <f t="shared" ref="G759:G822" si="36">IF(AND(F759="",E759=""),"",IF(AND(F759="",E759&lt;&gt;""),G758,F759))</f>
        <v/>
      </c>
      <c r="H759" s="57"/>
      <c r="I759" s="57"/>
      <c r="K759" s="27"/>
      <c r="L759" s="27"/>
      <c r="M759" s="27"/>
      <c r="N759" s="88"/>
      <c r="AK759" s="35"/>
      <c r="AL759" s="35"/>
      <c r="AM759" s="35"/>
      <c r="AN759" s="35"/>
      <c r="AO759" s="35"/>
      <c r="AP759" s="35"/>
      <c r="AQ759" s="35"/>
      <c r="AR759" s="35"/>
    </row>
    <row r="760" spans="5:44" x14ac:dyDescent="0.3">
      <c r="E760" s="26"/>
      <c r="F760" s="26"/>
      <c r="G760" s="59" t="str">
        <f t="shared" si="36"/>
        <v/>
      </c>
      <c r="H760" s="57"/>
      <c r="I760" s="57"/>
      <c r="K760" s="27"/>
      <c r="L760" s="27"/>
      <c r="M760" s="27"/>
      <c r="N760" s="88"/>
      <c r="AK760" s="35"/>
      <c r="AL760" s="35"/>
      <c r="AM760" s="35"/>
      <c r="AN760" s="35"/>
      <c r="AO760" s="35"/>
      <c r="AP760" s="35"/>
      <c r="AQ760" s="35"/>
      <c r="AR760" s="35"/>
    </row>
    <row r="761" spans="5:44" x14ac:dyDescent="0.3">
      <c r="E761" s="26"/>
      <c r="F761" s="26"/>
      <c r="G761" s="59" t="str">
        <f t="shared" si="36"/>
        <v/>
      </c>
      <c r="H761" s="57"/>
      <c r="I761" s="57"/>
      <c r="K761" s="27"/>
      <c r="L761" s="27"/>
      <c r="M761" s="27"/>
      <c r="N761" s="88"/>
      <c r="AK761" s="35"/>
      <c r="AL761" s="35"/>
      <c r="AM761" s="35"/>
      <c r="AN761" s="35"/>
      <c r="AO761" s="35"/>
      <c r="AP761" s="35"/>
      <c r="AQ761" s="35"/>
      <c r="AR761" s="35"/>
    </row>
    <row r="762" spans="5:44" x14ac:dyDescent="0.3">
      <c r="E762" s="26"/>
      <c r="F762" s="26"/>
      <c r="G762" s="59" t="str">
        <f t="shared" si="36"/>
        <v/>
      </c>
      <c r="H762" s="57"/>
      <c r="I762" s="57"/>
      <c r="K762" s="27"/>
      <c r="L762" s="27"/>
      <c r="M762" s="27"/>
      <c r="N762" s="88"/>
      <c r="AK762" s="35"/>
      <c r="AL762" s="35"/>
      <c r="AM762" s="35"/>
      <c r="AN762" s="35"/>
      <c r="AO762" s="35"/>
      <c r="AP762" s="35"/>
      <c r="AQ762" s="35"/>
      <c r="AR762" s="35"/>
    </row>
    <row r="763" spans="5:44" x14ac:dyDescent="0.3">
      <c r="E763" s="26"/>
      <c r="F763" s="26"/>
      <c r="G763" s="59" t="str">
        <f t="shared" si="36"/>
        <v/>
      </c>
      <c r="H763" s="57"/>
      <c r="I763" s="57"/>
      <c r="K763" s="27"/>
      <c r="L763" s="27"/>
      <c r="M763" s="27"/>
      <c r="N763" s="88"/>
      <c r="AK763" s="35"/>
      <c r="AL763" s="35"/>
      <c r="AM763" s="35"/>
      <c r="AN763" s="35"/>
      <c r="AO763" s="35"/>
      <c r="AP763" s="35"/>
      <c r="AQ763" s="35"/>
      <c r="AR763" s="35"/>
    </row>
    <row r="764" spans="5:44" x14ac:dyDescent="0.3">
      <c r="E764" s="26"/>
      <c r="F764" s="26"/>
      <c r="G764" s="59" t="str">
        <f t="shared" si="36"/>
        <v/>
      </c>
      <c r="H764" s="57"/>
      <c r="I764" s="57"/>
      <c r="K764" s="27"/>
      <c r="L764" s="27"/>
      <c r="M764" s="27"/>
      <c r="N764" s="88"/>
      <c r="AK764" s="35"/>
      <c r="AL764" s="35"/>
      <c r="AM764" s="35"/>
      <c r="AN764" s="35"/>
      <c r="AO764" s="35"/>
      <c r="AP764" s="35"/>
      <c r="AQ764" s="35"/>
      <c r="AR764" s="35"/>
    </row>
    <row r="765" spans="5:44" x14ac:dyDescent="0.3">
      <c r="E765" s="26"/>
      <c r="F765" s="26"/>
      <c r="G765" s="59" t="str">
        <f t="shared" si="36"/>
        <v/>
      </c>
      <c r="H765" s="57"/>
      <c r="I765" s="57"/>
      <c r="K765" s="27"/>
      <c r="L765" s="27"/>
      <c r="M765" s="27"/>
      <c r="N765" s="88"/>
      <c r="AK765" s="35"/>
      <c r="AL765" s="35"/>
      <c r="AM765" s="35"/>
      <c r="AN765" s="35"/>
      <c r="AO765" s="35"/>
      <c r="AP765" s="35"/>
      <c r="AQ765" s="35"/>
      <c r="AR765" s="35"/>
    </row>
    <row r="766" spans="5:44" x14ac:dyDescent="0.3">
      <c r="E766" s="26"/>
      <c r="F766" s="26"/>
      <c r="G766" s="59" t="str">
        <f t="shared" si="36"/>
        <v/>
      </c>
      <c r="H766" s="57"/>
      <c r="I766" s="57"/>
      <c r="K766" s="27"/>
      <c r="L766" s="27"/>
      <c r="M766" s="27"/>
      <c r="N766" s="88"/>
      <c r="AK766" s="35"/>
      <c r="AL766" s="35"/>
      <c r="AM766" s="35"/>
      <c r="AN766" s="35"/>
      <c r="AO766" s="35"/>
      <c r="AP766" s="35"/>
      <c r="AQ766" s="35"/>
      <c r="AR766" s="35"/>
    </row>
    <row r="767" spans="5:44" x14ac:dyDescent="0.3">
      <c r="E767" s="26"/>
      <c r="F767" s="26"/>
      <c r="G767" s="59" t="str">
        <f t="shared" si="36"/>
        <v/>
      </c>
      <c r="H767" s="57"/>
      <c r="I767" s="57"/>
      <c r="K767" s="27"/>
      <c r="L767" s="27"/>
      <c r="M767" s="27"/>
      <c r="N767" s="88"/>
      <c r="AK767" s="35"/>
      <c r="AL767" s="35"/>
      <c r="AM767" s="35"/>
      <c r="AN767" s="35"/>
      <c r="AO767" s="35"/>
      <c r="AP767" s="35"/>
      <c r="AQ767" s="35"/>
      <c r="AR767" s="35"/>
    </row>
    <row r="768" spans="5:44" x14ac:dyDescent="0.3">
      <c r="E768" s="26"/>
      <c r="F768" s="26"/>
      <c r="G768" s="59" t="str">
        <f t="shared" si="36"/>
        <v/>
      </c>
      <c r="H768" s="57"/>
      <c r="I768" s="57"/>
      <c r="K768" s="27"/>
      <c r="L768" s="27"/>
      <c r="M768" s="27"/>
      <c r="N768" s="88"/>
      <c r="AK768" s="35"/>
      <c r="AL768" s="35"/>
      <c r="AM768" s="35"/>
      <c r="AN768" s="35"/>
      <c r="AO768" s="35"/>
      <c r="AP768" s="35"/>
      <c r="AQ768" s="35"/>
      <c r="AR768" s="35"/>
    </row>
    <row r="769" spans="5:44" x14ac:dyDescent="0.3">
      <c r="E769" s="26"/>
      <c r="F769" s="26"/>
      <c r="G769" s="59" t="str">
        <f t="shared" si="36"/>
        <v/>
      </c>
      <c r="H769" s="57"/>
      <c r="I769" s="57"/>
      <c r="K769" s="27"/>
      <c r="L769" s="27"/>
      <c r="M769" s="27"/>
      <c r="N769" s="88"/>
      <c r="AK769" s="35"/>
      <c r="AL769" s="35"/>
      <c r="AM769" s="35"/>
      <c r="AN769" s="35"/>
      <c r="AO769" s="35"/>
      <c r="AP769" s="35"/>
      <c r="AQ769" s="35"/>
      <c r="AR769" s="35"/>
    </row>
    <row r="770" spans="5:44" x14ac:dyDescent="0.3">
      <c r="E770" s="26"/>
      <c r="F770" s="26"/>
      <c r="G770" s="59" t="str">
        <f t="shared" si="36"/>
        <v/>
      </c>
      <c r="H770" s="57"/>
      <c r="I770" s="57"/>
      <c r="K770" s="27"/>
      <c r="L770" s="27"/>
      <c r="M770" s="27"/>
      <c r="N770" s="88"/>
      <c r="AK770" s="35"/>
      <c r="AL770" s="35"/>
      <c r="AM770" s="35"/>
      <c r="AN770" s="35"/>
      <c r="AO770" s="35"/>
      <c r="AP770" s="35"/>
      <c r="AQ770" s="35"/>
      <c r="AR770" s="35"/>
    </row>
    <row r="771" spans="5:44" x14ac:dyDescent="0.3">
      <c r="E771" s="26"/>
      <c r="F771" s="26"/>
      <c r="G771" s="59" t="str">
        <f t="shared" si="36"/>
        <v/>
      </c>
      <c r="H771" s="57"/>
      <c r="I771" s="57"/>
      <c r="K771" s="27"/>
      <c r="L771" s="27"/>
      <c r="M771" s="27"/>
      <c r="N771" s="88"/>
      <c r="AK771" s="35"/>
      <c r="AL771" s="35"/>
      <c r="AM771" s="35"/>
      <c r="AN771" s="35"/>
      <c r="AO771" s="35"/>
      <c r="AP771" s="35"/>
      <c r="AQ771" s="35"/>
      <c r="AR771" s="35"/>
    </row>
    <row r="772" spans="5:44" x14ac:dyDescent="0.3">
      <c r="E772" s="26"/>
      <c r="F772" s="26"/>
      <c r="G772" s="59" t="str">
        <f t="shared" si="36"/>
        <v/>
      </c>
      <c r="H772" s="57"/>
      <c r="I772" s="57"/>
      <c r="K772" s="27"/>
      <c r="L772" s="27"/>
      <c r="M772" s="27"/>
      <c r="N772" s="88"/>
      <c r="AK772" s="35"/>
      <c r="AL772" s="35"/>
      <c r="AM772" s="35"/>
      <c r="AN772" s="35"/>
      <c r="AO772" s="35"/>
      <c r="AP772" s="35"/>
      <c r="AQ772" s="35"/>
      <c r="AR772" s="35"/>
    </row>
    <row r="773" spans="5:44" x14ac:dyDescent="0.3">
      <c r="E773" s="26"/>
      <c r="F773" s="26"/>
      <c r="G773" s="59" t="str">
        <f t="shared" si="36"/>
        <v/>
      </c>
      <c r="H773" s="57"/>
      <c r="I773" s="57"/>
      <c r="K773" s="27"/>
      <c r="L773" s="27"/>
      <c r="M773" s="27"/>
      <c r="N773" s="88"/>
      <c r="AK773" s="35"/>
      <c r="AL773" s="35"/>
      <c r="AM773" s="35"/>
      <c r="AN773" s="35"/>
      <c r="AO773" s="35"/>
      <c r="AP773" s="35"/>
      <c r="AQ773" s="35"/>
      <c r="AR773" s="35"/>
    </row>
    <row r="774" spans="5:44" x14ac:dyDescent="0.3">
      <c r="E774" s="26"/>
      <c r="F774" s="26"/>
      <c r="G774" s="59" t="str">
        <f t="shared" si="36"/>
        <v/>
      </c>
      <c r="H774" s="57"/>
      <c r="I774" s="57"/>
      <c r="K774" s="27"/>
      <c r="L774" s="27"/>
      <c r="M774" s="27"/>
      <c r="N774" s="88"/>
      <c r="AK774" s="35"/>
      <c r="AL774" s="35"/>
      <c r="AM774" s="35"/>
      <c r="AN774" s="35"/>
      <c r="AO774" s="35"/>
      <c r="AP774" s="35"/>
      <c r="AQ774" s="35"/>
      <c r="AR774" s="35"/>
    </row>
    <row r="775" spans="5:44" x14ac:dyDescent="0.3">
      <c r="E775" s="26"/>
      <c r="F775" s="26"/>
      <c r="G775" s="59" t="str">
        <f t="shared" si="36"/>
        <v/>
      </c>
      <c r="H775" s="57"/>
      <c r="I775" s="57"/>
      <c r="K775" s="27"/>
      <c r="L775" s="27"/>
      <c r="M775" s="27"/>
      <c r="N775" s="88"/>
      <c r="AK775" s="35"/>
      <c r="AL775" s="35"/>
      <c r="AM775" s="35"/>
      <c r="AN775" s="35"/>
      <c r="AO775" s="35"/>
      <c r="AP775" s="35"/>
      <c r="AQ775" s="35"/>
      <c r="AR775" s="35"/>
    </row>
    <row r="776" spans="5:44" x14ac:dyDescent="0.3">
      <c r="E776" s="26"/>
      <c r="F776" s="26"/>
      <c r="G776" s="59" t="str">
        <f t="shared" si="36"/>
        <v/>
      </c>
      <c r="H776" s="57"/>
      <c r="I776" s="57"/>
      <c r="K776" s="27"/>
      <c r="L776" s="27"/>
      <c r="M776" s="27"/>
      <c r="N776" s="88"/>
      <c r="AK776" s="35"/>
      <c r="AL776" s="35"/>
      <c r="AM776" s="35"/>
      <c r="AN776" s="35"/>
      <c r="AO776" s="35"/>
      <c r="AP776" s="35"/>
      <c r="AQ776" s="35"/>
      <c r="AR776" s="35"/>
    </row>
    <row r="777" spans="5:44" x14ac:dyDescent="0.3">
      <c r="E777" s="26"/>
      <c r="F777" s="26"/>
      <c r="G777" s="59" t="str">
        <f t="shared" si="36"/>
        <v/>
      </c>
      <c r="H777" s="57"/>
      <c r="I777" s="57"/>
      <c r="K777" s="27"/>
      <c r="L777" s="27"/>
      <c r="M777" s="27"/>
      <c r="N777" s="88"/>
      <c r="AK777" s="35"/>
      <c r="AL777" s="35"/>
      <c r="AM777" s="35"/>
      <c r="AN777" s="35"/>
      <c r="AO777" s="35"/>
      <c r="AP777" s="35"/>
      <c r="AQ777" s="35"/>
      <c r="AR777" s="35"/>
    </row>
    <row r="778" spans="5:44" x14ac:dyDescent="0.3">
      <c r="E778" s="26"/>
      <c r="F778" s="26"/>
      <c r="G778" s="59" t="str">
        <f t="shared" si="36"/>
        <v/>
      </c>
      <c r="H778" s="57"/>
      <c r="I778" s="57"/>
      <c r="K778" s="27"/>
      <c r="L778" s="27"/>
      <c r="M778" s="27"/>
      <c r="N778" s="88"/>
      <c r="AK778" s="35"/>
      <c r="AL778" s="35"/>
      <c r="AM778" s="35"/>
      <c r="AN778" s="35"/>
      <c r="AO778" s="35"/>
      <c r="AP778" s="35"/>
      <c r="AQ778" s="35"/>
      <c r="AR778" s="35"/>
    </row>
    <row r="779" spans="5:44" x14ac:dyDescent="0.3">
      <c r="E779" s="26"/>
      <c r="F779" s="26"/>
      <c r="G779" s="59" t="str">
        <f t="shared" si="36"/>
        <v/>
      </c>
      <c r="H779" s="57"/>
      <c r="I779" s="57"/>
      <c r="K779" s="27"/>
      <c r="L779" s="27"/>
      <c r="M779" s="27"/>
      <c r="N779" s="88"/>
      <c r="AK779" s="35"/>
      <c r="AL779" s="35"/>
      <c r="AM779" s="35"/>
      <c r="AN779" s="35"/>
      <c r="AO779" s="35"/>
      <c r="AP779" s="35"/>
      <c r="AQ779" s="35"/>
      <c r="AR779" s="35"/>
    </row>
    <row r="780" spans="5:44" x14ac:dyDescent="0.3">
      <c r="E780" s="26"/>
      <c r="F780" s="26"/>
      <c r="G780" s="59" t="str">
        <f t="shared" si="36"/>
        <v/>
      </c>
      <c r="H780" s="57"/>
      <c r="I780" s="57"/>
      <c r="K780" s="27"/>
      <c r="L780" s="27"/>
      <c r="M780" s="27"/>
      <c r="N780" s="88"/>
      <c r="AK780" s="35"/>
      <c r="AL780" s="35"/>
      <c r="AM780" s="35"/>
      <c r="AN780" s="35"/>
      <c r="AO780" s="35"/>
      <c r="AP780" s="35"/>
      <c r="AQ780" s="35"/>
      <c r="AR780" s="35"/>
    </row>
    <row r="781" spans="5:44" x14ac:dyDescent="0.3">
      <c r="E781" s="26"/>
      <c r="F781" s="26"/>
      <c r="G781" s="59" t="str">
        <f t="shared" si="36"/>
        <v/>
      </c>
      <c r="H781" s="57"/>
      <c r="I781" s="57"/>
      <c r="K781" s="27"/>
      <c r="L781" s="27"/>
      <c r="M781" s="27"/>
      <c r="N781" s="88"/>
      <c r="AK781" s="35"/>
      <c r="AL781" s="35"/>
      <c r="AM781" s="35"/>
      <c r="AN781" s="35"/>
      <c r="AO781" s="35"/>
      <c r="AP781" s="35"/>
      <c r="AQ781" s="35"/>
      <c r="AR781" s="35"/>
    </row>
    <row r="782" spans="5:44" x14ac:dyDescent="0.3">
      <c r="E782" s="26"/>
      <c r="F782" s="26"/>
      <c r="G782" s="59" t="str">
        <f t="shared" si="36"/>
        <v/>
      </c>
      <c r="H782" s="57"/>
      <c r="I782" s="57"/>
      <c r="K782" s="27"/>
      <c r="L782" s="27"/>
      <c r="M782" s="27"/>
      <c r="N782" s="88"/>
      <c r="AK782" s="35"/>
      <c r="AL782" s="35"/>
      <c r="AM782" s="35"/>
      <c r="AN782" s="35"/>
      <c r="AO782" s="35"/>
      <c r="AP782" s="35"/>
      <c r="AQ782" s="35"/>
      <c r="AR782" s="35"/>
    </row>
    <row r="783" spans="5:44" x14ac:dyDescent="0.3">
      <c r="E783" s="26"/>
      <c r="F783" s="26"/>
      <c r="G783" s="59" t="str">
        <f t="shared" si="36"/>
        <v/>
      </c>
      <c r="H783" s="57"/>
      <c r="I783" s="57"/>
      <c r="K783" s="27"/>
      <c r="L783" s="27"/>
      <c r="M783" s="27"/>
      <c r="N783" s="88"/>
      <c r="AK783" s="35"/>
      <c r="AL783" s="35"/>
      <c r="AM783" s="35"/>
      <c r="AN783" s="35"/>
      <c r="AO783" s="35"/>
      <c r="AP783" s="35"/>
      <c r="AQ783" s="35"/>
      <c r="AR783" s="35"/>
    </row>
    <row r="784" spans="5:44" x14ac:dyDescent="0.3">
      <c r="E784" s="26"/>
      <c r="F784" s="26"/>
      <c r="G784" s="59" t="str">
        <f t="shared" si="36"/>
        <v/>
      </c>
      <c r="H784" s="57"/>
      <c r="I784" s="57"/>
      <c r="K784" s="27"/>
      <c r="L784" s="27"/>
      <c r="M784" s="27"/>
      <c r="N784" s="88"/>
      <c r="AK784" s="35"/>
      <c r="AL784" s="35"/>
      <c r="AM784" s="35"/>
      <c r="AN784" s="35"/>
      <c r="AO784" s="35"/>
      <c r="AP784" s="35"/>
      <c r="AQ784" s="35"/>
      <c r="AR784" s="35"/>
    </row>
    <row r="785" spans="5:44" x14ac:dyDescent="0.3">
      <c r="E785" s="26"/>
      <c r="F785" s="26"/>
      <c r="G785" s="59" t="str">
        <f t="shared" si="36"/>
        <v/>
      </c>
      <c r="H785" s="57"/>
      <c r="I785" s="57"/>
      <c r="K785" s="27"/>
      <c r="L785" s="27"/>
      <c r="M785" s="27"/>
      <c r="N785" s="88"/>
      <c r="AK785" s="35"/>
      <c r="AL785" s="35"/>
      <c r="AM785" s="35"/>
      <c r="AN785" s="35"/>
      <c r="AO785" s="35"/>
      <c r="AP785" s="35"/>
      <c r="AQ785" s="35"/>
      <c r="AR785" s="35"/>
    </row>
    <row r="786" spans="5:44" x14ac:dyDescent="0.3">
      <c r="E786" s="26"/>
      <c r="F786" s="26"/>
      <c r="G786" s="59" t="str">
        <f t="shared" si="36"/>
        <v/>
      </c>
      <c r="H786" s="57"/>
      <c r="I786" s="57"/>
      <c r="K786" s="27"/>
      <c r="L786" s="27"/>
      <c r="M786" s="27"/>
      <c r="N786" s="88"/>
      <c r="AK786" s="35"/>
      <c r="AL786" s="35"/>
      <c r="AM786" s="35"/>
      <c r="AN786" s="35"/>
      <c r="AO786" s="35"/>
      <c r="AP786" s="35"/>
      <c r="AQ786" s="35"/>
      <c r="AR786" s="35"/>
    </row>
    <row r="787" spans="5:44" x14ac:dyDescent="0.3">
      <c r="E787" s="26"/>
      <c r="F787" s="26"/>
      <c r="G787" s="59" t="str">
        <f t="shared" si="36"/>
        <v/>
      </c>
      <c r="H787" s="57"/>
      <c r="I787" s="57"/>
      <c r="K787" s="27"/>
      <c r="L787" s="27"/>
      <c r="M787" s="27"/>
      <c r="N787" s="88"/>
      <c r="AK787" s="35"/>
      <c r="AL787" s="35"/>
      <c r="AM787" s="35"/>
      <c r="AN787" s="35"/>
      <c r="AO787" s="35"/>
      <c r="AP787" s="35"/>
      <c r="AQ787" s="35"/>
      <c r="AR787" s="35"/>
    </row>
    <row r="788" spans="5:44" x14ac:dyDescent="0.3">
      <c r="E788" s="26"/>
      <c r="F788" s="26"/>
      <c r="G788" s="59" t="str">
        <f t="shared" si="36"/>
        <v/>
      </c>
      <c r="H788" s="57"/>
      <c r="I788" s="57"/>
      <c r="K788" s="27"/>
      <c r="L788" s="27"/>
      <c r="M788" s="27"/>
      <c r="N788" s="88"/>
      <c r="AK788" s="35"/>
      <c r="AL788" s="35"/>
      <c r="AM788" s="35"/>
      <c r="AN788" s="35"/>
      <c r="AO788" s="35"/>
      <c r="AP788" s="35"/>
      <c r="AQ788" s="35"/>
      <c r="AR788" s="35"/>
    </row>
    <row r="789" spans="5:44" x14ac:dyDescent="0.3">
      <c r="E789" s="26"/>
      <c r="F789" s="26"/>
      <c r="G789" s="59" t="str">
        <f t="shared" si="36"/>
        <v/>
      </c>
      <c r="H789" s="57"/>
      <c r="I789" s="57"/>
      <c r="K789" s="27"/>
      <c r="L789" s="27"/>
      <c r="M789" s="27"/>
      <c r="N789" s="88"/>
      <c r="AK789" s="35"/>
      <c r="AL789" s="35"/>
      <c r="AM789" s="35"/>
      <c r="AN789" s="35"/>
      <c r="AO789" s="35"/>
      <c r="AP789" s="35"/>
      <c r="AQ789" s="35"/>
      <c r="AR789" s="35"/>
    </row>
    <row r="790" spans="5:44" x14ac:dyDescent="0.3">
      <c r="E790" s="26"/>
      <c r="F790" s="26"/>
      <c r="G790" s="59" t="str">
        <f t="shared" si="36"/>
        <v/>
      </c>
      <c r="H790" s="57"/>
      <c r="I790" s="57"/>
      <c r="K790" s="27"/>
      <c r="L790" s="27"/>
      <c r="M790" s="27"/>
      <c r="N790" s="88"/>
      <c r="AK790" s="35"/>
      <c r="AL790" s="35"/>
      <c r="AM790" s="35"/>
      <c r="AN790" s="35"/>
      <c r="AO790" s="35"/>
      <c r="AP790" s="35"/>
      <c r="AQ790" s="35"/>
      <c r="AR790" s="35"/>
    </row>
    <row r="791" spans="5:44" x14ac:dyDescent="0.3">
      <c r="E791" s="26"/>
      <c r="F791" s="26"/>
      <c r="G791" s="59" t="str">
        <f t="shared" si="36"/>
        <v/>
      </c>
      <c r="H791" s="57"/>
      <c r="I791" s="57"/>
      <c r="K791" s="27"/>
      <c r="L791" s="27"/>
      <c r="M791" s="27"/>
      <c r="N791" s="88"/>
      <c r="AK791" s="35"/>
      <c r="AL791" s="35"/>
      <c r="AM791" s="35"/>
      <c r="AN791" s="35"/>
      <c r="AO791" s="35"/>
      <c r="AP791" s="35"/>
      <c r="AQ791" s="35"/>
      <c r="AR791" s="35"/>
    </row>
    <row r="792" spans="5:44" x14ac:dyDescent="0.3">
      <c r="E792" s="26"/>
      <c r="F792" s="26"/>
      <c r="G792" s="59" t="str">
        <f t="shared" si="36"/>
        <v/>
      </c>
      <c r="H792" s="57"/>
      <c r="I792" s="57"/>
      <c r="K792" s="27"/>
      <c r="L792" s="27"/>
      <c r="M792" s="27"/>
      <c r="N792" s="88"/>
      <c r="AK792" s="35"/>
      <c r="AL792" s="35"/>
      <c r="AM792" s="35"/>
      <c r="AN792" s="35"/>
      <c r="AO792" s="35"/>
      <c r="AP792" s="35"/>
      <c r="AQ792" s="35"/>
      <c r="AR792" s="35"/>
    </row>
    <row r="793" spans="5:44" x14ac:dyDescent="0.3">
      <c r="E793" s="26"/>
      <c r="F793" s="26"/>
      <c r="G793" s="59" t="str">
        <f t="shared" si="36"/>
        <v/>
      </c>
      <c r="H793" s="57"/>
      <c r="I793" s="57"/>
      <c r="K793" s="27"/>
      <c r="L793" s="27"/>
      <c r="M793" s="27"/>
      <c r="N793" s="88"/>
      <c r="AK793" s="35"/>
      <c r="AL793" s="35"/>
      <c r="AM793" s="35"/>
      <c r="AN793" s="35"/>
      <c r="AO793" s="35"/>
      <c r="AP793" s="35"/>
      <c r="AQ793" s="35"/>
      <c r="AR793" s="35"/>
    </row>
    <row r="794" spans="5:44" x14ac:dyDescent="0.3">
      <c r="E794" s="26"/>
      <c r="F794" s="26"/>
      <c r="G794" s="59" t="str">
        <f t="shared" si="36"/>
        <v/>
      </c>
      <c r="H794" s="57"/>
      <c r="I794" s="57"/>
      <c r="K794" s="27"/>
      <c r="L794" s="27"/>
      <c r="M794" s="27"/>
      <c r="N794" s="88"/>
      <c r="AK794" s="35"/>
      <c r="AL794" s="35"/>
      <c r="AM794" s="35"/>
      <c r="AN794" s="35"/>
      <c r="AO794" s="35"/>
      <c r="AP794" s="35"/>
      <c r="AQ794" s="35"/>
      <c r="AR794" s="35"/>
    </row>
    <row r="795" spans="5:44" x14ac:dyDescent="0.3">
      <c r="E795" s="26"/>
      <c r="F795" s="26"/>
      <c r="G795" s="59" t="str">
        <f t="shared" si="36"/>
        <v/>
      </c>
      <c r="H795" s="57"/>
      <c r="I795" s="57"/>
      <c r="K795" s="27"/>
      <c r="L795" s="27"/>
      <c r="M795" s="27"/>
      <c r="N795" s="88"/>
      <c r="AK795" s="35"/>
      <c r="AL795" s="35"/>
      <c r="AM795" s="35"/>
      <c r="AN795" s="35"/>
      <c r="AO795" s="35"/>
      <c r="AP795" s="35"/>
      <c r="AQ795" s="35"/>
      <c r="AR795" s="35"/>
    </row>
    <row r="796" spans="5:44" x14ac:dyDescent="0.3">
      <c r="E796" s="26"/>
      <c r="F796" s="26"/>
      <c r="G796" s="59" t="str">
        <f t="shared" si="36"/>
        <v/>
      </c>
      <c r="H796" s="57"/>
      <c r="I796" s="57"/>
      <c r="K796" s="27"/>
      <c r="L796" s="27"/>
      <c r="M796" s="27"/>
      <c r="N796" s="88"/>
      <c r="AK796" s="35"/>
      <c r="AL796" s="35"/>
      <c r="AM796" s="35"/>
      <c r="AN796" s="35"/>
      <c r="AO796" s="35"/>
      <c r="AP796" s="35"/>
      <c r="AQ796" s="35"/>
      <c r="AR796" s="35"/>
    </row>
    <row r="797" spans="5:44" x14ac:dyDescent="0.3">
      <c r="E797" s="26"/>
      <c r="F797" s="26"/>
      <c r="G797" s="59" t="str">
        <f t="shared" si="36"/>
        <v/>
      </c>
      <c r="H797" s="57"/>
      <c r="I797" s="57"/>
      <c r="K797" s="27"/>
      <c r="L797" s="27"/>
      <c r="M797" s="27"/>
      <c r="N797" s="88"/>
      <c r="AK797" s="35"/>
      <c r="AL797" s="35"/>
      <c r="AM797" s="35"/>
      <c r="AN797" s="35"/>
      <c r="AO797" s="35"/>
      <c r="AP797" s="35"/>
      <c r="AQ797" s="35"/>
      <c r="AR797" s="35"/>
    </row>
    <row r="798" spans="5:44" x14ac:dyDescent="0.3">
      <c r="E798" s="26"/>
      <c r="F798" s="26"/>
      <c r="G798" s="59" t="str">
        <f t="shared" si="36"/>
        <v/>
      </c>
      <c r="H798" s="57"/>
      <c r="I798" s="57"/>
      <c r="K798" s="27"/>
      <c r="L798" s="27"/>
      <c r="M798" s="27"/>
      <c r="N798" s="88"/>
      <c r="AK798" s="35"/>
      <c r="AL798" s="35"/>
      <c r="AM798" s="35"/>
      <c r="AN798" s="35"/>
      <c r="AO798" s="35"/>
      <c r="AP798" s="35"/>
      <c r="AQ798" s="35"/>
      <c r="AR798" s="35"/>
    </row>
    <row r="799" spans="5:44" x14ac:dyDescent="0.3">
      <c r="E799" s="26"/>
      <c r="F799" s="26"/>
      <c r="G799" s="59" t="str">
        <f t="shared" si="36"/>
        <v/>
      </c>
      <c r="H799" s="57"/>
      <c r="I799" s="57"/>
      <c r="K799" s="27"/>
      <c r="L799" s="27"/>
      <c r="M799" s="27"/>
      <c r="N799" s="88"/>
      <c r="AK799" s="35"/>
      <c r="AL799" s="35"/>
      <c r="AM799" s="35"/>
      <c r="AN799" s="35"/>
      <c r="AO799" s="35"/>
      <c r="AP799" s="35"/>
      <c r="AQ799" s="35"/>
      <c r="AR799" s="35"/>
    </row>
    <row r="800" spans="5:44" x14ac:dyDescent="0.3">
      <c r="E800" s="26"/>
      <c r="F800" s="26"/>
      <c r="G800" s="59" t="str">
        <f t="shared" si="36"/>
        <v/>
      </c>
      <c r="H800" s="57"/>
      <c r="I800" s="57"/>
      <c r="K800" s="27"/>
      <c r="L800" s="27"/>
      <c r="M800" s="27"/>
      <c r="N800" s="88"/>
      <c r="AK800" s="35"/>
      <c r="AL800" s="35"/>
      <c r="AM800" s="35"/>
      <c r="AN800" s="35"/>
      <c r="AO800" s="35"/>
      <c r="AP800" s="35"/>
      <c r="AQ800" s="35"/>
      <c r="AR800" s="35"/>
    </row>
    <row r="801" spans="5:44" x14ac:dyDescent="0.3">
      <c r="E801" s="26"/>
      <c r="F801" s="26"/>
      <c r="G801" s="59" t="str">
        <f t="shared" si="36"/>
        <v/>
      </c>
      <c r="H801" s="57"/>
      <c r="I801" s="57"/>
      <c r="K801" s="27"/>
      <c r="L801" s="27"/>
      <c r="M801" s="27"/>
      <c r="N801" s="88"/>
      <c r="AK801" s="35"/>
      <c r="AL801" s="35"/>
      <c r="AM801" s="35"/>
      <c r="AN801" s="35"/>
      <c r="AO801" s="35"/>
      <c r="AP801" s="35"/>
      <c r="AQ801" s="35"/>
      <c r="AR801" s="35"/>
    </row>
    <row r="802" spans="5:44" x14ac:dyDescent="0.3">
      <c r="E802" s="26"/>
      <c r="F802" s="26"/>
      <c r="G802" s="59" t="str">
        <f t="shared" si="36"/>
        <v/>
      </c>
      <c r="H802" s="57"/>
      <c r="I802" s="57"/>
      <c r="K802" s="27"/>
      <c r="L802" s="27"/>
      <c r="M802" s="27"/>
      <c r="N802" s="88"/>
      <c r="AK802" s="35"/>
      <c r="AL802" s="35"/>
      <c r="AM802" s="35"/>
      <c r="AN802" s="35"/>
      <c r="AO802" s="35"/>
      <c r="AP802" s="35"/>
      <c r="AQ802" s="35"/>
      <c r="AR802" s="35"/>
    </row>
    <row r="803" spans="5:44" x14ac:dyDescent="0.3">
      <c r="E803" s="26"/>
      <c r="F803" s="26"/>
      <c r="G803" s="59" t="str">
        <f t="shared" si="36"/>
        <v/>
      </c>
      <c r="H803" s="57"/>
      <c r="I803" s="57"/>
      <c r="K803" s="27"/>
      <c r="L803" s="27"/>
      <c r="M803" s="27"/>
      <c r="N803" s="88"/>
      <c r="AK803" s="35"/>
      <c r="AL803" s="35"/>
      <c r="AM803" s="35"/>
      <c r="AN803" s="35"/>
      <c r="AO803" s="35"/>
      <c r="AP803" s="35"/>
      <c r="AQ803" s="35"/>
      <c r="AR803" s="35"/>
    </row>
    <row r="804" spans="5:44" x14ac:dyDescent="0.3">
      <c r="E804" s="26"/>
      <c r="F804" s="26"/>
      <c r="G804" s="59" t="str">
        <f t="shared" si="36"/>
        <v/>
      </c>
      <c r="H804" s="57"/>
      <c r="I804" s="57"/>
      <c r="K804" s="27"/>
      <c r="L804" s="27"/>
      <c r="M804" s="27"/>
      <c r="N804" s="88"/>
      <c r="AK804" s="35"/>
      <c r="AL804" s="35"/>
      <c r="AM804" s="35"/>
      <c r="AN804" s="35"/>
      <c r="AO804" s="35"/>
      <c r="AP804" s="35"/>
      <c r="AQ804" s="35"/>
      <c r="AR804" s="35"/>
    </row>
    <row r="805" spans="5:44" x14ac:dyDescent="0.3">
      <c r="E805" s="26"/>
      <c r="F805" s="26"/>
      <c r="G805" s="59" t="str">
        <f t="shared" si="36"/>
        <v/>
      </c>
      <c r="H805" s="57"/>
      <c r="I805" s="57"/>
      <c r="K805" s="27"/>
      <c r="L805" s="27"/>
      <c r="M805" s="27"/>
      <c r="N805" s="88"/>
      <c r="AK805" s="35"/>
      <c r="AL805" s="35"/>
      <c r="AM805" s="35"/>
      <c r="AN805" s="35"/>
      <c r="AO805" s="35"/>
      <c r="AP805" s="35"/>
      <c r="AQ805" s="35"/>
      <c r="AR805" s="35"/>
    </row>
    <row r="806" spans="5:44" x14ac:dyDescent="0.3">
      <c r="E806" s="26"/>
      <c r="F806" s="26"/>
      <c r="G806" s="59" t="str">
        <f t="shared" si="36"/>
        <v/>
      </c>
      <c r="H806" s="57"/>
      <c r="I806" s="57"/>
      <c r="K806" s="27"/>
      <c r="L806" s="27"/>
      <c r="M806" s="27"/>
      <c r="N806" s="88"/>
      <c r="AK806" s="35"/>
      <c r="AL806" s="35"/>
      <c r="AM806" s="35"/>
      <c r="AN806" s="35"/>
      <c r="AO806" s="35"/>
      <c r="AP806" s="35"/>
      <c r="AQ806" s="35"/>
      <c r="AR806" s="35"/>
    </row>
    <row r="807" spans="5:44" x14ac:dyDescent="0.3">
      <c r="E807" s="26"/>
      <c r="F807" s="26"/>
      <c r="G807" s="59" t="str">
        <f t="shared" si="36"/>
        <v/>
      </c>
      <c r="H807" s="57"/>
      <c r="I807" s="57"/>
      <c r="K807" s="27"/>
      <c r="L807" s="27"/>
      <c r="M807" s="27"/>
      <c r="N807" s="88"/>
      <c r="AK807" s="35"/>
      <c r="AL807" s="35"/>
      <c r="AM807" s="35"/>
      <c r="AN807" s="35"/>
      <c r="AO807" s="35"/>
      <c r="AP807" s="35"/>
      <c r="AQ807" s="35"/>
      <c r="AR807" s="35"/>
    </row>
    <row r="808" spans="5:44" x14ac:dyDescent="0.3">
      <c r="E808" s="26"/>
      <c r="F808" s="26"/>
      <c r="G808" s="59" t="str">
        <f t="shared" si="36"/>
        <v/>
      </c>
      <c r="H808" s="57"/>
      <c r="I808" s="57"/>
      <c r="K808" s="27"/>
      <c r="L808" s="27"/>
      <c r="M808" s="27"/>
      <c r="N808" s="88"/>
      <c r="AK808" s="35"/>
      <c r="AL808" s="35"/>
      <c r="AM808" s="35"/>
      <c r="AN808" s="35"/>
      <c r="AO808" s="35"/>
      <c r="AP808" s="35"/>
      <c r="AQ808" s="35"/>
      <c r="AR808" s="35"/>
    </row>
    <row r="809" spans="5:44" x14ac:dyDescent="0.3">
      <c r="E809" s="26"/>
      <c r="F809" s="26"/>
      <c r="G809" s="59" t="str">
        <f t="shared" si="36"/>
        <v/>
      </c>
      <c r="H809" s="57"/>
      <c r="I809" s="57"/>
      <c r="K809" s="27"/>
      <c r="L809" s="27"/>
      <c r="M809" s="27"/>
      <c r="N809" s="88"/>
      <c r="AK809" s="35"/>
      <c r="AL809" s="35"/>
      <c r="AM809" s="35"/>
      <c r="AN809" s="35"/>
      <c r="AO809" s="35"/>
      <c r="AP809" s="35"/>
      <c r="AQ809" s="35"/>
      <c r="AR809" s="35"/>
    </row>
    <row r="810" spans="5:44" x14ac:dyDescent="0.3">
      <c r="E810" s="26"/>
      <c r="F810" s="26"/>
      <c r="G810" s="59" t="str">
        <f t="shared" si="36"/>
        <v/>
      </c>
      <c r="H810" s="57"/>
      <c r="I810" s="57"/>
      <c r="K810" s="27"/>
      <c r="L810" s="27"/>
      <c r="M810" s="27"/>
      <c r="N810" s="88"/>
      <c r="AK810" s="35"/>
      <c r="AL810" s="35"/>
      <c r="AM810" s="35"/>
      <c r="AN810" s="35"/>
      <c r="AO810" s="35"/>
      <c r="AP810" s="35"/>
      <c r="AQ810" s="35"/>
      <c r="AR810" s="35"/>
    </row>
    <row r="811" spans="5:44" x14ac:dyDescent="0.3">
      <c r="E811" s="26"/>
      <c r="F811" s="26"/>
      <c r="G811" s="59" t="str">
        <f t="shared" si="36"/>
        <v/>
      </c>
      <c r="H811" s="57"/>
      <c r="I811" s="57"/>
      <c r="K811" s="27"/>
      <c r="L811" s="27"/>
      <c r="M811" s="27"/>
      <c r="N811" s="88"/>
      <c r="AK811" s="35"/>
      <c r="AL811" s="35"/>
      <c r="AM811" s="35"/>
      <c r="AN811" s="35"/>
      <c r="AO811" s="35"/>
      <c r="AP811" s="35"/>
      <c r="AQ811" s="35"/>
      <c r="AR811" s="35"/>
    </row>
    <row r="812" spans="5:44" x14ac:dyDescent="0.3">
      <c r="E812" s="26"/>
      <c r="F812" s="26"/>
      <c r="G812" s="59" t="str">
        <f t="shared" si="36"/>
        <v/>
      </c>
      <c r="H812" s="57"/>
      <c r="I812" s="57"/>
      <c r="K812" s="27"/>
      <c r="L812" s="27"/>
      <c r="M812" s="27"/>
      <c r="N812" s="88"/>
      <c r="AK812" s="35"/>
      <c r="AL812" s="35"/>
      <c r="AM812" s="35"/>
      <c r="AN812" s="35"/>
      <c r="AO812" s="35"/>
      <c r="AP812" s="35"/>
      <c r="AQ812" s="35"/>
      <c r="AR812" s="35"/>
    </row>
    <row r="813" spans="5:44" x14ac:dyDescent="0.3">
      <c r="E813" s="26"/>
      <c r="F813" s="26"/>
      <c r="G813" s="59" t="str">
        <f t="shared" si="36"/>
        <v/>
      </c>
      <c r="H813" s="57"/>
      <c r="I813" s="57"/>
      <c r="K813" s="27"/>
      <c r="L813" s="27"/>
      <c r="M813" s="27"/>
      <c r="N813" s="88"/>
      <c r="AK813" s="35"/>
      <c r="AL813" s="35"/>
      <c r="AM813" s="35"/>
      <c r="AN813" s="35"/>
      <c r="AO813" s="35"/>
      <c r="AP813" s="35"/>
      <c r="AQ813" s="35"/>
      <c r="AR813" s="35"/>
    </row>
    <row r="814" spans="5:44" x14ac:dyDescent="0.3">
      <c r="E814" s="26"/>
      <c r="F814" s="26"/>
      <c r="G814" s="59" t="str">
        <f t="shared" si="36"/>
        <v/>
      </c>
      <c r="H814" s="57"/>
      <c r="I814" s="57"/>
      <c r="K814" s="27"/>
      <c r="L814" s="27"/>
      <c r="M814" s="27"/>
      <c r="N814" s="88"/>
      <c r="AK814" s="35"/>
      <c r="AL814" s="35"/>
      <c r="AM814" s="35"/>
      <c r="AN814" s="35"/>
      <c r="AO814" s="35"/>
      <c r="AP814" s="35"/>
      <c r="AQ814" s="35"/>
      <c r="AR814" s="35"/>
    </row>
    <row r="815" spans="5:44" x14ac:dyDescent="0.3">
      <c r="E815" s="26"/>
      <c r="F815" s="26"/>
      <c r="G815" s="59" t="str">
        <f t="shared" si="36"/>
        <v/>
      </c>
      <c r="H815" s="57"/>
      <c r="I815" s="57"/>
      <c r="K815" s="27"/>
      <c r="L815" s="27"/>
      <c r="M815" s="27"/>
      <c r="N815" s="88"/>
      <c r="AK815" s="35"/>
      <c r="AL815" s="35"/>
      <c r="AM815" s="35"/>
      <c r="AN815" s="35"/>
      <c r="AO815" s="35"/>
      <c r="AP815" s="35"/>
      <c r="AQ815" s="35"/>
      <c r="AR815" s="35"/>
    </row>
    <row r="816" spans="5:44" x14ac:dyDescent="0.3">
      <c r="E816" s="26"/>
      <c r="F816" s="26"/>
      <c r="G816" s="59" t="str">
        <f t="shared" si="36"/>
        <v/>
      </c>
      <c r="H816" s="57"/>
      <c r="I816" s="57"/>
      <c r="K816" s="27"/>
      <c r="L816" s="27"/>
      <c r="M816" s="27"/>
      <c r="N816" s="88"/>
      <c r="AK816" s="35"/>
      <c r="AL816" s="35"/>
      <c r="AM816" s="35"/>
      <c r="AN816" s="35"/>
      <c r="AO816" s="35"/>
      <c r="AP816" s="35"/>
      <c r="AQ816" s="35"/>
      <c r="AR816" s="35"/>
    </row>
    <row r="817" spans="5:44" x14ac:dyDescent="0.3">
      <c r="E817" s="26"/>
      <c r="F817" s="26"/>
      <c r="G817" s="59" t="str">
        <f t="shared" si="36"/>
        <v/>
      </c>
      <c r="H817" s="57"/>
      <c r="I817" s="57"/>
      <c r="K817" s="27"/>
      <c r="L817" s="27"/>
      <c r="M817" s="27"/>
      <c r="N817" s="88"/>
      <c r="AK817" s="35"/>
      <c r="AL817" s="35"/>
      <c r="AM817" s="35"/>
      <c r="AN817" s="35"/>
      <c r="AO817" s="35"/>
      <c r="AP817" s="35"/>
      <c r="AQ817" s="35"/>
      <c r="AR817" s="35"/>
    </row>
    <row r="818" spans="5:44" x14ac:dyDescent="0.3">
      <c r="E818" s="26"/>
      <c r="F818" s="26"/>
      <c r="G818" s="59" t="str">
        <f t="shared" si="36"/>
        <v/>
      </c>
      <c r="H818" s="57"/>
      <c r="I818" s="57"/>
      <c r="K818" s="27"/>
      <c r="L818" s="27"/>
      <c r="M818" s="27"/>
      <c r="N818" s="88"/>
      <c r="AK818" s="35"/>
      <c r="AL818" s="35"/>
      <c r="AM818" s="35"/>
      <c r="AN818" s="35"/>
      <c r="AO818" s="35"/>
      <c r="AP818" s="35"/>
      <c r="AQ818" s="35"/>
      <c r="AR818" s="35"/>
    </row>
    <row r="819" spans="5:44" x14ac:dyDescent="0.3">
      <c r="E819" s="26"/>
      <c r="F819" s="26"/>
      <c r="G819" s="59" t="str">
        <f t="shared" si="36"/>
        <v/>
      </c>
      <c r="H819" s="57"/>
      <c r="I819" s="57"/>
      <c r="K819" s="27"/>
      <c r="L819" s="27"/>
      <c r="M819" s="27"/>
      <c r="N819" s="88"/>
      <c r="AK819" s="35"/>
      <c r="AL819" s="35"/>
      <c r="AM819" s="35"/>
      <c r="AN819" s="35"/>
      <c r="AO819" s="35"/>
      <c r="AP819" s="35"/>
      <c r="AQ819" s="35"/>
      <c r="AR819" s="35"/>
    </row>
    <row r="820" spans="5:44" x14ac:dyDescent="0.3">
      <c r="E820" s="26"/>
      <c r="F820" s="26"/>
      <c r="G820" s="59" t="str">
        <f t="shared" si="36"/>
        <v/>
      </c>
      <c r="H820" s="57"/>
      <c r="I820" s="57"/>
      <c r="K820" s="27"/>
      <c r="L820" s="27"/>
      <c r="M820" s="27"/>
      <c r="N820" s="88"/>
      <c r="AK820" s="35"/>
      <c r="AL820" s="35"/>
      <c r="AM820" s="35"/>
      <c r="AN820" s="35"/>
      <c r="AO820" s="35"/>
      <c r="AP820" s="35"/>
      <c r="AQ820" s="35"/>
      <c r="AR820" s="35"/>
    </row>
    <row r="821" spans="5:44" x14ac:dyDescent="0.3">
      <c r="E821" s="26"/>
      <c r="F821" s="26"/>
      <c r="G821" s="59" t="str">
        <f t="shared" si="36"/>
        <v/>
      </c>
      <c r="H821" s="57"/>
      <c r="I821" s="57"/>
      <c r="K821" s="27"/>
      <c r="L821" s="27"/>
      <c r="M821" s="27"/>
      <c r="N821" s="88"/>
      <c r="AK821" s="35"/>
      <c r="AL821" s="35"/>
      <c r="AM821" s="35"/>
      <c r="AN821" s="35"/>
      <c r="AO821" s="35"/>
      <c r="AP821" s="35"/>
      <c r="AQ821" s="35"/>
      <c r="AR821" s="35"/>
    </row>
    <row r="822" spans="5:44" x14ac:dyDescent="0.3">
      <c r="E822" s="26"/>
      <c r="F822" s="26"/>
      <c r="G822" s="59" t="str">
        <f t="shared" si="36"/>
        <v/>
      </c>
      <c r="H822" s="57"/>
      <c r="I822" s="57"/>
      <c r="K822" s="27"/>
      <c r="L822" s="27"/>
      <c r="M822" s="27"/>
      <c r="N822" s="88"/>
      <c r="AK822" s="35"/>
      <c r="AL822" s="35"/>
      <c r="AM822" s="35"/>
      <c r="AN822" s="35"/>
      <c r="AO822" s="35"/>
      <c r="AP822" s="35"/>
      <c r="AQ822" s="35"/>
      <c r="AR822" s="35"/>
    </row>
    <row r="823" spans="5:44" x14ac:dyDescent="0.3">
      <c r="E823" s="26"/>
      <c r="F823" s="26"/>
      <c r="G823" s="59" t="str">
        <f t="shared" ref="G823:G886" si="37">IF(AND(F823="",E823=""),"",IF(AND(F823="",E823&lt;&gt;""),G822,F823))</f>
        <v/>
      </c>
      <c r="H823" s="57"/>
      <c r="I823" s="57"/>
      <c r="K823" s="27"/>
      <c r="L823" s="27"/>
      <c r="M823" s="27"/>
      <c r="N823" s="88"/>
      <c r="AK823" s="35"/>
      <c r="AL823" s="35"/>
      <c r="AM823" s="35"/>
      <c r="AN823" s="35"/>
      <c r="AO823" s="35"/>
      <c r="AP823" s="35"/>
      <c r="AQ823" s="35"/>
      <c r="AR823" s="35"/>
    </row>
    <row r="824" spans="5:44" x14ac:dyDescent="0.3">
      <c r="E824" s="26"/>
      <c r="F824" s="26"/>
      <c r="G824" s="59" t="str">
        <f t="shared" si="37"/>
        <v/>
      </c>
      <c r="H824" s="57"/>
      <c r="I824" s="57"/>
      <c r="K824" s="27"/>
      <c r="L824" s="27"/>
      <c r="M824" s="27"/>
      <c r="N824" s="88"/>
      <c r="AK824" s="35"/>
      <c r="AL824" s="35"/>
      <c r="AM824" s="35"/>
      <c r="AN824" s="35"/>
      <c r="AO824" s="35"/>
      <c r="AP824" s="35"/>
      <c r="AQ824" s="35"/>
      <c r="AR824" s="35"/>
    </row>
    <row r="825" spans="5:44" x14ac:dyDescent="0.3">
      <c r="E825" s="26"/>
      <c r="F825" s="26"/>
      <c r="G825" s="59" t="str">
        <f t="shared" si="37"/>
        <v/>
      </c>
      <c r="H825" s="57"/>
      <c r="I825" s="57"/>
      <c r="K825" s="27"/>
      <c r="L825" s="27"/>
      <c r="M825" s="27"/>
      <c r="N825" s="88"/>
      <c r="AK825" s="35"/>
      <c r="AL825" s="35"/>
      <c r="AM825" s="35"/>
      <c r="AN825" s="35"/>
      <c r="AO825" s="35"/>
      <c r="AP825" s="35"/>
      <c r="AQ825" s="35"/>
      <c r="AR825" s="35"/>
    </row>
    <row r="826" spans="5:44" x14ac:dyDescent="0.3">
      <c r="E826" s="26"/>
      <c r="F826" s="26"/>
      <c r="G826" s="59" t="str">
        <f t="shared" si="37"/>
        <v/>
      </c>
      <c r="H826" s="57"/>
      <c r="I826" s="57"/>
      <c r="K826" s="27"/>
      <c r="L826" s="27"/>
      <c r="M826" s="27"/>
      <c r="N826" s="88"/>
      <c r="AK826" s="35"/>
      <c r="AL826" s="35"/>
      <c r="AM826" s="35"/>
      <c r="AN826" s="35"/>
      <c r="AO826" s="35"/>
      <c r="AP826" s="35"/>
      <c r="AQ826" s="35"/>
      <c r="AR826" s="35"/>
    </row>
    <row r="827" spans="5:44" x14ac:dyDescent="0.3">
      <c r="E827" s="26"/>
      <c r="F827" s="26"/>
      <c r="G827" s="59" t="str">
        <f t="shared" si="37"/>
        <v/>
      </c>
      <c r="H827" s="57"/>
      <c r="I827" s="57"/>
      <c r="K827" s="27"/>
      <c r="L827" s="27"/>
      <c r="M827" s="27"/>
      <c r="N827" s="88"/>
      <c r="AK827" s="35"/>
      <c r="AL827" s="35"/>
      <c r="AM827" s="35"/>
      <c r="AN827" s="35"/>
      <c r="AO827" s="35"/>
      <c r="AP827" s="35"/>
      <c r="AQ827" s="35"/>
      <c r="AR827" s="35"/>
    </row>
    <row r="828" spans="5:44" x14ac:dyDescent="0.3">
      <c r="E828" s="26"/>
      <c r="F828" s="26"/>
      <c r="G828" s="59" t="str">
        <f t="shared" si="37"/>
        <v/>
      </c>
      <c r="H828" s="57"/>
      <c r="I828" s="57"/>
      <c r="K828" s="27"/>
      <c r="L828" s="27"/>
      <c r="M828" s="27"/>
      <c r="N828" s="88"/>
      <c r="AK828" s="35"/>
      <c r="AL828" s="35"/>
      <c r="AM828" s="35"/>
      <c r="AN828" s="35"/>
      <c r="AO828" s="35"/>
      <c r="AP828" s="35"/>
      <c r="AQ828" s="35"/>
      <c r="AR828" s="35"/>
    </row>
    <row r="829" spans="5:44" x14ac:dyDescent="0.3">
      <c r="E829" s="26"/>
      <c r="F829" s="26"/>
      <c r="G829" s="59" t="str">
        <f t="shared" si="37"/>
        <v/>
      </c>
      <c r="H829" s="57"/>
      <c r="I829" s="57"/>
      <c r="K829" s="27"/>
      <c r="L829" s="27"/>
      <c r="M829" s="27"/>
      <c r="N829" s="88"/>
      <c r="AK829" s="35"/>
      <c r="AL829" s="35"/>
      <c r="AM829" s="35"/>
      <c r="AN829" s="35"/>
      <c r="AO829" s="35"/>
      <c r="AP829" s="35"/>
      <c r="AQ829" s="35"/>
      <c r="AR829" s="35"/>
    </row>
    <row r="830" spans="5:44" x14ac:dyDescent="0.3">
      <c r="E830" s="26"/>
      <c r="F830" s="26"/>
      <c r="G830" s="59" t="str">
        <f t="shared" si="37"/>
        <v/>
      </c>
      <c r="H830" s="57"/>
      <c r="I830" s="57"/>
      <c r="K830" s="27"/>
      <c r="L830" s="27"/>
      <c r="M830" s="27"/>
      <c r="N830" s="88"/>
      <c r="AK830" s="35"/>
      <c r="AL830" s="35"/>
      <c r="AM830" s="35"/>
      <c r="AN830" s="35"/>
      <c r="AO830" s="35"/>
      <c r="AP830" s="35"/>
      <c r="AQ830" s="35"/>
      <c r="AR830" s="35"/>
    </row>
    <row r="831" spans="5:44" x14ac:dyDescent="0.3">
      <c r="E831" s="26"/>
      <c r="F831" s="26"/>
      <c r="G831" s="59" t="str">
        <f t="shared" si="37"/>
        <v/>
      </c>
      <c r="H831" s="57"/>
      <c r="I831" s="57"/>
      <c r="K831" s="27"/>
      <c r="L831" s="27"/>
      <c r="M831" s="27"/>
      <c r="N831" s="88"/>
      <c r="AK831" s="35"/>
      <c r="AL831" s="35"/>
      <c r="AM831" s="35"/>
      <c r="AN831" s="35"/>
      <c r="AO831" s="35"/>
      <c r="AP831" s="35"/>
      <c r="AQ831" s="35"/>
      <c r="AR831" s="35"/>
    </row>
    <row r="832" spans="5:44" x14ac:dyDescent="0.3">
      <c r="E832" s="26"/>
      <c r="F832" s="26"/>
      <c r="G832" s="59" t="str">
        <f t="shared" si="37"/>
        <v/>
      </c>
      <c r="H832" s="57"/>
      <c r="I832" s="57"/>
      <c r="K832" s="27"/>
      <c r="L832" s="27"/>
      <c r="M832" s="27"/>
      <c r="N832" s="88"/>
      <c r="AK832" s="35"/>
      <c r="AL832" s="35"/>
      <c r="AM832" s="35"/>
      <c r="AN832" s="35"/>
      <c r="AO832" s="35"/>
      <c r="AP832" s="35"/>
      <c r="AQ832" s="35"/>
      <c r="AR832" s="35"/>
    </row>
    <row r="833" spans="5:44" x14ac:dyDescent="0.3">
      <c r="E833" s="26"/>
      <c r="F833" s="26"/>
      <c r="G833" s="59" t="str">
        <f t="shared" si="37"/>
        <v/>
      </c>
      <c r="H833" s="57"/>
      <c r="I833" s="57"/>
      <c r="K833" s="27"/>
      <c r="L833" s="27"/>
      <c r="M833" s="27"/>
      <c r="N833" s="88"/>
      <c r="AK833" s="35"/>
      <c r="AL833" s="35"/>
      <c r="AM833" s="35"/>
      <c r="AN833" s="35"/>
      <c r="AO833" s="35"/>
      <c r="AP833" s="35"/>
      <c r="AQ833" s="35"/>
      <c r="AR833" s="35"/>
    </row>
    <row r="834" spans="5:44" x14ac:dyDescent="0.3">
      <c r="E834" s="26"/>
      <c r="F834" s="26"/>
      <c r="G834" s="59" t="str">
        <f t="shared" si="37"/>
        <v/>
      </c>
      <c r="H834" s="57"/>
      <c r="I834" s="57"/>
      <c r="K834" s="27"/>
      <c r="L834" s="27"/>
      <c r="M834" s="27"/>
      <c r="N834" s="88"/>
      <c r="AK834" s="35"/>
      <c r="AL834" s="35"/>
      <c r="AM834" s="35"/>
      <c r="AN834" s="35"/>
      <c r="AO834" s="35"/>
      <c r="AP834" s="35"/>
      <c r="AQ834" s="35"/>
      <c r="AR834" s="35"/>
    </row>
    <row r="835" spans="5:44" x14ac:dyDescent="0.3">
      <c r="E835" s="26"/>
      <c r="F835" s="26"/>
      <c r="G835" s="59" t="str">
        <f t="shared" si="37"/>
        <v/>
      </c>
      <c r="H835" s="57"/>
      <c r="I835" s="57"/>
      <c r="K835" s="27"/>
      <c r="L835" s="27"/>
      <c r="M835" s="27"/>
      <c r="N835" s="88"/>
      <c r="AK835" s="35"/>
      <c r="AL835" s="35"/>
      <c r="AM835" s="35"/>
      <c r="AN835" s="35"/>
      <c r="AO835" s="35"/>
      <c r="AP835" s="35"/>
      <c r="AQ835" s="35"/>
      <c r="AR835" s="35"/>
    </row>
    <row r="836" spans="5:44" x14ac:dyDescent="0.3">
      <c r="E836" s="26"/>
      <c r="F836" s="26"/>
      <c r="G836" s="59" t="str">
        <f t="shared" si="37"/>
        <v/>
      </c>
      <c r="H836" s="57"/>
      <c r="I836" s="57"/>
      <c r="K836" s="27"/>
      <c r="L836" s="27"/>
      <c r="M836" s="27"/>
      <c r="N836" s="88"/>
      <c r="AK836" s="35"/>
      <c r="AL836" s="35"/>
      <c r="AM836" s="35"/>
      <c r="AN836" s="35"/>
      <c r="AO836" s="35"/>
      <c r="AP836" s="35"/>
      <c r="AQ836" s="35"/>
      <c r="AR836" s="35"/>
    </row>
    <row r="837" spans="5:44" x14ac:dyDescent="0.3">
      <c r="E837" s="26"/>
      <c r="F837" s="26"/>
      <c r="G837" s="59" t="str">
        <f t="shared" si="37"/>
        <v/>
      </c>
      <c r="H837" s="57"/>
      <c r="I837" s="57"/>
      <c r="K837" s="27"/>
      <c r="L837" s="27"/>
      <c r="M837" s="27"/>
      <c r="N837" s="88"/>
      <c r="AK837" s="35"/>
      <c r="AL837" s="35"/>
      <c r="AM837" s="35"/>
      <c r="AN837" s="35"/>
      <c r="AO837" s="35"/>
      <c r="AP837" s="35"/>
      <c r="AQ837" s="35"/>
      <c r="AR837" s="35"/>
    </row>
    <row r="838" spans="5:44" x14ac:dyDescent="0.3">
      <c r="E838" s="26"/>
      <c r="F838" s="26"/>
      <c r="G838" s="59" t="str">
        <f t="shared" si="37"/>
        <v/>
      </c>
      <c r="H838" s="57"/>
      <c r="I838" s="57"/>
      <c r="K838" s="27"/>
      <c r="L838" s="27"/>
      <c r="M838" s="27"/>
      <c r="N838" s="88"/>
      <c r="AK838" s="35"/>
      <c r="AL838" s="35"/>
      <c r="AM838" s="35"/>
      <c r="AN838" s="35"/>
      <c r="AO838" s="35"/>
      <c r="AP838" s="35"/>
      <c r="AQ838" s="35"/>
      <c r="AR838" s="35"/>
    </row>
    <row r="839" spans="5:44" x14ac:dyDescent="0.3">
      <c r="E839" s="26"/>
      <c r="F839" s="26"/>
      <c r="G839" s="59" t="str">
        <f t="shared" si="37"/>
        <v/>
      </c>
      <c r="H839" s="57"/>
      <c r="I839" s="57"/>
      <c r="K839" s="27"/>
      <c r="L839" s="27"/>
      <c r="M839" s="27"/>
      <c r="N839" s="88"/>
      <c r="AK839" s="35"/>
      <c r="AL839" s="35"/>
      <c r="AM839" s="35"/>
      <c r="AN839" s="35"/>
      <c r="AO839" s="35"/>
      <c r="AP839" s="35"/>
      <c r="AQ839" s="35"/>
      <c r="AR839" s="35"/>
    </row>
    <row r="840" spans="5:44" x14ac:dyDescent="0.3">
      <c r="E840" s="26"/>
      <c r="F840" s="26"/>
      <c r="G840" s="59" t="str">
        <f t="shared" si="37"/>
        <v/>
      </c>
      <c r="H840" s="57"/>
      <c r="I840" s="57"/>
      <c r="K840" s="27"/>
      <c r="L840" s="27"/>
      <c r="M840" s="27"/>
      <c r="N840" s="88"/>
      <c r="AK840" s="35"/>
      <c r="AL840" s="35"/>
      <c r="AM840" s="35"/>
      <c r="AN840" s="35"/>
      <c r="AO840" s="35"/>
      <c r="AP840" s="35"/>
      <c r="AQ840" s="35"/>
      <c r="AR840" s="35"/>
    </row>
    <row r="841" spans="5:44" x14ac:dyDescent="0.3">
      <c r="E841" s="26"/>
      <c r="F841" s="26"/>
      <c r="G841" s="59" t="str">
        <f t="shared" si="37"/>
        <v/>
      </c>
      <c r="H841" s="57"/>
      <c r="I841" s="57"/>
      <c r="K841" s="27"/>
      <c r="L841" s="27"/>
      <c r="M841" s="27"/>
      <c r="N841" s="88"/>
      <c r="AK841" s="35"/>
      <c r="AL841" s="35"/>
      <c r="AM841" s="35"/>
      <c r="AN841" s="35"/>
      <c r="AO841" s="35"/>
      <c r="AP841" s="35"/>
      <c r="AQ841" s="35"/>
      <c r="AR841" s="35"/>
    </row>
    <row r="842" spans="5:44" x14ac:dyDescent="0.3">
      <c r="E842" s="26"/>
      <c r="F842" s="26"/>
      <c r="G842" s="59" t="str">
        <f t="shared" si="37"/>
        <v/>
      </c>
      <c r="H842" s="57"/>
      <c r="I842" s="57"/>
      <c r="K842" s="27"/>
      <c r="L842" s="27"/>
      <c r="M842" s="27"/>
      <c r="N842" s="88"/>
      <c r="AK842" s="35"/>
      <c r="AL842" s="35"/>
      <c r="AM842" s="35"/>
      <c r="AN842" s="35"/>
      <c r="AO842" s="35"/>
      <c r="AP842" s="35"/>
      <c r="AQ842" s="35"/>
      <c r="AR842" s="35"/>
    </row>
    <row r="843" spans="5:44" x14ac:dyDescent="0.3">
      <c r="E843" s="26"/>
      <c r="F843" s="26"/>
      <c r="G843" s="59" t="str">
        <f t="shared" si="37"/>
        <v/>
      </c>
      <c r="H843" s="57"/>
      <c r="I843" s="57"/>
      <c r="K843" s="27"/>
      <c r="L843" s="27"/>
      <c r="M843" s="27"/>
      <c r="N843" s="88"/>
      <c r="AK843" s="35"/>
      <c r="AL843" s="35"/>
      <c r="AM843" s="35"/>
      <c r="AN843" s="35"/>
      <c r="AO843" s="35"/>
      <c r="AP843" s="35"/>
      <c r="AQ843" s="35"/>
      <c r="AR843" s="35"/>
    </row>
    <row r="844" spans="5:44" x14ac:dyDescent="0.3">
      <c r="E844" s="26"/>
      <c r="F844" s="26"/>
      <c r="G844" s="59" t="str">
        <f t="shared" si="37"/>
        <v/>
      </c>
      <c r="H844" s="57"/>
      <c r="I844" s="57"/>
      <c r="K844" s="27"/>
      <c r="L844" s="27"/>
      <c r="M844" s="27"/>
      <c r="N844" s="88"/>
      <c r="AK844" s="35"/>
      <c r="AL844" s="35"/>
      <c r="AM844" s="35"/>
      <c r="AN844" s="35"/>
      <c r="AO844" s="35"/>
      <c r="AP844" s="35"/>
      <c r="AQ844" s="35"/>
      <c r="AR844" s="35"/>
    </row>
    <row r="845" spans="5:44" x14ac:dyDescent="0.3">
      <c r="E845" s="26"/>
      <c r="F845" s="26"/>
      <c r="G845" s="59" t="str">
        <f t="shared" si="37"/>
        <v/>
      </c>
      <c r="H845" s="57"/>
      <c r="I845" s="57"/>
      <c r="K845" s="27"/>
      <c r="L845" s="27"/>
      <c r="M845" s="27"/>
      <c r="N845" s="88"/>
      <c r="AK845" s="35"/>
      <c r="AL845" s="35"/>
      <c r="AM845" s="35"/>
      <c r="AN845" s="35"/>
      <c r="AO845" s="35"/>
      <c r="AP845" s="35"/>
      <c r="AQ845" s="35"/>
      <c r="AR845" s="35"/>
    </row>
    <row r="846" spans="5:44" x14ac:dyDescent="0.3">
      <c r="E846" s="26"/>
      <c r="F846" s="26"/>
      <c r="G846" s="59" t="str">
        <f t="shared" si="37"/>
        <v/>
      </c>
      <c r="H846" s="57"/>
      <c r="I846" s="57"/>
      <c r="K846" s="27"/>
      <c r="L846" s="27"/>
      <c r="M846" s="27"/>
      <c r="N846" s="88"/>
      <c r="AK846" s="35"/>
      <c r="AL846" s="35"/>
      <c r="AM846" s="35"/>
      <c r="AN846" s="35"/>
      <c r="AO846" s="35"/>
      <c r="AP846" s="35"/>
      <c r="AQ846" s="35"/>
      <c r="AR846" s="35"/>
    </row>
    <row r="847" spans="5:44" x14ac:dyDescent="0.3">
      <c r="E847" s="26"/>
      <c r="F847" s="26"/>
      <c r="G847" s="59" t="str">
        <f t="shared" si="37"/>
        <v/>
      </c>
      <c r="H847" s="57"/>
      <c r="I847" s="57"/>
      <c r="K847" s="27"/>
      <c r="L847" s="27"/>
      <c r="M847" s="27"/>
      <c r="N847" s="88"/>
      <c r="AK847" s="35"/>
      <c r="AL847" s="35"/>
      <c r="AM847" s="35"/>
      <c r="AN847" s="35"/>
      <c r="AO847" s="35"/>
      <c r="AP847" s="35"/>
      <c r="AQ847" s="35"/>
      <c r="AR847" s="35"/>
    </row>
    <row r="848" spans="5:44" x14ac:dyDescent="0.3">
      <c r="E848" s="26"/>
      <c r="F848" s="26"/>
      <c r="G848" s="59" t="str">
        <f t="shared" si="37"/>
        <v/>
      </c>
      <c r="H848" s="57"/>
      <c r="I848" s="57"/>
      <c r="K848" s="27"/>
      <c r="L848" s="27"/>
      <c r="M848" s="27"/>
      <c r="N848" s="88"/>
      <c r="AK848" s="35"/>
      <c r="AL848" s="35"/>
      <c r="AM848" s="35"/>
      <c r="AN848" s="35"/>
      <c r="AO848" s="35"/>
      <c r="AP848" s="35"/>
      <c r="AQ848" s="35"/>
      <c r="AR848" s="35"/>
    </row>
    <row r="849" spans="5:44" x14ac:dyDescent="0.3">
      <c r="E849" s="26"/>
      <c r="F849" s="26"/>
      <c r="G849" s="59" t="str">
        <f t="shared" si="37"/>
        <v/>
      </c>
      <c r="H849" s="57"/>
      <c r="I849" s="57"/>
      <c r="K849" s="27"/>
      <c r="L849" s="27"/>
      <c r="M849" s="27"/>
      <c r="N849" s="88"/>
      <c r="AK849" s="35"/>
      <c r="AL849" s="35"/>
      <c r="AM849" s="35"/>
      <c r="AN849" s="35"/>
      <c r="AO849" s="35"/>
      <c r="AP849" s="35"/>
      <c r="AQ849" s="35"/>
      <c r="AR849" s="35"/>
    </row>
    <row r="850" spans="5:44" x14ac:dyDescent="0.3">
      <c r="E850" s="26"/>
      <c r="F850" s="26"/>
      <c r="G850" s="59" t="str">
        <f t="shared" si="37"/>
        <v/>
      </c>
      <c r="H850" s="57"/>
      <c r="I850" s="57"/>
      <c r="K850" s="27"/>
      <c r="L850" s="27"/>
      <c r="M850" s="27"/>
      <c r="N850" s="88"/>
      <c r="AK850" s="35"/>
      <c r="AL850" s="35"/>
      <c r="AM850" s="35"/>
      <c r="AN850" s="35"/>
      <c r="AO850" s="35"/>
      <c r="AP850" s="35"/>
      <c r="AQ850" s="35"/>
      <c r="AR850" s="35"/>
    </row>
    <row r="851" spans="5:44" x14ac:dyDescent="0.3">
      <c r="E851" s="26"/>
      <c r="F851" s="26"/>
      <c r="G851" s="59" t="str">
        <f t="shared" si="37"/>
        <v/>
      </c>
      <c r="H851" s="57"/>
      <c r="I851" s="57"/>
      <c r="K851" s="27"/>
      <c r="L851" s="27"/>
      <c r="M851" s="27"/>
      <c r="N851" s="88"/>
      <c r="AK851" s="35"/>
      <c r="AL851" s="35"/>
      <c r="AM851" s="35"/>
      <c r="AN851" s="35"/>
      <c r="AO851" s="35"/>
      <c r="AP851" s="35"/>
      <c r="AQ851" s="35"/>
      <c r="AR851" s="35"/>
    </row>
    <row r="852" spans="5:44" x14ac:dyDescent="0.3">
      <c r="E852" s="26"/>
      <c r="F852" s="26"/>
      <c r="G852" s="59" t="str">
        <f t="shared" si="37"/>
        <v/>
      </c>
      <c r="H852" s="57"/>
      <c r="I852" s="57"/>
      <c r="K852" s="27"/>
      <c r="L852" s="27"/>
      <c r="M852" s="27"/>
      <c r="N852" s="88"/>
      <c r="AK852" s="35"/>
      <c r="AL852" s="35"/>
      <c r="AM852" s="35"/>
      <c r="AN852" s="35"/>
      <c r="AO852" s="35"/>
      <c r="AP852" s="35"/>
      <c r="AQ852" s="35"/>
      <c r="AR852" s="35"/>
    </row>
    <row r="853" spans="5:44" x14ac:dyDescent="0.3">
      <c r="E853" s="26"/>
      <c r="F853" s="26"/>
      <c r="G853" s="59" t="str">
        <f t="shared" si="37"/>
        <v/>
      </c>
      <c r="H853" s="57"/>
      <c r="I853" s="57"/>
      <c r="K853" s="27"/>
      <c r="L853" s="27"/>
      <c r="M853" s="27"/>
      <c r="N853" s="88"/>
      <c r="AK853" s="35"/>
      <c r="AL853" s="35"/>
      <c r="AM853" s="35"/>
      <c r="AN853" s="35"/>
      <c r="AO853" s="35"/>
      <c r="AP853" s="35"/>
      <c r="AQ853" s="35"/>
      <c r="AR853" s="35"/>
    </row>
    <row r="854" spans="5:44" x14ac:dyDescent="0.3">
      <c r="E854" s="26"/>
      <c r="F854" s="26"/>
      <c r="G854" s="59" t="str">
        <f t="shared" si="37"/>
        <v/>
      </c>
      <c r="H854" s="57"/>
      <c r="I854" s="57"/>
      <c r="K854" s="27"/>
      <c r="L854" s="27"/>
      <c r="M854" s="27"/>
      <c r="N854" s="88"/>
      <c r="AK854" s="35"/>
      <c r="AL854" s="35"/>
      <c r="AM854" s="35"/>
      <c r="AN854" s="35"/>
      <c r="AO854" s="35"/>
      <c r="AP854" s="35"/>
      <c r="AQ854" s="35"/>
      <c r="AR854" s="35"/>
    </row>
    <row r="855" spans="5:44" x14ac:dyDescent="0.3">
      <c r="E855" s="26"/>
      <c r="F855" s="26"/>
      <c r="G855" s="59" t="str">
        <f t="shared" si="37"/>
        <v/>
      </c>
      <c r="H855" s="57"/>
      <c r="I855" s="57"/>
      <c r="K855" s="27"/>
      <c r="L855" s="27"/>
      <c r="M855" s="27"/>
      <c r="N855" s="88"/>
      <c r="AK855" s="35"/>
      <c r="AL855" s="35"/>
      <c r="AM855" s="35"/>
      <c r="AN855" s="35"/>
      <c r="AO855" s="35"/>
      <c r="AP855" s="35"/>
      <c r="AQ855" s="35"/>
      <c r="AR855" s="35"/>
    </row>
    <row r="856" spans="5:44" x14ac:dyDescent="0.3">
      <c r="E856" s="26"/>
      <c r="F856" s="26"/>
      <c r="G856" s="59" t="str">
        <f t="shared" si="37"/>
        <v/>
      </c>
      <c r="H856" s="57"/>
      <c r="I856" s="57"/>
      <c r="K856" s="27"/>
      <c r="L856" s="27"/>
      <c r="M856" s="27"/>
      <c r="N856" s="88"/>
      <c r="AK856" s="35"/>
      <c r="AL856" s="35"/>
      <c r="AM856" s="35"/>
      <c r="AN856" s="35"/>
      <c r="AO856" s="35"/>
      <c r="AP856" s="35"/>
      <c r="AQ856" s="35"/>
      <c r="AR856" s="35"/>
    </row>
    <row r="857" spans="5:44" x14ac:dyDescent="0.3">
      <c r="E857" s="26"/>
      <c r="F857" s="26"/>
      <c r="G857" s="59" t="str">
        <f t="shared" si="37"/>
        <v/>
      </c>
      <c r="H857" s="57"/>
      <c r="I857" s="57"/>
      <c r="K857" s="27"/>
      <c r="L857" s="27"/>
      <c r="M857" s="27"/>
      <c r="N857" s="88"/>
      <c r="AK857" s="35"/>
      <c r="AL857" s="35"/>
      <c r="AM857" s="35"/>
      <c r="AN857" s="35"/>
      <c r="AO857" s="35"/>
      <c r="AP857" s="35"/>
      <c r="AQ857" s="35"/>
      <c r="AR857" s="35"/>
    </row>
    <row r="858" spans="5:44" x14ac:dyDescent="0.3">
      <c r="E858" s="26"/>
      <c r="F858" s="26"/>
      <c r="G858" s="59" t="str">
        <f t="shared" si="37"/>
        <v/>
      </c>
      <c r="H858" s="57"/>
      <c r="I858" s="57"/>
      <c r="K858" s="27"/>
      <c r="L858" s="27"/>
      <c r="M858" s="27"/>
      <c r="N858" s="88"/>
      <c r="AK858" s="35"/>
      <c r="AL858" s="35"/>
      <c r="AM858" s="35"/>
      <c r="AN858" s="35"/>
      <c r="AO858" s="35"/>
      <c r="AP858" s="35"/>
      <c r="AQ858" s="35"/>
      <c r="AR858" s="35"/>
    </row>
    <row r="859" spans="5:44" x14ac:dyDescent="0.3">
      <c r="E859" s="26"/>
      <c r="F859" s="26"/>
      <c r="G859" s="59" t="str">
        <f t="shared" si="37"/>
        <v/>
      </c>
      <c r="H859" s="57"/>
      <c r="I859" s="57"/>
      <c r="K859" s="27"/>
      <c r="L859" s="27"/>
      <c r="M859" s="27"/>
      <c r="N859" s="88"/>
      <c r="AK859" s="35"/>
      <c r="AL859" s="35"/>
      <c r="AM859" s="35"/>
      <c r="AN859" s="35"/>
      <c r="AO859" s="35"/>
      <c r="AP859" s="35"/>
      <c r="AQ859" s="35"/>
      <c r="AR859" s="35"/>
    </row>
    <row r="860" spans="5:44" x14ac:dyDescent="0.3">
      <c r="E860" s="26"/>
      <c r="F860" s="26"/>
      <c r="G860" s="59" t="str">
        <f t="shared" si="37"/>
        <v/>
      </c>
      <c r="H860" s="57"/>
      <c r="I860" s="57"/>
      <c r="K860" s="27"/>
      <c r="L860" s="27"/>
      <c r="M860" s="27"/>
      <c r="N860" s="88"/>
      <c r="AK860" s="35"/>
      <c r="AL860" s="35"/>
      <c r="AM860" s="35"/>
      <c r="AN860" s="35"/>
      <c r="AO860" s="35"/>
      <c r="AP860" s="35"/>
      <c r="AQ860" s="35"/>
      <c r="AR860" s="35"/>
    </row>
    <row r="861" spans="5:44" x14ac:dyDescent="0.3">
      <c r="E861" s="26"/>
      <c r="F861" s="26"/>
      <c r="G861" s="59" t="str">
        <f t="shared" si="37"/>
        <v/>
      </c>
      <c r="H861" s="57"/>
      <c r="I861" s="57"/>
      <c r="K861" s="27"/>
      <c r="L861" s="27"/>
      <c r="M861" s="27"/>
      <c r="N861" s="88"/>
      <c r="AK861" s="35"/>
      <c r="AL861" s="35"/>
      <c r="AM861" s="35"/>
      <c r="AN861" s="35"/>
      <c r="AO861" s="35"/>
      <c r="AP861" s="35"/>
      <c r="AQ861" s="35"/>
      <c r="AR861" s="35"/>
    </row>
    <row r="862" spans="5:44" x14ac:dyDescent="0.3">
      <c r="E862" s="26"/>
      <c r="F862" s="26"/>
      <c r="G862" s="59" t="str">
        <f t="shared" si="37"/>
        <v/>
      </c>
      <c r="H862" s="57"/>
      <c r="I862" s="57"/>
      <c r="K862" s="27"/>
      <c r="L862" s="27"/>
      <c r="M862" s="27"/>
      <c r="N862" s="88"/>
      <c r="AK862" s="35"/>
      <c r="AL862" s="35"/>
      <c r="AM862" s="35"/>
      <c r="AN862" s="35"/>
      <c r="AO862" s="35"/>
      <c r="AP862" s="35"/>
      <c r="AQ862" s="35"/>
      <c r="AR862" s="35"/>
    </row>
    <row r="863" spans="5:44" x14ac:dyDescent="0.3">
      <c r="E863" s="26"/>
      <c r="F863" s="26"/>
      <c r="G863" s="59" t="str">
        <f t="shared" si="37"/>
        <v/>
      </c>
      <c r="H863" s="57"/>
      <c r="I863" s="57"/>
      <c r="K863" s="27"/>
      <c r="L863" s="27"/>
      <c r="M863" s="27"/>
      <c r="N863" s="88"/>
      <c r="AK863" s="35"/>
      <c r="AL863" s="35"/>
      <c r="AM863" s="35"/>
      <c r="AN863" s="35"/>
      <c r="AO863" s="35"/>
      <c r="AP863" s="35"/>
      <c r="AQ863" s="35"/>
      <c r="AR863" s="35"/>
    </row>
    <row r="864" spans="5:44" x14ac:dyDescent="0.3">
      <c r="E864" s="26"/>
      <c r="F864" s="26"/>
      <c r="G864" s="59" t="str">
        <f t="shared" si="37"/>
        <v/>
      </c>
      <c r="H864" s="57"/>
      <c r="I864" s="57"/>
      <c r="K864" s="27"/>
      <c r="L864" s="27"/>
      <c r="M864" s="27"/>
      <c r="N864" s="88"/>
      <c r="AK864" s="35"/>
      <c r="AL864" s="35"/>
      <c r="AM864" s="35"/>
      <c r="AN864" s="35"/>
      <c r="AO864" s="35"/>
      <c r="AP864" s="35"/>
      <c r="AQ864" s="35"/>
      <c r="AR864" s="35"/>
    </row>
    <row r="865" spans="5:44" x14ac:dyDescent="0.3">
      <c r="E865" s="26"/>
      <c r="F865" s="26"/>
      <c r="G865" s="59" t="str">
        <f t="shared" si="37"/>
        <v/>
      </c>
      <c r="H865" s="57"/>
      <c r="I865" s="57"/>
      <c r="K865" s="27"/>
      <c r="L865" s="27"/>
      <c r="M865" s="27"/>
      <c r="N865" s="88"/>
      <c r="AK865" s="35"/>
      <c r="AL865" s="35"/>
      <c r="AM865" s="35"/>
      <c r="AN865" s="35"/>
      <c r="AO865" s="35"/>
      <c r="AP865" s="35"/>
      <c r="AQ865" s="35"/>
      <c r="AR865" s="35"/>
    </row>
    <row r="866" spans="5:44" x14ac:dyDescent="0.3">
      <c r="E866" s="26"/>
      <c r="F866" s="26"/>
      <c r="G866" s="59" t="str">
        <f t="shared" si="37"/>
        <v/>
      </c>
      <c r="H866" s="57"/>
      <c r="I866" s="57"/>
      <c r="K866" s="27"/>
      <c r="L866" s="27"/>
      <c r="M866" s="27"/>
      <c r="N866" s="88"/>
      <c r="AK866" s="35"/>
      <c r="AL866" s="35"/>
      <c r="AM866" s="35"/>
      <c r="AN866" s="35"/>
      <c r="AO866" s="35"/>
      <c r="AP866" s="35"/>
      <c r="AQ866" s="35"/>
      <c r="AR866" s="35"/>
    </row>
    <row r="867" spans="5:44" x14ac:dyDescent="0.3">
      <c r="E867" s="26"/>
      <c r="F867" s="26"/>
      <c r="G867" s="59" t="str">
        <f t="shared" si="37"/>
        <v/>
      </c>
      <c r="H867" s="57"/>
      <c r="I867" s="57"/>
      <c r="K867" s="27"/>
      <c r="L867" s="27"/>
      <c r="M867" s="27"/>
      <c r="N867" s="88"/>
      <c r="AK867" s="35"/>
      <c r="AL867" s="35"/>
      <c r="AM867" s="35"/>
      <c r="AN867" s="35"/>
      <c r="AO867" s="35"/>
      <c r="AP867" s="35"/>
      <c r="AQ867" s="35"/>
      <c r="AR867" s="35"/>
    </row>
    <row r="868" spans="5:44" x14ac:dyDescent="0.3">
      <c r="E868" s="26"/>
      <c r="F868" s="26"/>
      <c r="G868" s="59" t="str">
        <f t="shared" si="37"/>
        <v/>
      </c>
      <c r="H868" s="57"/>
      <c r="I868" s="57"/>
      <c r="K868" s="27"/>
      <c r="L868" s="27"/>
      <c r="M868" s="27"/>
      <c r="N868" s="88"/>
      <c r="AK868" s="35"/>
      <c r="AL868" s="35"/>
      <c r="AM868" s="35"/>
      <c r="AN868" s="35"/>
      <c r="AO868" s="35"/>
      <c r="AP868" s="35"/>
      <c r="AQ868" s="35"/>
      <c r="AR868" s="35"/>
    </row>
    <row r="869" spans="5:44" x14ac:dyDescent="0.3">
      <c r="E869" s="26"/>
      <c r="F869" s="26"/>
      <c r="G869" s="59" t="str">
        <f t="shared" si="37"/>
        <v/>
      </c>
      <c r="H869" s="57"/>
      <c r="I869" s="57"/>
      <c r="K869" s="27"/>
      <c r="L869" s="27"/>
      <c r="M869" s="27"/>
      <c r="N869" s="88"/>
      <c r="AK869" s="35"/>
      <c r="AL869" s="35"/>
      <c r="AM869" s="35"/>
      <c r="AN869" s="35"/>
      <c r="AO869" s="35"/>
      <c r="AP869" s="35"/>
      <c r="AQ869" s="35"/>
      <c r="AR869" s="35"/>
    </row>
    <row r="870" spans="5:44" x14ac:dyDescent="0.3">
      <c r="E870" s="26"/>
      <c r="F870" s="26"/>
      <c r="G870" s="59" t="str">
        <f t="shared" si="37"/>
        <v/>
      </c>
      <c r="H870" s="57"/>
      <c r="I870" s="57"/>
      <c r="K870" s="27"/>
      <c r="L870" s="27"/>
      <c r="M870" s="27"/>
      <c r="N870" s="88"/>
      <c r="AK870" s="35"/>
      <c r="AL870" s="35"/>
      <c r="AM870" s="35"/>
      <c r="AN870" s="35"/>
      <c r="AO870" s="35"/>
      <c r="AP870" s="35"/>
      <c r="AQ870" s="35"/>
      <c r="AR870" s="35"/>
    </row>
    <row r="871" spans="5:44" x14ac:dyDescent="0.3">
      <c r="E871" s="26"/>
      <c r="F871" s="26"/>
      <c r="G871" s="59" t="str">
        <f t="shared" si="37"/>
        <v/>
      </c>
      <c r="H871" s="57"/>
      <c r="I871" s="57"/>
      <c r="K871" s="27"/>
      <c r="L871" s="27"/>
      <c r="M871" s="27"/>
      <c r="N871" s="88"/>
      <c r="AK871" s="35"/>
      <c r="AL871" s="35"/>
      <c r="AM871" s="35"/>
      <c r="AN871" s="35"/>
      <c r="AO871" s="35"/>
      <c r="AP871" s="35"/>
      <c r="AQ871" s="35"/>
      <c r="AR871" s="35"/>
    </row>
    <row r="872" spans="5:44" x14ac:dyDescent="0.3">
      <c r="E872" s="26"/>
      <c r="F872" s="26"/>
      <c r="G872" s="59" t="str">
        <f t="shared" si="37"/>
        <v/>
      </c>
      <c r="H872" s="57"/>
      <c r="I872" s="57"/>
      <c r="K872" s="27"/>
      <c r="L872" s="27"/>
      <c r="M872" s="27"/>
      <c r="N872" s="88"/>
      <c r="AK872" s="35"/>
      <c r="AL872" s="35"/>
      <c r="AM872" s="35"/>
      <c r="AN872" s="35"/>
      <c r="AO872" s="35"/>
      <c r="AP872" s="35"/>
      <c r="AQ872" s="35"/>
      <c r="AR872" s="35"/>
    </row>
    <row r="873" spans="5:44" x14ac:dyDescent="0.3">
      <c r="E873" s="26"/>
      <c r="F873" s="26"/>
      <c r="G873" s="59" t="str">
        <f t="shared" si="37"/>
        <v/>
      </c>
      <c r="H873" s="57"/>
      <c r="I873" s="57"/>
      <c r="K873" s="27"/>
      <c r="L873" s="27"/>
      <c r="M873" s="27"/>
      <c r="N873" s="88"/>
      <c r="AK873" s="35"/>
      <c r="AL873" s="35"/>
      <c r="AM873" s="35"/>
      <c r="AN873" s="35"/>
      <c r="AO873" s="35"/>
      <c r="AP873" s="35"/>
      <c r="AQ873" s="35"/>
      <c r="AR873" s="35"/>
    </row>
    <row r="874" spans="5:44" x14ac:dyDescent="0.3">
      <c r="E874" s="26"/>
      <c r="F874" s="26"/>
      <c r="G874" s="59" t="str">
        <f t="shared" si="37"/>
        <v/>
      </c>
      <c r="H874" s="57"/>
      <c r="I874" s="57"/>
      <c r="K874" s="27"/>
      <c r="L874" s="27"/>
      <c r="M874" s="27"/>
      <c r="N874" s="88"/>
      <c r="AK874" s="35"/>
      <c r="AL874" s="35"/>
      <c r="AM874" s="35"/>
      <c r="AN874" s="35"/>
      <c r="AO874" s="35"/>
      <c r="AP874" s="35"/>
      <c r="AQ874" s="35"/>
      <c r="AR874" s="35"/>
    </row>
    <row r="875" spans="5:44" x14ac:dyDescent="0.3">
      <c r="E875" s="26"/>
      <c r="F875" s="26"/>
      <c r="G875" s="59" t="str">
        <f t="shared" si="37"/>
        <v/>
      </c>
      <c r="H875" s="57"/>
      <c r="I875" s="57"/>
      <c r="K875" s="27"/>
      <c r="L875" s="27"/>
      <c r="M875" s="27"/>
      <c r="N875" s="88"/>
      <c r="AK875" s="35"/>
      <c r="AL875" s="35"/>
      <c r="AM875" s="35"/>
      <c r="AN875" s="35"/>
      <c r="AO875" s="35"/>
      <c r="AP875" s="35"/>
      <c r="AQ875" s="35"/>
      <c r="AR875" s="35"/>
    </row>
    <row r="876" spans="5:44" x14ac:dyDescent="0.3">
      <c r="E876" s="26"/>
      <c r="F876" s="26"/>
      <c r="G876" s="59" t="str">
        <f t="shared" si="37"/>
        <v/>
      </c>
      <c r="H876" s="57"/>
      <c r="I876" s="57"/>
      <c r="K876" s="27"/>
      <c r="L876" s="27"/>
      <c r="M876" s="27"/>
      <c r="N876" s="88"/>
      <c r="AK876" s="35"/>
      <c r="AL876" s="35"/>
      <c r="AM876" s="35"/>
      <c r="AN876" s="35"/>
      <c r="AO876" s="35"/>
      <c r="AP876" s="35"/>
      <c r="AQ876" s="35"/>
      <c r="AR876" s="35"/>
    </row>
    <row r="877" spans="5:44" x14ac:dyDescent="0.3">
      <c r="E877" s="26"/>
      <c r="F877" s="26"/>
      <c r="G877" s="59" t="str">
        <f t="shared" si="37"/>
        <v/>
      </c>
      <c r="H877" s="57"/>
      <c r="I877" s="57"/>
      <c r="K877" s="27"/>
      <c r="L877" s="27"/>
      <c r="M877" s="27"/>
      <c r="N877" s="88"/>
      <c r="AK877" s="35"/>
      <c r="AL877" s="35"/>
      <c r="AM877" s="35"/>
      <c r="AN877" s="35"/>
      <c r="AO877" s="35"/>
      <c r="AP877" s="35"/>
      <c r="AQ877" s="35"/>
      <c r="AR877" s="35"/>
    </row>
    <row r="878" spans="5:44" x14ac:dyDescent="0.3">
      <c r="E878" s="26"/>
      <c r="F878" s="26"/>
      <c r="G878" s="59" t="str">
        <f t="shared" si="37"/>
        <v/>
      </c>
      <c r="H878" s="57"/>
      <c r="I878" s="57"/>
      <c r="K878" s="27"/>
      <c r="L878" s="27"/>
      <c r="M878" s="27"/>
      <c r="N878" s="88"/>
      <c r="AK878" s="35"/>
      <c r="AL878" s="35"/>
      <c r="AM878" s="35"/>
      <c r="AN878" s="35"/>
      <c r="AO878" s="35"/>
      <c r="AP878" s="35"/>
      <c r="AQ878" s="35"/>
      <c r="AR878" s="35"/>
    </row>
    <row r="879" spans="5:44" x14ac:dyDescent="0.3">
      <c r="E879" s="26"/>
      <c r="F879" s="26"/>
      <c r="G879" s="59" t="str">
        <f t="shared" si="37"/>
        <v/>
      </c>
      <c r="H879" s="57"/>
      <c r="I879" s="57"/>
      <c r="K879" s="27"/>
      <c r="L879" s="27"/>
      <c r="M879" s="27"/>
      <c r="N879" s="88"/>
      <c r="AK879" s="35"/>
      <c r="AL879" s="35"/>
      <c r="AM879" s="35"/>
      <c r="AN879" s="35"/>
      <c r="AO879" s="35"/>
      <c r="AP879" s="35"/>
      <c r="AQ879" s="35"/>
      <c r="AR879" s="35"/>
    </row>
    <row r="880" spans="5:44" x14ac:dyDescent="0.3">
      <c r="E880" s="26"/>
      <c r="F880" s="26"/>
      <c r="G880" s="59" t="str">
        <f t="shared" si="37"/>
        <v/>
      </c>
      <c r="H880" s="57"/>
      <c r="I880" s="57"/>
      <c r="K880" s="27"/>
      <c r="L880" s="27"/>
      <c r="M880" s="27"/>
      <c r="N880" s="88"/>
      <c r="AK880" s="35"/>
      <c r="AL880" s="35"/>
      <c r="AM880" s="35"/>
      <c r="AN880" s="35"/>
      <c r="AO880" s="35"/>
      <c r="AP880" s="35"/>
      <c r="AQ880" s="35"/>
      <c r="AR880" s="35"/>
    </row>
    <row r="881" spans="5:44" x14ac:dyDescent="0.3">
      <c r="E881" s="26"/>
      <c r="F881" s="26"/>
      <c r="G881" s="59" t="str">
        <f t="shared" si="37"/>
        <v/>
      </c>
      <c r="H881" s="57"/>
      <c r="I881" s="57"/>
      <c r="K881" s="27"/>
      <c r="L881" s="27"/>
      <c r="M881" s="27"/>
      <c r="N881" s="88"/>
      <c r="AK881" s="35"/>
      <c r="AL881" s="35"/>
      <c r="AM881" s="35"/>
      <c r="AN881" s="35"/>
      <c r="AO881" s="35"/>
      <c r="AP881" s="35"/>
      <c r="AQ881" s="35"/>
      <c r="AR881" s="35"/>
    </row>
    <row r="882" spans="5:44" x14ac:dyDescent="0.3">
      <c r="E882" s="26"/>
      <c r="F882" s="26"/>
      <c r="G882" s="59" t="str">
        <f t="shared" si="37"/>
        <v/>
      </c>
      <c r="H882" s="57"/>
      <c r="I882" s="57"/>
      <c r="K882" s="27"/>
      <c r="L882" s="27"/>
      <c r="M882" s="27"/>
      <c r="N882" s="88"/>
      <c r="AK882" s="35"/>
      <c r="AL882" s="35"/>
      <c r="AM882" s="35"/>
      <c r="AN882" s="35"/>
      <c r="AO882" s="35"/>
      <c r="AP882" s="35"/>
      <c r="AQ882" s="35"/>
      <c r="AR882" s="35"/>
    </row>
    <row r="883" spans="5:44" x14ac:dyDescent="0.3">
      <c r="E883" s="26"/>
      <c r="F883" s="26"/>
      <c r="G883" s="59" t="str">
        <f t="shared" si="37"/>
        <v/>
      </c>
      <c r="H883" s="57"/>
      <c r="I883" s="57"/>
      <c r="K883" s="27"/>
      <c r="L883" s="27"/>
      <c r="M883" s="27"/>
      <c r="N883" s="88"/>
      <c r="AK883" s="35"/>
      <c r="AL883" s="35"/>
      <c r="AM883" s="35"/>
      <c r="AN883" s="35"/>
      <c r="AO883" s="35"/>
      <c r="AP883" s="35"/>
      <c r="AQ883" s="35"/>
      <c r="AR883" s="35"/>
    </row>
    <row r="884" spans="5:44" x14ac:dyDescent="0.3">
      <c r="E884" s="26"/>
      <c r="F884" s="26"/>
      <c r="G884" s="59" t="str">
        <f t="shared" si="37"/>
        <v/>
      </c>
      <c r="H884" s="57"/>
      <c r="I884" s="57"/>
      <c r="K884" s="27"/>
      <c r="L884" s="27"/>
      <c r="M884" s="27"/>
      <c r="N884" s="88"/>
      <c r="AK884" s="35"/>
      <c r="AL884" s="35"/>
      <c r="AM884" s="35"/>
      <c r="AN884" s="35"/>
      <c r="AO884" s="35"/>
      <c r="AP884" s="35"/>
      <c r="AQ884" s="35"/>
      <c r="AR884" s="35"/>
    </row>
    <row r="885" spans="5:44" x14ac:dyDescent="0.3">
      <c r="E885" s="26"/>
      <c r="F885" s="26"/>
      <c r="G885" s="59" t="str">
        <f t="shared" si="37"/>
        <v/>
      </c>
      <c r="H885" s="57"/>
      <c r="I885" s="57"/>
      <c r="K885" s="27"/>
      <c r="L885" s="27"/>
      <c r="M885" s="27"/>
      <c r="N885" s="88"/>
      <c r="AK885" s="35"/>
      <c r="AL885" s="35"/>
      <c r="AM885" s="35"/>
      <c r="AN885" s="35"/>
      <c r="AO885" s="35"/>
      <c r="AP885" s="35"/>
      <c r="AQ885" s="35"/>
      <c r="AR885" s="35"/>
    </row>
    <row r="886" spans="5:44" x14ac:dyDescent="0.3">
      <c r="E886" s="26"/>
      <c r="F886" s="26"/>
      <c r="G886" s="59" t="str">
        <f t="shared" si="37"/>
        <v/>
      </c>
      <c r="H886" s="57"/>
      <c r="I886" s="57"/>
      <c r="K886" s="27"/>
      <c r="L886" s="27"/>
      <c r="M886" s="27"/>
      <c r="N886" s="88"/>
      <c r="AK886" s="35"/>
      <c r="AL886" s="35"/>
      <c r="AM886" s="35"/>
      <c r="AN886" s="35"/>
      <c r="AO886" s="35"/>
      <c r="AP886" s="35"/>
      <c r="AQ886" s="35"/>
      <c r="AR886" s="35"/>
    </row>
    <row r="887" spans="5:44" x14ac:dyDescent="0.3">
      <c r="E887" s="26"/>
      <c r="F887" s="26"/>
      <c r="G887" s="59" t="str">
        <f t="shared" ref="G887:G916" si="38">IF(AND(F887="",E887=""),"",IF(AND(F887="",E887&lt;&gt;""),G886,F887))</f>
        <v/>
      </c>
      <c r="H887" s="57"/>
      <c r="I887" s="57"/>
      <c r="K887" s="27"/>
      <c r="L887" s="27"/>
      <c r="M887" s="27"/>
      <c r="N887" s="88"/>
      <c r="AK887" s="35"/>
      <c r="AL887" s="35"/>
      <c r="AM887" s="35"/>
      <c r="AN887" s="35"/>
      <c r="AO887" s="35"/>
      <c r="AP887" s="35"/>
      <c r="AQ887" s="35"/>
      <c r="AR887" s="35"/>
    </row>
    <row r="888" spans="5:44" x14ac:dyDescent="0.3">
      <c r="E888" s="26"/>
      <c r="F888" s="26"/>
      <c r="G888" s="59" t="str">
        <f t="shared" si="38"/>
        <v/>
      </c>
      <c r="H888" s="57"/>
      <c r="I888" s="57"/>
      <c r="K888" s="27"/>
      <c r="L888" s="27"/>
      <c r="M888" s="27"/>
      <c r="N888" s="88"/>
      <c r="AK888" s="35"/>
      <c r="AL888" s="35"/>
      <c r="AM888" s="35"/>
      <c r="AN888" s="35"/>
      <c r="AO888" s="35"/>
      <c r="AP888" s="35"/>
      <c r="AQ888" s="35"/>
      <c r="AR888" s="35"/>
    </row>
    <row r="889" spans="5:44" x14ac:dyDescent="0.3">
      <c r="E889" s="26"/>
      <c r="F889" s="26"/>
      <c r="G889" s="59" t="str">
        <f t="shared" si="38"/>
        <v/>
      </c>
      <c r="H889" s="57"/>
      <c r="I889" s="57"/>
      <c r="K889" s="27"/>
      <c r="L889" s="27"/>
      <c r="M889" s="27"/>
      <c r="N889" s="88"/>
      <c r="AK889" s="35"/>
      <c r="AL889" s="35"/>
      <c r="AM889" s="35"/>
      <c r="AN889" s="35"/>
      <c r="AO889" s="35"/>
      <c r="AP889" s="35"/>
      <c r="AQ889" s="35"/>
      <c r="AR889" s="35"/>
    </row>
    <row r="890" spans="5:44" x14ac:dyDescent="0.3">
      <c r="E890" s="26"/>
      <c r="F890" s="26"/>
      <c r="G890" s="59" t="str">
        <f t="shared" si="38"/>
        <v/>
      </c>
      <c r="H890" s="57"/>
      <c r="I890" s="57"/>
      <c r="K890" s="27"/>
      <c r="L890" s="27"/>
      <c r="M890" s="27"/>
      <c r="N890" s="88"/>
      <c r="AK890" s="35"/>
      <c r="AL890" s="35"/>
      <c r="AM890" s="35"/>
      <c r="AN890" s="35"/>
      <c r="AO890" s="35"/>
      <c r="AP890" s="35"/>
      <c r="AQ890" s="35"/>
      <c r="AR890" s="35"/>
    </row>
    <row r="891" spans="5:44" x14ac:dyDescent="0.3">
      <c r="E891" s="26"/>
      <c r="F891" s="26"/>
      <c r="G891" s="59" t="str">
        <f t="shared" si="38"/>
        <v/>
      </c>
      <c r="H891" s="57"/>
      <c r="I891" s="57"/>
      <c r="K891" s="27"/>
      <c r="L891" s="27"/>
      <c r="M891" s="27"/>
      <c r="N891" s="88"/>
      <c r="AK891" s="35"/>
      <c r="AL891" s="35"/>
      <c r="AM891" s="35"/>
      <c r="AN891" s="35"/>
      <c r="AO891" s="35"/>
      <c r="AP891" s="35"/>
      <c r="AQ891" s="35"/>
      <c r="AR891" s="35"/>
    </row>
    <row r="892" spans="5:44" x14ac:dyDescent="0.3">
      <c r="E892" s="26"/>
      <c r="F892" s="26"/>
      <c r="G892" s="59" t="str">
        <f t="shared" si="38"/>
        <v/>
      </c>
      <c r="H892" s="57"/>
      <c r="I892" s="57"/>
      <c r="K892" s="27"/>
      <c r="L892" s="27"/>
      <c r="M892" s="27"/>
      <c r="N892" s="88"/>
      <c r="AK892" s="35"/>
      <c r="AL892" s="35"/>
      <c r="AM892" s="35"/>
      <c r="AN892" s="35"/>
      <c r="AO892" s="35"/>
      <c r="AP892" s="35"/>
      <c r="AQ892" s="35"/>
      <c r="AR892" s="35"/>
    </row>
    <row r="893" spans="5:44" x14ac:dyDescent="0.3">
      <c r="E893" s="26"/>
      <c r="F893" s="26"/>
      <c r="G893" s="59" t="str">
        <f t="shared" si="38"/>
        <v/>
      </c>
      <c r="H893" s="57"/>
      <c r="I893" s="57"/>
      <c r="K893" s="27"/>
      <c r="L893" s="27"/>
      <c r="M893" s="27"/>
      <c r="N893" s="88"/>
      <c r="AK893" s="35"/>
      <c r="AL893" s="35"/>
      <c r="AM893" s="35"/>
      <c r="AN893" s="35"/>
      <c r="AO893" s="35"/>
      <c r="AP893" s="35"/>
      <c r="AQ893" s="35"/>
      <c r="AR893" s="35"/>
    </row>
    <row r="894" spans="5:44" x14ac:dyDescent="0.3">
      <c r="E894" s="26"/>
      <c r="F894" s="26"/>
      <c r="G894" s="59" t="str">
        <f t="shared" si="38"/>
        <v/>
      </c>
      <c r="H894" s="57"/>
      <c r="I894" s="57"/>
      <c r="K894" s="27"/>
      <c r="L894" s="27"/>
      <c r="M894" s="27"/>
      <c r="N894" s="88"/>
      <c r="AK894" s="35"/>
      <c r="AL894" s="35"/>
      <c r="AM894" s="35"/>
      <c r="AN894" s="35"/>
      <c r="AO894" s="35"/>
      <c r="AP894" s="35"/>
      <c r="AQ894" s="35"/>
      <c r="AR894" s="35"/>
    </row>
    <row r="895" spans="5:44" x14ac:dyDescent="0.3">
      <c r="E895" s="26"/>
      <c r="F895" s="26"/>
      <c r="G895" s="59" t="str">
        <f t="shared" si="38"/>
        <v/>
      </c>
      <c r="H895" s="57"/>
      <c r="I895" s="57"/>
      <c r="K895" s="27"/>
      <c r="L895" s="27"/>
      <c r="M895" s="27"/>
      <c r="N895" s="88"/>
      <c r="AK895" s="35"/>
      <c r="AL895" s="35"/>
      <c r="AM895" s="35"/>
      <c r="AN895" s="35"/>
      <c r="AO895" s="35"/>
      <c r="AP895" s="35"/>
      <c r="AQ895" s="35"/>
      <c r="AR895" s="35"/>
    </row>
    <row r="896" spans="5:44" x14ac:dyDescent="0.3">
      <c r="E896" s="26"/>
      <c r="F896" s="26"/>
      <c r="G896" s="59" t="str">
        <f t="shared" si="38"/>
        <v/>
      </c>
      <c r="H896" s="57"/>
      <c r="I896" s="57"/>
      <c r="K896" s="27"/>
      <c r="L896" s="27"/>
      <c r="M896" s="27"/>
      <c r="N896" s="88"/>
      <c r="AK896" s="35"/>
      <c r="AL896" s="35"/>
      <c r="AM896" s="35"/>
      <c r="AN896" s="35"/>
      <c r="AO896" s="35"/>
      <c r="AP896" s="35"/>
      <c r="AQ896" s="35"/>
      <c r="AR896" s="35"/>
    </row>
    <row r="897" spans="5:44" x14ac:dyDescent="0.3">
      <c r="E897" s="26"/>
      <c r="F897" s="26"/>
      <c r="G897" s="59" t="str">
        <f t="shared" si="38"/>
        <v/>
      </c>
      <c r="H897" s="57"/>
      <c r="I897" s="57"/>
      <c r="K897" s="27"/>
      <c r="L897" s="27"/>
      <c r="M897" s="27"/>
      <c r="N897" s="88"/>
      <c r="AK897" s="35"/>
      <c r="AL897" s="35"/>
      <c r="AM897" s="35"/>
      <c r="AN897" s="35"/>
      <c r="AO897" s="35"/>
      <c r="AP897" s="35"/>
      <c r="AQ897" s="35"/>
      <c r="AR897" s="35"/>
    </row>
    <row r="898" spans="5:44" x14ac:dyDescent="0.3">
      <c r="E898" s="26"/>
      <c r="F898" s="26"/>
      <c r="G898" s="59" t="str">
        <f t="shared" si="38"/>
        <v/>
      </c>
      <c r="H898" s="57"/>
      <c r="I898" s="57"/>
      <c r="K898" s="27"/>
      <c r="L898" s="27"/>
      <c r="M898" s="27"/>
      <c r="N898" s="88"/>
      <c r="AK898" s="35"/>
      <c r="AL898" s="35"/>
      <c r="AM898" s="35"/>
      <c r="AN898" s="35"/>
      <c r="AO898" s="35"/>
      <c r="AP898" s="35"/>
      <c r="AQ898" s="35"/>
      <c r="AR898" s="35"/>
    </row>
    <row r="899" spans="5:44" x14ac:dyDescent="0.3">
      <c r="E899" s="26"/>
      <c r="F899" s="26"/>
      <c r="G899" s="59" t="str">
        <f t="shared" si="38"/>
        <v/>
      </c>
      <c r="H899" s="57"/>
      <c r="I899" s="57"/>
      <c r="K899" s="27"/>
      <c r="L899" s="27"/>
      <c r="M899" s="27"/>
      <c r="N899" s="88"/>
      <c r="AK899" s="35"/>
      <c r="AL899" s="35"/>
      <c r="AM899" s="35"/>
      <c r="AN899" s="35"/>
      <c r="AO899" s="35"/>
      <c r="AP899" s="35"/>
      <c r="AQ899" s="35"/>
      <c r="AR899" s="35"/>
    </row>
    <row r="900" spans="5:44" x14ac:dyDescent="0.3">
      <c r="E900" s="26"/>
      <c r="F900" s="26"/>
      <c r="G900" s="59" t="str">
        <f t="shared" si="38"/>
        <v/>
      </c>
      <c r="H900" s="57"/>
      <c r="I900" s="57"/>
      <c r="K900" s="27"/>
      <c r="L900" s="27"/>
      <c r="M900" s="27"/>
      <c r="N900" s="88"/>
      <c r="AK900" s="35"/>
      <c r="AL900" s="35"/>
      <c r="AM900" s="35"/>
      <c r="AN900" s="35"/>
      <c r="AO900" s="35"/>
      <c r="AP900" s="35"/>
      <c r="AQ900" s="35"/>
      <c r="AR900" s="35"/>
    </row>
    <row r="901" spans="5:44" x14ac:dyDescent="0.3">
      <c r="E901" s="26"/>
      <c r="F901" s="26"/>
      <c r="G901" s="59" t="str">
        <f t="shared" si="38"/>
        <v/>
      </c>
      <c r="H901" s="57"/>
      <c r="I901" s="57"/>
      <c r="K901" s="27"/>
      <c r="L901" s="27"/>
      <c r="M901" s="27"/>
      <c r="N901" s="88"/>
      <c r="AK901" s="35"/>
      <c r="AL901" s="35"/>
      <c r="AM901" s="35"/>
      <c r="AN901" s="35"/>
      <c r="AO901" s="35"/>
      <c r="AP901" s="35"/>
      <c r="AQ901" s="35"/>
      <c r="AR901" s="35"/>
    </row>
    <row r="902" spans="5:44" x14ac:dyDescent="0.3">
      <c r="E902" s="26"/>
      <c r="F902" s="26"/>
      <c r="G902" s="59" t="str">
        <f t="shared" si="38"/>
        <v/>
      </c>
      <c r="H902" s="57"/>
      <c r="I902" s="57"/>
      <c r="K902" s="27"/>
      <c r="L902" s="27"/>
      <c r="M902" s="27"/>
      <c r="N902" s="88"/>
      <c r="AK902" s="35"/>
      <c r="AL902" s="35"/>
      <c r="AM902" s="35"/>
      <c r="AN902" s="35"/>
      <c r="AO902" s="35"/>
      <c r="AP902" s="35"/>
      <c r="AQ902" s="35"/>
      <c r="AR902" s="35"/>
    </row>
    <row r="903" spans="5:44" x14ac:dyDescent="0.3">
      <c r="E903" s="26"/>
      <c r="F903" s="26"/>
      <c r="G903" s="59" t="str">
        <f t="shared" si="38"/>
        <v/>
      </c>
      <c r="H903" s="57"/>
      <c r="I903" s="57"/>
      <c r="K903" s="27"/>
      <c r="L903" s="27"/>
      <c r="M903" s="27"/>
      <c r="N903" s="88"/>
      <c r="AK903" s="35"/>
      <c r="AL903" s="35"/>
      <c r="AM903" s="35"/>
      <c r="AN903" s="35"/>
      <c r="AO903" s="35"/>
      <c r="AP903" s="35"/>
      <c r="AQ903" s="35"/>
      <c r="AR903" s="35"/>
    </row>
    <row r="904" spans="5:44" x14ac:dyDescent="0.3">
      <c r="E904" s="26"/>
      <c r="F904" s="26"/>
      <c r="G904" s="59" t="str">
        <f t="shared" si="38"/>
        <v/>
      </c>
      <c r="H904" s="57"/>
      <c r="I904" s="57"/>
      <c r="K904" s="27"/>
      <c r="L904" s="27"/>
      <c r="M904" s="27"/>
      <c r="N904" s="88"/>
      <c r="AK904" s="35"/>
      <c r="AL904" s="35"/>
      <c r="AM904" s="35"/>
      <c r="AN904" s="35"/>
      <c r="AO904" s="35"/>
      <c r="AP904" s="35"/>
      <c r="AQ904" s="35"/>
      <c r="AR904" s="35"/>
    </row>
    <row r="905" spans="5:44" x14ac:dyDescent="0.3">
      <c r="E905" s="26"/>
      <c r="F905" s="26"/>
      <c r="G905" s="59" t="str">
        <f t="shared" si="38"/>
        <v/>
      </c>
      <c r="H905" s="57"/>
      <c r="I905" s="57"/>
      <c r="K905" s="27"/>
      <c r="L905" s="27"/>
      <c r="M905" s="27"/>
      <c r="N905" s="88"/>
      <c r="AK905" s="35"/>
      <c r="AL905" s="35"/>
      <c r="AM905" s="35"/>
      <c r="AN905" s="35"/>
      <c r="AO905" s="35"/>
      <c r="AP905" s="35"/>
      <c r="AQ905" s="35"/>
      <c r="AR905" s="35"/>
    </row>
    <row r="906" spans="5:44" x14ac:dyDescent="0.3">
      <c r="E906" s="26"/>
      <c r="F906" s="26"/>
      <c r="G906" s="59" t="str">
        <f t="shared" si="38"/>
        <v/>
      </c>
      <c r="H906" s="57"/>
      <c r="I906" s="57"/>
      <c r="K906" s="27"/>
      <c r="L906" s="27"/>
      <c r="M906" s="27"/>
      <c r="N906" s="88"/>
      <c r="AK906" s="35"/>
      <c r="AL906" s="35"/>
      <c r="AM906" s="35"/>
      <c r="AN906" s="35"/>
      <c r="AO906" s="35"/>
      <c r="AP906" s="35"/>
      <c r="AQ906" s="35"/>
      <c r="AR906" s="35"/>
    </row>
    <row r="907" spans="5:44" x14ac:dyDescent="0.3">
      <c r="E907" s="26"/>
      <c r="F907" s="26"/>
      <c r="G907" s="59" t="str">
        <f t="shared" si="38"/>
        <v/>
      </c>
      <c r="H907" s="57"/>
      <c r="I907" s="57"/>
      <c r="K907" s="27"/>
      <c r="L907" s="27"/>
      <c r="M907" s="27"/>
      <c r="N907" s="88"/>
      <c r="AK907" s="35"/>
      <c r="AL907" s="35"/>
      <c r="AM907" s="35"/>
      <c r="AN907" s="35"/>
      <c r="AO907" s="35"/>
      <c r="AP907" s="35"/>
      <c r="AQ907" s="35"/>
      <c r="AR907" s="35"/>
    </row>
    <row r="908" spans="5:44" x14ac:dyDescent="0.3">
      <c r="E908" s="26"/>
      <c r="F908" s="26"/>
      <c r="G908" s="59" t="str">
        <f t="shared" si="38"/>
        <v/>
      </c>
      <c r="H908" s="57"/>
      <c r="I908" s="57"/>
      <c r="K908" s="27"/>
      <c r="L908" s="27"/>
      <c r="M908" s="27"/>
      <c r="N908" s="88"/>
      <c r="AK908" s="35"/>
      <c r="AL908" s="35"/>
      <c r="AM908" s="35"/>
      <c r="AN908" s="35"/>
      <c r="AO908" s="35"/>
      <c r="AP908" s="35"/>
      <c r="AQ908" s="35"/>
      <c r="AR908" s="35"/>
    </row>
    <row r="909" spans="5:44" x14ac:dyDescent="0.3">
      <c r="E909" s="26"/>
      <c r="F909" s="26"/>
      <c r="G909" s="59" t="str">
        <f t="shared" si="38"/>
        <v/>
      </c>
      <c r="H909" s="57"/>
      <c r="I909" s="57"/>
      <c r="K909" s="27"/>
      <c r="L909" s="27"/>
      <c r="M909" s="27"/>
      <c r="N909" s="88"/>
      <c r="AK909" s="35"/>
      <c r="AL909" s="35"/>
      <c r="AM909" s="35"/>
      <c r="AN909" s="35"/>
      <c r="AO909" s="35"/>
      <c r="AP909" s="35"/>
      <c r="AQ909" s="35"/>
      <c r="AR909" s="35"/>
    </row>
    <row r="910" spans="5:44" x14ac:dyDescent="0.3">
      <c r="E910" s="26"/>
      <c r="F910" s="26"/>
      <c r="G910" s="59" t="str">
        <f t="shared" si="38"/>
        <v/>
      </c>
      <c r="H910" s="57"/>
      <c r="I910" s="57"/>
      <c r="K910" s="27"/>
      <c r="L910" s="27"/>
      <c r="M910" s="27"/>
      <c r="N910" s="88"/>
      <c r="AK910" s="35"/>
      <c r="AL910" s="35"/>
      <c r="AM910" s="35"/>
      <c r="AN910" s="35"/>
      <c r="AO910" s="35"/>
      <c r="AP910" s="35"/>
      <c r="AQ910" s="35"/>
      <c r="AR910" s="35"/>
    </row>
    <row r="911" spans="5:44" x14ac:dyDescent="0.3">
      <c r="E911" s="26"/>
      <c r="F911" s="26"/>
      <c r="G911" s="59" t="str">
        <f t="shared" si="38"/>
        <v/>
      </c>
      <c r="H911" s="57"/>
      <c r="I911" s="57"/>
      <c r="K911" s="27"/>
      <c r="L911" s="27"/>
      <c r="M911" s="27"/>
      <c r="N911" s="88"/>
      <c r="AK911" s="35"/>
      <c r="AL911" s="35"/>
      <c r="AM911" s="35"/>
      <c r="AN911" s="35"/>
      <c r="AO911" s="35"/>
      <c r="AP911" s="35"/>
      <c r="AQ911" s="35"/>
      <c r="AR911" s="35"/>
    </row>
    <row r="912" spans="5:44" x14ac:dyDescent="0.3">
      <c r="E912" s="26"/>
      <c r="F912" s="26"/>
      <c r="G912" s="59" t="str">
        <f t="shared" si="38"/>
        <v/>
      </c>
      <c r="H912" s="57"/>
      <c r="I912" s="57"/>
      <c r="K912" s="27"/>
      <c r="L912" s="27"/>
      <c r="M912" s="27"/>
      <c r="N912" s="88"/>
      <c r="AK912" s="35"/>
      <c r="AL912" s="35"/>
      <c r="AM912" s="35"/>
      <c r="AN912" s="35"/>
      <c r="AO912" s="35"/>
      <c r="AP912" s="35"/>
      <c r="AQ912" s="35"/>
      <c r="AR912" s="35"/>
    </row>
    <row r="913" spans="5:44" x14ac:dyDescent="0.3">
      <c r="E913" s="26"/>
      <c r="F913" s="26"/>
      <c r="G913" s="59" t="str">
        <f t="shared" si="38"/>
        <v/>
      </c>
      <c r="H913" s="57"/>
      <c r="I913" s="57"/>
      <c r="K913" s="27"/>
      <c r="L913" s="27"/>
      <c r="M913" s="27"/>
      <c r="N913" s="88"/>
      <c r="AK913" s="35"/>
      <c r="AL913" s="35"/>
      <c r="AM913" s="35"/>
      <c r="AN913" s="35"/>
      <c r="AO913" s="35"/>
      <c r="AP913" s="35"/>
      <c r="AQ913" s="35"/>
      <c r="AR913" s="35"/>
    </row>
    <row r="914" spans="5:44" x14ac:dyDescent="0.3">
      <c r="E914" s="26"/>
      <c r="F914" s="26"/>
      <c r="G914" s="59" t="str">
        <f t="shared" si="38"/>
        <v/>
      </c>
      <c r="H914" s="57"/>
      <c r="I914" s="57"/>
      <c r="K914" s="27"/>
      <c r="L914" s="27"/>
      <c r="M914" s="27"/>
      <c r="N914" s="88"/>
      <c r="AK914" s="35"/>
      <c r="AL914" s="35"/>
      <c r="AM914" s="35"/>
      <c r="AN914" s="35"/>
      <c r="AO914" s="35"/>
      <c r="AP914" s="35"/>
      <c r="AQ914" s="35"/>
      <c r="AR914" s="35"/>
    </row>
    <row r="915" spans="5:44" x14ac:dyDescent="0.3">
      <c r="E915" s="26"/>
      <c r="F915" s="26"/>
      <c r="G915" s="59" t="str">
        <f t="shared" si="38"/>
        <v/>
      </c>
      <c r="H915" s="57"/>
      <c r="I915" s="57"/>
      <c r="K915" s="27"/>
      <c r="L915" s="27"/>
      <c r="M915" s="27"/>
      <c r="N915" s="88"/>
      <c r="AK915" s="35"/>
      <c r="AL915" s="35"/>
      <c r="AM915" s="35"/>
      <c r="AN915" s="35"/>
      <c r="AO915" s="35"/>
      <c r="AP915" s="35"/>
      <c r="AQ915" s="35"/>
      <c r="AR915" s="35"/>
    </row>
    <row r="916" spans="5:44" x14ac:dyDescent="0.3">
      <c r="E916" s="26"/>
      <c r="F916" s="26"/>
      <c r="G916" s="59" t="str">
        <f t="shared" si="38"/>
        <v/>
      </c>
      <c r="H916" s="57"/>
      <c r="I916" s="57"/>
      <c r="K916" s="27"/>
      <c r="L916" s="27"/>
      <c r="M916" s="27"/>
      <c r="N916" s="88"/>
      <c r="AK916" s="35"/>
      <c r="AL916" s="35"/>
      <c r="AM916" s="35"/>
      <c r="AN916" s="35"/>
      <c r="AO916" s="35"/>
      <c r="AP916" s="35"/>
      <c r="AQ916" s="35"/>
      <c r="AR916" s="35"/>
    </row>
    <row r="917" spans="5:44" x14ac:dyDescent="0.3">
      <c r="E917" s="35"/>
      <c r="F917" s="35"/>
      <c r="G917" s="35"/>
      <c r="AK917" s="35"/>
      <c r="AL917" s="35"/>
      <c r="AM917" s="35"/>
      <c r="AN917" s="35"/>
      <c r="AO917" s="35"/>
      <c r="AP917" s="35"/>
      <c r="AQ917" s="35"/>
      <c r="AR917" s="35"/>
    </row>
    <row r="918" spans="5:44" x14ac:dyDescent="0.3">
      <c r="E918" s="35"/>
      <c r="F918" s="35"/>
      <c r="G918" s="35"/>
      <c r="AK918" s="35"/>
      <c r="AL918" s="35"/>
      <c r="AM918" s="35"/>
      <c r="AN918" s="35"/>
      <c r="AO918" s="35"/>
      <c r="AP918" s="35"/>
      <c r="AQ918" s="35"/>
      <c r="AR918" s="35"/>
    </row>
    <row r="919" spans="5:44" x14ac:dyDescent="0.3">
      <c r="E919" s="35"/>
      <c r="F919" s="35"/>
      <c r="G919" s="35"/>
      <c r="AK919" s="35"/>
      <c r="AL919" s="35"/>
      <c r="AM919" s="35"/>
      <c r="AN919" s="35"/>
      <c r="AO919" s="35"/>
      <c r="AP919" s="35"/>
      <c r="AQ919" s="35"/>
      <c r="AR919" s="35"/>
    </row>
    <row r="920" spans="5:44" x14ac:dyDescent="0.3">
      <c r="E920" s="35"/>
      <c r="F920" s="35"/>
      <c r="G920" s="35"/>
      <c r="AK920" s="35"/>
      <c r="AL920" s="35"/>
      <c r="AM920" s="35"/>
      <c r="AN920" s="35"/>
      <c r="AO920" s="35"/>
      <c r="AP920" s="35"/>
      <c r="AQ920" s="35"/>
      <c r="AR920" s="35"/>
    </row>
    <row r="921" spans="5:44" x14ac:dyDescent="0.3">
      <c r="E921" s="35"/>
      <c r="F921" s="35"/>
      <c r="G921" s="35"/>
      <c r="AK921" s="35"/>
      <c r="AL921" s="35"/>
      <c r="AM921" s="35"/>
      <c r="AN921" s="35"/>
      <c r="AO921" s="35"/>
      <c r="AP921" s="35"/>
      <c r="AQ921" s="35"/>
      <c r="AR921" s="35"/>
    </row>
    <row r="922" spans="5:44" x14ac:dyDescent="0.3">
      <c r="E922" s="35"/>
      <c r="F922" s="35"/>
      <c r="G922" s="35"/>
      <c r="AK922" s="35"/>
      <c r="AL922" s="35"/>
      <c r="AM922" s="35"/>
      <c r="AN922" s="35"/>
      <c r="AO922" s="35"/>
      <c r="AP922" s="35"/>
      <c r="AQ922" s="35"/>
      <c r="AR922" s="35"/>
    </row>
    <row r="923" spans="5:44" x14ac:dyDescent="0.3">
      <c r="E923" s="35"/>
      <c r="F923" s="35"/>
      <c r="G923" s="35"/>
      <c r="AK923" s="35"/>
      <c r="AL923" s="35"/>
      <c r="AM923" s="35"/>
      <c r="AN923" s="35"/>
      <c r="AO923" s="35"/>
      <c r="AP923" s="35"/>
      <c r="AQ923" s="35"/>
      <c r="AR923" s="35"/>
    </row>
    <row r="924" spans="5:44" x14ac:dyDescent="0.3">
      <c r="E924" s="35"/>
      <c r="F924" s="35"/>
      <c r="G924" s="35"/>
      <c r="AK924" s="35"/>
      <c r="AL924" s="35"/>
      <c r="AM924" s="35"/>
      <c r="AN924" s="35"/>
      <c r="AO924" s="35"/>
      <c r="AP924" s="35"/>
      <c r="AQ924" s="35"/>
      <c r="AR924" s="35"/>
    </row>
    <row r="925" spans="5:44" x14ac:dyDescent="0.3">
      <c r="E925" s="35"/>
      <c r="F925" s="35"/>
      <c r="G925" s="35"/>
      <c r="AK925" s="35"/>
      <c r="AL925" s="35"/>
      <c r="AM925" s="35"/>
      <c r="AN925" s="35"/>
      <c r="AO925" s="35"/>
      <c r="AP925" s="35"/>
      <c r="AQ925" s="35"/>
      <c r="AR925" s="35"/>
    </row>
    <row r="926" spans="5:44" x14ac:dyDescent="0.3">
      <c r="E926" s="35"/>
      <c r="F926" s="35"/>
      <c r="G926" s="35"/>
      <c r="AK926" s="35"/>
      <c r="AL926" s="35"/>
      <c r="AM926" s="35"/>
      <c r="AN926" s="35"/>
      <c r="AO926" s="35"/>
      <c r="AP926" s="35"/>
      <c r="AQ926" s="35"/>
      <c r="AR926" s="35"/>
    </row>
    <row r="927" spans="5:44" x14ac:dyDescent="0.3">
      <c r="E927" s="35"/>
      <c r="F927" s="35"/>
      <c r="G927" s="35"/>
      <c r="AK927" s="35"/>
      <c r="AL927" s="35"/>
      <c r="AM927" s="35"/>
      <c r="AN927" s="35"/>
      <c r="AO927" s="35"/>
      <c r="AP927" s="35"/>
      <c r="AQ927" s="35"/>
      <c r="AR927" s="35"/>
    </row>
    <row r="928" spans="5:44" x14ac:dyDescent="0.3">
      <c r="E928" s="35"/>
      <c r="F928" s="35"/>
      <c r="G928" s="35"/>
      <c r="AK928" s="35"/>
      <c r="AL928" s="35"/>
      <c r="AM928" s="35"/>
      <c r="AN928" s="35"/>
      <c r="AO928" s="35"/>
      <c r="AP928" s="35"/>
      <c r="AQ928" s="35"/>
      <c r="AR928" s="35"/>
    </row>
    <row r="929" spans="5:44" x14ac:dyDescent="0.3">
      <c r="E929" s="35"/>
      <c r="F929" s="35"/>
      <c r="G929" s="35"/>
      <c r="AK929" s="35"/>
      <c r="AL929" s="35"/>
      <c r="AM929" s="35"/>
      <c r="AN929" s="35"/>
      <c r="AO929" s="35"/>
      <c r="AP929" s="35"/>
      <c r="AQ929" s="35"/>
      <c r="AR929" s="35"/>
    </row>
    <row r="930" spans="5:44" x14ac:dyDescent="0.3">
      <c r="E930" s="35"/>
      <c r="F930" s="35"/>
      <c r="G930" s="35"/>
      <c r="AK930" s="35"/>
      <c r="AL930" s="35"/>
      <c r="AM930" s="35"/>
      <c r="AN930" s="35"/>
      <c r="AO930" s="35"/>
      <c r="AP930" s="35"/>
      <c r="AQ930" s="35"/>
      <c r="AR930" s="35"/>
    </row>
    <row r="931" spans="5:44" x14ac:dyDescent="0.3">
      <c r="E931" s="35"/>
      <c r="F931" s="35"/>
      <c r="G931" s="35"/>
      <c r="AK931" s="35"/>
      <c r="AL931" s="35"/>
      <c r="AM931" s="35"/>
      <c r="AN931" s="35"/>
      <c r="AO931" s="35"/>
      <c r="AP931" s="35"/>
      <c r="AQ931" s="35"/>
      <c r="AR931" s="35"/>
    </row>
    <row r="932" spans="5:44" x14ac:dyDescent="0.3">
      <c r="E932" s="35"/>
      <c r="F932" s="35"/>
      <c r="G932" s="35"/>
      <c r="AK932" s="35"/>
      <c r="AL932" s="35"/>
      <c r="AM932" s="35"/>
      <c r="AN932" s="35"/>
      <c r="AO932" s="35"/>
      <c r="AP932" s="35"/>
      <c r="AQ932" s="35"/>
      <c r="AR932" s="35"/>
    </row>
    <row r="933" spans="5:44" x14ac:dyDescent="0.3">
      <c r="E933" s="35"/>
      <c r="F933" s="35"/>
      <c r="G933" s="35"/>
      <c r="AK933" s="35"/>
      <c r="AL933" s="35"/>
      <c r="AM933" s="35"/>
      <c r="AN933" s="35"/>
      <c r="AO933" s="35"/>
      <c r="AP933" s="35"/>
      <c r="AQ933" s="35"/>
      <c r="AR933" s="35"/>
    </row>
    <row r="934" spans="5:44" x14ac:dyDescent="0.3">
      <c r="E934" s="35"/>
      <c r="F934" s="35"/>
      <c r="G934" s="35"/>
      <c r="AK934" s="35"/>
      <c r="AL934" s="35"/>
      <c r="AM934" s="35"/>
      <c r="AN934" s="35"/>
      <c r="AO934" s="35"/>
      <c r="AP934" s="35"/>
      <c r="AQ934" s="35"/>
      <c r="AR934" s="35"/>
    </row>
    <row r="935" spans="5:44" x14ac:dyDescent="0.3">
      <c r="E935" s="35"/>
      <c r="F935" s="35"/>
      <c r="G935" s="35"/>
      <c r="AK935" s="35"/>
      <c r="AL935" s="35"/>
      <c r="AM935" s="35"/>
      <c r="AN935" s="35"/>
      <c r="AO935" s="35"/>
      <c r="AP935" s="35"/>
      <c r="AQ935" s="35"/>
      <c r="AR935" s="35"/>
    </row>
    <row r="936" spans="5:44" x14ac:dyDescent="0.3">
      <c r="E936" s="35"/>
      <c r="F936" s="35"/>
      <c r="G936" s="35"/>
      <c r="AK936" s="35"/>
      <c r="AL936" s="35"/>
      <c r="AM936" s="35"/>
      <c r="AN936" s="35"/>
      <c r="AO936" s="35"/>
      <c r="AP936" s="35"/>
      <c r="AQ936" s="35"/>
      <c r="AR936" s="35"/>
    </row>
    <row r="937" spans="5:44" x14ac:dyDescent="0.3">
      <c r="E937" s="35"/>
      <c r="F937" s="35"/>
      <c r="G937" s="35"/>
      <c r="AK937" s="35"/>
      <c r="AL937" s="35"/>
      <c r="AM937" s="35"/>
      <c r="AN937" s="35"/>
      <c r="AO937" s="35"/>
      <c r="AP937" s="35"/>
      <c r="AQ937" s="35"/>
      <c r="AR937" s="35"/>
    </row>
    <row r="938" spans="5:44" x14ac:dyDescent="0.3">
      <c r="E938" s="35"/>
      <c r="F938" s="35"/>
      <c r="G938" s="35"/>
      <c r="AK938" s="35"/>
      <c r="AL938" s="35"/>
      <c r="AM938" s="35"/>
      <c r="AN938" s="35"/>
      <c r="AO938" s="35"/>
      <c r="AP938" s="35"/>
      <c r="AQ938" s="35"/>
      <c r="AR938" s="35"/>
    </row>
    <row r="939" spans="5:44" x14ac:dyDescent="0.3">
      <c r="E939" s="35"/>
      <c r="F939" s="35"/>
      <c r="G939" s="35"/>
      <c r="AK939" s="35"/>
      <c r="AL939" s="35"/>
      <c r="AM939" s="35"/>
      <c r="AN939" s="35"/>
      <c r="AO939" s="35"/>
      <c r="AP939" s="35"/>
      <c r="AQ939" s="35"/>
      <c r="AR939" s="35"/>
    </row>
    <row r="940" spans="5:44" x14ac:dyDescent="0.3">
      <c r="E940" s="35"/>
      <c r="F940" s="35"/>
      <c r="G940" s="35"/>
      <c r="AK940" s="35"/>
      <c r="AL940" s="35"/>
      <c r="AM940" s="35"/>
      <c r="AN940" s="35"/>
      <c r="AO940" s="35"/>
      <c r="AP940" s="35"/>
      <c r="AQ940" s="35"/>
      <c r="AR940" s="35"/>
    </row>
    <row r="941" spans="5:44" x14ac:dyDescent="0.3">
      <c r="E941" s="35"/>
      <c r="F941" s="35"/>
      <c r="G941" s="35"/>
      <c r="AK941" s="35"/>
      <c r="AL941" s="35"/>
      <c r="AM941" s="35"/>
      <c r="AN941" s="35"/>
      <c r="AO941" s="35"/>
      <c r="AP941" s="35"/>
      <c r="AQ941" s="35"/>
      <c r="AR941" s="35"/>
    </row>
    <row r="942" spans="5:44" x14ac:dyDescent="0.3">
      <c r="E942" s="35"/>
      <c r="F942" s="35"/>
      <c r="G942" s="35"/>
      <c r="AK942" s="35"/>
      <c r="AL942" s="35"/>
      <c r="AM942" s="35"/>
      <c r="AN942" s="35"/>
      <c r="AO942" s="35"/>
      <c r="AP942" s="35"/>
      <c r="AQ942" s="35"/>
      <c r="AR942" s="35"/>
    </row>
    <row r="943" spans="5:44" x14ac:dyDescent="0.3">
      <c r="E943" s="35"/>
      <c r="F943" s="35"/>
      <c r="G943" s="35"/>
      <c r="AK943" s="35"/>
      <c r="AL943" s="35"/>
      <c r="AM943" s="35"/>
      <c r="AN943" s="35"/>
      <c r="AO943" s="35"/>
      <c r="AP943" s="35"/>
      <c r="AQ943" s="35"/>
      <c r="AR943" s="35"/>
    </row>
    <row r="944" spans="5:44" x14ac:dyDescent="0.3">
      <c r="E944" s="35"/>
      <c r="F944" s="35"/>
      <c r="G944" s="35"/>
      <c r="AK944" s="35"/>
      <c r="AL944" s="35"/>
      <c r="AM944" s="35"/>
      <c r="AN944" s="35"/>
      <c r="AO944" s="35"/>
      <c r="AP944" s="35"/>
      <c r="AQ944" s="35"/>
      <c r="AR944" s="35"/>
    </row>
    <row r="945" spans="5:44" x14ac:dyDescent="0.3">
      <c r="E945" s="35"/>
      <c r="F945" s="35"/>
      <c r="G945" s="35"/>
      <c r="AK945" s="35"/>
      <c r="AL945" s="35"/>
      <c r="AM945" s="35"/>
      <c r="AN945" s="35"/>
      <c r="AO945" s="35"/>
      <c r="AP945" s="35"/>
      <c r="AQ945" s="35"/>
      <c r="AR945" s="35"/>
    </row>
    <row r="946" spans="5:44" x14ac:dyDescent="0.3">
      <c r="E946" s="35"/>
      <c r="F946" s="35"/>
      <c r="G946" s="35"/>
      <c r="AK946" s="35"/>
      <c r="AL946" s="35"/>
      <c r="AM946" s="35"/>
      <c r="AN946" s="35"/>
      <c r="AO946" s="35"/>
      <c r="AP946" s="35"/>
      <c r="AQ946" s="35"/>
      <c r="AR946" s="35"/>
    </row>
    <row r="947" spans="5:44" x14ac:dyDescent="0.3">
      <c r="E947" s="35"/>
      <c r="F947" s="35"/>
      <c r="G947" s="35"/>
      <c r="AK947" s="35"/>
      <c r="AL947" s="35"/>
      <c r="AM947" s="35"/>
      <c r="AN947" s="35"/>
      <c r="AO947" s="35"/>
      <c r="AP947" s="35"/>
      <c r="AQ947" s="35"/>
      <c r="AR947" s="35"/>
    </row>
    <row r="948" spans="5:44" x14ac:dyDescent="0.3">
      <c r="E948" s="35"/>
      <c r="F948" s="35"/>
      <c r="G948" s="35"/>
      <c r="AK948" s="35"/>
      <c r="AL948" s="35"/>
      <c r="AM948" s="35"/>
      <c r="AN948" s="35"/>
      <c r="AO948" s="35"/>
      <c r="AP948" s="35"/>
      <c r="AQ948" s="35"/>
      <c r="AR948" s="35"/>
    </row>
    <row r="949" spans="5:44" x14ac:dyDescent="0.3">
      <c r="E949" s="35"/>
      <c r="F949" s="35"/>
      <c r="G949" s="35"/>
      <c r="AK949" s="35"/>
      <c r="AL949" s="35"/>
      <c r="AM949" s="35"/>
      <c r="AN949" s="35"/>
      <c r="AO949" s="35"/>
      <c r="AP949" s="35"/>
      <c r="AQ949" s="35"/>
      <c r="AR949" s="35"/>
    </row>
    <row r="950" spans="5:44" x14ac:dyDescent="0.3">
      <c r="E950" s="35"/>
      <c r="F950" s="35"/>
      <c r="G950" s="35"/>
      <c r="AK950" s="35"/>
      <c r="AL950" s="35"/>
      <c r="AM950" s="35"/>
      <c r="AN950" s="35"/>
      <c r="AO950" s="35"/>
      <c r="AP950" s="35"/>
      <c r="AQ950" s="35"/>
      <c r="AR950" s="35"/>
    </row>
    <row r="951" spans="5:44" x14ac:dyDescent="0.3">
      <c r="E951" s="35"/>
      <c r="F951" s="35"/>
      <c r="G951" s="35"/>
      <c r="AK951" s="35"/>
      <c r="AL951" s="35"/>
      <c r="AM951" s="35"/>
      <c r="AN951" s="35"/>
      <c r="AO951" s="35"/>
      <c r="AP951" s="35"/>
      <c r="AQ951" s="35"/>
      <c r="AR951" s="35"/>
    </row>
    <row r="952" spans="5:44" x14ac:dyDescent="0.3">
      <c r="E952" s="35"/>
      <c r="F952" s="35"/>
      <c r="G952" s="35"/>
      <c r="AK952" s="35"/>
      <c r="AL952" s="35"/>
      <c r="AM952" s="35"/>
      <c r="AN952" s="35"/>
      <c r="AO952" s="35"/>
      <c r="AP952" s="35"/>
      <c r="AQ952" s="35"/>
      <c r="AR952" s="35"/>
    </row>
    <row r="953" spans="5:44" x14ac:dyDescent="0.3">
      <c r="E953" s="35"/>
      <c r="F953" s="35"/>
      <c r="G953" s="35"/>
      <c r="AK953" s="35"/>
      <c r="AL953" s="35"/>
      <c r="AM953" s="35"/>
      <c r="AN953" s="35"/>
      <c r="AO953" s="35"/>
      <c r="AP953" s="35"/>
      <c r="AQ953" s="35"/>
      <c r="AR953" s="35"/>
    </row>
    <row r="954" spans="5:44" x14ac:dyDescent="0.3">
      <c r="E954" s="35"/>
      <c r="F954" s="35"/>
      <c r="G954" s="35"/>
      <c r="AK954" s="35"/>
      <c r="AL954" s="35"/>
      <c r="AM954" s="35"/>
      <c r="AN954" s="35"/>
      <c r="AO954" s="35"/>
      <c r="AP954" s="35"/>
      <c r="AQ954" s="35"/>
      <c r="AR954" s="35"/>
    </row>
    <row r="955" spans="5:44" x14ac:dyDescent="0.3">
      <c r="E955" s="35"/>
      <c r="F955" s="35"/>
      <c r="G955" s="35"/>
      <c r="AK955" s="35"/>
      <c r="AL955" s="35"/>
      <c r="AM955" s="35"/>
      <c r="AN955" s="35"/>
      <c r="AO955" s="35"/>
      <c r="AP955" s="35"/>
      <c r="AQ955" s="35"/>
      <c r="AR955" s="35"/>
    </row>
    <row r="956" spans="5:44" x14ac:dyDescent="0.3">
      <c r="E956" s="35"/>
      <c r="F956" s="35"/>
      <c r="G956" s="35"/>
      <c r="AK956" s="35"/>
      <c r="AL956" s="35"/>
      <c r="AM956" s="35"/>
      <c r="AN956" s="35"/>
      <c r="AO956" s="35"/>
      <c r="AP956" s="35"/>
      <c r="AQ956" s="35"/>
      <c r="AR956" s="35"/>
    </row>
    <row r="957" spans="5:44" x14ac:dyDescent="0.3">
      <c r="E957" s="35"/>
      <c r="F957" s="35"/>
      <c r="G957" s="35"/>
      <c r="AK957" s="35"/>
      <c r="AL957" s="35"/>
      <c r="AM957" s="35"/>
      <c r="AN957" s="35"/>
      <c r="AO957" s="35"/>
      <c r="AP957" s="35"/>
      <c r="AQ957" s="35"/>
      <c r="AR957" s="35"/>
    </row>
    <row r="958" spans="5:44" x14ac:dyDescent="0.3">
      <c r="E958" s="35"/>
      <c r="F958" s="35"/>
      <c r="G958" s="35"/>
      <c r="AK958" s="35"/>
      <c r="AL958" s="35"/>
      <c r="AM958" s="35"/>
      <c r="AN958" s="35"/>
      <c r="AO958" s="35"/>
      <c r="AP958" s="35"/>
      <c r="AQ958" s="35"/>
      <c r="AR958" s="35"/>
    </row>
    <row r="959" spans="5:44" x14ac:dyDescent="0.3">
      <c r="E959" s="35"/>
      <c r="F959" s="35"/>
      <c r="G959" s="35"/>
      <c r="AK959" s="35"/>
      <c r="AL959" s="35"/>
      <c r="AM959" s="35"/>
      <c r="AN959" s="35"/>
      <c r="AO959" s="35"/>
      <c r="AP959" s="35"/>
      <c r="AQ959" s="35"/>
      <c r="AR959" s="35"/>
    </row>
    <row r="960" spans="5:44" x14ac:dyDescent="0.3">
      <c r="E960" s="35"/>
      <c r="F960" s="35"/>
      <c r="G960" s="35"/>
      <c r="AK960" s="35"/>
      <c r="AL960" s="35"/>
      <c r="AM960" s="35"/>
      <c r="AN960" s="35"/>
      <c r="AO960" s="35"/>
      <c r="AP960" s="35"/>
      <c r="AQ960" s="35"/>
      <c r="AR960" s="35"/>
    </row>
    <row r="961" spans="5:44" x14ac:dyDescent="0.3">
      <c r="E961" s="35"/>
      <c r="F961" s="35"/>
      <c r="G961" s="35"/>
      <c r="AK961" s="35"/>
      <c r="AL961" s="35"/>
      <c r="AM961" s="35"/>
      <c r="AN961" s="35"/>
      <c r="AO961" s="35"/>
      <c r="AP961" s="35"/>
      <c r="AQ961" s="35"/>
      <c r="AR961" s="35"/>
    </row>
    <row r="962" spans="5:44" x14ac:dyDescent="0.3">
      <c r="E962" s="35"/>
      <c r="F962" s="35"/>
      <c r="G962" s="35"/>
      <c r="AK962" s="35"/>
      <c r="AL962" s="35"/>
      <c r="AM962" s="35"/>
      <c r="AN962" s="35"/>
      <c r="AO962" s="35"/>
      <c r="AP962" s="35"/>
      <c r="AQ962" s="35"/>
      <c r="AR962" s="35"/>
    </row>
    <row r="963" spans="5:44" x14ac:dyDescent="0.3">
      <c r="E963" s="35"/>
      <c r="F963" s="35"/>
      <c r="G963" s="35"/>
      <c r="AK963" s="35"/>
      <c r="AL963" s="35"/>
      <c r="AM963" s="35"/>
      <c r="AN963" s="35"/>
      <c r="AO963" s="35"/>
      <c r="AP963" s="35"/>
      <c r="AQ963" s="35"/>
      <c r="AR963" s="35"/>
    </row>
    <row r="964" spans="5:44" x14ac:dyDescent="0.3">
      <c r="E964" s="35"/>
      <c r="F964" s="35"/>
      <c r="G964" s="35"/>
      <c r="AK964" s="35"/>
      <c r="AL964" s="35"/>
      <c r="AM964" s="35"/>
      <c r="AN964" s="35"/>
      <c r="AO964" s="35"/>
      <c r="AP964" s="35"/>
      <c r="AQ964" s="35"/>
      <c r="AR964" s="35"/>
    </row>
    <row r="965" spans="5:44" x14ac:dyDescent="0.3">
      <c r="E965" s="35"/>
      <c r="F965" s="35"/>
      <c r="G965" s="35"/>
      <c r="AK965" s="35"/>
      <c r="AL965" s="35"/>
      <c r="AM965" s="35"/>
      <c r="AN965" s="35"/>
      <c r="AO965" s="35"/>
      <c r="AP965" s="35"/>
      <c r="AQ965" s="35"/>
      <c r="AR965" s="35"/>
    </row>
    <row r="966" spans="5:44" x14ac:dyDescent="0.3">
      <c r="E966" s="35"/>
      <c r="F966" s="35"/>
      <c r="G966" s="35"/>
      <c r="AK966" s="35"/>
      <c r="AL966" s="35"/>
      <c r="AM966" s="35"/>
      <c r="AN966" s="35"/>
      <c r="AO966" s="35"/>
      <c r="AP966" s="35"/>
      <c r="AQ966" s="35"/>
      <c r="AR966" s="35"/>
    </row>
    <row r="967" spans="5:44" x14ac:dyDescent="0.3">
      <c r="E967" s="35"/>
      <c r="F967" s="35"/>
      <c r="G967" s="35"/>
      <c r="AK967" s="35"/>
      <c r="AL967" s="35"/>
      <c r="AM967" s="35"/>
      <c r="AN967" s="35"/>
      <c r="AO967" s="35"/>
      <c r="AP967" s="35"/>
      <c r="AQ967" s="35"/>
      <c r="AR967" s="35"/>
    </row>
    <row r="968" spans="5:44" x14ac:dyDescent="0.3">
      <c r="E968" s="35"/>
      <c r="F968" s="35"/>
      <c r="G968" s="35"/>
      <c r="AK968" s="35"/>
      <c r="AL968" s="35"/>
      <c r="AM968" s="35"/>
      <c r="AN968" s="35"/>
      <c r="AO968" s="35"/>
      <c r="AP968" s="35"/>
      <c r="AQ968" s="35"/>
      <c r="AR968" s="35"/>
    </row>
    <row r="969" spans="5:44" x14ac:dyDescent="0.3">
      <c r="E969" s="35"/>
      <c r="F969" s="35"/>
      <c r="G969" s="35"/>
      <c r="AK969" s="35"/>
      <c r="AL969" s="35"/>
      <c r="AM969" s="35"/>
      <c r="AN969" s="35"/>
      <c r="AO969" s="35"/>
      <c r="AP969" s="35"/>
      <c r="AQ969" s="35"/>
      <c r="AR969" s="35"/>
    </row>
    <row r="970" spans="5:44" x14ac:dyDescent="0.3">
      <c r="E970" s="35"/>
      <c r="F970" s="35"/>
      <c r="G970" s="35"/>
      <c r="AK970" s="35"/>
      <c r="AL970" s="35"/>
      <c r="AM970" s="35"/>
      <c r="AN970" s="35"/>
      <c r="AO970" s="35"/>
      <c r="AP970" s="35"/>
      <c r="AQ970" s="35"/>
      <c r="AR970" s="35"/>
    </row>
    <row r="971" spans="5:44" x14ac:dyDescent="0.3">
      <c r="E971" s="35"/>
      <c r="F971" s="35"/>
      <c r="G971" s="35"/>
      <c r="AK971" s="35"/>
      <c r="AL971" s="35"/>
      <c r="AM971" s="35"/>
      <c r="AN971" s="35"/>
      <c r="AO971" s="35"/>
      <c r="AP971" s="35"/>
      <c r="AQ971" s="35"/>
      <c r="AR971" s="35"/>
    </row>
    <row r="972" spans="5:44" x14ac:dyDescent="0.3">
      <c r="E972" s="35"/>
      <c r="F972" s="35"/>
      <c r="G972" s="35"/>
      <c r="AK972" s="35"/>
      <c r="AL972" s="35"/>
      <c r="AM972" s="35"/>
      <c r="AN972" s="35"/>
      <c r="AO972" s="35"/>
      <c r="AP972" s="35"/>
      <c r="AQ972" s="35"/>
      <c r="AR972" s="35"/>
    </row>
    <row r="973" spans="5:44" x14ac:dyDescent="0.3">
      <c r="E973" s="35"/>
      <c r="F973" s="35"/>
      <c r="G973" s="35"/>
      <c r="AK973" s="35"/>
      <c r="AL973" s="35"/>
      <c r="AM973" s="35"/>
      <c r="AN973" s="35"/>
      <c r="AO973" s="35"/>
      <c r="AP973" s="35"/>
      <c r="AQ973" s="35"/>
      <c r="AR973" s="35"/>
    </row>
    <row r="974" spans="5:44" x14ac:dyDescent="0.3">
      <c r="E974" s="35"/>
      <c r="F974" s="35"/>
      <c r="G974" s="35"/>
      <c r="AK974" s="35"/>
      <c r="AL974" s="35"/>
      <c r="AM974" s="35"/>
      <c r="AN974" s="35"/>
      <c r="AO974" s="35"/>
      <c r="AP974" s="35"/>
      <c r="AQ974" s="35"/>
      <c r="AR974" s="35"/>
    </row>
    <row r="975" spans="5:44" x14ac:dyDescent="0.3">
      <c r="E975" s="35"/>
      <c r="F975" s="35"/>
      <c r="G975" s="35"/>
      <c r="AK975" s="35"/>
      <c r="AL975" s="35"/>
      <c r="AM975" s="35"/>
      <c r="AN975" s="35"/>
      <c r="AO975" s="35"/>
      <c r="AP975" s="35"/>
      <c r="AQ975" s="35"/>
      <c r="AR975" s="35"/>
    </row>
    <row r="976" spans="5:44" x14ac:dyDescent="0.3">
      <c r="E976" s="35"/>
      <c r="F976" s="35"/>
      <c r="G976" s="35"/>
      <c r="AK976" s="35"/>
      <c r="AL976" s="35"/>
      <c r="AM976" s="35"/>
      <c r="AN976" s="35"/>
      <c r="AO976" s="35"/>
      <c r="AP976" s="35"/>
      <c r="AQ976" s="35"/>
      <c r="AR976" s="35"/>
    </row>
    <row r="977" spans="5:44" x14ac:dyDescent="0.3">
      <c r="E977" s="35"/>
      <c r="F977" s="35"/>
      <c r="G977" s="35"/>
      <c r="AK977" s="35"/>
      <c r="AL977" s="35"/>
      <c r="AM977" s="35"/>
      <c r="AN977" s="35"/>
      <c r="AO977" s="35"/>
      <c r="AP977" s="35"/>
      <c r="AQ977" s="35"/>
      <c r="AR977" s="35"/>
    </row>
    <row r="978" spans="5:44" x14ac:dyDescent="0.3">
      <c r="E978" s="35"/>
      <c r="F978" s="35"/>
      <c r="G978" s="35"/>
      <c r="AK978" s="35"/>
      <c r="AL978" s="35"/>
      <c r="AM978" s="35"/>
      <c r="AN978" s="35"/>
      <c r="AO978" s="35"/>
      <c r="AP978" s="35"/>
      <c r="AQ978" s="35"/>
      <c r="AR978" s="35"/>
    </row>
    <row r="979" spans="5:44" x14ac:dyDescent="0.3">
      <c r="E979" s="35"/>
      <c r="F979" s="35"/>
      <c r="G979" s="35"/>
      <c r="AK979" s="35"/>
      <c r="AL979" s="35"/>
      <c r="AM979" s="35"/>
      <c r="AN979" s="35"/>
      <c r="AO979" s="35"/>
      <c r="AP979" s="35"/>
      <c r="AQ979" s="35"/>
      <c r="AR979" s="35"/>
    </row>
    <row r="980" spans="5:44" x14ac:dyDescent="0.3">
      <c r="E980" s="35"/>
      <c r="F980" s="35"/>
      <c r="G980" s="35"/>
      <c r="AK980" s="35"/>
      <c r="AL980" s="35"/>
      <c r="AM980" s="35"/>
      <c r="AN980" s="35"/>
      <c r="AO980" s="35"/>
      <c r="AP980" s="35"/>
      <c r="AQ980" s="35"/>
      <c r="AR980" s="35"/>
    </row>
    <row r="981" spans="5:44" x14ac:dyDescent="0.3">
      <c r="E981" s="35"/>
      <c r="F981" s="35"/>
      <c r="G981" s="35"/>
      <c r="AK981" s="35"/>
      <c r="AL981" s="35"/>
      <c r="AM981" s="35"/>
      <c r="AN981" s="35"/>
      <c r="AO981" s="35"/>
      <c r="AP981" s="35"/>
      <c r="AQ981" s="35"/>
      <c r="AR981" s="35"/>
    </row>
    <row r="982" spans="5:44" x14ac:dyDescent="0.3">
      <c r="E982" s="35"/>
      <c r="F982" s="35"/>
      <c r="G982" s="35"/>
      <c r="AK982" s="35"/>
      <c r="AL982" s="35"/>
      <c r="AM982" s="35"/>
      <c r="AN982" s="35"/>
      <c r="AO982" s="35"/>
      <c r="AP982" s="35"/>
      <c r="AQ982" s="35"/>
      <c r="AR982" s="35"/>
    </row>
    <row r="983" spans="5:44" x14ac:dyDescent="0.3">
      <c r="E983" s="35"/>
      <c r="F983" s="35"/>
      <c r="G983" s="35"/>
      <c r="AK983" s="35"/>
      <c r="AL983" s="35"/>
      <c r="AM983" s="35"/>
      <c r="AN983" s="35"/>
      <c r="AO983" s="35"/>
      <c r="AP983" s="35"/>
      <c r="AQ983" s="35"/>
      <c r="AR983" s="35"/>
    </row>
    <row r="984" spans="5:44" x14ac:dyDescent="0.3">
      <c r="E984" s="35"/>
      <c r="F984" s="35"/>
      <c r="G984" s="35"/>
      <c r="AK984" s="35"/>
      <c r="AL984" s="35"/>
      <c r="AM984" s="35"/>
      <c r="AN984" s="35"/>
      <c r="AO984" s="35"/>
      <c r="AP984" s="35"/>
      <c r="AQ984" s="35"/>
      <c r="AR984" s="35"/>
    </row>
    <row r="985" spans="5:44" x14ac:dyDescent="0.3">
      <c r="E985" s="35"/>
      <c r="F985" s="35"/>
      <c r="G985" s="35"/>
      <c r="AK985" s="35"/>
      <c r="AL985" s="35"/>
      <c r="AM985" s="35"/>
      <c r="AN985" s="35"/>
      <c r="AO985" s="35"/>
      <c r="AP985" s="35"/>
      <c r="AQ985" s="35"/>
      <c r="AR985" s="35"/>
    </row>
    <row r="986" spans="5:44" x14ac:dyDescent="0.3">
      <c r="E986" s="35"/>
      <c r="F986" s="35"/>
      <c r="G986" s="35"/>
      <c r="AK986" s="35"/>
      <c r="AL986" s="35"/>
      <c r="AM986" s="35"/>
      <c r="AN986" s="35"/>
      <c r="AO986" s="35"/>
      <c r="AP986" s="35"/>
      <c r="AQ986" s="35"/>
      <c r="AR986" s="35"/>
    </row>
    <row r="987" spans="5:44" x14ac:dyDescent="0.3">
      <c r="E987" s="35"/>
      <c r="F987" s="35"/>
      <c r="G987" s="35"/>
      <c r="AK987" s="35"/>
      <c r="AL987" s="35"/>
      <c r="AM987" s="35"/>
      <c r="AN987" s="35"/>
      <c r="AO987" s="35"/>
      <c r="AP987" s="35"/>
      <c r="AQ987" s="35"/>
      <c r="AR987" s="35"/>
    </row>
    <row r="988" spans="5:44" x14ac:dyDescent="0.3">
      <c r="E988" s="35"/>
      <c r="F988" s="35"/>
      <c r="G988" s="35"/>
      <c r="AK988" s="35"/>
      <c r="AL988" s="35"/>
      <c r="AM988" s="35"/>
      <c r="AN988" s="35"/>
      <c r="AO988" s="35"/>
      <c r="AP988" s="35"/>
      <c r="AQ988" s="35"/>
      <c r="AR988" s="35"/>
    </row>
    <row r="989" spans="5:44" x14ac:dyDescent="0.3">
      <c r="E989" s="35"/>
      <c r="F989" s="35"/>
      <c r="G989" s="35"/>
      <c r="AK989" s="35"/>
      <c r="AL989" s="35"/>
      <c r="AM989" s="35"/>
      <c r="AN989" s="35"/>
      <c r="AO989" s="35"/>
      <c r="AP989" s="35"/>
      <c r="AQ989" s="35"/>
      <c r="AR989" s="35"/>
    </row>
    <row r="990" spans="5:44" x14ac:dyDescent="0.3">
      <c r="E990" s="35"/>
      <c r="F990" s="35"/>
      <c r="G990" s="35"/>
      <c r="AK990" s="35"/>
      <c r="AL990" s="35"/>
      <c r="AM990" s="35"/>
      <c r="AN990" s="35"/>
      <c r="AO990" s="35"/>
      <c r="AP990" s="35"/>
      <c r="AQ990" s="35"/>
      <c r="AR990" s="35"/>
    </row>
    <row r="991" spans="5:44" x14ac:dyDescent="0.3">
      <c r="E991" s="35"/>
      <c r="F991" s="35"/>
      <c r="G991" s="35"/>
      <c r="AK991" s="35"/>
      <c r="AL991" s="35"/>
      <c r="AM991" s="35"/>
      <c r="AN991" s="35"/>
      <c r="AO991" s="35"/>
      <c r="AP991" s="35"/>
      <c r="AQ991" s="35"/>
      <c r="AR991" s="35"/>
    </row>
    <row r="992" spans="5:44" x14ac:dyDescent="0.3">
      <c r="E992" s="35"/>
      <c r="F992" s="35"/>
      <c r="G992" s="35"/>
      <c r="AK992" s="35"/>
      <c r="AL992" s="35"/>
      <c r="AM992" s="35"/>
      <c r="AN992" s="35"/>
      <c r="AO992" s="35"/>
      <c r="AP992" s="35"/>
      <c r="AQ992" s="35"/>
      <c r="AR992" s="35"/>
    </row>
    <row r="993" spans="5:44" x14ac:dyDescent="0.3">
      <c r="E993" s="35"/>
      <c r="F993" s="35"/>
      <c r="G993" s="35"/>
      <c r="AK993" s="35"/>
      <c r="AL993" s="35"/>
      <c r="AM993" s="35"/>
      <c r="AN993" s="35"/>
      <c r="AO993" s="35"/>
      <c r="AP993" s="35"/>
      <c r="AQ993" s="35"/>
      <c r="AR993" s="35"/>
    </row>
    <row r="994" spans="5:44" x14ac:dyDescent="0.3">
      <c r="E994" s="35"/>
      <c r="F994" s="35"/>
      <c r="G994" s="35"/>
      <c r="AK994" s="35"/>
      <c r="AL994" s="35"/>
      <c r="AM994" s="35"/>
      <c r="AN994" s="35"/>
      <c r="AO994" s="35"/>
      <c r="AP994" s="35"/>
      <c r="AQ994" s="35"/>
      <c r="AR994" s="35"/>
    </row>
    <row r="995" spans="5:44" x14ac:dyDescent="0.3">
      <c r="E995" s="35"/>
      <c r="F995" s="35"/>
      <c r="G995" s="35"/>
      <c r="AK995" s="35"/>
      <c r="AL995" s="35"/>
      <c r="AM995" s="35"/>
      <c r="AN995" s="35"/>
      <c r="AO995" s="35"/>
      <c r="AP995" s="35"/>
      <c r="AQ995" s="35"/>
      <c r="AR995" s="35"/>
    </row>
    <row r="996" spans="5:44" x14ac:dyDescent="0.3">
      <c r="E996" s="35"/>
      <c r="F996" s="35"/>
      <c r="G996" s="35"/>
      <c r="AK996" s="35"/>
      <c r="AL996" s="35"/>
      <c r="AM996" s="35"/>
      <c r="AN996" s="35"/>
      <c r="AO996" s="35"/>
      <c r="AP996" s="35"/>
      <c r="AQ996" s="35"/>
      <c r="AR996" s="35"/>
    </row>
    <row r="997" spans="5:44" x14ac:dyDescent="0.3">
      <c r="E997" s="35"/>
      <c r="F997" s="35"/>
      <c r="G997" s="35"/>
      <c r="AK997" s="35"/>
      <c r="AL997" s="35"/>
      <c r="AM997" s="35"/>
      <c r="AN997" s="35"/>
      <c r="AO997" s="35"/>
      <c r="AP997" s="35"/>
      <c r="AQ997" s="35"/>
      <c r="AR997" s="35"/>
    </row>
    <row r="998" spans="5:44" x14ac:dyDescent="0.3">
      <c r="E998" s="35"/>
      <c r="F998" s="35"/>
      <c r="G998" s="35"/>
      <c r="AK998" s="35"/>
      <c r="AL998" s="35"/>
      <c r="AM998" s="35"/>
      <c r="AN998" s="35"/>
      <c r="AO998" s="35"/>
      <c r="AP998" s="35"/>
      <c r="AQ998" s="35"/>
      <c r="AR998" s="35"/>
    </row>
    <row r="999" spans="5:44" x14ac:dyDescent="0.3">
      <c r="E999" s="35"/>
      <c r="F999" s="35"/>
      <c r="G999" s="35"/>
      <c r="AK999" s="35"/>
      <c r="AL999" s="35"/>
      <c r="AM999" s="35"/>
      <c r="AN999" s="35"/>
      <c r="AO999" s="35"/>
      <c r="AP999" s="35"/>
      <c r="AQ999" s="35"/>
      <c r="AR999" s="35"/>
    </row>
    <row r="1000" spans="5:44" x14ac:dyDescent="0.3">
      <c r="E1000" s="35"/>
      <c r="F1000" s="35"/>
      <c r="G1000" s="35"/>
      <c r="AK1000" s="35"/>
      <c r="AL1000" s="35"/>
      <c r="AM1000" s="35"/>
      <c r="AN1000" s="35"/>
      <c r="AO1000" s="35"/>
      <c r="AP1000" s="35"/>
      <c r="AQ1000" s="35"/>
      <c r="AR1000" s="35"/>
    </row>
    <row r="1001" spans="5:44" x14ac:dyDescent="0.3">
      <c r="E1001" s="35"/>
      <c r="F1001" s="35"/>
      <c r="G1001" s="35"/>
      <c r="AK1001" s="35"/>
      <c r="AL1001" s="35"/>
      <c r="AM1001" s="35"/>
      <c r="AN1001" s="35"/>
      <c r="AO1001" s="35"/>
      <c r="AP1001" s="35"/>
      <c r="AQ1001" s="35"/>
      <c r="AR1001" s="35"/>
    </row>
    <row r="1002" spans="5:44" x14ac:dyDescent="0.3">
      <c r="E1002" s="35"/>
      <c r="F1002" s="35"/>
      <c r="G1002" s="35"/>
      <c r="AK1002" s="35"/>
      <c r="AL1002" s="35"/>
      <c r="AM1002" s="35"/>
      <c r="AN1002" s="35"/>
      <c r="AO1002" s="35"/>
      <c r="AP1002" s="35"/>
      <c r="AQ1002" s="35"/>
      <c r="AR1002" s="35"/>
    </row>
    <row r="1003" spans="5:44" x14ac:dyDescent="0.3">
      <c r="E1003" s="35"/>
      <c r="F1003" s="35"/>
      <c r="G1003" s="35"/>
      <c r="AK1003" s="35"/>
      <c r="AL1003" s="35"/>
      <c r="AM1003" s="35"/>
      <c r="AN1003" s="35"/>
      <c r="AO1003" s="35"/>
      <c r="AP1003" s="35"/>
      <c r="AQ1003" s="35"/>
      <c r="AR1003" s="35"/>
    </row>
    <row r="1004" spans="5:44" x14ac:dyDescent="0.3">
      <c r="E1004" s="35"/>
      <c r="F1004" s="35"/>
      <c r="G1004" s="35"/>
      <c r="AK1004" s="35"/>
      <c r="AL1004" s="35"/>
      <c r="AM1004" s="35"/>
      <c r="AN1004" s="35"/>
      <c r="AO1004" s="35"/>
      <c r="AP1004" s="35"/>
      <c r="AQ1004" s="35"/>
      <c r="AR1004" s="35"/>
    </row>
    <row r="1005" spans="5:44" x14ac:dyDescent="0.3">
      <c r="E1005" s="35"/>
      <c r="F1005" s="35"/>
      <c r="G1005" s="35"/>
      <c r="AK1005" s="35"/>
      <c r="AL1005" s="35"/>
      <c r="AM1005" s="35"/>
      <c r="AN1005" s="35"/>
      <c r="AO1005" s="35"/>
      <c r="AP1005" s="35"/>
      <c r="AQ1005" s="35"/>
      <c r="AR1005" s="35"/>
    </row>
    <row r="1006" spans="5:44" x14ac:dyDescent="0.3">
      <c r="E1006" s="35"/>
      <c r="F1006" s="35"/>
      <c r="G1006" s="35"/>
      <c r="AM1006" s="35"/>
      <c r="AN1006" s="35"/>
      <c r="AO1006" s="35"/>
      <c r="AP1006" s="35"/>
      <c r="AQ1006" s="35"/>
      <c r="AR1006" s="35"/>
    </row>
    <row r="1007" spans="5:44" x14ac:dyDescent="0.3">
      <c r="E1007" s="35"/>
      <c r="F1007" s="35"/>
      <c r="G1007" s="35"/>
      <c r="AM1007" s="35"/>
      <c r="AN1007" s="35"/>
      <c r="AO1007" s="35"/>
      <c r="AP1007" s="35"/>
      <c r="AQ1007" s="35"/>
      <c r="AR1007" s="35"/>
    </row>
    <row r="1008" spans="5:44" x14ac:dyDescent="0.3">
      <c r="E1008" s="35"/>
      <c r="F1008" s="35"/>
      <c r="G1008" s="35"/>
      <c r="AM1008" s="35"/>
      <c r="AN1008" s="35"/>
      <c r="AO1008" s="35"/>
      <c r="AP1008" s="35"/>
      <c r="AQ1008" s="35"/>
      <c r="AR1008" s="35"/>
    </row>
    <row r="1009" spans="5:44" x14ac:dyDescent="0.3">
      <c r="E1009" s="35"/>
      <c r="F1009" s="35"/>
      <c r="G1009" s="35"/>
      <c r="AM1009" s="35"/>
      <c r="AN1009" s="35"/>
      <c r="AO1009" s="35"/>
      <c r="AP1009" s="35"/>
      <c r="AQ1009" s="35"/>
      <c r="AR1009" s="35"/>
    </row>
    <row r="1010" spans="5:44" x14ac:dyDescent="0.3">
      <c r="E1010" s="35"/>
      <c r="F1010" s="35"/>
      <c r="G1010" s="35"/>
      <c r="AM1010" s="35"/>
      <c r="AN1010" s="35"/>
      <c r="AO1010" s="35"/>
      <c r="AP1010" s="35"/>
      <c r="AQ1010" s="35"/>
      <c r="AR1010" s="35"/>
    </row>
    <row r="1011" spans="5:44" x14ac:dyDescent="0.3">
      <c r="E1011" s="35"/>
      <c r="F1011" s="35"/>
      <c r="G1011" s="35"/>
      <c r="AM1011" s="35"/>
      <c r="AN1011" s="35"/>
      <c r="AO1011" s="35"/>
      <c r="AP1011" s="35"/>
      <c r="AQ1011" s="35"/>
      <c r="AR1011" s="35"/>
    </row>
    <row r="1012" spans="5:44" x14ac:dyDescent="0.3">
      <c r="E1012" s="35"/>
      <c r="F1012" s="35"/>
      <c r="G1012" s="35"/>
      <c r="AM1012" s="35"/>
      <c r="AN1012" s="35"/>
      <c r="AO1012" s="35"/>
      <c r="AP1012" s="35"/>
      <c r="AQ1012" s="35"/>
      <c r="AR1012" s="35"/>
    </row>
    <row r="1013" spans="5:44" x14ac:dyDescent="0.3">
      <c r="E1013" s="35"/>
      <c r="F1013" s="35"/>
      <c r="G1013" s="35"/>
      <c r="AM1013" s="35"/>
      <c r="AN1013" s="35"/>
      <c r="AO1013" s="35"/>
      <c r="AP1013" s="35"/>
      <c r="AQ1013" s="35"/>
      <c r="AR1013" s="35"/>
    </row>
    <row r="1014" spans="5:44" x14ac:dyDescent="0.3">
      <c r="E1014" s="35"/>
      <c r="F1014" s="35"/>
      <c r="G1014" s="35"/>
      <c r="AM1014" s="35"/>
      <c r="AN1014" s="35"/>
      <c r="AO1014" s="35"/>
      <c r="AP1014" s="35"/>
      <c r="AQ1014" s="35"/>
      <c r="AR1014" s="35"/>
    </row>
    <row r="1015" spans="5:44" x14ac:dyDescent="0.3">
      <c r="E1015" s="35"/>
      <c r="F1015" s="35"/>
      <c r="G1015" s="35"/>
      <c r="AM1015" s="35"/>
      <c r="AN1015" s="35"/>
      <c r="AO1015" s="35"/>
      <c r="AP1015" s="35"/>
      <c r="AQ1015" s="35"/>
      <c r="AR1015" s="35"/>
    </row>
    <row r="1016" spans="5:44" x14ac:dyDescent="0.3">
      <c r="E1016" s="35"/>
      <c r="F1016" s="35"/>
      <c r="G1016" s="35"/>
      <c r="AM1016" s="35"/>
      <c r="AN1016" s="35"/>
      <c r="AO1016" s="35"/>
      <c r="AP1016" s="35"/>
      <c r="AQ1016" s="35"/>
      <c r="AR1016" s="35"/>
    </row>
    <row r="1017" spans="5:44" x14ac:dyDescent="0.3">
      <c r="E1017" s="35"/>
      <c r="F1017" s="35"/>
      <c r="G1017" s="35"/>
      <c r="AM1017" s="35"/>
      <c r="AN1017" s="35"/>
      <c r="AO1017" s="35"/>
      <c r="AP1017" s="35"/>
      <c r="AQ1017" s="35"/>
      <c r="AR1017" s="35"/>
    </row>
    <row r="1018" spans="5:44" x14ac:dyDescent="0.3">
      <c r="E1018" s="35"/>
      <c r="F1018" s="35"/>
      <c r="G1018" s="35"/>
      <c r="AM1018" s="35"/>
      <c r="AN1018" s="35"/>
      <c r="AO1018" s="35"/>
      <c r="AP1018" s="35"/>
      <c r="AQ1018" s="35"/>
      <c r="AR1018" s="35"/>
    </row>
    <row r="1019" spans="5:44" x14ac:dyDescent="0.3">
      <c r="E1019" s="35"/>
      <c r="F1019" s="35"/>
      <c r="G1019" s="35"/>
      <c r="AM1019" s="35"/>
      <c r="AN1019" s="35"/>
      <c r="AO1019" s="35"/>
      <c r="AP1019" s="35"/>
      <c r="AQ1019" s="35"/>
      <c r="AR1019" s="35"/>
    </row>
    <row r="1020" spans="5:44" x14ac:dyDescent="0.3">
      <c r="E1020" s="35"/>
      <c r="F1020" s="35"/>
      <c r="AM1020" s="35"/>
      <c r="AN1020" s="35"/>
      <c r="AO1020" s="35"/>
      <c r="AP1020" s="35"/>
      <c r="AQ1020" s="35"/>
      <c r="AR1020" s="35"/>
    </row>
    <row r="1021" spans="5:44" x14ac:dyDescent="0.3">
      <c r="E1021" s="35"/>
      <c r="F1021" s="35"/>
      <c r="AM1021" s="35"/>
      <c r="AN1021" s="35"/>
      <c r="AO1021" s="35"/>
      <c r="AP1021" s="35"/>
      <c r="AQ1021" s="35"/>
      <c r="AR1021" s="35"/>
    </row>
    <row r="1022" spans="5:44" x14ac:dyDescent="0.3">
      <c r="E1022" s="35"/>
      <c r="F1022" s="35"/>
      <c r="AM1022" s="35"/>
      <c r="AN1022" s="35"/>
      <c r="AO1022" s="35"/>
      <c r="AP1022" s="35"/>
      <c r="AQ1022" s="35"/>
      <c r="AR1022" s="35"/>
    </row>
    <row r="1023" spans="5:44" x14ac:dyDescent="0.3">
      <c r="E1023" s="35"/>
      <c r="F1023" s="35"/>
      <c r="AM1023" s="35"/>
      <c r="AN1023" s="35"/>
      <c r="AO1023" s="35"/>
      <c r="AP1023" s="35"/>
      <c r="AQ1023" s="35"/>
      <c r="AR1023" s="35"/>
    </row>
    <row r="1024" spans="5:44" x14ac:dyDescent="0.3">
      <c r="E1024" s="35"/>
      <c r="F1024" s="35"/>
      <c r="AM1024" s="35"/>
      <c r="AN1024" s="35"/>
      <c r="AO1024" s="35"/>
      <c r="AP1024" s="35"/>
      <c r="AQ1024" s="35"/>
      <c r="AR1024" s="35"/>
    </row>
    <row r="1025" spans="5:44" x14ac:dyDescent="0.3">
      <c r="E1025" s="35"/>
      <c r="F1025" s="35"/>
      <c r="AM1025" s="35"/>
      <c r="AN1025" s="35"/>
      <c r="AO1025" s="35"/>
      <c r="AP1025" s="35"/>
      <c r="AQ1025" s="35"/>
      <c r="AR1025" s="35"/>
    </row>
    <row r="1026" spans="5:44" x14ac:dyDescent="0.3">
      <c r="E1026" s="35"/>
      <c r="F1026" s="35"/>
      <c r="AM1026" s="35"/>
      <c r="AN1026" s="35"/>
      <c r="AO1026" s="35"/>
      <c r="AP1026" s="35"/>
      <c r="AQ1026" s="35"/>
      <c r="AR1026" s="35"/>
    </row>
    <row r="1027" spans="5:44" x14ac:dyDescent="0.3">
      <c r="E1027" s="35"/>
      <c r="F1027" s="35"/>
      <c r="AM1027" s="35"/>
      <c r="AN1027" s="35"/>
      <c r="AO1027" s="35"/>
      <c r="AP1027" s="35"/>
      <c r="AQ1027" s="35"/>
      <c r="AR1027" s="35"/>
    </row>
    <row r="1028" spans="5:44" x14ac:dyDescent="0.3">
      <c r="E1028" s="35"/>
      <c r="F1028" s="35"/>
      <c r="AM1028" s="35"/>
      <c r="AN1028" s="35"/>
      <c r="AO1028" s="35"/>
      <c r="AP1028" s="35"/>
      <c r="AQ1028" s="35"/>
      <c r="AR1028" s="35"/>
    </row>
    <row r="1029" spans="5:44" x14ac:dyDescent="0.3">
      <c r="E1029" s="35"/>
      <c r="F1029" s="35"/>
      <c r="AM1029" s="35"/>
      <c r="AN1029" s="35"/>
      <c r="AO1029" s="35"/>
      <c r="AP1029" s="35"/>
      <c r="AQ1029" s="35"/>
      <c r="AR1029" s="35"/>
    </row>
    <row r="1030" spans="5:44" x14ac:dyDescent="0.3">
      <c r="E1030" s="35"/>
      <c r="F1030" s="35"/>
      <c r="AM1030" s="35"/>
      <c r="AN1030" s="35"/>
      <c r="AO1030" s="35"/>
      <c r="AP1030" s="35"/>
      <c r="AQ1030" s="35"/>
      <c r="AR1030" s="35"/>
    </row>
    <row r="1031" spans="5:44" x14ac:dyDescent="0.3">
      <c r="E1031" s="35"/>
      <c r="F1031" s="35"/>
      <c r="AM1031" s="35"/>
      <c r="AN1031" s="35"/>
      <c r="AO1031" s="35"/>
      <c r="AP1031" s="35"/>
      <c r="AQ1031" s="35"/>
      <c r="AR1031" s="35"/>
    </row>
    <row r="1032" spans="5:44" x14ac:dyDescent="0.3">
      <c r="E1032" s="35"/>
      <c r="F1032" s="35"/>
      <c r="AM1032" s="35"/>
      <c r="AN1032" s="35"/>
      <c r="AO1032" s="35"/>
      <c r="AP1032" s="35"/>
      <c r="AQ1032" s="35"/>
      <c r="AR1032" s="35"/>
    </row>
    <row r="1033" spans="5:44" x14ac:dyDescent="0.3">
      <c r="E1033" s="35"/>
      <c r="F1033" s="35"/>
      <c r="AM1033" s="35"/>
      <c r="AN1033" s="35"/>
      <c r="AO1033" s="35"/>
      <c r="AP1033" s="35"/>
      <c r="AQ1033" s="35"/>
      <c r="AR1033" s="35"/>
    </row>
    <row r="1034" spans="5:44" x14ac:dyDescent="0.3">
      <c r="E1034" s="35"/>
      <c r="F1034" s="35"/>
      <c r="AM1034" s="35"/>
      <c r="AN1034" s="35"/>
      <c r="AO1034" s="35"/>
      <c r="AP1034" s="35"/>
      <c r="AQ1034" s="35"/>
      <c r="AR1034" s="35"/>
    </row>
    <row r="1035" spans="5:44" x14ac:dyDescent="0.3">
      <c r="E1035" s="35"/>
      <c r="F1035" s="35"/>
      <c r="AM1035" s="35"/>
      <c r="AN1035" s="35"/>
      <c r="AO1035" s="35"/>
      <c r="AP1035" s="35"/>
      <c r="AQ1035" s="35"/>
      <c r="AR1035" s="35"/>
    </row>
    <row r="1036" spans="5:44" x14ac:dyDescent="0.3">
      <c r="E1036" s="35"/>
      <c r="F1036" s="35"/>
      <c r="AM1036" s="35"/>
      <c r="AN1036" s="35"/>
      <c r="AO1036" s="35"/>
      <c r="AP1036" s="35"/>
      <c r="AQ1036" s="35"/>
      <c r="AR1036" s="35"/>
    </row>
    <row r="1037" spans="5:44" x14ac:dyDescent="0.3">
      <c r="E1037" s="35"/>
      <c r="F1037" s="35"/>
      <c r="AM1037" s="35"/>
      <c r="AN1037" s="35"/>
      <c r="AO1037" s="35"/>
      <c r="AP1037" s="35"/>
      <c r="AQ1037" s="35"/>
      <c r="AR1037" s="35"/>
    </row>
    <row r="1038" spans="5:44" x14ac:dyDescent="0.3">
      <c r="E1038" s="35"/>
      <c r="F1038" s="35"/>
      <c r="AM1038" s="35"/>
      <c r="AN1038" s="35"/>
      <c r="AO1038" s="35"/>
      <c r="AP1038" s="35"/>
      <c r="AQ1038" s="35"/>
      <c r="AR1038" s="35"/>
    </row>
    <row r="1039" spans="5:44" x14ac:dyDescent="0.3">
      <c r="E1039" s="35"/>
      <c r="F1039" s="35"/>
      <c r="AM1039" s="35"/>
      <c r="AN1039" s="35"/>
      <c r="AO1039" s="35"/>
      <c r="AP1039" s="35"/>
      <c r="AQ1039" s="35"/>
      <c r="AR1039" s="35"/>
    </row>
    <row r="1040" spans="5:44" x14ac:dyDescent="0.3">
      <c r="E1040" s="35"/>
      <c r="F1040" s="35"/>
      <c r="AM1040" s="35"/>
      <c r="AN1040" s="35"/>
      <c r="AO1040" s="35"/>
      <c r="AP1040" s="35"/>
      <c r="AQ1040" s="35"/>
      <c r="AR1040" s="35"/>
    </row>
    <row r="1041" spans="5:44" x14ac:dyDescent="0.3">
      <c r="E1041" s="35"/>
      <c r="F1041" s="35"/>
      <c r="AM1041" s="35"/>
      <c r="AN1041" s="35"/>
      <c r="AO1041" s="35"/>
      <c r="AP1041" s="35"/>
      <c r="AQ1041" s="35"/>
      <c r="AR1041" s="35"/>
    </row>
    <row r="1042" spans="5:44" x14ac:dyDescent="0.3">
      <c r="E1042" s="35"/>
      <c r="F1042" s="35"/>
      <c r="AM1042" s="35"/>
      <c r="AN1042" s="35"/>
      <c r="AO1042" s="35"/>
      <c r="AP1042" s="35"/>
      <c r="AQ1042" s="35"/>
      <c r="AR1042" s="35"/>
    </row>
    <row r="1043" spans="5:44" x14ac:dyDescent="0.3">
      <c r="E1043" s="35"/>
      <c r="F1043" s="35"/>
      <c r="AM1043" s="35"/>
      <c r="AN1043" s="35"/>
      <c r="AO1043" s="35"/>
      <c r="AP1043" s="35"/>
      <c r="AQ1043" s="35"/>
      <c r="AR1043" s="35"/>
    </row>
    <row r="1044" spans="5:44" x14ac:dyDescent="0.3">
      <c r="E1044" s="35"/>
      <c r="F1044" s="35"/>
      <c r="AM1044" s="35"/>
      <c r="AN1044" s="35"/>
      <c r="AO1044" s="35"/>
      <c r="AP1044" s="35"/>
      <c r="AQ1044" s="35"/>
      <c r="AR1044" s="35"/>
    </row>
    <row r="1045" spans="5:44" x14ac:dyDescent="0.3">
      <c r="E1045" s="35"/>
      <c r="F1045" s="35"/>
      <c r="AM1045" s="35"/>
      <c r="AN1045" s="35"/>
      <c r="AO1045" s="35"/>
      <c r="AP1045" s="35"/>
      <c r="AQ1045" s="35"/>
      <c r="AR1045" s="35"/>
    </row>
    <row r="1046" spans="5:44" x14ac:dyDescent="0.3">
      <c r="E1046" s="35"/>
      <c r="F1046" s="35"/>
      <c r="AM1046" s="35"/>
      <c r="AN1046" s="35"/>
      <c r="AO1046" s="35"/>
      <c r="AP1046" s="35"/>
      <c r="AQ1046" s="35"/>
      <c r="AR1046" s="35"/>
    </row>
    <row r="1047" spans="5:44" x14ac:dyDescent="0.3">
      <c r="E1047" s="35"/>
      <c r="F1047" s="35"/>
      <c r="AM1047" s="35"/>
      <c r="AN1047" s="35"/>
      <c r="AO1047" s="35"/>
      <c r="AP1047" s="35"/>
      <c r="AQ1047" s="35"/>
      <c r="AR1047" s="35"/>
    </row>
    <row r="1048" spans="5:44" x14ac:dyDescent="0.3">
      <c r="E1048" s="35"/>
      <c r="F1048" s="35"/>
      <c r="AM1048" s="35"/>
      <c r="AN1048" s="35"/>
      <c r="AO1048" s="35"/>
      <c r="AP1048" s="35"/>
      <c r="AQ1048" s="35"/>
      <c r="AR1048" s="35"/>
    </row>
    <row r="1049" spans="5:44" x14ac:dyDescent="0.3">
      <c r="E1049" s="35"/>
      <c r="F1049" s="35"/>
      <c r="AM1049" s="35"/>
      <c r="AN1049" s="35"/>
      <c r="AO1049" s="35"/>
      <c r="AP1049" s="35"/>
      <c r="AQ1049" s="35"/>
      <c r="AR1049" s="35"/>
    </row>
    <row r="1050" spans="5:44" x14ac:dyDescent="0.3">
      <c r="E1050" s="35"/>
      <c r="F1050" s="35"/>
      <c r="AM1050" s="35"/>
      <c r="AN1050" s="35"/>
      <c r="AO1050" s="35"/>
      <c r="AP1050" s="35"/>
      <c r="AQ1050" s="35"/>
      <c r="AR1050" s="35"/>
    </row>
    <row r="1051" spans="5:44" x14ac:dyDescent="0.3">
      <c r="E1051" s="35"/>
      <c r="F1051" s="35"/>
      <c r="AM1051" s="35"/>
      <c r="AN1051" s="35"/>
      <c r="AO1051" s="35"/>
      <c r="AP1051" s="35"/>
      <c r="AQ1051" s="35"/>
      <c r="AR1051" s="35"/>
    </row>
    <row r="1052" spans="5:44" x14ac:dyDescent="0.3">
      <c r="E1052" s="35"/>
      <c r="F1052" s="35"/>
      <c r="AM1052" s="35"/>
      <c r="AN1052" s="35"/>
      <c r="AO1052" s="35"/>
      <c r="AP1052" s="35"/>
      <c r="AQ1052" s="35"/>
      <c r="AR1052" s="35"/>
    </row>
    <row r="1053" spans="5:44" x14ac:dyDescent="0.3">
      <c r="E1053" s="35"/>
      <c r="F1053" s="35"/>
      <c r="AM1053" s="35"/>
      <c r="AN1053" s="35"/>
      <c r="AO1053" s="35"/>
      <c r="AP1053" s="35"/>
      <c r="AQ1053" s="35"/>
      <c r="AR1053" s="35"/>
    </row>
    <row r="1054" spans="5:44" x14ac:dyDescent="0.3">
      <c r="E1054" s="35"/>
      <c r="F1054" s="35"/>
      <c r="AM1054" s="35"/>
      <c r="AN1054" s="35"/>
      <c r="AO1054" s="35"/>
      <c r="AP1054" s="35"/>
      <c r="AQ1054" s="35"/>
      <c r="AR1054" s="35"/>
    </row>
    <row r="1055" spans="5:44" x14ac:dyDescent="0.3">
      <c r="E1055" s="35"/>
      <c r="F1055" s="35"/>
      <c r="AM1055" s="35"/>
      <c r="AN1055" s="35"/>
      <c r="AO1055" s="35"/>
      <c r="AP1055" s="35"/>
      <c r="AQ1055" s="35"/>
      <c r="AR1055" s="35"/>
    </row>
    <row r="1056" spans="5:44" x14ac:dyDescent="0.3">
      <c r="E1056" s="35"/>
      <c r="F1056" s="35"/>
      <c r="AM1056" s="35"/>
      <c r="AN1056" s="35"/>
      <c r="AO1056" s="35"/>
      <c r="AP1056" s="35"/>
      <c r="AQ1056" s="35"/>
      <c r="AR1056" s="35"/>
    </row>
    <row r="1057" spans="5:44" x14ac:dyDescent="0.3">
      <c r="E1057" s="35"/>
      <c r="F1057" s="35"/>
      <c r="AM1057" s="35"/>
      <c r="AN1057" s="35"/>
      <c r="AO1057" s="35"/>
      <c r="AP1057" s="35"/>
      <c r="AQ1057" s="35"/>
      <c r="AR1057" s="35"/>
    </row>
    <row r="1058" spans="5:44" x14ac:dyDescent="0.3">
      <c r="E1058" s="35"/>
      <c r="F1058" s="35"/>
      <c r="AM1058" s="35"/>
      <c r="AN1058" s="35"/>
      <c r="AO1058" s="35"/>
      <c r="AP1058" s="35"/>
      <c r="AQ1058" s="35"/>
      <c r="AR1058" s="35"/>
    </row>
    <row r="1059" spans="5:44" x14ac:dyDescent="0.3">
      <c r="E1059" s="35"/>
      <c r="F1059" s="35"/>
      <c r="AM1059" s="35"/>
      <c r="AN1059" s="35"/>
      <c r="AO1059" s="35"/>
      <c r="AP1059" s="35"/>
      <c r="AQ1059" s="35"/>
      <c r="AR1059" s="35"/>
    </row>
    <row r="1060" spans="5:44" x14ac:dyDescent="0.3">
      <c r="E1060" s="35"/>
      <c r="F1060" s="35"/>
      <c r="AM1060" s="35"/>
      <c r="AN1060" s="35"/>
      <c r="AO1060" s="35"/>
      <c r="AP1060" s="35"/>
      <c r="AQ1060" s="35"/>
      <c r="AR1060" s="35"/>
    </row>
    <row r="1061" spans="5:44" x14ac:dyDescent="0.3">
      <c r="E1061" s="35"/>
      <c r="F1061" s="35"/>
      <c r="AM1061" s="35"/>
      <c r="AN1061" s="35"/>
      <c r="AO1061" s="35"/>
      <c r="AP1061" s="35"/>
      <c r="AQ1061" s="35"/>
      <c r="AR1061" s="35"/>
    </row>
    <row r="1062" spans="5:44" x14ac:dyDescent="0.3">
      <c r="E1062" s="35"/>
      <c r="F1062" s="35"/>
      <c r="AM1062" s="35"/>
      <c r="AN1062" s="35"/>
      <c r="AO1062" s="35"/>
      <c r="AP1062" s="35"/>
      <c r="AQ1062" s="35"/>
      <c r="AR1062" s="35"/>
    </row>
    <row r="1063" spans="5:44" x14ac:dyDescent="0.3">
      <c r="E1063" s="35"/>
      <c r="F1063" s="35"/>
      <c r="AM1063" s="35"/>
      <c r="AN1063" s="35"/>
      <c r="AO1063" s="35"/>
      <c r="AP1063" s="35"/>
      <c r="AQ1063" s="35"/>
      <c r="AR1063" s="35"/>
    </row>
    <row r="1064" spans="5:44" x14ac:dyDescent="0.3">
      <c r="E1064" s="35"/>
      <c r="F1064" s="35"/>
      <c r="AM1064" s="35"/>
      <c r="AN1064" s="35"/>
      <c r="AO1064" s="35"/>
      <c r="AP1064" s="35"/>
      <c r="AQ1064" s="35"/>
      <c r="AR1064" s="35"/>
    </row>
    <row r="1065" spans="5:44" x14ac:dyDescent="0.3">
      <c r="E1065" s="35"/>
      <c r="F1065" s="35"/>
      <c r="AM1065" s="35"/>
      <c r="AN1065" s="35"/>
      <c r="AO1065" s="35"/>
      <c r="AP1065" s="35"/>
      <c r="AQ1065" s="35"/>
      <c r="AR1065" s="35"/>
    </row>
    <row r="1066" spans="5:44" x14ac:dyDescent="0.3">
      <c r="E1066" s="35"/>
      <c r="F1066" s="35"/>
      <c r="AM1066" s="35"/>
      <c r="AN1066" s="35"/>
      <c r="AO1066" s="35"/>
      <c r="AP1066" s="35"/>
      <c r="AQ1066" s="35"/>
      <c r="AR1066" s="35"/>
    </row>
    <row r="1067" spans="5:44" x14ac:dyDescent="0.3">
      <c r="E1067" s="35"/>
      <c r="F1067" s="35"/>
      <c r="AM1067" s="35"/>
      <c r="AN1067" s="35"/>
      <c r="AO1067" s="35"/>
      <c r="AP1067" s="35"/>
      <c r="AQ1067" s="35"/>
      <c r="AR1067" s="35"/>
    </row>
    <row r="1068" spans="5:44" x14ac:dyDescent="0.3">
      <c r="E1068" s="35"/>
      <c r="F1068" s="35"/>
      <c r="AM1068" s="35"/>
      <c r="AN1068" s="35"/>
      <c r="AO1068" s="35"/>
      <c r="AP1068" s="35"/>
      <c r="AQ1068" s="35"/>
      <c r="AR1068" s="35"/>
    </row>
    <row r="1069" spans="5:44" x14ac:dyDescent="0.3">
      <c r="E1069" s="35"/>
      <c r="F1069" s="35"/>
      <c r="AM1069" s="35"/>
      <c r="AN1069" s="35"/>
      <c r="AO1069" s="35"/>
      <c r="AP1069" s="35"/>
      <c r="AQ1069" s="35"/>
      <c r="AR1069" s="35"/>
    </row>
    <row r="1070" spans="5:44" x14ac:dyDescent="0.3">
      <c r="E1070" s="35"/>
      <c r="F1070" s="35"/>
      <c r="AM1070" s="35"/>
      <c r="AN1070" s="35"/>
      <c r="AO1070" s="35"/>
      <c r="AP1070" s="35"/>
      <c r="AQ1070" s="35"/>
      <c r="AR1070" s="35"/>
    </row>
    <row r="1071" spans="5:44" x14ac:dyDescent="0.3">
      <c r="E1071" s="35"/>
      <c r="F1071" s="35"/>
      <c r="AM1071" s="35"/>
      <c r="AN1071" s="35"/>
      <c r="AO1071" s="35"/>
      <c r="AP1071" s="35"/>
      <c r="AQ1071" s="35"/>
      <c r="AR1071" s="35"/>
    </row>
    <row r="1072" spans="5:44" x14ac:dyDescent="0.3">
      <c r="E1072" s="35"/>
      <c r="F1072" s="35"/>
      <c r="AM1072" s="35"/>
      <c r="AN1072" s="35"/>
      <c r="AO1072" s="35"/>
      <c r="AP1072" s="35"/>
      <c r="AQ1072" s="35"/>
      <c r="AR1072" s="35"/>
    </row>
    <row r="1073" spans="5:44" x14ac:dyDescent="0.3">
      <c r="E1073" s="35"/>
      <c r="F1073" s="35"/>
      <c r="AM1073" s="35"/>
      <c r="AN1073" s="35"/>
      <c r="AO1073" s="35"/>
      <c r="AP1073" s="35"/>
      <c r="AQ1073" s="35"/>
      <c r="AR1073" s="35"/>
    </row>
    <row r="1074" spans="5:44" x14ac:dyDescent="0.3">
      <c r="E1074" s="35"/>
      <c r="F1074" s="35"/>
      <c r="AM1074" s="35"/>
      <c r="AN1074" s="35"/>
      <c r="AO1074" s="35"/>
      <c r="AP1074" s="35"/>
      <c r="AQ1074" s="35"/>
      <c r="AR1074" s="35"/>
    </row>
    <row r="1075" spans="5:44" x14ac:dyDescent="0.3">
      <c r="E1075" s="35"/>
      <c r="F1075" s="35"/>
      <c r="AM1075" s="35"/>
      <c r="AN1075" s="35"/>
      <c r="AO1075" s="35"/>
      <c r="AP1075" s="35"/>
      <c r="AQ1075" s="35"/>
      <c r="AR1075" s="35"/>
    </row>
    <row r="1076" spans="5:44" x14ac:dyDescent="0.3">
      <c r="E1076" s="35"/>
      <c r="F1076" s="35"/>
      <c r="AM1076" s="35"/>
      <c r="AN1076" s="35"/>
      <c r="AO1076" s="35"/>
      <c r="AP1076" s="35"/>
      <c r="AQ1076" s="35"/>
      <c r="AR1076" s="35"/>
    </row>
    <row r="1077" spans="5:44" x14ac:dyDescent="0.3">
      <c r="E1077" s="35"/>
      <c r="F1077" s="35"/>
      <c r="AM1077" s="35"/>
      <c r="AN1077" s="35"/>
      <c r="AO1077" s="35"/>
      <c r="AP1077" s="35"/>
      <c r="AQ1077" s="35"/>
      <c r="AR1077" s="35"/>
    </row>
    <row r="1078" spans="5:44" x14ac:dyDescent="0.3">
      <c r="E1078" s="35"/>
      <c r="F1078" s="35"/>
      <c r="AM1078" s="35"/>
      <c r="AN1078" s="35"/>
      <c r="AO1078" s="35"/>
      <c r="AP1078" s="35"/>
      <c r="AQ1078" s="35"/>
      <c r="AR1078" s="35"/>
    </row>
    <row r="1079" spans="5:44" x14ac:dyDescent="0.3">
      <c r="E1079" s="35"/>
      <c r="F1079" s="35"/>
      <c r="AM1079" s="35"/>
      <c r="AN1079" s="35"/>
      <c r="AO1079" s="35"/>
      <c r="AP1079" s="35"/>
      <c r="AQ1079" s="35"/>
      <c r="AR1079" s="35"/>
    </row>
    <row r="1080" spans="5:44" x14ac:dyDescent="0.3">
      <c r="E1080" s="35"/>
      <c r="F1080" s="35"/>
      <c r="AM1080" s="35"/>
      <c r="AN1080" s="35"/>
      <c r="AO1080" s="35"/>
      <c r="AP1080" s="35"/>
      <c r="AQ1080" s="35"/>
      <c r="AR1080" s="35"/>
    </row>
    <row r="1081" spans="5:44" x14ac:dyDescent="0.3">
      <c r="E1081" s="35"/>
      <c r="F1081" s="35"/>
      <c r="AM1081" s="35"/>
      <c r="AN1081" s="35"/>
      <c r="AO1081" s="35"/>
      <c r="AP1081" s="35"/>
      <c r="AQ1081" s="35"/>
      <c r="AR1081" s="35"/>
    </row>
    <row r="1082" spans="5:44" x14ac:dyDescent="0.3">
      <c r="E1082" s="35"/>
      <c r="F1082" s="35"/>
      <c r="AM1082" s="35"/>
      <c r="AN1082" s="35"/>
      <c r="AO1082" s="35"/>
      <c r="AP1082" s="35"/>
      <c r="AQ1082" s="35"/>
      <c r="AR1082" s="35"/>
    </row>
    <row r="1083" spans="5:44" x14ac:dyDescent="0.3">
      <c r="E1083" s="35"/>
      <c r="F1083" s="35"/>
      <c r="AM1083" s="35"/>
      <c r="AN1083" s="35"/>
      <c r="AO1083" s="35"/>
      <c r="AP1083" s="35"/>
      <c r="AQ1083" s="35"/>
      <c r="AR1083" s="35"/>
    </row>
    <row r="1084" spans="5:44" x14ac:dyDescent="0.3">
      <c r="E1084" s="35"/>
      <c r="F1084" s="35"/>
      <c r="AM1084" s="35"/>
      <c r="AN1084" s="35"/>
      <c r="AO1084" s="35"/>
      <c r="AP1084" s="35"/>
      <c r="AQ1084" s="35"/>
      <c r="AR1084" s="35"/>
    </row>
    <row r="1085" spans="5:44" x14ac:dyDescent="0.3">
      <c r="E1085" s="35"/>
      <c r="F1085" s="35"/>
      <c r="AM1085" s="35"/>
      <c r="AN1085" s="35"/>
      <c r="AO1085" s="35"/>
      <c r="AP1085" s="35"/>
      <c r="AQ1085" s="35"/>
      <c r="AR1085" s="35"/>
    </row>
    <row r="1086" spans="5:44" x14ac:dyDescent="0.3">
      <c r="E1086" s="35"/>
      <c r="F1086" s="35"/>
      <c r="AM1086" s="35"/>
      <c r="AN1086" s="35"/>
      <c r="AO1086" s="35"/>
      <c r="AP1086" s="35"/>
      <c r="AQ1086" s="35"/>
      <c r="AR1086" s="35"/>
    </row>
    <row r="1087" spans="5:44" x14ac:dyDescent="0.3">
      <c r="E1087" s="35"/>
      <c r="F1087" s="35"/>
      <c r="AM1087" s="35"/>
      <c r="AN1087" s="35"/>
      <c r="AO1087" s="35"/>
      <c r="AP1087" s="35"/>
      <c r="AQ1087" s="35"/>
      <c r="AR1087" s="35"/>
    </row>
    <row r="1088" spans="5:44" x14ac:dyDescent="0.3">
      <c r="E1088" s="35"/>
      <c r="F1088" s="35"/>
      <c r="AM1088" s="35"/>
      <c r="AN1088" s="35"/>
      <c r="AO1088" s="35"/>
      <c r="AP1088" s="35"/>
      <c r="AQ1088" s="35"/>
      <c r="AR1088" s="35"/>
    </row>
    <row r="1089" spans="5:44" x14ac:dyDescent="0.3">
      <c r="E1089" s="35"/>
      <c r="F1089" s="35"/>
      <c r="AM1089" s="35"/>
      <c r="AN1089" s="35"/>
      <c r="AO1089" s="35"/>
      <c r="AP1089" s="35"/>
      <c r="AQ1089" s="35"/>
      <c r="AR1089" s="35"/>
    </row>
    <row r="1090" spans="5:44" x14ac:dyDescent="0.3">
      <c r="E1090" s="35"/>
      <c r="F1090" s="35"/>
      <c r="AM1090" s="35"/>
      <c r="AN1090" s="35"/>
      <c r="AO1090" s="35"/>
      <c r="AP1090" s="35"/>
      <c r="AQ1090" s="35"/>
      <c r="AR1090" s="35"/>
    </row>
    <row r="1091" spans="5:44" x14ac:dyDescent="0.3">
      <c r="E1091" s="35"/>
      <c r="F1091" s="35"/>
      <c r="AM1091" s="35"/>
      <c r="AN1091" s="35"/>
      <c r="AO1091" s="35"/>
      <c r="AP1091" s="35"/>
      <c r="AQ1091" s="35"/>
      <c r="AR1091" s="35"/>
    </row>
    <row r="1092" spans="5:44" x14ac:dyDescent="0.3">
      <c r="E1092" s="35"/>
      <c r="F1092" s="35"/>
      <c r="AM1092" s="35"/>
      <c r="AN1092" s="35"/>
      <c r="AO1092" s="35"/>
      <c r="AP1092" s="35"/>
      <c r="AQ1092" s="35"/>
      <c r="AR1092" s="35"/>
    </row>
    <row r="1093" spans="5:44" x14ac:dyDescent="0.3">
      <c r="E1093" s="35"/>
      <c r="F1093" s="35"/>
      <c r="AM1093" s="35"/>
      <c r="AN1093" s="35"/>
      <c r="AO1093" s="35"/>
      <c r="AP1093" s="35"/>
      <c r="AQ1093" s="35"/>
      <c r="AR1093" s="35"/>
    </row>
    <row r="1094" spans="5:44" x14ac:dyDescent="0.3">
      <c r="E1094" s="35"/>
      <c r="F1094" s="35"/>
      <c r="AM1094" s="35"/>
      <c r="AN1094" s="35"/>
      <c r="AO1094" s="35"/>
      <c r="AP1094" s="35"/>
      <c r="AQ1094" s="35"/>
      <c r="AR1094" s="35"/>
    </row>
    <row r="1095" spans="5:44" x14ac:dyDescent="0.3">
      <c r="E1095" s="35"/>
      <c r="F1095" s="35"/>
      <c r="AM1095" s="35"/>
      <c r="AN1095" s="35"/>
      <c r="AO1095" s="35"/>
      <c r="AP1095" s="35"/>
      <c r="AQ1095" s="35"/>
      <c r="AR1095" s="35"/>
    </row>
    <row r="1096" spans="5:44" x14ac:dyDescent="0.3">
      <c r="E1096" s="35"/>
      <c r="F1096" s="35"/>
      <c r="AM1096" s="35"/>
      <c r="AN1096" s="35"/>
      <c r="AO1096" s="35"/>
      <c r="AP1096" s="35"/>
      <c r="AQ1096" s="35"/>
      <c r="AR1096" s="35"/>
    </row>
    <row r="1097" spans="5:44" x14ac:dyDescent="0.3">
      <c r="E1097" s="35"/>
      <c r="F1097" s="35"/>
      <c r="AM1097" s="35"/>
      <c r="AN1097" s="35"/>
      <c r="AO1097" s="35"/>
      <c r="AP1097" s="35"/>
      <c r="AQ1097" s="35"/>
      <c r="AR1097" s="35"/>
    </row>
    <row r="1098" spans="5:44" x14ac:dyDescent="0.3">
      <c r="E1098" s="35"/>
      <c r="F1098" s="35"/>
      <c r="AM1098" s="35"/>
      <c r="AN1098" s="35"/>
      <c r="AO1098" s="35"/>
      <c r="AP1098" s="35"/>
      <c r="AQ1098" s="35"/>
      <c r="AR1098" s="35"/>
    </row>
    <row r="1099" spans="5:44" x14ac:dyDescent="0.3">
      <c r="E1099" s="35"/>
      <c r="F1099" s="35"/>
      <c r="AM1099" s="35"/>
      <c r="AN1099" s="35"/>
      <c r="AO1099" s="35"/>
      <c r="AP1099" s="35"/>
      <c r="AQ1099" s="35"/>
      <c r="AR1099" s="35"/>
    </row>
    <row r="1100" spans="5:44" x14ac:dyDescent="0.3">
      <c r="E1100" s="35"/>
      <c r="F1100" s="35"/>
      <c r="AM1100" s="35"/>
      <c r="AN1100" s="35"/>
      <c r="AO1100" s="35"/>
      <c r="AP1100" s="35"/>
      <c r="AQ1100" s="35"/>
      <c r="AR1100" s="35"/>
    </row>
    <row r="1101" spans="5:44" x14ac:dyDescent="0.3">
      <c r="E1101" s="35"/>
      <c r="F1101" s="35"/>
      <c r="AM1101" s="35"/>
      <c r="AN1101" s="35"/>
      <c r="AO1101" s="35"/>
      <c r="AP1101" s="35"/>
      <c r="AQ1101" s="35"/>
      <c r="AR1101" s="35"/>
    </row>
    <row r="1102" spans="5:44" x14ac:dyDescent="0.3">
      <c r="E1102" s="35"/>
      <c r="F1102" s="35"/>
      <c r="AM1102" s="35"/>
      <c r="AN1102" s="35"/>
      <c r="AO1102" s="35"/>
      <c r="AP1102" s="35"/>
      <c r="AQ1102" s="35"/>
      <c r="AR1102" s="35"/>
    </row>
    <row r="1103" spans="5:44" x14ac:dyDescent="0.3">
      <c r="E1103" s="35"/>
      <c r="F1103" s="35"/>
      <c r="AM1103" s="35"/>
      <c r="AN1103" s="35"/>
      <c r="AO1103" s="35"/>
      <c r="AP1103" s="35"/>
      <c r="AQ1103" s="35"/>
      <c r="AR1103" s="35"/>
    </row>
    <row r="1104" spans="5:44" x14ac:dyDescent="0.3">
      <c r="E1104" s="35"/>
      <c r="F1104" s="35"/>
      <c r="AM1104" s="35"/>
      <c r="AN1104" s="35"/>
      <c r="AO1104" s="35"/>
      <c r="AP1104" s="35"/>
      <c r="AQ1104" s="35"/>
      <c r="AR1104" s="35"/>
    </row>
    <row r="1105" spans="5:44" x14ac:dyDescent="0.3">
      <c r="E1105" s="35"/>
      <c r="F1105" s="35"/>
      <c r="AM1105" s="35"/>
      <c r="AN1105" s="35"/>
      <c r="AO1105" s="35"/>
      <c r="AP1105" s="35"/>
      <c r="AQ1105" s="35"/>
      <c r="AR1105" s="35"/>
    </row>
    <row r="1106" spans="5:44" x14ac:dyDescent="0.3">
      <c r="E1106" s="35"/>
      <c r="F1106" s="35"/>
      <c r="AM1106" s="35"/>
      <c r="AN1106" s="35"/>
      <c r="AO1106" s="35"/>
      <c r="AP1106" s="35"/>
      <c r="AQ1106" s="35"/>
      <c r="AR1106" s="35"/>
    </row>
    <row r="1107" spans="5:44" x14ac:dyDescent="0.3">
      <c r="E1107" s="35"/>
      <c r="F1107" s="35"/>
      <c r="AM1107" s="35"/>
      <c r="AN1107" s="35"/>
      <c r="AO1107" s="35"/>
      <c r="AP1107" s="35"/>
      <c r="AQ1107" s="35"/>
      <c r="AR1107" s="35"/>
    </row>
    <row r="1108" spans="5:44" x14ac:dyDescent="0.3">
      <c r="E1108" s="35"/>
      <c r="F1108" s="35"/>
      <c r="AM1108" s="35"/>
      <c r="AN1108" s="35"/>
      <c r="AO1108" s="35"/>
      <c r="AP1108" s="35"/>
      <c r="AQ1108" s="35"/>
      <c r="AR1108" s="35"/>
    </row>
    <row r="1109" spans="5:44" x14ac:dyDescent="0.3">
      <c r="E1109" s="35"/>
      <c r="F1109" s="35"/>
      <c r="AM1109" s="35"/>
      <c r="AN1109" s="35"/>
      <c r="AO1109" s="35"/>
      <c r="AP1109" s="35"/>
      <c r="AQ1109" s="35"/>
      <c r="AR1109" s="35"/>
    </row>
    <row r="1110" spans="5:44" x14ac:dyDescent="0.3">
      <c r="E1110" s="35"/>
      <c r="F1110" s="35"/>
      <c r="AM1110" s="35"/>
      <c r="AN1110" s="35"/>
      <c r="AO1110" s="35"/>
      <c r="AP1110" s="35"/>
      <c r="AQ1110" s="35"/>
      <c r="AR1110" s="35"/>
    </row>
    <row r="1111" spans="5:44" x14ac:dyDescent="0.3">
      <c r="E1111" s="35"/>
      <c r="F1111" s="35"/>
      <c r="AM1111" s="35"/>
      <c r="AN1111" s="35"/>
      <c r="AO1111" s="35"/>
      <c r="AP1111" s="35"/>
      <c r="AQ1111" s="35"/>
      <c r="AR1111" s="35"/>
    </row>
    <row r="1112" spans="5:44" x14ac:dyDescent="0.3">
      <c r="E1112" s="35"/>
      <c r="F1112" s="35"/>
      <c r="AM1112" s="35"/>
      <c r="AN1112" s="35"/>
      <c r="AO1112" s="35"/>
      <c r="AP1112" s="35"/>
      <c r="AQ1112" s="35"/>
      <c r="AR1112" s="35"/>
    </row>
    <row r="1113" spans="5:44" x14ac:dyDescent="0.3">
      <c r="E1113" s="35"/>
      <c r="F1113" s="35"/>
      <c r="AM1113" s="35"/>
      <c r="AN1113" s="35"/>
      <c r="AO1113" s="35"/>
      <c r="AP1113" s="35"/>
      <c r="AQ1113" s="35"/>
      <c r="AR1113" s="35"/>
    </row>
    <row r="1114" spans="5:44" x14ac:dyDescent="0.3">
      <c r="E1114" s="35"/>
      <c r="F1114" s="35"/>
      <c r="AM1114" s="35"/>
      <c r="AN1114" s="35"/>
      <c r="AO1114" s="35"/>
      <c r="AP1114" s="35"/>
      <c r="AQ1114" s="35"/>
      <c r="AR1114" s="35"/>
    </row>
    <row r="1115" spans="5:44" x14ac:dyDescent="0.3">
      <c r="E1115" s="35"/>
      <c r="F1115" s="35"/>
      <c r="AM1115" s="35"/>
      <c r="AN1115" s="35"/>
      <c r="AO1115" s="35"/>
      <c r="AP1115" s="35"/>
      <c r="AQ1115" s="35"/>
      <c r="AR1115" s="35"/>
    </row>
    <row r="1116" spans="5:44" x14ac:dyDescent="0.3">
      <c r="E1116" s="35"/>
      <c r="F1116" s="35"/>
      <c r="AM1116" s="35"/>
      <c r="AN1116" s="35"/>
      <c r="AO1116" s="35"/>
      <c r="AP1116" s="35"/>
      <c r="AQ1116" s="35"/>
      <c r="AR1116" s="35"/>
    </row>
    <row r="1117" spans="5:44" x14ac:dyDescent="0.3">
      <c r="E1117" s="35"/>
      <c r="F1117" s="35"/>
      <c r="AM1117" s="35"/>
      <c r="AN1117" s="35"/>
      <c r="AO1117" s="35"/>
      <c r="AP1117" s="35"/>
      <c r="AQ1117" s="35"/>
      <c r="AR1117" s="35"/>
    </row>
    <row r="1118" spans="5:44" x14ac:dyDescent="0.3">
      <c r="E1118" s="35"/>
      <c r="F1118" s="35"/>
      <c r="AM1118" s="35"/>
      <c r="AN1118" s="35"/>
      <c r="AO1118" s="35"/>
      <c r="AP1118" s="35"/>
      <c r="AQ1118" s="35"/>
      <c r="AR1118" s="35"/>
    </row>
    <row r="1119" spans="5:44" x14ac:dyDescent="0.3">
      <c r="E1119" s="35"/>
      <c r="F1119" s="35"/>
      <c r="AM1119" s="35"/>
      <c r="AN1119" s="35"/>
      <c r="AO1119" s="35"/>
      <c r="AP1119" s="35"/>
      <c r="AQ1119" s="35"/>
      <c r="AR1119" s="35"/>
    </row>
    <row r="1120" spans="5:44" x14ac:dyDescent="0.3">
      <c r="E1120" s="35"/>
      <c r="F1120" s="35"/>
      <c r="AM1120" s="35"/>
      <c r="AN1120" s="35"/>
      <c r="AO1120" s="35"/>
      <c r="AP1120" s="35"/>
      <c r="AQ1120" s="35"/>
      <c r="AR1120" s="35"/>
    </row>
    <row r="1121" spans="5:44" x14ac:dyDescent="0.3">
      <c r="E1121" s="35"/>
      <c r="F1121" s="35"/>
      <c r="AM1121" s="35"/>
      <c r="AN1121" s="35"/>
      <c r="AO1121" s="35"/>
      <c r="AP1121" s="35"/>
      <c r="AQ1121" s="35"/>
      <c r="AR1121" s="35"/>
    </row>
    <row r="1122" spans="5:44" x14ac:dyDescent="0.3">
      <c r="E1122" s="35"/>
      <c r="F1122" s="35"/>
      <c r="AM1122" s="35"/>
      <c r="AN1122" s="35"/>
      <c r="AO1122" s="35"/>
      <c r="AP1122" s="35"/>
      <c r="AQ1122" s="35"/>
      <c r="AR1122" s="35"/>
    </row>
    <row r="1123" spans="5:44" x14ac:dyDescent="0.3">
      <c r="E1123" s="35"/>
      <c r="F1123" s="35"/>
      <c r="AM1123" s="35"/>
      <c r="AN1123" s="35"/>
      <c r="AO1123" s="35"/>
      <c r="AP1123" s="35"/>
      <c r="AQ1123" s="35"/>
      <c r="AR1123" s="35"/>
    </row>
    <row r="1124" spans="5:44" x14ac:dyDescent="0.3">
      <c r="E1124" s="35"/>
      <c r="F1124" s="35"/>
      <c r="AM1124" s="35"/>
      <c r="AN1124" s="35"/>
      <c r="AO1124" s="35"/>
      <c r="AP1124" s="35"/>
      <c r="AQ1124" s="35"/>
      <c r="AR1124" s="35"/>
    </row>
    <row r="1125" spans="5:44" x14ac:dyDescent="0.3">
      <c r="E1125" s="35"/>
      <c r="F1125" s="35"/>
      <c r="AM1125" s="35"/>
      <c r="AN1125" s="35"/>
      <c r="AO1125" s="35"/>
      <c r="AP1125" s="35"/>
      <c r="AQ1125" s="35"/>
      <c r="AR1125" s="35"/>
    </row>
    <row r="1126" spans="5:44" x14ac:dyDescent="0.3">
      <c r="E1126" s="35"/>
      <c r="F1126" s="35"/>
      <c r="AM1126" s="35"/>
      <c r="AN1126" s="35"/>
      <c r="AO1126" s="35"/>
      <c r="AP1126" s="35"/>
      <c r="AQ1126" s="35"/>
      <c r="AR1126" s="35"/>
    </row>
    <row r="1127" spans="5:44" x14ac:dyDescent="0.3">
      <c r="E1127" s="35"/>
      <c r="F1127" s="35"/>
      <c r="AM1127" s="35"/>
      <c r="AN1127" s="35"/>
      <c r="AO1127" s="35"/>
      <c r="AP1127" s="35"/>
      <c r="AQ1127" s="35"/>
      <c r="AR1127" s="35"/>
    </row>
    <row r="1128" spans="5:44" x14ac:dyDescent="0.3">
      <c r="E1128" s="35"/>
      <c r="F1128" s="35"/>
      <c r="AM1128" s="35"/>
      <c r="AN1128" s="35"/>
      <c r="AO1128" s="35"/>
      <c r="AP1128" s="35"/>
      <c r="AQ1128" s="35"/>
      <c r="AR1128" s="35"/>
    </row>
    <row r="1129" spans="5:44" x14ac:dyDescent="0.3">
      <c r="E1129" s="35"/>
      <c r="F1129" s="35"/>
      <c r="AM1129" s="35"/>
      <c r="AN1129" s="35"/>
      <c r="AO1129" s="35"/>
      <c r="AP1129" s="35"/>
      <c r="AQ1129" s="35"/>
      <c r="AR1129" s="35"/>
    </row>
    <row r="1130" spans="5:44" x14ac:dyDescent="0.3">
      <c r="E1130" s="35"/>
      <c r="F1130" s="35"/>
      <c r="AM1130" s="35"/>
      <c r="AN1130" s="35"/>
      <c r="AO1130" s="35"/>
      <c r="AP1130" s="35"/>
      <c r="AQ1130" s="35"/>
      <c r="AR1130" s="35"/>
    </row>
    <row r="1131" spans="5:44" x14ac:dyDescent="0.3">
      <c r="E1131" s="35"/>
      <c r="F1131" s="35"/>
      <c r="AM1131" s="35"/>
      <c r="AN1131" s="35"/>
      <c r="AO1131" s="35"/>
      <c r="AP1131" s="35"/>
      <c r="AQ1131" s="35"/>
      <c r="AR1131" s="35"/>
    </row>
    <row r="1132" spans="5:44" x14ac:dyDescent="0.3">
      <c r="E1132" s="35"/>
      <c r="F1132" s="35"/>
      <c r="AM1132" s="35"/>
      <c r="AN1132" s="35"/>
      <c r="AO1132" s="35"/>
      <c r="AP1132" s="35"/>
      <c r="AQ1132" s="35"/>
      <c r="AR1132" s="35"/>
    </row>
    <row r="1133" spans="5:44" x14ac:dyDescent="0.3">
      <c r="E1133" s="35"/>
      <c r="F1133" s="35"/>
      <c r="AM1133" s="35"/>
      <c r="AN1133" s="35"/>
      <c r="AO1133" s="35"/>
      <c r="AP1133" s="35"/>
      <c r="AQ1133" s="35"/>
      <c r="AR1133" s="35"/>
    </row>
    <row r="1134" spans="5:44" x14ac:dyDescent="0.3">
      <c r="E1134" s="35"/>
      <c r="F1134" s="35"/>
      <c r="AM1134" s="35"/>
      <c r="AN1134" s="35"/>
      <c r="AO1134" s="35"/>
      <c r="AP1134" s="35"/>
      <c r="AQ1134" s="35"/>
      <c r="AR1134" s="35"/>
    </row>
    <row r="1135" spans="5:44" x14ac:dyDescent="0.3">
      <c r="E1135" s="35"/>
      <c r="F1135" s="35"/>
      <c r="AM1135" s="35"/>
      <c r="AN1135" s="35"/>
      <c r="AO1135" s="35"/>
      <c r="AP1135" s="35"/>
      <c r="AQ1135" s="35"/>
      <c r="AR1135" s="35"/>
    </row>
    <row r="1136" spans="5:44" x14ac:dyDescent="0.3">
      <c r="E1136" s="35"/>
      <c r="F1136" s="35"/>
      <c r="AM1136" s="35"/>
      <c r="AN1136" s="35"/>
      <c r="AO1136" s="35"/>
      <c r="AP1136" s="35"/>
      <c r="AQ1136" s="35"/>
      <c r="AR1136" s="35"/>
    </row>
    <row r="1137" spans="5:44" x14ac:dyDescent="0.3">
      <c r="E1137" s="35"/>
      <c r="F1137" s="35"/>
      <c r="AM1137" s="35"/>
      <c r="AN1137" s="35"/>
      <c r="AO1137" s="35"/>
      <c r="AP1137" s="35"/>
      <c r="AQ1137" s="35"/>
      <c r="AR1137" s="35"/>
    </row>
    <row r="1138" spans="5:44" x14ac:dyDescent="0.3">
      <c r="E1138" s="35"/>
      <c r="F1138" s="35"/>
      <c r="AM1138" s="35"/>
      <c r="AN1138" s="35"/>
      <c r="AO1138" s="35"/>
      <c r="AP1138" s="35"/>
      <c r="AQ1138" s="35"/>
      <c r="AR1138" s="35"/>
    </row>
    <row r="1139" spans="5:44" x14ac:dyDescent="0.3">
      <c r="E1139" s="35"/>
      <c r="F1139" s="35"/>
      <c r="AM1139" s="35"/>
      <c r="AN1139" s="35"/>
      <c r="AO1139" s="35"/>
      <c r="AP1139" s="35"/>
      <c r="AQ1139" s="35"/>
      <c r="AR1139" s="35"/>
    </row>
    <row r="1140" spans="5:44" x14ac:dyDescent="0.3">
      <c r="E1140" s="35"/>
      <c r="F1140" s="35"/>
      <c r="AM1140" s="35"/>
      <c r="AN1140" s="35"/>
      <c r="AO1140" s="35"/>
      <c r="AP1140" s="35"/>
      <c r="AQ1140" s="35"/>
      <c r="AR1140" s="35"/>
    </row>
    <row r="1141" spans="5:44" x14ac:dyDescent="0.3">
      <c r="E1141" s="35"/>
      <c r="F1141" s="35"/>
      <c r="AM1141" s="35"/>
      <c r="AN1141" s="35"/>
      <c r="AO1141" s="35"/>
      <c r="AP1141" s="35"/>
      <c r="AQ1141" s="35"/>
      <c r="AR1141" s="35"/>
    </row>
    <row r="1142" spans="5:44" x14ac:dyDescent="0.3">
      <c r="E1142" s="35"/>
      <c r="F1142" s="35"/>
      <c r="AM1142" s="35"/>
      <c r="AN1142" s="35"/>
      <c r="AO1142" s="35"/>
      <c r="AP1142" s="35"/>
      <c r="AQ1142" s="35"/>
      <c r="AR1142" s="35"/>
    </row>
    <row r="1143" spans="5:44" x14ac:dyDescent="0.3">
      <c r="E1143" s="35"/>
      <c r="F1143" s="35"/>
      <c r="AM1143" s="35"/>
      <c r="AN1143" s="35"/>
      <c r="AO1143" s="35"/>
      <c r="AP1143" s="35"/>
      <c r="AQ1143" s="35"/>
      <c r="AR1143" s="35"/>
    </row>
    <row r="1144" spans="5:44" x14ac:dyDescent="0.3">
      <c r="E1144" s="35"/>
      <c r="F1144" s="35"/>
      <c r="AM1144" s="35"/>
      <c r="AN1144" s="35"/>
      <c r="AO1144" s="35"/>
      <c r="AP1144" s="35"/>
      <c r="AQ1144" s="35"/>
      <c r="AR1144" s="35"/>
    </row>
    <row r="1145" spans="5:44" x14ac:dyDescent="0.3">
      <c r="E1145" s="35"/>
      <c r="F1145" s="35"/>
      <c r="AM1145" s="35"/>
      <c r="AN1145" s="35"/>
      <c r="AO1145" s="35"/>
      <c r="AP1145" s="35"/>
      <c r="AQ1145" s="35"/>
      <c r="AR1145" s="35"/>
    </row>
    <row r="1146" spans="5:44" x14ac:dyDescent="0.3">
      <c r="E1146" s="35"/>
      <c r="F1146" s="35"/>
      <c r="AM1146" s="35"/>
      <c r="AN1146" s="35"/>
      <c r="AO1146" s="35"/>
      <c r="AP1146" s="35"/>
      <c r="AQ1146" s="35"/>
      <c r="AR1146" s="35"/>
    </row>
    <row r="1147" spans="5:44" x14ac:dyDescent="0.3">
      <c r="E1147" s="35"/>
      <c r="F1147" s="35"/>
      <c r="AM1147" s="35"/>
      <c r="AN1147" s="35"/>
      <c r="AO1147" s="35"/>
      <c r="AP1147" s="35"/>
      <c r="AQ1147" s="35"/>
      <c r="AR1147" s="35"/>
    </row>
    <row r="1148" spans="5:44" x14ac:dyDescent="0.3">
      <c r="E1148" s="35"/>
      <c r="F1148" s="35"/>
      <c r="AM1148" s="35"/>
      <c r="AN1148" s="35"/>
      <c r="AO1148" s="35"/>
      <c r="AP1148" s="35"/>
      <c r="AQ1148" s="35"/>
      <c r="AR1148" s="35"/>
    </row>
    <row r="1149" spans="5:44" x14ac:dyDescent="0.3">
      <c r="E1149" s="35"/>
      <c r="F1149" s="35"/>
      <c r="AM1149" s="35"/>
      <c r="AN1149" s="35"/>
      <c r="AO1149" s="35"/>
      <c r="AP1149" s="35"/>
      <c r="AQ1149" s="35"/>
      <c r="AR1149" s="35"/>
    </row>
    <row r="1150" spans="5:44" x14ac:dyDescent="0.3">
      <c r="E1150" s="35"/>
      <c r="F1150" s="35"/>
      <c r="AM1150" s="35"/>
      <c r="AN1150" s="35"/>
      <c r="AO1150" s="35"/>
      <c r="AP1150" s="35"/>
      <c r="AQ1150" s="35"/>
      <c r="AR1150" s="35"/>
    </row>
    <row r="1151" spans="5:44" x14ac:dyDescent="0.3">
      <c r="E1151" s="35"/>
      <c r="F1151" s="35"/>
      <c r="AM1151" s="35"/>
      <c r="AN1151" s="35"/>
      <c r="AO1151" s="35"/>
      <c r="AP1151" s="35"/>
      <c r="AQ1151" s="35"/>
      <c r="AR1151" s="35"/>
    </row>
    <row r="1152" spans="5:44" x14ac:dyDescent="0.3">
      <c r="E1152" s="35"/>
      <c r="F1152" s="35"/>
      <c r="AM1152" s="35"/>
      <c r="AN1152" s="35"/>
      <c r="AO1152" s="35"/>
      <c r="AP1152" s="35"/>
      <c r="AQ1152" s="35"/>
      <c r="AR1152" s="35"/>
    </row>
    <row r="1153" spans="5:44" x14ac:dyDescent="0.3">
      <c r="E1153" s="35"/>
      <c r="F1153" s="35"/>
      <c r="AM1153" s="35"/>
      <c r="AN1153" s="35"/>
      <c r="AO1153" s="35"/>
      <c r="AP1153" s="35"/>
      <c r="AQ1153" s="35"/>
      <c r="AR1153" s="35"/>
    </row>
    <row r="1154" spans="5:44" x14ac:dyDescent="0.3">
      <c r="E1154" s="35"/>
      <c r="F1154" s="35"/>
      <c r="AM1154" s="35"/>
      <c r="AN1154" s="35"/>
      <c r="AO1154" s="35"/>
      <c r="AP1154" s="35"/>
      <c r="AQ1154" s="35"/>
      <c r="AR1154" s="35"/>
    </row>
    <row r="1155" spans="5:44" x14ac:dyDescent="0.3">
      <c r="E1155" s="35"/>
      <c r="F1155" s="35"/>
      <c r="AM1155" s="35"/>
      <c r="AN1155" s="35"/>
      <c r="AO1155" s="35"/>
      <c r="AP1155" s="35"/>
      <c r="AQ1155" s="35"/>
      <c r="AR1155" s="35"/>
    </row>
    <row r="1156" spans="5:44" x14ac:dyDescent="0.3">
      <c r="E1156" s="35"/>
      <c r="F1156" s="35"/>
      <c r="AM1156" s="35"/>
      <c r="AN1156" s="35"/>
      <c r="AO1156" s="35"/>
      <c r="AP1156" s="35"/>
      <c r="AQ1156" s="35"/>
      <c r="AR1156" s="35"/>
    </row>
    <row r="1157" spans="5:44" x14ac:dyDescent="0.3">
      <c r="E1157" s="35"/>
      <c r="F1157" s="35"/>
      <c r="AM1157" s="35"/>
      <c r="AN1157" s="35"/>
      <c r="AO1157" s="35"/>
      <c r="AP1157" s="35"/>
      <c r="AQ1157" s="35"/>
      <c r="AR1157" s="35"/>
    </row>
    <row r="1158" spans="5:44" x14ac:dyDescent="0.3">
      <c r="E1158" s="35"/>
      <c r="F1158" s="35"/>
      <c r="AM1158" s="35"/>
      <c r="AN1158" s="35"/>
      <c r="AO1158" s="35"/>
      <c r="AP1158" s="35"/>
      <c r="AQ1158" s="35"/>
      <c r="AR1158" s="35"/>
    </row>
    <row r="1159" spans="5:44" x14ac:dyDescent="0.3">
      <c r="E1159" s="35"/>
      <c r="F1159" s="35"/>
      <c r="AM1159" s="35"/>
      <c r="AN1159" s="35"/>
      <c r="AO1159" s="35"/>
      <c r="AP1159" s="35"/>
      <c r="AQ1159" s="35"/>
      <c r="AR1159" s="35"/>
    </row>
    <row r="1160" spans="5:44" x14ac:dyDescent="0.3">
      <c r="E1160" s="35"/>
      <c r="F1160" s="35"/>
      <c r="AM1160" s="35"/>
      <c r="AN1160" s="35"/>
      <c r="AO1160" s="35"/>
      <c r="AP1160" s="35"/>
      <c r="AQ1160" s="35"/>
      <c r="AR1160" s="35"/>
    </row>
    <row r="1161" spans="5:44" x14ac:dyDescent="0.3">
      <c r="E1161" s="35"/>
      <c r="F1161" s="35"/>
      <c r="AM1161" s="35"/>
      <c r="AN1161" s="35"/>
      <c r="AO1161" s="35"/>
      <c r="AP1161" s="35"/>
      <c r="AQ1161" s="35"/>
      <c r="AR1161" s="35"/>
    </row>
    <row r="1162" spans="5:44" x14ac:dyDescent="0.3">
      <c r="E1162" s="35"/>
      <c r="F1162" s="35"/>
      <c r="AM1162" s="35"/>
      <c r="AN1162" s="35"/>
      <c r="AO1162" s="35"/>
      <c r="AP1162" s="35"/>
      <c r="AQ1162" s="35"/>
      <c r="AR1162" s="35"/>
    </row>
    <row r="1163" spans="5:44" x14ac:dyDescent="0.3">
      <c r="E1163" s="35"/>
      <c r="F1163" s="35"/>
      <c r="AM1163" s="35"/>
      <c r="AN1163" s="35"/>
      <c r="AO1163" s="35"/>
      <c r="AP1163" s="35"/>
      <c r="AQ1163" s="35"/>
      <c r="AR1163" s="35"/>
    </row>
    <row r="1164" spans="5:44" x14ac:dyDescent="0.3">
      <c r="E1164" s="35"/>
      <c r="F1164" s="35"/>
      <c r="AM1164" s="35"/>
      <c r="AN1164" s="35"/>
      <c r="AO1164" s="35"/>
      <c r="AP1164" s="35"/>
      <c r="AQ1164" s="35"/>
      <c r="AR1164" s="35"/>
    </row>
    <row r="1165" spans="5:44" x14ac:dyDescent="0.3">
      <c r="E1165" s="35"/>
      <c r="F1165" s="35"/>
      <c r="AM1165" s="35"/>
      <c r="AN1165" s="35"/>
      <c r="AO1165" s="35"/>
      <c r="AP1165" s="35"/>
      <c r="AQ1165" s="35"/>
      <c r="AR1165" s="35"/>
    </row>
    <row r="1166" spans="5:44" x14ac:dyDescent="0.3">
      <c r="E1166" s="35"/>
      <c r="F1166" s="35"/>
      <c r="AM1166" s="35"/>
      <c r="AN1166" s="35"/>
      <c r="AO1166" s="35"/>
      <c r="AP1166" s="35"/>
      <c r="AQ1166" s="35"/>
      <c r="AR1166" s="35"/>
    </row>
    <row r="1167" spans="5:44" x14ac:dyDescent="0.3">
      <c r="E1167" s="35"/>
      <c r="F1167" s="35"/>
      <c r="AM1167" s="35"/>
      <c r="AN1167" s="35"/>
      <c r="AO1167" s="35"/>
      <c r="AP1167" s="35"/>
      <c r="AQ1167" s="35"/>
      <c r="AR1167" s="35"/>
    </row>
    <row r="1168" spans="5:44" x14ac:dyDescent="0.3">
      <c r="E1168" s="35"/>
      <c r="F1168" s="35"/>
      <c r="AM1168" s="35"/>
      <c r="AN1168" s="35"/>
      <c r="AO1168" s="35"/>
      <c r="AP1168" s="35"/>
      <c r="AQ1168" s="35"/>
      <c r="AR1168" s="35"/>
    </row>
    <row r="1169" spans="5:44" x14ac:dyDescent="0.3">
      <c r="E1169" s="35"/>
      <c r="F1169" s="35"/>
      <c r="AM1169" s="35"/>
      <c r="AN1169" s="35"/>
      <c r="AO1169" s="35"/>
      <c r="AP1169" s="35"/>
      <c r="AQ1169" s="35"/>
      <c r="AR1169" s="35"/>
    </row>
    <row r="1170" spans="5:44" x14ac:dyDescent="0.3">
      <c r="E1170" s="35"/>
      <c r="F1170" s="35"/>
      <c r="AM1170" s="35"/>
      <c r="AN1170" s="35"/>
      <c r="AO1170" s="35"/>
      <c r="AP1170" s="35"/>
      <c r="AQ1170" s="35"/>
      <c r="AR1170" s="35"/>
    </row>
    <row r="1171" spans="5:44" x14ac:dyDescent="0.3">
      <c r="E1171" s="35"/>
      <c r="F1171" s="35"/>
      <c r="AM1171" s="35"/>
      <c r="AN1171" s="35"/>
      <c r="AO1171" s="35"/>
      <c r="AP1171" s="35"/>
      <c r="AQ1171" s="35"/>
      <c r="AR1171" s="35"/>
    </row>
    <row r="1172" spans="5:44" x14ac:dyDescent="0.3">
      <c r="E1172" s="35"/>
      <c r="F1172" s="35"/>
      <c r="AM1172" s="35"/>
      <c r="AN1172" s="35"/>
      <c r="AO1172" s="35"/>
      <c r="AP1172" s="35"/>
      <c r="AQ1172" s="35"/>
      <c r="AR1172" s="35"/>
    </row>
    <row r="1173" spans="5:44" x14ac:dyDescent="0.3">
      <c r="E1173" s="35"/>
      <c r="F1173" s="35"/>
      <c r="AM1173" s="35"/>
      <c r="AN1173" s="35"/>
      <c r="AO1173" s="35"/>
      <c r="AP1173" s="35"/>
      <c r="AQ1173" s="35"/>
      <c r="AR1173" s="35"/>
    </row>
    <row r="1174" spans="5:44" x14ac:dyDescent="0.3">
      <c r="E1174" s="35"/>
      <c r="F1174" s="35"/>
      <c r="AM1174" s="35"/>
      <c r="AN1174" s="35"/>
      <c r="AO1174" s="35"/>
      <c r="AP1174" s="35"/>
      <c r="AQ1174" s="35"/>
      <c r="AR1174" s="35"/>
    </row>
    <row r="1175" spans="5:44" x14ac:dyDescent="0.3">
      <c r="E1175" s="35"/>
      <c r="F1175" s="35"/>
      <c r="AM1175" s="35"/>
      <c r="AN1175" s="35"/>
      <c r="AO1175" s="35"/>
      <c r="AP1175" s="35"/>
      <c r="AQ1175" s="35"/>
      <c r="AR1175" s="35"/>
    </row>
    <row r="1176" spans="5:44" x14ac:dyDescent="0.3">
      <c r="E1176" s="35"/>
      <c r="F1176" s="35"/>
      <c r="AM1176" s="35"/>
      <c r="AN1176" s="35"/>
      <c r="AO1176" s="35"/>
      <c r="AP1176" s="35"/>
      <c r="AQ1176" s="35"/>
      <c r="AR1176" s="35"/>
    </row>
    <row r="1177" spans="5:44" x14ac:dyDescent="0.3">
      <c r="E1177" s="35"/>
      <c r="F1177" s="35"/>
      <c r="AM1177" s="35"/>
      <c r="AN1177" s="35"/>
      <c r="AO1177" s="35"/>
      <c r="AP1177" s="35"/>
      <c r="AQ1177" s="35"/>
      <c r="AR1177" s="35"/>
    </row>
    <row r="1178" spans="5:44" x14ac:dyDescent="0.3">
      <c r="E1178" s="35"/>
      <c r="F1178" s="35"/>
      <c r="AM1178" s="35"/>
      <c r="AN1178" s="35"/>
      <c r="AO1178" s="35"/>
      <c r="AP1178" s="35"/>
      <c r="AQ1178" s="35"/>
      <c r="AR1178" s="35"/>
    </row>
    <row r="1179" spans="5:44" x14ac:dyDescent="0.3">
      <c r="E1179" s="35"/>
      <c r="F1179" s="35"/>
      <c r="AM1179" s="35"/>
      <c r="AN1179" s="35"/>
      <c r="AO1179" s="35"/>
      <c r="AP1179" s="35"/>
      <c r="AQ1179" s="35"/>
      <c r="AR1179" s="35"/>
    </row>
    <row r="1180" spans="5:44" x14ac:dyDescent="0.3">
      <c r="E1180" s="35"/>
      <c r="F1180" s="35"/>
      <c r="AM1180" s="35"/>
      <c r="AN1180" s="35"/>
      <c r="AO1180" s="35"/>
      <c r="AP1180" s="35"/>
      <c r="AQ1180" s="35"/>
      <c r="AR1180" s="35"/>
    </row>
    <row r="1181" spans="5:44" x14ac:dyDescent="0.3">
      <c r="E1181" s="35"/>
      <c r="F1181" s="35"/>
      <c r="AM1181" s="35"/>
      <c r="AN1181" s="35"/>
      <c r="AO1181" s="35"/>
      <c r="AP1181" s="35"/>
      <c r="AQ1181" s="35"/>
      <c r="AR1181" s="35"/>
    </row>
    <row r="1182" spans="5:44" x14ac:dyDescent="0.3">
      <c r="E1182" s="35"/>
      <c r="F1182" s="35"/>
      <c r="AM1182" s="35"/>
      <c r="AN1182" s="35"/>
      <c r="AO1182" s="35"/>
      <c r="AP1182" s="35"/>
      <c r="AQ1182" s="35"/>
      <c r="AR1182" s="35"/>
    </row>
    <row r="1183" spans="5:44" x14ac:dyDescent="0.3">
      <c r="E1183" s="35"/>
      <c r="F1183" s="35"/>
      <c r="AM1183" s="35"/>
      <c r="AN1183" s="35"/>
      <c r="AO1183" s="35"/>
      <c r="AP1183" s="35"/>
      <c r="AQ1183" s="35"/>
      <c r="AR1183" s="35"/>
    </row>
    <row r="1184" spans="5:44" x14ac:dyDescent="0.3">
      <c r="E1184" s="35"/>
      <c r="F1184" s="35"/>
      <c r="AM1184" s="35"/>
      <c r="AN1184" s="35"/>
      <c r="AO1184" s="35"/>
      <c r="AP1184" s="35"/>
      <c r="AQ1184" s="35"/>
      <c r="AR1184" s="35"/>
    </row>
    <row r="1185" spans="5:44" x14ac:dyDescent="0.3">
      <c r="E1185" s="35"/>
      <c r="F1185" s="35"/>
      <c r="AM1185" s="35"/>
      <c r="AN1185" s="35"/>
      <c r="AO1185" s="35"/>
      <c r="AP1185" s="35"/>
      <c r="AQ1185" s="35"/>
      <c r="AR1185" s="35"/>
    </row>
    <row r="1186" spans="5:44" x14ac:dyDescent="0.3">
      <c r="E1186" s="35"/>
      <c r="F1186" s="35"/>
      <c r="AM1186" s="35"/>
      <c r="AN1186" s="35"/>
      <c r="AO1186" s="35"/>
      <c r="AP1186" s="35"/>
      <c r="AQ1186" s="35"/>
      <c r="AR1186" s="35"/>
    </row>
    <row r="1187" spans="5:44" x14ac:dyDescent="0.3">
      <c r="E1187" s="35"/>
      <c r="F1187" s="35"/>
      <c r="AM1187" s="35"/>
      <c r="AN1187" s="35"/>
      <c r="AO1187" s="35"/>
      <c r="AP1187" s="35"/>
      <c r="AQ1187" s="35"/>
      <c r="AR1187" s="35"/>
    </row>
    <row r="1188" spans="5:44" x14ac:dyDescent="0.3">
      <c r="E1188" s="35"/>
      <c r="F1188" s="35"/>
      <c r="AM1188" s="35"/>
      <c r="AN1188" s="35"/>
      <c r="AO1188" s="35"/>
      <c r="AP1188" s="35"/>
      <c r="AQ1188" s="35"/>
      <c r="AR1188" s="35"/>
    </row>
    <row r="1189" spans="5:44" x14ac:dyDescent="0.3">
      <c r="E1189" s="35"/>
      <c r="F1189" s="35"/>
      <c r="AM1189" s="35"/>
      <c r="AN1189" s="35"/>
      <c r="AO1189" s="35"/>
      <c r="AP1189" s="35"/>
      <c r="AQ1189" s="35"/>
      <c r="AR1189" s="35"/>
    </row>
    <row r="1190" spans="5:44" x14ac:dyDescent="0.3">
      <c r="E1190" s="35"/>
      <c r="F1190" s="35"/>
      <c r="AM1190" s="35"/>
      <c r="AN1190" s="35"/>
      <c r="AO1190" s="35"/>
      <c r="AP1190" s="35"/>
      <c r="AQ1190" s="35"/>
      <c r="AR1190" s="35"/>
    </row>
    <row r="1191" spans="5:44" x14ac:dyDescent="0.3">
      <c r="E1191" s="35"/>
      <c r="F1191" s="35"/>
      <c r="AM1191" s="35"/>
      <c r="AN1191" s="35"/>
      <c r="AO1191" s="35"/>
      <c r="AP1191" s="35"/>
      <c r="AQ1191" s="35"/>
      <c r="AR1191" s="35"/>
    </row>
    <row r="1192" spans="5:44" x14ac:dyDescent="0.3">
      <c r="E1192" s="35"/>
      <c r="F1192" s="35"/>
      <c r="AM1192" s="35"/>
      <c r="AN1192" s="35"/>
      <c r="AO1192" s="35"/>
      <c r="AP1192" s="35"/>
      <c r="AQ1192" s="35"/>
      <c r="AR1192" s="35"/>
    </row>
    <row r="1193" spans="5:44" x14ac:dyDescent="0.3">
      <c r="E1193" s="35"/>
      <c r="F1193" s="35"/>
      <c r="AM1193" s="35"/>
      <c r="AN1193" s="35"/>
      <c r="AO1193" s="35"/>
      <c r="AP1193" s="35"/>
      <c r="AQ1193" s="35"/>
      <c r="AR1193" s="35"/>
    </row>
    <row r="1194" spans="5:44" x14ac:dyDescent="0.3">
      <c r="E1194" s="35"/>
      <c r="F1194" s="35"/>
      <c r="AM1194" s="35"/>
      <c r="AN1194" s="35"/>
      <c r="AO1194" s="35"/>
      <c r="AP1194" s="35"/>
      <c r="AQ1194" s="35"/>
      <c r="AR1194" s="35"/>
    </row>
    <row r="1195" spans="5:44" x14ac:dyDescent="0.3">
      <c r="E1195" s="35"/>
      <c r="F1195" s="35"/>
      <c r="AM1195" s="35"/>
      <c r="AN1195" s="35"/>
      <c r="AO1195" s="35"/>
      <c r="AP1195" s="35"/>
      <c r="AQ1195" s="35"/>
      <c r="AR1195" s="35"/>
    </row>
    <row r="1196" spans="5:44" x14ac:dyDescent="0.3">
      <c r="E1196" s="35"/>
      <c r="F1196" s="35"/>
      <c r="AM1196" s="35"/>
      <c r="AN1196" s="35"/>
      <c r="AO1196" s="35"/>
      <c r="AP1196" s="35"/>
      <c r="AQ1196" s="35"/>
      <c r="AR1196" s="35"/>
    </row>
    <row r="1197" spans="5:44" x14ac:dyDescent="0.3">
      <c r="E1197" s="35"/>
      <c r="F1197" s="35"/>
      <c r="AM1197" s="35"/>
      <c r="AN1197" s="35"/>
      <c r="AO1197" s="35"/>
      <c r="AP1197" s="35"/>
      <c r="AQ1197" s="35"/>
      <c r="AR1197" s="35"/>
    </row>
    <row r="1198" spans="5:44" x14ac:dyDescent="0.3">
      <c r="E1198" s="35"/>
      <c r="F1198" s="35"/>
      <c r="AM1198" s="35"/>
      <c r="AN1198" s="35"/>
      <c r="AO1198" s="35"/>
      <c r="AP1198" s="35"/>
      <c r="AQ1198" s="35"/>
      <c r="AR1198" s="35"/>
    </row>
    <row r="1199" spans="5:44" x14ac:dyDescent="0.3">
      <c r="E1199" s="35"/>
      <c r="F1199" s="35"/>
      <c r="AM1199" s="35"/>
      <c r="AN1199" s="35"/>
      <c r="AO1199" s="35"/>
      <c r="AP1199" s="35"/>
      <c r="AQ1199" s="35"/>
      <c r="AR1199" s="35"/>
    </row>
    <row r="1200" spans="5:44" x14ac:dyDescent="0.3">
      <c r="E1200" s="35"/>
      <c r="F1200" s="35"/>
      <c r="AM1200" s="35"/>
      <c r="AN1200" s="35"/>
      <c r="AO1200" s="35"/>
      <c r="AP1200" s="35"/>
      <c r="AQ1200" s="35"/>
      <c r="AR1200" s="35"/>
    </row>
    <row r="1201" spans="5:44" x14ac:dyDescent="0.3">
      <c r="E1201" s="35"/>
      <c r="F1201" s="35"/>
      <c r="AM1201" s="35"/>
      <c r="AN1201" s="35"/>
      <c r="AO1201" s="35"/>
      <c r="AP1201" s="35"/>
      <c r="AQ1201" s="35"/>
      <c r="AR1201" s="35"/>
    </row>
    <row r="1202" spans="5:44" x14ac:dyDescent="0.3">
      <c r="E1202" s="35"/>
      <c r="F1202" s="35"/>
      <c r="AM1202" s="35"/>
      <c r="AN1202" s="35"/>
      <c r="AO1202" s="35"/>
      <c r="AP1202" s="35"/>
      <c r="AQ1202" s="35"/>
      <c r="AR1202" s="35"/>
    </row>
    <row r="1203" spans="5:44" x14ac:dyDescent="0.3">
      <c r="E1203" s="35"/>
      <c r="F1203" s="35"/>
      <c r="AM1203" s="35"/>
      <c r="AN1203" s="35"/>
      <c r="AO1203" s="35"/>
      <c r="AP1203" s="35"/>
      <c r="AQ1203" s="35"/>
      <c r="AR1203" s="35"/>
    </row>
    <row r="1204" spans="5:44" x14ac:dyDescent="0.3">
      <c r="E1204" s="35"/>
      <c r="F1204" s="35"/>
      <c r="AM1204" s="35"/>
      <c r="AN1204" s="35"/>
      <c r="AO1204" s="35"/>
      <c r="AP1204" s="35"/>
      <c r="AQ1204" s="35"/>
      <c r="AR1204" s="35"/>
    </row>
    <row r="1205" spans="5:44" x14ac:dyDescent="0.3">
      <c r="E1205" s="35"/>
      <c r="F1205" s="35"/>
      <c r="AM1205" s="35"/>
      <c r="AN1205" s="35"/>
      <c r="AO1205" s="35"/>
      <c r="AP1205" s="35"/>
      <c r="AQ1205" s="35"/>
      <c r="AR1205" s="35"/>
    </row>
    <row r="1206" spans="5:44" x14ac:dyDescent="0.3">
      <c r="E1206" s="35"/>
      <c r="F1206" s="35"/>
      <c r="AM1206" s="35"/>
      <c r="AN1206" s="35"/>
      <c r="AO1206" s="35"/>
      <c r="AP1206" s="35"/>
      <c r="AQ1206" s="35"/>
      <c r="AR1206" s="35"/>
    </row>
    <row r="1207" spans="5:44" x14ac:dyDescent="0.3">
      <c r="E1207" s="35"/>
      <c r="F1207" s="35"/>
      <c r="AM1207" s="35"/>
      <c r="AN1207" s="35"/>
      <c r="AO1207" s="35"/>
      <c r="AP1207" s="35"/>
      <c r="AQ1207" s="35"/>
      <c r="AR1207" s="35"/>
    </row>
    <row r="1208" spans="5:44" x14ac:dyDescent="0.3">
      <c r="E1208" s="35"/>
      <c r="F1208" s="35"/>
      <c r="AM1208" s="35"/>
      <c r="AN1208" s="35"/>
      <c r="AO1208" s="35"/>
      <c r="AP1208" s="35"/>
      <c r="AQ1208" s="35"/>
      <c r="AR1208" s="35"/>
    </row>
    <row r="1209" spans="5:44" x14ac:dyDescent="0.3">
      <c r="E1209" s="35"/>
      <c r="F1209" s="35"/>
      <c r="AM1209" s="35"/>
      <c r="AN1209" s="35"/>
      <c r="AO1209" s="35"/>
      <c r="AP1209" s="35"/>
      <c r="AQ1209" s="35"/>
      <c r="AR1209" s="35"/>
    </row>
    <row r="1210" spans="5:44" x14ac:dyDescent="0.3">
      <c r="E1210" s="35"/>
      <c r="F1210" s="35"/>
      <c r="AM1210" s="35"/>
      <c r="AN1210" s="35"/>
      <c r="AO1210" s="35"/>
      <c r="AP1210" s="35"/>
      <c r="AQ1210" s="35"/>
      <c r="AR1210" s="35"/>
    </row>
    <row r="1211" spans="5:44" x14ac:dyDescent="0.3">
      <c r="E1211" s="35"/>
      <c r="F1211" s="35"/>
      <c r="AM1211" s="35"/>
      <c r="AN1211" s="35"/>
      <c r="AO1211" s="35"/>
      <c r="AP1211" s="35"/>
      <c r="AQ1211" s="35"/>
      <c r="AR1211" s="35"/>
    </row>
    <row r="1212" spans="5:44" x14ac:dyDescent="0.3">
      <c r="E1212" s="35"/>
      <c r="F1212" s="35"/>
      <c r="AM1212" s="35"/>
      <c r="AN1212" s="35"/>
      <c r="AO1212" s="35"/>
      <c r="AP1212" s="35"/>
      <c r="AQ1212" s="35"/>
      <c r="AR1212" s="35"/>
    </row>
    <row r="1213" spans="5:44" x14ac:dyDescent="0.3">
      <c r="E1213" s="35"/>
      <c r="F1213" s="35"/>
      <c r="AM1213" s="35"/>
      <c r="AN1213" s="35"/>
      <c r="AO1213" s="35"/>
      <c r="AP1213" s="35"/>
      <c r="AQ1213" s="35"/>
      <c r="AR1213" s="35"/>
    </row>
    <row r="1214" spans="5:44" x14ac:dyDescent="0.3">
      <c r="E1214" s="35"/>
      <c r="F1214" s="35"/>
      <c r="AM1214" s="35"/>
      <c r="AN1214" s="35"/>
      <c r="AO1214" s="35"/>
      <c r="AP1214" s="35"/>
      <c r="AQ1214" s="35"/>
      <c r="AR1214" s="35"/>
    </row>
    <row r="1215" spans="5:44" x14ac:dyDescent="0.3">
      <c r="E1215" s="35"/>
      <c r="F1215" s="35"/>
      <c r="AM1215" s="35"/>
      <c r="AN1215" s="35"/>
      <c r="AO1215" s="35"/>
      <c r="AP1215" s="35"/>
      <c r="AQ1215" s="35"/>
      <c r="AR1215" s="35"/>
    </row>
    <row r="1216" spans="5:44" x14ac:dyDescent="0.3">
      <c r="E1216" s="35"/>
      <c r="F1216" s="35"/>
      <c r="AM1216" s="35"/>
      <c r="AN1216" s="35"/>
      <c r="AO1216" s="35"/>
      <c r="AP1216" s="35"/>
      <c r="AQ1216" s="35"/>
      <c r="AR1216" s="35"/>
    </row>
    <row r="1217" spans="5:44" x14ac:dyDescent="0.3">
      <c r="E1217" s="35"/>
      <c r="F1217" s="35"/>
      <c r="AM1217" s="35"/>
      <c r="AN1217" s="35"/>
      <c r="AO1217" s="35"/>
      <c r="AP1217" s="35"/>
      <c r="AQ1217" s="35"/>
      <c r="AR1217" s="35"/>
    </row>
    <row r="1218" spans="5:44" x14ac:dyDescent="0.3">
      <c r="E1218" s="35"/>
      <c r="F1218" s="35"/>
      <c r="AM1218" s="35"/>
      <c r="AN1218" s="35"/>
      <c r="AO1218" s="35"/>
      <c r="AP1218" s="35"/>
      <c r="AQ1218" s="35"/>
      <c r="AR1218" s="35"/>
    </row>
    <row r="1219" spans="5:44" x14ac:dyDescent="0.3">
      <c r="E1219" s="35"/>
      <c r="F1219" s="35"/>
      <c r="AM1219" s="35"/>
      <c r="AN1219" s="35"/>
      <c r="AO1219" s="35"/>
      <c r="AP1219" s="35"/>
      <c r="AQ1219" s="35"/>
      <c r="AR1219" s="35"/>
    </row>
    <row r="1220" spans="5:44" x14ac:dyDescent="0.3">
      <c r="E1220" s="35"/>
      <c r="F1220" s="35"/>
      <c r="AM1220" s="35"/>
      <c r="AN1220" s="35"/>
      <c r="AO1220" s="35"/>
      <c r="AP1220" s="35"/>
      <c r="AQ1220" s="35"/>
      <c r="AR1220" s="35"/>
    </row>
    <row r="1221" spans="5:44" x14ac:dyDescent="0.3">
      <c r="E1221" s="35"/>
      <c r="F1221" s="35"/>
      <c r="AM1221" s="35"/>
      <c r="AN1221" s="35"/>
      <c r="AO1221" s="35"/>
      <c r="AP1221" s="35"/>
      <c r="AQ1221" s="35"/>
      <c r="AR1221" s="35"/>
    </row>
    <row r="1222" spans="5:44" x14ac:dyDescent="0.3">
      <c r="E1222" s="35"/>
      <c r="F1222" s="35"/>
      <c r="AM1222" s="35"/>
      <c r="AN1222" s="35"/>
      <c r="AO1222" s="35"/>
      <c r="AP1222" s="35"/>
      <c r="AQ1222" s="35"/>
      <c r="AR1222" s="35"/>
    </row>
    <row r="1223" spans="5:44" x14ac:dyDescent="0.3">
      <c r="E1223" s="35"/>
      <c r="F1223" s="35"/>
      <c r="AM1223" s="35"/>
      <c r="AN1223" s="35"/>
      <c r="AO1223" s="35"/>
      <c r="AP1223" s="35"/>
      <c r="AQ1223" s="35"/>
      <c r="AR1223" s="35"/>
    </row>
    <row r="1224" spans="5:44" x14ac:dyDescent="0.3">
      <c r="E1224" s="35"/>
      <c r="F1224" s="35"/>
      <c r="AM1224" s="35"/>
      <c r="AN1224" s="35"/>
      <c r="AO1224" s="35"/>
      <c r="AP1224" s="35"/>
      <c r="AQ1224" s="35"/>
      <c r="AR1224" s="35"/>
    </row>
    <row r="1225" spans="5:44" x14ac:dyDescent="0.3">
      <c r="E1225" s="35"/>
      <c r="F1225" s="35"/>
      <c r="AM1225" s="35"/>
      <c r="AN1225" s="35"/>
      <c r="AO1225" s="35"/>
      <c r="AP1225" s="35"/>
      <c r="AQ1225" s="35"/>
      <c r="AR1225" s="35"/>
    </row>
    <row r="1226" spans="5:44" x14ac:dyDescent="0.3">
      <c r="E1226" s="35"/>
      <c r="F1226" s="35"/>
      <c r="AM1226" s="35"/>
      <c r="AN1226" s="35"/>
      <c r="AO1226" s="35"/>
      <c r="AP1226" s="35"/>
      <c r="AQ1226" s="35"/>
      <c r="AR1226" s="35"/>
    </row>
    <row r="1227" spans="5:44" x14ac:dyDescent="0.3">
      <c r="E1227" s="35"/>
      <c r="F1227" s="35"/>
      <c r="AM1227" s="35"/>
      <c r="AN1227" s="35"/>
      <c r="AO1227" s="35"/>
      <c r="AP1227" s="35"/>
      <c r="AQ1227" s="35"/>
      <c r="AR1227" s="35"/>
    </row>
    <row r="1228" spans="5:44" x14ac:dyDescent="0.3">
      <c r="E1228" s="35"/>
      <c r="F1228" s="35"/>
      <c r="AM1228" s="35"/>
      <c r="AN1228" s="35"/>
      <c r="AO1228" s="35"/>
      <c r="AP1228" s="35"/>
      <c r="AQ1228" s="35"/>
      <c r="AR1228" s="35"/>
    </row>
    <row r="1229" spans="5:44" x14ac:dyDescent="0.3">
      <c r="E1229" s="35"/>
      <c r="F1229" s="35"/>
      <c r="AM1229" s="35"/>
      <c r="AN1229" s="35"/>
      <c r="AO1229" s="35"/>
      <c r="AP1229" s="35"/>
      <c r="AQ1229" s="35"/>
      <c r="AR1229" s="35"/>
    </row>
    <row r="1230" spans="5:44" x14ac:dyDescent="0.3">
      <c r="E1230" s="35"/>
      <c r="F1230" s="35"/>
      <c r="AM1230" s="35"/>
      <c r="AN1230" s="35"/>
      <c r="AO1230" s="35"/>
      <c r="AP1230" s="35"/>
      <c r="AQ1230" s="35"/>
      <c r="AR1230" s="35"/>
    </row>
    <row r="1231" spans="5:44" x14ac:dyDescent="0.3">
      <c r="E1231" s="35"/>
      <c r="F1231" s="35"/>
      <c r="AM1231" s="35"/>
      <c r="AN1231" s="35"/>
      <c r="AO1231" s="35"/>
      <c r="AP1231" s="35"/>
      <c r="AQ1231" s="35"/>
      <c r="AR1231" s="35"/>
    </row>
    <row r="1232" spans="5:44" x14ac:dyDescent="0.3">
      <c r="E1232" s="35"/>
      <c r="F1232" s="35"/>
      <c r="AM1232" s="35"/>
      <c r="AN1232" s="35"/>
      <c r="AO1232" s="35"/>
      <c r="AP1232" s="35"/>
      <c r="AQ1232" s="35"/>
      <c r="AR1232" s="35"/>
    </row>
    <row r="1233" spans="5:44" x14ac:dyDescent="0.3">
      <c r="E1233" s="35"/>
      <c r="F1233" s="35"/>
      <c r="AM1233" s="35"/>
      <c r="AN1233" s="35"/>
      <c r="AO1233" s="35"/>
      <c r="AP1233" s="35"/>
      <c r="AQ1233" s="35"/>
      <c r="AR1233" s="35"/>
    </row>
    <row r="1234" spans="5:44" x14ac:dyDescent="0.3">
      <c r="E1234" s="35"/>
      <c r="F1234" s="35"/>
      <c r="AM1234" s="35"/>
      <c r="AN1234" s="35"/>
      <c r="AO1234" s="35"/>
      <c r="AP1234" s="35"/>
      <c r="AQ1234" s="35"/>
      <c r="AR1234" s="35"/>
    </row>
    <row r="1235" spans="5:44" x14ac:dyDescent="0.3">
      <c r="E1235" s="35"/>
      <c r="F1235" s="35"/>
      <c r="AM1235" s="35"/>
      <c r="AN1235" s="35"/>
      <c r="AO1235" s="35"/>
      <c r="AP1235" s="35"/>
      <c r="AQ1235" s="35"/>
      <c r="AR1235" s="35"/>
    </row>
    <row r="1236" spans="5:44" x14ac:dyDescent="0.3">
      <c r="E1236" s="35"/>
      <c r="F1236" s="35"/>
      <c r="AM1236" s="35"/>
      <c r="AN1236" s="35"/>
      <c r="AO1236" s="35"/>
      <c r="AP1236" s="35"/>
      <c r="AQ1236" s="35"/>
      <c r="AR1236" s="35"/>
    </row>
    <row r="1237" spans="5:44" x14ac:dyDescent="0.3">
      <c r="E1237" s="35"/>
      <c r="F1237" s="35"/>
      <c r="AM1237" s="35"/>
      <c r="AN1237" s="35"/>
      <c r="AO1237" s="35"/>
      <c r="AP1237" s="35"/>
      <c r="AQ1237" s="35"/>
      <c r="AR1237" s="35"/>
    </row>
    <row r="1238" spans="5:44" x14ac:dyDescent="0.3">
      <c r="E1238" s="35"/>
      <c r="F1238" s="35"/>
      <c r="AM1238" s="35"/>
      <c r="AN1238" s="35"/>
      <c r="AO1238" s="35"/>
      <c r="AP1238" s="35"/>
      <c r="AQ1238" s="35"/>
      <c r="AR1238" s="35"/>
    </row>
    <row r="1239" spans="5:44" x14ac:dyDescent="0.3">
      <c r="E1239" s="35"/>
      <c r="F1239" s="35"/>
      <c r="AM1239" s="35"/>
      <c r="AN1239" s="35"/>
      <c r="AO1239" s="35"/>
      <c r="AP1239" s="35"/>
      <c r="AQ1239" s="35"/>
      <c r="AR1239" s="35"/>
    </row>
    <row r="1240" spans="5:44" x14ac:dyDescent="0.3">
      <c r="E1240" s="35"/>
      <c r="F1240" s="35"/>
      <c r="AM1240" s="35"/>
      <c r="AN1240" s="35"/>
      <c r="AO1240" s="35"/>
      <c r="AP1240" s="35"/>
      <c r="AQ1240" s="35"/>
      <c r="AR1240" s="35"/>
    </row>
    <row r="1241" spans="5:44" x14ac:dyDescent="0.3">
      <c r="E1241" s="35"/>
      <c r="F1241" s="35"/>
      <c r="AM1241" s="35"/>
      <c r="AN1241" s="35"/>
      <c r="AO1241" s="35"/>
      <c r="AP1241" s="35"/>
      <c r="AQ1241" s="35"/>
      <c r="AR1241" s="35"/>
    </row>
    <row r="1242" spans="5:44" x14ac:dyDescent="0.3">
      <c r="E1242" s="35"/>
      <c r="F1242" s="35"/>
      <c r="AM1242" s="35"/>
      <c r="AN1242" s="35"/>
      <c r="AO1242" s="35"/>
      <c r="AP1242" s="35"/>
      <c r="AQ1242" s="35"/>
      <c r="AR1242" s="35"/>
    </row>
    <row r="1243" spans="5:44" x14ac:dyDescent="0.3">
      <c r="E1243" s="35"/>
      <c r="F1243" s="35"/>
      <c r="AM1243" s="35"/>
      <c r="AN1243" s="35"/>
      <c r="AO1243" s="35"/>
      <c r="AP1243" s="35"/>
      <c r="AQ1243" s="35"/>
      <c r="AR1243" s="35"/>
    </row>
    <row r="1244" spans="5:44" x14ac:dyDescent="0.3">
      <c r="E1244" s="35"/>
      <c r="F1244" s="35"/>
      <c r="AM1244" s="35"/>
      <c r="AN1244" s="35"/>
      <c r="AO1244" s="35"/>
      <c r="AP1244" s="35"/>
      <c r="AQ1244" s="35"/>
      <c r="AR1244" s="35"/>
    </row>
    <row r="1245" spans="5:44" x14ac:dyDescent="0.3">
      <c r="E1245" s="35"/>
      <c r="F1245" s="35"/>
      <c r="AM1245" s="35"/>
      <c r="AN1245" s="35"/>
      <c r="AO1245" s="35"/>
      <c r="AP1245" s="35"/>
      <c r="AQ1245" s="35"/>
      <c r="AR1245" s="35"/>
    </row>
    <row r="1246" spans="5:44" x14ac:dyDescent="0.3">
      <c r="E1246" s="35"/>
      <c r="F1246" s="35"/>
      <c r="AM1246" s="35"/>
      <c r="AN1246" s="35"/>
      <c r="AO1246" s="35"/>
      <c r="AP1246" s="35"/>
      <c r="AQ1246" s="35"/>
      <c r="AR1246" s="35"/>
    </row>
    <row r="1247" spans="5:44" x14ac:dyDescent="0.3">
      <c r="E1247" s="35"/>
      <c r="F1247" s="35"/>
      <c r="AM1247" s="35"/>
      <c r="AN1247" s="35"/>
      <c r="AO1247" s="35"/>
      <c r="AP1247" s="35"/>
      <c r="AQ1247" s="35"/>
      <c r="AR1247" s="35"/>
    </row>
    <row r="1248" spans="5:44" x14ac:dyDescent="0.3">
      <c r="E1248" s="35"/>
      <c r="F1248" s="35"/>
      <c r="AM1248" s="35"/>
      <c r="AN1248" s="35"/>
      <c r="AO1248" s="35"/>
      <c r="AP1248" s="35"/>
      <c r="AQ1248" s="35"/>
      <c r="AR1248" s="35"/>
    </row>
    <row r="1249" spans="5:44" x14ac:dyDescent="0.3">
      <c r="E1249" s="35"/>
      <c r="F1249" s="35"/>
      <c r="AM1249" s="35"/>
      <c r="AN1249" s="35"/>
      <c r="AO1249" s="35"/>
      <c r="AP1249" s="35"/>
      <c r="AQ1249" s="35"/>
      <c r="AR1249" s="35"/>
    </row>
    <row r="1250" spans="5:44" x14ac:dyDescent="0.3">
      <c r="E1250" s="35"/>
      <c r="F1250" s="35"/>
      <c r="AM1250" s="35"/>
      <c r="AN1250" s="35"/>
      <c r="AO1250" s="35"/>
      <c r="AP1250" s="35"/>
      <c r="AQ1250" s="35"/>
      <c r="AR1250" s="35"/>
    </row>
    <row r="1251" spans="5:44" x14ac:dyDescent="0.3">
      <c r="E1251" s="35"/>
      <c r="F1251" s="35"/>
      <c r="AM1251" s="35"/>
      <c r="AN1251" s="35"/>
      <c r="AO1251" s="35"/>
      <c r="AP1251" s="35"/>
      <c r="AQ1251" s="35"/>
      <c r="AR1251" s="35"/>
    </row>
    <row r="1252" spans="5:44" x14ac:dyDescent="0.3">
      <c r="E1252" s="35"/>
      <c r="F1252" s="35"/>
      <c r="AM1252" s="35"/>
      <c r="AN1252" s="35"/>
      <c r="AO1252" s="35"/>
      <c r="AP1252" s="35"/>
      <c r="AQ1252" s="35"/>
      <c r="AR1252" s="35"/>
    </row>
    <row r="1253" spans="5:44" x14ac:dyDescent="0.3">
      <c r="E1253" s="35"/>
      <c r="F1253" s="35"/>
      <c r="AM1253" s="35"/>
      <c r="AN1253" s="35"/>
      <c r="AO1253" s="35"/>
      <c r="AP1253" s="35"/>
      <c r="AQ1253" s="35"/>
      <c r="AR1253" s="35"/>
    </row>
    <row r="1254" spans="5:44" x14ac:dyDescent="0.3">
      <c r="E1254" s="35"/>
      <c r="F1254" s="35"/>
      <c r="AM1254" s="35"/>
      <c r="AN1254" s="35"/>
      <c r="AO1254" s="35"/>
      <c r="AP1254" s="35"/>
      <c r="AQ1254" s="35"/>
      <c r="AR1254" s="35"/>
    </row>
    <row r="1255" spans="5:44" x14ac:dyDescent="0.3">
      <c r="E1255" s="35"/>
      <c r="F1255" s="35"/>
      <c r="AM1255" s="35"/>
      <c r="AN1255" s="35"/>
      <c r="AO1255" s="35"/>
      <c r="AP1255" s="35"/>
      <c r="AQ1255" s="35"/>
      <c r="AR1255" s="35"/>
    </row>
    <row r="1256" spans="5:44" x14ac:dyDescent="0.3">
      <c r="E1256" s="35"/>
      <c r="F1256" s="35"/>
      <c r="AM1256" s="35"/>
      <c r="AN1256" s="35"/>
      <c r="AO1256" s="35"/>
      <c r="AP1256" s="35"/>
      <c r="AQ1256" s="35"/>
      <c r="AR1256" s="35"/>
    </row>
    <row r="1257" spans="5:44" x14ac:dyDescent="0.3">
      <c r="E1257" s="35"/>
      <c r="F1257" s="35"/>
      <c r="AM1257" s="35"/>
      <c r="AN1257" s="35"/>
      <c r="AO1257" s="35"/>
      <c r="AP1257" s="35"/>
      <c r="AQ1257" s="35"/>
      <c r="AR1257" s="35"/>
    </row>
    <row r="1258" spans="5:44" x14ac:dyDescent="0.3">
      <c r="E1258" s="35"/>
      <c r="F1258" s="35"/>
      <c r="AM1258" s="35"/>
      <c r="AN1258" s="35"/>
      <c r="AO1258" s="35"/>
      <c r="AP1258" s="35"/>
      <c r="AQ1258" s="35"/>
      <c r="AR1258" s="35"/>
    </row>
    <row r="1259" spans="5:44" x14ac:dyDescent="0.3">
      <c r="E1259" s="35"/>
      <c r="F1259" s="35"/>
      <c r="AM1259" s="35"/>
      <c r="AN1259" s="35"/>
      <c r="AO1259" s="35"/>
      <c r="AP1259" s="35"/>
      <c r="AQ1259" s="35"/>
      <c r="AR1259" s="35"/>
    </row>
    <row r="1260" spans="5:44" x14ac:dyDescent="0.3">
      <c r="E1260" s="35"/>
      <c r="F1260" s="35"/>
      <c r="AM1260" s="35"/>
      <c r="AN1260" s="35"/>
      <c r="AO1260" s="35"/>
      <c r="AP1260" s="35"/>
      <c r="AQ1260" s="35"/>
      <c r="AR1260" s="35"/>
    </row>
    <row r="1261" spans="5:44" x14ac:dyDescent="0.3">
      <c r="E1261" s="35"/>
      <c r="F1261" s="35"/>
      <c r="AM1261" s="35"/>
      <c r="AN1261" s="35"/>
      <c r="AO1261" s="35"/>
      <c r="AP1261" s="35"/>
      <c r="AQ1261" s="35"/>
      <c r="AR1261" s="35"/>
    </row>
    <row r="1262" spans="5:44" x14ac:dyDescent="0.3">
      <c r="E1262" s="35"/>
      <c r="F1262" s="35"/>
      <c r="AM1262" s="35"/>
      <c r="AN1262" s="35"/>
      <c r="AO1262" s="35"/>
      <c r="AP1262" s="35"/>
      <c r="AQ1262" s="35"/>
      <c r="AR1262" s="35"/>
    </row>
    <row r="1263" spans="5:44" x14ac:dyDescent="0.3">
      <c r="E1263" s="35"/>
      <c r="F1263" s="35"/>
      <c r="AM1263" s="35"/>
      <c r="AN1263" s="35"/>
      <c r="AO1263" s="35"/>
      <c r="AP1263" s="35"/>
      <c r="AQ1263" s="35"/>
      <c r="AR1263" s="35"/>
    </row>
    <row r="1264" spans="5:44" x14ac:dyDescent="0.3">
      <c r="E1264" s="35"/>
      <c r="F1264" s="35"/>
      <c r="AM1264" s="35"/>
      <c r="AN1264" s="35"/>
      <c r="AO1264" s="35"/>
      <c r="AP1264" s="35"/>
      <c r="AQ1264" s="35"/>
      <c r="AR1264" s="35"/>
    </row>
    <row r="1265" spans="5:44" x14ac:dyDescent="0.3">
      <c r="E1265" s="35"/>
      <c r="F1265" s="35"/>
      <c r="AM1265" s="35"/>
      <c r="AN1265" s="35"/>
      <c r="AO1265" s="35"/>
      <c r="AP1265" s="35"/>
      <c r="AQ1265" s="35"/>
      <c r="AR1265" s="35"/>
    </row>
    <row r="1266" spans="5:44" x14ac:dyDescent="0.3">
      <c r="E1266" s="35"/>
      <c r="F1266" s="35"/>
      <c r="AM1266" s="35"/>
      <c r="AN1266" s="35"/>
      <c r="AO1266" s="35"/>
      <c r="AP1266" s="35"/>
      <c r="AQ1266" s="35"/>
      <c r="AR1266" s="35"/>
    </row>
    <row r="1267" spans="5:44" x14ac:dyDescent="0.3">
      <c r="E1267" s="35"/>
      <c r="F1267" s="35"/>
      <c r="AM1267" s="35"/>
      <c r="AN1267" s="35"/>
      <c r="AO1267" s="35"/>
      <c r="AP1267" s="35"/>
      <c r="AQ1267" s="35"/>
      <c r="AR1267" s="35"/>
    </row>
    <row r="1268" spans="5:44" x14ac:dyDescent="0.3">
      <c r="E1268" s="35"/>
      <c r="F1268" s="35"/>
      <c r="AM1268" s="35"/>
      <c r="AN1268" s="35"/>
      <c r="AO1268" s="35"/>
      <c r="AP1268" s="35"/>
      <c r="AQ1268" s="35"/>
      <c r="AR1268" s="35"/>
    </row>
    <row r="1269" spans="5:44" x14ac:dyDescent="0.3">
      <c r="E1269" s="35"/>
      <c r="F1269" s="35"/>
      <c r="AM1269" s="35"/>
      <c r="AN1269" s="35"/>
      <c r="AO1269" s="35"/>
      <c r="AP1269" s="35"/>
      <c r="AQ1269" s="35"/>
      <c r="AR1269" s="35"/>
    </row>
    <row r="1270" spans="5:44" x14ac:dyDescent="0.3">
      <c r="E1270" s="35"/>
      <c r="F1270" s="35"/>
      <c r="AM1270" s="35"/>
      <c r="AN1270" s="35"/>
      <c r="AO1270" s="35"/>
      <c r="AP1270" s="35"/>
      <c r="AQ1270" s="35"/>
      <c r="AR1270" s="35"/>
    </row>
    <row r="1271" spans="5:44" x14ac:dyDescent="0.3">
      <c r="E1271" s="35"/>
      <c r="F1271" s="35"/>
      <c r="AM1271" s="35"/>
      <c r="AN1271" s="35"/>
      <c r="AO1271" s="35"/>
      <c r="AP1271" s="35"/>
      <c r="AQ1271" s="35"/>
      <c r="AR1271" s="35"/>
    </row>
    <row r="1272" spans="5:44" x14ac:dyDescent="0.3">
      <c r="E1272" s="35"/>
      <c r="F1272" s="35"/>
      <c r="AM1272" s="35"/>
      <c r="AN1272" s="35"/>
      <c r="AO1272" s="35"/>
      <c r="AP1272" s="35"/>
      <c r="AQ1272" s="35"/>
      <c r="AR1272" s="35"/>
    </row>
    <row r="1273" spans="5:44" x14ac:dyDescent="0.3">
      <c r="E1273" s="35"/>
      <c r="F1273" s="35"/>
      <c r="AM1273" s="35"/>
      <c r="AN1273" s="35"/>
      <c r="AO1273" s="35"/>
      <c r="AP1273" s="35"/>
      <c r="AQ1273" s="35"/>
      <c r="AR1273" s="35"/>
    </row>
    <row r="1274" spans="5:44" x14ac:dyDescent="0.3">
      <c r="E1274" s="35"/>
      <c r="F1274" s="35"/>
      <c r="AM1274" s="35"/>
      <c r="AN1274" s="35"/>
      <c r="AO1274" s="35"/>
      <c r="AP1274" s="35"/>
      <c r="AQ1274" s="35"/>
      <c r="AR1274" s="35"/>
    </row>
    <row r="1275" spans="5:44" x14ac:dyDescent="0.3">
      <c r="E1275" s="35"/>
      <c r="F1275" s="35"/>
      <c r="AM1275" s="35"/>
      <c r="AN1275" s="35"/>
      <c r="AO1275" s="35"/>
      <c r="AP1275" s="35"/>
      <c r="AQ1275" s="35"/>
      <c r="AR1275" s="35"/>
    </row>
    <row r="1276" spans="5:44" x14ac:dyDescent="0.3">
      <c r="E1276" s="35"/>
      <c r="F1276" s="35"/>
      <c r="AM1276" s="35"/>
      <c r="AN1276" s="35"/>
      <c r="AO1276" s="35"/>
      <c r="AP1276" s="35"/>
      <c r="AQ1276" s="35"/>
      <c r="AR1276" s="35"/>
    </row>
    <row r="1277" spans="5:44" x14ac:dyDescent="0.3">
      <c r="E1277" s="35"/>
      <c r="F1277" s="35"/>
      <c r="AM1277" s="35"/>
      <c r="AN1277" s="35"/>
      <c r="AO1277" s="35"/>
      <c r="AP1277" s="35"/>
      <c r="AQ1277" s="35"/>
      <c r="AR1277" s="35"/>
    </row>
    <row r="1278" spans="5:44" x14ac:dyDescent="0.3">
      <c r="E1278" s="35"/>
      <c r="F1278" s="35"/>
      <c r="AM1278" s="35"/>
      <c r="AN1278" s="35"/>
      <c r="AO1278" s="35"/>
      <c r="AP1278" s="35"/>
      <c r="AQ1278" s="35"/>
      <c r="AR1278" s="35"/>
    </row>
    <row r="1279" spans="5:44" x14ac:dyDescent="0.3">
      <c r="E1279" s="35"/>
      <c r="F1279" s="35"/>
      <c r="AM1279" s="35"/>
      <c r="AN1279" s="35"/>
      <c r="AO1279" s="35"/>
      <c r="AP1279" s="35"/>
      <c r="AQ1279" s="35"/>
      <c r="AR1279" s="35"/>
    </row>
    <row r="1280" spans="5:44" x14ac:dyDescent="0.3">
      <c r="E1280" s="35"/>
      <c r="F1280" s="35"/>
      <c r="AM1280" s="35"/>
      <c r="AN1280" s="35"/>
      <c r="AO1280" s="35"/>
      <c r="AP1280" s="35"/>
      <c r="AQ1280" s="35"/>
      <c r="AR1280" s="35"/>
    </row>
    <row r="1281" spans="5:44" x14ac:dyDescent="0.3">
      <c r="E1281" s="35"/>
      <c r="F1281" s="35"/>
      <c r="AM1281" s="35"/>
      <c r="AN1281" s="35"/>
      <c r="AO1281" s="35"/>
      <c r="AP1281" s="35"/>
      <c r="AQ1281" s="35"/>
      <c r="AR1281" s="35"/>
    </row>
    <row r="1282" spans="5:44" x14ac:dyDescent="0.3">
      <c r="E1282" s="35"/>
      <c r="F1282" s="35"/>
      <c r="AM1282" s="35"/>
      <c r="AN1282" s="35"/>
      <c r="AO1282" s="35"/>
      <c r="AP1282" s="35"/>
      <c r="AQ1282" s="35"/>
      <c r="AR1282" s="35"/>
    </row>
    <row r="1283" spans="5:44" x14ac:dyDescent="0.3">
      <c r="E1283" s="35"/>
      <c r="F1283" s="35"/>
      <c r="AM1283" s="35"/>
      <c r="AN1283" s="35"/>
      <c r="AO1283" s="35"/>
      <c r="AP1283" s="35"/>
      <c r="AQ1283" s="35"/>
      <c r="AR1283" s="35"/>
    </row>
    <row r="1284" spans="5:44" x14ac:dyDescent="0.3">
      <c r="E1284" s="35"/>
      <c r="F1284" s="35"/>
      <c r="AM1284" s="35"/>
      <c r="AN1284" s="35"/>
      <c r="AO1284" s="35"/>
      <c r="AP1284" s="35"/>
      <c r="AQ1284" s="35"/>
      <c r="AR1284" s="35"/>
    </row>
    <row r="1285" spans="5:44" x14ac:dyDescent="0.3">
      <c r="E1285" s="35"/>
      <c r="F1285" s="35"/>
      <c r="AM1285" s="35"/>
      <c r="AN1285" s="35"/>
      <c r="AO1285" s="35"/>
      <c r="AP1285" s="35"/>
      <c r="AQ1285" s="35"/>
      <c r="AR1285" s="35"/>
    </row>
    <row r="1286" spans="5:44" x14ac:dyDescent="0.3">
      <c r="E1286" s="35"/>
      <c r="F1286" s="35"/>
      <c r="AM1286" s="35"/>
      <c r="AN1286" s="35"/>
      <c r="AO1286" s="35"/>
      <c r="AP1286" s="35"/>
      <c r="AQ1286" s="35"/>
      <c r="AR1286" s="35"/>
    </row>
    <row r="1287" spans="5:44" x14ac:dyDescent="0.3">
      <c r="E1287" s="35"/>
      <c r="F1287" s="35"/>
      <c r="AM1287" s="35"/>
      <c r="AN1287" s="35"/>
      <c r="AO1287" s="35"/>
      <c r="AP1287" s="35"/>
      <c r="AQ1287" s="35"/>
      <c r="AR1287" s="35"/>
    </row>
    <row r="1288" spans="5:44" x14ac:dyDescent="0.3">
      <c r="E1288" s="35"/>
      <c r="F1288" s="35"/>
      <c r="AM1288" s="35"/>
      <c r="AN1288" s="35"/>
      <c r="AO1288" s="35"/>
      <c r="AP1288" s="35"/>
      <c r="AQ1288" s="35"/>
      <c r="AR1288" s="35"/>
    </row>
    <row r="1289" spans="5:44" x14ac:dyDescent="0.3">
      <c r="E1289" s="35"/>
      <c r="F1289" s="35"/>
      <c r="AM1289" s="35"/>
      <c r="AN1289" s="35"/>
      <c r="AO1289" s="35"/>
      <c r="AP1289" s="35"/>
      <c r="AQ1289" s="35"/>
      <c r="AR1289" s="35"/>
    </row>
    <row r="1290" spans="5:44" x14ac:dyDescent="0.3">
      <c r="E1290" s="35"/>
      <c r="F1290" s="35"/>
      <c r="AM1290" s="35"/>
      <c r="AN1290" s="35"/>
      <c r="AO1290" s="35"/>
      <c r="AP1290" s="35"/>
      <c r="AQ1290" s="35"/>
      <c r="AR1290" s="35"/>
    </row>
    <row r="1291" spans="5:44" x14ac:dyDescent="0.3">
      <c r="E1291" s="35"/>
      <c r="F1291" s="35"/>
      <c r="AM1291" s="35"/>
      <c r="AN1291" s="35"/>
      <c r="AO1291" s="35"/>
      <c r="AP1291" s="35"/>
      <c r="AQ1291" s="35"/>
      <c r="AR1291" s="35"/>
    </row>
    <row r="1292" spans="5:44" x14ac:dyDescent="0.3">
      <c r="E1292" s="35"/>
      <c r="F1292" s="35"/>
      <c r="AM1292" s="35"/>
      <c r="AN1292" s="35"/>
      <c r="AO1292" s="35"/>
      <c r="AP1292" s="35"/>
      <c r="AQ1292" s="35"/>
      <c r="AR1292" s="35"/>
    </row>
    <row r="1293" spans="5:44" x14ac:dyDescent="0.3">
      <c r="E1293" s="35"/>
      <c r="F1293" s="35"/>
      <c r="AM1293" s="35"/>
      <c r="AN1293" s="35"/>
      <c r="AO1293" s="35"/>
      <c r="AP1293" s="35"/>
      <c r="AQ1293" s="35"/>
      <c r="AR1293" s="35"/>
    </row>
    <row r="1294" spans="5:44" x14ac:dyDescent="0.3">
      <c r="E1294" s="35"/>
      <c r="F1294" s="35"/>
      <c r="AM1294" s="35"/>
      <c r="AN1294" s="35"/>
      <c r="AO1294" s="35"/>
      <c r="AP1294" s="35"/>
      <c r="AQ1294" s="35"/>
      <c r="AR1294" s="35"/>
    </row>
    <row r="1295" spans="5:44" x14ac:dyDescent="0.3">
      <c r="E1295" s="35"/>
      <c r="F1295" s="35"/>
      <c r="AM1295" s="35"/>
      <c r="AN1295" s="35"/>
      <c r="AO1295" s="35"/>
      <c r="AP1295" s="35"/>
      <c r="AQ1295" s="35"/>
      <c r="AR1295" s="35"/>
    </row>
    <row r="1296" spans="5:44" x14ac:dyDescent="0.3">
      <c r="E1296" s="35"/>
      <c r="F1296" s="35"/>
      <c r="AM1296" s="35"/>
      <c r="AN1296" s="35"/>
      <c r="AO1296" s="35"/>
      <c r="AP1296" s="35"/>
      <c r="AQ1296" s="35"/>
      <c r="AR1296" s="35"/>
    </row>
    <row r="1297" spans="5:44" x14ac:dyDescent="0.3">
      <c r="E1297" s="35"/>
      <c r="F1297" s="35"/>
      <c r="AM1297" s="35"/>
      <c r="AN1297" s="35"/>
      <c r="AO1297" s="35"/>
      <c r="AP1297" s="35"/>
      <c r="AQ1297" s="35"/>
      <c r="AR1297" s="35"/>
    </row>
    <row r="1298" spans="5:44" x14ac:dyDescent="0.3">
      <c r="E1298" s="35"/>
      <c r="F1298" s="35"/>
      <c r="AM1298" s="35"/>
      <c r="AN1298" s="35"/>
      <c r="AO1298" s="35"/>
      <c r="AP1298" s="35"/>
      <c r="AQ1298" s="35"/>
      <c r="AR1298" s="35"/>
    </row>
    <row r="1299" spans="5:44" x14ac:dyDescent="0.3">
      <c r="E1299" s="35"/>
      <c r="F1299" s="35"/>
      <c r="AM1299" s="35"/>
      <c r="AN1299" s="35"/>
      <c r="AO1299" s="35"/>
      <c r="AP1299" s="35"/>
      <c r="AQ1299" s="35"/>
      <c r="AR1299" s="35"/>
    </row>
    <row r="1300" spans="5:44" x14ac:dyDescent="0.3">
      <c r="E1300" s="35"/>
      <c r="F1300" s="35"/>
      <c r="AM1300" s="35"/>
      <c r="AN1300" s="35"/>
      <c r="AO1300" s="35"/>
      <c r="AP1300" s="35"/>
      <c r="AQ1300" s="35"/>
      <c r="AR1300" s="35"/>
    </row>
    <row r="1301" spans="5:44" x14ac:dyDescent="0.3">
      <c r="E1301" s="35"/>
      <c r="F1301" s="35"/>
      <c r="AM1301" s="35"/>
      <c r="AN1301" s="35"/>
      <c r="AO1301" s="35"/>
      <c r="AP1301" s="35"/>
      <c r="AQ1301" s="35"/>
      <c r="AR1301" s="35"/>
    </row>
    <row r="1302" spans="5:44" x14ac:dyDescent="0.3">
      <c r="E1302" s="35"/>
      <c r="F1302" s="35"/>
      <c r="AM1302" s="35"/>
      <c r="AN1302" s="35"/>
      <c r="AO1302" s="35"/>
      <c r="AP1302" s="35"/>
      <c r="AQ1302" s="35"/>
      <c r="AR1302" s="35"/>
    </row>
    <row r="1303" spans="5:44" x14ac:dyDescent="0.3">
      <c r="E1303" s="35"/>
      <c r="F1303" s="35"/>
      <c r="AM1303" s="35"/>
      <c r="AN1303" s="35"/>
      <c r="AO1303" s="35"/>
      <c r="AP1303" s="35"/>
      <c r="AQ1303" s="35"/>
      <c r="AR1303" s="35"/>
    </row>
    <row r="1304" spans="5:44" x14ac:dyDescent="0.3">
      <c r="E1304" s="35"/>
      <c r="F1304" s="35"/>
      <c r="AM1304" s="35"/>
      <c r="AN1304" s="35"/>
      <c r="AO1304" s="35"/>
      <c r="AP1304" s="35"/>
      <c r="AQ1304" s="35"/>
      <c r="AR1304" s="35"/>
    </row>
    <row r="1305" spans="5:44" x14ac:dyDescent="0.3">
      <c r="E1305" s="35"/>
      <c r="F1305" s="35"/>
      <c r="AM1305" s="35"/>
      <c r="AN1305" s="35"/>
      <c r="AO1305" s="35"/>
      <c r="AP1305" s="35"/>
      <c r="AQ1305" s="35"/>
      <c r="AR1305" s="35"/>
    </row>
    <row r="1306" spans="5:44" x14ac:dyDescent="0.3">
      <c r="E1306" s="35"/>
      <c r="F1306" s="35"/>
      <c r="AM1306" s="35"/>
      <c r="AN1306" s="35"/>
      <c r="AO1306" s="35"/>
      <c r="AP1306" s="35"/>
      <c r="AQ1306" s="35"/>
      <c r="AR1306" s="35"/>
    </row>
    <row r="1307" spans="5:44" x14ac:dyDescent="0.3">
      <c r="E1307" s="35"/>
      <c r="F1307" s="35"/>
      <c r="AM1307" s="35"/>
      <c r="AN1307" s="35"/>
      <c r="AO1307" s="35"/>
      <c r="AP1307" s="35"/>
      <c r="AQ1307" s="35"/>
      <c r="AR1307" s="35"/>
    </row>
    <row r="1308" spans="5:44" x14ac:dyDescent="0.3">
      <c r="E1308" s="35"/>
      <c r="F1308" s="35"/>
      <c r="AM1308" s="35"/>
      <c r="AN1308" s="35"/>
      <c r="AO1308" s="35"/>
      <c r="AP1308" s="35"/>
      <c r="AQ1308" s="35"/>
      <c r="AR1308" s="35"/>
    </row>
    <row r="1309" spans="5:44" x14ac:dyDescent="0.3">
      <c r="E1309" s="35"/>
      <c r="F1309" s="35"/>
      <c r="AM1309" s="35"/>
      <c r="AN1309" s="35"/>
      <c r="AO1309" s="35"/>
      <c r="AP1309" s="35"/>
      <c r="AQ1309" s="35"/>
      <c r="AR1309" s="35"/>
    </row>
    <row r="1310" spans="5:44" x14ac:dyDescent="0.3">
      <c r="E1310" s="35"/>
      <c r="F1310" s="35"/>
      <c r="AM1310" s="35"/>
      <c r="AN1310" s="35"/>
      <c r="AO1310" s="35"/>
      <c r="AP1310" s="35"/>
      <c r="AQ1310" s="35"/>
      <c r="AR1310" s="35"/>
    </row>
    <row r="1311" spans="5:44" x14ac:dyDescent="0.3">
      <c r="E1311" s="35"/>
      <c r="F1311" s="35"/>
      <c r="AM1311" s="35"/>
      <c r="AN1311" s="35"/>
      <c r="AO1311" s="35"/>
      <c r="AP1311" s="35"/>
      <c r="AQ1311" s="35"/>
      <c r="AR1311" s="35"/>
    </row>
    <row r="1312" spans="5:44" x14ac:dyDescent="0.3">
      <c r="E1312" s="35"/>
      <c r="F1312" s="35"/>
      <c r="AM1312" s="35"/>
      <c r="AN1312" s="35"/>
      <c r="AO1312" s="35"/>
      <c r="AP1312" s="35"/>
      <c r="AQ1312" s="35"/>
      <c r="AR1312" s="35"/>
    </row>
    <row r="1313" spans="5:44" x14ac:dyDescent="0.3">
      <c r="E1313" s="35"/>
      <c r="F1313" s="35"/>
      <c r="AM1313" s="35"/>
      <c r="AN1313" s="35"/>
      <c r="AO1313" s="35"/>
      <c r="AP1313" s="35"/>
      <c r="AQ1313" s="35"/>
      <c r="AR1313" s="35"/>
    </row>
    <row r="1314" spans="5:44" x14ac:dyDescent="0.3">
      <c r="E1314" s="35"/>
      <c r="F1314" s="35"/>
      <c r="AM1314" s="35"/>
      <c r="AN1314" s="35"/>
      <c r="AO1314" s="35"/>
      <c r="AP1314" s="35"/>
      <c r="AQ1314" s="35"/>
      <c r="AR1314" s="35"/>
    </row>
    <row r="1315" spans="5:44" x14ac:dyDescent="0.3">
      <c r="E1315" s="35"/>
      <c r="F1315" s="35"/>
      <c r="AM1315" s="35"/>
      <c r="AN1315" s="35"/>
      <c r="AO1315" s="35"/>
      <c r="AP1315" s="35"/>
      <c r="AQ1315" s="35"/>
      <c r="AR1315" s="35"/>
    </row>
    <row r="1316" spans="5:44" x14ac:dyDescent="0.3">
      <c r="E1316" s="35"/>
      <c r="F1316" s="35"/>
      <c r="AM1316" s="35"/>
      <c r="AN1316" s="35"/>
      <c r="AO1316" s="35"/>
      <c r="AP1316" s="35"/>
      <c r="AQ1316" s="35"/>
      <c r="AR1316" s="35"/>
    </row>
    <row r="1317" spans="5:44" x14ac:dyDescent="0.3">
      <c r="E1317" s="35"/>
      <c r="F1317" s="35"/>
      <c r="AM1317" s="35"/>
      <c r="AN1317" s="35"/>
      <c r="AO1317" s="35"/>
      <c r="AP1317" s="35"/>
      <c r="AQ1317" s="35"/>
      <c r="AR1317" s="35"/>
    </row>
    <row r="1318" spans="5:44" x14ac:dyDescent="0.3">
      <c r="E1318" s="35"/>
      <c r="F1318" s="35"/>
      <c r="AM1318" s="35"/>
      <c r="AN1318" s="35"/>
      <c r="AO1318" s="35"/>
      <c r="AP1318" s="35"/>
      <c r="AQ1318" s="35"/>
      <c r="AR1318" s="35"/>
    </row>
    <row r="1319" spans="5:44" x14ac:dyDescent="0.3">
      <c r="E1319" s="35"/>
      <c r="F1319" s="35"/>
      <c r="AM1319" s="35"/>
      <c r="AN1319" s="35"/>
      <c r="AO1319" s="35"/>
      <c r="AP1319" s="35"/>
      <c r="AQ1319" s="35"/>
      <c r="AR1319" s="35"/>
    </row>
    <row r="1320" spans="5:44" x14ac:dyDescent="0.3">
      <c r="E1320" s="35"/>
      <c r="F1320" s="35"/>
      <c r="AM1320" s="35"/>
      <c r="AN1320" s="35"/>
      <c r="AO1320" s="35"/>
      <c r="AP1320" s="35"/>
      <c r="AQ1320" s="35"/>
      <c r="AR1320" s="35"/>
    </row>
    <row r="1321" spans="5:44" x14ac:dyDescent="0.3">
      <c r="E1321" s="35"/>
      <c r="F1321" s="35"/>
      <c r="AM1321" s="35"/>
      <c r="AN1321" s="35"/>
      <c r="AO1321" s="35"/>
      <c r="AP1321" s="35"/>
      <c r="AQ1321" s="35"/>
      <c r="AR1321" s="35"/>
    </row>
    <row r="1322" spans="5:44" x14ac:dyDescent="0.3">
      <c r="E1322" s="35"/>
      <c r="F1322" s="35"/>
      <c r="AM1322" s="35"/>
      <c r="AN1322" s="35"/>
      <c r="AO1322" s="35"/>
      <c r="AP1322" s="35"/>
      <c r="AQ1322" s="35"/>
      <c r="AR1322" s="35"/>
    </row>
    <row r="1323" spans="5:44" x14ac:dyDescent="0.3">
      <c r="E1323" s="35"/>
      <c r="F1323" s="35"/>
      <c r="AM1323" s="35"/>
      <c r="AN1323" s="35"/>
      <c r="AO1323" s="35"/>
      <c r="AP1323" s="35"/>
      <c r="AQ1323" s="35"/>
      <c r="AR1323" s="35"/>
    </row>
    <row r="1324" spans="5:44" x14ac:dyDescent="0.3">
      <c r="E1324" s="35"/>
      <c r="F1324" s="35"/>
      <c r="AM1324" s="35"/>
      <c r="AN1324" s="35"/>
      <c r="AO1324" s="35"/>
      <c r="AP1324" s="35"/>
      <c r="AQ1324" s="35"/>
      <c r="AR1324" s="35"/>
    </row>
    <row r="1325" spans="5:44" x14ac:dyDescent="0.3">
      <c r="E1325" s="35"/>
      <c r="F1325" s="35"/>
      <c r="AM1325" s="35"/>
      <c r="AN1325" s="35"/>
      <c r="AO1325" s="35"/>
      <c r="AP1325" s="35"/>
      <c r="AQ1325" s="35"/>
      <c r="AR1325" s="35"/>
    </row>
    <row r="1326" spans="5:44" x14ac:dyDescent="0.3">
      <c r="E1326" s="35"/>
      <c r="F1326" s="35"/>
      <c r="AM1326" s="35"/>
      <c r="AN1326" s="35"/>
      <c r="AO1326" s="35"/>
      <c r="AP1326" s="35"/>
      <c r="AQ1326" s="35"/>
      <c r="AR1326" s="35"/>
    </row>
    <row r="1327" spans="5:44" x14ac:dyDescent="0.3">
      <c r="E1327" s="35"/>
      <c r="F1327" s="35"/>
      <c r="AM1327" s="35"/>
      <c r="AN1327" s="35"/>
      <c r="AO1327" s="35"/>
      <c r="AP1327" s="35"/>
      <c r="AQ1327" s="35"/>
      <c r="AR1327" s="35"/>
    </row>
    <row r="1328" spans="5:44" x14ac:dyDescent="0.3">
      <c r="E1328" s="35"/>
      <c r="F1328" s="35"/>
      <c r="AM1328" s="35"/>
      <c r="AN1328" s="35"/>
      <c r="AO1328" s="35"/>
      <c r="AP1328" s="35"/>
      <c r="AQ1328" s="35"/>
      <c r="AR1328" s="35"/>
    </row>
    <row r="1329" spans="5:44" x14ac:dyDescent="0.3">
      <c r="E1329" s="35"/>
      <c r="F1329" s="35"/>
      <c r="AM1329" s="35"/>
      <c r="AN1329" s="35"/>
      <c r="AO1329" s="35"/>
      <c r="AP1329" s="35"/>
      <c r="AQ1329" s="35"/>
      <c r="AR1329" s="35"/>
    </row>
    <row r="1330" spans="5:44" x14ac:dyDescent="0.3">
      <c r="E1330" s="35"/>
      <c r="F1330" s="35"/>
      <c r="AM1330" s="35"/>
      <c r="AN1330" s="35"/>
      <c r="AO1330" s="35"/>
      <c r="AP1330" s="35"/>
      <c r="AQ1330" s="35"/>
      <c r="AR1330" s="35"/>
    </row>
    <row r="1331" spans="5:44" x14ac:dyDescent="0.3">
      <c r="E1331" s="35"/>
      <c r="F1331" s="35"/>
      <c r="AM1331" s="35"/>
      <c r="AN1331" s="35"/>
      <c r="AO1331" s="35"/>
      <c r="AP1331" s="35"/>
      <c r="AQ1331" s="35"/>
      <c r="AR1331" s="35"/>
    </row>
    <row r="1332" spans="5:44" x14ac:dyDescent="0.3">
      <c r="E1332" s="35"/>
      <c r="F1332" s="35"/>
      <c r="AM1332" s="35"/>
      <c r="AN1332" s="35"/>
      <c r="AO1332" s="35"/>
      <c r="AP1332" s="35"/>
      <c r="AQ1332" s="35"/>
      <c r="AR1332" s="35"/>
    </row>
    <row r="1333" spans="5:44" x14ac:dyDescent="0.3">
      <c r="E1333" s="35"/>
      <c r="F1333" s="35"/>
      <c r="AM1333" s="35"/>
      <c r="AN1333" s="35"/>
      <c r="AO1333" s="35"/>
      <c r="AP1333" s="35"/>
      <c r="AQ1333" s="35"/>
      <c r="AR1333" s="35"/>
    </row>
    <row r="1334" spans="5:44" x14ac:dyDescent="0.3">
      <c r="E1334" s="35"/>
      <c r="F1334" s="35"/>
      <c r="AM1334" s="35"/>
      <c r="AN1334" s="35"/>
      <c r="AO1334" s="35"/>
      <c r="AP1334" s="35"/>
      <c r="AQ1334" s="35"/>
      <c r="AR1334" s="35"/>
    </row>
    <row r="1335" spans="5:44" x14ac:dyDescent="0.3">
      <c r="E1335" s="35"/>
      <c r="F1335" s="35"/>
      <c r="AM1335" s="35"/>
      <c r="AN1335" s="35"/>
      <c r="AO1335" s="35"/>
      <c r="AP1335" s="35"/>
      <c r="AQ1335" s="35"/>
      <c r="AR1335" s="35"/>
    </row>
    <row r="1336" spans="5:44" x14ac:dyDescent="0.3">
      <c r="E1336" s="35"/>
      <c r="F1336" s="35"/>
      <c r="AM1336" s="35"/>
      <c r="AN1336" s="35"/>
      <c r="AO1336" s="35"/>
      <c r="AP1336" s="35"/>
      <c r="AQ1336" s="35"/>
      <c r="AR1336" s="35"/>
    </row>
    <row r="1337" spans="5:44" x14ac:dyDescent="0.3">
      <c r="E1337" s="35"/>
      <c r="F1337" s="35"/>
      <c r="AM1337" s="35"/>
      <c r="AN1337" s="35"/>
      <c r="AO1337" s="35"/>
      <c r="AP1337" s="35"/>
      <c r="AQ1337" s="35"/>
      <c r="AR1337" s="35"/>
    </row>
    <row r="1338" spans="5:44" x14ac:dyDescent="0.3">
      <c r="E1338" s="35"/>
      <c r="F1338" s="35"/>
      <c r="AM1338" s="35"/>
      <c r="AN1338" s="35"/>
      <c r="AO1338" s="35"/>
      <c r="AP1338" s="35"/>
      <c r="AQ1338" s="35"/>
      <c r="AR1338" s="35"/>
    </row>
    <row r="1339" spans="5:44" x14ac:dyDescent="0.3">
      <c r="E1339" s="35"/>
      <c r="F1339" s="35"/>
      <c r="AM1339" s="35"/>
      <c r="AN1339" s="35"/>
      <c r="AO1339" s="35"/>
      <c r="AP1339" s="35"/>
      <c r="AQ1339" s="35"/>
      <c r="AR1339" s="35"/>
    </row>
    <row r="1340" spans="5:44" x14ac:dyDescent="0.3">
      <c r="E1340" s="35"/>
      <c r="F1340" s="35"/>
      <c r="AM1340" s="35"/>
      <c r="AN1340" s="35"/>
      <c r="AO1340" s="35"/>
      <c r="AP1340" s="35"/>
      <c r="AQ1340" s="35"/>
      <c r="AR1340" s="35"/>
    </row>
    <row r="1341" spans="5:44" x14ac:dyDescent="0.3">
      <c r="E1341" s="35"/>
      <c r="F1341" s="35"/>
      <c r="AM1341" s="35"/>
      <c r="AN1341" s="35"/>
      <c r="AO1341" s="35"/>
      <c r="AP1341" s="35"/>
      <c r="AQ1341" s="35"/>
      <c r="AR1341" s="35"/>
    </row>
    <row r="1342" spans="5:44" x14ac:dyDescent="0.3">
      <c r="E1342" s="35"/>
      <c r="F1342" s="35"/>
      <c r="AM1342" s="35"/>
      <c r="AN1342" s="35"/>
      <c r="AO1342" s="35"/>
      <c r="AP1342" s="35"/>
      <c r="AQ1342" s="35"/>
      <c r="AR1342" s="35"/>
    </row>
    <row r="1343" spans="5:44" x14ac:dyDescent="0.3">
      <c r="E1343" s="35"/>
      <c r="F1343" s="35"/>
      <c r="AM1343" s="35"/>
      <c r="AN1343" s="35"/>
      <c r="AO1343" s="35"/>
      <c r="AP1343" s="35"/>
      <c r="AQ1343" s="35"/>
      <c r="AR1343" s="35"/>
    </row>
    <row r="1344" spans="5:44" x14ac:dyDescent="0.3">
      <c r="E1344" s="35"/>
      <c r="F1344" s="35"/>
      <c r="AM1344" s="35"/>
      <c r="AN1344" s="35"/>
      <c r="AO1344" s="35"/>
      <c r="AP1344" s="35"/>
      <c r="AQ1344" s="35"/>
      <c r="AR1344" s="35"/>
    </row>
    <row r="1345" spans="5:44" x14ac:dyDescent="0.3">
      <c r="E1345" s="35"/>
      <c r="F1345" s="35"/>
      <c r="AM1345" s="35"/>
      <c r="AN1345" s="35"/>
      <c r="AO1345" s="35"/>
      <c r="AP1345" s="35"/>
      <c r="AQ1345" s="35"/>
      <c r="AR1345" s="35"/>
    </row>
    <row r="1346" spans="5:44" x14ac:dyDescent="0.3">
      <c r="E1346" s="35"/>
      <c r="F1346" s="35"/>
      <c r="AM1346" s="35"/>
      <c r="AN1346" s="35"/>
      <c r="AO1346" s="35"/>
      <c r="AP1346" s="35"/>
      <c r="AQ1346" s="35"/>
      <c r="AR1346" s="35"/>
    </row>
    <row r="1347" spans="5:44" x14ac:dyDescent="0.3">
      <c r="E1347" s="35"/>
      <c r="F1347" s="35"/>
      <c r="AM1347" s="35"/>
      <c r="AN1347" s="35"/>
      <c r="AO1347" s="35"/>
      <c r="AP1347" s="35"/>
      <c r="AQ1347" s="35"/>
      <c r="AR1347" s="35"/>
    </row>
    <row r="1348" spans="5:44" x14ac:dyDescent="0.3">
      <c r="E1348" s="35"/>
      <c r="F1348" s="35"/>
      <c r="AM1348" s="35"/>
      <c r="AN1348" s="35"/>
      <c r="AO1348" s="35"/>
      <c r="AP1348" s="35"/>
      <c r="AQ1348" s="35"/>
      <c r="AR1348" s="35"/>
    </row>
    <row r="1349" spans="5:44" x14ac:dyDescent="0.3">
      <c r="E1349" s="35"/>
      <c r="F1349" s="35"/>
      <c r="AM1349" s="35"/>
      <c r="AN1349" s="35"/>
      <c r="AO1349" s="35"/>
      <c r="AP1349" s="35"/>
      <c r="AQ1349" s="35"/>
      <c r="AR1349" s="35"/>
    </row>
    <row r="1350" spans="5:44" x14ac:dyDescent="0.3">
      <c r="E1350" s="35"/>
      <c r="F1350" s="35"/>
      <c r="AM1350" s="35"/>
      <c r="AN1350" s="35"/>
      <c r="AO1350" s="35"/>
      <c r="AP1350" s="35"/>
      <c r="AQ1350" s="35"/>
      <c r="AR1350" s="35"/>
    </row>
    <row r="1351" spans="5:44" x14ac:dyDescent="0.3">
      <c r="E1351" s="35"/>
      <c r="F1351" s="35"/>
      <c r="AM1351" s="35"/>
      <c r="AN1351" s="35"/>
      <c r="AO1351" s="35"/>
      <c r="AP1351" s="35"/>
      <c r="AQ1351" s="35"/>
      <c r="AR1351" s="35"/>
    </row>
    <row r="1352" spans="5:44" x14ac:dyDescent="0.3">
      <c r="E1352" s="35"/>
      <c r="F1352" s="35"/>
      <c r="AM1352" s="35"/>
      <c r="AN1352" s="35"/>
      <c r="AO1352" s="35"/>
      <c r="AP1352" s="35"/>
      <c r="AQ1352" s="35"/>
      <c r="AR1352" s="35"/>
    </row>
    <row r="1353" spans="5:44" x14ac:dyDescent="0.3">
      <c r="E1353" s="35"/>
      <c r="F1353" s="35"/>
      <c r="AM1353" s="35"/>
      <c r="AN1353" s="35"/>
      <c r="AO1353" s="35"/>
      <c r="AP1353" s="35"/>
      <c r="AQ1353" s="35"/>
      <c r="AR1353" s="35"/>
    </row>
    <row r="1354" spans="5:44" x14ac:dyDescent="0.3">
      <c r="E1354" s="35"/>
      <c r="F1354" s="35"/>
      <c r="AM1354" s="35"/>
      <c r="AN1354" s="35"/>
      <c r="AO1354" s="35"/>
      <c r="AP1354" s="35"/>
      <c r="AQ1354" s="35"/>
      <c r="AR1354" s="35"/>
    </row>
    <row r="1355" spans="5:44" x14ac:dyDescent="0.3">
      <c r="E1355" s="35"/>
      <c r="F1355" s="35"/>
      <c r="AM1355" s="35"/>
      <c r="AN1355" s="35"/>
      <c r="AO1355" s="35"/>
      <c r="AP1355" s="35"/>
      <c r="AQ1355" s="35"/>
      <c r="AR1355" s="35"/>
    </row>
    <row r="1356" spans="5:44" x14ac:dyDescent="0.3">
      <c r="E1356" s="35"/>
      <c r="F1356" s="35"/>
      <c r="AM1356" s="35"/>
      <c r="AN1356" s="35"/>
      <c r="AO1356" s="35"/>
      <c r="AP1356" s="35"/>
      <c r="AQ1356" s="35"/>
      <c r="AR1356" s="35"/>
    </row>
    <row r="1357" spans="5:44" x14ac:dyDescent="0.3">
      <c r="E1357" s="35"/>
      <c r="F1357" s="35"/>
      <c r="AM1357" s="35"/>
      <c r="AN1357" s="35"/>
      <c r="AO1357" s="35"/>
      <c r="AP1357" s="35"/>
      <c r="AQ1357" s="35"/>
      <c r="AR1357" s="35"/>
    </row>
    <row r="1358" spans="5:44" x14ac:dyDescent="0.3">
      <c r="E1358" s="35"/>
      <c r="F1358" s="35"/>
      <c r="AM1358" s="35"/>
      <c r="AN1358" s="35"/>
      <c r="AO1358" s="35"/>
      <c r="AP1358" s="35"/>
      <c r="AQ1358" s="35"/>
      <c r="AR1358" s="35"/>
    </row>
    <row r="1359" spans="5:44" x14ac:dyDescent="0.3">
      <c r="E1359" s="35"/>
      <c r="F1359" s="35"/>
      <c r="AM1359" s="35"/>
      <c r="AN1359" s="35"/>
      <c r="AO1359" s="35"/>
      <c r="AP1359" s="35"/>
      <c r="AQ1359" s="35"/>
      <c r="AR1359" s="35"/>
    </row>
    <row r="1360" spans="5:44" x14ac:dyDescent="0.3">
      <c r="E1360" s="35"/>
      <c r="F1360" s="35"/>
      <c r="AM1360" s="35"/>
      <c r="AN1360" s="35"/>
      <c r="AO1360" s="35"/>
      <c r="AP1360" s="35"/>
      <c r="AQ1360" s="35"/>
      <c r="AR1360" s="35"/>
    </row>
    <row r="1361" spans="5:44" x14ac:dyDescent="0.3">
      <c r="E1361" s="35"/>
      <c r="F1361" s="35"/>
      <c r="AM1361" s="35"/>
      <c r="AN1361" s="35"/>
      <c r="AO1361" s="35"/>
      <c r="AP1361" s="35"/>
      <c r="AQ1361" s="35"/>
      <c r="AR1361" s="35"/>
    </row>
    <row r="1362" spans="5:44" x14ac:dyDescent="0.3">
      <c r="E1362" s="35"/>
      <c r="F1362" s="35"/>
      <c r="AM1362" s="35"/>
      <c r="AN1362" s="35"/>
      <c r="AO1362" s="35"/>
      <c r="AP1362" s="35"/>
      <c r="AQ1362" s="35"/>
      <c r="AR1362" s="35"/>
    </row>
    <row r="1363" spans="5:44" x14ac:dyDescent="0.3">
      <c r="E1363" s="35"/>
      <c r="F1363" s="35"/>
      <c r="AM1363" s="35"/>
      <c r="AN1363" s="35"/>
      <c r="AO1363" s="35"/>
      <c r="AP1363" s="35"/>
      <c r="AQ1363" s="35"/>
      <c r="AR1363" s="35"/>
    </row>
    <row r="1364" spans="5:44" x14ac:dyDescent="0.3">
      <c r="E1364" s="35"/>
      <c r="F1364" s="35"/>
      <c r="AM1364" s="35"/>
      <c r="AN1364" s="35"/>
      <c r="AO1364" s="35"/>
      <c r="AP1364" s="35"/>
      <c r="AQ1364" s="35"/>
      <c r="AR1364" s="35"/>
    </row>
    <row r="1365" spans="5:44" x14ac:dyDescent="0.3">
      <c r="E1365" s="35"/>
      <c r="F1365" s="35"/>
      <c r="AM1365" s="35"/>
      <c r="AN1365" s="35"/>
      <c r="AO1365" s="35"/>
      <c r="AP1365" s="35"/>
      <c r="AQ1365" s="35"/>
      <c r="AR1365" s="35"/>
    </row>
    <row r="1366" spans="5:44" x14ac:dyDescent="0.3">
      <c r="E1366" s="35"/>
      <c r="F1366" s="35"/>
      <c r="AM1366" s="35"/>
      <c r="AN1366" s="35"/>
      <c r="AO1366" s="35"/>
      <c r="AP1366" s="35"/>
      <c r="AQ1366" s="35"/>
      <c r="AR1366" s="35"/>
    </row>
    <row r="1367" spans="5:44" x14ac:dyDescent="0.3">
      <c r="E1367" s="35"/>
      <c r="F1367" s="35"/>
      <c r="AM1367" s="35"/>
      <c r="AN1367" s="35"/>
      <c r="AO1367" s="35"/>
      <c r="AP1367" s="35"/>
      <c r="AQ1367" s="35"/>
      <c r="AR1367" s="35"/>
    </row>
    <row r="1368" spans="5:44" x14ac:dyDescent="0.3">
      <c r="E1368" s="35"/>
      <c r="F1368" s="35"/>
      <c r="AM1368" s="35"/>
      <c r="AN1368" s="35"/>
      <c r="AO1368" s="35"/>
      <c r="AP1368" s="35"/>
      <c r="AQ1368" s="35"/>
      <c r="AR1368" s="35"/>
    </row>
    <row r="1369" spans="5:44" x14ac:dyDescent="0.3">
      <c r="E1369" s="35"/>
      <c r="F1369" s="35"/>
      <c r="AM1369" s="35"/>
      <c r="AN1369" s="35"/>
      <c r="AO1369" s="35"/>
      <c r="AP1369" s="35"/>
      <c r="AQ1369" s="35"/>
      <c r="AR1369" s="35"/>
    </row>
    <row r="1370" spans="5:44" x14ac:dyDescent="0.3">
      <c r="E1370" s="35"/>
      <c r="F1370" s="35"/>
      <c r="AM1370" s="35"/>
      <c r="AN1370" s="35"/>
      <c r="AO1370" s="35"/>
      <c r="AP1370" s="35"/>
      <c r="AQ1370" s="35"/>
      <c r="AR1370" s="35"/>
    </row>
    <row r="1371" spans="5:44" x14ac:dyDescent="0.3">
      <c r="E1371" s="35"/>
      <c r="F1371" s="35"/>
      <c r="AM1371" s="35"/>
      <c r="AN1371" s="35"/>
      <c r="AO1371" s="35"/>
      <c r="AP1371" s="35"/>
      <c r="AQ1371" s="35"/>
      <c r="AR1371" s="35"/>
    </row>
    <row r="1372" spans="5:44" x14ac:dyDescent="0.3">
      <c r="E1372" s="35"/>
      <c r="F1372" s="35"/>
      <c r="AM1372" s="35"/>
      <c r="AN1372" s="35"/>
      <c r="AO1372" s="35"/>
      <c r="AP1372" s="35"/>
      <c r="AQ1372" s="35"/>
      <c r="AR1372" s="35"/>
    </row>
    <row r="1373" spans="5:44" x14ac:dyDescent="0.3">
      <c r="E1373" s="35"/>
      <c r="F1373" s="35"/>
      <c r="AM1373" s="35"/>
      <c r="AN1373" s="35"/>
      <c r="AO1373" s="35"/>
      <c r="AP1373" s="35"/>
      <c r="AQ1373" s="35"/>
      <c r="AR1373" s="35"/>
    </row>
    <row r="1374" spans="5:44" x14ac:dyDescent="0.3">
      <c r="E1374" s="35"/>
      <c r="F1374" s="35"/>
      <c r="AM1374" s="35"/>
      <c r="AN1374" s="35"/>
      <c r="AO1374" s="35"/>
      <c r="AP1374" s="35"/>
      <c r="AQ1374" s="35"/>
      <c r="AR1374" s="35"/>
    </row>
    <row r="1375" spans="5:44" x14ac:dyDescent="0.3">
      <c r="E1375" s="35"/>
      <c r="F1375" s="35"/>
      <c r="AM1375" s="35"/>
      <c r="AN1375" s="35"/>
      <c r="AO1375" s="35"/>
      <c r="AP1375" s="35"/>
      <c r="AQ1375" s="35"/>
      <c r="AR1375" s="35"/>
    </row>
    <row r="1376" spans="5:44" x14ac:dyDescent="0.3">
      <c r="E1376" s="35"/>
      <c r="F1376" s="35"/>
      <c r="AM1376" s="35"/>
      <c r="AN1376" s="35"/>
      <c r="AO1376" s="35"/>
      <c r="AP1376" s="35"/>
      <c r="AQ1376" s="35"/>
      <c r="AR1376" s="35"/>
    </row>
    <row r="1377" spans="5:44" x14ac:dyDescent="0.3">
      <c r="E1377" s="35"/>
      <c r="F1377" s="35"/>
      <c r="AM1377" s="35"/>
      <c r="AN1377" s="35"/>
      <c r="AO1377" s="35"/>
      <c r="AP1377" s="35"/>
      <c r="AQ1377" s="35"/>
      <c r="AR1377" s="35"/>
    </row>
    <row r="1378" spans="5:44" x14ac:dyDescent="0.3">
      <c r="E1378" s="35"/>
      <c r="F1378" s="35"/>
      <c r="AM1378" s="35"/>
      <c r="AN1378" s="35"/>
      <c r="AO1378" s="35"/>
      <c r="AP1378" s="35"/>
      <c r="AQ1378" s="35"/>
      <c r="AR1378" s="35"/>
    </row>
    <row r="1379" spans="5:44" x14ac:dyDescent="0.3">
      <c r="E1379" s="35"/>
      <c r="F1379" s="35"/>
      <c r="AM1379" s="35"/>
      <c r="AN1379" s="35"/>
      <c r="AO1379" s="35"/>
      <c r="AP1379" s="35"/>
      <c r="AQ1379" s="35"/>
      <c r="AR1379" s="35"/>
    </row>
    <row r="1380" spans="5:44" x14ac:dyDescent="0.3">
      <c r="E1380" s="35"/>
      <c r="F1380" s="35"/>
      <c r="AM1380" s="35"/>
      <c r="AN1380" s="35"/>
      <c r="AO1380" s="35"/>
      <c r="AP1380" s="35"/>
      <c r="AQ1380" s="35"/>
      <c r="AR1380" s="35"/>
    </row>
    <row r="1381" spans="5:44" x14ac:dyDescent="0.3">
      <c r="E1381" s="35"/>
      <c r="F1381" s="35"/>
      <c r="AM1381" s="35"/>
      <c r="AN1381" s="35"/>
      <c r="AO1381" s="35"/>
      <c r="AP1381" s="35"/>
      <c r="AQ1381" s="35"/>
      <c r="AR1381" s="35"/>
    </row>
    <row r="1382" spans="5:44" x14ac:dyDescent="0.3">
      <c r="E1382" s="35"/>
      <c r="F1382" s="35"/>
      <c r="AM1382" s="35"/>
      <c r="AN1382" s="35"/>
      <c r="AO1382" s="35"/>
      <c r="AP1382" s="35"/>
      <c r="AQ1382" s="35"/>
      <c r="AR1382" s="35"/>
    </row>
    <row r="1383" spans="5:44" x14ac:dyDescent="0.3">
      <c r="E1383" s="35"/>
      <c r="F1383" s="35"/>
      <c r="AM1383" s="35"/>
      <c r="AN1383" s="35"/>
      <c r="AO1383" s="35"/>
      <c r="AP1383" s="35"/>
      <c r="AQ1383" s="35"/>
      <c r="AR1383" s="35"/>
    </row>
    <row r="1384" spans="5:44" x14ac:dyDescent="0.3">
      <c r="E1384" s="35"/>
      <c r="F1384" s="35"/>
      <c r="AM1384" s="35"/>
      <c r="AN1384" s="35"/>
      <c r="AO1384" s="35"/>
      <c r="AP1384" s="35"/>
      <c r="AQ1384" s="35"/>
      <c r="AR1384" s="35"/>
    </row>
    <row r="1385" spans="5:44" x14ac:dyDescent="0.3">
      <c r="E1385" s="35"/>
      <c r="F1385" s="35"/>
      <c r="AM1385" s="35"/>
      <c r="AN1385" s="35"/>
      <c r="AO1385" s="35"/>
      <c r="AP1385" s="35"/>
      <c r="AQ1385" s="35"/>
      <c r="AR1385" s="35"/>
    </row>
    <row r="1386" spans="5:44" x14ac:dyDescent="0.3">
      <c r="E1386" s="35"/>
      <c r="F1386" s="35"/>
      <c r="AM1386" s="35"/>
      <c r="AN1386" s="35"/>
      <c r="AO1386" s="35"/>
      <c r="AP1386" s="35"/>
      <c r="AQ1386" s="35"/>
      <c r="AR1386" s="35"/>
    </row>
    <row r="1387" spans="5:44" x14ac:dyDescent="0.3">
      <c r="E1387" s="35"/>
      <c r="F1387" s="35"/>
      <c r="AM1387" s="35"/>
      <c r="AN1387" s="35"/>
      <c r="AO1387" s="35"/>
      <c r="AP1387" s="35"/>
      <c r="AQ1387" s="35"/>
      <c r="AR1387" s="35"/>
    </row>
    <row r="1388" spans="5:44" x14ac:dyDescent="0.3">
      <c r="E1388" s="35"/>
      <c r="F1388" s="35"/>
      <c r="AM1388" s="35"/>
      <c r="AN1388" s="35"/>
      <c r="AO1388" s="35"/>
      <c r="AP1388" s="35"/>
      <c r="AQ1388" s="35"/>
      <c r="AR1388" s="35"/>
    </row>
    <row r="1389" spans="5:44" x14ac:dyDescent="0.3">
      <c r="E1389" s="35"/>
      <c r="F1389" s="35"/>
      <c r="AM1389" s="35"/>
      <c r="AN1389" s="35"/>
      <c r="AO1389" s="35"/>
      <c r="AP1389" s="35"/>
      <c r="AQ1389" s="35"/>
      <c r="AR1389" s="35"/>
    </row>
    <row r="1390" spans="5:44" x14ac:dyDescent="0.3">
      <c r="E1390" s="35"/>
      <c r="F1390" s="35"/>
      <c r="AM1390" s="35"/>
      <c r="AN1390" s="35"/>
      <c r="AO1390" s="35"/>
      <c r="AP1390" s="35"/>
      <c r="AQ1390" s="35"/>
      <c r="AR1390" s="35"/>
    </row>
    <row r="1391" spans="5:44" x14ac:dyDescent="0.3">
      <c r="E1391" s="35"/>
      <c r="F1391" s="35"/>
      <c r="AM1391" s="35"/>
      <c r="AN1391" s="35"/>
      <c r="AO1391" s="35"/>
      <c r="AP1391" s="35"/>
      <c r="AQ1391" s="35"/>
      <c r="AR1391" s="35"/>
    </row>
    <row r="1392" spans="5:44" x14ac:dyDescent="0.3">
      <c r="E1392" s="35"/>
      <c r="F1392" s="35"/>
      <c r="AM1392" s="35"/>
      <c r="AN1392" s="35"/>
      <c r="AO1392" s="35"/>
      <c r="AP1392" s="35"/>
      <c r="AQ1392" s="35"/>
      <c r="AR1392" s="35"/>
    </row>
    <row r="1393" spans="5:44" x14ac:dyDescent="0.3">
      <c r="E1393" s="35"/>
      <c r="F1393" s="35"/>
      <c r="AM1393" s="35"/>
      <c r="AN1393" s="35"/>
      <c r="AO1393" s="35"/>
      <c r="AP1393" s="35"/>
      <c r="AQ1393" s="35"/>
      <c r="AR1393" s="35"/>
    </row>
    <row r="1394" spans="5:44" x14ac:dyDescent="0.3">
      <c r="E1394" s="35"/>
      <c r="F1394" s="35"/>
      <c r="AM1394" s="35"/>
      <c r="AN1394" s="35"/>
      <c r="AO1394" s="35"/>
      <c r="AP1394" s="35"/>
      <c r="AQ1394" s="35"/>
      <c r="AR1394" s="35"/>
    </row>
    <row r="1395" spans="5:44" x14ac:dyDescent="0.3">
      <c r="E1395" s="35"/>
      <c r="F1395" s="35"/>
      <c r="AM1395" s="35"/>
      <c r="AN1395" s="35"/>
      <c r="AO1395" s="35"/>
      <c r="AP1395" s="35"/>
      <c r="AQ1395" s="35"/>
      <c r="AR1395" s="35"/>
    </row>
    <row r="1396" spans="5:44" x14ac:dyDescent="0.3">
      <c r="E1396" s="35"/>
      <c r="F1396" s="35"/>
      <c r="AM1396" s="35"/>
      <c r="AN1396" s="35"/>
      <c r="AO1396" s="35"/>
      <c r="AP1396" s="35"/>
      <c r="AQ1396" s="35"/>
      <c r="AR1396" s="35"/>
    </row>
    <row r="1397" spans="5:44" x14ac:dyDescent="0.3">
      <c r="E1397" s="35"/>
      <c r="F1397" s="35"/>
      <c r="AM1397" s="35"/>
      <c r="AN1397" s="35"/>
      <c r="AO1397" s="35"/>
      <c r="AP1397" s="35"/>
      <c r="AQ1397" s="35"/>
      <c r="AR1397" s="35"/>
    </row>
    <row r="1398" spans="5:44" x14ac:dyDescent="0.3">
      <c r="E1398" s="35"/>
      <c r="F1398" s="35"/>
      <c r="AM1398" s="35"/>
      <c r="AN1398" s="35"/>
      <c r="AO1398" s="35"/>
      <c r="AP1398" s="35"/>
      <c r="AQ1398" s="35"/>
      <c r="AR1398" s="35"/>
    </row>
    <row r="1399" spans="5:44" x14ac:dyDescent="0.3">
      <c r="E1399" s="35"/>
      <c r="F1399" s="35"/>
      <c r="AM1399" s="35"/>
      <c r="AN1399" s="35"/>
      <c r="AO1399" s="35"/>
      <c r="AP1399" s="35"/>
      <c r="AQ1399" s="35"/>
      <c r="AR1399" s="35"/>
    </row>
    <row r="1400" spans="5:44" x14ac:dyDescent="0.3">
      <c r="E1400" s="35"/>
      <c r="F1400" s="35"/>
      <c r="AM1400" s="35"/>
      <c r="AN1400" s="35"/>
      <c r="AO1400" s="35"/>
      <c r="AP1400" s="35"/>
      <c r="AQ1400" s="35"/>
      <c r="AR1400" s="35"/>
    </row>
    <row r="1401" spans="5:44" x14ac:dyDescent="0.3">
      <c r="E1401" s="35"/>
      <c r="F1401" s="35"/>
      <c r="AM1401" s="35"/>
      <c r="AN1401" s="35"/>
      <c r="AO1401" s="35"/>
      <c r="AP1401" s="35"/>
      <c r="AQ1401" s="35"/>
      <c r="AR1401" s="35"/>
    </row>
    <row r="1402" spans="5:44" x14ac:dyDescent="0.3">
      <c r="E1402" s="35"/>
      <c r="F1402" s="35"/>
      <c r="AM1402" s="35"/>
      <c r="AN1402" s="35"/>
      <c r="AO1402" s="35"/>
      <c r="AP1402" s="35"/>
      <c r="AQ1402" s="35"/>
      <c r="AR1402" s="35"/>
    </row>
    <row r="1403" spans="5:44" x14ac:dyDescent="0.3">
      <c r="E1403" s="35"/>
      <c r="F1403" s="35"/>
      <c r="AM1403" s="35"/>
      <c r="AN1403" s="35"/>
      <c r="AO1403" s="35"/>
      <c r="AP1403" s="35"/>
      <c r="AQ1403" s="35"/>
      <c r="AR1403" s="35"/>
    </row>
    <row r="1404" spans="5:44" x14ac:dyDescent="0.3">
      <c r="E1404" s="35"/>
      <c r="F1404" s="35"/>
      <c r="AM1404" s="35"/>
      <c r="AN1404" s="35"/>
      <c r="AO1404" s="35"/>
      <c r="AP1404" s="35"/>
      <c r="AQ1404" s="35"/>
      <c r="AR1404" s="35"/>
    </row>
    <row r="1405" spans="5:44" x14ac:dyDescent="0.3">
      <c r="E1405" s="35"/>
      <c r="F1405" s="35"/>
      <c r="AM1405" s="35"/>
      <c r="AN1405" s="35"/>
      <c r="AO1405" s="35"/>
      <c r="AP1405" s="35"/>
      <c r="AQ1405" s="35"/>
      <c r="AR1405" s="35"/>
    </row>
    <row r="1406" spans="5:44" x14ac:dyDescent="0.3">
      <c r="E1406" s="35"/>
      <c r="F1406" s="35"/>
      <c r="AM1406" s="35"/>
      <c r="AN1406" s="35"/>
      <c r="AO1406" s="35"/>
      <c r="AP1406" s="35"/>
      <c r="AQ1406" s="35"/>
      <c r="AR1406" s="35"/>
    </row>
    <row r="1407" spans="5:44" x14ac:dyDescent="0.3">
      <c r="E1407" s="35"/>
      <c r="F1407" s="35"/>
      <c r="AM1407" s="35"/>
      <c r="AN1407" s="35"/>
      <c r="AO1407" s="35"/>
      <c r="AP1407" s="35"/>
      <c r="AQ1407" s="35"/>
      <c r="AR1407" s="35"/>
    </row>
    <row r="1408" spans="5:44" x14ac:dyDescent="0.3">
      <c r="E1408" s="35"/>
      <c r="F1408" s="35"/>
      <c r="AM1408" s="35"/>
      <c r="AN1408" s="35"/>
      <c r="AO1408" s="35"/>
      <c r="AP1408" s="35"/>
      <c r="AQ1408" s="35"/>
      <c r="AR1408" s="35"/>
    </row>
    <row r="1409" spans="5:44" x14ac:dyDescent="0.3">
      <c r="E1409" s="35"/>
      <c r="F1409" s="35"/>
      <c r="AM1409" s="35"/>
      <c r="AN1409" s="35"/>
      <c r="AO1409" s="35"/>
      <c r="AP1409" s="35"/>
      <c r="AQ1409" s="35"/>
      <c r="AR1409" s="35"/>
    </row>
    <row r="1410" spans="5:44" x14ac:dyDescent="0.3">
      <c r="E1410" s="35"/>
      <c r="F1410" s="35"/>
      <c r="AM1410" s="35"/>
      <c r="AN1410" s="35"/>
      <c r="AO1410" s="35"/>
      <c r="AP1410" s="35"/>
      <c r="AQ1410" s="35"/>
      <c r="AR1410" s="35"/>
    </row>
    <row r="1411" spans="5:44" x14ac:dyDescent="0.3">
      <c r="E1411" s="35"/>
      <c r="F1411" s="35"/>
      <c r="AM1411" s="35"/>
      <c r="AN1411" s="35"/>
      <c r="AO1411" s="35"/>
      <c r="AP1411" s="35"/>
      <c r="AQ1411" s="35"/>
      <c r="AR1411" s="35"/>
    </row>
    <row r="1412" spans="5:44" x14ac:dyDescent="0.3">
      <c r="E1412" s="35"/>
      <c r="F1412" s="35"/>
      <c r="AM1412" s="35"/>
      <c r="AN1412" s="35"/>
      <c r="AO1412" s="35"/>
      <c r="AP1412" s="35"/>
      <c r="AQ1412" s="35"/>
      <c r="AR1412" s="35"/>
    </row>
    <row r="1413" spans="5:44" x14ac:dyDescent="0.3">
      <c r="E1413" s="35"/>
      <c r="F1413" s="35"/>
      <c r="AM1413" s="35"/>
      <c r="AN1413" s="35"/>
      <c r="AO1413" s="35"/>
      <c r="AP1413" s="35"/>
      <c r="AQ1413" s="35"/>
      <c r="AR1413" s="35"/>
    </row>
    <row r="1414" spans="5:44" x14ac:dyDescent="0.3">
      <c r="E1414" s="35"/>
      <c r="F1414" s="35"/>
      <c r="AM1414" s="35"/>
      <c r="AN1414" s="35"/>
      <c r="AO1414" s="35"/>
      <c r="AP1414" s="35"/>
      <c r="AQ1414" s="35"/>
      <c r="AR1414" s="35"/>
    </row>
    <row r="1415" spans="5:44" x14ac:dyDescent="0.3">
      <c r="E1415" s="35"/>
      <c r="F1415" s="35"/>
      <c r="AM1415" s="35"/>
      <c r="AN1415" s="35"/>
      <c r="AO1415" s="35"/>
      <c r="AP1415" s="35"/>
      <c r="AQ1415" s="35"/>
      <c r="AR1415" s="35"/>
    </row>
    <row r="1416" spans="5:44" x14ac:dyDescent="0.3">
      <c r="E1416" s="35"/>
      <c r="F1416" s="35"/>
      <c r="AM1416" s="35"/>
      <c r="AN1416" s="35"/>
      <c r="AO1416" s="35"/>
      <c r="AP1416" s="35"/>
      <c r="AQ1416" s="35"/>
      <c r="AR1416" s="35"/>
    </row>
    <row r="1417" spans="5:44" x14ac:dyDescent="0.3">
      <c r="E1417" s="35"/>
      <c r="F1417" s="35"/>
      <c r="AM1417" s="35"/>
      <c r="AN1417" s="35"/>
      <c r="AO1417" s="35"/>
      <c r="AP1417" s="35"/>
      <c r="AQ1417" s="35"/>
      <c r="AR1417" s="35"/>
    </row>
    <row r="1418" spans="5:44" x14ac:dyDescent="0.3">
      <c r="E1418" s="35"/>
      <c r="F1418" s="35"/>
      <c r="AM1418" s="35"/>
      <c r="AN1418" s="35"/>
      <c r="AO1418" s="35"/>
      <c r="AP1418" s="35"/>
      <c r="AQ1418" s="35"/>
      <c r="AR1418" s="35"/>
    </row>
    <row r="1419" spans="5:44" x14ac:dyDescent="0.3">
      <c r="E1419" s="35"/>
      <c r="F1419" s="35"/>
      <c r="AM1419" s="35"/>
      <c r="AN1419" s="35"/>
      <c r="AO1419" s="35"/>
      <c r="AP1419" s="35"/>
      <c r="AQ1419" s="35"/>
      <c r="AR1419" s="35"/>
    </row>
    <row r="1420" spans="5:44" x14ac:dyDescent="0.3">
      <c r="E1420" s="35"/>
      <c r="F1420" s="35"/>
      <c r="AM1420" s="35"/>
      <c r="AN1420" s="35"/>
      <c r="AO1420" s="35"/>
      <c r="AP1420" s="35"/>
      <c r="AQ1420" s="35"/>
      <c r="AR1420" s="35"/>
    </row>
    <row r="1421" spans="5:44" x14ac:dyDescent="0.3">
      <c r="E1421" s="35"/>
      <c r="F1421" s="35"/>
      <c r="AM1421" s="35"/>
      <c r="AN1421" s="35"/>
      <c r="AO1421" s="35"/>
      <c r="AP1421" s="35"/>
      <c r="AQ1421" s="35"/>
      <c r="AR1421" s="35"/>
    </row>
    <row r="1422" spans="5:44" x14ac:dyDescent="0.3">
      <c r="E1422" s="35"/>
      <c r="F1422" s="35"/>
      <c r="AM1422" s="35"/>
      <c r="AN1422" s="35"/>
      <c r="AO1422" s="35"/>
      <c r="AP1422" s="35"/>
      <c r="AQ1422" s="35"/>
      <c r="AR1422" s="35"/>
    </row>
    <row r="1423" spans="5:44" x14ac:dyDescent="0.3">
      <c r="E1423" s="35"/>
      <c r="F1423" s="35"/>
      <c r="AM1423" s="35"/>
      <c r="AN1423" s="35"/>
      <c r="AO1423" s="35"/>
      <c r="AP1423" s="35"/>
      <c r="AQ1423" s="35"/>
      <c r="AR1423" s="35"/>
    </row>
    <row r="1424" spans="5:44" x14ac:dyDescent="0.3">
      <c r="E1424" s="35"/>
      <c r="F1424" s="35"/>
      <c r="AM1424" s="35"/>
      <c r="AN1424" s="35"/>
      <c r="AO1424" s="35"/>
      <c r="AP1424" s="35"/>
      <c r="AQ1424" s="35"/>
      <c r="AR1424" s="35"/>
    </row>
    <row r="1425" spans="5:44" x14ac:dyDescent="0.3">
      <c r="E1425" s="35"/>
      <c r="F1425" s="35"/>
      <c r="AM1425" s="35"/>
      <c r="AN1425" s="35"/>
      <c r="AO1425" s="35"/>
      <c r="AP1425" s="35"/>
      <c r="AQ1425" s="35"/>
      <c r="AR1425" s="35"/>
    </row>
    <row r="1426" spans="5:44" x14ac:dyDescent="0.3">
      <c r="E1426" s="35"/>
      <c r="F1426" s="35"/>
      <c r="AM1426" s="35"/>
      <c r="AN1426" s="35"/>
      <c r="AO1426" s="35"/>
      <c r="AP1426" s="35"/>
      <c r="AQ1426" s="35"/>
      <c r="AR1426" s="35"/>
    </row>
    <row r="1427" spans="5:44" x14ac:dyDescent="0.3">
      <c r="E1427" s="35"/>
      <c r="F1427" s="35"/>
      <c r="AM1427" s="35"/>
      <c r="AN1427" s="35"/>
      <c r="AO1427" s="35"/>
      <c r="AP1427" s="35"/>
      <c r="AQ1427" s="35"/>
      <c r="AR1427" s="35"/>
    </row>
    <row r="1428" spans="5:44" x14ac:dyDescent="0.3">
      <c r="E1428" s="35"/>
      <c r="F1428" s="35"/>
      <c r="AM1428" s="35"/>
      <c r="AN1428" s="35"/>
      <c r="AO1428" s="35"/>
      <c r="AP1428" s="35"/>
      <c r="AQ1428" s="35"/>
      <c r="AR1428" s="35"/>
    </row>
    <row r="1429" spans="5:44" x14ac:dyDescent="0.3">
      <c r="E1429" s="35"/>
      <c r="F1429" s="35"/>
      <c r="AM1429" s="35"/>
      <c r="AN1429" s="35"/>
      <c r="AO1429" s="35"/>
      <c r="AP1429" s="35"/>
      <c r="AQ1429" s="35"/>
      <c r="AR1429" s="35"/>
    </row>
    <row r="1430" spans="5:44" x14ac:dyDescent="0.3">
      <c r="E1430" s="35"/>
      <c r="F1430" s="35"/>
      <c r="AM1430" s="35"/>
      <c r="AN1430" s="35"/>
      <c r="AO1430" s="35"/>
      <c r="AP1430" s="35"/>
      <c r="AQ1430" s="35"/>
      <c r="AR1430" s="35"/>
    </row>
    <row r="1431" spans="5:44" x14ac:dyDescent="0.3">
      <c r="E1431" s="35"/>
      <c r="F1431" s="35"/>
      <c r="AM1431" s="35"/>
      <c r="AN1431" s="35"/>
      <c r="AO1431" s="35"/>
      <c r="AP1431" s="35"/>
      <c r="AQ1431" s="35"/>
      <c r="AR1431" s="35"/>
    </row>
    <row r="1432" spans="5:44" x14ac:dyDescent="0.3">
      <c r="E1432" s="35"/>
      <c r="F1432" s="35"/>
      <c r="AM1432" s="35"/>
      <c r="AN1432" s="35"/>
      <c r="AO1432" s="35"/>
      <c r="AP1432" s="35"/>
      <c r="AQ1432" s="35"/>
      <c r="AR1432" s="35"/>
    </row>
    <row r="1433" spans="5:44" x14ac:dyDescent="0.3">
      <c r="E1433" s="35"/>
      <c r="F1433" s="35"/>
      <c r="AM1433" s="35"/>
      <c r="AN1433" s="35"/>
      <c r="AO1433" s="35"/>
      <c r="AP1433" s="35"/>
      <c r="AQ1433" s="35"/>
      <c r="AR1433" s="35"/>
    </row>
    <row r="1434" spans="5:44" x14ac:dyDescent="0.3">
      <c r="E1434" s="35"/>
      <c r="F1434" s="35"/>
      <c r="AM1434" s="35"/>
      <c r="AN1434" s="35"/>
      <c r="AO1434" s="35"/>
      <c r="AP1434" s="35"/>
      <c r="AQ1434" s="35"/>
      <c r="AR1434" s="35"/>
    </row>
    <row r="1435" spans="5:44" x14ac:dyDescent="0.3">
      <c r="E1435" s="35"/>
      <c r="F1435" s="35"/>
      <c r="AM1435" s="35"/>
      <c r="AN1435" s="35"/>
      <c r="AO1435" s="35"/>
      <c r="AP1435" s="35"/>
      <c r="AQ1435" s="35"/>
      <c r="AR1435" s="35"/>
    </row>
    <row r="1436" spans="5:44" x14ac:dyDescent="0.3">
      <c r="E1436" s="35"/>
      <c r="F1436" s="35"/>
      <c r="AM1436" s="35"/>
      <c r="AN1436" s="35"/>
      <c r="AO1436" s="35"/>
      <c r="AP1436" s="35"/>
      <c r="AQ1436" s="35"/>
      <c r="AR1436" s="35"/>
    </row>
    <row r="1437" spans="5:44" x14ac:dyDescent="0.3">
      <c r="E1437" s="35"/>
      <c r="F1437" s="35"/>
      <c r="AM1437" s="35"/>
      <c r="AN1437" s="35"/>
      <c r="AO1437" s="35"/>
      <c r="AP1437" s="35"/>
      <c r="AQ1437" s="35"/>
      <c r="AR1437" s="35"/>
    </row>
    <row r="1438" spans="5:44" x14ac:dyDescent="0.3">
      <c r="E1438" s="35"/>
      <c r="F1438" s="35"/>
      <c r="AM1438" s="35"/>
      <c r="AN1438" s="35"/>
      <c r="AO1438" s="35"/>
      <c r="AP1438" s="35"/>
      <c r="AQ1438" s="35"/>
      <c r="AR1438" s="35"/>
    </row>
    <row r="1439" spans="5:44" x14ac:dyDescent="0.3">
      <c r="E1439" s="35"/>
      <c r="F1439" s="35"/>
      <c r="AM1439" s="35"/>
      <c r="AN1439" s="35"/>
      <c r="AO1439" s="35"/>
      <c r="AP1439" s="35"/>
      <c r="AQ1439" s="35"/>
      <c r="AR1439" s="35"/>
    </row>
    <row r="1440" spans="5:44" x14ac:dyDescent="0.3">
      <c r="E1440" s="35"/>
      <c r="F1440" s="35"/>
      <c r="AM1440" s="35"/>
      <c r="AN1440" s="35"/>
      <c r="AO1440" s="35"/>
      <c r="AP1440" s="35"/>
      <c r="AQ1440" s="35"/>
      <c r="AR1440" s="35"/>
    </row>
    <row r="1441" spans="5:44" x14ac:dyDescent="0.3">
      <c r="E1441" s="35"/>
      <c r="F1441" s="35"/>
      <c r="AM1441" s="35"/>
      <c r="AN1441" s="35"/>
      <c r="AO1441" s="35"/>
      <c r="AP1441" s="35"/>
      <c r="AQ1441" s="35"/>
      <c r="AR1441" s="35"/>
    </row>
    <row r="1442" spans="5:44" x14ac:dyDescent="0.3">
      <c r="E1442" s="35"/>
      <c r="F1442" s="35"/>
      <c r="AM1442" s="35"/>
      <c r="AN1442" s="35"/>
      <c r="AO1442" s="35"/>
      <c r="AP1442" s="35"/>
      <c r="AQ1442" s="35"/>
      <c r="AR1442" s="35"/>
    </row>
    <row r="1443" spans="5:44" x14ac:dyDescent="0.3">
      <c r="E1443" s="35"/>
      <c r="F1443" s="35"/>
      <c r="AM1443" s="35"/>
      <c r="AN1443" s="35"/>
      <c r="AO1443" s="35"/>
      <c r="AP1443" s="35"/>
      <c r="AQ1443" s="35"/>
      <c r="AR1443" s="35"/>
    </row>
    <row r="1444" spans="5:44" x14ac:dyDescent="0.3">
      <c r="E1444" s="35"/>
      <c r="F1444" s="35"/>
      <c r="AM1444" s="35"/>
      <c r="AN1444" s="35"/>
      <c r="AO1444" s="35"/>
      <c r="AP1444" s="35"/>
      <c r="AQ1444" s="35"/>
      <c r="AR1444" s="35"/>
    </row>
    <row r="1445" spans="5:44" x14ac:dyDescent="0.3">
      <c r="E1445" s="35"/>
      <c r="F1445" s="35"/>
      <c r="AM1445" s="35"/>
      <c r="AN1445" s="35"/>
      <c r="AO1445" s="35"/>
      <c r="AP1445" s="35"/>
      <c r="AQ1445" s="35"/>
      <c r="AR1445" s="35"/>
    </row>
    <row r="1446" spans="5:44" x14ac:dyDescent="0.3">
      <c r="E1446" s="35"/>
      <c r="F1446" s="35"/>
      <c r="AM1446" s="35"/>
      <c r="AN1446" s="35"/>
      <c r="AO1446" s="35"/>
      <c r="AP1446" s="35"/>
      <c r="AQ1446" s="35"/>
      <c r="AR1446" s="35"/>
    </row>
    <row r="1447" spans="5:44" x14ac:dyDescent="0.3">
      <c r="E1447" s="35"/>
      <c r="F1447" s="35"/>
      <c r="AM1447" s="35"/>
      <c r="AN1447" s="35"/>
      <c r="AO1447" s="35"/>
      <c r="AP1447" s="35"/>
      <c r="AQ1447" s="35"/>
      <c r="AR1447" s="35"/>
    </row>
    <row r="1448" spans="5:44" x14ac:dyDescent="0.3">
      <c r="E1448" s="35"/>
      <c r="F1448" s="35"/>
      <c r="AM1448" s="35"/>
      <c r="AN1448" s="35"/>
      <c r="AO1448" s="35"/>
      <c r="AP1448" s="35"/>
      <c r="AQ1448" s="35"/>
      <c r="AR1448" s="35"/>
    </row>
    <row r="1449" spans="5:44" x14ac:dyDescent="0.3">
      <c r="E1449" s="35"/>
      <c r="F1449" s="35"/>
      <c r="AM1449" s="35"/>
      <c r="AN1449" s="35"/>
      <c r="AO1449" s="35"/>
      <c r="AP1449" s="35"/>
      <c r="AQ1449" s="35"/>
      <c r="AR1449" s="35"/>
    </row>
    <row r="1450" spans="5:44" x14ac:dyDescent="0.3">
      <c r="E1450" s="35"/>
      <c r="F1450" s="35"/>
      <c r="AM1450" s="35"/>
      <c r="AN1450" s="35"/>
      <c r="AO1450" s="35"/>
      <c r="AP1450" s="35"/>
      <c r="AQ1450" s="35"/>
      <c r="AR1450" s="35"/>
    </row>
    <row r="1451" spans="5:44" x14ac:dyDescent="0.3">
      <c r="E1451" s="35"/>
      <c r="F1451" s="35"/>
      <c r="AM1451" s="35"/>
      <c r="AN1451" s="35"/>
      <c r="AO1451" s="35"/>
      <c r="AP1451" s="35"/>
      <c r="AQ1451" s="35"/>
      <c r="AR1451" s="35"/>
    </row>
    <row r="1452" spans="5:44" x14ac:dyDescent="0.3">
      <c r="E1452" s="35"/>
      <c r="F1452" s="35"/>
      <c r="AM1452" s="35"/>
      <c r="AN1452" s="35"/>
      <c r="AO1452" s="35"/>
      <c r="AP1452" s="35"/>
      <c r="AQ1452" s="35"/>
      <c r="AR1452" s="35"/>
    </row>
    <row r="1453" spans="5:44" x14ac:dyDescent="0.3">
      <c r="E1453" s="35"/>
      <c r="F1453" s="35"/>
      <c r="AM1453" s="35"/>
      <c r="AN1453" s="35"/>
      <c r="AO1453" s="35"/>
      <c r="AP1453" s="35"/>
      <c r="AQ1453" s="35"/>
      <c r="AR1453" s="35"/>
    </row>
    <row r="1454" spans="5:44" x14ac:dyDescent="0.3">
      <c r="E1454" s="35"/>
      <c r="F1454" s="35"/>
      <c r="AM1454" s="35"/>
      <c r="AN1454" s="35"/>
      <c r="AO1454" s="35"/>
      <c r="AP1454" s="35"/>
      <c r="AQ1454" s="35"/>
      <c r="AR1454" s="35"/>
    </row>
    <row r="1455" spans="5:44" x14ac:dyDescent="0.3">
      <c r="E1455" s="35"/>
      <c r="F1455" s="35"/>
      <c r="AM1455" s="35"/>
      <c r="AN1455" s="35"/>
      <c r="AO1455" s="35"/>
      <c r="AP1455" s="35"/>
      <c r="AQ1455" s="35"/>
      <c r="AR1455" s="35"/>
    </row>
    <row r="1456" spans="5:44" x14ac:dyDescent="0.3">
      <c r="E1456" s="35"/>
      <c r="F1456" s="35"/>
      <c r="AM1456" s="35"/>
      <c r="AN1456" s="35"/>
      <c r="AO1456" s="35"/>
      <c r="AP1456" s="35"/>
      <c r="AQ1456" s="35"/>
      <c r="AR1456" s="35"/>
    </row>
    <row r="1457" spans="5:44" x14ac:dyDescent="0.3">
      <c r="E1457" s="35"/>
      <c r="F1457" s="35"/>
      <c r="AM1457" s="35"/>
      <c r="AN1457" s="35"/>
      <c r="AO1457" s="35"/>
      <c r="AP1457" s="35"/>
      <c r="AQ1457" s="35"/>
      <c r="AR1457" s="35"/>
    </row>
    <row r="1458" spans="5:44" x14ac:dyDescent="0.3">
      <c r="E1458" s="35"/>
      <c r="F1458" s="35"/>
      <c r="AM1458" s="35"/>
      <c r="AN1458" s="35"/>
      <c r="AO1458" s="35"/>
      <c r="AP1458" s="35"/>
      <c r="AQ1458" s="35"/>
      <c r="AR1458" s="35"/>
    </row>
    <row r="1459" spans="5:44" x14ac:dyDescent="0.3">
      <c r="E1459" s="35"/>
      <c r="F1459" s="35"/>
      <c r="AM1459" s="35"/>
      <c r="AN1459" s="35"/>
      <c r="AO1459" s="35"/>
      <c r="AP1459" s="35"/>
      <c r="AQ1459" s="35"/>
      <c r="AR1459" s="35"/>
    </row>
    <row r="1460" spans="5:44" x14ac:dyDescent="0.3">
      <c r="E1460" s="35"/>
      <c r="F1460" s="35"/>
      <c r="AM1460" s="35"/>
      <c r="AN1460" s="35"/>
      <c r="AO1460" s="35"/>
      <c r="AP1460" s="35"/>
      <c r="AQ1460" s="35"/>
      <c r="AR1460" s="35"/>
    </row>
    <row r="1461" spans="5:44" x14ac:dyDescent="0.3">
      <c r="E1461" s="35"/>
      <c r="F1461" s="35"/>
      <c r="AM1461" s="35"/>
      <c r="AN1461" s="35"/>
      <c r="AO1461" s="35"/>
      <c r="AP1461" s="35"/>
      <c r="AQ1461" s="35"/>
      <c r="AR1461" s="35"/>
    </row>
    <row r="1462" spans="5:44" x14ac:dyDescent="0.3">
      <c r="E1462" s="35"/>
      <c r="F1462" s="35"/>
      <c r="AM1462" s="35"/>
      <c r="AN1462" s="35"/>
      <c r="AO1462" s="35"/>
      <c r="AP1462" s="35"/>
      <c r="AQ1462" s="35"/>
      <c r="AR1462" s="35"/>
    </row>
    <row r="1463" spans="5:44" x14ac:dyDescent="0.3">
      <c r="E1463" s="35"/>
      <c r="F1463" s="35"/>
      <c r="AM1463" s="35"/>
      <c r="AN1463" s="35"/>
      <c r="AO1463" s="35"/>
      <c r="AP1463" s="35"/>
      <c r="AQ1463" s="35"/>
      <c r="AR1463" s="35"/>
    </row>
    <row r="1464" spans="5:44" x14ac:dyDescent="0.3">
      <c r="E1464" s="35"/>
      <c r="F1464" s="35"/>
      <c r="AM1464" s="35"/>
      <c r="AN1464" s="35"/>
      <c r="AO1464" s="35"/>
      <c r="AP1464" s="35"/>
      <c r="AQ1464" s="35"/>
      <c r="AR1464" s="35"/>
    </row>
    <row r="1465" spans="5:44" x14ac:dyDescent="0.3">
      <c r="E1465" s="35"/>
      <c r="F1465" s="35"/>
      <c r="AM1465" s="35"/>
      <c r="AN1465" s="35"/>
      <c r="AO1465" s="35"/>
      <c r="AP1465" s="35"/>
      <c r="AQ1465" s="35"/>
      <c r="AR1465" s="35"/>
    </row>
    <row r="1466" spans="5:44" x14ac:dyDescent="0.3">
      <c r="E1466" s="35"/>
      <c r="F1466" s="35"/>
      <c r="AM1466" s="35"/>
      <c r="AN1466" s="35"/>
      <c r="AO1466" s="35"/>
      <c r="AP1466" s="35"/>
      <c r="AQ1466" s="35"/>
      <c r="AR1466" s="35"/>
    </row>
    <row r="1467" spans="5:44" x14ac:dyDescent="0.3">
      <c r="E1467" s="35"/>
      <c r="F1467" s="35"/>
      <c r="AM1467" s="35"/>
      <c r="AN1467" s="35"/>
      <c r="AO1467" s="35"/>
      <c r="AP1467" s="35"/>
      <c r="AQ1467" s="35"/>
      <c r="AR1467" s="35"/>
    </row>
    <row r="1468" spans="5:44" x14ac:dyDescent="0.3">
      <c r="E1468" s="35"/>
      <c r="F1468" s="35"/>
      <c r="AM1468" s="35"/>
      <c r="AN1468" s="35"/>
      <c r="AO1468" s="35"/>
      <c r="AP1468" s="35"/>
      <c r="AQ1468" s="35"/>
      <c r="AR1468" s="35"/>
    </row>
    <row r="1469" spans="5:44" x14ac:dyDescent="0.3">
      <c r="E1469" s="35"/>
      <c r="F1469" s="35"/>
      <c r="AM1469" s="35"/>
      <c r="AN1469" s="35"/>
      <c r="AO1469" s="35"/>
      <c r="AP1469" s="35"/>
      <c r="AQ1469" s="35"/>
      <c r="AR1469" s="35"/>
    </row>
    <row r="1470" spans="5:44" x14ac:dyDescent="0.3">
      <c r="E1470" s="35"/>
      <c r="F1470" s="35"/>
      <c r="AM1470" s="35"/>
      <c r="AN1470" s="35"/>
      <c r="AO1470" s="35"/>
      <c r="AP1470" s="35"/>
      <c r="AQ1470" s="35"/>
      <c r="AR1470" s="35"/>
    </row>
    <row r="1471" spans="5:44" x14ac:dyDescent="0.3">
      <c r="E1471" s="35"/>
      <c r="F1471" s="35"/>
      <c r="AM1471" s="35"/>
      <c r="AN1471" s="35"/>
      <c r="AO1471" s="35"/>
      <c r="AP1471" s="35"/>
      <c r="AQ1471" s="35"/>
      <c r="AR1471" s="35"/>
    </row>
    <row r="1472" spans="5:44" x14ac:dyDescent="0.3">
      <c r="E1472" s="35"/>
      <c r="F1472" s="35"/>
      <c r="AM1472" s="35"/>
      <c r="AN1472" s="35"/>
      <c r="AO1472" s="35"/>
      <c r="AP1472" s="35"/>
      <c r="AQ1472" s="35"/>
      <c r="AR1472" s="35"/>
    </row>
    <row r="1473" spans="5:44" x14ac:dyDescent="0.3">
      <c r="E1473" s="35"/>
      <c r="F1473" s="35"/>
      <c r="AM1473" s="35"/>
      <c r="AN1473" s="35"/>
      <c r="AO1473" s="35"/>
      <c r="AP1473" s="35"/>
      <c r="AQ1473" s="35"/>
      <c r="AR1473" s="35"/>
    </row>
    <row r="1474" spans="5:44" x14ac:dyDescent="0.3">
      <c r="E1474" s="35"/>
      <c r="F1474" s="35"/>
      <c r="AM1474" s="35"/>
      <c r="AN1474" s="35"/>
      <c r="AO1474" s="35"/>
      <c r="AP1474" s="35"/>
      <c r="AQ1474" s="35"/>
      <c r="AR1474" s="35"/>
    </row>
    <row r="1475" spans="5:44" x14ac:dyDescent="0.3">
      <c r="E1475" s="35"/>
      <c r="F1475" s="35"/>
      <c r="AM1475" s="35"/>
      <c r="AN1475" s="35"/>
      <c r="AO1475" s="35"/>
      <c r="AP1475" s="35"/>
      <c r="AQ1475" s="35"/>
      <c r="AR1475" s="35"/>
    </row>
    <row r="1476" spans="5:44" x14ac:dyDescent="0.3">
      <c r="E1476" s="35"/>
      <c r="F1476" s="35"/>
      <c r="AM1476" s="35"/>
      <c r="AN1476" s="35"/>
      <c r="AO1476" s="35"/>
      <c r="AP1476" s="35"/>
      <c r="AQ1476" s="35"/>
      <c r="AR1476" s="35"/>
    </row>
    <row r="1477" spans="5:44" x14ac:dyDescent="0.3">
      <c r="E1477" s="35"/>
      <c r="F1477" s="35"/>
      <c r="AM1477" s="35"/>
      <c r="AN1477" s="35"/>
      <c r="AO1477" s="35"/>
      <c r="AP1477" s="35"/>
      <c r="AQ1477" s="35"/>
      <c r="AR1477" s="35"/>
    </row>
    <row r="1478" spans="5:44" x14ac:dyDescent="0.3">
      <c r="E1478" s="35"/>
      <c r="F1478" s="35"/>
      <c r="AM1478" s="35"/>
      <c r="AN1478" s="35"/>
      <c r="AO1478" s="35"/>
      <c r="AP1478" s="35"/>
      <c r="AQ1478" s="35"/>
      <c r="AR1478" s="35"/>
    </row>
    <row r="1479" spans="5:44" x14ac:dyDescent="0.3">
      <c r="E1479" s="35"/>
      <c r="F1479" s="35"/>
      <c r="AM1479" s="35"/>
      <c r="AN1479" s="35"/>
      <c r="AO1479" s="35"/>
      <c r="AP1479" s="35"/>
      <c r="AQ1479" s="35"/>
      <c r="AR1479" s="35"/>
    </row>
    <row r="1480" spans="5:44" x14ac:dyDescent="0.3">
      <c r="E1480" s="35"/>
      <c r="F1480" s="35"/>
      <c r="AM1480" s="35"/>
      <c r="AN1480" s="35"/>
      <c r="AO1480" s="35"/>
      <c r="AP1480" s="35"/>
      <c r="AQ1480" s="35"/>
      <c r="AR1480" s="35"/>
    </row>
    <row r="1481" spans="5:44" x14ac:dyDescent="0.3">
      <c r="E1481" s="35"/>
      <c r="F1481" s="35"/>
      <c r="AM1481" s="35"/>
      <c r="AN1481" s="35"/>
      <c r="AO1481" s="35"/>
      <c r="AP1481" s="35"/>
      <c r="AQ1481" s="35"/>
      <c r="AR1481" s="35"/>
    </row>
    <row r="1482" spans="5:44" x14ac:dyDescent="0.3">
      <c r="E1482" s="35"/>
      <c r="F1482" s="35"/>
      <c r="AM1482" s="35"/>
      <c r="AN1482" s="35"/>
      <c r="AO1482" s="35"/>
      <c r="AP1482" s="35"/>
      <c r="AQ1482" s="35"/>
      <c r="AR1482" s="35"/>
    </row>
    <row r="1483" spans="5:44" x14ac:dyDescent="0.3">
      <c r="E1483" s="35"/>
      <c r="F1483" s="35"/>
      <c r="AM1483" s="35"/>
      <c r="AN1483" s="35"/>
      <c r="AO1483" s="35"/>
      <c r="AP1483" s="35"/>
      <c r="AQ1483" s="35"/>
      <c r="AR1483" s="35"/>
    </row>
    <row r="1484" spans="5:44" x14ac:dyDescent="0.3">
      <c r="E1484" s="35"/>
      <c r="F1484" s="35"/>
      <c r="AM1484" s="35"/>
      <c r="AN1484" s="35"/>
      <c r="AO1484" s="35"/>
      <c r="AP1484" s="35"/>
      <c r="AQ1484" s="35"/>
      <c r="AR1484" s="35"/>
    </row>
    <row r="1485" spans="5:44" x14ac:dyDescent="0.3">
      <c r="E1485" s="35"/>
      <c r="F1485" s="35"/>
      <c r="AM1485" s="35"/>
      <c r="AN1485" s="35"/>
      <c r="AO1485" s="35"/>
      <c r="AP1485" s="35"/>
      <c r="AQ1485" s="35"/>
      <c r="AR1485" s="35"/>
    </row>
    <row r="1486" spans="5:44" x14ac:dyDescent="0.3">
      <c r="E1486" s="35"/>
      <c r="F1486" s="35"/>
      <c r="AM1486" s="35"/>
      <c r="AN1486" s="35"/>
      <c r="AO1486" s="35"/>
      <c r="AP1486" s="35"/>
      <c r="AQ1486" s="35"/>
      <c r="AR1486" s="35"/>
    </row>
    <row r="1487" spans="5:44" x14ac:dyDescent="0.3">
      <c r="E1487" s="35"/>
      <c r="F1487" s="35"/>
      <c r="AM1487" s="35"/>
      <c r="AN1487" s="35"/>
      <c r="AO1487" s="35"/>
      <c r="AP1487" s="35"/>
      <c r="AQ1487" s="35"/>
      <c r="AR1487" s="35"/>
    </row>
    <row r="1488" spans="5:44" x14ac:dyDescent="0.3">
      <c r="E1488" s="35"/>
      <c r="F1488" s="35"/>
      <c r="AM1488" s="35"/>
      <c r="AN1488" s="35"/>
      <c r="AO1488" s="35"/>
      <c r="AP1488" s="35"/>
      <c r="AQ1488" s="35"/>
      <c r="AR1488" s="35"/>
    </row>
    <row r="1489" spans="5:44" x14ac:dyDescent="0.3">
      <c r="E1489" s="35"/>
      <c r="F1489" s="35"/>
      <c r="AM1489" s="35"/>
      <c r="AN1489" s="35"/>
      <c r="AO1489" s="35"/>
      <c r="AP1489" s="35"/>
      <c r="AQ1489" s="35"/>
      <c r="AR1489" s="35"/>
    </row>
    <row r="1490" spans="5:44" x14ac:dyDescent="0.3">
      <c r="E1490" s="35"/>
      <c r="F1490" s="35"/>
      <c r="AM1490" s="35"/>
      <c r="AN1490" s="35"/>
      <c r="AO1490" s="35"/>
      <c r="AP1490" s="35"/>
      <c r="AQ1490" s="35"/>
      <c r="AR1490" s="35"/>
    </row>
    <row r="1491" spans="5:44" x14ac:dyDescent="0.3">
      <c r="E1491" s="35"/>
      <c r="F1491" s="35"/>
      <c r="AM1491" s="35"/>
      <c r="AN1491" s="35"/>
      <c r="AO1491" s="35"/>
      <c r="AP1491" s="35"/>
      <c r="AQ1491" s="35"/>
      <c r="AR1491" s="35"/>
    </row>
    <row r="1492" spans="5:44" x14ac:dyDescent="0.3">
      <c r="E1492" s="35"/>
      <c r="F1492" s="35"/>
      <c r="AM1492" s="35"/>
      <c r="AN1492" s="35"/>
      <c r="AO1492" s="35"/>
      <c r="AP1492" s="35"/>
      <c r="AQ1492" s="35"/>
      <c r="AR1492" s="35"/>
    </row>
    <row r="1493" spans="5:44" x14ac:dyDescent="0.3">
      <c r="E1493" s="35"/>
      <c r="F1493" s="35"/>
      <c r="AM1493" s="35"/>
      <c r="AN1493" s="35"/>
      <c r="AO1493" s="35"/>
      <c r="AP1493" s="35"/>
      <c r="AQ1493" s="35"/>
      <c r="AR1493" s="35"/>
    </row>
    <row r="1494" spans="5:44" x14ac:dyDescent="0.3">
      <c r="E1494" s="35"/>
      <c r="F1494" s="35"/>
      <c r="AM1494" s="35"/>
      <c r="AN1494" s="35"/>
      <c r="AO1494" s="35"/>
      <c r="AP1494" s="35"/>
      <c r="AQ1494" s="35"/>
      <c r="AR1494" s="35"/>
    </row>
    <row r="1495" spans="5:44" x14ac:dyDescent="0.3">
      <c r="E1495" s="35"/>
      <c r="F1495" s="35"/>
      <c r="AM1495" s="35"/>
      <c r="AN1495" s="35"/>
      <c r="AO1495" s="35"/>
      <c r="AP1495" s="35"/>
      <c r="AQ1495" s="35"/>
      <c r="AR1495" s="35"/>
    </row>
    <row r="1496" spans="5:44" x14ac:dyDescent="0.3">
      <c r="E1496" s="35"/>
      <c r="F1496" s="35"/>
      <c r="AM1496" s="35"/>
      <c r="AN1496" s="35"/>
      <c r="AO1496" s="35"/>
      <c r="AP1496" s="35"/>
      <c r="AQ1496" s="35"/>
      <c r="AR1496" s="35"/>
    </row>
    <row r="1497" spans="5:44" x14ac:dyDescent="0.3">
      <c r="E1497" s="35"/>
      <c r="F1497" s="35"/>
      <c r="AM1497" s="35"/>
      <c r="AN1497" s="35"/>
      <c r="AO1497" s="35"/>
      <c r="AP1497" s="35"/>
      <c r="AQ1497" s="35"/>
      <c r="AR1497" s="35"/>
    </row>
    <row r="1498" spans="5:44" x14ac:dyDescent="0.3">
      <c r="E1498" s="35"/>
      <c r="F1498" s="35"/>
      <c r="AM1498" s="35"/>
      <c r="AN1498" s="35"/>
      <c r="AO1498" s="35"/>
      <c r="AP1498" s="35"/>
      <c r="AQ1498" s="35"/>
      <c r="AR1498" s="35"/>
    </row>
    <row r="1499" spans="5:44" x14ac:dyDescent="0.3">
      <c r="E1499" s="35"/>
      <c r="F1499" s="35"/>
      <c r="AM1499" s="35"/>
      <c r="AN1499" s="35"/>
      <c r="AO1499" s="35"/>
      <c r="AP1499" s="35"/>
      <c r="AQ1499" s="35"/>
      <c r="AR1499" s="35"/>
    </row>
    <row r="1500" spans="5:44" x14ac:dyDescent="0.3">
      <c r="E1500" s="35"/>
      <c r="F1500" s="35"/>
      <c r="AM1500" s="35"/>
      <c r="AN1500" s="35"/>
      <c r="AO1500" s="35"/>
      <c r="AP1500" s="35"/>
      <c r="AQ1500" s="35"/>
      <c r="AR1500" s="35"/>
    </row>
    <row r="1501" spans="5:44" x14ac:dyDescent="0.3">
      <c r="E1501" s="35"/>
      <c r="F1501" s="35"/>
      <c r="AM1501" s="35"/>
      <c r="AN1501" s="35"/>
      <c r="AO1501" s="35"/>
      <c r="AP1501" s="35"/>
      <c r="AQ1501" s="35"/>
      <c r="AR1501" s="35"/>
    </row>
    <row r="1502" spans="5:44" x14ac:dyDescent="0.3">
      <c r="E1502" s="35"/>
      <c r="F1502" s="35"/>
      <c r="AM1502" s="35"/>
      <c r="AN1502" s="35"/>
      <c r="AO1502" s="35"/>
      <c r="AP1502" s="35"/>
      <c r="AQ1502" s="35"/>
      <c r="AR1502" s="35"/>
    </row>
    <row r="1503" spans="5:44" x14ac:dyDescent="0.3">
      <c r="E1503" s="35"/>
      <c r="F1503" s="35"/>
      <c r="AM1503" s="35"/>
      <c r="AN1503" s="35"/>
      <c r="AO1503" s="35"/>
      <c r="AP1503" s="35"/>
      <c r="AQ1503" s="35"/>
      <c r="AR1503" s="35"/>
    </row>
    <row r="1504" spans="5:44" x14ac:dyDescent="0.3">
      <c r="E1504" s="35"/>
      <c r="F1504" s="35"/>
      <c r="AM1504" s="35"/>
      <c r="AN1504" s="35"/>
      <c r="AO1504" s="35"/>
      <c r="AP1504" s="35"/>
      <c r="AQ1504" s="35"/>
      <c r="AR1504" s="35"/>
    </row>
    <row r="1505" spans="5:44" x14ac:dyDescent="0.3">
      <c r="E1505" s="35"/>
      <c r="F1505" s="35"/>
      <c r="AM1505" s="35"/>
      <c r="AN1505" s="35"/>
      <c r="AO1505" s="35"/>
      <c r="AP1505" s="35"/>
      <c r="AQ1505" s="35"/>
      <c r="AR1505" s="35"/>
    </row>
    <row r="1506" spans="5:44" x14ac:dyDescent="0.3">
      <c r="E1506" s="35"/>
      <c r="F1506" s="35"/>
      <c r="AM1506" s="35"/>
      <c r="AN1506" s="35"/>
      <c r="AO1506" s="35"/>
      <c r="AP1506" s="35"/>
      <c r="AQ1506" s="35"/>
      <c r="AR1506" s="35"/>
    </row>
    <row r="1507" spans="5:44" x14ac:dyDescent="0.3">
      <c r="E1507" s="35"/>
      <c r="F1507" s="35"/>
      <c r="AM1507" s="35"/>
      <c r="AN1507" s="35"/>
      <c r="AO1507" s="35"/>
      <c r="AP1507" s="35"/>
      <c r="AQ1507" s="35"/>
      <c r="AR1507" s="35"/>
    </row>
    <row r="1508" spans="5:44" x14ac:dyDescent="0.3">
      <c r="E1508" s="35"/>
      <c r="F1508" s="35"/>
      <c r="AM1508" s="35"/>
      <c r="AN1508" s="35"/>
      <c r="AO1508" s="35"/>
      <c r="AP1508" s="35"/>
      <c r="AQ1508" s="35"/>
      <c r="AR1508" s="35"/>
    </row>
    <row r="1509" spans="5:44" x14ac:dyDescent="0.3">
      <c r="E1509" s="35"/>
      <c r="F1509" s="35"/>
      <c r="AM1509" s="35"/>
      <c r="AN1509" s="35"/>
      <c r="AO1509" s="35"/>
      <c r="AP1509" s="35"/>
      <c r="AQ1509" s="35"/>
      <c r="AR1509" s="35"/>
    </row>
    <row r="1510" spans="5:44" x14ac:dyDescent="0.3">
      <c r="E1510" s="35"/>
      <c r="F1510" s="35"/>
      <c r="AM1510" s="35"/>
      <c r="AN1510" s="35"/>
      <c r="AO1510" s="35"/>
      <c r="AP1510" s="35"/>
      <c r="AQ1510" s="35"/>
      <c r="AR1510" s="35"/>
    </row>
    <row r="1511" spans="5:44" x14ac:dyDescent="0.3">
      <c r="E1511" s="35"/>
      <c r="F1511" s="35"/>
      <c r="AM1511" s="35"/>
      <c r="AN1511" s="35"/>
      <c r="AO1511" s="35"/>
      <c r="AP1511" s="35"/>
      <c r="AQ1511" s="35"/>
      <c r="AR1511" s="35"/>
    </row>
    <row r="1512" spans="5:44" x14ac:dyDescent="0.3">
      <c r="E1512" s="35"/>
      <c r="F1512" s="35"/>
      <c r="AM1512" s="35"/>
      <c r="AN1512" s="35"/>
      <c r="AO1512" s="35"/>
      <c r="AP1512" s="35"/>
      <c r="AQ1512" s="35"/>
      <c r="AR1512" s="35"/>
    </row>
    <row r="1513" spans="5:44" x14ac:dyDescent="0.3">
      <c r="E1513" s="35"/>
      <c r="F1513" s="35"/>
      <c r="AM1513" s="35"/>
      <c r="AN1513" s="35"/>
      <c r="AO1513" s="35"/>
      <c r="AP1513" s="35"/>
      <c r="AQ1513" s="35"/>
      <c r="AR1513" s="35"/>
    </row>
    <row r="1514" spans="5:44" x14ac:dyDescent="0.3">
      <c r="E1514" s="35"/>
      <c r="F1514" s="35"/>
      <c r="AM1514" s="35"/>
      <c r="AN1514" s="35"/>
      <c r="AO1514" s="35"/>
      <c r="AP1514" s="35"/>
      <c r="AQ1514" s="35"/>
      <c r="AR1514" s="35"/>
    </row>
    <row r="1515" spans="5:44" x14ac:dyDescent="0.3">
      <c r="E1515" s="35"/>
      <c r="F1515" s="35"/>
      <c r="AM1515" s="35"/>
      <c r="AN1515" s="35"/>
      <c r="AO1515" s="35"/>
      <c r="AP1515" s="35"/>
      <c r="AQ1515" s="35"/>
      <c r="AR1515" s="35"/>
    </row>
    <row r="1516" spans="5:44" x14ac:dyDescent="0.3">
      <c r="E1516" s="35"/>
      <c r="F1516" s="35"/>
      <c r="AM1516" s="35"/>
      <c r="AN1516" s="35"/>
      <c r="AO1516" s="35"/>
      <c r="AP1516" s="35"/>
      <c r="AQ1516" s="35"/>
      <c r="AR1516" s="35"/>
    </row>
    <row r="1517" spans="5:44" x14ac:dyDescent="0.3">
      <c r="AM1517" s="35"/>
      <c r="AN1517" s="35"/>
      <c r="AO1517" s="35"/>
      <c r="AP1517" s="35"/>
      <c r="AQ1517" s="35"/>
      <c r="AR1517" s="35"/>
    </row>
    <row r="1518" spans="5:44" x14ac:dyDescent="0.3">
      <c r="AM1518" s="35"/>
      <c r="AN1518" s="35"/>
      <c r="AO1518" s="35"/>
      <c r="AP1518" s="35"/>
      <c r="AQ1518" s="35"/>
      <c r="AR1518" s="35"/>
    </row>
    <row r="1519" spans="5:44" x14ac:dyDescent="0.3">
      <c r="AM1519" s="35"/>
      <c r="AN1519" s="35"/>
      <c r="AO1519" s="35"/>
      <c r="AP1519" s="35"/>
      <c r="AQ1519" s="35"/>
      <c r="AR1519" s="35"/>
    </row>
    <row r="1520" spans="5:44" x14ac:dyDescent="0.3">
      <c r="AM1520" s="35"/>
      <c r="AN1520" s="35"/>
      <c r="AO1520" s="35"/>
      <c r="AP1520" s="35"/>
      <c r="AQ1520" s="35"/>
      <c r="AR1520" s="35"/>
    </row>
    <row r="1521" spans="39:44" x14ac:dyDescent="0.3">
      <c r="AM1521" s="35"/>
      <c r="AN1521" s="35"/>
      <c r="AO1521" s="35"/>
      <c r="AP1521" s="35"/>
      <c r="AQ1521" s="35"/>
      <c r="AR1521" s="35"/>
    </row>
    <row r="1522" spans="39:44" x14ac:dyDescent="0.3">
      <c r="AM1522" s="35"/>
      <c r="AN1522" s="35"/>
      <c r="AO1522" s="35"/>
      <c r="AP1522" s="35"/>
      <c r="AQ1522" s="35"/>
      <c r="AR1522" s="35"/>
    </row>
    <row r="1523" spans="39:44" x14ac:dyDescent="0.3">
      <c r="AM1523" s="35"/>
      <c r="AN1523" s="35"/>
      <c r="AO1523" s="35"/>
      <c r="AP1523" s="35"/>
      <c r="AQ1523" s="35"/>
      <c r="AR1523" s="35"/>
    </row>
    <row r="1524" spans="39:44" x14ac:dyDescent="0.3">
      <c r="AM1524" s="35"/>
      <c r="AN1524" s="35"/>
      <c r="AO1524" s="35"/>
      <c r="AP1524" s="35"/>
      <c r="AQ1524" s="35"/>
      <c r="AR1524" s="35"/>
    </row>
    <row r="1525" spans="39:44" x14ac:dyDescent="0.3">
      <c r="AM1525" s="35"/>
      <c r="AN1525" s="35"/>
      <c r="AO1525" s="35"/>
      <c r="AP1525" s="35"/>
      <c r="AQ1525" s="35"/>
      <c r="AR1525" s="35"/>
    </row>
    <row r="1526" spans="39:44" x14ac:dyDescent="0.3">
      <c r="AM1526" s="35"/>
      <c r="AN1526" s="35"/>
      <c r="AO1526" s="35"/>
      <c r="AP1526" s="35"/>
      <c r="AQ1526" s="35"/>
      <c r="AR1526" s="35"/>
    </row>
    <row r="1527" spans="39:44" x14ac:dyDescent="0.3">
      <c r="AM1527" s="35"/>
      <c r="AN1527" s="35"/>
      <c r="AO1527" s="35"/>
      <c r="AP1527" s="35"/>
      <c r="AQ1527" s="35"/>
      <c r="AR1527" s="35"/>
    </row>
    <row r="1528" spans="39:44" x14ac:dyDescent="0.3">
      <c r="AM1528" s="35"/>
      <c r="AN1528" s="35"/>
      <c r="AO1528" s="35"/>
      <c r="AP1528" s="35"/>
      <c r="AQ1528" s="35"/>
      <c r="AR1528" s="35"/>
    </row>
    <row r="1529" spans="39:44" x14ac:dyDescent="0.3">
      <c r="AM1529" s="35"/>
      <c r="AN1529" s="35"/>
      <c r="AO1529" s="35"/>
      <c r="AP1529" s="35"/>
      <c r="AQ1529" s="35"/>
      <c r="AR1529" s="35"/>
    </row>
    <row r="1530" spans="39:44" x14ac:dyDescent="0.3">
      <c r="AM1530" s="35"/>
      <c r="AN1530" s="35"/>
      <c r="AO1530" s="35"/>
      <c r="AP1530" s="35"/>
      <c r="AQ1530" s="35"/>
      <c r="AR1530" s="35"/>
    </row>
    <row r="1531" spans="39:44" x14ac:dyDescent="0.3">
      <c r="AM1531" s="35"/>
      <c r="AN1531" s="35"/>
      <c r="AO1531" s="35"/>
      <c r="AP1531" s="35"/>
      <c r="AQ1531" s="35"/>
      <c r="AR1531" s="35"/>
    </row>
    <row r="1532" spans="39:44" x14ac:dyDescent="0.3">
      <c r="AM1532" s="35"/>
      <c r="AN1532" s="35"/>
      <c r="AO1532" s="35"/>
      <c r="AP1532" s="35"/>
      <c r="AQ1532" s="35"/>
      <c r="AR1532" s="35"/>
    </row>
    <row r="1533" spans="39:44" x14ac:dyDescent="0.3">
      <c r="AM1533" s="35"/>
      <c r="AN1533" s="35"/>
      <c r="AO1533" s="35"/>
      <c r="AP1533" s="35"/>
      <c r="AQ1533" s="35"/>
      <c r="AR1533" s="35"/>
    </row>
    <row r="1534" spans="39:44" x14ac:dyDescent="0.3">
      <c r="AM1534" s="35"/>
      <c r="AN1534" s="35"/>
      <c r="AO1534" s="35"/>
      <c r="AP1534" s="35"/>
      <c r="AQ1534" s="35"/>
      <c r="AR1534" s="35"/>
    </row>
    <row r="1535" spans="39:44" x14ac:dyDescent="0.3">
      <c r="AM1535" s="35"/>
      <c r="AN1535" s="35"/>
      <c r="AO1535" s="35"/>
      <c r="AP1535" s="35"/>
      <c r="AQ1535" s="35"/>
      <c r="AR1535" s="35"/>
    </row>
    <row r="1536" spans="39:44" x14ac:dyDescent="0.3">
      <c r="AM1536" s="35"/>
      <c r="AN1536" s="35"/>
      <c r="AO1536" s="35"/>
      <c r="AP1536" s="35"/>
      <c r="AQ1536" s="35"/>
      <c r="AR1536" s="35"/>
    </row>
    <row r="1537" spans="39:44" x14ac:dyDescent="0.3">
      <c r="AM1537" s="35"/>
      <c r="AN1537" s="35"/>
      <c r="AO1537" s="35"/>
      <c r="AP1537" s="35"/>
      <c r="AQ1537" s="35"/>
      <c r="AR1537" s="35"/>
    </row>
    <row r="1538" spans="39:44" x14ac:dyDescent="0.3">
      <c r="AM1538" s="35"/>
      <c r="AN1538" s="35"/>
      <c r="AO1538" s="35"/>
      <c r="AP1538" s="35"/>
      <c r="AQ1538" s="35"/>
      <c r="AR1538" s="35"/>
    </row>
    <row r="1539" spans="39:44" x14ac:dyDescent="0.3">
      <c r="AM1539" s="35"/>
      <c r="AN1539" s="35"/>
      <c r="AO1539" s="35"/>
      <c r="AP1539" s="35"/>
      <c r="AQ1539" s="35"/>
      <c r="AR1539" s="35"/>
    </row>
    <row r="1540" spans="39:44" x14ac:dyDescent="0.3">
      <c r="AM1540" s="35"/>
      <c r="AN1540" s="35"/>
      <c r="AO1540" s="35"/>
      <c r="AP1540" s="35"/>
      <c r="AQ1540" s="35"/>
      <c r="AR1540" s="35"/>
    </row>
    <row r="1541" spans="39:44" x14ac:dyDescent="0.3">
      <c r="AM1541" s="35"/>
      <c r="AN1541" s="35"/>
      <c r="AO1541" s="35"/>
      <c r="AP1541" s="35"/>
      <c r="AQ1541" s="35"/>
      <c r="AR1541" s="35"/>
    </row>
    <row r="1542" spans="39:44" x14ac:dyDescent="0.3">
      <c r="AM1542" s="35"/>
      <c r="AN1542" s="35"/>
      <c r="AO1542" s="35"/>
      <c r="AP1542" s="35"/>
      <c r="AQ1542" s="35"/>
      <c r="AR1542" s="35"/>
    </row>
    <row r="1543" spans="39:44" x14ac:dyDescent="0.3">
      <c r="AM1543" s="35"/>
      <c r="AN1543" s="35"/>
      <c r="AO1543" s="35"/>
      <c r="AP1543" s="35"/>
      <c r="AQ1543" s="35"/>
      <c r="AR1543" s="35"/>
    </row>
    <row r="1544" spans="39:44" x14ac:dyDescent="0.3">
      <c r="AM1544" s="35"/>
      <c r="AN1544" s="35"/>
      <c r="AO1544" s="35"/>
      <c r="AP1544" s="35"/>
      <c r="AQ1544" s="35"/>
      <c r="AR1544" s="35"/>
    </row>
    <row r="1545" spans="39:44" x14ac:dyDescent="0.3">
      <c r="AM1545" s="35"/>
      <c r="AN1545" s="35"/>
      <c r="AO1545" s="35"/>
      <c r="AP1545" s="35"/>
      <c r="AQ1545" s="35"/>
      <c r="AR1545" s="35"/>
    </row>
    <row r="1546" spans="39:44" x14ac:dyDescent="0.3">
      <c r="AM1546" s="35"/>
      <c r="AN1546" s="35"/>
      <c r="AO1546" s="35"/>
      <c r="AP1546" s="35"/>
      <c r="AQ1546" s="35"/>
      <c r="AR1546" s="35"/>
    </row>
    <row r="1547" spans="39:44" x14ac:dyDescent="0.3">
      <c r="AM1547" s="35"/>
      <c r="AN1547" s="35"/>
      <c r="AO1547" s="35"/>
      <c r="AP1547" s="35"/>
      <c r="AQ1547" s="35"/>
      <c r="AR1547" s="35"/>
    </row>
    <row r="1548" spans="39:44" x14ac:dyDescent="0.3">
      <c r="AM1548" s="35"/>
      <c r="AN1548" s="35"/>
      <c r="AO1548" s="35"/>
      <c r="AP1548" s="35"/>
      <c r="AQ1548" s="35"/>
      <c r="AR1548" s="35"/>
    </row>
    <row r="1549" spans="39:44" x14ac:dyDescent="0.3">
      <c r="AM1549" s="35"/>
      <c r="AN1549" s="35"/>
      <c r="AO1549" s="35"/>
      <c r="AP1549" s="35"/>
      <c r="AQ1549" s="35"/>
      <c r="AR1549" s="35"/>
    </row>
    <row r="1550" spans="39:44" x14ac:dyDescent="0.3">
      <c r="AM1550" s="35"/>
      <c r="AN1550" s="35"/>
      <c r="AO1550" s="35"/>
      <c r="AP1550" s="35"/>
      <c r="AQ1550" s="35"/>
      <c r="AR1550" s="35"/>
    </row>
    <row r="1551" spans="39:44" x14ac:dyDescent="0.3">
      <c r="AM1551" s="35"/>
      <c r="AN1551" s="35"/>
      <c r="AO1551" s="35"/>
      <c r="AP1551" s="35"/>
      <c r="AQ1551" s="35"/>
      <c r="AR1551" s="35"/>
    </row>
    <row r="1552" spans="39:44" x14ac:dyDescent="0.3">
      <c r="AM1552" s="35"/>
      <c r="AN1552" s="35"/>
      <c r="AO1552" s="35"/>
      <c r="AP1552" s="35"/>
      <c r="AQ1552" s="35"/>
      <c r="AR1552" s="35"/>
    </row>
    <row r="1553" spans="39:44" x14ac:dyDescent="0.3">
      <c r="AM1553" s="35"/>
      <c r="AN1553" s="35"/>
      <c r="AO1553" s="35"/>
      <c r="AP1553" s="35"/>
      <c r="AQ1553" s="35"/>
      <c r="AR1553" s="35"/>
    </row>
    <row r="1554" spans="39:44" x14ac:dyDescent="0.3">
      <c r="AM1554" s="35"/>
      <c r="AN1554" s="35"/>
      <c r="AO1554" s="35"/>
      <c r="AP1554" s="35"/>
      <c r="AQ1554" s="35"/>
      <c r="AR1554" s="35"/>
    </row>
    <row r="1555" spans="39:44" x14ac:dyDescent="0.3">
      <c r="AM1555" s="35"/>
      <c r="AN1555" s="35"/>
      <c r="AO1555" s="35"/>
      <c r="AP1555" s="35"/>
      <c r="AQ1555" s="35"/>
      <c r="AR1555" s="35"/>
    </row>
    <row r="1556" spans="39:44" x14ac:dyDescent="0.3">
      <c r="AM1556" s="35"/>
      <c r="AN1556" s="35"/>
      <c r="AO1556" s="35"/>
      <c r="AP1556" s="35"/>
      <c r="AQ1556" s="35"/>
      <c r="AR1556" s="35"/>
    </row>
    <row r="1557" spans="39:44" x14ac:dyDescent="0.3">
      <c r="AM1557" s="35"/>
      <c r="AN1557" s="35"/>
      <c r="AO1557" s="35"/>
      <c r="AP1557" s="35"/>
      <c r="AQ1557" s="35"/>
      <c r="AR1557" s="35"/>
    </row>
    <row r="1558" spans="39:44" x14ac:dyDescent="0.3">
      <c r="AM1558" s="35"/>
      <c r="AN1558" s="35"/>
      <c r="AO1558" s="35"/>
      <c r="AP1558" s="35"/>
      <c r="AQ1558" s="35"/>
      <c r="AR1558" s="35"/>
    </row>
    <row r="1559" spans="39:44" x14ac:dyDescent="0.3">
      <c r="AM1559" s="35"/>
      <c r="AN1559" s="35"/>
      <c r="AO1559" s="35"/>
      <c r="AP1559" s="35"/>
      <c r="AQ1559" s="35"/>
      <c r="AR1559" s="35"/>
    </row>
    <row r="1560" spans="39:44" x14ac:dyDescent="0.3">
      <c r="AM1560" s="35"/>
      <c r="AN1560" s="35"/>
      <c r="AO1560" s="35"/>
      <c r="AP1560" s="35"/>
      <c r="AQ1560" s="35"/>
      <c r="AR1560" s="35"/>
    </row>
    <row r="1561" spans="39:44" x14ac:dyDescent="0.3">
      <c r="AM1561" s="35"/>
      <c r="AN1561" s="35"/>
      <c r="AO1561" s="35"/>
      <c r="AP1561" s="35"/>
      <c r="AQ1561" s="35"/>
      <c r="AR1561" s="35"/>
    </row>
    <row r="1562" spans="39:44" x14ac:dyDescent="0.3">
      <c r="AM1562" s="35"/>
      <c r="AN1562" s="35"/>
      <c r="AO1562" s="35"/>
      <c r="AP1562" s="35"/>
      <c r="AQ1562" s="35"/>
      <c r="AR1562" s="35"/>
    </row>
    <row r="1563" spans="39:44" x14ac:dyDescent="0.3">
      <c r="AM1563" s="35"/>
      <c r="AN1563" s="35"/>
      <c r="AO1563" s="35"/>
      <c r="AP1563" s="35"/>
      <c r="AQ1563" s="35"/>
      <c r="AR1563" s="35"/>
    </row>
    <row r="1564" spans="39:44" x14ac:dyDescent="0.3">
      <c r="AM1564" s="35"/>
      <c r="AN1564" s="35"/>
      <c r="AO1564" s="35"/>
      <c r="AP1564" s="35"/>
      <c r="AQ1564" s="35"/>
      <c r="AR1564" s="35"/>
    </row>
    <row r="1565" spans="39:44" x14ac:dyDescent="0.3">
      <c r="AM1565" s="35"/>
      <c r="AN1565" s="35"/>
      <c r="AO1565" s="35"/>
      <c r="AP1565" s="35"/>
      <c r="AQ1565" s="35"/>
      <c r="AR1565" s="35"/>
    </row>
    <row r="1566" spans="39:44" x14ac:dyDescent="0.3">
      <c r="AM1566" s="35"/>
      <c r="AN1566" s="35"/>
      <c r="AO1566" s="35"/>
      <c r="AP1566" s="35"/>
      <c r="AQ1566" s="35"/>
      <c r="AR1566" s="35"/>
    </row>
    <row r="1567" spans="39:44" x14ac:dyDescent="0.3">
      <c r="AM1567" s="35"/>
      <c r="AN1567" s="35"/>
      <c r="AO1567" s="35"/>
      <c r="AP1567" s="35"/>
      <c r="AQ1567" s="35"/>
      <c r="AR1567" s="35"/>
    </row>
    <row r="1568" spans="39:44" x14ac:dyDescent="0.3">
      <c r="AM1568" s="35"/>
      <c r="AN1568" s="35"/>
      <c r="AO1568" s="35"/>
      <c r="AP1568" s="35"/>
      <c r="AQ1568" s="35"/>
      <c r="AR1568" s="35"/>
    </row>
    <row r="1569" spans="39:44" x14ac:dyDescent="0.3">
      <c r="AM1569" s="35"/>
      <c r="AN1569" s="35"/>
      <c r="AO1569" s="35"/>
      <c r="AP1569" s="35"/>
      <c r="AQ1569" s="35"/>
      <c r="AR1569" s="35"/>
    </row>
    <row r="1570" spans="39:44" x14ac:dyDescent="0.3">
      <c r="AM1570" s="35"/>
      <c r="AN1570" s="35"/>
      <c r="AO1570" s="35"/>
      <c r="AP1570" s="35"/>
      <c r="AQ1570" s="35"/>
      <c r="AR1570" s="35"/>
    </row>
    <row r="1571" spans="39:44" x14ac:dyDescent="0.3">
      <c r="AM1571" s="35"/>
      <c r="AN1571" s="35"/>
      <c r="AO1571" s="35"/>
      <c r="AP1571" s="35"/>
      <c r="AQ1571" s="35"/>
      <c r="AR1571" s="35"/>
    </row>
    <row r="1572" spans="39:44" x14ac:dyDescent="0.3">
      <c r="AM1572" s="35"/>
      <c r="AN1572" s="35"/>
      <c r="AO1572" s="35"/>
      <c r="AP1572" s="35"/>
      <c r="AQ1572" s="35"/>
      <c r="AR1572" s="35"/>
    </row>
    <row r="1573" spans="39:44" x14ac:dyDescent="0.3">
      <c r="AM1573" s="35"/>
      <c r="AN1573" s="35"/>
      <c r="AO1573" s="35"/>
      <c r="AP1573" s="35"/>
      <c r="AQ1573" s="35"/>
      <c r="AR1573" s="35"/>
    </row>
    <row r="1574" spans="39:44" x14ac:dyDescent="0.3">
      <c r="AM1574" s="35"/>
      <c r="AN1574" s="35"/>
      <c r="AO1574" s="35"/>
      <c r="AP1574" s="35"/>
      <c r="AQ1574" s="35"/>
      <c r="AR1574" s="35"/>
    </row>
    <row r="1575" spans="39:44" x14ac:dyDescent="0.3">
      <c r="AM1575" s="35"/>
      <c r="AN1575" s="35"/>
      <c r="AO1575" s="35"/>
      <c r="AP1575" s="35"/>
      <c r="AQ1575" s="35"/>
      <c r="AR1575" s="35"/>
    </row>
    <row r="1576" spans="39:44" x14ac:dyDescent="0.3">
      <c r="AM1576" s="35"/>
      <c r="AN1576" s="35"/>
      <c r="AO1576" s="35"/>
      <c r="AP1576" s="35"/>
      <c r="AQ1576" s="35"/>
      <c r="AR1576" s="35"/>
    </row>
    <row r="1577" spans="39:44" x14ac:dyDescent="0.3">
      <c r="AM1577" s="35"/>
      <c r="AN1577" s="35"/>
      <c r="AO1577" s="35"/>
      <c r="AP1577" s="35"/>
      <c r="AQ1577" s="35"/>
      <c r="AR1577" s="35"/>
    </row>
    <row r="1578" spans="39:44" x14ac:dyDescent="0.3">
      <c r="AM1578" s="35"/>
      <c r="AN1578" s="35"/>
      <c r="AO1578" s="35"/>
      <c r="AP1578" s="35"/>
      <c r="AQ1578" s="35"/>
      <c r="AR1578" s="35"/>
    </row>
    <row r="1579" spans="39:44" x14ac:dyDescent="0.3">
      <c r="AM1579" s="35"/>
      <c r="AN1579" s="35"/>
      <c r="AO1579" s="35"/>
      <c r="AP1579" s="35"/>
      <c r="AQ1579" s="35"/>
      <c r="AR1579" s="35"/>
    </row>
    <row r="1580" spans="39:44" x14ac:dyDescent="0.3">
      <c r="AM1580" s="35"/>
      <c r="AN1580" s="35"/>
      <c r="AO1580" s="35"/>
      <c r="AP1580" s="35"/>
      <c r="AQ1580" s="35"/>
      <c r="AR1580" s="35"/>
    </row>
    <row r="1581" spans="39:44" x14ac:dyDescent="0.3">
      <c r="AM1581" s="35"/>
      <c r="AN1581" s="35"/>
      <c r="AO1581" s="35"/>
      <c r="AP1581" s="35"/>
      <c r="AQ1581" s="35"/>
      <c r="AR1581" s="35"/>
    </row>
    <row r="1582" spans="39:44" x14ac:dyDescent="0.3">
      <c r="AM1582" s="35"/>
      <c r="AN1582" s="35"/>
      <c r="AO1582" s="35"/>
      <c r="AP1582" s="35"/>
      <c r="AQ1582" s="35"/>
      <c r="AR1582" s="35"/>
    </row>
    <row r="1583" spans="39:44" x14ac:dyDescent="0.3">
      <c r="AM1583" s="35"/>
      <c r="AN1583" s="35"/>
      <c r="AO1583" s="35"/>
      <c r="AP1583" s="35"/>
      <c r="AQ1583" s="35"/>
      <c r="AR1583" s="35"/>
    </row>
    <row r="1584" spans="39:44" x14ac:dyDescent="0.3">
      <c r="AM1584" s="35"/>
      <c r="AN1584" s="35"/>
      <c r="AO1584" s="35"/>
      <c r="AP1584" s="35"/>
      <c r="AQ1584" s="35"/>
      <c r="AR1584" s="35"/>
    </row>
    <row r="1585" spans="39:44" x14ac:dyDescent="0.3">
      <c r="AM1585" s="35"/>
      <c r="AN1585" s="35"/>
      <c r="AO1585" s="35"/>
      <c r="AP1585" s="35"/>
      <c r="AQ1585" s="35"/>
      <c r="AR1585" s="35"/>
    </row>
    <row r="1586" spans="39:44" x14ac:dyDescent="0.3">
      <c r="AM1586" s="35"/>
      <c r="AN1586" s="35"/>
      <c r="AO1586" s="35"/>
      <c r="AP1586" s="35"/>
      <c r="AQ1586" s="35"/>
      <c r="AR1586" s="35"/>
    </row>
    <row r="1587" spans="39:44" x14ac:dyDescent="0.3">
      <c r="AM1587" s="35"/>
      <c r="AN1587" s="35"/>
      <c r="AO1587" s="35"/>
      <c r="AP1587" s="35"/>
      <c r="AQ1587" s="35"/>
      <c r="AR1587" s="35"/>
    </row>
    <row r="1588" spans="39:44" x14ac:dyDescent="0.3">
      <c r="AM1588" s="35"/>
      <c r="AN1588" s="35"/>
      <c r="AO1588" s="35"/>
      <c r="AP1588" s="35"/>
      <c r="AQ1588" s="35"/>
      <c r="AR1588" s="35"/>
    </row>
    <row r="1589" spans="39:44" x14ac:dyDescent="0.3">
      <c r="AM1589" s="35"/>
      <c r="AN1589" s="35"/>
      <c r="AO1589" s="35"/>
      <c r="AP1589" s="35"/>
      <c r="AQ1589" s="35"/>
      <c r="AR1589" s="35"/>
    </row>
    <row r="1590" spans="39:44" x14ac:dyDescent="0.3">
      <c r="AM1590" s="35"/>
      <c r="AN1590" s="35"/>
      <c r="AO1590" s="35"/>
      <c r="AP1590" s="35"/>
      <c r="AQ1590" s="35"/>
      <c r="AR1590" s="35"/>
    </row>
    <row r="1591" spans="39:44" x14ac:dyDescent="0.3">
      <c r="AM1591" s="35"/>
      <c r="AN1591" s="35"/>
      <c r="AO1591" s="35"/>
      <c r="AP1591" s="35"/>
      <c r="AQ1591" s="35"/>
      <c r="AR1591" s="35"/>
    </row>
    <row r="1592" spans="39:44" x14ac:dyDescent="0.3">
      <c r="AM1592" s="35"/>
      <c r="AN1592" s="35"/>
      <c r="AO1592" s="35"/>
      <c r="AP1592" s="35"/>
      <c r="AQ1592" s="35"/>
      <c r="AR1592" s="35"/>
    </row>
    <row r="1593" spans="39:44" x14ac:dyDescent="0.3">
      <c r="AM1593" s="35"/>
      <c r="AN1593" s="35"/>
      <c r="AO1593" s="35"/>
      <c r="AP1593" s="35"/>
      <c r="AQ1593" s="35"/>
      <c r="AR1593" s="35"/>
    </row>
    <row r="1594" spans="39:44" x14ac:dyDescent="0.3">
      <c r="AM1594" s="35"/>
      <c r="AN1594" s="35"/>
      <c r="AO1594" s="35"/>
      <c r="AP1594" s="35"/>
      <c r="AQ1594" s="35"/>
      <c r="AR1594" s="35"/>
    </row>
    <row r="1595" spans="39:44" x14ac:dyDescent="0.3">
      <c r="AM1595" s="35"/>
      <c r="AN1595" s="35"/>
      <c r="AO1595" s="35"/>
      <c r="AP1595" s="35"/>
      <c r="AQ1595" s="35"/>
      <c r="AR1595" s="35"/>
    </row>
    <row r="1596" spans="39:44" x14ac:dyDescent="0.3">
      <c r="AM1596" s="35"/>
      <c r="AN1596" s="35"/>
      <c r="AO1596" s="35"/>
      <c r="AP1596" s="35"/>
      <c r="AQ1596" s="35"/>
      <c r="AR1596" s="35"/>
    </row>
    <row r="1597" spans="39:44" x14ac:dyDescent="0.3">
      <c r="AM1597" s="35"/>
      <c r="AN1597" s="35"/>
      <c r="AO1597" s="35"/>
      <c r="AP1597" s="35"/>
      <c r="AQ1597" s="35"/>
      <c r="AR1597" s="35"/>
    </row>
    <row r="1598" spans="39:44" x14ac:dyDescent="0.3">
      <c r="AM1598" s="35"/>
      <c r="AN1598" s="35"/>
      <c r="AO1598" s="35"/>
      <c r="AP1598" s="35"/>
      <c r="AQ1598" s="35"/>
      <c r="AR1598" s="35"/>
    </row>
    <row r="1599" spans="39:44" x14ac:dyDescent="0.3">
      <c r="AM1599" s="35"/>
      <c r="AN1599" s="35"/>
      <c r="AO1599" s="35"/>
      <c r="AP1599" s="35"/>
      <c r="AQ1599" s="35"/>
      <c r="AR1599" s="35"/>
    </row>
    <row r="1600" spans="39:44" x14ac:dyDescent="0.3">
      <c r="AM1600" s="35"/>
      <c r="AN1600" s="35"/>
      <c r="AO1600" s="35"/>
      <c r="AP1600" s="35"/>
      <c r="AQ1600" s="35"/>
      <c r="AR1600" s="35"/>
    </row>
    <row r="1601" spans="39:44" x14ac:dyDescent="0.3">
      <c r="AM1601" s="35"/>
      <c r="AN1601" s="35"/>
      <c r="AO1601" s="35"/>
      <c r="AP1601" s="35"/>
      <c r="AQ1601" s="35"/>
      <c r="AR1601" s="35"/>
    </row>
    <row r="1602" spans="39:44" x14ac:dyDescent="0.3">
      <c r="AM1602" s="35"/>
      <c r="AN1602" s="35"/>
      <c r="AO1602" s="35"/>
      <c r="AP1602" s="35"/>
      <c r="AQ1602" s="35"/>
      <c r="AR1602" s="35"/>
    </row>
    <row r="1603" spans="39:44" x14ac:dyDescent="0.3">
      <c r="AM1603" s="35"/>
      <c r="AN1603" s="35"/>
      <c r="AO1603" s="35"/>
      <c r="AP1603" s="35"/>
      <c r="AQ1603" s="35"/>
      <c r="AR1603" s="35"/>
    </row>
    <row r="1604" spans="39:44" x14ac:dyDescent="0.3">
      <c r="AM1604" s="35"/>
      <c r="AN1604" s="35"/>
      <c r="AO1604" s="35"/>
      <c r="AP1604" s="35"/>
      <c r="AQ1604" s="35"/>
      <c r="AR1604" s="35"/>
    </row>
    <row r="1605" spans="39:44" x14ac:dyDescent="0.3">
      <c r="AM1605" s="35"/>
      <c r="AN1605" s="35"/>
      <c r="AO1605" s="35"/>
      <c r="AP1605" s="35"/>
      <c r="AQ1605" s="35"/>
      <c r="AR1605" s="35"/>
    </row>
    <row r="1606" spans="39:44" x14ac:dyDescent="0.3">
      <c r="AM1606" s="35"/>
      <c r="AN1606" s="35"/>
      <c r="AO1606" s="35"/>
      <c r="AP1606" s="35"/>
      <c r="AQ1606" s="35"/>
      <c r="AR1606" s="35"/>
    </row>
    <row r="1607" spans="39:44" x14ac:dyDescent="0.3">
      <c r="AM1607" s="35"/>
      <c r="AN1607" s="35"/>
      <c r="AO1607" s="35"/>
      <c r="AP1607" s="35"/>
      <c r="AQ1607" s="35"/>
      <c r="AR1607" s="35"/>
    </row>
    <row r="1608" spans="39:44" x14ac:dyDescent="0.3">
      <c r="AM1608" s="35"/>
      <c r="AN1608" s="35"/>
      <c r="AO1608" s="35"/>
      <c r="AP1608" s="35"/>
      <c r="AQ1608" s="35"/>
      <c r="AR1608" s="35"/>
    </row>
    <row r="1609" spans="39:44" x14ac:dyDescent="0.3">
      <c r="AM1609" s="35"/>
      <c r="AN1609" s="35"/>
      <c r="AO1609" s="35"/>
      <c r="AP1609" s="35"/>
      <c r="AQ1609" s="35"/>
      <c r="AR1609" s="35"/>
    </row>
    <row r="1610" spans="39:44" x14ac:dyDescent="0.3">
      <c r="AM1610" s="35"/>
      <c r="AN1610" s="35"/>
      <c r="AO1610" s="35"/>
      <c r="AP1610" s="35"/>
      <c r="AQ1610" s="35"/>
      <c r="AR1610" s="35"/>
    </row>
    <row r="1611" spans="39:44" x14ac:dyDescent="0.3">
      <c r="AM1611" s="35"/>
      <c r="AN1611" s="35"/>
      <c r="AO1611" s="35"/>
      <c r="AP1611" s="35"/>
      <c r="AQ1611" s="35"/>
      <c r="AR1611" s="35"/>
    </row>
    <row r="1612" spans="39:44" x14ac:dyDescent="0.3">
      <c r="AM1612" s="35"/>
      <c r="AN1612" s="35"/>
      <c r="AO1612" s="35"/>
      <c r="AP1612" s="35"/>
      <c r="AQ1612" s="35"/>
      <c r="AR1612" s="35"/>
    </row>
    <row r="1613" spans="39:44" x14ac:dyDescent="0.3">
      <c r="AM1613" s="35"/>
      <c r="AN1613" s="35"/>
      <c r="AO1613" s="35"/>
      <c r="AP1613" s="35"/>
      <c r="AQ1613" s="35"/>
      <c r="AR1613" s="35"/>
    </row>
    <row r="1614" spans="39:44" x14ac:dyDescent="0.3">
      <c r="AM1614" s="35"/>
      <c r="AN1614" s="35"/>
      <c r="AO1614" s="35"/>
      <c r="AP1614" s="35"/>
      <c r="AQ1614" s="35"/>
      <c r="AR1614" s="35"/>
    </row>
    <row r="1615" spans="39:44" x14ac:dyDescent="0.3">
      <c r="AM1615" s="35"/>
      <c r="AN1615" s="35"/>
      <c r="AO1615" s="35"/>
      <c r="AP1615" s="35"/>
      <c r="AQ1615" s="35"/>
      <c r="AR1615" s="35"/>
    </row>
    <row r="1616" spans="39:44" x14ac:dyDescent="0.3">
      <c r="AM1616" s="35"/>
      <c r="AN1616" s="35"/>
      <c r="AO1616" s="35"/>
      <c r="AP1616" s="35"/>
      <c r="AQ1616" s="35"/>
      <c r="AR1616" s="35"/>
    </row>
    <row r="1617" spans="39:44" x14ac:dyDescent="0.3">
      <c r="AM1617" s="35"/>
      <c r="AN1617" s="35"/>
      <c r="AO1617" s="35"/>
      <c r="AP1617" s="35"/>
      <c r="AQ1617" s="35"/>
      <c r="AR1617" s="35"/>
    </row>
    <row r="1618" spans="39:44" x14ac:dyDescent="0.3">
      <c r="AM1618" s="35"/>
      <c r="AN1618" s="35"/>
      <c r="AO1618" s="35"/>
      <c r="AP1618" s="35"/>
      <c r="AQ1618" s="35"/>
      <c r="AR1618" s="35"/>
    </row>
    <row r="1619" spans="39:44" x14ac:dyDescent="0.3">
      <c r="AM1619" s="35"/>
      <c r="AN1619" s="35"/>
      <c r="AO1619" s="35"/>
      <c r="AP1619" s="35"/>
      <c r="AQ1619" s="35"/>
      <c r="AR1619" s="35"/>
    </row>
    <row r="1620" spans="39:44" x14ac:dyDescent="0.3">
      <c r="AM1620" s="35"/>
      <c r="AN1620" s="35"/>
      <c r="AO1620" s="35"/>
      <c r="AP1620" s="35"/>
      <c r="AQ1620" s="35"/>
      <c r="AR1620" s="35"/>
    </row>
    <row r="1621" spans="39:44" x14ac:dyDescent="0.3">
      <c r="AM1621" s="35"/>
      <c r="AN1621" s="35"/>
      <c r="AO1621" s="35"/>
      <c r="AP1621" s="35"/>
      <c r="AQ1621" s="35"/>
      <c r="AR1621" s="35"/>
    </row>
    <row r="1622" spans="39:44" x14ac:dyDescent="0.3">
      <c r="AM1622" s="35"/>
      <c r="AN1622" s="35"/>
      <c r="AO1622" s="35"/>
      <c r="AP1622" s="35"/>
      <c r="AQ1622" s="35"/>
      <c r="AR1622" s="35"/>
    </row>
    <row r="1623" spans="39:44" x14ac:dyDescent="0.3">
      <c r="AM1623" s="35"/>
      <c r="AN1623" s="35"/>
      <c r="AO1623" s="35"/>
      <c r="AP1623" s="35"/>
      <c r="AQ1623" s="35"/>
      <c r="AR1623" s="35"/>
    </row>
    <row r="1624" spans="39:44" x14ac:dyDescent="0.3">
      <c r="AM1624" s="35"/>
      <c r="AN1624" s="35"/>
      <c r="AO1624" s="35"/>
      <c r="AP1624" s="35"/>
      <c r="AQ1624" s="35"/>
      <c r="AR1624" s="35"/>
    </row>
    <row r="1625" spans="39:44" x14ac:dyDescent="0.3">
      <c r="AM1625" s="35"/>
      <c r="AN1625" s="35"/>
      <c r="AO1625" s="35"/>
      <c r="AP1625" s="35"/>
      <c r="AQ1625" s="35"/>
      <c r="AR1625" s="35"/>
    </row>
    <row r="1626" spans="39:44" x14ac:dyDescent="0.3">
      <c r="AM1626" s="35"/>
      <c r="AN1626" s="35"/>
      <c r="AO1626" s="35"/>
      <c r="AP1626" s="35"/>
      <c r="AQ1626" s="35"/>
      <c r="AR1626" s="35"/>
    </row>
    <row r="1627" spans="39:44" x14ac:dyDescent="0.3">
      <c r="AM1627" s="35"/>
      <c r="AN1627" s="35"/>
      <c r="AO1627" s="35"/>
      <c r="AP1627" s="35"/>
      <c r="AQ1627" s="35"/>
      <c r="AR1627" s="35"/>
    </row>
    <row r="1628" spans="39:44" x14ac:dyDescent="0.3">
      <c r="AM1628" s="35"/>
      <c r="AN1628" s="35"/>
      <c r="AO1628" s="35"/>
      <c r="AP1628" s="35"/>
      <c r="AQ1628" s="35"/>
      <c r="AR1628" s="35"/>
    </row>
    <row r="1629" spans="39:44" x14ac:dyDescent="0.3">
      <c r="AM1629" s="35"/>
      <c r="AN1629" s="35"/>
      <c r="AO1629" s="35"/>
      <c r="AP1629" s="35"/>
      <c r="AQ1629" s="35"/>
      <c r="AR1629" s="35"/>
    </row>
    <row r="1630" spans="39:44" x14ac:dyDescent="0.3">
      <c r="AM1630" s="35"/>
      <c r="AN1630" s="35"/>
      <c r="AO1630" s="35"/>
      <c r="AP1630" s="35"/>
      <c r="AQ1630" s="35"/>
      <c r="AR1630" s="35"/>
    </row>
    <row r="1631" spans="39:44" x14ac:dyDescent="0.3">
      <c r="AM1631" s="35"/>
      <c r="AN1631" s="35"/>
      <c r="AO1631" s="35"/>
      <c r="AP1631" s="35"/>
      <c r="AQ1631" s="35"/>
      <c r="AR1631" s="35"/>
    </row>
    <row r="1632" spans="39:44" x14ac:dyDescent="0.3">
      <c r="AM1632" s="35"/>
      <c r="AN1632" s="35"/>
      <c r="AO1632" s="35"/>
      <c r="AP1632" s="35"/>
      <c r="AQ1632" s="35"/>
      <c r="AR1632" s="35"/>
    </row>
    <row r="1633" spans="39:44" x14ac:dyDescent="0.3">
      <c r="AM1633" s="35"/>
      <c r="AN1633" s="35"/>
      <c r="AO1633" s="35"/>
      <c r="AP1633" s="35"/>
      <c r="AQ1633" s="35"/>
      <c r="AR1633" s="35"/>
    </row>
    <row r="1634" spans="39:44" x14ac:dyDescent="0.3">
      <c r="AM1634" s="35"/>
      <c r="AN1634" s="35"/>
      <c r="AO1634" s="35"/>
      <c r="AP1634" s="35"/>
      <c r="AQ1634" s="35"/>
      <c r="AR1634" s="35"/>
    </row>
    <row r="1635" spans="39:44" x14ac:dyDescent="0.3">
      <c r="AM1635" s="35"/>
      <c r="AN1635" s="35"/>
      <c r="AO1635" s="35"/>
      <c r="AP1635" s="35"/>
      <c r="AQ1635" s="35"/>
      <c r="AR1635" s="35"/>
    </row>
    <row r="1636" spans="39:44" x14ac:dyDescent="0.3">
      <c r="AM1636" s="35"/>
      <c r="AN1636" s="35"/>
      <c r="AO1636" s="35"/>
      <c r="AP1636" s="35"/>
      <c r="AQ1636" s="35"/>
      <c r="AR1636" s="35"/>
    </row>
    <row r="1637" spans="39:44" x14ac:dyDescent="0.3">
      <c r="AM1637" s="35"/>
      <c r="AN1637" s="35"/>
      <c r="AO1637" s="35"/>
      <c r="AP1637" s="35"/>
      <c r="AQ1637" s="35"/>
      <c r="AR1637" s="35"/>
    </row>
    <row r="1638" spans="39:44" x14ac:dyDescent="0.3">
      <c r="AM1638" s="35"/>
      <c r="AN1638" s="35"/>
      <c r="AO1638" s="35"/>
      <c r="AP1638" s="35"/>
      <c r="AQ1638" s="35"/>
      <c r="AR1638" s="35"/>
    </row>
    <row r="1639" spans="39:44" x14ac:dyDescent="0.3">
      <c r="AM1639" s="35"/>
      <c r="AN1639" s="35"/>
      <c r="AO1639" s="35"/>
      <c r="AP1639" s="35"/>
      <c r="AQ1639" s="35"/>
      <c r="AR1639" s="35"/>
    </row>
    <row r="1640" spans="39:44" x14ac:dyDescent="0.3">
      <c r="AM1640" s="35"/>
      <c r="AN1640" s="35"/>
      <c r="AO1640" s="35"/>
      <c r="AP1640" s="35"/>
      <c r="AQ1640" s="35"/>
      <c r="AR1640" s="35"/>
    </row>
    <row r="1641" spans="39:44" x14ac:dyDescent="0.3">
      <c r="AM1641" s="35"/>
      <c r="AN1641" s="35"/>
      <c r="AO1641" s="35"/>
      <c r="AP1641" s="35"/>
      <c r="AQ1641" s="35"/>
      <c r="AR1641" s="35"/>
    </row>
    <row r="1642" spans="39:44" x14ac:dyDescent="0.3">
      <c r="AM1642" s="35"/>
      <c r="AN1642" s="35"/>
      <c r="AO1642" s="35"/>
      <c r="AP1642" s="35"/>
      <c r="AQ1642" s="35"/>
      <c r="AR1642" s="35"/>
    </row>
    <row r="1643" spans="39:44" x14ac:dyDescent="0.3">
      <c r="AM1643" s="35"/>
      <c r="AN1643" s="35"/>
      <c r="AO1643" s="35"/>
      <c r="AP1643" s="35"/>
      <c r="AQ1643" s="35"/>
      <c r="AR1643" s="35"/>
    </row>
    <row r="1644" spans="39:44" x14ac:dyDescent="0.3">
      <c r="AM1644" s="35"/>
      <c r="AN1644" s="35"/>
      <c r="AO1644" s="35"/>
      <c r="AP1644" s="35"/>
      <c r="AQ1644" s="35"/>
      <c r="AR1644" s="35"/>
    </row>
    <row r="1645" spans="39:44" x14ac:dyDescent="0.3">
      <c r="AM1645" s="35"/>
      <c r="AN1645" s="35"/>
      <c r="AO1645" s="35"/>
      <c r="AP1645" s="35"/>
      <c r="AQ1645" s="35"/>
      <c r="AR1645" s="35"/>
    </row>
    <row r="1646" spans="39:44" x14ac:dyDescent="0.3">
      <c r="AM1646" s="35"/>
      <c r="AN1646" s="35"/>
      <c r="AO1646" s="35"/>
      <c r="AP1646" s="35"/>
      <c r="AQ1646" s="35"/>
      <c r="AR1646" s="35"/>
    </row>
    <row r="1647" spans="39:44" x14ac:dyDescent="0.3">
      <c r="AM1647" s="35"/>
      <c r="AN1647" s="35"/>
      <c r="AO1647" s="35"/>
      <c r="AP1647" s="35"/>
      <c r="AQ1647" s="35"/>
      <c r="AR1647" s="35"/>
    </row>
    <row r="1648" spans="39:44" x14ac:dyDescent="0.3">
      <c r="AM1648" s="35"/>
      <c r="AN1648" s="35"/>
      <c r="AO1648" s="35"/>
      <c r="AP1648" s="35"/>
      <c r="AQ1648" s="35"/>
      <c r="AR1648" s="35"/>
    </row>
    <row r="1649" spans="39:44" x14ac:dyDescent="0.3">
      <c r="AM1649" s="35"/>
      <c r="AN1649" s="35"/>
      <c r="AO1649" s="35"/>
      <c r="AP1649" s="35"/>
      <c r="AQ1649" s="35"/>
      <c r="AR1649" s="35"/>
    </row>
    <row r="1650" spans="39:44" x14ac:dyDescent="0.3">
      <c r="AM1650" s="35"/>
      <c r="AN1650" s="35"/>
      <c r="AO1650" s="35"/>
      <c r="AP1650" s="35"/>
      <c r="AQ1650" s="35"/>
      <c r="AR1650" s="35"/>
    </row>
    <row r="1651" spans="39:44" x14ac:dyDescent="0.3">
      <c r="AM1651" s="35"/>
      <c r="AN1651" s="35"/>
      <c r="AO1651" s="35"/>
      <c r="AP1651" s="35"/>
      <c r="AQ1651" s="35"/>
      <c r="AR1651" s="35"/>
    </row>
    <row r="1652" spans="39:44" x14ac:dyDescent="0.3">
      <c r="AM1652" s="35"/>
      <c r="AN1652" s="35"/>
      <c r="AO1652" s="35"/>
      <c r="AP1652" s="35"/>
      <c r="AQ1652" s="35"/>
      <c r="AR1652" s="35"/>
    </row>
    <row r="1653" spans="39:44" x14ac:dyDescent="0.3">
      <c r="AM1653" s="35"/>
      <c r="AN1653" s="35"/>
      <c r="AO1653" s="35"/>
      <c r="AP1653" s="35"/>
      <c r="AQ1653" s="35"/>
      <c r="AR1653" s="35"/>
    </row>
    <row r="1654" spans="39:44" x14ac:dyDescent="0.3">
      <c r="AM1654" s="35"/>
      <c r="AN1654" s="35"/>
      <c r="AO1654" s="35"/>
      <c r="AP1654" s="35"/>
      <c r="AQ1654" s="35"/>
      <c r="AR1654" s="35"/>
    </row>
    <row r="1655" spans="39:44" x14ac:dyDescent="0.3">
      <c r="AM1655" s="35"/>
      <c r="AN1655" s="35"/>
      <c r="AO1655" s="35"/>
      <c r="AP1655" s="35"/>
      <c r="AQ1655" s="35"/>
      <c r="AR1655" s="35"/>
    </row>
    <row r="1656" spans="39:44" x14ac:dyDescent="0.3">
      <c r="AM1656" s="35"/>
      <c r="AN1656" s="35"/>
      <c r="AO1656" s="35"/>
      <c r="AP1656" s="35"/>
      <c r="AQ1656" s="35"/>
      <c r="AR1656" s="35"/>
    </row>
    <row r="1657" spans="39:44" x14ac:dyDescent="0.3">
      <c r="AM1657" s="35"/>
      <c r="AN1657" s="35"/>
      <c r="AO1657" s="35"/>
      <c r="AP1657" s="35"/>
      <c r="AQ1657" s="35"/>
      <c r="AR1657" s="35"/>
    </row>
    <row r="1658" spans="39:44" x14ac:dyDescent="0.3">
      <c r="AM1658" s="35"/>
      <c r="AN1658" s="35"/>
      <c r="AO1658" s="35"/>
      <c r="AP1658" s="35"/>
      <c r="AQ1658" s="35"/>
      <c r="AR1658" s="35"/>
    </row>
    <row r="1659" spans="39:44" x14ac:dyDescent="0.3">
      <c r="AM1659" s="35"/>
      <c r="AN1659" s="35"/>
      <c r="AO1659" s="35"/>
      <c r="AP1659" s="35"/>
      <c r="AQ1659" s="35"/>
      <c r="AR1659" s="35"/>
    </row>
    <row r="1660" spans="39:44" x14ac:dyDescent="0.3">
      <c r="AM1660" s="35"/>
      <c r="AN1660" s="35"/>
      <c r="AO1660" s="35"/>
      <c r="AP1660" s="35"/>
      <c r="AQ1660" s="35"/>
      <c r="AR1660" s="35"/>
    </row>
    <row r="1661" spans="39:44" x14ac:dyDescent="0.3">
      <c r="AM1661" s="35"/>
      <c r="AN1661" s="35"/>
      <c r="AO1661" s="35"/>
      <c r="AP1661" s="35"/>
      <c r="AQ1661" s="35"/>
      <c r="AR1661" s="35"/>
    </row>
    <row r="1662" spans="39:44" x14ac:dyDescent="0.3">
      <c r="AM1662" s="35"/>
      <c r="AN1662" s="35"/>
      <c r="AO1662" s="35"/>
      <c r="AP1662" s="35"/>
      <c r="AQ1662" s="35"/>
      <c r="AR1662" s="35"/>
    </row>
    <row r="1663" spans="39:44" x14ac:dyDescent="0.3">
      <c r="AM1663" s="35"/>
      <c r="AN1663" s="35"/>
      <c r="AO1663" s="35"/>
      <c r="AP1663" s="35"/>
      <c r="AQ1663" s="35"/>
      <c r="AR1663" s="35"/>
    </row>
    <row r="1664" spans="39:44" x14ac:dyDescent="0.3">
      <c r="AM1664" s="35"/>
      <c r="AN1664" s="35"/>
      <c r="AO1664" s="35"/>
      <c r="AP1664" s="35"/>
      <c r="AQ1664" s="35"/>
      <c r="AR1664" s="35"/>
    </row>
    <row r="1665" spans="39:44" x14ac:dyDescent="0.3">
      <c r="AM1665" s="35"/>
      <c r="AN1665" s="35"/>
      <c r="AO1665" s="35"/>
      <c r="AP1665" s="35"/>
      <c r="AQ1665" s="35"/>
      <c r="AR1665" s="35"/>
    </row>
    <row r="1666" spans="39:44" x14ac:dyDescent="0.3">
      <c r="AM1666" s="35"/>
      <c r="AN1666" s="35"/>
      <c r="AO1666" s="35"/>
      <c r="AP1666" s="35"/>
      <c r="AQ1666" s="35"/>
      <c r="AR1666" s="35"/>
    </row>
    <row r="1667" spans="39:44" x14ac:dyDescent="0.3">
      <c r="AM1667" s="35"/>
      <c r="AN1667" s="35"/>
      <c r="AO1667" s="35"/>
      <c r="AP1667" s="35"/>
      <c r="AQ1667" s="35"/>
      <c r="AR1667" s="35"/>
    </row>
    <row r="1668" spans="39:44" x14ac:dyDescent="0.3">
      <c r="AM1668" s="35"/>
      <c r="AN1668" s="35"/>
      <c r="AO1668" s="35"/>
      <c r="AP1668" s="35"/>
      <c r="AQ1668" s="35"/>
      <c r="AR1668" s="35"/>
    </row>
    <row r="1669" spans="39:44" x14ac:dyDescent="0.3">
      <c r="AM1669" s="35"/>
      <c r="AN1669" s="35"/>
      <c r="AO1669" s="35"/>
      <c r="AP1669" s="35"/>
      <c r="AQ1669" s="35"/>
      <c r="AR1669" s="35"/>
    </row>
    <row r="1670" spans="39:44" x14ac:dyDescent="0.3">
      <c r="AM1670" s="35"/>
      <c r="AN1670" s="35"/>
      <c r="AO1670" s="35"/>
      <c r="AP1670" s="35"/>
      <c r="AQ1670" s="35"/>
      <c r="AR1670" s="35"/>
    </row>
    <row r="1671" spans="39:44" x14ac:dyDescent="0.3">
      <c r="AM1671" s="35"/>
      <c r="AN1671" s="35"/>
      <c r="AO1671" s="35"/>
      <c r="AP1671" s="35"/>
      <c r="AQ1671" s="35"/>
      <c r="AR1671" s="35"/>
    </row>
    <row r="1672" spans="39:44" x14ac:dyDescent="0.3">
      <c r="AM1672" s="35"/>
      <c r="AN1672" s="35"/>
      <c r="AO1672" s="35"/>
      <c r="AP1672" s="35"/>
      <c r="AQ1672" s="35"/>
      <c r="AR1672" s="35"/>
    </row>
    <row r="1673" spans="39:44" x14ac:dyDescent="0.3">
      <c r="AM1673" s="35"/>
      <c r="AN1673" s="35"/>
      <c r="AO1673" s="35"/>
      <c r="AP1673" s="35"/>
      <c r="AQ1673" s="35"/>
      <c r="AR1673" s="35"/>
    </row>
    <row r="1674" spans="39:44" x14ac:dyDescent="0.3">
      <c r="AM1674" s="35"/>
      <c r="AN1674" s="35"/>
      <c r="AO1674" s="35"/>
      <c r="AP1674" s="35"/>
      <c r="AQ1674" s="35"/>
      <c r="AR1674" s="35"/>
    </row>
    <row r="1675" spans="39:44" x14ac:dyDescent="0.3">
      <c r="AM1675" s="35"/>
      <c r="AN1675" s="35"/>
      <c r="AO1675" s="35"/>
      <c r="AP1675" s="35"/>
      <c r="AQ1675" s="35"/>
      <c r="AR1675" s="35"/>
    </row>
    <row r="1676" spans="39:44" x14ac:dyDescent="0.3">
      <c r="AM1676" s="35"/>
      <c r="AN1676" s="35"/>
      <c r="AO1676" s="35"/>
      <c r="AP1676" s="35"/>
      <c r="AQ1676" s="35"/>
      <c r="AR1676" s="35"/>
    </row>
    <row r="1677" spans="39:44" x14ac:dyDescent="0.3">
      <c r="AM1677" s="35"/>
      <c r="AN1677" s="35"/>
      <c r="AO1677" s="35"/>
      <c r="AP1677" s="35"/>
      <c r="AQ1677" s="35"/>
      <c r="AR1677" s="35"/>
    </row>
    <row r="1678" spans="39:44" x14ac:dyDescent="0.3">
      <c r="AM1678" s="35"/>
      <c r="AN1678" s="35"/>
      <c r="AO1678" s="35"/>
      <c r="AP1678" s="35"/>
      <c r="AQ1678" s="35"/>
      <c r="AR1678" s="35"/>
    </row>
    <row r="1679" spans="39:44" x14ac:dyDescent="0.3">
      <c r="AM1679" s="35"/>
      <c r="AN1679" s="35"/>
      <c r="AO1679" s="35"/>
      <c r="AP1679" s="35"/>
      <c r="AQ1679" s="35"/>
      <c r="AR1679" s="35"/>
    </row>
    <row r="1680" spans="39:44" x14ac:dyDescent="0.3">
      <c r="AM1680" s="35"/>
      <c r="AN1680" s="35"/>
      <c r="AO1680" s="35"/>
      <c r="AP1680" s="35"/>
      <c r="AQ1680" s="35"/>
      <c r="AR1680" s="35"/>
    </row>
    <row r="1681" spans="39:44" x14ac:dyDescent="0.3">
      <c r="AM1681" s="35"/>
      <c r="AN1681" s="35"/>
      <c r="AO1681" s="35"/>
      <c r="AP1681" s="35"/>
      <c r="AQ1681" s="35"/>
      <c r="AR1681" s="35"/>
    </row>
    <row r="1682" spans="39:44" x14ac:dyDescent="0.3">
      <c r="AM1682" s="35"/>
      <c r="AN1682" s="35"/>
      <c r="AO1682" s="35"/>
      <c r="AP1682" s="35"/>
      <c r="AQ1682" s="35"/>
      <c r="AR1682" s="35"/>
    </row>
    <row r="1683" spans="39:44" x14ac:dyDescent="0.3">
      <c r="AM1683" s="35"/>
      <c r="AN1683" s="35"/>
      <c r="AO1683" s="35"/>
      <c r="AP1683" s="35"/>
      <c r="AQ1683" s="35"/>
      <c r="AR1683" s="35"/>
    </row>
    <row r="1684" spans="39:44" x14ac:dyDescent="0.3">
      <c r="AM1684" s="35"/>
      <c r="AN1684" s="35"/>
      <c r="AO1684" s="35"/>
      <c r="AP1684" s="35"/>
      <c r="AQ1684" s="35"/>
      <c r="AR1684" s="35"/>
    </row>
    <row r="1685" spans="39:44" x14ac:dyDescent="0.3">
      <c r="AM1685" s="35"/>
      <c r="AN1685" s="35"/>
      <c r="AO1685" s="35"/>
      <c r="AP1685" s="35"/>
      <c r="AQ1685" s="35"/>
      <c r="AR1685" s="35"/>
    </row>
    <row r="1686" spans="39:44" x14ac:dyDescent="0.3">
      <c r="AM1686" s="35"/>
      <c r="AN1686" s="35"/>
      <c r="AO1686" s="35"/>
      <c r="AP1686" s="35"/>
      <c r="AQ1686" s="35"/>
      <c r="AR1686" s="35"/>
    </row>
    <row r="1687" spans="39:44" x14ac:dyDescent="0.3">
      <c r="AM1687" s="35"/>
      <c r="AN1687" s="35"/>
      <c r="AO1687" s="35"/>
      <c r="AP1687" s="35"/>
      <c r="AQ1687" s="35"/>
      <c r="AR1687" s="35"/>
    </row>
    <row r="1688" spans="39:44" x14ac:dyDescent="0.3">
      <c r="AM1688" s="35"/>
      <c r="AN1688" s="35"/>
      <c r="AO1688" s="35"/>
      <c r="AP1688" s="35"/>
      <c r="AQ1688" s="35"/>
      <c r="AR1688" s="35"/>
    </row>
    <row r="1689" spans="39:44" x14ac:dyDescent="0.3">
      <c r="AM1689" s="35"/>
      <c r="AN1689" s="35"/>
      <c r="AO1689" s="35"/>
      <c r="AP1689" s="35"/>
      <c r="AQ1689" s="35"/>
      <c r="AR1689" s="35"/>
    </row>
    <row r="1690" spans="39:44" x14ac:dyDescent="0.3">
      <c r="AM1690" s="35"/>
      <c r="AN1690" s="35"/>
      <c r="AO1690" s="35"/>
      <c r="AP1690" s="35"/>
      <c r="AQ1690" s="35"/>
      <c r="AR1690" s="35"/>
    </row>
    <row r="1691" spans="39:44" x14ac:dyDescent="0.3">
      <c r="AM1691" s="35"/>
      <c r="AN1691" s="35"/>
      <c r="AO1691" s="35"/>
      <c r="AP1691" s="35"/>
      <c r="AQ1691" s="35"/>
      <c r="AR1691" s="35"/>
    </row>
    <row r="1692" spans="39:44" x14ac:dyDescent="0.3">
      <c r="AM1692" s="35"/>
      <c r="AN1692" s="35"/>
      <c r="AO1692" s="35"/>
      <c r="AP1692" s="35"/>
      <c r="AQ1692" s="35"/>
      <c r="AR1692" s="35"/>
    </row>
    <row r="1693" spans="39:44" x14ac:dyDescent="0.3">
      <c r="AM1693" s="35"/>
      <c r="AN1693" s="35"/>
      <c r="AO1693" s="35"/>
      <c r="AP1693" s="35"/>
      <c r="AQ1693" s="35"/>
      <c r="AR1693" s="35"/>
    </row>
    <row r="1694" spans="39:44" x14ac:dyDescent="0.3">
      <c r="AM1694" s="35"/>
      <c r="AN1694" s="35"/>
      <c r="AO1694" s="35"/>
      <c r="AP1694" s="35"/>
      <c r="AQ1694" s="35"/>
      <c r="AR1694" s="35"/>
    </row>
    <row r="1695" spans="39:44" x14ac:dyDescent="0.3">
      <c r="AM1695" s="35"/>
      <c r="AN1695" s="35"/>
      <c r="AO1695" s="35"/>
      <c r="AP1695" s="35"/>
      <c r="AQ1695" s="35"/>
      <c r="AR1695" s="35"/>
    </row>
    <row r="1696" spans="39:44" x14ac:dyDescent="0.3">
      <c r="AM1696" s="35"/>
      <c r="AN1696" s="35"/>
      <c r="AO1696" s="35"/>
      <c r="AP1696" s="35"/>
      <c r="AQ1696" s="35"/>
      <c r="AR1696" s="35"/>
    </row>
    <row r="1697" spans="39:44" x14ac:dyDescent="0.3">
      <c r="AM1697" s="35"/>
      <c r="AN1697" s="35"/>
      <c r="AO1697" s="35"/>
      <c r="AP1697" s="35"/>
      <c r="AQ1697" s="35"/>
      <c r="AR1697" s="35"/>
    </row>
    <row r="1698" spans="39:44" x14ac:dyDescent="0.3">
      <c r="AM1698" s="35"/>
      <c r="AN1698" s="35"/>
      <c r="AO1698" s="35"/>
      <c r="AP1698" s="35"/>
      <c r="AQ1698" s="35"/>
      <c r="AR1698" s="35"/>
    </row>
    <row r="1699" spans="39:44" x14ac:dyDescent="0.3">
      <c r="AM1699" s="35"/>
      <c r="AN1699" s="35"/>
      <c r="AO1699" s="35"/>
      <c r="AP1699" s="35"/>
      <c r="AQ1699" s="35"/>
      <c r="AR1699" s="35"/>
    </row>
    <row r="1700" spans="39:44" x14ac:dyDescent="0.3">
      <c r="AM1700" s="35"/>
      <c r="AN1700" s="35"/>
      <c r="AO1700" s="35"/>
      <c r="AP1700" s="35"/>
      <c r="AQ1700" s="35"/>
      <c r="AR1700" s="35"/>
    </row>
    <row r="1701" spans="39:44" x14ac:dyDescent="0.3">
      <c r="AM1701" s="35"/>
      <c r="AN1701" s="35"/>
      <c r="AO1701" s="35"/>
      <c r="AP1701" s="35"/>
      <c r="AQ1701" s="35"/>
      <c r="AR1701" s="35"/>
    </row>
    <row r="1702" spans="39:44" x14ac:dyDescent="0.3">
      <c r="AM1702" s="35"/>
      <c r="AN1702" s="35"/>
      <c r="AO1702" s="35"/>
      <c r="AP1702" s="35"/>
      <c r="AQ1702" s="35"/>
      <c r="AR1702" s="35"/>
    </row>
    <row r="1703" spans="39:44" x14ac:dyDescent="0.3">
      <c r="AM1703" s="35"/>
      <c r="AN1703" s="35"/>
      <c r="AO1703" s="35"/>
      <c r="AP1703" s="35"/>
      <c r="AQ1703" s="35"/>
      <c r="AR1703" s="35"/>
    </row>
    <row r="1704" spans="39:44" x14ac:dyDescent="0.3">
      <c r="AM1704" s="35"/>
      <c r="AN1704" s="35"/>
      <c r="AO1704" s="35"/>
      <c r="AP1704" s="35"/>
      <c r="AQ1704" s="35"/>
      <c r="AR1704" s="35"/>
    </row>
    <row r="1705" spans="39:44" x14ac:dyDescent="0.3">
      <c r="AM1705" s="35"/>
      <c r="AN1705" s="35"/>
      <c r="AO1705" s="35"/>
      <c r="AP1705" s="35"/>
      <c r="AQ1705" s="35"/>
      <c r="AR1705" s="35"/>
    </row>
    <row r="1706" spans="39:44" x14ac:dyDescent="0.3">
      <c r="AM1706" s="35"/>
      <c r="AN1706" s="35"/>
      <c r="AO1706" s="35"/>
      <c r="AP1706" s="35"/>
      <c r="AQ1706" s="35"/>
      <c r="AR1706" s="35"/>
    </row>
    <row r="1707" spans="39:44" x14ac:dyDescent="0.3">
      <c r="AM1707" s="35"/>
      <c r="AN1707" s="35"/>
      <c r="AO1707" s="35"/>
      <c r="AP1707" s="35"/>
      <c r="AQ1707" s="35"/>
      <c r="AR1707" s="35"/>
    </row>
    <row r="1708" spans="39:44" x14ac:dyDescent="0.3">
      <c r="AM1708" s="35"/>
      <c r="AN1708" s="35"/>
      <c r="AO1708" s="35"/>
      <c r="AP1708" s="35"/>
      <c r="AQ1708" s="35"/>
      <c r="AR1708" s="35"/>
    </row>
    <row r="1709" spans="39:44" x14ac:dyDescent="0.3">
      <c r="AM1709" s="35"/>
      <c r="AN1709" s="35"/>
      <c r="AO1709" s="35"/>
      <c r="AP1709" s="35"/>
      <c r="AQ1709" s="35"/>
      <c r="AR1709" s="35"/>
    </row>
    <row r="1710" spans="39:44" x14ac:dyDescent="0.3">
      <c r="AM1710" s="35"/>
      <c r="AN1710" s="35"/>
      <c r="AO1710" s="35"/>
      <c r="AP1710" s="35"/>
      <c r="AQ1710" s="35"/>
      <c r="AR1710" s="35"/>
    </row>
    <row r="1711" spans="39:44" x14ac:dyDescent="0.3">
      <c r="AM1711" s="35"/>
      <c r="AN1711" s="35"/>
      <c r="AO1711" s="35"/>
      <c r="AP1711" s="35"/>
      <c r="AQ1711" s="35"/>
      <c r="AR1711" s="35"/>
    </row>
    <row r="1712" spans="39:44" x14ac:dyDescent="0.3">
      <c r="AM1712" s="35"/>
      <c r="AN1712" s="35"/>
      <c r="AO1712" s="35"/>
      <c r="AP1712" s="35"/>
      <c r="AQ1712" s="35"/>
      <c r="AR1712" s="35"/>
    </row>
    <row r="1713" spans="39:44" x14ac:dyDescent="0.3">
      <c r="AM1713" s="35"/>
      <c r="AN1713" s="35"/>
      <c r="AO1713" s="35"/>
      <c r="AP1713" s="35"/>
      <c r="AQ1713" s="35"/>
      <c r="AR1713" s="35"/>
    </row>
    <row r="1714" spans="39:44" x14ac:dyDescent="0.3">
      <c r="AM1714" s="35"/>
      <c r="AN1714" s="35"/>
      <c r="AO1714" s="35"/>
      <c r="AP1714" s="35"/>
      <c r="AQ1714" s="35"/>
      <c r="AR1714" s="35"/>
    </row>
    <row r="1715" spans="39:44" x14ac:dyDescent="0.3">
      <c r="AM1715" s="35"/>
      <c r="AN1715" s="35"/>
      <c r="AO1715" s="35"/>
      <c r="AP1715" s="35"/>
      <c r="AQ1715" s="35"/>
      <c r="AR1715" s="35"/>
    </row>
    <row r="1716" spans="39:44" x14ac:dyDescent="0.3">
      <c r="AM1716" s="35"/>
      <c r="AN1716" s="35"/>
      <c r="AO1716" s="35"/>
      <c r="AP1716" s="35"/>
      <c r="AQ1716" s="35"/>
      <c r="AR1716" s="35"/>
    </row>
    <row r="1717" spans="39:44" x14ac:dyDescent="0.3">
      <c r="AM1717" s="35"/>
      <c r="AN1717" s="35"/>
      <c r="AO1717" s="35"/>
      <c r="AP1717" s="35"/>
      <c r="AQ1717" s="35"/>
      <c r="AR1717" s="35"/>
    </row>
    <row r="1718" spans="39:44" x14ac:dyDescent="0.3">
      <c r="AM1718" s="35"/>
      <c r="AN1718" s="35"/>
      <c r="AO1718" s="35"/>
      <c r="AP1718" s="35"/>
      <c r="AQ1718" s="35"/>
      <c r="AR1718" s="35"/>
    </row>
    <row r="1719" spans="39:44" x14ac:dyDescent="0.3">
      <c r="AM1719" s="35"/>
      <c r="AN1719" s="35"/>
      <c r="AO1719" s="35"/>
      <c r="AP1719" s="35"/>
      <c r="AQ1719" s="35"/>
      <c r="AR1719" s="35"/>
    </row>
    <row r="1720" spans="39:44" x14ac:dyDescent="0.3">
      <c r="AM1720" s="35"/>
      <c r="AN1720" s="35"/>
      <c r="AO1720" s="35"/>
      <c r="AP1720" s="35"/>
      <c r="AQ1720" s="35"/>
      <c r="AR1720" s="35"/>
    </row>
    <row r="1721" spans="39:44" x14ac:dyDescent="0.3">
      <c r="AM1721" s="35"/>
      <c r="AN1721" s="35"/>
      <c r="AO1721" s="35"/>
      <c r="AP1721" s="35"/>
      <c r="AQ1721" s="35"/>
      <c r="AR1721" s="35"/>
    </row>
    <row r="1722" spans="39:44" x14ac:dyDescent="0.3">
      <c r="AM1722" s="35"/>
      <c r="AN1722" s="35"/>
      <c r="AO1722" s="35"/>
      <c r="AP1722" s="35"/>
      <c r="AQ1722" s="35"/>
      <c r="AR1722" s="35"/>
    </row>
    <row r="1723" spans="39:44" x14ac:dyDescent="0.3">
      <c r="AM1723" s="35"/>
      <c r="AN1723" s="35"/>
      <c r="AO1723" s="35"/>
      <c r="AP1723" s="35"/>
      <c r="AQ1723" s="35"/>
      <c r="AR1723" s="35"/>
    </row>
    <row r="1724" spans="39:44" x14ac:dyDescent="0.3">
      <c r="AM1724" s="35"/>
      <c r="AN1724" s="35"/>
      <c r="AO1724" s="35"/>
      <c r="AP1724" s="35"/>
      <c r="AQ1724" s="35"/>
      <c r="AR1724" s="35"/>
    </row>
    <row r="1725" spans="39:44" x14ac:dyDescent="0.3">
      <c r="AM1725" s="35"/>
      <c r="AN1725" s="35"/>
      <c r="AO1725" s="35"/>
      <c r="AP1725" s="35"/>
      <c r="AQ1725" s="35"/>
      <c r="AR1725" s="35"/>
    </row>
    <row r="1726" spans="39:44" x14ac:dyDescent="0.3">
      <c r="AM1726" s="35"/>
      <c r="AN1726" s="35"/>
      <c r="AO1726" s="35"/>
      <c r="AP1726" s="35"/>
      <c r="AQ1726" s="35"/>
      <c r="AR1726" s="35"/>
    </row>
    <row r="1727" spans="39:44" x14ac:dyDescent="0.3">
      <c r="AM1727" s="35"/>
      <c r="AN1727" s="35"/>
      <c r="AO1727" s="35"/>
      <c r="AP1727" s="35"/>
      <c r="AQ1727" s="35"/>
      <c r="AR1727" s="35"/>
    </row>
    <row r="1728" spans="39:44" x14ac:dyDescent="0.3">
      <c r="AM1728" s="35"/>
      <c r="AN1728" s="35"/>
      <c r="AO1728" s="35"/>
      <c r="AP1728" s="35"/>
      <c r="AQ1728" s="35"/>
      <c r="AR1728" s="35"/>
    </row>
    <row r="1729" spans="39:44" x14ac:dyDescent="0.3">
      <c r="AM1729" s="35"/>
      <c r="AN1729" s="35"/>
      <c r="AO1729" s="35"/>
      <c r="AP1729" s="35"/>
      <c r="AQ1729" s="35"/>
      <c r="AR1729" s="35"/>
    </row>
    <row r="1730" spans="39:44" x14ac:dyDescent="0.3">
      <c r="AM1730" s="35"/>
      <c r="AN1730" s="35"/>
      <c r="AO1730" s="35"/>
      <c r="AP1730" s="35"/>
      <c r="AQ1730" s="35"/>
      <c r="AR1730" s="35"/>
    </row>
    <row r="1731" spans="39:44" x14ac:dyDescent="0.3">
      <c r="AM1731" s="35"/>
      <c r="AN1731" s="35"/>
      <c r="AO1731" s="35"/>
      <c r="AP1731" s="35"/>
      <c r="AQ1731" s="35"/>
      <c r="AR1731" s="35"/>
    </row>
    <row r="1732" spans="39:44" x14ac:dyDescent="0.3">
      <c r="AM1732" s="35"/>
      <c r="AN1732" s="35"/>
      <c r="AO1732" s="35"/>
      <c r="AP1732" s="35"/>
      <c r="AQ1732" s="35"/>
      <c r="AR1732" s="35"/>
    </row>
    <row r="1733" spans="39:44" x14ac:dyDescent="0.3">
      <c r="AM1733" s="35"/>
      <c r="AN1733" s="35"/>
      <c r="AO1733" s="35"/>
      <c r="AP1733" s="35"/>
      <c r="AQ1733" s="35"/>
      <c r="AR1733" s="35"/>
    </row>
    <row r="1734" spans="39:44" x14ac:dyDescent="0.3">
      <c r="AM1734" s="35"/>
      <c r="AN1734" s="35"/>
      <c r="AO1734" s="35"/>
      <c r="AP1734" s="35"/>
      <c r="AQ1734" s="35"/>
      <c r="AR1734" s="35"/>
    </row>
    <row r="1735" spans="39:44" x14ac:dyDescent="0.3">
      <c r="AM1735" s="35"/>
      <c r="AN1735" s="35"/>
      <c r="AO1735" s="35"/>
      <c r="AP1735" s="35"/>
      <c r="AQ1735" s="35"/>
      <c r="AR1735" s="35"/>
    </row>
    <row r="1736" spans="39:44" x14ac:dyDescent="0.3">
      <c r="AM1736" s="35"/>
      <c r="AN1736" s="35"/>
      <c r="AO1736" s="35"/>
      <c r="AP1736" s="35"/>
      <c r="AQ1736" s="35"/>
      <c r="AR1736" s="35"/>
    </row>
    <row r="1737" spans="39:44" x14ac:dyDescent="0.3">
      <c r="AM1737" s="35"/>
      <c r="AN1737" s="35"/>
      <c r="AO1737" s="35"/>
      <c r="AP1737" s="35"/>
      <c r="AQ1737" s="35"/>
      <c r="AR1737" s="35"/>
    </row>
    <row r="1738" spans="39:44" x14ac:dyDescent="0.3">
      <c r="AM1738" s="35"/>
      <c r="AN1738" s="35"/>
      <c r="AO1738" s="35"/>
      <c r="AP1738" s="35"/>
      <c r="AQ1738" s="35"/>
      <c r="AR1738" s="35"/>
    </row>
    <row r="1739" spans="39:44" x14ac:dyDescent="0.3">
      <c r="AM1739" s="35"/>
      <c r="AN1739" s="35"/>
      <c r="AO1739" s="35"/>
      <c r="AP1739" s="35"/>
      <c r="AQ1739" s="35"/>
      <c r="AR1739" s="35"/>
    </row>
    <row r="1740" spans="39:44" x14ac:dyDescent="0.3">
      <c r="AM1740" s="35"/>
      <c r="AN1740" s="35"/>
      <c r="AO1740" s="35"/>
      <c r="AP1740" s="35"/>
      <c r="AQ1740" s="35"/>
      <c r="AR1740" s="35"/>
    </row>
    <row r="1741" spans="39:44" x14ac:dyDescent="0.3">
      <c r="AM1741" s="35"/>
      <c r="AN1741" s="35"/>
      <c r="AO1741" s="35"/>
      <c r="AP1741" s="35"/>
      <c r="AQ1741" s="35"/>
      <c r="AR1741" s="35"/>
    </row>
    <row r="1742" spans="39:44" x14ac:dyDescent="0.3">
      <c r="AM1742" s="35"/>
      <c r="AN1742" s="35"/>
      <c r="AO1742" s="35"/>
      <c r="AP1742" s="35"/>
      <c r="AQ1742" s="35"/>
      <c r="AR1742" s="35"/>
    </row>
    <row r="1743" spans="39:44" x14ac:dyDescent="0.3">
      <c r="AM1743" s="35"/>
      <c r="AN1743" s="35"/>
      <c r="AO1743" s="35"/>
      <c r="AP1743" s="35"/>
      <c r="AQ1743" s="35"/>
      <c r="AR1743" s="35"/>
    </row>
    <row r="1744" spans="39:44" x14ac:dyDescent="0.3">
      <c r="AM1744" s="35"/>
      <c r="AN1744" s="35"/>
      <c r="AO1744" s="35"/>
      <c r="AP1744" s="35"/>
      <c r="AQ1744" s="35"/>
      <c r="AR1744" s="35"/>
    </row>
    <row r="1745" spans="39:44" x14ac:dyDescent="0.3">
      <c r="AM1745" s="35"/>
      <c r="AN1745" s="35"/>
      <c r="AO1745" s="35"/>
      <c r="AP1745" s="35"/>
      <c r="AQ1745" s="35"/>
      <c r="AR1745" s="35"/>
    </row>
    <row r="1746" spans="39:44" x14ac:dyDescent="0.3">
      <c r="AM1746" s="35"/>
      <c r="AN1746" s="35"/>
      <c r="AO1746" s="35"/>
      <c r="AP1746" s="35"/>
      <c r="AQ1746" s="35"/>
      <c r="AR1746" s="35"/>
    </row>
    <row r="1747" spans="39:44" x14ac:dyDescent="0.3">
      <c r="AM1747" s="35"/>
      <c r="AN1747" s="35"/>
      <c r="AO1747" s="35"/>
      <c r="AP1747" s="35"/>
      <c r="AQ1747" s="35"/>
      <c r="AR1747" s="35"/>
    </row>
    <row r="1748" spans="39:44" x14ac:dyDescent="0.3">
      <c r="AM1748" s="35"/>
      <c r="AN1748" s="35"/>
      <c r="AO1748" s="35"/>
      <c r="AP1748" s="35"/>
      <c r="AQ1748" s="35"/>
      <c r="AR1748" s="35"/>
    </row>
    <row r="1749" spans="39:44" x14ac:dyDescent="0.3">
      <c r="AM1749" s="35"/>
      <c r="AN1749" s="35"/>
      <c r="AO1749" s="35"/>
      <c r="AP1749" s="35"/>
      <c r="AQ1749" s="35"/>
      <c r="AR1749" s="35"/>
    </row>
    <row r="1750" spans="39:44" x14ac:dyDescent="0.3">
      <c r="AM1750" s="35"/>
      <c r="AN1750" s="35"/>
      <c r="AO1750" s="35"/>
      <c r="AP1750" s="35"/>
      <c r="AQ1750" s="35"/>
      <c r="AR1750" s="35"/>
    </row>
    <row r="1751" spans="39:44" x14ac:dyDescent="0.3">
      <c r="AM1751" s="35"/>
      <c r="AN1751" s="35"/>
      <c r="AO1751" s="35"/>
      <c r="AP1751" s="35"/>
      <c r="AQ1751" s="35"/>
      <c r="AR1751" s="35"/>
    </row>
    <row r="1752" spans="39:44" x14ac:dyDescent="0.3">
      <c r="AM1752" s="35"/>
      <c r="AN1752" s="35"/>
      <c r="AO1752" s="35"/>
      <c r="AP1752" s="35"/>
      <c r="AQ1752" s="35"/>
      <c r="AR1752" s="35"/>
    </row>
    <row r="1753" spans="39:44" x14ac:dyDescent="0.3">
      <c r="AM1753" s="35"/>
      <c r="AN1753" s="35"/>
      <c r="AO1753" s="35"/>
      <c r="AP1753" s="35"/>
      <c r="AQ1753" s="35"/>
      <c r="AR1753" s="35"/>
    </row>
    <row r="1754" spans="39:44" x14ac:dyDescent="0.3">
      <c r="AM1754" s="35"/>
      <c r="AN1754" s="35"/>
      <c r="AO1754" s="35"/>
      <c r="AP1754" s="35"/>
      <c r="AQ1754" s="35"/>
      <c r="AR1754" s="35"/>
    </row>
    <row r="1755" spans="39:44" x14ac:dyDescent="0.3">
      <c r="AM1755" s="35"/>
      <c r="AN1755" s="35"/>
      <c r="AO1755" s="35"/>
      <c r="AP1755" s="35"/>
      <c r="AQ1755" s="35"/>
      <c r="AR1755" s="35"/>
    </row>
    <row r="1756" spans="39:44" x14ac:dyDescent="0.3">
      <c r="AM1756" s="35"/>
      <c r="AN1756" s="35"/>
      <c r="AO1756" s="35"/>
      <c r="AP1756" s="35"/>
      <c r="AQ1756" s="35"/>
      <c r="AR1756" s="35"/>
    </row>
    <row r="1757" spans="39:44" x14ac:dyDescent="0.3">
      <c r="AM1757" s="35"/>
      <c r="AN1757" s="35"/>
      <c r="AO1757" s="35"/>
      <c r="AP1757" s="35"/>
      <c r="AQ1757" s="35"/>
      <c r="AR1757" s="35"/>
    </row>
    <row r="1758" spans="39:44" x14ac:dyDescent="0.3">
      <c r="AM1758" s="35"/>
      <c r="AN1758" s="35"/>
      <c r="AO1758" s="35"/>
      <c r="AP1758" s="35"/>
      <c r="AQ1758" s="35"/>
      <c r="AR1758" s="35"/>
    </row>
    <row r="1759" spans="39:44" x14ac:dyDescent="0.3">
      <c r="AM1759" s="35"/>
      <c r="AN1759" s="35"/>
      <c r="AO1759" s="35"/>
      <c r="AP1759" s="35"/>
      <c r="AQ1759" s="35"/>
      <c r="AR1759" s="35"/>
    </row>
    <row r="1760" spans="39:44" x14ac:dyDescent="0.3">
      <c r="AM1760" s="35"/>
      <c r="AN1760" s="35"/>
      <c r="AO1760" s="35"/>
      <c r="AP1760" s="35"/>
      <c r="AQ1760" s="35"/>
      <c r="AR1760" s="35"/>
    </row>
    <row r="1761" spans="39:44" x14ac:dyDescent="0.3">
      <c r="AM1761" s="35"/>
      <c r="AN1761" s="35"/>
      <c r="AO1761" s="35"/>
      <c r="AP1761" s="35"/>
      <c r="AQ1761" s="35"/>
      <c r="AR1761" s="35"/>
    </row>
    <row r="1762" spans="39:44" x14ac:dyDescent="0.3">
      <c r="AM1762" s="35"/>
      <c r="AN1762" s="35"/>
      <c r="AO1762" s="35"/>
      <c r="AP1762" s="35"/>
      <c r="AQ1762" s="35"/>
      <c r="AR1762" s="35"/>
    </row>
    <row r="1763" spans="39:44" x14ac:dyDescent="0.3">
      <c r="AM1763" s="35"/>
      <c r="AN1763" s="35"/>
      <c r="AO1763" s="35"/>
      <c r="AP1763" s="35"/>
      <c r="AQ1763" s="35"/>
      <c r="AR1763" s="35"/>
    </row>
    <row r="1764" spans="39:44" x14ac:dyDescent="0.3">
      <c r="AM1764" s="35"/>
      <c r="AN1764" s="35"/>
      <c r="AO1764" s="35"/>
      <c r="AP1764" s="35"/>
      <c r="AQ1764" s="35"/>
      <c r="AR1764" s="35"/>
    </row>
    <row r="1765" spans="39:44" x14ac:dyDescent="0.3">
      <c r="AM1765" s="35"/>
      <c r="AN1765" s="35"/>
      <c r="AO1765" s="35"/>
      <c r="AP1765" s="35"/>
      <c r="AQ1765" s="35"/>
      <c r="AR1765" s="35"/>
    </row>
    <row r="1766" spans="39:44" x14ac:dyDescent="0.3">
      <c r="AM1766" s="35"/>
      <c r="AN1766" s="35"/>
      <c r="AO1766" s="35"/>
      <c r="AP1766" s="35"/>
      <c r="AQ1766" s="35"/>
      <c r="AR1766" s="35"/>
    </row>
    <row r="1767" spans="39:44" x14ac:dyDescent="0.3">
      <c r="AM1767" s="35"/>
      <c r="AN1767" s="35"/>
      <c r="AO1767" s="35"/>
      <c r="AP1767" s="35"/>
      <c r="AQ1767" s="35"/>
      <c r="AR1767" s="35"/>
    </row>
    <row r="1768" spans="39:44" x14ac:dyDescent="0.3">
      <c r="AM1768" s="35"/>
      <c r="AN1768" s="35"/>
      <c r="AO1768" s="35"/>
      <c r="AP1768" s="35"/>
      <c r="AQ1768" s="35"/>
      <c r="AR1768" s="35"/>
    </row>
    <row r="1769" spans="39:44" x14ac:dyDescent="0.3">
      <c r="AM1769" s="35"/>
      <c r="AN1769" s="35"/>
      <c r="AO1769" s="35"/>
      <c r="AP1769" s="35"/>
      <c r="AQ1769" s="35"/>
      <c r="AR1769" s="35"/>
    </row>
    <row r="1770" spans="39:44" x14ac:dyDescent="0.3">
      <c r="AM1770" s="35"/>
      <c r="AN1770" s="35"/>
      <c r="AO1770" s="35"/>
      <c r="AP1770" s="35"/>
      <c r="AQ1770" s="35"/>
      <c r="AR1770" s="35"/>
    </row>
    <row r="1771" spans="39:44" x14ac:dyDescent="0.3">
      <c r="AM1771" s="35"/>
      <c r="AN1771" s="35"/>
      <c r="AO1771" s="35"/>
      <c r="AP1771" s="35"/>
      <c r="AQ1771" s="35"/>
      <c r="AR1771" s="35"/>
    </row>
    <row r="1772" spans="39:44" x14ac:dyDescent="0.3">
      <c r="AM1772" s="35"/>
      <c r="AN1772" s="35"/>
      <c r="AO1772" s="35"/>
      <c r="AP1772" s="35"/>
      <c r="AQ1772" s="35"/>
      <c r="AR1772" s="35"/>
    </row>
    <row r="1773" spans="39:44" x14ac:dyDescent="0.3">
      <c r="AM1773" s="35"/>
      <c r="AN1773" s="35"/>
      <c r="AO1773" s="35"/>
      <c r="AP1773" s="35"/>
      <c r="AQ1773" s="35"/>
      <c r="AR1773" s="35"/>
    </row>
    <row r="1774" spans="39:44" x14ac:dyDescent="0.3">
      <c r="AM1774" s="35"/>
      <c r="AN1774" s="35"/>
      <c r="AO1774" s="35"/>
      <c r="AP1774" s="35"/>
      <c r="AQ1774" s="35"/>
      <c r="AR1774" s="35"/>
    </row>
    <row r="1775" spans="39:44" x14ac:dyDescent="0.3">
      <c r="AM1775" s="35"/>
      <c r="AN1775" s="35"/>
      <c r="AO1775" s="35"/>
      <c r="AP1775" s="35"/>
      <c r="AQ1775" s="35"/>
      <c r="AR1775" s="35"/>
    </row>
    <row r="1776" spans="39:44" x14ac:dyDescent="0.3">
      <c r="AM1776" s="35"/>
      <c r="AN1776" s="35"/>
      <c r="AO1776" s="35"/>
      <c r="AP1776" s="35"/>
      <c r="AQ1776" s="35"/>
      <c r="AR1776" s="35"/>
    </row>
    <row r="1777" spans="39:44" x14ac:dyDescent="0.3">
      <c r="AM1777" s="35"/>
      <c r="AN1777" s="35"/>
      <c r="AO1777" s="35"/>
      <c r="AP1777" s="35"/>
      <c r="AQ1777" s="35"/>
      <c r="AR1777" s="35"/>
    </row>
    <row r="1778" spans="39:44" x14ac:dyDescent="0.3">
      <c r="AM1778" s="35"/>
      <c r="AN1778" s="35"/>
      <c r="AO1778" s="35"/>
      <c r="AP1778" s="35"/>
      <c r="AQ1778" s="35"/>
      <c r="AR1778" s="35"/>
    </row>
    <row r="1779" spans="39:44" x14ac:dyDescent="0.3">
      <c r="AM1779" s="35"/>
      <c r="AN1779" s="35"/>
      <c r="AO1779" s="35"/>
      <c r="AP1779" s="35"/>
      <c r="AQ1779" s="35"/>
      <c r="AR1779" s="35"/>
    </row>
    <row r="1780" spans="39:44" x14ac:dyDescent="0.3">
      <c r="AM1780" s="35"/>
      <c r="AN1780" s="35"/>
      <c r="AO1780" s="35"/>
      <c r="AP1780" s="35"/>
      <c r="AQ1780" s="35"/>
      <c r="AR1780" s="35"/>
    </row>
    <row r="1781" spans="39:44" x14ac:dyDescent="0.3">
      <c r="AM1781" s="35"/>
      <c r="AN1781" s="35"/>
      <c r="AO1781" s="35"/>
      <c r="AP1781" s="35"/>
      <c r="AQ1781" s="35"/>
      <c r="AR1781" s="35"/>
    </row>
    <row r="1782" spans="39:44" x14ac:dyDescent="0.3">
      <c r="AM1782" s="35"/>
      <c r="AN1782" s="35"/>
      <c r="AO1782" s="35"/>
      <c r="AP1782" s="35"/>
      <c r="AQ1782" s="35"/>
      <c r="AR1782" s="35"/>
    </row>
    <row r="1783" spans="39:44" x14ac:dyDescent="0.3">
      <c r="AM1783" s="35"/>
      <c r="AN1783" s="35"/>
      <c r="AO1783" s="35"/>
      <c r="AP1783" s="35"/>
      <c r="AQ1783" s="35"/>
      <c r="AR1783" s="35"/>
    </row>
    <row r="1784" spans="39:44" x14ac:dyDescent="0.3">
      <c r="AM1784" s="35"/>
      <c r="AN1784" s="35"/>
      <c r="AO1784" s="35"/>
      <c r="AP1784" s="35"/>
      <c r="AQ1784" s="35"/>
      <c r="AR1784" s="35"/>
    </row>
    <row r="1785" spans="39:44" x14ac:dyDescent="0.3">
      <c r="AM1785" s="35"/>
      <c r="AN1785" s="35"/>
      <c r="AO1785" s="35"/>
      <c r="AP1785" s="35"/>
      <c r="AQ1785" s="35"/>
      <c r="AR1785" s="35"/>
    </row>
    <row r="1786" spans="39:44" x14ac:dyDescent="0.3">
      <c r="AM1786" s="35"/>
      <c r="AN1786" s="35"/>
      <c r="AO1786" s="35"/>
      <c r="AP1786" s="35"/>
      <c r="AQ1786" s="35"/>
      <c r="AR1786" s="35"/>
    </row>
    <row r="1787" spans="39:44" x14ac:dyDescent="0.3">
      <c r="AM1787" s="35"/>
      <c r="AN1787" s="35"/>
      <c r="AO1787" s="35"/>
      <c r="AP1787" s="35"/>
      <c r="AQ1787" s="35"/>
      <c r="AR1787" s="35"/>
    </row>
    <row r="1788" spans="39:44" x14ac:dyDescent="0.3">
      <c r="AM1788" s="35"/>
      <c r="AN1788" s="35"/>
      <c r="AO1788" s="35"/>
      <c r="AP1788" s="35"/>
      <c r="AQ1788" s="35"/>
      <c r="AR1788" s="35"/>
    </row>
    <row r="1789" spans="39:44" x14ac:dyDescent="0.3">
      <c r="AM1789" s="35"/>
      <c r="AN1789" s="35"/>
      <c r="AO1789" s="35"/>
      <c r="AP1789" s="35"/>
      <c r="AQ1789" s="35"/>
      <c r="AR1789" s="35"/>
    </row>
    <row r="1790" spans="39:44" x14ac:dyDescent="0.3">
      <c r="AM1790" s="35"/>
      <c r="AN1790" s="35"/>
      <c r="AO1790" s="35"/>
      <c r="AP1790" s="35"/>
      <c r="AQ1790" s="35"/>
      <c r="AR1790" s="35"/>
    </row>
    <row r="1791" spans="39:44" x14ac:dyDescent="0.3">
      <c r="AM1791" s="35"/>
      <c r="AN1791" s="35"/>
      <c r="AO1791" s="35"/>
      <c r="AP1791" s="35"/>
      <c r="AQ1791" s="35"/>
      <c r="AR1791" s="35"/>
    </row>
    <row r="1792" spans="39:44" x14ac:dyDescent="0.3">
      <c r="AM1792" s="35"/>
      <c r="AN1792" s="35"/>
      <c r="AO1792" s="35"/>
      <c r="AP1792" s="35"/>
      <c r="AQ1792" s="35"/>
      <c r="AR1792" s="35"/>
    </row>
    <row r="1793" spans="39:44" x14ac:dyDescent="0.3">
      <c r="AM1793" s="35"/>
      <c r="AN1793" s="35"/>
      <c r="AO1793" s="35"/>
      <c r="AP1793" s="35"/>
      <c r="AQ1793" s="35"/>
      <c r="AR1793" s="35"/>
    </row>
    <row r="1794" spans="39:44" x14ac:dyDescent="0.3">
      <c r="AM1794" s="35"/>
      <c r="AN1794" s="35"/>
      <c r="AO1794" s="35"/>
      <c r="AP1794" s="35"/>
      <c r="AQ1794" s="35"/>
      <c r="AR1794" s="35"/>
    </row>
    <row r="1795" spans="39:44" x14ac:dyDescent="0.3">
      <c r="AM1795" s="35"/>
      <c r="AN1795" s="35"/>
      <c r="AO1795" s="35"/>
      <c r="AP1795" s="35"/>
      <c r="AQ1795" s="35"/>
      <c r="AR1795" s="35"/>
    </row>
    <row r="1796" spans="39:44" x14ac:dyDescent="0.3">
      <c r="AM1796" s="35"/>
      <c r="AN1796" s="35"/>
      <c r="AO1796" s="35"/>
      <c r="AP1796" s="35"/>
      <c r="AQ1796" s="35"/>
      <c r="AR1796" s="35"/>
    </row>
    <row r="1797" spans="39:44" x14ac:dyDescent="0.3">
      <c r="AM1797" s="35"/>
      <c r="AN1797" s="35"/>
      <c r="AO1797" s="35"/>
      <c r="AP1797" s="35"/>
      <c r="AQ1797" s="35"/>
      <c r="AR1797" s="35"/>
    </row>
    <row r="1798" spans="39:44" x14ac:dyDescent="0.3">
      <c r="AM1798" s="35"/>
      <c r="AN1798" s="35"/>
      <c r="AO1798" s="35"/>
      <c r="AP1798" s="35"/>
      <c r="AQ1798" s="35"/>
      <c r="AR1798" s="35"/>
    </row>
    <row r="1799" spans="39:44" x14ac:dyDescent="0.3">
      <c r="AM1799" s="35"/>
      <c r="AN1799" s="35"/>
      <c r="AO1799" s="35"/>
      <c r="AP1799" s="35"/>
      <c r="AQ1799" s="35"/>
      <c r="AR1799" s="35"/>
    </row>
    <row r="1800" spans="39:44" x14ac:dyDescent="0.3">
      <c r="AM1800" s="35"/>
      <c r="AN1800" s="35"/>
      <c r="AO1800" s="35"/>
      <c r="AP1800" s="35"/>
      <c r="AQ1800" s="35"/>
      <c r="AR1800" s="35"/>
    </row>
    <row r="1801" spans="39:44" x14ac:dyDescent="0.3">
      <c r="AM1801" s="35"/>
      <c r="AN1801" s="35"/>
      <c r="AO1801" s="35"/>
      <c r="AP1801" s="35"/>
      <c r="AQ1801" s="35"/>
      <c r="AR1801" s="35"/>
    </row>
    <row r="1802" spans="39:44" x14ac:dyDescent="0.3">
      <c r="AM1802" s="35"/>
      <c r="AN1802" s="35"/>
      <c r="AO1802" s="35"/>
      <c r="AP1802" s="35"/>
      <c r="AQ1802" s="35"/>
      <c r="AR1802" s="35"/>
    </row>
    <row r="1803" spans="39:44" x14ac:dyDescent="0.3">
      <c r="AM1803" s="35"/>
      <c r="AN1803" s="35"/>
      <c r="AO1803" s="35"/>
      <c r="AP1803" s="35"/>
      <c r="AQ1803" s="35"/>
      <c r="AR1803" s="35"/>
    </row>
    <row r="1804" spans="39:44" x14ac:dyDescent="0.3">
      <c r="AM1804" s="35"/>
      <c r="AN1804" s="35"/>
      <c r="AO1804" s="35"/>
      <c r="AP1804" s="35"/>
      <c r="AQ1804" s="35"/>
      <c r="AR1804" s="35"/>
    </row>
    <row r="1805" spans="39:44" x14ac:dyDescent="0.3">
      <c r="AM1805" s="35"/>
      <c r="AN1805" s="35"/>
      <c r="AO1805" s="35"/>
      <c r="AP1805" s="35"/>
      <c r="AQ1805" s="35"/>
      <c r="AR1805" s="35"/>
    </row>
    <row r="1806" spans="39:44" x14ac:dyDescent="0.3">
      <c r="AM1806" s="35"/>
      <c r="AN1806" s="35"/>
      <c r="AO1806" s="35"/>
      <c r="AP1806" s="35"/>
      <c r="AQ1806" s="35"/>
      <c r="AR1806" s="35"/>
    </row>
    <row r="1807" spans="39:44" x14ac:dyDescent="0.3">
      <c r="AM1807" s="35"/>
      <c r="AN1807" s="35"/>
      <c r="AO1807" s="35"/>
      <c r="AP1807" s="35"/>
      <c r="AQ1807" s="35"/>
      <c r="AR1807" s="35"/>
    </row>
    <row r="1808" spans="39:44" x14ac:dyDescent="0.3">
      <c r="AM1808" s="35"/>
      <c r="AN1808" s="35"/>
      <c r="AO1808" s="35"/>
      <c r="AP1808" s="35"/>
      <c r="AQ1808" s="35"/>
      <c r="AR1808" s="35"/>
    </row>
    <row r="1809" spans="39:44" x14ac:dyDescent="0.3">
      <c r="AM1809" s="35"/>
      <c r="AN1809" s="35"/>
      <c r="AO1809" s="35"/>
      <c r="AP1809" s="35"/>
      <c r="AQ1809" s="35"/>
      <c r="AR1809" s="35"/>
    </row>
    <row r="1810" spans="39:44" x14ac:dyDescent="0.3">
      <c r="AM1810" s="35"/>
      <c r="AN1810" s="35"/>
      <c r="AO1810" s="35"/>
      <c r="AP1810" s="35"/>
      <c r="AQ1810" s="35"/>
      <c r="AR1810" s="35"/>
    </row>
    <row r="1811" spans="39:44" x14ac:dyDescent="0.3">
      <c r="AM1811" s="35"/>
      <c r="AN1811" s="35"/>
      <c r="AO1811" s="35"/>
      <c r="AP1811" s="35"/>
      <c r="AQ1811" s="35"/>
      <c r="AR1811" s="35"/>
    </row>
    <row r="1812" spans="39:44" x14ac:dyDescent="0.3">
      <c r="AM1812" s="35"/>
      <c r="AN1812" s="35"/>
      <c r="AO1812" s="35"/>
      <c r="AP1812" s="35"/>
      <c r="AQ1812" s="35"/>
      <c r="AR1812" s="35"/>
    </row>
    <row r="1813" spans="39:44" x14ac:dyDescent="0.3">
      <c r="AM1813" s="35"/>
      <c r="AN1813" s="35"/>
      <c r="AO1813" s="35"/>
      <c r="AP1813" s="35"/>
      <c r="AQ1813" s="35"/>
      <c r="AR1813" s="35"/>
    </row>
    <row r="1814" spans="39:44" x14ac:dyDescent="0.3">
      <c r="AM1814" s="35"/>
      <c r="AN1814" s="35"/>
      <c r="AO1814" s="35"/>
      <c r="AP1814" s="35"/>
      <c r="AQ1814" s="35"/>
      <c r="AR1814" s="35"/>
    </row>
    <row r="1815" spans="39:44" x14ac:dyDescent="0.3">
      <c r="AM1815" s="35"/>
      <c r="AN1815" s="35"/>
      <c r="AO1815" s="35"/>
      <c r="AP1815" s="35"/>
      <c r="AQ1815" s="35"/>
      <c r="AR1815" s="35"/>
    </row>
    <row r="1816" spans="39:44" x14ac:dyDescent="0.3">
      <c r="AM1816" s="35"/>
      <c r="AN1816" s="35"/>
      <c r="AO1816" s="35"/>
      <c r="AP1816" s="35"/>
      <c r="AQ1816" s="35"/>
      <c r="AR1816" s="35"/>
    </row>
    <row r="1817" spans="39:44" x14ac:dyDescent="0.3">
      <c r="AM1817" s="35"/>
      <c r="AN1817" s="35"/>
      <c r="AO1817" s="35"/>
      <c r="AP1817" s="35"/>
      <c r="AQ1817" s="35"/>
      <c r="AR1817" s="35"/>
    </row>
    <row r="1818" spans="39:44" x14ac:dyDescent="0.3">
      <c r="AM1818" s="35"/>
      <c r="AN1818" s="35"/>
      <c r="AO1818" s="35"/>
      <c r="AP1818" s="35"/>
      <c r="AQ1818" s="35"/>
      <c r="AR1818" s="35"/>
    </row>
    <row r="1819" spans="39:44" x14ac:dyDescent="0.3">
      <c r="AM1819" s="35"/>
      <c r="AN1819" s="35"/>
      <c r="AO1819" s="35"/>
      <c r="AP1819" s="35"/>
      <c r="AQ1819" s="35"/>
      <c r="AR1819" s="35"/>
    </row>
    <row r="1820" spans="39:44" x14ac:dyDescent="0.3">
      <c r="AM1820" s="35"/>
      <c r="AN1820" s="35"/>
      <c r="AO1820" s="35"/>
      <c r="AP1820" s="35"/>
      <c r="AQ1820" s="35"/>
      <c r="AR1820" s="35"/>
    </row>
    <row r="1821" spans="39:44" x14ac:dyDescent="0.3">
      <c r="AM1821" s="35"/>
      <c r="AN1821" s="35"/>
      <c r="AO1821" s="35"/>
      <c r="AP1821" s="35"/>
      <c r="AQ1821" s="35"/>
      <c r="AR1821" s="35"/>
    </row>
    <row r="1822" spans="39:44" x14ac:dyDescent="0.3">
      <c r="AM1822" s="35"/>
      <c r="AN1822" s="35"/>
      <c r="AO1822" s="35"/>
      <c r="AP1822" s="35"/>
      <c r="AQ1822" s="35"/>
      <c r="AR1822" s="35"/>
    </row>
    <row r="1823" spans="39:44" x14ac:dyDescent="0.3">
      <c r="AM1823" s="35"/>
      <c r="AN1823" s="35"/>
      <c r="AO1823" s="35"/>
      <c r="AP1823" s="35"/>
      <c r="AQ1823" s="35"/>
      <c r="AR1823" s="35"/>
    </row>
    <row r="1824" spans="39:44" x14ac:dyDescent="0.3">
      <c r="AM1824" s="35"/>
      <c r="AN1824" s="35"/>
      <c r="AO1824" s="35"/>
      <c r="AP1824" s="35"/>
      <c r="AQ1824" s="35"/>
      <c r="AR1824" s="35"/>
    </row>
    <row r="1825" spans="39:44" x14ac:dyDescent="0.3">
      <c r="AM1825" s="35"/>
      <c r="AN1825" s="35"/>
      <c r="AO1825" s="35"/>
      <c r="AP1825" s="35"/>
      <c r="AQ1825" s="35"/>
      <c r="AR1825" s="35"/>
    </row>
    <row r="1826" spans="39:44" x14ac:dyDescent="0.3">
      <c r="AM1826" s="35"/>
      <c r="AN1826" s="35"/>
      <c r="AO1826" s="35"/>
      <c r="AP1826" s="35"/>
      <c r="AQ1826" s="35"/>
      <c r="AR1826" s="35"/>
    </row>
    <row r="1827" spans="39:44" x14ac:dyDescent="0.3">
      <c r="AM1827" s="35"/>
      <c r="AN1827" s="35"/>
      <c r="AO1827" s="35"/>
      <c r="AP1827" s="35"/>
      <c r="AQ1827" s="35"/>
      <c r="AR1827" s="35"/>
    </row>
    <row r="1828" spans="39:44" x14ac:dyDescent="0.3">
      <c r="AM1828" s="35"/>
      <c r="AN1828" s="35"/>
      <c r="AO1828" s="35"/>
      <c r="AP1828" s="35"/>
      <c r="AQ1828" s="35"/>
      <c r="AR1828" s="35"/>
    </row>
    <row r="1829" spans="39:44" x14ac:dyDescent="0.3">
      <c r="AM1829" s="35"/>
      <c r="AN1829" s="35"/>
      <c r="AO1829" s="35"/>
      <c r="AP1829" s="35"/>
      <c r="AQ1829" s="35"/>
      <c r="AR1829" s="35"/>
    </row>
    <row r="1830" spans="39:44" x14ac:dyDescent="0.3">
      <c r="AM1830" s="35"/>
      <c r="AN1830" s="35"/>
      <c r="AO1830" s="35"/>
      <c r="AP1830" s="35"/>
      <c r="AQ1830" s="35"/>
      <c r="AR1830" s="35"/>
    </row>
    <row r="1831" spans="39:44" x14ac:dyDescent="0.3">
      <c r="AM1831" s="35"/>
      <c r="AN1831" s="35"/>
      <c r="AO1831" s="35"/>
      <c r="AP1831" s="35"/>
      <c r="AQ1831" s="35"/>
      <c r="AR1831" s="35"/>
    </row>
    <row r="1832" spans="39:44" x14ac:dyDescent="0.3">
      <c r="AM1832" s="35"/>
      <c r="AN1832" s="35"/>
      <c r="AO1832" s="35"/>
      <c r="AP1832" s="35"/>
      <c r="AQ1832" s="35"/>
      <c r="AR1832" s="35"/>
    </row>
    <row r="1833" spans="39:44" x14ac:dyDescent="0.3">
      <c r="AM1833" s="35"/>
      <c r="AN1833" s="35"/>
      <c r="AO1833" s="35"/>
      <c r="AP1833" s="35"/>
      <c r="AQ1833" s="35"/>
      <c r="AR1833" s="35"/>
    </row>
    <row r="1834" spans="39:44" x14ac:dyDescent="0.3">
      <c r="AM1834" s="35"/>
      <c r="AN1834" s="35"/>
      <c r="AO1834" s="35"/>
      <c r="AP1834" s="35"/>
      <c r="AQ1834" s="35"/>
      <c r="AR1834" s="35"/>
    </row>
    <row r="1835" spans="39:44" x14ac:dyDescent="0.3">
      <c r="AM1835" s="35"/>
      <c r="AN1835" s="35"/>
      <c r="AO1835" s="35"/>
      <c r="AP1835" s="35"/>
      <c r="AQ1835" s="35"/>
      <c r="AR1835" s="35"/>
    </row>
    <row r="1836" spans="39:44" x14ac:dyDescent="0.3">
      <c r="AM1836" s="35"/>
      <c r="AN1836" s="35"/>
      <c r="AO1836" s="35"/>
      <c r="AP1836" s="35"/>
      <c r="AQ1836" s="35"/>
      <c r="AR1836" s="35"/>
    </row>
    <row r="1837" spans="39:44" x14ac:dyDescent="0.3">
      <c r="AM1837" s="35"/>
      <c r="AN1837" s="35"/>
      <c r="AO1837" s="35"/>
      <c r="AP1837" s="35"/>
      <c r="AQ1837" s="35"/>
      <c r="AR1837" s="35"/>
    </row>
    <row r="1838" spans="39:44" x14ac:dyDescent="0.3">
      <c r="AM1838" s="35"/>
      <c r="AN1838" s="35"/>
      <c r="AO1838" s="35"/>
      <c r="AP1838" s="35"/>
      <c r="AQ1838" s="35"/>
      <c r="AR1838" s="35"/>
    </row>
    <row r="1839" spans="39:44" x14ac:dyDescent="0.3">
      <c r="AM1839" s="35"/>
      <c r="AN1839" s="35"/>
      <c r="AO1839" s="35"/>
      <c r="AP1839" s="35"/>
      <c r="AQ1839" s="35"/>
      <c r="AR1839" s="35"/>
    </row>
    <row r="1840" spans="39:44" x14ac:dyDescent="0.3">
      <c r="AM1840" s="35"/>
      <c r="AN1840" s="35"/>
      <c r="AO1840" s="35"/>
      <c r="AP1840" s="35"/>
      <c r="AQ1840" s="35"/>
      <c r="AR1840" s="35"/>
    </row>
    <row r="1841" spans="39:44" x14ac:dyDescent="0.3">
      <c r="AM1841" s="35"/>
      <c r="AN1841" s="35"/>
      <c r="AO1841" s="35"/>
      <c r="AP1841" s="35"/>
      <c r="AQ1841" s="35"/>
      <c r="AR1841" s="35"/>
    </row>
    <row r="1842" spans="39:44" x14ac:dyDescent="0.3">
      <c r="AM1842" s="35"/>
      <c r="AN1842" s="35"/>
      <c r="AO1842" s="35"/>
      <c r="AP1842" s="35"/>
      <c r="AQ1842" s="35"/>
      <c r="AR1842" s="35"/>
    </row>
    <row r="1843" spans="39:44" x14ac:dyDescent="0.3">
      <c r="AM1843" s="35"/>
      <c r="AN1843" s="35"/>
      <c r="AO1843" s="35"/>
      <c r="AP1843" s="35"/>
      <c r="AQ1843" s="35"/>
      <c r="AR1843" s="35"/>
    </row>
    <row r="1844" spans="39:44" x14ac:dyDescent="0.3">
      <c r="AM1844" s="35"/>
      <c r="AN1844" s="35"/>
      <c r="AO1844" s="35"/>
      <c r="AP1844" s="35"/>
      <c r="AQ1844" s="35"/>
      <c r="AR1844" s="35"/>
    </row>
    <row r="1845" spans="39:44" x14ac:dyDescent="0.3">
      <c r="AM1845" s="35"/>
      <c r="AN1845" s="35"/>
      <c r="AO1845" s="35"/>
      <c r="AP1845" s="35"/>
      <c r="AQ1845" s="35"/>
      <c r="AR1845" s="35"/>
    </row>
    <row r="1846" spans="39:44" x14ac:dyDescent="0.3">
      <c r="AM1846" s="35"/>
      <c r="AN1846" s="35"/>
      <c r="AO1846" s="35"/>
      <c r="AP1846" s="35"/>
      <c r="AQ1846" s="35"/>
      <c r="AR1846" s="35"/>
    </row>
    <row r="1847" spans="39:44" x14ac:dyDescent="0.3">
      <c r="AM1847" s="35"/>
      <c r="AN1847" s="35"/>
      <c r="AO1847" s="35"/>
      <c r="AP1847" s="35"/>
      <c r="AQ1847" s="35"/>
      <c r="AR1847" s="35"/>
    </row>
    <row r="1848" spans="39:44" x14ac:dyDescent="0.3">
      <c r="AM1848" s="35"/>
      <c r="AN1848" s="35"/>
      <c r="AO1848" s="35"/>
      <c r="AP1848" s="35"/>
      <c r="AQ1848" s="35"/>
      <c r="AR1848" s="35"/>
    </row>
    <row r="1849" spans="39:44" x14ac:dyDescent="0.3">
      <c r="AM1849" s="35"/>
      <c r="AN1849" s="35"/>
      <c r="AO1849" s="35"/>
      <c r="AP1849" s="35"/>
      <c r="AQ1849" s="35"/>
      <c r="AR1849" s="35"/>
    </row>
    <row r="1850" spans="39:44" x14ac:dyDescent="0.3">
      <c r="AM1850" s="35"/>
      <c r="AN1850" s="35"/>
      <c r="AO1850" s="35"/>
      <c r="AP1850" s="35"/>
      <c r="AQ1850" s="35"/>
      <c r="AR1850" s="35"/>
    </row>
    <row r="1851" spans="39:44" x14ac:dyDescent="0.3">
      <c r="AM1851" s="35"/>
      <c r="AN1851" s="35"/>
      <c r="AO1851" s="35"/>
      <c r="AP1851" s="35"/>
      <c r="AQ1851" s="35"/>
      <c r="AR1851" s="35"/>
    </row>
    <row r="1852" spans="39:44" x14ac:dyDescent="0.3">
      <c r="AM1852" s="35"/>
      <c r="AN1852" s="35"/>
      <c r="AO1852" s="35"/>
      <c r="AP1852" s="35"/>
      <c r="AQ1852" s="35"/>
      <c r="AR1852" s="35"/>
    </row>
    <row r="1853" spans="39:44" x14ac:dyDescent="0.3">
      <c r="AM1853" s="35"/>
      <c r="AN1853" s="35"/>
      <c r="AO1853" s="35"/>
      <c r="AP1853" s="35"/>
      <c r="AQ1853" s="35"/>
      <c r="AR1853" s="35"/>
    </row>
    <row r="1854" spans="39:44" x14ac:dyDescent="0.3">
      <c r="AM1854" s="35"/>
      <c r="AN1854" s="35"/>
      <c r="AO1854" s="35"/>
      <c r="AP1854" s="35"/>
      <c r="AQ1854" s="35"/>
      <c r="AR1854" s="35"/>
    </row>
    <row r="1855" spans="39:44" x14ac:dyDescent="0.3">
      <c r="AM1855" s="35"/>
      <c r="AN1855" s="35"/>
      <c r="AO1855" s="35"/>
      <c r="AP1855" s="35"/>
      <c r="AQ1855" s="35"/>
      <c r="AR1855" s="35"/>
    </row>
    <row r="1856" spans="39:44" x14ac:dyDescent="0.3">
      <c r="AM1856" s="35"/>
      <c r="AN1856" s="35"/>
      <c r="AO1856" s="35"/>
      <c r="AP1856" s="35"/>
      <c r="AQ1856" s="35"/>
      <c r="AR1856" s="35"/>
    </row>
    <row r="1857" spans="39:44" x14ac:dyDescent="0.3">
      <c r="AM1857" s="35"/>
      <c r="AN1857" s="35"/>
      <c r="AO1857" s="35"/>
      <c r="AP1857" s="35"/>
      <c r="AQ1857" s="35"/>
      <c r="AR1857" s="35"/>
    </row>
    <row r="1858" spans="39:44" x14ac:dyDescent="0.3">
      <c r="AM1858" s="35"/>
      <c r="AN1858" s="35"/>
      <c r="AO1858" s="35"/>
      <c r="AP1858" s="35"/>
      <c r="AQ1858" s="35"/>
      <c r="AR1858" s="35"/>
    </row>
    <row r="1859" spans="39:44" x14ac:dyDescent="0.3">
      <c r="AM1859" s="35"/>
      <c r="AN1859" s="35"/>
      <c r="AO1859" s="35"/>
      <c r="AP1859" s="35"/>
      <c r="AQ1859" s="35"/>
      <c r="AR1859" s="35"/>
    </row>
    <row r="1860" spans="39:44" x14ac:dyDescent="0.3">
      <c r="AM1860" s="35"/>
      <c r="AN1860" s="35"/>
      <c r="AO1860" s="35"/>
      <c r="AP1860" s="35"/>
      <c r="AQ1860" s="35"/>
      <c r="AR1860" s="35"/>
    </row>
    <row r="1861" spans="39:44" x14ac:dyDescent="0.3">
      <c r="AM1861" s="35"/>
      <c r="AN1861" s="35"/>
      <c r="AO1861" s="35"/>
      <c r="AP1861" s="35"/>
      <c r="AQ1861" s="35"/>
      <c r="AR1861" s="35"/>
    </row>
    <row r="1862" spans="39:44" x14ac:dyDescent="0.3">
      <c r="AM1862" s="35"/>
      <c r="AN1862" s="35"/>
      <c r="AO1862" s="35"/>
      <c r="AP1862" s="35"/>
      <c r="AQ1862" s="35"/>
      <c r="AR1862" s="35"/>
    </row>
    <row r="1863" spans="39:44" x14ac:dyDescent="0.3">
      <c r="AM1863" s="35"/>
      <c r="AN1863" s="35"/>
      <c r="AO1863" s="35"/>
      <c r="AP1863" s="35"/>
      <c r="AQ1863" s="35"/>
      <c r="AR1863" s="35"/>
    </row>
    <row r="1864" spans="39:44" x14ac:dyDescent="0.3">
      <c r="AM1864" s="35"/>
      <c r="AN1864" s="35"/>
      <c r="AO1864" s="35"/>
      <c r="AP1864" s="35"/>
      <c r="AQ1864" s="35"/>
      <c r="AR1864" s="35"/>
    </row>
    <row r="1865" spans="39:44" x14ac:dyDescent="0.3">
      <c r="AM1865" s="35"/>
      <c r="AN1865" s="35"/>
      <c r="AO1865" s="35"/>
      <c r="AP1865" s="35"/>
      <c r="AQ1865" s="35"/>
      <c r="AR1865" s="35"/>
    </row>
    <row r="1866" spans="39:44" x14ac:dyDescent="0.3">
      <c r="AM1866" s="35"/>
      <c r="AN1866" s="35"/>
      <c r="AO1866" s="35"/>
      <c r="AP1866" s="35"/>
      <c r="AQ1866" s="35"/>
      <c r="AR1866" s="35"/>
    </row>
    <row r="1867" spans="39:44" x14ac:dyDescent="0.3">
      <c r="AM1867" s="35"/>
      <c r="AN1867" s="35"/>
      <c r="AO1867" s="35"/>
      <c r="AP1867" s="35"/>
      <c r="AQ1867" s="35"/>
      <c r="AR1867" s="35"/>
    </row>
    <row r="1868" spans="39:44" x14ac:dyDescent="0.3">
      <c r="AM1868" s="35"/>
      <c r="AN1868" s="35"/>
      <c r="AO1868" s="35"/>
      <c r="AP1868" s="35"/>
      <c r="AQ1868" s="35"/>
      <c r="AR1868" s="35"/>
    </row>
    <row r="1869" spans="39:44" x14ac:dyDescent="0.3">
      <c r="AM1869" s="35"/>
      <c r="AN1869" s="35"/>
      <c r="AO1869" s="35"/>
      <c r="AP1869" s="35"/>
      <c r="AQ1869" s="35"/>
      <c r="AR1869" s="35"/>
    </row>
    <row r="1870" spans="39:44" x14ac:dyDescent="0.3">
      <c r="AM1870" s="35"/>
      <c r="AN1870" s="35"/>
      <c r="AO1870" s="35"/>
      <c r="AP1870" s="35"/>
      <c r="AQ1870" s="35"/>
      <c r="AR1870" s="35"/>
    </row>
    <row r="1871" spans="39:44" x14ac:dyDescent="0.3">
      <c r="AM1871" s="35"/>
      <c r="AN1871" s="35"/>
      <c r="AO1871" s="35"/>
      <c r="AP1871" s="35"/>
      <c r="AQ1871" s="35"/>
      <c r="AR1871" s="35"/>
    </row>
    <row r="1872" spans="39:44" x14ac:dyDescent="0.3">
      <c r="AM1872" s="35"/>
      <c r="AN1872" s="35"/>
      <c r="AO1872" s="35"/>
      <c r="AP1872" s="35"/>
      <c r="AQ1872" s="35"/>
      <c r="AR1872" s="35"/>
    </row>
    <row r="1873" spans="39:44" x14ac:dyDescent="0.3">
      <c r="AM1873" s="35"/>
      <c r="AN1873" s="35"/>
      <c r="AO1873" s="35"/>
      <c r="AP1873" s="35"/>
      <c r="AQ1873" s="35"/>
      <c r="AR1873" s="35"/>
    </row>
    <row r="1874" spans="39:44" x14ac:dyDescent="0.3">
      <c r="AM1874" s="35"/>
      <c r="AN1874" s="35"/>
      <c r="AO1874" s="35"/>
      <c r="AP1874" s="35"/>
      <c r="AQ1874" s="35"/>
      <c r="AR1874" s="35"/>
    </row>
    <row r="1875" spans="39:44" x14ac:dyDescent="0.3">
      <c r="AM1875" s="35"/>
      <c r="AN1875" s="35"/>
      <c r="AO1875" s="35"/>
      <c r="AP1875" s="35"/>
      <c r="AQ1875" s="35"/>
      <c r="AR1875" s="35"/>
    </row>
    <row r="1876" spans="39:44" x14ac:dyDescent="0.3">
      <c r="AM1876" s="35"/>
      <c r="AN1876" s="35"/>
      <c r="AO1876" s="35"/>
      <c r="AP1876" s="35"/>
      <c r="AQ1876" s="35"/>
      <c r="AR1876" s="35"/>
    </row>
    <row r="1877" spans="39:44" x14ac:dyDescent="0.3">
      <c r="AM1877" s="35"/>
      <c r="AN1877" s="35"/>
      <c r="AO1877" s="35"/>
      <c r="AP1877" s="35"/>
      <c r="AQ1877" s="35"/>
      <c r="AR1877" s="35"/>
    </row>
    <row r="1878" spans="39:44" x14ac:dyDescent="0.3">
      <c r="AM1878" s="35"/>
      <c r="AN1878" s="35"/>
      <c r="AO1878" s="35"/>
      <c r="AP1878" s="35"/>
      <c r="AQ1878" s="35"/>
      <c r="AR1878" s="35"/>
    </row>
    <row r="1879" spans="39:44" x14ac:dyDescent="0.3">
      <c r="AM1879" s="35"/>
      <c r="AN1879" s="35"/>
      <c r="AO1879" s="35"/>
      <c r="AP1879" s="35"/>
      <c r="AQ1879" s="35"/>
      <c r="AR1879" s="35"/>
    </row>
    <row r="1880" spans="39:44" x14ac:dyDescent="0.3">
      <c r="AM1880" s="35"/>
      <c r="AN1880" s="35"/>
      <c r="AO1880" s="35"/>
      <c r="AP1880" s="35"/>
      <c r="AQ1880" s="35"/>
      <c r="AR1880" s="35"/>
    </row>
    <row r="1881" spans="39:44" x14ac:dyDescent="0.3">
      <c r="AM1881" s="35"/>
      <c r="AN1881" s="35"/>
      <c r="AO1881" s="35"/>
      <c r="AP1881" s="35"/>
      <c r="AQ1881" s="35"/>
      <c r="AR1881" s="35"/>
    </row>
    <row r="1882" spans="39:44" x14ac:dyDescent="0.3">
      <c r="AM1882" s="35"/>
      <c r="AN1882" s="35"/>
      <c r="AO1882" s="35"/>
      <c r="AP1882" s="35"/>
      <c r="AQ1882" s="35"/>
      <c r="AR1882" s="35"/>
    </row>
    <row r="1883" spans="39:44" x14ac:dyDescent="0.3">
      <c r="AM1883" s="35"/>
      <c r="AN1883" s="35"/>
      <c r="AO1883" s="35"/>
      <c r="AP1883" s="35"/>
      <c r="AQ1883" s="35"/>
      <c r="AR1883" s="35"/>
    </row>
    <row r="1884" spans="39:44" x14ac:dyDescent="0.3">
      <c r="AM1884" s="35"/>
      <c r="AN1884" s="35"/>
      <c r="AO1884" s="35"/>
      <c r="AP1884" s="35"/>
      <c r="AQ1884" s="35"/>
      <c r="AR1884" s="35"/>
    </row>
    <row r="1885" spans="39:44" x14ac:dyDescent="0.3">
      <c r="AM1885" s="35"/>
      <c r="AN1885" s="35"/>
      <c r="AO1885" s="35"/>
      <c r="AP1885" s="35"/>
      <c r="AQ1885" s="35"/>
      <c r="AR1885" s="35"/>
    </row>
    <row r="1886" spans="39:44" x14ac:dyDescent="0.3">
      <c r="AM1886" s="35"/>
      <c r="AN1886" s="35"/>
      <c r="AO1886" s="35"/>
      <c r="AP1886" s="35"/>
      <c r="AQ1886" s="35"/>
      <c r="AR1886" s="35"/>
    </row>
    <row r="1887" spans="39:44" x14ac:dyDescent="0.3">
      <c r="AM1887" s="35"/>
      <c r="AN1887" s="35"/>
      <c r="AO1887" s="35"/>
      <c r="AP1887" s="35"/>
      <c r="AQ1887" s="35"/>
      <c r="AR1887" s="35"/>
    </row>
    <row r="1888" spans="39:44" x14ac:dyDescent="0.3">
      <c r="AM1888" s="35"/>
      <c r="AN1888" s="35"/>
      <c r="AO1888" s="35"/>
      <c r="AP1888" s="35"/>
      <c r="AQ1888" s="35"/>
      <c r="AR1888" s="35"/>
    </row>
    <row r="1889" spans="39:44" x14ac:dyDescent="0.3">
      <c r="AM1889" s="35"/>
      <c r="AN1889" s="35"/>
      <c r="AO1889" s="35"/>
      <c r="AP1889" s="35"/>
      <c r="AQ1889" s="35"/>
      <c r="AR1889" s="35"/>
    </row>
    <row r="1890" spans="39:44" x14ac:dyDescent="0.3">
      <c r="AM1890" s="35"/>
      <c r="AN1890" s="35"/>
      <c r="AO1890" s="35"/>
      <c r="AP1890" s="35"/>
      <c r="AQ1890" s="35"/>
      <c r="AR1890" s="35"/>
    </row>
    <row r="1891" spans="39:44" x14ac:dyDescent="0.3">
      <c r="AM1891" s="35"/>
      <c r="AN1891" s="35"/>
      <c r="AO1891" s="35"/>
      <c r="AP1891" s="35"/>
      <c r="AQ1891" s="35"/>
      <c r="AR1891" s="35"/>
    </row>
    <row r="1892" spans="39:44" x14ac:dyDescent="0.3">
      <c r="AM1892" s="35"/>
      <c r="AN1892" s="35"/>
      <c r="AO1892" s="35"/>
      <c r="AP1892" s="35"/>
      <c r="AQ1892" s="35"/>
      <c r="AR1892" s="35"/>
    </row>
    <row r="1893" spans="39:44" x14ac:dyDescent="0.3">
      <c r="AM1893" s="35"/>
      <c r="AN1893" s="35"/>
      <c r="AO1893" s="35"/>
      <c r="AP1893" s="35"/>
      <c r="AQ1893" s="35"/>
      <c r="AR1893" s="35"/>
    </row>
    <row r="1894" spans="39:44" x14ac:dyDescent="0.3">
      <c r="AM1894" s="35"/>
      <c r="AN1894" s="35"/>
      <c r="AO1894" s="35"/>
      <c r="AP1894" s="35"/>
      <c r="AQ1894" s="35"/>
      <c r="AR1894" s="35"/>
    </row>
    <row r="1895" spans="39:44" x14ac:dyDescent="0.3">
      <c r="AM1895" s="35"/>
      <c r="AN1895" s="35"/>
      <c r="AO1895" s="35"/>
      <c r="AP1895" s="35"/>
      <c r="AQ1895" s="35"/>
      <c r="AR1895" s="35"/>
    </row>
    <row r="1896" spans="39:44" x14ac:dyDescent="0.3">
      <c r="AM1896" s="35"/>
      <c r="AN1896" s="35"/>
      <c r="AO1896" s="35"/>
      <c r="AP1896" s="35"/>
      <c r="AQ1896" s="35"/>
      <c r="AR1896" s="35"/>
    </row>
    <row r="1897" spans="39:44" x14ac:dyDescent="0.3">
      <c r="AM1897" s="35"/>
      <c r="AN1897" s="35"/>
      <c r="AO1897" s="35"/>
      <c r="AP1897" s="35"/>
      <c r="AQ1897" s="35"/>
      <c r="AR1897" s="35"/>
    </row>
    <row r="1898" spans="39:44" x14ac:dyDescent="0.3">
      <c r="AM1898" s="35"/>
      <c r="AN1898" s="35"/>
      <c r="AO1898" s="35"/>
      <c r="AP1898" s="35"/>
      <c r="AQ1898" s="35"/>
      <c r="AR1898" s="35"/>
    </row>
    <row r="1899" spans="39:44" x14ac:dyDescent="0.3">
      <c r="AM1899" s="35"/>
      <c r="AN1899" s="35"/>
      <c r="AO1899" s="35"/>
      <c r="AP1899" s="35"/>
      <c r="AQ1899" s="35"/>
      <c r="AR1899" s="35"/>
    </row>
    <row r="1900" spans="39:44" x14ac:dyDescent="0.3">
      <c r="AM1900" s="35"/>
      <c r="AN1900" s="35"/>
      <c r="AO1900" s="35"/>
      <c r="AP1900" s="35"/>
      <c r="AQ1900" s="35"/>
      <c r="AR1900" s="35"/>
    </row>
    <row r="1901" spans="39:44" x14ac:dyDescent="0.3">
      <c r="AM1901" s="35"/>
      <c r="AN1901" s="35"/>
      <c r="AO1901" s="35"/>
      <c r="AP1901" s="35"/>
      <c r="AQ1901" s="35"/>
      <c r="AR1901" s="35"/>
    </row>
    <row r="1902" spans="39:44" x14ac:dyDescent="0.3">
      <c r="AM1902" s="35"/>
      <c r="AN1902" s="35"/>
      <c r="AO1902" s="35"/>
      <c r="AP1902" s="35"/>
      <c r="AQ1902" s="35"/>
      <c r="AR1902" s="35"/>
    </row>
    <row r="1903" spans="39:44" x14ac:dyDescent="0.3">
      <c r="AM1903" s="35"/>
      <c r="AN1903" s="35"/>
      <c r="AO1903" s="35"/>
      <c r="AP1903" s="35"/>
      <c r="AQ1903" s="35"/>
      <c r="AR1903" s="35"/>
    </row>
    <row r="1904" spans="39:44" x14ac:dyDescent="0.3">
      <c r="AM1904" s="35"/>
      <c r="AN1904" s="35"/>
      <c r="AO1904" s="35"/>
      <c r="AP1904" s="35"/>
      <c r="AQ1904" s="35"/>
      <c r="AR1904" s="35"/>
    </row>
    <row r="1905" spans="39:44" x14ac:dyDescent="0.3">
      <c r="AM1905" s="35"/>
      <c r="AN1905" s="35"/>
      <c r="AO1905" s="35"/>
      <c r="AP1905" s="35"/>
      <c r="AQ1905" s="35"/>
      <c r="AR1905" s="35"/>
    </row>
    <row r="1906" spans="39:44" x14ac:dyDescent="0.3">
      <c r="AM1906" s="35"/>
      <c r="AN1906" s="35"/>
      <c r="AO1906" s="35"/>
      <c r="AP1906" s="35"/>
      <c r="AQ1906" s="35"/>
      <c r="AR1906" s="35"/>
    </row>
    <row r="1907" spans="39:44" x14ac:dyDescent="0.3">
      <c r="AM1907" s="35"/>
      <c r="AN1907" s="35"/>
      <c r="AO1907" s="35"/>
      <c r="AP1907" s="35"/>
      <c r="AQ1907" s="35"/>
      <c r="AR1907" s="35"/>
    </row>
    <row r="1908" spans="39:44" x14ac:dyDescent="0.3">
      <c r="AM1908" s="35"/>
      <c r="AN1908" s="35"/>
      <c r="AO1908" s="35"/>
      <c r="AP1908" s="35"/>
      <c r="AQ1908" s="35"/>
      <c r="AR1908" s="35"/>
    </row>
    <row r="1909" spans="39:44" x14ac:dyDescent="0.3">
      <c r="AM1909" s="35"/>
      <c r="AN1909" s="35"/>
      <c r="AO1909" s="35"/>
      <c r="AP1909" s="35"/>
      <c r="AQ1909" s="35"/>
      <c r="AR1909" s="35"/>
    </row>
    <row r="1910" spans="39:44" x14ac:dyDescent="0.3">
      <c r="AM1910" s="35"/>
      <c r="AN1910" s="35"/>
      <c r="AO1910" s="35"/>
      <c r="AP1910" s="35"/>
      <c r="AQ1910" s="35"/>
      <c r="AR1910" s="35"/>
    </row>
    <row r="1911" spans="39:44" x14ac:dyDescent="0.3">
      <c r="AM1911" s="35"/>
      <c r="AN1911" s="35"/>
      <c r="AO1911" s="35"/>
      <c r="AP1911" s="35"/>
      <c r="AQ1911" s="35"/>
      <c r="AR1911" s="35"/>
    </row>
    <row r="1912" spans="39:44" x14ac:dyDescent="0.3">
      <c r="AM1912" s="35"/>
      <c r="AN1912" s="35"/>
      <c r="AO1912" s="35"/>
      <c r="AP1912" s="35"/>
      <c r="AQ1912" s="35"/>
      <c r="AR1912" s="35"/>
    </row>
    <row r="1913" spans="39:44" x14ac:dyDescent="0.3">
      <c r="AM1913" s="35"/>
      <c r="AN1913" s="35"/>
      <c r="AO1913" s="35"/>
      <c r="AP1913" s="35"/>
      <c r="AQ1913" s="35"/>
      <c r="AR1913" s="35"/>
    </row>
    <row r="1914" spans="39:44" x14ac:dyDescent="0.3">
      <c r="AM1914" s="35"/>
      <c r="AN1914" s="35"/>
      <c r="AO1914" s="35"/>
      <c r="AP1914" s="35"/>
      <c r="AQ1914" s="35"/>
      <c r="AR1914" s="35"/>
    </row>
    <row r="1915" spans="39:44" x14ac:dyDescent="0.3">
      <c r="AM1915" s="35"/>
      <c r="AN1915" s="35"/>
      <c r="AO1915" s="35"/>
      <c r="AP1915" s="35"/>
      <c r="AQ1915" s="35"/>
      <c r="AR1915" s="35"/>
    </row>
    <row r="1916" spans="39:44" x14ac:dyDescent="0.3">
      <c r="AM1916" s="35"/>
      <c r="AN1916" s="35"/>
      <c r="AO1916" s="35"/>
      <c r="AP1916" s="35"/>
      <c r="AQ1916" s="35"/>
      <c r="AR1916" s="35"/>
    </row>
    <row r="1917" spans="39:44" x14ac:dyDescent="0.3">
      <c r="AM1917" s="35"/>
      <c r="AN1917" s="35"/>
      <c r="AO1917" s="35"/>
      <c r="AP1917" s="35"/>
      <c r="AQ1917" s="35"/>
      <c r="AR1917" s="35"/>
    </row>
    <row r="1918" spans="39:44" x14ac:dyDescent="0.3">
      <c r="AM1918" s="35"/>
      <c r="AN1918" s="35"/>
      <c r="AO1918" s="35"/>
      <c r="AP1918" s="35"/>
      <c r="AQ1918" s="35"/>
      <c r="AR1918" s="35"/>
    </row>
    <row r="1919" spans="39:44" x14ac:dyDescent="0.3">
      <c r="AM1919" s="35"/>
      <c r="AN1919" s="35"/>
      <c r="AO1919" s="35"/>
      <c r="AP1919" s="35"/>
      <c r="AQ1919" s="35"/>
      <c r="AR1919" s="35"/>
    </row>
    <row r="1920" spans="39:44" x14ac:dyDescent="0.3">
      <c r="AM1920" s="35"/>
      <c r="AN1920" s="35"/>
      <c r="AO1920" s="35"/>
      <c r="AP1920" s="35"/>
      <c r="AQ1920" s="35"/>
      <c r="AR1920" s="35"/>
    </row>
    <row r="1921" spans="39:44" x14ac:dyDescent="0.3">
      <c r="AM1921" s="35"/>
      <c r="AN1921" s="35"/>
      <c r="AO1921" s="35"/>
      <c r="AP1921" s="35"/>
      <c r="AQ1921" s="35"/>
      <c r="AR1921" s="35"/>
    </row>
    <row r="1922" spans="39:44" x14ac:dyDescent="0.3">
      <c r="AM1922" s="35"/>
      <c r="AN1922" s="35"/>
      <c r="AO1922" s="35"/>
      <c r="AP1922" s="35"/>
      <c r="AQ1922" s="35"/>
      <c r="AR1922" s="35"/>
    </row>
    <row r="1923" spans="39:44" x14ac:dyDescent="0.3">
      <c r="AM1923" s="35"/>
      <c r="AN1923" s="35"/>
      <c r="AO1923" s="35"/>
      <c r="AP1923" s="35"/>
      <c r="AQ1923" s="35"/>
      <c r="AR1923" s="35"/>
    </row>
    <row r="1924" spans="39:44" x14ac:dyDescent="0.3">
      <c r="AM1924" s="35"/>
      <c r="AN1924" s="35"/>
      <c r="AO1924" s="35"/>
      <c r="AP1924" s="35"/>
      <c r="AQ1924" s="35"/>
      <c r="AR1924" s="35"/>
    </row>
    <row r="1925" spans="39:44" x14ac:dyDescent="0.3">
      <c r="AM1925" s="35"/>
      <c r="AN1925" s="35"/>
      <c r="AO1925" s="35"/>
      <c r="AP1925" s="35"/>
      <c r="AQ1925" s="35"/>
      <c r="AR1925" s="35"/>
    </row>
    <row r="1926" spans="39:44" x14ac:dyDescent="0.3">
      <c r="AM1926" s="35"/>
      <c r="AN1926" s="35"/>
      <c r="AO1926" s="35"/>
      <c r="AP1926" s="35"/>
      <c r="AQ1926" s="35"/>
      <c r="AR1926" s="35"/>
    </row>
    <row r="1927" spans="39:44" x14ac:dyDescent="0.3">
      <c r="AM1927" s="35"/>
      <c r="AN1927" s="35"/>
      <c r="AO1927" s="35"/>
      <c r="AP1927" s="35"/>
      <c r="AQ1927" s="35"/>
      <c r="AR1927" s="35"/>
    </row>
    <row r="1928" spans="39:44" x14ac:dyDescent="0.3">
      <c r="AM1928" s="35"/>
      <c r="AN1928" s="35"/>
      <c r="AO1928" s="35"/>
      <c r="AP1928" s="35"/>
      <c r="AQ1928" s="35"/>
      <c r="AR1928" s="35"/>
    </row>
    <row r="1929" spans="39:44" x14ac:dyDescent="0.3">
      <c r="AM1929" s="35"/>
      <c r="AN1929" s="35"/>
      <c r="AO1929" s="35"/>
      <c r="AP1929" s="35"/>
      <c r="AQ1929" s="35"/>
      <c r="AR1929" s="35"/>
    </row>
    <row r="1930" spans="39:44" x14ac:dyDescent="0.3">
      <c r="AM1930" s="35"/>
      <c r="AN1930" s="35"/>
      <c r="AO1930" s="35"/>
      <c r="AP1930" s="35"/>
      <c r="AQ1930" s="35"/>
      <c r="AR1930" s="35"/>
    </row>
    <row r="1931" spans="39:44" x14ac:dyDescent="0.3">
      <c r="AM1931" s="35"/>
      <c r="AN1931" s="35"/>
      <c r="AO1931" s="35"/>
      <c r="AP1931" s="35"/>
      <c r="AQ1931" s="35"/>
      <c r="AR1931" s="35"/>
    </row>
    <row r="1932" spans="39:44" x14ac:dyDescent="0.3">
      <c r="AM1932" s="35"/>
      <c r="AN1932" s="35"/>
      <c r="AO1932" s="35"/>
      <c r="AP1932" s="35"/>
      <c r="AQ1932" s="35"/>
      <c r="AR1932" s="35"/>
    </row>
    <row r="1933" spans="39:44" x14ac:dyDescent="0.3">
      <c r="AM1933" s="35"/>
      <c r="AN1933" s="35"/>
      <c r="AO1933" s="35"/>
      <c r="AP1933" s="35"/>
      <c r="AQ1933" s="35"/>
      <c r="AR1933" s="35"/>
    </row>
    <row r="1934" spans="39:44" x14ac:dyDescent="0.3">
      <c r="AM1934" s="35"/>
      <c r="AN1934" s="35"/>
      <c r="AO1934" s="35"/>
      <c r="AP1934" s="35"/>
      <c r="AQ1934" s="35"/>
      <c r="AR1934" s="35"/>
    </row>
    <row r="1935" spans="39:44" x14ac:dyDescent="0.3">
      <c r="AM1935" s="35"/>
      <c r="AN1935" s="35"/>
      <c r="AO1935" s="35"/>
      <c r="AP1935" s="35"/>
      <c r="AQ1935" s="35"/>
      <c r="AR1935" s="35"/>
    </row>
    <row r="1936" spans="39:44" x14ac:dyDescent="0.3">
      <c r="AM1936" s="35"/>
      <c r="AN1936" s="35"/>
      <c r="AO1936" s="35"/>
      <c r="AP1936" s="35"/>
      <c r="AQ1936" s="35"/>
      <c r="AR1936" s="35"/>
    </row>
    <row r="1937" spans="39:44" x14ac:dyDescent="0.3">
      <c r="AM1937" s="35"/>
      <c r="AN1937" s="35"/>
      <c r="AO1937" s="35"/>
      <c r="AP1937" s="35"/>
      <c r="AQ1937" s="35"/>
      <c r="AR1937" s="35"/>
    </row>
    <row r="1938" spans="39:44" x14ac:dyDescent="0.3">
      <c r="AM1938" s="35"/>
      <c r="AN1938" s="35"/>
      <c r="AO1938" s="35"/>
      <c r="AP1938" s="35"/>
      <c r="AQ1938" s="35"/>
      <c r="AR1938" s="35"/>
    </row>
    <row r="1939" spans="39:44" x14ac:dyDescent="0.3">
      <c r="AM1939" s="35"/>
      <c r="AN1939" s="35"/>
      <c r="AO1939" s="35"/>
      <c r="AP1939" s="35"/>
      <c r="AQ1939" s="35"/>
      <c r="AR1939" s="35"/>
    </row>
    <row r="1940" spans="39:44" x14ac:dyDescent="0.3">
      <c r="AM1940" s="35"/>
      <c r="AN1940" s="35"/>
      <c r="AO1940" s="35"/>
      <c r="AP1940" s="35"/>
      <c r="AQ1940" s="35"/>
      <c r="AR1940" s="35"/>
    </row>
    <row r="1941" spans="39:44" x14ac:dyDescent="0.3">
      <c r="AM1941" s="35"/>
      <c r="AN1941" s="35"/>
      <c r="AO1941" s="35"/>
      <c r="AP1941" s="35"/>
      <c r="AQ1941" s="35"/>
      <c r="AR1941" s="35"/>
    </row>
    <row r="1942" spans="39:44" x14ac:dyDescent="0.3">
      <c r="AM1942" s="35"/>
      <c r="AN1942" s="35"/>
      <c r="AO1942" s="35"/>
      <c r="AP1942" s="35"/>
      <c r="AQ1942" s="35"/>
      <c r="AR1942" s="35"/>
    </row>
    <row r="1943" spans="39:44" x14ac:dyDescent="0.3">
      <c r="AM1943" s="35"/>
      <c r="AN1943" s="35"/>
      <c r="AO1943" s="35"/>
      <c r="AP1943" s="35"/>
      <c r="AQ1943" s="35"/>
      <c r="AR1943" s="35"/>
    </row>
    <row r="1944" spans="39:44" x14ac:dyDescent="0.3">
      <c r="AM1944" s="35"/>
      <c r="AN1944" s="35"/>
      <c r="AO1944" s="35"/>
      <c r="AP1944" s="35"/>
      <c r="AQ1944" s="35"/>
      <c r="AR1944" s="35"/>
    </row>
    <row r="1945" spans="39:44" x14ac:dyDescent="0.3">
      <c r="AM1945" s="35"/>
      <c r="AN1945" s="35"/>
      <c r="AO1945" s="35"/>
      <c r="AP1945" s="35"/>
      <c r="AQ1945" s="35"/>
      <c r="AR1945" s="35"/>
    </row>
    <row r="1946" spans="39:44" x14ac:dyDescent="0.3">
      <c r="AM1946" s="35"/>
      <c r="AN1946" s="35"/>
      <c r="AO1946" s="35"/>
      <c r="AP1946" s="35"/>
      <c r="AQ1946" s="35"/>
      <c r="AR1946" s="35"/>
    </row>
    <row r="1947" spans="39:44" x14ac:dyDescent="0.3">
      <c r="AM1947" s="35"/>
      <c r="AN1947" s="35"/>
      <c r="AO1947" s="35"/>
      <c r="AP1947" s="35"/>
      <c r="AQ1947" s="35"/>
      <c r="AR1947" s="35"/>
    </row>
    <row r="1948" spans="39:44" x14ac:dyDescent="0.3">
      <c r="AM1948" s="35"/>
      <c r="AN1948" s="35"/>
      <c r="AO1948" s="35"/>
      <c r="AP1948" s="35"/>
      <c r="AQ1948" s="35"/>
      <c r="AR1948" s="35"/>
    </row>
    <row r="1949" spans="39:44" x14ac:dyDescent="0.3">
      <c r="AM1949" s="35"/>
      <c r="AN1949" s="35"/>
      <c r="AO1949" s="35"/>
      <c r="AP1949" s="35"/>
      <c r="AQ1949" s="35"/>
      <c r="AR1949" s="35"/>
    </row>
    <row r="1950" spans="39:44" x14ac:dyDescent="0.3">
      <c r="AM1950" s="35"/>
      <c r="AN1950" s="35"/>
      <c r="AO1950" s="35"/>
      <c r="AP1950" s="35"/>
      <c r="AQ1950" s="35"/>
      <c r="AR1950" s="35"/>
    </row>
    <row r="1951" spans="39:44" x14ac:dyDescent="0.3">
      <c r="AM1951" s="35"/>
      <c r="AN1951" s="35"/>
      <c r="AO1951" s="35"/>
      <c r="AP1951" s="35"/>
      <c r="AQ1951" s="35"/>
      <c r="AR1951" s="35"/>
    </row>
    <row r="1952" spans="39:44" x14ac:dyDescent="0.3">
      <c r="AM1952" s="35"/>
      <c r="AN1952" s="35"/>
      <c r="AO1952" s="35"/>
      <c r="AP1952" s="35"/>
      <c r="AQ1952" s="35"/>
      <c r="AR1952" s="35"/>
    </row>
    <row r="1953" spans="39:44" x14ac:dyDescent="0.3">
      <c r="AM1953" s="35"/>
      <c r="AN1953" s="35"/>
      <c r="AO1953" s="35"/>
      <c r="AP1953" s="35"/>
      <c r="AQ1953" s="35"/>
      <c r="AR1953" s="35"/>
    </row>
    <row r="1954" spans="39:44" x14ac:dyDescent="0.3">
      <c r="AM1954" s="35"/>
      <c r="AN1954" s="35"/>
      <c r="AO1954" s="35"/>
      <c r="AP1954" s="35"/>
      <c r="AQ1954" s="35"/>
      <c r="AR1954" s="35"/>
    </row>
    <row r="1955" spans="39:44" x14ac:dyDescent="0.3">
      <c r="AM1955" s="35"/>
      <c r="AN1955" s="35"/>
      <c r="AO1955" s="35"/>
      <c r="AP1955" s="35"/>
      <c r="AQ1955" s="35"/>
      <c r="AR1955" s="35"/>
    </row>
    <row r="1956" spans="39:44" x14ac:dyDescent="0.3">
      <c r="AM1956" s="35"/>
      <c r="AN1956" s="35"/>
      <c r="AO1956" s="35"/>
      <c r="AP1956" s="35"/>
      <c r="AQ1956" s="35"/>
      <c r="AR1956" s="35"/>
    </row>
    <row r="1957" spans="39:44" x14ac:dyDescent="0.3">
      <c r="AM1957" s="35"/>
      <c r="AN1957" s="35"/>
      <c r="AO1957" s="35"/>
      <c r="AP1957" s="35"/>
      <c r="AQ1957" s="35"/>
      <c r="AR1957" s="35"/>
    </row>
    <row r="1958" spans="39:44" x14ac:dyDescent="0.3">
      <c r="AM1958" s="35"/>
      <c r="AN1958" s="35"/>
      <c r="AO1958" s="35"/>
      <c r="AP1958" s="35"/>
      <c r="AQ1958" s="35"/>
      <c r="AR1958" s="35"/>
    </row>
    <row r="1959" spans="39:44" x14ac:dyDescent="0.3">
      <c r="AM1959" s="35"/>
      <c r="AN1959" s="35"/>
      <c r="AO1959" s="35"/>
      <c r="AP1959" s="35"/>
      <c r="AQ1959" s="35"/>
      <c r="AR1959" s="35"/>
    </row>
    <row r="1960" spans="39:44" x14ac:dyDescent="0.3">
      <c r="AM1960" s="35"/>
      <c r="AN1960" s="35"/>
      <c r="AO1960" s="35"/>
      <c r="AP1960" s="35"/>
      <c r="AQ1960" s="35"/>
      <c r="AR1960" s="35"/>
    </row>
    <row r="1961" spans="39:44" x14ac:dyDescent="0.3">
      <c r="AM1961" s="35"/>
      <c r="AN1961" s="35"/>
      <c r="AO1961" s="35"/>
      <c r="AP1961" s="35"/>
      <c r="AQ1961" s="35"/>
      <c r="AR1961" s="35"/>
    </row>
    <row r="1962" spans="39:44" x14ac:dyDescent="0.3">
      <c r="AM1962" s="35"/>
      <c r="AN1962" s="35"/>
      <c r="AO1962" s="35"/>
      <c r="AP1962" s="35"/>
      <c r="AQ1962" s="35"/>
      <c r="AR1962" s="35"/>
    </row>
    <row r="1963" spans="39:44" x14ac:dyDescent="0.3">
      <c r="AM1963" s="35"/>
      <c r="AN1963" s="35"/>
      <c r="AO1963" s="35"/>
      <c r="AP1963" s="35"/>
      <c r="AQ1963" s="35"/>
      <c r="AR1963" s="35"/>
    </row>
    <row r="1964" spans="39:44" x14ac:dyDescent="0.3">
      <c r="AM1964" s="35"/>
      <c r="AN1964" s="35"/>
      <c r="AO1964" s="35"/>
      <c r="AP1964" s="35"/>
      <c r="AQ1964" s="35"/>
      <c r="AR1964" s="35"/>
    </row>
    <row r="1965" spans="39:44" x14ac:dyDescent="0.3">
      <c r="AM1965" s="35"/>
      <c r="AN1965" s="35"/>
      <c r="AO1965" s="35"/>
      <c r="AP1965" s="35"/>
      <c r="AQ1965" s="35"/>
      <c r="AR1965" s="35"/>
    </row>
    <row r="1966" spans="39:44" x14ac:dyDescent="0.3">
      <c r="AM1966" s="35"/>
      <c r="AN1966" s="35"/>
      <c r="AO1966" s="35"/>
      <c r="AP1966" s="35"/>
      <c r="AQ1966" s="35"/>
      <c r="AR1966" s="35"/>
    </row>
    <row r="1967" spans="39:44" x14ac:dyDescent="0.3">
      <c r="AM1967" s="35"/>
      <c r="AN1967" s="35"/>
      <c r="AO1967" s="35"/>
      <c r="AP1967" s="35"/>
      <c r="AQ1967" s="35"/>
      <c r="AR1967" s="35"/>
    </row>
    <row r="1968" spans="39:44" x14ac:dyDescent="0.3">
      <c r="AM1968" s="35"/>
      <c r="AN1968" s="35"/>
      <c r="AO1968" s="35"/>
      <c r="AP1968" s="35"/>
      <c r="AQ1968" s="35"/>
      <c r="AR1968" s="35"/>
    </row>
    <row r="1969" spans="39:44" x14ac:dyDescent="0.3">
      <c r="AM1969" s="35"/>
      <c r="AN1969" s="35"/>
      <c r="AO1969" s="35"/>
      <c r="AP1969" s="35"/>
      <c r="AQ1969" s="35"/>
      <c r="AR1969" s="35"/>
    </row>
    <row r="1970" spans="39:44" x14ac:dyDescent="0.3">
      <c r="AM1970" s="35"/>
      <c r="AN1970" s="35"/>
      <c r="AO1970" s="35"/>
      <c r="AP1970" s="35"/>
      <c r="AQ1970" s="35"/>
      <c r="AR1970" s="35"/>
    </row>
    <row r="1971" spans="39:44" x14ac:dyDescent="0.3">
      <c r="AM1971" s="35"/>
      <c r="AN1971" s="35"/>
      <c r="AO1971" s="35"/>
      <c r="AP1971" s="35"/>
      <c r="AQ1971" s="35"/>
      <c r="AR1971" s="35"/>
    </row>
    <row r="1972" spans="39:44" x14ac:dyDescent="0.3">
      <c r="AM1972" s="35"/>
      <c r="AN1972" s="35"/>
      <c r="AO1972" s="35"/>
      <c r="AP1972" s="35"/>
      <c r="AQ1972" s="35"/>
      <c r="AR1972" s="35"/>
    </row>
    <row r="1973" spans="39:44" x14ac:dyDescent="0.3">
      <c r="AM1973" s="35"/>
      <c r="AN1973" s="35"/>
      <c r="AO1973" s="35"/>
      <c r="AP1973" s="35"/>
      <c r="AQ1973" s="35"/>
      <c r="AR1973" s="35"/>
    </row>
    <row r="1974" spans="39:44" x14ac:dyDescent="0.3">
      <c r="AM1974" s="35"/>
      <c r="AN1974" s="35"/>
      <c r="AO1974" s="35"/>
      <c r="AP1974" s="35"/>
      <c r="AQ1974" s="35"/>
      <c r="AR1974" s="35"/>
    </row>
    <row r="1975" spans="39:44" x14ac:dyDescent="0.3">
      <c r="AM1975" s="35"/>
      <c r="AN1975" s="35"/>
      <c r="AO1975" s="35"/>
      <c r="AP1975" s="35"/>
      <c r="AQ1975" s="35"/>
      <c r="AR1975" s="35"/>
    </row>
    <row r="1976" spans="39:44" x14ac:dyDescent="0.3">
      <c r="AM1976" s="35"/>
      <c r="AN1976" s="35"/>
      <c r="AO1976" s="35"/>
      <c r="AP1976" s="35"/>
      <c r="AQ1976" s="35"/>
      <c r="AR1976" s="35"/>
    </row>
    <row r="1977" spans="39:44" x14ac:dyDescent="0.3">
      <c r="AM1977" s="35"/>
      <c r="AN1977" s="35"/>
      <c r="AO1977" s="35"/>
      <c r="AP1977" s="35"/>
      <c r="AQ1977" s="35"/>
      <c r="AR1977" s="35"/>
    </row>
    <row r="1978" spans="39:44" x14ac:dyDescent="0.3">
      <c r="AM1978" s="35"/>
      <c r="AN1978" s="35"/>
      <c r="AO1978" s="35"/>
      <c r="AP1978" s="35"/>
      <c r="AQ1978" s="35"/>
      <c r="AR1978" s="35"/>
    </row>
    <row r="1979" spans="39:44" x14ac:dyDescent="0.3">
      <c r="AM1979" s="35"/>
      <c r="AN1979" s="35"/>
      <c r="AO1979" s="35"/>
      <c r="AP1979" s="35"/>
      <c r="AQ1979" s="35"/>
      <c r="AR1979" s="35"/>
    </row>
    <row r="1980" spans="39:44" x14ac:dyDescent="0.3">
      <c r="AM1980" s="35"/>
      <c r="AN1980" s="35"/>
      <c r="AO1980" s="35"/>
      <c r="AP1980" s="35"/>
      <c r="AQ1980" s="35"/>
      <c r="AR1980" s="35"/>
    </row>
    <row r="1981" spans="39:44" x14ac:dyDescent="0.3">
      <c r="AM1981" s="35"/>
      <c r="AN1981" s="35"/>
      <c r="AO1981" s="35"/>
      <c r="AP1981" s="35"/>
      <c r="AQ1981" s="35"/>
      <c r="AR1981" s="35"/>
    </row>
    <row r="1982" spans="39:44" x14ac:dyDescent="0.3">
      <c r="AM1982" s="35"/>
      <c r="AN1982" s="35"/>
      <c r="AO1982" s="35"/>
      <c r="AP1982" s="35"/>
      <c r="AQ1982" s="35"/>
      <c r="AR1982" s="35"/>
    </row>
    <row r="1983" spans="39:44" x14ac:dyDescent="0.3">
      <c r="AM1983" s="35"/>
      <c r="AN1983" s="35"/>
      <c r="AO1983" s="35"/>
      <c r="AP1983" s="35"/>
      <c r="AQ1983" s="35"/>
      <c r="AR1983" s="35"/>
    </row>
    <row r="1984" spans="39:44" x14ac:dyDescent="0.3">
      <c r="AM1984" s="35"/>
      <c r="AN1984" s="35"/>
      <c r="AO1984" s="35"/>
      <c r="AP1984" s="35"/>
      <c r="AQ1984" s="35"/>
      <c r="AR1984" s="35"/>
    </row>
    <row r="1985" spans="39:44" x14ac:dyDescent="0.3">
      <c r="AM1985" s="35"/>
      <c r="AN1985" s="35"/>
      <c r="AO1985" s="35"/>
      <c r="AP1985" s="35"/>
      <c r="AQ1985" s="35"/>
      <c r="AR1985" s="35"/>
    </row>
    <row r="1986" spans="39:44" x14ac:dyDescent="0.3">
      <c r="AM1986" s="35"/>
      <c r="AN1986" s="35"/>
      <c r="AO1986" s="35"/>
      <c r="AP1986" s="35"/>
      <c r="AQ1986" s="35"/>
      <c r="AR1986" s="35"/>
    </row>
    <row r="1987" spans="39:44" x14ac:dyDescent="0.3">
      <c r="AM1987" s="35"/>
      <c r="AN1987" s="35"/>
      <c r="AO1987" s="35"/>
      <c r="AP1987" s="35"/>
      <c r="AQ1987" s="35"/>
      <c r="AR1987" s="35"/>
    </row>
    <row r="1988" spans="39:44" x14ac:dyDescent="0.3">
      <c r="AM1988" s="35"/>
      <c r="AN1988" s="35"/>
      <c r="AO1988" s="35"/>
      <c r="AP1988" s="35"/>
      <c r="AQ1988" s="35"/>
      <c r="AR1988" s="35"/>
    </row>
    <row r="1989" spans="39:44" x14ac:dyDescent="0.3">
      <c r="AM1989" s="35"/>
      <c r="AN1989" s="35"/>
      <c r="AO1989" s="35"/>
      <c r="AP1989" s="35"/>
      <c r="AQ1989" s="35"/>
      <c r="AR1989" s="35"/>
    </row>
    <row r="1990" spans="39:44" x14ac:dyDescent="0.3">
      <c r="AM1990" s="35"/>
      <c r="AN1990" s="35"/>
      <c r="AO1990" s="35"/>
      <c r="AP1990" s="35"/>
      <c r="AQ1990" s="35"/>
      <c r="AR1990" s="35"/>
    </row>
    <row r="1991" spans="39:44" x14ac:dyDescent="0.3">
      <c r="AM1991" s="35"/>
      <c r="AN1991" s="35"/>
      <c r="AO1991" s="35"/>
      <c r="AP1991" s="35"/>
      <c r="AQ1991" s="35"/>
      <c r="AR1991" s="35"/>
    </row>
    <row r="1992" spans="39:44" x14ac:dyDescent="0.3">
      <c r="AM1992" s="35"/>
      <c r="AN1992" s="35"/>
      <c r="AO1992" s="35"/>
      <c r="AP1992" s="35"/>
      <c r="AQ1992" s="35"/>
      <c r="AR1992" s="35"/>
    </row>
    <row r="1993" spans="39:44" x14ac:dyDescent="0.3">
      <c r="AM1993" s="35"/>
      <c r="AN1993" s="35"/>
      <c r="AO1993" s="35"/>
      <c r="AP1993" s="35"/>
      <c r="AQ1993" s="35"/>
      <c r="AR1993" s="35"/>
    </row>
    <row r="1994" spans="39:44" x14ac:dyDescent="0.3">
      <c r="AM1994" s="35"/>
      <c r="AN1994" s="35"/>
      <c r="AO1994" s="35"/>
      <c r="AP1994" s="35"/>
      <c r="AQ1994" s="35"/>
      <c r="AR1994" s="35"/>
    </row>
    <row r="1995" spans="39:44" x14ac:dyDescent="0.3">
      <c r="AM1995" s="35"/>
      <c r="AN1995" s="35"/>
      <c r="AO1995" s="35"/>
      <c r="AP1995" s="35"/>
      <c r="AQ1995" s="35"/>
      <c r="AR1995" s="35"/>
    </row>
    <row r="1996" spans="39:44" x14ac:dyDescent="0.3">
      <c r="AM1996" s="35"/>
      <c r="AN1996" s="35"/>
      <c r="AO1996" s="35"/>
      <c r="AP1996" s="35"/>
      <c r="AQ1996" s="35"/>
      <c r="AR1996" s="35"/>
    </row>
    <row r="1997" spans="39:44" x14ac:dyDescent="0.3">
      <c r="AM1997" s="35"/>
      <c r="AN1997" s="35"/>
      <c r="AO1997" s="35"/>
      <c r="AP1997" s="35"/>
      <c r="AQ1997" s="35"/>
      <c r="AR1997" s="35"/>
    </row>
    <row r="1998" spans="39:44" x14ac:dyDescent="0.3">
      <c r="AM1998" s="35"/>
      <c r="AN1998" s="35"/>
      <c r="AO1998" s="35"/>
      <c r="AP1998" s="35"/>
      <c r="AQ1998" s="35"/>
      <c r="AR1998" s="35"/>
    </row>
    <row r="1999" spans="39:44" x14ac:dyDescent="0.3">
      <c r="AM1999" s="35"/>
      <c r="AN1999" s="35"/>
      <c r="AO1999" s="35"/>
      <c r="AP1999" s="35"/>
      <c r="AQ1999" s="35"/>
      <c r="AR1999" s="35"/>
    </row>
    <row r="2000" spans="39:44" x14ac:dyDescent="0.3">
      <c r="AM2000" s="35"/>
      <c r="AN2000" s="35"/>
      <c r="AO2000" s="35"/>
      <c r="AP2000" s="35"/>
      <c r="AQ2000" s="35"/>
      <c r="AR2000" s="35"/>
    </row>
    <row r="2001" spans="39:44" x14ac:dyDescent="0.3">
      <c r="AM2001" s="35"/>
      <c r="AN2001" s="35"/>
      <c r="AO2001" s="35"/>
      <c r="AP2001" s="35"/>
      <c r="AQ2001" s="35"/>
      <c r="AR2001" s="35"/>
    </row>
    <row r="2002" spans="39:44" x14ac:dyDescent="0.3">
      <c r="AM2002" s="35"/>
      <c r="AN2002" s="35"/>
      <c r="AO2002" s="35"/>
      <c r="AP2002" s="35"/>
      <c r="AQ2002" s="35"/>
      <c r="AR2002" s="35"/>
    </row>
    <row r="2003" spans="39:44" x14ac:dyDescent="0.3">
      <c r="AM2003" s="35"/>
      <c r="AN2003" s="35"/>
      <c r="AO2003" s="35"/>
      <c r="AP2003" s="35"/>
      <c r="AQ2003" s="35"/>
      <c r="AR2003" s="35"/>
    </row>
    <row r="2004" spans="39:44" x14ac:dyDescent="0.3">
      <c r="AM2004" s="35"/>
      <c r="AN2004" s="35"/>
      <c r="AO2004" s="35"/>
      <c r="AP2004" s="35"/>
      <c r="AQ2004" s="35"/>
      <c r="AR2004" s="35"/>
    </row>
    <row r="2005" spans="39:44" x14ac:dyDescent="0.3">
      <c r="AM2005" s="35"/>
      <c r="AN2005" s="35"/>
      <c r="AO2005" s="35"/>
      <c r="AP2005" s="35"/>
      <c r="AQ2005" s="35"/>
      <c r="AR2005" s="35"/>
    </row>
    <row r="2006" spans="39:44" x14ac:dyDescent="0.3">
      <c r="AM2006" s="35"/>
      <c r="AN2006" s="35"/>
      <c r="AO2006" s="35"/>
      <c r="AP2006" s="35"/>
      <c r="AQ2006" s="35"/>
      <c r="AR2006" s="35"/>
    </row>
    <row r="2007" spans="39:44" x14ac:dyDescent="0.3">
      <c r="AM2007" s="35"/>
      <c r="AN2007" s="35"/>
      <c r="AO2007" s="35"/>
      <c r="AP2007" s="35"/>
      <c r="AQ2007" s="35"/>
      <c r="AR2007" s="35"/>
    </row>
    <row r="2008" spans="39:44" x14ac:dyDescent="0.3">
      <c r="AM2008" s="35"/>
      <c r="AN2008" s="35"/>
      <c r="AO2008" s="35"/>
      <c r="AP2008" s="35"/>
      <c r="AQ2008" s="35"/>
      <c r="AR2008" s="35"/>
    </row>
    <row r="2009" spans="39:44" x14ac:dyDescent="0.3">
      <c r="AM2009" s="35"/>
      <c r="AN2009" s="35"/>
      <c r="AO2009" s="35"/>
      <c r="AP2009" s="35"/>
      <c r="AQ2009" s="35"/>
      <c r="AR2009" s="35"/>
    </row>
    <row r="2010" spans="39:44" x14ac:dyDescent="0.3">
      <c r="AM2010" s="35"/>
      <c r="AN2010" s="35"/>
      <c r="AO2010" s="35"/>
      <c r="AP2010" s="35"/>
      <c r="AQ2010" s="35"/>
      <c r="AR2010" s="35"/>
    </row>
    <row r="2011" spans="39:44" x14ac:dyDescent="0.3">
      <c r="AM2011" s="35"/>
      <c r="AN2011" s="35"/>
      <c r="AO2011" s="35"/>
      <c r="AP2011" s="35"/>
      <c r="AQ2011" s="35"/>
      <c r="AR2011" s="35"/>
    </row>
    <row r="2012" spans="39:44" x14ac:dyDescent="0.3">
      <c r="AM2012" s="35"/>
      <c r="AN2012" s="35"/>
      <c r="AO2012" s="35"/>
      <c r="AP2012" s="35"/>
      <c r="AQ2012" s="35"/>
      <c r="AR2012" s="35"/>
    </row>
    <row r="2013" spans="39:44" x14ac:dyDescent="0.3">
      <c r="AM2013" s="35"/>
      <c r="AN2013" s="35"/>
      <c r="AO2013" s="35"/>
      <c r="AP2013" s="35"/>
      <c r="AQ2013" s="35"/>
      <c r="AR2013" s="35"/>
    </row>
    <row r="2014" spans="39:44" x14ac:dyDescent="0.3">
      <c r="AM2014" s="35"/>
      <c r="AN2014" s="35"/>
      <c r="AO2014" s="35"/>
      <c r="AP2014" s="35"/>
      <c r="AQ2014" s="35"/>
      <c r="AR2014" s="35"/>
    </row>
    <row r="2015" spans="39:44" x14ac:dyDescent="0.3">
      <c r="AM2015" s="35"/>
      <c r="AN2015" s="35"/>
      <c r="AO2015" s="35"/>
      <c r="AP2015" s="35"/>
      <c r="AQ2015" s="35"/>
      <c r="AR2015" s="35"/>
    </row>
    <row r="2016" spans="39:44" x14ac:dyDescent="0.3">
      <c r="AM2016" s="35"/>
      <c r="AN2016" s="35"/>
      <c r="AO2016" s="35"/>
      <c r="AP2016" s="35"/>
      <c r="AQ2016" s="35"/>
      <c r="AR2016" s="35"/>
    </row>
    <row r="2017" spans="39:44" x14ac:dyDescent="0.3">
      <c r="AM2017" s="35"/>
      <c r="AN2017" s="35"/>
      <c r="AO2017" s="35"/>
      <c r="AP2017" s="35"/>
      <c r="AQ2017" s="35"/>
      <c r="AR2017" s="35"/>
    </row>
    <row r="2018" spans="39:44" x14ac:dyDescent="0.3">
      <c r="AM2018" s="35"/>
      <c r="AN2018" s="35"/>
      <c r="AO2018" s="35"/>
      <c r="AP2018" s="35"/>
      <c r="AQ2018" s="35"/>
      <c r="AR2018" s="35"/>
    </row>
    <row r="2019" spans="39:44" x14ac:dyDescent="0.3">
      <c r="AM2019" s="35"/>
      <c r="AN2019" s="35"/>
      <c r="AO2019" s="35"/>
      <c r="AP2019" s="35"/>
      <c r="AQ2019" s="35"/>
      <c r="AR2019" s="35"/>
    </row>
    <row r="2020" spans="39:44" x14ac:dyDescent="0.3">
      <c r="AM2020" s="35"/>
      <c r="AN2020" s="35"/>
      <c r="AO2020" s="35"/>
      <c r="AP2020" s="35"/>
      <c r="AQ2020" s="35"/>
      <c r="AR2020" s="35"/>
    </row>
    <row r="2021" spans="39:44" x14ac:dyDescent="0.3">
      <c r="AM2021" s="35"/>
      <c r="AN2021" s="35"/>
      <c r="AO2021" s="35"/>
      <c r="AP2021" s="35"/>
      <c r="AQ2021" s="35"/>
      <c r="AR2021" s="35"/>
    </row>
    <row r="2022" spans="39:44" x14ac:dyDescent="0.3">
      <c r="AM2022" s="35"/>
      <c r="AN2022" s="35"/>
      <c r="AO2022" s="35"/>
      <c r="AP2022" s="35"/>
      <c r="AQ2022" s="35"/>
      <c r="AR2022" s="35"/>
    </row>
    <row r="2023" spans="39:44" x14ac:dyDescent="0.3">
      <c r="AM2023" s="35"/>
      <c r="AN2023" s="35"/>
      <c r="AO2023" s="35"/>
      <c r="AP2023" s="35"/>
      <c r="AQ2023" s="35"/>
      <c r="AR2023" s="35"/>
    </row>
    <row r="2024" spans="39:44" x14ac:dyDescent="0.3">
      <c r="AM2024" s="35"/>
      <c r="AN2024" s="35"/>
      <c r="AO2024" s="35"/>
      <c r="AP2024" s="35"/>
      <c r="AQ2024" s="35"/>
      <c r="AR2024" s="35"/>
    </row>
    <row r="2025" spans="39:44" x14ac:dyDescent="0.3">
      <c r="AM2025" s="35"/>
      <c r="AN2025" s="35"/>
      <c r="AO2025" s="35"/>
      <c r="AP2025" s="35"/>
      <c r="AQ2025" s="35"/>
      <c r="AR2025" s="35"/>
    </row>
    <row r="2026" spans="39:44" x14ac:dyDescent="0.3">
      <c r="AM2026" s="35"/>
      <c r="AN2026" s="35"/>
      <c r="AO2026" s="35"/>
      <c r="AP2026" s="35"/>
      <c r="AQ2026" s="35"/>
      <c r="AR2026" s="35"/>
    </row>
    <row r="2027" spans="39:44" x14ac:dyDescent="0.3">
      <c r="AM2027" s="35"/>
      <c r="AN2027" s="35"/>
      <c r="AO2027" s="35"/>
      <c r="AP2027" s="35"/>
      <c r="AQ2027" s="35"/>
      <c r="AR2027" s="35"/>
    </row>
    <row r="2028" spans="39:44" x14ac:dyDescent="0.3">
      <c r="AM2028" s="35"/>
      <c r="AN2028" s="35"/>
      <c r="AO2028" s="35"/>
      <c r="AP2028" s="35"/>
      <c r="AQ2028" s="35"/>
      <c r="AR2028" s="35"/>
    </row>
    <row r="2029" spans="39:44" x14ac:dyDescent="0.3">
      <c r="AM2029" s="35"/>
      <c r="AN2029" s="35"/>
      <c r="AO2029" s="35"/>
      <c r="AP2029" s="35"/>
      <c r="AQ2029" s="35"/>
      <c r="AR2029" s="35"/>
    </row>
    <row r="2030" spans="39:44" x14ac:dyDescent="0.3">
      <c r="AM2030" s="35"/>
      <c r="AN2030" s="35"/>
      <c r="AO2030" s="35"/>
      <c r="AP2030" s="35"/>
      <c r="AQ2030" s="35"/>
      <c r="AR2030" s="35"/>
    </row>
    <row r="2031" spans="39:44" x14ac:dyDescent="0.3">
      <c r="AM2031" s="35"/>
      <c r="AN2031" s="35"/>
      <c r="AO2031" s="35"/>
      <c r="AP2031" s="35"/>
      <c r="AQ2031" s="35"/>
      <c r="AR2031" s="35"/>
    </row>
    <row r="2032" spans="39:44" x14ac:dyDescent="0.3">
      <c r="AM2032" s="35"/>
      <c r="AN2032" s="35"/>
      <c r="AO2032" s="35"/>
      <c r="AP2032" s="35"/>
      <c r="AQ2032" s="35"/>
      <c r="AR2032" s="35"/>
    </row>
  </sheetData>
  <mergeCells count="3">
    <mergeCell ref="T25:U25"/>
    <mergeCell ref="V25:W25"/>
    <mergeCell ref="X25:Y25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'Help Page'!$I$2:$I$5</xm:f>
          </x14:formula1>
          <xm:sqref>S8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A1:U77"/>
  <sheetViews>
    <sheetView showGridLines="0" tabSelected="1" zoomScaleNormal="100" workbookViewId="0">
      <selection activeCell="H9" sqref="H9"/>
    </sheetView>
  </sheetViews>
  <sheetFormatPr defaultColWidth="9.109375" defaultRowHeight="14.4" x14ac:dyDescent="0.3"/>
  <cols>
    <col min="1" max="1" width="38.109375" style="5" customWidth="1"/>
    <col min="2" max="2" width="19" style="5" customWidth="1"/>
    <col min="3" max="3" width="14.5546875" style="5" bestFit="1" customWidth="1"/>
    <col min="4" max="4" width="14.88671875" style="5" customWidth="1"/>
    <col min="5" max="5" width="9.109375" style="5"/>
    <col min="6" max="6" width="8.5546875" style="5" customWidth="1"/>
    <col min="7" max="8" width="9.109375" style="1"/>
    <col min="9" max="9" width="10" style="1" bestFit="1" customWidth="1"/>
    <col min="10" max="12" width="9.109375" style="1"/>
    <col min="13" max="13" width="8.88671875" style="1" customWidth="1"/>
    <col min="14" max="18" width="9.109375" style="1"/>
    <col min="19" max="16384" width="9.109375" style="5"/>
  </cols>
  <sheetData>
    <row r="1" spans="1:17" x14ac:dyDescent="0.3">
      <c r="A1" s="65" t="str">
        <f>Calculation!B21</f>
        <v>Газпром, акция об.</v>
      </c>
      <c r="B1" s="87" t="str">
        <f>Calculation!B9</f>
        <v>GAZP</v>
      </c>
      <c r="C1" s="65"/>
      <c r="D1" s="66"/>
      <c r="E1" s="6"/>
      <c r="F1" s="6"/>
    </row>
    <row r="2" spans="1:17" x14ac:dyDescent="0.3">
      <c r="A2" s="67" t="s">
        <v>0</v>
      </c>
      <c r="B2" s="127" t="str">
        <f>Calculation!B1</f>
        <v>RU0007661625</v>
      </c>
      <c r="C2" s="127"/>
      <c r="D2" s="127"/>
      <c r="E2" s="7"/>
      <c r="F2" s="7"/>
      <c r="I2" s="1" t="s">
        <v>523</v>
      </c>
      <c r="O2" s="5"/>
      <c r="P2" s="5"/>
      <c r="Q2" s="5"/>
    </row>
    <row r="3" spans="1:17" x14ac:dyDescent="0.3">
      <c r="A3" s="68" t="s">
        <v>1</v>
      </c>
      <c r="B3" s="128" t="str">
        <f>Calculation!U2</f>
        <v>"Газпром", ПАО</v>
      </c>
      <c r="C3" s="129"/>
      <c r="D3" s="129"/>
      <c r="E3" s="8"/>
      <c r="F3" s="8"/>
      <c r="I3" s="118" t="s">
        <v>524</v>
      </c>
      <c r="J3" s="118"/>
      <c r="K3" s="118"/>
      <c r="L3" s="13"/>
      <c r="M3" s="13"/>
      <c r="N3" s="13"/>
      <c r="O3" s="5"/>
      <c r="P3" s="5"/>
      <c r="Q3" s="5"/>
    </row>
    <row r="4" spans="1:17" x14ac:dyDescent="0.3">
      <c r="A4" s="69" t="s">
        <v>111</v>
      </c>
      <c r="B4" s="124" t="str">
        <f>Calculation!V2</f>
        <v>Нефтегазовый</v>
      </c>
      <c r="C4" s="124"/>
      <c r="D4" s="124"/>
      <c r="E4" s="2"/>
      <c r="F4" s="2"/>
      <c r="I4" s="118" t="s">
        <v>525</v>
      </c>
      <c r="J4" s="118"/>
      <c r="K4" s="118"/>
      <c r="L4" s="118"/>
      <c r="M4" s="13"/>
      <c r="N4" s="13"/>
      <c r="O4" s="5"/>
      <c r="P4" s="5"/>
      <c r="Q4" s="5"/>
    </row>
    <row r="5" spans="1:17" x14ac:dyDescent="0.3">
      <c r="A5" s="70" t="s">
        <v>12</v>
      </c>
      <c r="B5" s="133" t="str">
        <f>Calculation!B15</f>
        <v>Акции прочих резидентов (обыкновенные)</v>
      </c>
      <c r="C5" s="134"/>
      <c r="D5" s="134"/>
      <c r="E5" s="9"/>
      <c r="F5" s="9"/>
      <c r="I5" s="118" t="s">
        <v>529</v>
      </c>
      <c r="J5" s="118"/>
      <c r="K5" s="118"/>
      <c r="L5" s="118"/>
      <c r="M5" s="118"/>
      <c r="N5" s="118"/>
      <c r="O5" s="5"/>
      <c r="P5" s="5"/>
      <c r="Q5" s="5"/>
    </row>
    <row r="6" spans="1:17" ht="27.6" x14ac:dyDescent="0.3">
      <c r="A6" s="70" t="s">
        <v>9</v>
      </c>
      <c r="B6" s="125" t="s">
        <v>10</v>
      </c>
      <c r="C6" s="125"/>
      <c r="D6" s="125"/>
      <c r="E6" s="10"/>
      <c r="F6" s="10"/>
      <c r="I6" s="118" t="s">
        <v>526</v>
      </c>
      <c r="J6" s="118"/>
      <c r="K6" s="118"/>
      <c r="L6" s="118"/>
      <c r="M6" s="13"/>
      <c r="N6" s="13"/>
      <c r="O6" s="5"/>
      <c r="P6" s="5"/>
      <c r="Q6" s="5"/>
    </row>
    <row r="7" spans="1:17" ht="36.75" customHeight="1" x14ac:dyDescent="0.3">
      <c r="A7" s="120" t="s">
        <v>11</v>
      </c>
      <c r="B7" s="126" t="s">
        <v>530</v>
      </c>
      <c r="C7" s="125"/>
      <c r="D7" s="125"/>
      <c r="E7" s="10"/>
      <c r="F7" s="10"/>
      <c r="I7" s="118" t="s">
        <v>527</v>
      </c>
      <c r="J7" s="118"/>
      <c r="K7" s="118"/>
      <c r="L7" s="118"/>
      <c r="M7" s="118"/>
      <c r="N7" s="118"/>
      <c r="O7" s="5"/>
      <c r="P7" s="5"/>
      <c r="Q7" s="5"/>
    </row>
    <row r="8" spans="1:17" ht="15.6" x14ac:dyDescent="0.3">
      <c r="A8" s="4" t="s">
        <v>2</v>
      </c>
      <c r="B8" s="62"/>
      <c r="C8" s="63"/>
      <c r="D8" s="16"/>
      <c r="E8" s="16"/>
      <c r="F8" s="16"/>
      <c r="O8" s="5"/>
      <c r="P8" s="5"/>
      <c r="Q8" s="5"/>
    </row>
    <row r="9" spans="1:17" ht="15.6" x14ac:dyDescent="0.3">
      <c r="A9" s="60" t="str">
        <f>IFERROR(Calculation!BF15,"")</f>
        <v>Эксперт РА</v>
      </c>
      <c r="B9" s="60" t="str">
        <f>IFERROR(Calculation!BD15,"")</f>
        <v>ruAAA/Стабильный</v>
      </c>
      <c r="C9" s="119">
        <f>IFERROR(Calculation!BE15,"")</f>
        <v>45800</v>
      </c>
      <c r="D9" s="17"/>
      <c r="E9" s="17"/>
      <c r="F9" s="17"/>
      <c r="I9" s="5"/>
      <c r="J9" s="5"/>
      <c r="K9" s="5"/>
      <c r="L9" s="5"/>
      <c r="M9" s="5"/>
      <c r="N9" s="5"/>
      <c r="O9" s="5"/>
      <c r="P9" s="5"/>
      <c r="Q9" s="5"/>
    </row>
    <row r="10" spans="1:17" ht="15.6" x14ac:dyDescent="0.3">
      <c r="A10" s="60" t="str">
        <f>IFERROR(Calculation!BF16,"")</f>
        <v>АКРА</v>
      </c>
      <c r="B10" s="60" t="str">
        <f>IFERROR(Calculation!BD16,"")</f>
        <v>aa+(ru)/Стабильный</v>
      </c>
      <c r="C10" s="119">
        <f>IFERROR(Calculation!BE16,"")</f>
        <v>46016</v>
      </c>
      <c r="D10" s="17"/>
      <c r="E10" s="17"/>
      <c r="F10" s="17"/>
      <c r="I10" s="5"/>
      <c r="J10" s="5"/>
      <c r="K10" s="5"/>
      <c r="L10" s="5"/>
      <c r="M10" s="5"/>
      <c r="N10" s="5"/>
      <c r="O10" s="5"/>
      <c r="P10" s="5"/>
      <c r="Q10" s="5"/>
    </row>
    <row r="11" spans="1:17" ht="15.6" x14ac:dyDescent="0.3">
      <c r="A11" s="60" t="str">
        <f>IFERROR(Calculation!BF17,"")</f>
        <v>НКР</v>
      </c>
      <c r="B11" s="60" t="str">
        <f>IFERROR(Calculation!BD17,"")</f>
        <v/>
      </c>
      <c r="C11" s="61" t="str">
        <f>IFERROR(Calculation!BE17,"")</f>
        <v/>
      </c>
      <c r="D11" s="17"/>
      <c r="E11" s="17"/>
      <c r="F11" s="17"/>
      <c r="I11" s="5"/>
      <c r="J11" s="5"/>
      <c r="K11" s="5"/>
      <c r="L11" s="5"/>
      <c r="M11" s="5"/>
      <c r="N11" s="5"/>
      <c r="O11" s="5"/>
      <c r="P11" s="5"/>
      <c r="Q11" s="5"/>
    </row>
    <row r="12" spans="1:17" ht="15.6" x14ac:dyDescent="0.3">
      <c r="A12" s="60" t="str">
        <f>IFERROR(Calculation!BF18,"")</f>
        <v>RAEX-Europe</v>
      </c>
      <c r="B12" s="60" t="str">
        <f>IFERROR(Calculation!BD18,"")</f>
        <v/>
      </c>
      <c r="C12" s="61" t="str">
        <f>IFERROR(Calculation!BE18,"")</f>
        <v/>
      </c>
      <c r="D12" s="17"/>
      <c r="E12" s="17"/>
      <c r="F12" s="17"/>
      <c r="I12" s="5"/>
      <c r="J12" s="5"/>
      <c r="K12" s="5"/>
      <c r="L12" s="5"/>
      <c r="M12" s="5"/>
      <c r="N12" s="5"/>
      <c r="O12" s="5"/>
      <c r="P12" s="5"/>
      <c r="Q12" s="5"/>
    </row>
    <row r="13" spans="1:17" ht="15.6" x14ac:dyDescent="0.3">
      <c r="A13" s="135" t="s">
        <v>113</v>
      </c>
      <c r="B13" s="135"/>
      <c r="C13" s="135"/>
      <c r="D13" s="135"/>
      <c r="E13" s="135"/>
      <c r="F13" s="135"/>
    </row>
    <row r="14" spans="1:17" x14ac:dyDescent="0.3">
      <c r="A14" s="72" t="s">
        <v>533</v>
      </c>
      <c r="B14" s="73">
        <f>Calculation!B7</f>
        <v>36159</v>
      </c>
      <c r="C14" s="74"/>
      <c r="D14" s="69"/>
      <c r="E14" s="69"/>
      <c r="F14" s="69"/>
      <c r="J14" s="1" t="s">
        <v>522</v>
      </c>
    </row>
    <row r="15" spans="1:17" x14ac:dyDescent="0.3">
      <c r="A15" s="72" t="s">
        <v>155</v>
      </c>
      <c r="B15" s="73" t="str">
        <f>Calculation!B14&amp;" уровень листинга"</f>
        <v>1 уровень листинга</v>
      </c>
      <c r="C15" s="74"/>
      <c r="D15" s="69"/>
      <c r="E15" s="69"/>
      <c r="F15" s="69"/>
      <c r="I15" s="13"/>
    </row>
    <row r="16" spans="1:17" x14ac:dyDescent="0.3">
      <c r="A16" s="72" t="s">
        <v>14</v>
      </c>
      <c r="B16" s="89">
        <f>Calculation!B11/1000000</f>
        <v>38319.455949570001</v>
      </c>
      <c r="C16" s="74"/>
      <c r="D16" s="69"/>
      <c r="E16" s="69"/>
      <c r="F16" s="69"/>
    </row>
    <row r="17" spans="1:21" s="1" customFormat="1" x14ac:dyDescent="0.3">
      <c r="A17" s="72" t="s">
        <v>15</v>
      </c>
      <c r="B17" s="89">
        <f>Calculation!B8/1000000</f>
        <v>23673.512900000002</v>
      </c>
      <c r="C17" s="74"/>
      <c r="D17" s="69"/>
      <c r="E17" s="69"/>
      <c r="F17" s="69"/>
      <c r="S17" s="5"/>
      <c r="T17" s="5"/>
      <c r="U17" s="5"/>
    </row>
    <row r="18" spans="1:21" s="1" customFormat="1" x14ac:dyDescent="0.3">
      <c r="A18" s="72" t="s">
        <v>16</v>
      </c>
      <c r="B18" s="90">
        <v>0.5</v>
      </c>
      <c r="C18" s="74"/>
      <c r="D18" s="69"/>
      <c r="E18" s="69"/>
      <c r="F18" s="69"/>
      <c r="S18" s="5"/>
      <c r="T18" s="5"/>
      <c r="U18" s="5"/>
    </row>
    <row r="19" spans="1:21" s="1" customFormat="1" x14ac:dyDescent="0.3">
      <c r="A19" s="72" t="s">
        <v>17</v>
      </c>
      <c r="B19" s="89">
        <f>B16*B18</f>
        <v>19159.727974785001</v>
      </c>
      <c r="C19" s="74"/>
      <c r="D19" s="69"/>
      <c r="E19" s="69"/>
      <c r="F19" s="69"/>
      <c r="S19" s="5"/>
      <c r="T19" s="5"/>
      <c r="U19" s="5"/>
    </row>
    <row r="20" spans="1:21" s="1" customFormat="1" x14ac:dyDescent="0.3">
      <c r="A20" s="75"/>
      <c r="B20" s="76" t="s">
        <v>3</v>
      </c>
      <c r="C20" s="76" t="s">
        <v>4</v>
      </c>
      <c r="D20" s="75"/>
      <c r="E20" s="75"/>
      <c r="F20" s="75"/>
      <c r="S20" s="5"/>
      <c r="T20" s="5"/>
      <c r="U20" s="5"/>
    </row>
    <row r="21" spans="1:21" s="1" customFormat="1" x14ac:dyDescent="0.3">
      <c r="A21" s="72" t="s">
        <v>5</v>
      </c>
      <c r="B21" s="77">
        <f>EDATE(Calculation!$T$6,-1)</f>
        <v>45992</v>
      </c>
      <c r="C21" s="77">
        <f>Calculation!$T$6</f>
        <v>46023</v>
      </c>
      <c r="D21" s="69"/>
      <c r="E21" s="69"/>
      <c r="F21" s="69"/>
      <c r="S21" s="5"/>
      <c r="T21" s="5"/>
      <c r="U21" s="5"/>
    </row>
    <row r="22" spans="1:21" s="1" customFormat="1" x14ac:dyDescent="0.3">
      <c r="A22" s="72" t="s">
        <v>6</v>
      </c>
      <c r="B22" s="136" t="str">
        <f>IF(AND(B24="выполняется",B25="выполняется",B26="выполняется",B27="выполняется",B28="выполняется"),"активный","рынок не активный")</f>
        <v>активный</v>
      </c>
      <c r="C22" s="136"/>
      <c r="D22" s="69"/>
      <c r="E22" s="69"/>
      <c r="F22" s="69"/>
      <c r="S22" s="5"/>
      <c r="T22" s="5"/>
      <c r="U22" s="5"/>
    </row>
    <row r="23" spans="1:21" s="1" customFormat="1" ht="15.6" x14ac:dyDescent="0.3">
      <c r="A23" s="12" t="s">
        <v>7</v>
      </c>
      <c r="B23" s="78"/>
      <c r="C23" s="79"/>
      <c r="D23" s="137"/>
      <c r="E23" s="137"/>
      <c r="F23" s="137"/>
      <c r="S23" s="5"/>
      <c r="T23" s="5"/>
      <c r="U23" s="5"/>
    </row>
    <row r="24" spans="1:21" x14ac:dyDescent="0.3">
      <c r="A24" s="80" t="s">
        <v>18</v>
      </c>
      <c r="B24" s="81" t="str">
        <f>IF(C24= "Каждый день","выполняется","нарушен")</f>
        <v>выполняется</v>
      </c>
      <c r="C24" s="82" t="str">
        <f>IF(Calculation!T15 = Calculation!V13,"Каждый день", Calculation!T15)</f>
        <v>Каждый день</v>
      </c>
      <c r="D24" s="138" t="s">
        <v>22</v>
      </c>
      <c r="E24" s="138"/>
      <c r="F24" s="138"/>
    </row>
    <row r="25" spans="1:21" ht="14.25" customHeight="1" x14ac:dyDescent="0.3">
      <c r="A25" s="80" t="s">
        <v>19</v>
      </c>
      <c r="B25" s="83" t="str">
        <f>IF(C25&gt;10,"выполняется","нарушен")</f>
        <v>выполняется</v>
      </c>
      <c r="C25" s="82">
        <f>Calculation!T16</f>
        <v>84308.238095238092</v>
      </c>
      <c r="D25" s="139" t="s">
        <v>23</v>
      </c>
      <c r="E25" s="139"/>
      <c r="F25" s="139"/>
    </row>
    <row r="26" spans="1:21" ht="27.75" customHeight="1" x14ac:dyDescent="0.3">
      <c r="A26" s="80" t="s">
        <v>20</v>
      </c>
      <c r="B26" s="83" t="str">
        <f>IF(C26&gt;0.0001%,"выполняется","нарушен")</f>
        <v>выполняется</v>
      </c>
      <c r="C26" s="84">
        <f>Calculation!T17</f>
        <v>5.4679947262252893E-5</v>
      </c>
      <c r="D26" s="140" t="s">
        <v>24</v>
      </c>
      <c r="E26" s="140"/>
      <c r="F26" s="140"/>
    </row>
    <row r="27" spans="1:21" ht="27.75" customHeight="1" x14ac:dyDescent="0.3">
      <c r="A27" s="71" t="s">
        <v>16</v>
      </c>
      <c r="B27" s="83" t="str">
        <f>IF(C27&gt;4%,"выполняется","нарушен")</f>
        <v>выполняется</v>
      </c>
      <c r="C27" s="85">
        <f>B18</f>
        <v>0.5</v>
      </c>
      <c r="D27" s="140" t="s">
        <v>25</v>
      </c>
      <c r="E27" s="140"/>
      <c r="F27" s="140"/>
    </row>
    <row r="28" spans="1:21" x14ac:dyDescent="0.3">
      <c r="A28" s="71" t="s">
        <v>21</v>
      </c>
      <c r="B28" s="83" t="str">
        <f>IF(C28&gt;1,"выполняется","нарушен")</f>
        <v>выполняется</v>
      </c>
      <c r="C28" s="114">
        <f>C27*B16*Calculation!$U$8/1000</f>
        <v>1483.855788571984</v>
      </c>
      <c r="D28" s="141" t="s">
        <v>26</v>
      </c>
      <c r="E28" s="141"/>
      <c r="F28" s="141"/>
    </row>
    <row r="29" spans="1:21" s="1" customFormat="1" ht="15.6" x14ac:dyDescent="0.3">
      <c r="A29" s="135" t="s">
        <v>517</v>
      </c>
      <c r="B29" s="135"/>
      <c r="C29" s="135"/>
      <c r="D29" s="135"/>
      <c r="E29" s="135"/>
      <c r="F29" s="135"/>
      <c r="S29" s="5"/>
      <c r="T29" s="5"/>
      <c r="U29" s="5"/>
    </row>
    <row r="30" spans="1:21" s="1" customFormat="1" ht="32.25" customHeight="1" x14ac:dyDescent="0.3">
      <c r="A30" s="71" t="s">
        <v>27</v>
      </c>
      <c r="B30" s="101">
        <f>Calculation!T22</f>
        <v>8140.131852018465</v>
      </c>
      <c r="C30" s="64"/>
      <c r="D30" s="64"/>
      <c r="E30" s="64"/>
      <c r="F30" s="64"/>
      <c r="S30" s="5"/>
      <c r="T30" s="5"/>
      <c r="U30" s="5"/>
    </row>
    <row r="31" spans="1:21" s="1" customFormat="1" x14ac:dyDescent="0.3">
      <c r="A31" s="80" t="str">
        <f>"Средневзвешанная цена за "&amp;TEXT(Calculation!U6,"ДД.ММ.ГГГГ")&amp;", руб"</f>
        <v>Средневзвешанная цена за 30.12.2025, руб</v>
      </c>
      <c r="B31" s="102">
        <f>Calculation!V6</f>
        <v>125.55</v>
      </c>
      <c r="C31" s="64"/>
      <c r="D31" s="64"/>
      <c r="E31" s="64"/>
      <c r="F31" s="64"/>
      <c r="S31" s="5"/>
      <c r="T31" s="5"/>
      <c r="U31" s="5"/>
    </row>
    <row r="32" spans="1:21" s="1" customFormat="1" x14ac:dyDescent="0.3">
      <c r="A32" s="80" t="s">
        <v>518</v>
      </c>
      <c r="B32" s="102">
        <f>Calculation!V16</f>
        <v>134.0551574803149</v>
      </c>
      <c r="C32" s="64"/>
      <c r="D32" s="64"/>
      <c r="E32" s="64"/>
      <c r="F32" s="64"/>
      <c r="S32" s="5"/>
      <c r="T32" s="5"/>
      <c r="U32" s="5"/>
    </row>
    <row r="33" spans="1:21" s="1" customFormat="1" x14ac:dyDescent="0.3">
      <c r="A33" s="80" t="s">
        <v>521</v>
      </c>
      <c r="B33" s="102">
        <f>Calculation!V19</f>
        <v>15.438262858253617</v>
      </c>
      <c r="C33" s="64"/>
      <c r="D33" s="64"/>
      <c r="E33" s="64"/>
      <c r="F33" s="64"/>
      <c r="S33" s="5"/>
      <c r="T33" s="5"/>
      <c r="U33" s="5"/>
    </row>
    <row r="34" spans="1:21" s="1" customFormat="1" x14ac:dyDescent="0.3">
      <c r="A34" s="80" t="s">
        <v>528</v>
      </c>
      <c r="B34" s="121">
        <v>1.2377</v>
      </c>
      <c r="C34" s="64"/>
      <c r="D34" s="64"/>
      <c r="E34" s="64"/>
      <c r="F34" s="64"/>
      <c r="S34" s="5"/>
      <c r="T34" s="5"/>
      <c r="U34" s="5"/>
    </row>
    <row r="48" spans="1:21" s="1" customFormat="1" ht="15.6" x14ac:dyDescent="0.3">
      <c r="A48" s="130" t="s">
        <v>28</v>
      </c>
      <c r="B48" s="130"/>
      <c r="C48" s="142"/>
      <c r="D48" s="142"/>
      <c r="E48" s="142"/>
      <c r="F48" s="142"/>
      <c r="S48" s="5"/>
      <c r="T48" s="5"/>
      <c r="U48" s="5"/>
    </row>
    <row r="49" spans="1:21" s="1" customFormat="1" ht="46.5" customHeight="1" x14ac:dyDescent="0.3">
      <c r="A49" s="108" t="s">
        <v>130</v>
      </c>
      <c r="B49" s="143" t="str">
        <f>VLOOKUP(A49,'Help Page'!$Q:$S,2,0)</f>
        <v>Является индикатором рынка 15 наиболее ликвидных акций российских компаний или так называемых «голубых фишек»</v>
      </c>
      <c r="C49" s="143"/>
      <c r="D49" s="143"/>
      <c r="E49" s="143"/>
      <c r="F49" s="143"/>
      <c r="S49" s="5"/>
      <c r="T49" s="5"/>
      <c r="U49" s="5"/>
    </row>
    <row r="50" spans="1:21" s="1" customFormat="1" ht="54.75" customHeight="1" x14ac:dyDescent="0.3">
      <c r="A50" s="108" t="s">
        <v>132</v>
      </c>
      <c r="B50" s="143" t="str">
        <f>VLOOKUP(A50,'Help Page'!$Q:$S,2,0)</f>
        <v>Индекс наиболее ликвидных акций российских эмитентов, экономическая деятельность которых относится к нефтегазовому сектору экономики</v>
      </c>
      <c r="C50" s="143"/>
      <c r="D50" s="143"/>
      <c r="E50" s="143"/>
      <c r="F50" s="143"/>
      <c r="S50" s="5"/>
      <c r="T50" s="5"/>
      <c r="U50" s="5"/>
    </row>
    <row r="51" spans="1:21" s="97" customFormat="1" ht="19.5" customHeight="1" x14ac:dyDescent="0.3">
      <c r="A51" s="132" t="s">
        <v>31</v>
      </c>
      <c r="B51" s="132"/>
      <c r="C51" s="132"/>
      <c r="D51" s="132"/>
      <c r="E51" s="132"/>
      <c r="F51" s="132"/>
      <c r="S51" s="98"/>
      <c r="T51" s="98"/>
      <c r="U51" s="98"/>
    </row>
    <row r="54" spans="1:21" ht="45" customHeight="1" x14ac:dyDescent="0.3"/>
    <row r="55" spans="1:21" ht="29.25" customHeight="1" x14ac:dyDescent="0.3"/>
    <row r="57" spans="1:21" ht="36.75" customHeight="1" x14ac:dyDescent="0.3"/>
    <row r="62" spans="1:21" ht="29.25" customHeight="1" x14ac:dyDescent="0.3"/>
    <row r="63" spans="1:21" ht="21" customHeight="1" x14ac:dyDescent="0.3"/>
    <row r="64" spans="1:21" s="1" customFormat="1" ht="21.75" customHeight="1" x14ac:dyDescent="0.3">
      <c r="A64" s="130" t="str">
        <f>"Корпоративные события за период"</f>
        <v>Корпоративные события за период</v>
      </c>
      <c r="B64" s="130"/>
      <c r="C64" s="130"/>
      <c r="D64" s="130"/>
      <c r="E64" s="130"/>
      <c r="F64" s="130"/>
      <c r="S64" s="5"/>
      <c r="T64" s="5"/>
      <c r="U64" s="5"/>
    </row>
    <row r="65" spans="1:21" ht="51" customHeight="1" x14ac:dyDescent="0.3">
      <c r="A65" s="3">
        <v>45504</v>
      </c>
      <c r="B65" s="131" t="s">
        <v>151</v>
      </c>
      <c r="C65" s="131"/>
      <c r="D65" s="131"/>
      <c r="E65" s="131"/>
      <c r="F65" s="131"/>
    </row>
    <row r="66" spans="1:21" ht="51" customHeight="1" x14ac:dyDescent="0.3">
      <c r="A66" s="3" t="s">
        <v>153</v>
      </c>
      <c r="B66" s="145" t="s">
        <v>152</v>
      </c>
      <c r="C66" s="145"/>
      <c r="D66" s="145"/>
      <c r="E66" s="145"/>
      <c r="F66" s="145"/>
      <c r="H66" s="13"/>
    </row>
    <row r="67" spans="1:21" ht="51" customHeight="1" x14ac:dyDescent="0.3">
      <c r="A67" s="3"/>
      <c r="B67" s="145"/>
      <c r="C67" s="145"/>
      <c r="D67" s="145"/>
      <c r="E67" s="145"/>
      <c r="F67" s="145"/>
    </row>
    <row r="68" spans="1:21" ht="51" customHeight="1" x14ac:dyDescent="0.3">
      <c r="A68" s="3"/>
      <c r="B68" s="144"/>
      <c r="C68" s="144"/>
      <c r="D68" s="144"/>
      <c r="E68" s="144"/>
      <c r="F68" s="144"/>
    </row>
    <row r="69" spans="1:21" ht="51" customHeight="1" x14ac:dyDescent="0.3">
      <c r="A69" s="86"/>
      <c r="B69" s="146"/>
      <c r="C69" s="146"/>
      <c r="D69" s="146"/>
      <c r="E69" s="146"/>
      <c r="F69" s="146"/>
    </row>
    <row r="70" spans="1:21" ht="51" customHeight="1" x14ac:dyDescent="0.3">
      <c r="A70" s="11"/>
      <c r="B70" s="144"/>
      <c r="C70" s="144"/>
      <c r="D70" s="144"/>
      <c r="E70" s="144"/>
      <c r="F70" s="144"/>
    </row>
    <row r="71" spans="1:21" ht="48" customHeight="1" x14ac:dyDescent="0.3">
      <c r="A71" s="11"/>
      <c r="B71" s="144"/>
      <c r="C71" s="144"/>
      <c r="D71" s="144"/>
      <c r="E71" s="144"/>
      <c r="F71" s="144"/>
    </row>
    <row r="72" spans="1:21" ht="26.4" customHeight="1" x14ac:dyDescent="0.3">
      <c r="A72" s="11"/>
      <c r="B72" s="144"/>
      <c r="C72" s="144"/>
      <c r="D72" s="144"/>
      <c r="E72" s="144"/>
      <c r="F72" s="144"/>
    </row>
    <row r="73" spans="1:21" ht="34.5" customHeight="1" x14ac:dyDescent="0.3">
      <c r="A73" s="11"/>
      <c r="B73" s="147"/>
      <c r="C73" s="147"/>
      <c r="D73" s="147"/>
      <c r="E73" s="147"/>
      <c r="F73" s="147"/>
    </row>
    <row r="74" spans="1:21" ht="34.5" customHeight="1" x14ac:dyDescent="0.3">
      <c r="A74" s="11"/>
      <c r="B74" s="147"/>
      <c r="C74" s="147"/>
      <c r="D74" s="147"/>
      <c r="E74" s="147"/>
      <c r="F74" s="147"/>
    </row>
    <row r="75" spans="1:21" ht="34.5" customHeight="1" x14ac:dyDescent="0.3">
      <c r="A75" s="11"/>
      <c r="B75" s="147"/>
      <c r="C75" s="147"/>
      <c r="D75" s="147"/>
      <c r="E75" s="147"/>
      <c r="F75" s="147"/>
    </row>
    <row r="76" spans="1:21" s="1" customFormat="1" ht="34.5" customHeight="1" x14ac:dyDescent="0.3">
      <c r="A76" s="11"/>
      <c r="B76" s="147"/>
      <c r="C76" s="147"/>
      <c r="D76" s="147"/>
      <c r="E76" s="147"/>
      <c r="F76" s="147"/>
      <c r="S76" s="5"/>
      <c r="T76" s="5"/>
      <c r="U76" s="5"/>
    </row>
    <row r="77" spans="1:21" s="1" customFormat="1" ht="49.5" customHeight="1" x14ac:dyDescent="0.3">
      <c r="A77" s="11"/>
      <c r="B77" s="144"/>
      <c r="C77" s="144"/>
      <c r="D77" s="144"/>
      <c r="E77" s="144"/>
      <c r="F77" s="144"/>
      <c r="S77" s="5"/>
      <c r="T77" s="5"/>
      <c r="U77" s="5"/>
    </row>
  </sheetData>
  <mergeCells count="33">
    <mergeCell ref="B77:F77"/>
    <mergeCell ref="B66:F66"/>
    <mergeCell ref="B67:F67"/>
    <mergeCell ref="B68:F68"/>
    <mergeCell ref="B69:F69"/>
    <mergeCell ref="B70:F70"/>
    <mergeCell ref="B71:F71"/>
    <mergeCell ref="B72:F72"/>
    <mergeCell ref="B73:F73"/>
    <mergeCell ref="B74:F74"/>
    <mergeCell ref="B75:F75"/>
    <mergeCell ref="B76:F76"/>
    <mergeCell ref="A64:F64"/>
    <mergeCell ref="B65:F65"/>
    <mergeCell ref="A51:F51"/>
    <mergeCell ref="B5:D5"/>
    <mergeCell ref="A13:F13"/>
    <mergeCell ref="B22:C22"/>
    <mergeCell ref="D23:F23"/>
    <mergeCell ref="D24:F24"/>
    <mergeCell ref="D25:F25"/>
    <mergeCell ref="D27:F27"/>
    <mergeCell ref="D26:F26"/>
    <mergeCell ref="D28:F28"/>
    <mergeCell ref="A48:F48"/>
    <mergeCell ref="B49:F49"/>
    <mergeCell ref="B50:F50"/>
    <mergeCell ref="A29:F29"/>
    <mergeCell ref="B4:D4"/>
    <mergeCell ref="B6:D6"/>
    <mergeCell ref="B7:D7"/>
    <mergeCell ref="B2:D2"/>
    <mergeCell ref="B3:D3"/>
  </mergeCells>
  <conditionalFormatting sqref="B25:B27">
    <cfRule type="cellIs" dxfId="8" priority="17" operator="equal">
      <formula>#REF!</formula>
    </cfRule>
  </conditionalFormatting>
  <conditionalFormatting sqref="B24">
    <cfRule type="cellIs" dxfId="7" priority="16" operator="equal">
      <formula>#REF!</formula>
    </cfRule>
  </conditionalFormatting>
  <conditionalFormatting sqref="B24:B27">
    <cfRule type="cellIs" dxfId="6" priority="12" operator="equal">
      <formula>$B$22</formula>
    </cfRule>
    <cfRule type="cellIs" dxfId="5" priority="13" operator="equal">
      <formula>$C$22</formula>
    </cfRule>
    <cfRule type="cellIs" dxfId="4" priority="14" operator="equal">
      <formula>$B$24</formula>
    </cfRule>
    <cfRule type="cellIs" dxfId="3" priority="15" operator="equal">
      <formula>$B$22</formula>
    </cfRule>
  </conditionalFormatting>
  <conditionalFormatting sqref="B24:B28">
    <cfRule type="cellIs" dxfId="2" priority="10" operator="equal">
      <formula>"нарушен"</formula>
    </cfRule>
    <cfRule type="cellIs" dxfId="1" priority="11" operator="equal">
      <formula>$B$25</formula>
    </cfRule>
  </conditionalFormatting>
  <conditionalFormatting sqref="B27">
    <cfRule type="cellIs" dxfId="0" priority="1" operator="equal">
      <formula>#REF!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ph_axes">
                <anchor moveWithCells="1">
                  <from>
                    <xdr:col>18</xdr:col>
                    <xdr:colOff>533400</xdr:colOff>
                    <xdr:row>3</xdr:row>
                    <xdr:rowOff>121920</xdr:rowOff>
                  </from>
                  <to>
                    <xdr:col>21</xdr:col>
                    <xdr:colOff>99060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_value">
                <anchor moveWithCells="1" sizeWithCells="1">
                  <from>
                    <xdr:col>18</xdr:col>
                    <xdr:colOff>541020</xdr:colOff>
                    <xdr:row>6</xdr:row>
                    <xdr:rowOff>22860</xdr:rowOff>
                  </from>
                  <to>
                    <xdr:col>21</xdr:col>
                    <xdr:colOff>68580</xdr:colOff>
                    <xdr:row>6</xdr:row>
                    <xdr:rowOff>350520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'Help Page'!$Q$2:$Q$4</xm:f>
          </x14:formula1>
          <xm:sqref>A49</xm:sqref>
        </x14:dataValidation>
        <x14:dataValidation type="list" allowBlank="1" showInputMessage="1" showErrorMessage="1">
          <x14:formula1>
            <xm:f>'Help Page'!$Q$5:$Q$14</xm:f>
          </x14:formula1>
          <xm:sqref>A50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2" tint="-9.9978637043366805E-2"/>
  </sheetPr>
  <dimension ref="A1:S354"/>
  <sheetViews>
    <sheetView workbookViewId="0">
      <selection activeCell="A30" sqref="A30"/>
    </sheetView>
  </sheetViews>
  <sheetFormatPr defaultRowHeight="14.4" x14ac:dyDescent="0.3"/>
  <cols>
    <col min="1" max="1" width="21" bestFit="1" customWidth="1"/>
    <col min="2" max="2" width="34.88671875" bestFit="1" customWidth="1"/>
    <col min="3" max="3" width="14.44140625" bestFit="1" customWidth="1"/>
    <col min="4" max="4" width="10.5546875" bestFit="1" customWidth="1"/>
    <col min="5" max="5" width="25.33203125" bestFit="1" customWidth="1"/>
    <col min="6" max="6" width="30.44140625" bestFit="1" customWidth="1"/>
    <col min="9" max="9" width="8.109375" bestFit="1" customWidth="1"/>
    <col min="10" max="10" width="11.109375" bestFit="1" customWidth="1"/>
    <col min="11" max="11" width="13.44140625" bestFit="1" customWidth="1"/>
    <col min="12" max="12" width="11.5546875" bestFit="1" customWidth="1"/>
    <col min="15" max="15" width="10.109375" bestFit="1" customWidth="1"/>
    <col min="17" max="17" width="31.109375" customWidth="1"/>
    <col min="18" max="18" width="120.33203125" customWidth="1"/>
    <col min="19" max="19" width="12" customWidth="1"/>
  </cols>
  <sheetData>
    <row r="1" spans="1:19" x14ac:dyDescent="0.3">
      <c r="A1" s="24" t="s">
        <v>156</v>
      </c>
      <c r="B1" s="24" t="s">
        <v>157</v>
      </c>
      <c r="C1" s="105" t="s">
        <v>158</v>
      </c>
      <c r="E1" s="24" t="s">
        <v>159</v>
      </c>
      <c r="F1" s="24" t="s">
        <v>160</v>
      </c>
      <c r="I1" s="92" t="s">
        <v>44</v>
      </c>
      <c r="J1" s="92" t="s">
        <v>45</v>
      </c>
      <c r="K1" s="92" t="s">
        <v>46</v>
      </c>
      <c r="L1" s="92" t="s">
        <v>47</v>
      </c>
      <c r="N1" s="21" t="s">
        <v>32</v>
      </c>
      <c r="O1" s="23">
        <f>Calculation!U6</f>
        <v>46021</v>
      </c>
      <c r="Q1" s="92" t="s">
        <v>126</v>
      </c>
      <c r="R1" s="92" t="s">
        <v>127</v>
      </c>
      <c r="S1" s="92" t="s">
        <v>76</v>
      </c>
    </row>
    <row r="2" spans="1:19" ht="28.8" x14ac:dyDescent="0.3">
      <c r="A2" s="106">
        <v>45261</v>
      </c>
      <c r="B2" s="106">
        <v>45231</v>
      </c>
      <c r="C2" s="106">
        <v>45260</v>
      </c>
      <c r="E2" s="27" t="s">
        <v>161</v>
      </c>
      <c r="F2" s="27" t="s">
        <v>162</v>
      </c>
      <c r="I2" s="27" t="s">
        <v>49</v>
      </c>
      <c r="J2" s="27">
        <v>56</v>
      </c>
      <c r="K2" s="27">
        <v>517</v>
      </c>
      <c r="L2" s="47">
        <f>_xll.CbondsIndexValue(K2,$O$1)</f>
        <v>11.0501</v>
      </c>
      <c r="N2" s="22"/>
      <c r="O2" s="22"/>
      <c r="Q2" s="93" t="s">
        <v>128</v>
      </c>
      <c r="R2" s="94" t="s">
        <v>129</v>
      </c>
      <c r="S2" s="96">
        <v>216</v>
      </c>
    </row>
    <row r="3" spans="1:19" ht="28.8" x14ac:dyDescent="0.3">
      <c r="A3" s="106">
        <v>44835</v>
      </c>
      <c r="B3" s="106">
        <v>44805</v>
      </c>
      <c r="C3" s="106">
        <v>44834</v>
      </c>
      <c r="E3" s="27" t="s">
        <v>163</v>
      </c>
      <c r="F3" s="27" t="s">
        <v>80</v>
      </c>
      <c r="I3" s="27" t="s">
        <v>50</v>
      </c>
      <c r="J3" s="27">
        <v>54</v>
      </c>
      <c r="K3" s="27">
        <v>132</v>
      </c>
      <c r="L3" s="47">
        <f>_xll.CbondsIndexValue(K3,$O$1)</f>
        <v>91.477500000000006</v>
      </c>
      <c r="N3" s="22"/>
      <c r="O3" s="22"/>
      <c r="Q3" s="93" t="s">
        <v>29</v>
      </c>
      <c r="R3" s="94" t="s">
        <v>30</v>
      </c>
      <c r="S3" s="96">
        <v>8303</v>
      </c>
    </row>
    <row r="4" spans="1:19" ht="28.8" x14ac:dyDescent="0.3">
      <c r="A4" s="106">
        <v>44470</v>
      </c>
      <c r="B4" s="106">
        <v>44440</v>
      </c>
      <c r="C4" s="106">
        <v>44469</v>
      </c>
      <c r="E4" s="27" t="s">
        <v>164</v>
      </c>
      <c r="F4" s="27" t="s">
        <v>80</v>
      </c>
      <c r="I4" s="27" t="s">
        <v>8</v>
      </c>
      <c r="J4" s="27">
        <v>52</v>
      </c>
      <c r="K4" s="27">
        <v>39</v>
      </c>
      <c r="L4" s="47">
        <f>_xll.CbondsIndexValue(K4,$O$1)</f>
        <v>77.446600000000004</v>
      </c>
      <c r="N4" s="22"/>
      <c r="O4" s="22"/>
      <c r="Q4" s="93" t="s">
        <v>130</v>
      </c>
      <c r="R4" s="95" t="s">
        <v>131</v>
      </c>
      <c r="S4" s="96">
        <v>1580</v>
      </c>
    </row>
    <row r="5" spans="1:19" ht="28.8" x14ac:dyDescent="0.3">
      <c r="A5" s="106">
        <v>44440</v>
      </c>
      <c r="B5" s="106">
        <v>44409</v>
      </c>
      <c r="C5" s="106">
        <v>44439</v>
      </c>
      <c r="E5" s="27" t="s">
        <v>165</v>
      </c>
      <c r="F5" s="27" t="s">
        <v>80</v>
      </c>
      <c r="I5" s="27" t="s">
        <v>48</v>
      </c>
      <c r="J5" s="27">
        <v>135</v>
      </c>
      <c r="K5" s="27">
        <v>1</v>
      </c>
      <c r="L5" s="47">
        <v>1</v>
      </c>
      <c r="N5" s="22"/>
      <c r="O5" s="22"/>
      <c r="Q5" s="93" t="s">
        <v>132</v>
      </c>
      <c r="R5" s="95" t="s">
        <v>133</v>
      </c>
      <c r="S5" s="96">
        <v>250</v>
      </c>
    </row>
    <row r="6" spans="1:19" ht="28.8" x14ac:dyDescent="0.3">
      <c r="A6" s="106">
        <v>44317</v>
      </c>
      <c r="B6" s="106">
        <v>44287</v>
      </c>
      <c r="C6" s="106">
        <v>44316</v>
      </c>
      <c r="E6" s="27" t="s">
        <v>166</v>
      </c>
      <c r="F6" s="27" t="s">
        <v>80</v>
      </c>
      <c r="I6" s="22"/>
      <c r="J6" s="22"/>
      <c r="K6" s="22"/>
      <c r="L6" s="22"/>
      <c r="N6" s="22"/>
      <c r="O6" s="22"/>
      <c r="Q6" s="93" t="s">
        <v>42</v>
      </c>
      <c r="R6" s="95" t="s">
        <v>43</v>
      </c>
      <c r="S6" s="96">
        <v>292</v>
      </c>
    </row>
    <row r="7" spans="1:19" ht="28.8" x14ac:dyDescent="0.3">
      <c r="A7" s="106">
        <v>45017</v>
      </c>
      <c r="B7" s="106">
        <v>44986</v>
      </c>
      <c r="C7" s="106">
        <v>45016</v>
      </c>
      <c r="E7" s="27" t="s">
        <v>167</v>
      </c>
      <c r="F7" s="27" t="s">
        <v>80</v>
      </c>
      <c r="I7" s="22"/>
      <c r="J7" s="22"/>
      <c r="K7" s="22"/>
      <c r="L7" s="22"/>
      <c r="N7" s="22"/>
      <c r="O7" s="22"/>
      <c r="Q7" s="93" t="s">
        <v>134</v>
      </c>
      <c r="R7" s="95" t="s">
        <v>135</v>
      </c>
      <c r="S7" s="96">
        <v>1559</v>
      </c>
    </row>
    <row r="8" spans="1:19" ht="28.8" x14ac:dyDescent="0.3">
      <c r="A8" s="106">
        <v>44986</v>
      </c>
      <c r="B8" s="106">
        <v>44958</v>
      </c>
      <c r="C8" s="106">
        <v>44985</v>
      </c>
      <c r="E8" s="27" t="s">
        <v>168</v>
      </c>
      <c r="F8" s="27" t="s">
        <v>80</v>
      </c>
      <c r="I8" s="22"/>
      <c r="J8" s="22"/>
      <c r="K8" s="22"/>
      <c r="L8" s="22"/>
      <c r="N8" s="22"/>
      <c r="O8" s="22"/>
      <c r="Q8" s="93" t="s">
        <v>136</v>
      </c>
      <c r="R8" s="95" t="s">
        <v>137</v>
      </c>
      <c r="S8" s="96">
        <v>14931</v>
      </c>
    </row>
    <row r="9" spans="1:19" ht="28.8" x14ac:dyDescent="0.3">
      <c r="A9" s="106">
        <v>44348</v>
      </c>
      <c r="B9" s="106">
        <v>44317</v>
      </c>
      <c r="C9" s="106">
        <v>44347</v>
      </c>
      <c r="E9" s="27" t="s">
        <v>169</v>
      </c>
      <c r="F9" s="27" t="s">
        <v>80</v>
      </c>
      <c r="I9" s="22"/>
      <c r="J9" s="22"/>
      <c r="K9" s="22"/>
      <c r="L9" s="22"/>
      <c r="N9" s="22"/>
      <c r="O9" s="22"/>
      <c r="Q9" s="93" t="s">
        <v>138</v>
      </c>
      <c r="R9" s="95" t="s">
        <v>139</v>
      </c>
      <c r="S9" s="96">
        <v>61625</v>
      </c>
    </row>
    <row r="10" spans="1:19" ht="28.8" x14ac:dyDescent="0.3">
      <c r="A10" s="106">
        <v>45231</v>
      </c>
      <c r="B10" s="106">
        <v>45200</v>
      </c>
      <c r="C10" s="106">
        <v>45230</v>
      </c>
      <c r="E10" s="27" t="s">
        <v>170</v>
      </c>
      <c r="F10" s="27" t="s">
        <v>80</v>
      </c>
      <c r="I10" s="22"/>
      <c r="J10" s="22"/>
      <c r="K10" s="22"/>
      <c r="L10" s="22"/>
      <c r="N10" s="22"/>
      <c r="O10" s="22"/>
      <c r="Q10" s="93" t="s">
        <v>140</v>
      </c>
      <c r="R10" s="95" t="s">
        <v>141</v>
      </c>
      <c r="S10" s="96">
        <v>252</v>
      </c>
    </row>
    <row r="11" spans="1:19" ht="28.8" x14ac:dyDescent="0.3">
      <c r="A11" s="106">
        <v>45200</v>
      </c>
      <c r="B11" s="106">
        <v>45170</v>
      </c>
      <c r="C11" s="106">
        <v>45198</v>
      </c>
      <c r="E11" s="27" t="s">
        <v>171</v>
      </c>
      <c r="F11" s="27" t="s">
        <v>80</v>
      </c>
      <c r="I11" s="22"/>
      <c r="J11" s="22"/>
      <c r="K11" s="22"/>
      <c r="L11" s="22"/>
      <c r="N11" s="22"/>
      <c r="O11" s="22"/>
      <c r="Q11" s="93" t="s">
        <v>142</v>
      </c>
      <c r="R11" s="95" t="s">
        <v>144</v>
      </c>
      <c r="S11" s="96">
        <v>9829</v>
      </c>
    </row>
    <row r="12" spans="1:19" ht="28.8" x14ac:dyDescent="0.3">
      <c r="A12" s="106">
        <v>45108</v>
      </c>
      <c r="B12" s="106">
        <v>45078</v>
      </c>
      <c r="C12" s="106">
        <v>45107</v>
      </c>
      <c r="E12" s="27" t="s">
        <v>172</v>
      </c>
      <c r="F12" s="27" t="s">
        <v>173</v>
      </c>
      <c r="I12" s="22"/>
      <c r="J12" s="22"/>
      <c r="K12" s="22"/>
      <c r="L12" s="22"/>
      <c r="N12" s="22"/>
      <c r="O12" s="22"/>
      <c r="Q12" s="93" t="s">
        <v>145</v>
      </c>
      <c r="R12" s="95" t="s">
        <v>146</v>
      </c>
      <c r="S12" s="96">
        <v>394</v>
      </c>
    </row>
    <row r="13" spans="1:19" ht="28.8" x14ac:dyDescent="0.3">
      <c r="A13" s="106">
        <v>45139</v>
      </c>
      <c r="B13" s="106">
        <v>45108</v>
      </c>
      <c r="C13" s="106">
        <v>45138</v>
      </c>
      <c r="E13" s="27" t="s">
        <v>174</v>
      </c>
      <c r="F13" s="27" t="s">
        <v>173</v>
      </c>
      <c r="I13" s="22"/>
      <c r="J13" s="22"/>
      <c r="K13" s="22"/>
      <c r="L13" s="22"/>
      <c r="N13" s="22"/>
      <c r="O13" s="22"/>
      <c r="Q13" s="93" t="s">
        <v>147</v>
      </c>
      <c r="R13" s="95" t="s">
        <v>143</v>
      </c>
      <c r="S13" s="96">
        <v>1560</v>
      </c>
    </row>
    <row r="14" spans="1:19" ht="28.8" x14ac:dyDescent="0.3">
      <c r="A14" s="106">
        <v>44409</v>
      </c>
      <c r="B14" s="106">
        <v>44378</v>
      </c>
      <c r="C14" s="106">
        <v>44407</v>
      </c>
      <c r="E14" s="27" t="s">
        <v>175</v>
      </c>
      <c r="F14" s="27" t="s">
        <v>173</v>
      </c>
      <c r="I14" s="22"/>
      <c r="J14" s="22"/>
      <c r="K14" s="22"/>
      <c r="L14" s="22"/>
      <c r="N14" s="22"/>
      <c r="O14" s="22"/>
      <c r="Q14" s="93" t="s">
        <v>148</v>
      </c>
      <c r="R14" s="95" t="s">
        <v>149</v>
      </c>
      <c r="S14" s="96">
        <v>251</v>
      </c>
    </row>
    <row r="15" spans="1:19" ht="28.8" x14ac:dyDescent="0.3">
      <c r="A15" s="106">
        <v>45078</v>
      </c>
      <c r="B15" s="106">
        <v>45047</v>
      </c>
      <c r="C15" s="106">
        <v>45077</v>
      </c>
      <c r="E15" s="27" t="s">
        <v>176</v>
      </c>
      <c r="F15" s="27" t="s">
        <v>173</v>
      </c>
      <c r="I15" s="22"/>
      <c r="J15" s="22"/>
      <c r="K15" s="22"/>
      <c r="L15" s="22"/>
      <c r="N15" s="22"/>
      <c r="O15" s="22"/>
      <c r="Q15" s="93" t="s">
        <v>531</v>
      </c>
      <c r="R15" s="95" t="s">
        <v>532</v>
      </c>
      <c r="S15" s="96">
        <v>61617</v>
      </c>
    </row>
    <row r="16" spans="1:19" x14ac:dyDescent="0.3">
      <c r="A16" s="106">
        <v>44713</v>
      </c>
      <c r="B16" s="106">
        <v>44682</v>
      </c>
      <c r="C16" s="106">
        <v>44712</v>
      </c>
      <c r="E16" s="27" t="s">
        <v>177</v>
      </c>
      <c r="F16" s="27" t="s">
        <v>178</v>
      </c>
      <c r="I16" s="22"/>
      <c r="J16" s="22"/>
      <c r="K16" s="22"/>
      <c r="L16" s="22"/>
      <c r="N16" s="22"/>
      <c r="O16" s="22"/>
      <c r="Q16" s="93"/>
      <c r="R16" s="95"/>
      <c r="S16" s="96"/>
    </row>
    <row r="17" spans="1:19" x14ac:dyDescent="0.3">
      <c r="A17" s="106">
        <v>44197</v>
      </c>
      <c r="B17" s="106">
        <v>44166</v>
      </c>
      <c r="C17" s="106">
        <v>44195</v>
      </c>
      <c r="E17" s="27" t="s">
        <v>179</v>
      </c>
      <c r="F17" s="27" t="s">
        <v>178</v>
      </c>
      <c r="I17" s="22"/>
      <c r="J17" s="22"/>
      <c r="K17" s="22"/>
      <c r="L17" s="22"/>
      <c r="N17" s="22"/>
      <c r="O17" s="22"/>
      <c r="Q17" s="93"/>
      <c r="R17" s="95"/>
      <c r="S17" s="96"/>
    </row>
    <row r="18" spans="1:19" x14ac:dyDescent="0.3">
      <c r="A18" s="106">
        <v>44228</v>
      </c>
      <c r="B18" s="106">
        <v>44197</v>
      </c>
      <c r="C18" s="106">
        <v>44225</v>
      </c>
      <c r="D18" s="107"/>
      <c r="E18" s="27" t="s">
        <v>180</v>
      </c>
      <c r="F18" s="27" t="s">
        <v>178</v>
      </c>
      <c r="I18" s="22"/>
      <c r="J18" s="22"/>
      <c r="K18" s="22"/>
      <c r="L18" s="22"/>
      <c r="N18" s="22"/>
      <c r="O18" s="22"/>
      <c r="Q18" s="93"/>
      <c r="R18" s="95"/>
      <c r="S18" s="96"/>
    </row>
    <row r="19" spans="1:19" x14ac:dyDescent="0.3">
      <c r="A19" s="106">
        <v>44774</v>
      </c>
      <c r="B19" s="106">
        <v>44743</v>
      </c>
      <c r="C19" s="106">
        <v>44771</v>
      </c>
      <c r="E19" s="27" t="s">
        <v>181</v>
      </c>
      <c r="F19" s="27" t="s">
        <v>178</v>
      </c>
      <c r="I19" s="22"/>
      <c r="J19" s="22"/>
      <c r="K19" s="22"/>
      <c r="L19" s="22"/>
      <c r="N19" s="22"/>
      <c r="O19" s="22"/>
      <c r="Q19" s="93"/>
      <c r="R19" s="95"/>
      <c r="S19" s="96"/>
    </row>
    <row r="20" spans="1:19" x14ac:dyDescent="0.3">
      <c r="A20" s="106">
        <v>44501</v>
      </c>
      <c r="B20" s="106">
        <v>44470</v>
      </c>
      <c r="C20" s="106">
        <v>44498</v>
      </c>
      <c r="E20" s="27" t="s">
        <v>182</v>
      </c>
      <c r="F20" s="27" t="s">
        <v>178</v>
      </c>
      <c r="I20" s="22"/>
      <c r="J20" s="22"/>
      <c r="K20" s="22"/>
      <c r="L20" s="22"/>
      <c r="N20" s="22"/>
      <c r="O20" s="22"/>
      <c r="Q20" s="93"/>
      <c r="R20" s="95"/>
      <c r="S20" s="96"/>
    </row>
    <row r="21" spans="1:19" x14ac:dyDescent="0.3">
      <c r="A21" s="106">
        <v>44652</v>
      </c>
      <c r="B21" s="106">
        <v>44621</v>
      </c>
      <c r="C21" s="106">
        <v>44651</v>
      </c>
      <c r="E21" s="27" t="s">
        <v>183</v>
      </c>
      <c r="F21" s="27" t="s">
        <v>178</v>
      </c>
      <c r="I21" s="22"/>
      <c r="J21" s="22"/>
      <c r="K21" s="22"/>
      <c r="L21" s="22"/>
      <c r="N21" s="22"/>
      <c r="O21" s="22"/>
      <c r="Q21" s="93"/>
      <c r="R21" s="95"/>
      <c r="S21" s="96"/>
    </row>
    <row r="22" spans="1:19" x14ac:dyDescent="0.3">
      <c r="A22" s="106">
        <v>44682</v>
      </c>
      <c r="B22" s="106">
        <v>44652</v>
      </c>
      <c r="C22" s="106">
        <v>44680</v>
      </c>
      <c r="E22" s="27" t="s">
        <v>184</v>
      </c>
      <c r="F22" s="27" t="s">
        <v>178</v>
      </c>
      <c r="I22" s="22"/>
      <c r="J22" s="22"/>
      <c r="K22" s="22"/>
      <c r="L22" s="22"/>
      <c r="N22" s="22"/>
      <c r="O22" s="22"/>
      <c r="Q22" s="93"/>
      <c r="R22" s="95"/>
      <c r="S22" s="96"/>
    </row>
    <row r="23" spans="1:19" x14ac:dyDescent="0.3">
      <c r="A23" s="106">
        <v>45047</v>
      </c>
      <c r="B23" s="106">
        <v>45017</v>
      </c>
      <c r="C23" s="106">
        <v>45044</v>
      </c>
      <c r="E23" s="27" t="s">
        <v>185</v>
      </c>
      <c r="F23" s="27" t="s">
        <v>178</v>
      </c>
      <c r="I23" s="22"/>
      <c r="J23" s="22"/>
      <c r="K23" s="22"/>
      <c r="L23" s="22"/>
      <c r="N23" s="22"/>
      <c r="O23" s="22"/>
      <c r="Q23" s="93"/>
      <c r="R23" s="95"/>
      <c r="S23" s="96"/>
    </row>
    <row r="24" spans="1:19" x14ac:dyDescent="0.3">
      <c r="A24" s="106">
        <v>44593</v>
      </c>
      <c r="B24" s="106">
        <v>44562</v>
      </c>
      <c r="C24" s="106">
        <v>44592</v>
      </c>
      <c r="E24" s="27" t="s">
        <v>186</v>
      </c>
      <c r="F24" s="27" t="s">
        <v>178</v>
      </c>
      <c r="I24" s="22"/>
      <c r="J24" s="22"/>
      <c r="K24" s="22"/>
      <c r="L24" s="22"/>
      <c r="N24" s="22"/>
      <c r="O24" s="22"/>
      <c r="Q24" s="93"/>
      <c r="R24" s="95"/>
      <c r="S24" s="96"/>
    </row>
    <row r="25" spans="1:19" x14ac:dyDescent="0.3">
      <c r="A25" s="106">
        <v>44621</v>
      </c>
      <c r="B25" s="106">
        <v>44593</v>
      </c>
      <c r="C25" s="106">
        <v>44620</v>
      </c>
      <c r="E25" s="27" t="s">
        <v>187</v>
      </c>
      <c r="F25" s="27" t="s">
        <v>178</v>
      </c>
      <c r="I25" s="22"/>
      <c r="J25" s="22"/>
      <c r="K25" s="22"/>
      <c r="L25" s="22"/>
      <c r="N25" s="22"/>
      <c r="O25" s="22"/>
      <c r="Q25" s="93"/>
      <c r="R25" s="95"/>
      <c r="S25" s="96"/>
    </row>
    <row r="26" spans="1:19" x14ac:dyDescent="0.3">
      <c r="A26" s="106">
        <v>44531</v>
      </c>
      <c r="B26" s="106">
        <v>44501</v>
      </c>
      <c r="C26" s="106">
        <v>44530</v>
      </c>
      <c r="E26" s="27" t="s">
        <v>188</v>
      </c>
      <c r="F26" s="27" t="s">
        <v>178</v>
      </c>
      <c r="I26" s="22"/>
      <c r="J26" s="22"/>
      <c r="K26" s="22"/>
      <c r="L26" s="22"/>
      <c r="N26" s="22"/>
      <c r="O26" s="22"/>
      <c r="Q26" s="93"/>
      <c r="R26" s="95"/>
      <c r="S26" s="96"/>
    </row>
    <row r="27" spans="1:19" x14ac:dyDescent="0.3">
      <c r="A27" s="106">
        <v>44562</v>
      </c>
      <c r="B27" s="106">
        <v>44531</v>
      </c>
      <c r="C27" s="106">
        <v>44560</v>
      </c>
      <c r="E27" s="27" t="s">
        <v>189</v>
      </c>
      <c r="F27" s="27" t="s">
        <v>178</v>
      </c>
      <c r="I27" s="22"/>
      <c r="J27" s="22"/>
      <c r="K27" s="22"/>
      <c r="L27" s="22"/>
      <c r="N27" s="22"/>
      <c r="O27" s="22"/>
      <c r="Q27" s="93"/>
      <c r="R27" s="95"/>
      <c r="S27" s="96"/>
    </row>
    <row r="28" spans="1:19" x14ac:dyDescent="0.3">
      <c r="A28" s="106">
        <v>44866</v>
      </c>
      <c r="B28" s="106">
        <v>44835</v>
      </c>
      <c r="C28" s="106">
        <v>44865</v>
      </c>
      <c r="E28" s="27" t="s">
        <v>190</v>
      </c>
      <c r="F28" s="27" t="s">
        <v>191</v>
      </c>
      <c r="I28" s="22"/>
      <c r="J28" s="22"/>
      <c r="K28" s="22"/>
      <c r="L28" s="22"/>
      <c r="N28" s="22"/>
      <c r="O28" s="22"/>
      <c r="Q28" s="93"/>
      <c r="R28" s="95"/>
      <c r="S28" s="96"/>
    </row>
    <row r="29" spans="1:19" x14ac:dyDescent="0.3">
      <c r="A29" s="106">
        <v>44927</v>
      </c>
      <c r="B29" s="106">
        <v>44896</v>
      </c>
      <c r="C29" s="106">
        <v>44925</v>
      </c>
      <c r="E29" s="27" t="s">
        <v>192</v>
      </c>
      <c r="F29" s="27" t="s">
        <v>193</v>
      </c>
      <c r="I29" s="22"/>
      <c r="J29" s="22"/>
      <c r="K29" s="22"/>
      <c r="L29" s="22"/>
      <c r="N29" s="22"/>
      <c r="O29" s="22"/>
      <c r="Q29" s="93"/>
      <c r="R29" s="95"/>
      <c r="S29" s="96"/>
    </row>
    <row r="30" spans="1:19" x14ac:dyDescent="0.3">
      <c r="A30" s="106">
        <v>45170</v>
      </c>
      <c r="B30" s="106">
        <v>45139</v>
      </c>
      <c r="C30" s="106">
        <v>45169</v>
      </c>
      <c r="E30" s="27" t="s">
        <v>194</v>
      </c>
      <c r="F30" s="27" t="s">
        <v>193</v>
      </c>
    </row>
    <row r="31" spans="1:19" x14ac:dyDescent="0.3">
      <c r="A31" s="106">
        <v>44743</v>
      </c>
      <c r="B31" s="106">
        <v>44713</v>
      </c>
      <c r="C31" s="106">
        <v>44742</v>
      </c>
      <c r="E31" s="27" t="s">
        <v>195</v>
      </c>
      <c r="F31" s="27" t="s">
        <v>193</v>
      </c>
    </row>
    <row r="32" spans="1:19" x14ac:dyDescent="0.3">
      <c r="A32" s="106">
        <v>44896</v>
      </c>
      <c r="B32" s="106">
        <v>44866</v>
      </c>
      <c r="C32" s="106">
        <v>44895</v>
      </c>
      <c r="E32" s="27" t="s">
        <v>196</v>
      </c>
      <c r="F32" s="27" t="s">
        <v>193</v>
      </c>
    </row>
    <row r="33" spans="1:6" x14ac:dyDescent="0.3">
      <c r="A33" s="106">
        <v>44378</v>
      </c>
      <c r="B33" s="106">
        <v>44348</v>
      </c>
      <c r="C33" s="106">
        <v>44377</v>
      </c>
      <c r="E33" s="27" t="s">
        <v>197</v>
      </c>
      <c r="F33" s="27" t="s">
        <v>193</v>
      </c>
    </row>
    <row r="34" spans="1:6" x14ac:dyDescent="0.3">
      <c r="A34" s="106">
        <v>44958</v>
      </c>
      <c r="B34" s="106">
        <v>44927</v>
      </c>
      <c r="C34" s="106">
        <v>44957</v>
      </c>
      <c r="E34" s="27" t="s">
        <v>198</v>
      </c>
      <c r="F34" s="27" t="s">
        <v>193</v>
      </c>
    </row>
    <row r="35" spans="1:6" x14ac:dyDescent="0.3">
      <c r="A35" s="106">
        <v>44256</v>
      </c>
      <c r="B35" s="106">
        <v>44228</v>
      </c>
      <c r="C35" s="106">
        <v>44253</v>
      </c>
      <c r="E35" s="27" t="s">
        <v>199</v>
      </c>
      <c r="F35" s="27" t="s">
        <v>200</v>
      </c>
    </row>
    <row r="36" spans="1:6" x14ac:dyDescent="0.3">
      <c r="A36" s="106">
        <v>44287</v>
      </c>
      <c r="B36" s="106">
        <v>44256</v>
      </c>
      <c r="C36" s="106">
        <v>44286</v>
      </c>
      <c r="E36" s="27" t="s">
        <v>201</v>
      </c>
      <c r="F36" s="27" t="s">
        <v>200</v>
      </c>
    </row>
    <row r="37" spans="1:6" x14ac:dyDescent="0.3">
      <c r="A37" s="106">
        <v>44805</v>
      </c>
      <c r="B37" s="106">
        <v>44774</v>
      </c>
      <c r="C37" s="106">
        <v>44804</v>
      </c>
      <c r="E37" s="27" t="s">
        <v>202</v>
      </c>
      <c r="F37" s="27" t="s">
        <v>203</v>
      </c>
    </row>
    <row r="38" spans="1:6" x14ac:dyDescent="0.3">
      <c r="A38" s="106">
        <v>45292</v>
      </c>
      <c r="B38" s="106">
        <v>45261</v>
      </c>
      <c r="C38" s="106">
        <v>45289</v>
      </c>
      <c r="E38" s="27" t="s">
        <v>204</v>
      </c>
      <c r="F38" s="27" t="s">
        <v>200</v>
      </c>
    </row>
    <row r="39" spans="1:6" x14ac:dyDescent="0.3">
      <c r="A39" s="106">
        <v>45323</v>
      </c>
      <c r="B39" s="106">
        <v>45292</v>
      </c>
      <c r="C39" s="106">
        <v>45322</v>
      </c>
      <c r="E39" s="27" t="s">
        <v>205</v>
      </c>
      <c r="F39" s="27" t="s">
        <v>200</v>
      </c>
    </row>
    <row r="40" spans="1:6" x14ac:dyDescent="0.3">
      <c r="A40" s="106">
        <v>45352</v>
      </c>
      <c r="B40" s="106">
        <v>45323</v>
      </c>
      <c r="C40" s="106">
        <v>45351</v>
      </c>
      <c r="E40" s="27" t="s">
        <v>206</v>
      </c>
      <c r="F40" s="27" t="s">
        <v>193</v>
      </c>
    </row>
    <row r="41" spans="1:6" x14ac:dyDescent="0.3">
      <c r="A41" s="106">
        <v>45383</v>
      </c>
      <c r="B41" s="106">
        <v>45352</v>
      </c>
      <c r="C41" s="106">
        <v>45380</v>
      </c>
      <c r="E41" s="27" t="s">
        <v>207</v>
      </c>
      <c r="F41" s="27" t="s">
        <v>178</v>
      </c>
    </row>
    <row r="42" spans="1:6" x14ac:dyDescent="0.3">
      <c r="A42" s="106">
        <v>45413</v>
      </c>
      <c r="B42" s="106">
        <v>45383</v>
      </c>
      <c r="C42" s="106">
        <v>45412</v>
      </c>
      <c r="E42" s="27" t="s">
        <v>208</v>
      </c>
      <c r="F42" s="27" t="s">
        <v>178</v>
      </c>
    </row>
    <row r="43" spans="1:6" x14ac:dyDescent="0.3">
      <c r="A43" s="106">
        <v>45444</v>
      </c>
      <c r="B43" s="106">
        <v>45413</v>
      </c>
      <c r="C43" s="106">
        <v>45443</v>
      </c>
      <c r="E43" s="27" t="s">
        <v>209</v>
      </c>
      <c r="F43" s="27" t="s">
        <v>80</v>
      </c>
    </row>
    <row r="44" spans="1:6" x14ac:dyDescent="0.3">
      <c r="A44" s="106">
        <v>45474</v>
      </c>
      <c r="B44" s="106">
        <v>45444</v>
      </c>
      <c r="C44" s="106">
        <v>45471</v>
      </c>
      <c r="E44" s="27" t="s">
        <v>210</v>
      </c>
      <c r="F44" s="27" t="s">
        <v>203</v>
      </c>
    </row>
    <row r="45" spans="1:6" x14ac:dyDescent="0.3">
      <c r="A45" s="106">
        <v>45505</v>
      </c>
      <c r="B45" s="106">
        <v>45474</v>
      </c>
      <c r="C45" s="106">
        <v>45504</v>
      </c>
      <c r="E45" s="27" t="s">
        <v>211</v>
      </c>
      <c r="F45" s="27" t="s">
        <v>203</v>
      </c>
    </row>
    <row r="46" spans="1:6" x14ac:dyDescent="0.3">
      <c r="A46" s="106">
        <v>45536</v>
      </c>
      <c r="B46" s="106">
        <v>45505</v>
      </c>
      <c r="C46" s="106">
        <v>45534</v>
      </c>
      <c r="E46" s="27" t="s">
        <v>212</v>
      </c>
      <c r="F46" s="27" t="s">
        <v>178</v>
      </c>
    </row>
    <row r="47" spans="1:6" x14ac:dyDescent="0.3">
      <c r="A47" s="106">
        <v>45566</v>
      </c>
      <c r="B47" s="106">
        <v>45536</v>
      </c>
      <c r="C47" s="106">
        <v>45565</v>
      </c>
      <c r="E47" s="27" t="s">
        <v>213</v>
      </c>
      <c r="F47" s="27" t="s">
        <v>80</v>
      </c>
    </row>
    <row r="48" spans="1:6" x14ac:dyDescent="0.3">
      <c r="A48" s="106">
        <v>45597</v>
      </c>
      <c r="B48" s="106">
        <v>45566</v>
      </c>
      <c r="C48" s="106">
        <v>45596</v>
      </c>
      <c r="E48" s="27" t="s">
        <v>214</v>
      </c>
      <c r="F48" s="27" t="s">
        <v>173</v>
      </c>
    </row>
    <row r="49" spans="1:6" x14ac:dyDescent="0.3">
      <c r="A49" s="106">
        <v>45627</v>
      </c>
      <c r="B49" s="106">
        <v>45597</v>
      </c>
      <c r="C49" s="106">
        <v>45625</v>
      </c>
      <c r="E49" s="27" t="s">
        <v>215</v>
      </c>
      <c r="F49" s="27" t="s">
        <v>191</v>
      </c>
    </row>
    <row r="50" spans="1:6" x14ac:dyDescent="0.3">
      <c r="A50" s="106">
        <v>45658</v>
      </c>
      <c r="B50" s="106">
        <v>45627</v>
      </c>
      <c r="C50" s="106">
        <v>45656</v>
      </c>
      <c r="E50" s="27" t="s">
        <v>216</v>
      </c>
      <c r="F50" s="27" t="s">
        <v>200</v>
      </c>
    </row>
    <row r="51" spans="1:6" x14ac:dyDescent="0.3">
      <c r="A51" s="106">
        <v>45689</v>
      </c>
      <c r="B51" s="106">
        <v>45658</v>
      </c>
      <c r="C51" s="106">
        <v>45688</v>
      </c>
      <c r="E51" s="27" t="s">
        <v>217</v>
      </c>
      <c r="F51" s="27" t="s">
        <v>173</v>
      </c>
    </row>
    <row r="52" spans="1:6" x14ac:dyDescent="0.3">
      <c r="A52" s="106">
        <v>45717</v>
      </c>
      <c r="B52" s="106">
        <v>45689</v>
      </c>
      <c r="C52" s="106">
        <v>45716</v>
      </c>
      <c r="E52" s="27" t="s">
        <v>218</v>
      </c>
      <c r="F52" s="27" t="s">
        <v>219</v>
      </c>
    </row>
    <row r="53" spans="1:6" x14ac:dyDescent="0.3">
      <c r="A53" s="106">
        <v>45748</v>
      </c>
      <c r="B53" s="106">
        <v>45717</v>
      </c>
      <c r="C53" s="106">
        <v>45747</v>
      </c>
      <c r="E53" s="27" t="s">
        <v>220</v>
      </c>
      <c r="F53" s="27" t="s">
        <v>219</v>
      </c>
    </row>
    <row r="54" spans="1:6" x14ac:dyDescent="0.3">
      <c r="A54" s="106">
        <v>45778</v>
      </c>
      <c r="B54" s="106">
        <v>45748</v>
      </c>
      <c r="C54" s="106">
        <v>45777</v>
      </c>
      <c r="E54" s="27" t="s">
        <v>221</v>
      </c>
      <c r="F54" s="27" t="s">
        <v>193</v>
      </c>
    </row>
    <row r="55" spans="1:6" x14ac:dyDescent="0.3">
      <c r="A55" s="106">
        <v>45809</v>
      </c>
      <c r="B55" s="106">
        <v>45778</v>
      </c>
      <c r="C55" s="106">
        <v>45807</v>
      </c>
      <c r="E55" s="27" t="s">
        <v>222</v>
      </c>
      <c r="F55" s="27" t="s">
        <v>200</v>
      </c>
    </row>
    <row r="56" spans="1:6" x14ac:dyDescent="0.3">
      <c r="A56" s="106">
        <v>45839</v>
      </c>
      <c r="B56" s="106">
        <v>45809</v>
      </c>
      <c r="C56" s="106">
        <v>45838</v>
      </c>
      <c r="E56" s="27" t="s">
        <v>223</v>
      </c>
      <c r="F56" s="27" t="s">
        <v>219</v>
      </c>
    </row>
    <row r="57" spans="1:6" x14ac:dyDescent="0.3">
      <c r="A57" s="106">
        <v>45870</v>
      </c>
      <c r="B57" s="106">
        <v>45839</v>
      </c>
      <c r="C57" s="106">
        <v>45869</v>
      </c>
      <c r="E57" s="27" t="s">
        <v>224</v>
      </c>
      <c r="F57" s="27" t="s">
        <v>219</v>
      </c>
    </row>
    <row r="58" spans="1:6" x14ac:dyDescent="0.3">
      <c r="A58" s="106">
        <v>45901</v>
      </c>
      <c r="B58" s="106">
        <v>45870</v>
      </c>
      <c r="C58" s="106">
        <v>45898</v>
      </c>
      <c r="E58" s="27" t="s">
        <v>225</v>
      </c>
      <c r="F58" s="27" t="s">
        <v>203</v>
      </c>
    </row>
    <row r="59" spans="1:6" x14ac:dyDescent="0.3">
      <c r="A59" s="106">
        <v>45931</v>
      </c>
      <c r="B59" s="106">
        <v>45901</v>
      </c>
      <c r="C59" s="106">
        <v>45930</v>
      </c>
      <c r="E59" s="27" t="s">
        <v>226</v>
      </c>
      <c r="F59" s="27" t="s">
        <v>203</v>
      </c>
    </row>
    <row r="60" spans="1:6" x14ac:dyDescent="0.3">
      <c r="A60" s="106">
        <v>45962</v>
      </c>
      <c r="B60" s="106">
        <v>45931</v>
      </c>
      <c r="C60" s="106">
        <v>45961</v>
      </c>
      <c r="E60" s="27" t="s">
        <v>227</v>
      </c>
      <c r="F60" s="27" t="s">
        <v>173</v>
      </c>
    </row>
    <row r="61" spans="1:6" x14ac:dyDescent="0.3">
      <c r="A61" s="106">
        <v>45992</v>
      </c>
      <c r="B61" s="106">
        <v>45962</v>
      </c>
      <c r="C61" s="106">
        <v>45989</v>
      </c>
      <c r="E61" s="27" t="s">
        <v>228</v>
      </c>
      <c r="F61" s="27" t="s">
        <v>229</v>
      </c>
    </row>
    <row r="62" spans="1:6" x14ac:dyDescent="0.3">
      <c r="A62" s="106">
        <v>46023</v>
      </c>
      <c r="B62" s="106">
        <v>45992</v>
      </c>
      <c r="C62" s="106">
        <v>46021</v>
      </c>
      <c r="E62" s="27" t="s">
        <v>230</v>
      </c>
      <c r="F62" s="27" t="s">
        <v>231</v>
      </c>
    </row>
    <row r="63" spans="1:6" x14ac:dyDescent="0.3">
      <c r="A63" s="106">
        <v>46054</v>
      </c>
      <c r="B63" s="106">
        <v>46023</v>
      </c>
      <c r="C63" s="106">
        <v>46052</v>
      </c>
      <c r="E63" s="27" t="s">
        <v>232</v>
      </c>
      <c r="F63" s="27" t="s">
        <v>178</v>
      </c>
    </row>
    <row r="64" spans="1:6" x14ac:dyDescent="0.3">
      <c r="A64" s="106">
        <v>46082</v>
      </c>
      <c r="B64" s="106">
        <v>46054</v>
      </c>
      <c r="C64" s="106">
        <v>46080</v>
      </c>
      <c r="E64" s="27" t="s">
        <v>233</v>
      </c>
      <c r="F64" s="27" t="s">
        <v>178</v>
      </c>
    </row>
    <row r="65" spans="1:6" x14ac:dyDescent="0.3">
      <c r="A65" s="106">
        <v>46113</v>
      </c>
      <c r="B65" s="106">
        <v>46082</v>
      </c>
      <c r="C65" s="106">
        <v>46112</v>
      </c>
      <c r="E65" s="27" t="s">
        <v>87</v>
      </c>
      <c r="F65" s="27" t="s">
        <v>219</v>
      </c>
    </row>
    <row r="66" spans="1:6" x14ac:dyDescent="0.3">
      <c r="A66" s="106">
        <v>46143</v>
      </c>
      <c r="B66" s="106">
        <v>46113</v>
      </c>
      <c r="C66" s="106">
        <v>46142</v>
      </c>
      <c r="E66" s="27" t="s">
        <v>88</v>
      </c>
      <c r="F66" s="27" t="s">
        <v>219</v>
      </c>
    </row>
    <row r="67" spans="1:6" x14ac:dyDescent="0.3">
      <c r="A67" s="106">
        <v>46174</v>
      </c>
      <c r="B67" s="106">
        <v>46143</v>
      </c>
      <c r="C67" s="106">
        <v>46171</v>
      </c>
      <c r="E67" s="27" t="s">
        <v>234</v>
      </c>
      <c r="F67" s="27" t="s">
        <v>178</v>
      </c>
    </row>
    <row r="68" spans="1:6" x14ac:dyDescent="0.3">
      <c r="A68" s="106">
        <v>46204</v>
      </c>
      <c r="B68" s="106">
        <v>46174</v>
      </c>
      <c r="C68" s="106">
        <v>46203</v>
      </c>
      <c r="E68" s="27" t="s">
        <v>235</v>
      </c>
      <c r="F68" s="27" t="s">
        <v>203</v>
      </c>
    </row>
    <row r="69" spans="1:6" x14ac:dyDescent="0.3">
      <c r="A69" s="106">
        <v>46235</v>
      </c>
      <c r="B69" s="106">
        <v>46204</v>
      </c>
      <c r="C69" s="106">
        <v>46234</v>
      </c>
      <c r="E69" s="27" t="s">
        <v>236</v>
      </c>
      <c r="F69" s="27" t="s">
        <v>80</v>
      </c>
    </row>
    <row r="70" spans="1:6" x14ac:dyDescent="0.3">
      <c r="A70" s="106">
        <v>46266</v>
      </c>
      <c r="B70" s="106">
        <v>46235</v>
      </c>
      <c r="C70" s="106">
        <v>46265</v>
      </c>
      <c r="E70" s="27" t="s">
        <v>237</v>
      </c>
      <c r="F70" s="27" t="s">
        <v>191</v>
      </c>
    </row>
    <row r="71" spans="1:6" x14ac:dyDescent="0.3">
      <c r="A71" s="106">
        <v>46296</v>
      </c>
      <c r="B71" s="106">
        <v>46266</v>
      </c>
      <c r="C71" s="106">
        <v>46295</v>
      </c>
      <c r="E71" s="27" t="s">
        <v>238</v>
      </c>
      <c r="F71" s="27" t="s">
        <v>80</v>
      </c>
    </row>
    <row r="72" spans="1:6" x14ac:dyDescent="0.3">
      <c r="A72" s="106">
        <v>46327</v>
      </c>
      <c r="B72" s="106">
        <v>46296</v>
      </c>
      <c r="C72" s="106">
        <v>46325</v>
      </c>
      <c r="E72" s="27" t="s">
        <v>239</v>
      </c>
      <c r="F72" s="27" t="s">
        <v>80</v>
      </c>
    </row>
    <row r="73" spans="1:6" x14ac:dyDescent="0.3">
      <c r="A73" s="106">
        <v>46357</v>
      </c>
      <c r="B73" s="106">
        <v>46327</v>
      </c>
      <c r="C73" s="106">
        <v>46356</v>
      </c>
      <c r="E73" s="27" t="s">
        <v>240</v>
      </c>
      <c r="F73" s="27" t="s">
        <v>178</v>
      </c>
    </row>
    <row r="74" spans="1:6" x14ac:dyDescent="0.3">
      <c r="A74" s="106">
        <v>46388</v>
      </c>
      <c r="B74" s="106">
        <v>46357</v>
      </c>
      <c r="C74" s="106">
        <v>46387</v>
      </c>
      <c r="E74" s="27" t="s">
        <v>241</v>
      </c>
      <c r="F74" s="27" t="s">
        <v>173</v>
      </c>
    </row>
    <row r="75" spans="1:6" x14ac:dyDescent="0.3">
      <c r="A75" s="106">
        <v>46419</v>
      </c>
      <c r="B75" s="106">
        <v>46388</v>
      </c>
      <c r="C75" s="106">
        <v>46416</v>
      </c>
      <c r="E75" s="27" t="s">
        <v>242</v>
      </c>
      <c r="F75" s="27" t="s">
        <v>178</v>
      </c>
    </row>
    <row r="76" spans="1:6" x14ac:dyDescent="0.3">
      <c r="E76" s="27" t="s">
        <v>243</v>
      </c>
      <c r="F76" s="27" t="s">
        <v>173</v>
      </c>
    </row>
    <row r="77" spans="1:6" x14ac:dyDescent="0.3">
      <c r="E77" s="27" t="s">
        <v>244</v>
      </c>
      <c r="F77" s="27" t="s">
        <v>178</v>
      </c>
    </row>
    <row r="78" spans="1:6" x14ac:dyDescent="0.3">
      <c r="E78" s="27" t="s">
        <v>245</v>
      </c>
      <c r="F78" s="27" t="s">
        <v>203</v>
      </c>
    </row>
    <row r="79" spans="1:6" x14ac:dyDescent="0.3">
      <c r="E79" s="27" t="s">
        <v>246</v>
      </c>
      <c r="F79" s="27" t="s">
        <v>191</v>
      </c>
    </row>
    <row r="80" spans="1:6" x14ac:dyDescent="0.3">
      <c r="E80" s="27" t="s">
        <v>247</v>
      </c>
      <c r="F80" s="27" t="s">
        <v>193</v>
      </c>
    </row>
    <row r="81" spans="5:6" x14ac:dyDescent="0.3">
      <c r="E81" s="27" t="s">
        <v>248</v>
      </c>
      <c r="F81" s="27" t="s">
        <v>162</v>
      </c>
    </row>
    <row r="82" spans="5:6" x14ac:dyDescent="0.3">
      <c r="E82" s="27" t="s">
        <v>249</v>
      </c>
      <c r="F82" s="27" t="s">
        <v>162</v>
      </c>
    </row>
    <row r="83" spans="5:6" x14ac:dyDescent="0.3">
      <c r="E83" s="27" t="s">
        <v>250</v>
      </c>
      <c r="F83" s="27" t="s">
        <v>80</v>
      </c>
    </row>
    <row r="84" spans="5:6" x14ac:dyDescent="0.3">
      <c r="E84" s="27" t="s">
        <v>251</v>
      </c>
      <c r="F84" s="27" t="s">
        <v>200</v>
      </c>
    </row>
    <row r="85" spans="5:6" x14ac:dyDescent="0.3">
      <c r="E85" s="27" t="s">
        <v>252</v>
      </c>
      <c r="F85" s="27" t="s">
        <v>200</v>
      </c>
    </row>
    <row r="86" spans="5:6" x14ac:dyDescent="0.3">
      <c r="E86" s="27" t="s">
        <v>253</v>
      </c>
      <c r="F86" s="27" t="s">
        <v>200</v>
      </c>
    </row>
    <row r="87" spans="5:6" x14ac:dyDescent="0.3">
      <c r="E87" s="27" t="s">
        <v>254</v>
      </c>
      <c r="F87" s="27" t="s">
        <v>203</v>
      </c>
    </row>
    <row r="88" spans="5:6" x14ac:dyDescent="0.3">
      <c r="E88" s="27" t="s">
        <v>255</v>
      </c>
      <c r="F88" s="27" t="s">
        <v>173</v>
      </c>
    </row>
    <row r="89" spans="5:6" x14ac:dyDescent="0.3">
      <c r="E89" s="27" t="s">
        <v>256</v>
      </c>
      <c r="F89" s="27" t="s">
        <v>178</v>
      </c>
    </row>
    <row r="90" spans="5:6" x14ac:dyDescent="0.3">
      <c r="E90" s="27" t="s">
        <v>257</v>
      </c>
      <c r="F90" s="27" t="s">
        <v>178</v>
      </c>
    </row>
    <row r="91" spans="5:6" x14ac:dyDescent="0.3">
      <c r="E91" s="27" t="s">
        <v>258</v>
      </c>
      <c r="F91" s="27" t="s">
        <v>178</v>
      </c>
    </row>
    <row r="92" spans="5:6" x14ac:dyDescent="0.3">
      <c r="E92" s="27" t="s">
        <v>259</v>
      </c>
      <c r="F92" s="27" t="s">
        <v>178</v>
      </c>
    </row>
    <row r="93" spans="5:6" x14ac:dyDescent="0.3">
      <c r="E93" s="27" t="s">
        <v>260</v>
      </c>
      <c r="F93" s="27" t="s">
        <v>178</v>
      </c>
    </row>
    <row r="94" spans="5:6" x14ac:dyDescent="0.3">
      <c r="E94" s="27" t="s">
        <v>261</v>
      </c>
      <c r="F94" s="27" t="s">
        <v>178</v>
      </c>
    </row>
    <row r="95" spans="5:6" x14ac:dyDescent="0.3">
      <c r="E95" s="27" t="s">
        <v>262</v>
      </c>
      <c r="F95" s="27" t="s">
        <v>80</v>
      </c>
    </row>
    <row r="96" spans="5:6" x14ac:dyDescent="0.3">
      <c r="E96" s="27" t="s">
        <v>263</v>
      </c>
      <c r="F96" s="27" t="s">
        <v>178</v>
      </c>
    </row>
    <row r="97" spans="5:6" x14ac:dyDescent="0.3">
      <c r="E97" s="27" t="s">
        <v>264</v>
      </c>
      <c r="F97" s="27" t="s">
        <v>203</v>
      </c>
    </row>
    <row r="98" spans="5:6" x14ac:dyDescent="0.3">
      <c r="E98" s="27" t="s">
        <v>265</v>
      </c>
      <c r="F98" s="27" t="s">
        <v>203</v>
      </c>
    </row>
    <row r="99" spans="5:6" x14ac:dyDescent="0.3">
      <c r="E99" s="27" t="s">
        <v>266</v>
      </c>
      <c r="F99" s="27" t="s">
        <v>178</v>
      </c>
    </row>
    <row r="100" spans="5:6" x14ac:dyDescent="0.3">
      <c r="E100" s="27" t="s">
        <v>267</v>
      </c>
      <c r="F100" s="27" t="s">
        <v>203</v>
      </c>
    </row>
    <row r="101" spans="5:6" x14ac:dyDescent="0.3">
      <c r="E101" s="27" t="s">
        <v>268</v>
      </c>
      <c r="F101" s="27" t="s">
        <v>178</v>
      </c>
    </row>
    <row r="102" spans="5:6" x14ac:dyDescent="0.3">
      <c r="E102" s="27" t="s">
        <v>269</v>
      </c>
      <c r="F102" s="27" t="s">
        <v>173</v>
      </c>
    </row>
    <row r="103" spans="5:6" x14ac:dyDescent="0.3">
      <c r="E103" s="27" t="s">
        <v>270</v>
      </c>
      <c r="F103" s="27" t="s">
        <v>173</v>
      </c>
    </row>
    <row r="104" spans="5:6" x14ac:dyDescent="0.3">
      <c r="E104" s="27" t="s">
        <v>271</v>
      </c>
      <c r="F104" s="27" t="s">
        <v>173</v>
      </c>
    </row>
    <row r="105" spans="5:6" x14ac:dyDescent="0.3">
      <c r="E105" s="27" t="s">
        <v>272</v>
      </c>
      <c r="F105" s="27" t="s">
        <v>173</v>
      </c>
    </row>
    <row r="106" spans="5:6" x14ac:dyDescent="0.3">
      <c r="E106" s="27" t="s">
        <v>273</v>
      </c>
      <c r="F106" s="27" t="s">
        <v>203</v>
      </c>
    </row>
    <row r="107" spans="5:6" x14ac:dyDescent="0.3">
      <c r="E107" s="27" t="s">
        <v>274</v>
      </c>
      <c r="F107" s="27" t="s">
        <v>178</v>
      </c>
    </row>
    <row r="108" spans="5:6" x14ac:dyDescent="0.3">
      <c r="E108" s="27" t="s">
        <v>275</v>
      </c>
      <c r="F108" s="27" t="s">
        <v>173</v>
      </c>
    </row>
    <row r="109" spans="5:6" x14ac:dyDescent="0.3">
      <c r="E109" s="27" t="s">
        <v>276</v>
      </c>
      <c r="F109" s="27" t="s">
        <v>178</v>
      </c>
    </row>
    <row r="110" spans="5:6" x14ac:dyDescent="0.3">
      <c r="E110" s="27" t="s">
        <v>277</v>
      </c>
      <c r="F110" s="27" t="s">
        <v>173</v>
      </c>
    </row>
    <row r="111" spans="5:6" x14ac:dyDescent="0.3">
      <c r="E111" s="27" t="s">
        <v>278</v>
      </c>
      <c r="F111" s="27" t="s">
        <v>173</v>
      </c>
    </row>
    <row r="112" spans="5:6" x14ac:dyDescent="0.3">
      <c r="E112" s="27" t="s">
        <v>279</v>
      </c>
      <c r="F112" s="27" t="s">
        <v>173</v>
      </c>
    </row>
    <row r="113" spans="5:6" x14ac:dyDescent="0.3">
      <c r="E113" s="27" t="s">
        <v>280</v>
      </c>
      <c r="F113" s="27" t="s">
        <v>193</v>
      </c>
    </row>
    <row r="114" spans="5:6" x14ac:dyDescent="0.3">
      <c r="E114" s="27" t="s">
        <v>281</v>
      </c>
      <c r="F114" s="27" t="s">
        <v>178</v>
      </c>
    </row>
    <row r="115" spans="5:6" x14ac:dyDescent="0.3">
      <c r="E115" s="27" t="s">
        <v>282</v>
      </c>
      <c r="F115" s="27" t="s">
        <v>178</v>
      </c>
    </row>
    <row r="116" spans="5:6" x14ac:dyDescent="0.3">
      <c r="E116" s="27" t="s">
        <v>283</v>
      </c>
      <c r="F116" s="27" t="s">
        <v>203</v>
      </c>
    </row>
    <row r="117" spans="5:6" x14ac:dyDescent="0.3">
      <c r="E117" s="27" t="s">
        <v>284</v>
      </c>
      <c r="F117" s="27" t="s">
        <v>178</v>
      </c>
    </row>
    <row r="118" spans="5:6" x14ac:dyDescent="0.3">
      <c r="E118" s="27" t="s">
        <v>285</v>
      </c>
      <c r="F118" s="27" t="s">
        <v>178</v>
      </c>
    </row>
    <row r="119" spans="5:6" x14ac:dyDescent="0.3">
      <c r="E119" s="27" t="s">
        <v>286</v>
      </c>
      <c r="F119" s="27" t="s">
        <v>203</v>
      </c>
    </row>
    <row r="120" spans="5:6" x14ac:dyDescent="0.3">
      <c r="E120" s="27" t="s">
        <v>287</v>
      </c>
      <c r="F120" s="27" t="s">
        <v>203</v>
      </c>
    </row>
    <row r="121" spans="5:6" x14ac:dyDescent="0.3">
      <c r="E121" s="27" t="s">
        <v>288</v>
      </c>
      <c r="F121" s="27" t="s">
        <v>178</v>
      </c>
    </row>
    <row r="122" spans="5:6" x14ac:dyDescent="0.3">
      <c r="E122" s="27" t="s">
        <v>289</v>
      </c>
      <c r="F122" s="27" t="s">
        <v>193</v>
      </c>
    </row>
    <row r="123" spans="5:6" x14ac:dyDescent="0.3">
      <c r="E123" s="27" t="s">
        <v>290</v>
      </c>
      <c r="F123" s="27" t="s">
        <v>193</v>
      </c>
    </row>
    <row r="124" spans="5:6" x14ac:dyDescent="0.3">
      <c r="E124" s="27" t="s">
        <v>291</v>
      </c>
      <c r="F124" s="27" t="s">
        <v>178</v>
      </c>
    </row>
    <row r="125" spans="5:6" x14ac:dyDescent="0.3">
      <c r="E125" s="27" t="s">
        <v>292</v>
      </c>
      <c r="F125" s="27" t="s">
        <v>193</v>
      </c>
    </row>
    <row r="126" spans="5:6" x14ac:dyDescent="0.3">
      <c r="E126" s="27" t="s">
        <v>293</v>
      </c>
      <c r="F126" s="27" t="s">
        <v>178</v>
      </c>
    </row>
    <row r="127" spans="5:6" x14ac:dyDescent="0.3">
      <c r="E127" s="27" t="s">
        <v>294</v>
      </c>
      <c r="F127" s="27" t="s">
        <v>200</v>
      </c>
    </row>
    <row r="128" spans="5:6" x14ac:dyDescent="0.3">
      <c r="E128" s="27" t="s">
        <v>295</v>
      </c>
      <c r="F128" s="27" t="s">
        <v>80</v>
      </c>
    </row>
    <row r="129" spans="5:6" x14ac:dyDescent="0.3">
      <c r="E129" s="27" t="s">
        <v>296</v>
      </c>
      <c r="F129" s="27" t="s">
        <v>80</v>
      </c>
    </row>
    <row r="130" spans="5:6" x14ac:dyDescent="0.3">
      <c r="E130" s="27" t="s">
        <v>297</v>
      </c>
      <c r="F130" s="27" t="s">
        <v>193</v>
      </c>
    </row>
    <row r="131" spans="5:6" x14ac:dyDescent="0.3">
      <c r="E131" s="27" t="s">
        <v>103</v>
      </c>
      <c r="F131" s="27" t="s">
        <v>80</v>
      </c>
    </row>
    <row r="132" spans="5:6" x14ac:dyDescent="0.3">
      <c r="E132" s="27" t="s">
        <v>298</v>
      </c>
      <c r="F132" s="27" t="s">
        <v>200</v>
      </c>
    </row>
    <row r="133" spans="5:6" x14ac:dyDescent="0.3">
      <c r="E133" s="27" t="s">
        <v>299</v>
      </c>
      <c r="F133" s="27" t="s">
        <v>193</v>
      </c>
    </row>
    <row r="134" spans="5:6" x14ac:dyDescent="0.3">
      <c r="E134" s="27" t="s">
        <v>300</v>
      </c>
      <c r="F134" s="27" t="s">
        <v>200</v>
      </c>
    </row>
    <row r="135" spans="5:6" x14ac:dyDescent="0.3">
      <c r="E135" s="27" t="s">
        <v>301</v>
      </c>
      <c r="F135" s="27" t="s">
        <v>173</v>
      </c>
    </row>
    <row r="136" spans="5:6" x14ac:dyDescent="0.3">
      <c r="E136" s="27" t="s">
        <v>302</v>
      </c>
      <c r="F136" s="27" t="s">
        <v>193</v>
      </c>
    </row>
    <row r="137" spans="5:6" x14ac:dyDescent="0.3">
      <c r="E137" s="27" t="s">
        <v>303</v>
      </c>
      <c r="F137" s="27" t="s">
        <v>193</v>
      </c>
    </row>
    <row r="138" spans="5:6" x14ac:dyDescent="0.3">
      <c r="E138" s="27" t="s">
        <v>304</v>
      </c>
      <c r="F138" s="27" t="s">
        <v>193</v>
      </c>
    </row>
    <row r="139" spans="5:6" x14ac:dyDescent="0.3">
      <c r="E139" s="27" t="s">
        <v>305</v>
      </c>
      <c r="F139" s="27" t="s">
        <v>80</v>
      </c>
    </row>
    <row r="140" spans="5:6" x14ac:dyDescent="0.3">
      <c r="E140" s="27" t="s">
        <v>306</v>
      </c>
      <c r="F140" s="27" t="s">
        <v>80</v>
      </c>
    </row>
    <row r="141" spans="5:6" x14ac:dyDescent="0.3">
      <c r="E141" s="27" t="s">
        <v>307</v>
      </c>
      <c r="F141" s="27" t="s">
        <v>200</v>
      </c>
    </row>
    <row r="142" spans="5:6" x14ac:dyDescent="0.3">
      <c r="E142" s="27" t="s">
        <v>308</v>
      </c>
      <c r="F142" s="27" t="s">
        <v>200</v>
      </c>
    </row>
    <row r="143" spans="5:6" x14ac:dyDescent="0.3">
      <c r="E143" s="27" t="s">
        <v>82</v>
      </c>
      <c r="F143" s="27" t="s">
        <v>219</v>
      </c>
    </row>
    <row r="144" spans="5:6" x14ac:dyDescent="0.3">
      <c r="E144" s="27" t="s">
        <v>84</v>
      </c>
      <c r="F144" s="27" t="s">
        <v>219</v>
      </c>
    </row>
    <row r="145" spans="5:6" x14ac:dyDescent="0.3">
      <c r="E145" s="27" t="s">
        <v>309</v>
      </c>
      <c r="F145" s="27" t="s">
        <v>178</v>
      </c>
    </row>
    <row r="146" spans="5:6" x14ac:dyDescent="0.3">
      <c r="E146" s="27" t="s">
        <v>310</v>
      </c>
      <c r="F146" s="27" t="s">
        <v>178</v>
      </c>
    </row>
    <row r="147" spans="5:6" x14ac:dyDescent="0.3">
      <c r="E147" s="27" t="s">
        <v>311</v>
      </c>
      <c r="F147" s="27" t="s">
        <v>178</v>
      </c>
    </row>
    <row r="148" spans="5:6" x14ac:dyDescent="0.3">
      <c r="E148" s="27" t="s">
        <v>312</v>
      </c>
      <c r="F148" s="27" t="s">
        <v>162</v>
      </c>
    </row>
    <row r="149" spans="5:6" x14ac:dyDescent="0.3">
      <c r="E149" s="27" t="s">
        <v>313</v>
      </c>
      <c r="F149" s="27" t="s">
        <v>162</v>
      </c>
    </row>
    <row r="150" spans="5:6" x14ac:dyDescent="0.3">
      <c r="E150" s="27" t="s">
        <v>314</v>
      </c>
      <c r="F150" s="27" t="s">
        <v>162</v>
      </c>
    </row>
    <row r="151" spans="5:6" x14ac:dyDescent="0.3">
      <c r="E151" s="27" t="s">
        <v>315</v>
      </c>
      <c r="F151" s="27" t="s">
        <v>162</v>
      </c>
    </row>
    <row r="152" spans="5:6" x14ac:dyDescent="0.3">
      <c r="E152" s="27" t="s">
        <v>316</v>
      </c>
      <c r="F152" s="27" t="s">
        <v>200</v>
      </c>
    </row>
    <row r="153" spans="5:6" x14ac:dyDescent="0.3">
      <c r="E153" s="27" t="s">
        <v>317</v>
      </c>
      <c r="F153" s="27" t="s">
        <v>200</v>
      </c>
    </row>
    <row r="154" spans="5:6" x14ac:dyDescent="0.3">
      <c r="E154" s="27" t="s">
        <v>318</v>
      </c>
      <c r="F154" s="27" t="s">
        <v>193</v>
      </c>
    </row>
    <row r="155" spans="5:6" x14ac:dyDescent="0.3">
      <c r="E155" s="27" t="s">
        <v>319</v>
      </c>
      <c r="F155" s="27" t="s">
        <v>162</v>
      </c>
    </row>
    <row r="156" spans="5:6" x14ac:dyDescent="0.3">
      <c r="E156" s="27" t="s">
        <v>320</v>
      </c>
      <c r="F156" s="27" t="s">
        <v>178</v>
      </c>
    </row>
    <row r="157" spans="5:6" x14ac:dyDescent="0.3">
      <c r="E157" s="27" t="s">
        <v>321</v>
      </c>
      <c r="F157" s="27" t="s">
        <v>231</v>
      </c>
    </row>
    <row r="158" spans="5:6" x14ac:dyDescent="0.3">
      <c r="E158" s="27" t="s">
        <v>322</v>
      </c>
      <c r="F158" s="27" t="s">
        <v>231</v>
      </c>
    </row>
    <row r="159" spans="5:6" x14ac:dyDescent="0.3">
      <c r="E159" s="27" t="s">
        <v>323</v>
      </c>
      <c r="F159" s="27" t="s">
        <v>231</v>
      </c>
    </row>
    <row r="160" spans="5:6" x14ac:dyDescent="0.3">
      <c r="E160" s="27" t="s">
        <v>324</v>
      </c>
      <c r="F160" s="27" t="s">
        <v>325</v>
      </c>
    </row>
    <row r="161" spans="5:6" x14ac:dyDescent="0.3">
      <c r="E161" s="27" t="s">
        <v>326</v>
      </c>
      <c r="F161" s="27" t="s">
        <v>325</v>
      </c>
    </row>
    <row r="162" spans="5:6" x14ac:dyDescent="0.3">
      <c r="E162" s="27" t="s">
        <v>327</v>
      </c>
      <c r="F162" s="27" t="s">
        <v>178</v>
      </c>
    </row>
    <row r="163" spans="5:6" x14ac:dyDescent="0.3">
      <c r="E163" s="27" t="s">
        <v>328</v>
      </c>
      <c r="F163" s="27" t="s">
        <v>173</v>
      </c>
    </row>
    <row r="164" spans="5:6" x14ac:dyDescent="0.3">
      <c r="E164" s="27" t="s">
        <v>329</v>
      </c>
      <c r="F164" s="27" t="s">
        <v>178</v>
      </c>
    </row>
    <row r="165" spans="5:6" x14ac:dyDescent="0.3">
      <c r="E165" s="27" t="s">
        <v>330</v>
      </c>
      <c r="F165" s="27" t="s">
        <v>80</v>
      </c>
    </row>
    <row r="166" spans="5:6" x14ac:dyDescent="0.3">
      <c r="E166" s="27" t="s">
        <v>331</v>
      </c>
      <c r="F166" s="27" t="s">
        <v>332</v>
      </c>
    </row>
    <row r="167" spans="5:6" x14ac:dyDescent="0.3">
      <c r="E167" s="27" t="s">
        <v>333</v>
      </c>
      <c r="F167" s="27" t="s">
        <v>193</v>
      </c>
    </row>
    <row r="168" spans="5:6" x14ac:dyDescent="0.3">
      <c r="E168" s="27" t="s">
        <v>334</v>
      </c>
      <c r="F168" s="27" t="s">
        <v>80</v>
      </c>
    </row>
    <row r="169" spans="5:6" x14ac:dyDescent="0.3">
      <c r="E169" s="27" t="s">
        <v>335</v>
      </c>
      <c r="F169" s="27" t="s">
        <v>178</v>
      </c>
    </row>
    <row r="170" spans="5:6" x14ac:dyDescent="0.3">
      <c r="E170" s="27" t="s">
        <v>336</v>
      </c>
      <c r="F170" s="27" t="s">
        <v>178</v>
      </c>
    </row>
    <row r="171" spans="5:6" x14ac:dyDescent="0.3">
      <c r="E171" s="27" t="s">
        <v>337</v>
      </c>
      <c r="F171" s="27" t="s">
        <v>178</v>
      </c>
    </row>
    <row r="172" spans="5:6" x14ac:dyDescent="0.3">
      <c r="E172" s="27" t="s">
        <v>338</v>
      </c>
      <c r="F172" s="27" t="s">
        <v>178</v>
      </c>
    </row>
    <row r="173" spans="5:6" x14ac:dyDescent="0.3">
      <c r="E173" s="27" t="s">
        <v>339</v>
      </c>
      <c r="F173" s="27" t="s">
        <v>178</v>
      </c>
    </row>
    <row r="174" spans="5:6" x14ac:dyDescent="0.3">
      <c r="E174" s="27" t="s">
        <v>340</v>
      </c>
      <c r="F174" s="27" t="s">
        <v>178</v>
      </c>
    </row>
    <row r="175" spans="5:6" x14ac:dyDescent="0.3">
      <c r="E175" s="27" t="s">
        <v>341</v>
      </c>
      <c r="F175" s="27" t="s">
        <v>178</v>
      </c>
    </row>
    <row r="176" spans="5:6" x14ac:dyDescent="0.3">
      <c r="E176" s="27" t="s">
        <v>342</v>
      </c>
      <c r="F176" s="27" t="s">
        <v>178</v>
      </c>
    </row>
    <row r="177" spans="5:6" x14ac:dyDescent="0.3">
      <c r="E177" s="27" t="s">
        <v>343</v>
      </c>
      <c r="F177" s="27" t="s">
        <v>178</v>
      </c>
    </row>
    <row r="178" spans="5:6" x14ac:dyDescent="0.3">
      <c r="E178" s="27" t="s">
        <v>344</v>
      </c>
      <c r="F178" s="27" t="s">
        <v>193</v>
      </c>
    </row>
    <row r="179" spans="5:6" x14ac:dyDescent="0.3">
      <c r="E179" s="27" t="s">
        <v>345</v>
      </c>
      <c r="F179" s="27" t="s">
        <v>193</v>
      </c>
    </row>
    <row r="180" spans="5:6" x14ac:dyDescent="0.3">
      <c r="E180" s="27" t="s">
        <v>346</v>
      </c>
      <c r="F180" s="27" t="s">
        <v>193</v>
      </c>
    </row>
    <row r="181" spans="5:6" x14ac:dyDescent="0.3">
      <c r="E181" s="27" t="s">
        <v>347</v>
      </c>
      <c r="F181" s="27" t="s">
        <v>80</v>
      </c>
    </row>
    <row r="182" spans="5:6" x14ac:dyDescent="0.3">
      <c r="E182" s="27" t="s">
        <v>348</v>
      </c>
      <c r="F182" s="27" t="s">
        <v>83</v>
      </c>
    </row>
    <row r="183" spans="5:6" x14ac:dyDescent="0.3">
      <c r="E183" s="27" t="s">
        <v>349</v>
      </c>
      <c r="F183" s="27" t="s">
        <v>162</v>
      </c>
    </row>
    <row r="184" spans="5:6" x14ac:dyDescent="0.3">
      <c r="E184" s="27" t="s">
        <v>350</v>
      </c>
      <c r="F184" s="27" t="s">
        <v>191</v>
      </c>
    </row>
    <row r="185" spans="5:6" x14ac:dyDescent="0.3">
      <c r="E185" s="27" t="s">
        <v>351</v>
      </c>
      <c r="F185" s="27" t="s">
        <v>80</v>
      </c>
    </row>
    <row r="186" spans="5:6" x14ac:dyDescent="0.3">
      <c r="E186" s="27" t="s">
        <v>352</v>
      </c>
      <c r="F186" s="27" t="s">
        <v>178</v>
      </c>
    </row>
    <row r="187" spans="5:6" x14ac:dyDescent="0.3">
      <c r="E187" s="27" t="s">
        <v>353</v>
      </c>
      <c r="F187" s="27" t="s">
        <v>85</v>
      </c>
    </row>
    <row r="188" spans="5:6" x14ac:dyDescent="0.3">
      <c r="E188" s="27" t="s">
        <v>354</v>
      </c>
      <c r="F188" s="27" t="s">
        <v>178</v>
      </c>
    </row>
    <row r="189" spans="5:6" x14ac:dyDescent="0.3">
      <c r="E189" s="27" t="s">
        <v>355</v>
      </c>
      <c r="F189" s="27" t="s">
        <v>178</v>
      </c>
    </row>
    <row r="190" spans="5:6" x14ac:dyDescent="0.3">
      <c r="E190" s="27" t="s">
        <v>356</v>
      </c>
      <c r="F190" s="27" t="s">
        <v>178</v>
      </c>
    </row>
    <row r="191" spans="5:6" x14ac:dyDescent="0.3">
      <c r="E191" s="27" t="s">
        <v>357</v>
      </c>
      <c r="F191" s="27" t="s">
        <v>178</v>
      </c>
    </row>
    <row r="192" spans="5:6" x14ac:dyDescent="0.3">
      <c r="E192" s="27" t="s">
        <v>358</v>
      </c>
      <c r="F192" s="27" t="s">
        <v>178</v>
      </c>
    </row>
    <row r="193" spans="5:6" x14ac:dyDescent="0.3">
      <c r="E193" s="27" t="s">
        <v>359</v>
      </c>
      <c r="F193" s="27" t="s">
        <v>178</v>
      </c>
    </row>
    <row r="194" spans="5:6" x14ac:dyDescent="0.3">
      <c r="E194" s="27" t="s">
        <v>360</v>
      </c>
      <c r="F194" s="27" t="s">
        <v>178</v>
      </c>
    </row>
    <row r="195" spans="5:6" x14ac:dyDescent="0.3">
      <c r="E195" s="27" t="s">
        <v>361</v>
      </c>
      <c r="F195" s="27" t="s">
        <v>178</v>
      </c>
    </row>
    <row r="196" spans="5:6" x14ac:dyDescent="0.3">
      <c r="E196" s="27" t="s">
        <v>362</v>
      </c>
      <c r="F196" s="27" t="s">
        <v>178</v>
      </c>
    </row>
    <row r="197" spans="5:6" x14ac:dyDescent="0.3">
      <c r="E197" s="27" t="s">
        <v>363</v>
      </c>
      <c r="F197" s="27" t="s">
        <v>178</v>
      </c>
    </row>
    <row r="198" spans="5:6" x14ac:dyDescent="0.3">
      <c r="E198" s="27" t="s">
        <v>364</v>
      </c>
      <c r="F198" s="27" t="s">
        <v>178</v>
      </c>
    </row>
    <row r="199" spans="5:6" x14ac:dyDescent="0.3">
      <c r="E199" s="27" t="s">
        <v>365</v>
      </c>
      <c r="F199" s="27" t="s">
        <v>178</v>
      </c>
    </row>
    <row r="200" spans="5:6" x14ac:dyDescent="0.3">
      <c r="E200" s="27" t="s">
        <v>366</v>
      </c>
      <c r="F200" s="27" t="s">
        <v>178</v>
      </c>
    </row>
    <row r="201" spans="5:6" x14ac:dyDescent="0.3">
      <c r="E201" s="27" t="s">
        <v>367</v>
      </c>
      <c r="F201" s="27" t="s">
        <v>178</v>
      </c>
    </row>
    <row r="202" spans="5:6" x14ac:dyDescent="0.3">
      <c r="E202" s="27" t="s">
        <v>368</v>
      </c>
      <c r="F202" s="27" t="s">
        <v>178</v>
      </c>
    </row>
    <row r="203" spans="5:6" x14ac:dyDescent="0.3">
      <c r="E203" s="27" t="s">
        <v>369</v>
      </c>
      <c r="F203" s="27" t="s">
        <v>178</v>
      </c>
    </row>
    <row r="204" spans="5:6" x14ac:dyDescent="0.3">
      <c r="E204" s="27" t="s">
        <v>370</v>
      </c>
      <c r="F204" s="27" t="s">
        <v>178</v>
      </c>
    </row>
    <row r="205" spans="5:6" x14ac:dyDescent="0.3">
      <c r="E205" s="27" t="s">
        <v>371</v>
      </c>
      <c r="F205" s="27" t="s">
        <v>178</v>
      </c>
    </row>
    <row r="206" spans="5:6" x14ac:dyDescent="0.3">
      <c r="E206" s="27" t="s">
        <v>372</v>
      </c>
      <c r="F206" s="27" t="s">
        <v>178</v>
      </c>
    </row>
    <row r="207" spans="5:6" x14ac:dyDescent="0.3">
      <c r="E207" s="27" t="s">
        <v>373</v>
      </c>
      <c r="F207" s="27" t="s">
        <v>178</v>
      </c>
    </row>
    <row r="208" spans="5:6" x14ac:dyDescent="0.3">
      <c r="E208" s="27" t="s">
        <v>374</v>
      </c>
      <c r="F208" s="27" t="s">
        <v>162</v>
      </c>
    </row>
    <row r="209" spans="5:6" x14ac:dyDescent="0.3">
      <c r="E209" s="27" t="s">
        <v>375</v>
      </c>
      <c r="F209" s="27" t="s">
        <v>162</v>
      </c>
    </row>
    <row r="210" spans="5:6" x14ac:dyDescent="0.3">
      <c r="E210" s="27" t="s">
        <v>376</v>
      </c>
      <c r="F210" s="27" t="s">
        <v>162</v>
      </c>
    </row>
    <row r="211" spans="5:6" x14ac:dyDescent="0.3">
      <c r="E211" s="27" t="s">
        <v>377</v>
      </c>
      <c r="F211" s="27" t="s">
        <v>162</v>
      </c>
    </row>
    <row r="212" spans="5:6" x14ac:dyDescent="0.3">
      <c r="E212" s="27" t="s">
        <v>378</v>
      </c>
      <c r="F212" s="27" t="s">
        <v>173</v>
      </c>
    </row>
    <row r="213" spans="5:6" x14ac:dyDescent="0.3">
      <c r="E213" s="27" t="s">
        <v>379</v>
      </c>
      <c r="F213" s="27" t="s">
        <v>203</v>
      </c>
    </row>
    <row r="214" spans="5:6" x14ac:dyDescent="0.3">
      <c r="E214" s="27" t="s">
        <v>380</v>
      </c>
      <c r="F214" s="27" t="s">
        <v>178</v>
      </c>
    </row>
    <row r="215" spans="5:6" x14ac:dyDescent="0.3">
      <c r="E215" s="27" t="s">
        <v>381</v>
      </c>
      <c r="F215" s="27" t="s">
        <v>80</v>
      </c>
    </row>
    <row r="216" spans="5:6" x14ac:dyDescent="0.3">
      <c r="E216" s="27" t="s">
        <v>382</v>
      </c>
      <c r="F216" s="27" t="s">
        <v>383</v>
      </c>
    </row>
    <row r="217" spans="5:6" x14ac:dyDescent="0.3">
      <c r="E217" s="27" t="s">
        <v>384</v>
      </c>
      <c r="F217" s="27" t="s">
        <v>383</v>
      </c>
    </row>
    <row r="218" spans="5:6" x14ac:dyDescent="0.3">
      <c r="E218" s="27" t="s">
        <v>385</v>
      </c>
      <c r="F218" s="27" t="s">
        <v>80</v>
      </c>
    </row>
    <row r="219" spans="5:6" x14ac:dyDescent="0.3">
      <c r="E219" s="27" t="s">
        <v>386</v>
      </c>
      <c r="F219" s="27" t="s">
        <v>332</v>
      </c>
    </row>
    <row r="220" spans="5:6" x14ac:dyDescent="0.3">
      <c r="E220" s="27" t="s">
        <v>387</v>
      </c>
      <c r="F220" s="27" t="s">
        <v>83</v>
      </c>
    </row>
    <row r="221" spans="5:6" x14ac:dyDescent="0.3">
      <c r="E221" s="27" t="s">
        <v>388</v>
      </c>
      <c r="F221" s="27" t="s">
        <v>83</v>
      </c>
    </row>
    <row r="222" spans="5:6" x14ac:dyDescent="0.3">
      <c r="E222" s="27" t="s">
        <v>389</v>
      </c>
      <c r="F222" s="27" t="s">
        <v>83</v>
      </c>
    </row>
    <row r="223" spans="5:6" x14ac:dyDescent="0.3">
      <c r="E223" s="27" t="s">
        <v>390</v>
      </c>
      <c r="F223" s="27" t="s">
        <v>83</v>
      </c>
    </row>
    <row r="224" spans="5:6" x14ac:dyDescent="0.3">
      <c r="E224" s="27" t="s">
        <v>391</v>
      </c>
      <c r="F224" s="27" t="s">
        <v>178</v>
      </c>
    </row>
    <row r="225" spans="5:6" x14ac:dyDescent="0.3">
      <c r="E225" s="27" t="s">
        <v>392</v>
      </c>
      <c r="F225" s="27" t="s">
        <v>178</v>
      </c>
    </row>
    <row r="226" spans="5:6" x14ac:dyDescent="0.3">
      <c r="E226" s="27" t="s">
        <v>393</v>
      </c>
      <c r="F226" s="27" t="s">
        <v>178</v>
      </c>
    </row>
    <row r="227" spans="5:6" x14ac:dyDescent="0.3">
      <c r="E227" s="27" t="s">
        <v>394</v>
      </c>
      <c r="F227" s="27" t="s">
        <v>178</v>
      </c>
    </row>
    <row r="228" spans="5:6" x14ac:dyDescent="0.3">
      <c r="E228" s="27" t="s">
        <v>395</v>
      </c>
      <c r="F228" s="27" t="s">
        <v>178</v>
      </c>
    </row>
    <row r="229" spans="5:6" x14ac:dyDescent="0.3">
      <c r="E229" s="27" t="s">
        <v>396</v>
      </c>
      <c r="F229" s="27" t="s">
        <v>178</v>
      </c>
    </row>
    <row r="230" spans="5:6" x14ac:dyDescent="0.3">
      <c r="E230" s="27" t="s">
        <v>397</v>
      </c>
      <c r="F230" s="27" t="s">
        <v>178</v>
      </c>
    </row>
    <row r="231" spans="5:6" x14ac:dyDescent="0.3">
      <c r="E231" s="27" t="s">
        <v>398</v>
      </c>
      <c r="F231" s="27" t="s">
        <v>178</v>
      </c>
    </row>
    <row r="232" spans="5:6" x14ac:dyDescent="0.3">
      <c r="E232" s="27" t="s">
        <v>399</v>
      </c>
      <c r="F232" s="27" t="s">
        <v>178</v>
      </c>
    </row>
    <row r="233" spans="5:6" x14ac:dyDescent="0.3">
      <c r="E233" s="27" t="s">
        <v>400</v>
      </c>
      <c r="F233" s="27" t="s">
        <v>80</v>
      </c>
    </row>
    <row r="234" spans="5:6" x14ac:dyDescent="0.3">
      <c r="E234" s="27" t="s">
        <v>401</v>
      </c>
      <c r="F234" s="27" t="s">
        <v>178</v>
      </c>
    </row>
    <row r="235" spans="5:6" x14ac:dyDescent="0.3">
      <c r="E235" s="27" t="s">
        <v>78</v>
      </c>
      <c r="F235" s="27" t="s">
        <v>83</v>
      </c>
    </row>
    <row r="236" spans="5:6" x14ac:dyDescent="0.3">
      <c r="E236" s="27" t="s">
        <v>402</v>
      </c>
      <c r="F236" s="27" t="s">
        <v>403</v>
      </c>
    </row>
    <row r="237" spans="5:6" x14ac:dyDescent="0.3">
      <c r="E237" s="27" t="s">
        <v>404</v>
      </c>
      <c r="F237" s="27" t="s">
        <v>403</v>
      </c>
    </row>
    <row r="238" spans="5:6" x14ac:dyDescent="0.3">
      <c r="E238" s="27" t="s">
        <v>405</v>
      </c>
      <c r="F238" s="27" t="s">
        <v>403</v>
      </c>
    </row>
    <row r="239" spans="5:6" x14ac:dyDescent="0.3">
      <c r="E239" s="27" t="s">
        <v>406</v>
      </c>
      <c r="F239" s="27" t="s">
        <v>403</v>
      </c>
    </row>
    <row r="240" spans="5:6" x14ac:dyDescent="0.3">
      <c r="E240" s="27" t="s">
        <v>407</v>
      </c>
      <c r="F240" s="27" t="s">
        <v>383</v>
      </c>
    </row>
    <row r="241" spans="5:6" x14ac:dyDescent="0.3">
      <c r="E241" s="27" t="s">
        <v>408</v>
      </c>
      <c r="F241" s="27" t="s">
        <v>383</v>
      </c>
    </row>
    <row r="242" spans="5:6" x14ac:dyDescent="0.3">
      <c r="E242" s="27" t="s">
        <v>409</v>
      </c>
      <c r="F242" s="27" t="s">
        <v>383</v>
      </c>
    </row>
    <row r="243" spans="5:6" x14ac:dyDescent="0.3">
      <c r="E243" s="27" t="s">
        <v>410</v>
      </c>
      <c r="F243" s="27" t="s">
        <v>383</v>
      </c>
    </row>
    <row r="244" spans="5:6" x14ac:dyDescent="0.3">
      <c r="E244" s="27" t="s">
        <v>411</v>
      </c>
      <c r="F244" s="27" t="s">
        <v>332</v>
      </c>
    </row>
    <row r="245" spans="5:6" x14ac:dyDescent="0.3">
      <c r="E245" s="27" t="s">
        <v>412</v>
      </c>
      <c r="F245" s="27" t="s">
        <v>332</v>
      </c>
    </row>
    <row r="246" spans="5:6" x14ac:dyDescent="0.3">
      <c r="E246" s="27" t="s">
        <v>413</v>
      </c>
      <c r="F246" s="27" t="s">
        <v>332</v>
      </c>
    </row>
    <row r="247" spans="5:6" x14ac:dyDescent="0.3">
      <c r="E247" s="27" t="s">
        <v>414</v>
      </c>
      <c r="F247" s="27" t="s">
        <v>332</v>
      </c>
    </row>
    <row r="248" spans="5:6" x14ac:dyDescent="0.3">
      <c r="E248" s="27" t="s">
        <v>415</v>
      </c>
      <c r="F248" s="27" t="s">
        <v>332</v>
      </c>
    </row>
    <row r="249" spans="5:6" x14ac:dyDescent="0.3">
      <c r="E249" s="27" t="s">
        <v>416</v>
      </c>
      <c r="F249" s="27" t="s">
        <v>193</v>
      </c>
    </row>
    <row r="250" spans="5:6" x14ac:dyDescent="0.3">
      <c r="E250" s="27" t="s">
        <v>417</v>
      </c>
      <c r="F250" s="27" t="s">
        <v>193</v>
      </c>
    </row>
    <row r="251" spans="5:6" x14ac:dyDescent="0.3">
      <c r="E251" s="27" t="s">
        <v>418</v>
      </c>
      <c r="F251" s="27" t="s">
        <v>83</v>
      </c>
    </row>
    <row r="252" spans="5:6" x14ac:dyDescent="0.3">
      <c r="E252" s="27" t="s">
        <v>419</v>
      </c>
      <c r="F252" s="27" t="s">
        <v>83</v>
      </c>
    </row>
    <row r="253" spans="5:6" x14ac:dyDescent="0.3">
      <c r="E253" s="27" t="s">
        <v>420</v>
      </c>
      <c r="F253" s="27" t="s">
        <v>178</v>
      </c>
    </row>
    <row r="254" spans="5:6" x14ac:dyDescent="0.3">
      <c r="E254" s="27" t="s">
        <v>421</v>
      </c>
      <c r="F254" s="27" t="s">
        <v>178</v>
      </c>
    </row>
    <row r="255" spans="5:6" x14ac:dyDescent="0.3">
      <c r="E255" s="27" t="s">
        <v>422</v>
      </c>
      <c r="F255" s="27" t="s">
        <v>178</v>
      </c>
    </row>
    <row r="256" spans="5:6" x14ac:dyDescent="0.3">
      <c r="E256" s="27" t="s">
        <v>423</v>
      </c>
      <c r="F256" s="27" t="s">
        <v>178</v>
      </c>
    </row>
    <row r="257" spans="5:6" x14ac:dyDescent="0.3">
      <c r="E257" s="27" t="s">
        <v>424</v>
      </c>
      <c r="F257" s="27" t="s">
        <v>178</v>
      </c>
    </row>
    <row r="258" spans="5:6" x14ac:dyDescent="0.3">
      <c r="E258" s="27" t="s">
        <v>425</v>
      </c>
      <c r="F258" s="27" t="s">
        <v>193</v>
      </c>
    </row>
    <row r="259" spans="5:6" x14ac:dyDescent="0.3">
      <c r="E259" s="27" t="s">
        <v>426</v>
      </c>
      <c r="F259" s="27" t="s">
        <v>83</v>
      </c>
    </row>
    <row r="260" spans="5:6" x14ac:dyDescent="0.3">
      <c r="E260" s="27" t="s">
        <v>299</v>
      </c>
      <c r="F260" s="27" t="s">
        <v>193</v>
      </c>
    </row>
    <row r="261" spans="5:6" x14ac:dyDescent="0.3">
      <c r="E261" s="27" t="s">
        <v>427</v>
      </c>
      <c r="F261" s="27" t="s">
        <v>203</v>
      </c>
    </row>
    <row r="262" spans="5:6" x14ac:dyDescent="0.3">
      <c r="E262" s="27" t="s">
        <v>428</v>
      </c>
      <c r="F262" s="27" t="s">
        <v>162</v>
      </c>
    </row>
    <row r="263" spans="5:6" x14ac:dyDescent="0.3">
      <c r="E263" s="27" t="s">
        <v>429</v>
      </c>
      <c r="F263" s="27" t="s">
        <v>178</v>
      </c>
    </row>
    <row r="264" spans="5:6" x14ac:dyDescent="0.3">
      <c r="E264" s="27" t="s">
        <v>430</v>
      </c>
      <c r="F264" s="27" t="s">
        <v>383</v>
      </c>
    </row>
    <row r="265" spans="5:6" x14ac:dyDescent="0.3">
      <c r="E265" s="27" t="s">
        <v>431</v>
      </c>
      <c r="F265" s="27" t="s">
        <v>383</v>
      </c>
    </row>
    <row r="266" spans="5:6" x14ac:dyDescent="0.3">
      <c r="E266" s="27" t="s">
        <v>432</v>
      </c>
      <c r="F266" s="27" t="s">
        <v>383</v>
      </c>
    </row>
    <row r="267" spans="5:6" x14ac:dyDescent="0.3">
      <c r="E267" s="27" t="s">
        <v>433</v>
      </c>
      <c r="F267" s="27" t="s">
        <v>178</v>
      </c>
    </row>
    <row r="268" spans="5:6" x14ac:dyDescent="0.3">
      <c r="E268" s="27" t="s">
        <v>434</v>
      </c>
      <c r="F268" s="27" t="s">
        <v>178</v>
      </c>
    </row>
    <row r="269" spans="5:6" x14ac:dyDescent="0.3">
      <c r="E269" s="27" t="s">
        <v>435</v>
      </c>
      <c r="F269" s="27" t="s">
        <v>178</v>
      </c>
    </row>
    <row r="270" spans="5:6" x14ac:dyDescent="0.3">
      <c r="E270" s="27" t="s">
        <v>436</v>
      </c>
      <c r="F270" s="27" t="s">
        <v>178</v>
      </c>
    </row>
    <row r="271" spans="5:6" x14ac:dyDescent="0.3">
      <c r="E271" s="27" t="s">
        <v>437</v>
      </c>
      <c r="F271" s="27" t="s">
        <v>203</v>
      </c>
    </row>
    <row r="272" spans="5:6" x14ac:dyDescent="0.3">
      <c r="E272" s="27" t="s">
        <v>438</v>
      </c>
      <c r="F272" s="27" t="s">
        <v>203</v>
      </c>
    </row>
    <row r="273" spans="5:6" x14ac:dyDescent="0.3">
      <c r="E273" s="27" t="s">
        <v>439</v>
      </c>
      <c r="F273" s="27" t="s">
        <v>203</v>
      </c>
    </row>
    <row r="274" spans="5:6" x14ac:dyDescent="0.3">
      <c r="E274" s="27" t="s">
        <v>440</v>
      </c>
      <c r="F274" s="27" t="s">
        <v>203</v>
      </c>
    </row>
    <row r="275" spans="5:6" x14ac:dyDescent="0.3">
      <c r="E275" s="27" t="s">
        <v>441</v>
      </c>
      <c r="F275" s="27" t="s">
        <v>85</v>
      </c>
    </row>
    <row r="276" spans="5:6" x14ac:dyDescent="0.3">
      <c r="E276" s="27" t="s">
        <v>442</v>
      </c>
      <c r="F276" s="27" t="s">
        <v>85</v>
      </c>
    </row>
    <row r="277" spans="5:6" x14ac:dyDescent="0.3">
      <c r="E277" s="27" t="s">
        <v>443</v>
      </c>
      <c r="F277" s="27" t="s">
        <v>193</v>
      </c>
    </row>
    <row r="278" spans="5:6" x14ac:dyDescent="0.3">
      <c r="E278" s="27" t="s">
        <v>444</v>
      </c>
      <c r="F278" s="27" t="s">
        <v>203</v>
      </c>
    </row>
    <row r="279" spans="5:6" x14ac:dyDescent="0.3">
      <c r="E279" s="27" t="s">
        <v>445</v>
      </c>
      <c r="F279" s="27" t="s">
        <v>80</v>
      </c>
    </row>
    <row r="280" spans="5:6" x14ac:dyDescent="0.3">
      <c r="E280" s="27" t="s">
        <v>446</v>
      </c>
      <c r="F280" s="27" t="s">
        <v>83</v>
      </c>
    </row>
    <row r="281" spans="5:6" x14ac:dyDescent="0.3">
      <c r="E281" s="27" t="s">
        <v>447</v>
      </c>
      <c r="F281" s="27" t="s">
        <v>178</v>
      </c>
    </row>
    <row r="282" spans="5:6" x14ac:dyDescent="0.3">
      <c r="E282" s="27" t="s">
        <v>448</v>
      </c>
      <c r="F282" s="27" t="s">
        <v>178</v>
      </c>
    </row>
    <row r="283" spans="5:6" x14ac:dyDescent="0.3">
      <c r="E283" s="27" t="s">
        <v>449</v>
      </c>
      <c r="F283" s="27" t="s">
        <v>178</v>
      </c>
    </row>
    <row r="284" spans="5:6" x14ac:dyDescent="0.3">
      <c r="E284" s="27" t="s">
        <v>450</v>
      </c>
      <c r="F284" s="27" t="s">
        <v>178</v>
      </c>
    </row>
    <row r="285" spans="5:6" x14ac:dyDescent="0.3">
      <c r="E285" s="27" t="s">
        <v>451</v>
      </c>
      <c r="F285" s="27" t="s">
        <v>178</v>
      </c>
    </row>
    <row r="286" spans="5:6" x14ac:dyDescent="0.3">
      <c r="E286" s="27" t="s">
        <v>452</v>
      </c>
      <c r="F286" s="27" t="s">
        <v>178</v>
      </c>
    </row>
    <row r="287" spans="5:6" x14ac:dyDescent="0.3">
      <c r="E287" s="27" t="s">
        <v>453</v>
      </c>
      <c r="F287" s="27" t="s">
        <v>178</v>
      </c>
    </row>
    <row r="288" spans="5:6" x14ac:dyDescent="0.3">
      <c r="E288" s="27" t="s">
        <v>346</v>
      </c>
      <c r="F288" s="27" t="s">
        <v>193</v>
      </c>
    </row>
    <row r="289" spans="5:6" x14ac:dyDescent="0.3">
      <c r="E289" s="27" t="s">
        <v>454</v>
      </c>
      <c r="F289" s="27" t="s">
        <v>178</v>
      </c>
    </row>
    <row r="290" spans="5:6" x14ac:dyDescent="0.3">
      <c r="E290" s="27" t="s">
        <v>455</v>
      </c>
      <c r="F290" s="27" t="s">
        <v>80</v>
      </c>
    </row>
    <row r="291" spans="5:6" x14ac:dyDescent="0.3">
      <c r="E291" s="27" t="s">
        <v>456</v>
      </c>
      <c r="F291" s="27" t="s">
        <v>83</v>
      </c>
    </row>
    <row r="292" spans="5:6" x14ac:dyDescent="0.3">
      <c r="E292" s="27" t="s">
        <v>457</v>
      </c>
      <c r="F292" s="27" t="s">
        <v>83</v>
      </c>
    </row>
    <row r="293" spans="5:6" x14ac:dyDescent="0.3">
      <c r="E293" s="27" t="s">
        <v>458</v>
      </c>
      <c r="F293" s="27" t="s">
        <v>83</v>
      </c>
    </row>
    <row r="294" spans="5:6" x14ac:dyDescent="0.3">
      <c r="E294" s="27" t="s">
        <v>459</v>
      </c>
      <c r="F294" s="27" t="s">
        <v>193</v>
      </c>
    </row>
    <row r="295" spans="5:6" x14ac:dyDescent="0.3">
      <c r="E295" s="27" t="s">
        <v>460</v>
      </c>
      <c r="F295" s="27" t="s">
        <v>193</v>
      </c>
    </row>
    <row r="296" spans="5:6" x14ac:dyDescent="0.3">
      <c r="E296" s="27" t="s">
        <v>461</v>
      </c>
      <c r="F296" s="27" t="s">
        <v>193</v>
      </c>
    </row>
    <row r="297" spans="5:6" x14ac:dyDescent="0.3">
      <c r="E297" s="27" t="s">
        <v>462</v>
      </c>
      <c r="F297" s="27" t="s">
        <v>193</v>
      </c>
    </row>
    <row r="298" spans="5:6" x14ac:dyDescent="0.3">
      <c r="E298" s="27" t="s">
        <v>463</v>
      </c>
      <c r="F298" s="27" t="s">
        <v>193</v>
      </c>
    </row>
    <row r="299" spans="5:6" x14ac:dyDescent="0.3">
      <c r="E299" s="27" t="s">
        <v>464</v>
      </c>
      <c r="F299" s="27" t="s">
        <v>193</v>
      </c>
    </row>
    <row r="300" spans="5:6" x14ac:dyDescent="0.3">
      <c r="E300" s="27" t="s">
        <v>465</v>
      </c>
      <c r="F300" s="27" t="s">
        <v>193</v>
      </c>
    </row>
    <row r="301" spans="5:6" x14ac:dyDescent="0.3">
      <c r="E301" s="27" t="s">
        <v>466</v>
      </c>
      <c r="F301" s="27" t="s">
        <v>193</v>
      </c>
    </row>
    <row r="302" spans="5:6" x14ac:dyDescent="0.3">
      <c r="E302" s="27" t="s">
        <v>467</v>
      </c>
      <c r="F302" s="27" t="s">
        <v>80</v>
      </c>
    </row>
    <row r="303" spans="5:6" x14ac:dyDescent="0.3">
      <c r="E303" s="27" t="s">
        <v>468</v>
      </c>
      <c r="F303" s="27" t="s">
        <v>80</v>
      </c>
    </row>
    <row r="304" spans="5:6" x14ac:dyDescent="0.3">
      <c r="E304" s="27" t="s">
        <v>469</v>
      </c>
      <c r="F304" s="27" t="s">
        <v>178</v>
      </c>
    </row>
    <row r="305" spans="5:6" x14ac:dyDescent="0.3">
      <c r="E305" s="27" t="s">
        <v>470</v>
      </c>
      <c r="F305" s="27" t="s">
        <v>85</v>
      </c>
    </row>
    <row r="306" spans="5:6" x14ac:dyDescent="0.3">
      <c r="E306" s="27" t="s">
        <v>471</v>
      </c>
      <c r="F306" s="27" t="s">
        <v>193</v>
      </c>
    </row>
    <row r="307" spans="5:6" x14ac:dyDescent="0.3">
      <c r="E307" s="27" t="s">
        <v>472</v>
      </c>
      <c r="F307" s="27" t="s">
        <v>178</v>
      </c>
    </row>
    <row r="308" spans="5:6" x14ac:dyDescent="0.3">
      <c r="E308" s="27" t="s">
        <v>473</v>
      </c>
      <c r="F308" s="27" t="s">
        <v>85</v>
      </c>
    </row>
    <row r="309" spans="5:6" x14ac:dyDescent="0.3">
      <c r="E309" s="27" t="s">
        <v>474</v>
      </c>
      <c r="F309" s="27" t="s">
        <v>85</v>
      </c>
    </row>
    <row r="310" spans="5:6" x14ac:dyDescent="0.3">
      <c r="E310" s="27" t="s">
        <v>475</v>
      </c>
      <c r="F310" s="27" t="s">
        <v>85</v>
      </c>
    </row>
    <row r="311" spans="5:6" x14ac:dyDescent="0.3">
      <c r="E311" s="27" t="s">
        <v>476</v>
      </c>
      <c r="F311" s="27" t="s">
        <v>85</v>
      </c>
    </row>
    <row r="312" spans="5:6" x14ac:dyDescent="0.3">
      <c r="E312" s="27" t="s">
        <v>477</v>
      </c>
      <c r="F312" s="27" t="s">
        <v>173</v>
      </c>
    </row>
    <row r="313" spans="5:6" x14ac:dyDescent="0.3">
      <c r="E313" s="27" t="s">
        <v>478</v>
      </c>
      <c r="F313" s="27" t="s">
        <v>173</v>
      </c>
    </row>
    <row r="314" spans="5:6" x14ac:dyDescent="0.3">
      <c r="E314" s="27" t="s">
        <v>479</v>
      </c>
      <c r="F314" s="27" t="s">
        <v>203</v>
      </c>
    </row>
    <row r="315" spans="5:6" x14ac:dyDescent="0.3">
      <c r="E315" s="27" t="s">
        <v>480</v>
      </c>
      <c r="F315" s="27" t="s">
        <v>178</v>
      </c>
    </row>
    <row r="316" spans="5:6" x14ac:dyDescent="0.3">
      <c r="E316" s="27" t="s">
        <v>481</v>
      </c>
      <c r="F316" s="27" t="s">
        <v>178</v>
      </c>
    </row>
    <row r="317" spans="5:6" x14ac:dyDescent="0.3">
      <c r="E317" s="27" t="s">
        <v>482</v>
      </c>
      <c r="F317" s="27" t="s">
        <v>80</v>
      </c>
    </row>
    <row r="318" spans="5:6" x14ac:dyDescent="0.3">
      <c r="E318" s="27" t="s">
        <v>483</v>
      </c>
      <c r="F318" s="27" t="s">
        <v>193</v>
      </c>
    </row>
    <row r="319" spans="5:6" x14ac:dyDescent="0.3">
      <c r="E319" s="27" t="s">
        <v>484</v>
      </c>
      <c r="F319" s="27" t="s">
        <v>80</v>
      </c>
    </row>
    <row r="320" spans="5:6" x14ac:dyDescent="0.3">
      <c r="E320" s="27" t="s">
        <v>485</v>
      </c>
      <c r="F320" s="27" t="s">
        <v>80</v>
      </c>
    </row>
    <row r="321" spans="5:6" x14ac:dyDescent="0.3">
      <c r="E321" s="27" t="s">
        <v>486</v>
      </c>
      <c r="F321" s="27" t="s">
        <v>178</v>
      </c>
    </row>
    <row r="322" spans="5:6" x14ac:dyDescent="0.3">
      <c r="E322" s="27" t="s">
        <v>487</v>
      </c>
      <c r="F322" s="27" t="s">
        <v>178</v>
      </c>
    </row>
    <row r="323" spans="5:6" x14ac:dyDescent="0.3">
      <c r="E323" s="27" t="s">
        <v>488</v>
      </c>
      <c r="F323" s="27" t="s">
        <v>83</v>
      </c>
    </row>
    <row r="324" spans="5:6" x14ac:dyDescent="0.3">
      <c r="E324" s="27" t="s">
        <v>489</v>
      </c>
      <c r="F324" s="27" t="s">
        <v>178</v>
      </c>
    </row>
    <row r="325" spans="5:6" x14ac:dyDescent="0.3">
      <c r="E325" s="27" t="s">
        <v>490</v>
      </c>
      <c r="F325" s="27" t="s">
        <v>178</v>
      </c>
    </row>
    <row r="326" spans="5:6" x14ac:dyDescent="0.3">
      <c r="E326" s="27" t="s">
        <v>491</v>
      </c>
      <c r="F326" s="27" t="s">
        <v>178</v>
      </c>
    </row>
    <row r="327" spans="5:6" x14ac:dyDescent="0.3">
      <c r="E327" s="27" t="s">
        <v>492</v>
      </c>
      <c r="F327" s="27" t="s">
        <v>178</v>
      </c>
    </row>
    <row r="328" spans="5:6" x14ac:dyDescent="0.3">
      <c r="E328" s="27" t="s">
        <v>493</v>
      </c>
      <c r="F328" s="27" t="s">
        <v>178</v>
      </c>
    </row>
    <row r="329" spans="5:6" x14ac:dyDescent="0.3">
      <c r="E329" s="27" t="s">
        <v>494</v>
      </c>
      <c r="F329" s="27" t="s">
        <v>203</v>
      </c>
    </row>
    <row r="330" spans="5:6" x14ac:dyDescent="0.3">
      <c r="E330" s="27" t="s">
        <v>495</v>
      </c>
      <c r="F330" s="27" t="s">
        <v>80</v>
      </c>
    </row>
    <row r="331" spans="5:6" x14ac:dyDescent="0.3">
      <c r="E331" s="27" t="s">
        <v>496</v>
      </c>
      <c r="F331" s="27" t="s">
        <v>203</v>
      </c>
    </row>
    <row r="332" spans="5:6" x14ac:dyDescent="0.3">
      <c r="E332" s="27" t="s">
        <v>497</v>
      </c>
      <c r="F332" s="27" t="s">
        <v>178</v>
      </c>
    </row>
    <row r="333" spans="5:6" x14ac:dyDescent="0.3">
      <c r="E333" s="27" t="s">
        <v>498</v>
      </c>
      <c r="F333" s="27" t="s">
        <v>325</v>
      </c>
    </row>
    <row r="334" spans="5:6" x14ac:dyDescent="0.3">
      <c r="E334" s="27" t="s">
        <v>499</v>
      </c>
      <c r="F334" s="27" t="s">
        <v>80</v>
      </c>
    </row>
    <row r="335" spans="5:6" x14ac:dyDescent="0.3">
      <c r="E335" s="27" t="s">
        <v>500</v>
      </c>
      <c r="F335" s="27" t="s">
        <v>178</v>
      </c>
    </row>
    <row r="336" spans="5:6" x14ac:dyDescent="0.3">
      <c r="E336" s="27" t="s">
        <v>501</v>
      </c>
      <c r="F336" s="27" t="s">
        <v>193</v>
      </c>
    </row>
    <row r="337" spans="5:6" x14ac:dyDescent="0.3">
      <c r="E337" s="27" t="s">
        <v>106</v>
      </c>
      <c r="F337" s="27" t="s">
        <v>403</v>
      </c>
    </row>
    <row r="338" spans="5:6" x14ac:dyDescent="0.3">
      <c r="E338" s="27" t="s">
        <v>502</v>
      </c>
      <c r="F338" s="27" t="s">
        <v>403</v>
      </c>
    </row>
    <row r="339" spans="5:6" x14ac:dyDescent="0.3">
      <c r="E339" s="27" t="s">
        <v>108</v>
      </c>
      <c r="F339" s="27" t="s">
        <v>403</v>
      </c>
    </row>
    <row r="340" spans="5:6" x14ac:dyDescent="0.3">
      <c r="E340" s="27" t="s">
        <v>503</v>
      </c>
      <c r="F340" s="27" t="s">
        <v>403</v>
      </c>
    </row>
    <row r="341" spans="5:6" x14ac:dyDescent="0.3">
      <c r="E341" s="27" t="s">
        <v>504</v>
      </c>
      <c r="F341" s="27" t="s">
        <v>173</v>
      </c>
    </row>
    <row r="342" spans="5:6" x14ac:dyDescent="0.3">
      <c r="E342" s="27" t="s">
        <v>505</v>
      </c>
      <c r="F342" s="27" t="s">
        <v>193</v>
      </c>
    </row>
    <row r="343" spans="5:6" x14ac:dyDescent="0.3">
      <c r="E343" s="27" t="s">
        <v>109</v>
      </c>
      <c r="F343" s="27" t="s">
        <v>83</v>
      </c>
    </row>
    <row r="344" spans="5:6" x14ac:dyDescent="0.3">
      <c r="E344" s="27" t="s">
        <v>506</v>
      </c>
      <c r="F344" s="27" t="s">
        <v>178</v>
      </c>
    </row>
    <row r="345" spans="5:6" x14ac:dyDescent="0.3">
      <c r="E345" s="27" t="s">
        <v>507</v>
      </c>
      <c r="F345" s="27" t="s">
        <v>80</v>
      </c>
    </row>
    <row r="346" spans="5:6" x14ac:dyDescent="0.3">
      <c r="E346" s="27" t="s">
        <v>508</v>
      </c>
      <c r="F346" s="27" t="s">
        <v>193</v>
      </c>
    </row>
    <row r="347" spans="5:6" x14ac:dyDescent="0.3">
      <c r="E347" s="27" t="s">
        <v>509</v>
      </c>
      <c r="F347" s="27" t="s">
        <v>178</v>
      </c>
    </row>
    <row r="348" spans="5:6" x14ac:dyDescent="0.3">
      <c r="E348" s="27" t="s">
        <v>510</v>
      </c>
      <c r="F348" s="27" t="s">
        <v>178</v>
      </c>
    </row>
    <row r="349" spans="5:6" x14ac:dyDescent="0.3">
      <c r="E349" s="27" t="s">
        <v>511</v>
      </c>
      <c r="F349" s="27" t="s">
        <v>178</v>
      </c>
    </row>
    <row r="350" spans="5:6" x14ac:dyDescent="0.3">
      <c r="E350" s="27" t="s">
        <v>512</v>
      </c>
      <c r="F350" s="27" t="s">
        <v>178</v>
      </c>
    </row>
    <row r="351" spans="5:6" x14ac:dyDescent="0.3">
      <c r="E351" s="27" t="s">
        <v>513</v>
      </c>
      <c r="F351" s="27" t="s">
        <v>178</v>
      </c>
    </row>
    <row r="352" spans="5:6" x14ac:dyDescent="0.3">
      <c r="E352" s="27" t="s">
        <v>514</v>
      </c>
      <c r="F352" s="27" t="s">
        <v>193</v>
      </c>
    </row>
    <row r="353" spans="5:6" x14ac:dyDescent="0.3">
      <c r="E353" s="27" t="s">
        <v>515</v>
      </c>
      <c r="F353" s="27" t="s">
        <v>83</v>
      </c>
    </row>
    <row r="354" spans="5:6" x14ac:dyDescent="0.3">
      <c r="E354" s="27" t="s">
        <v>516</v>
      </c>
      <c r="F354" s="27" t="s">
        <v>178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hangedData/>
</file>

<file path=customXml/itemProps1.xml><?xml version="1.0" encoding="utf-8"?>
<ds:datastoreItem xmlns:ds="http://schemas.openxmlformats.org/officeDocument/2006/customXml" ds:itemID="{ECCDB02C-55BE-4419-AF87-DCAFDA3B847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24</vt:i4>
      </vt:variant>
    </vt:vector>
  </HeadingPairs>
  <TitlesOfParts>
    <vt:vector size="27" baseType="lpstr">
      <vt:lpstr>Calculation</vt:lpstr>
      <vt:lpstr>Template</vt:lpstr>
      <vt:lpstr>Help Page</vt:lpstr>
      <vt:lpstr>acra_issuer</vt:lpstr>
      <vt:lpstr>axe1x_max</vt:lpstr>
      <vt:lpstr>axe1x_min</vt:lpstr>
      <vt:lpstr>axe1y_max</vt:lpstr>
      <vt:lpstr>axe1y_min</vt:lpstr>
      <vt:lpstr>axe2x_max</vt:lpstr>
      <vt:lpstr>axe2x_min</vt:lpstr>
      <vt:lpstr>axe2y_max</vt:lpstr>
      <vt:lpstr>axe2y_min</vt:lpstr>
      <vt:lpstr>axe2z_max</vt:lpstr>
      <vt:lpstr>axe2z_min</vt:lpstr>
      <vt:lpstr>betta</vt:lpstr>
      <vt:lpstr>chart1</vt:lpstr>
      <vt:lpstr>chart2</vt:lpstr>
      <vt:lpstr>Date</vt:lpstr>
      <vt:lpstr>expert_issuer</vt:lpstr>
      <vt:lpstr>free_float</vt:lpstr>
      <vt:lpstr>ISIN</vt:lpstr>
      <vt:lpstr>koef</vt:lpstr>
      <vt:lpstr>ncr_issuer</vt:lpstr>
      <vt:lpstr>r_issuer</vt:lpstr>
      <vt:lpstr>raex_issuer</vt:lpstr>
      <vt:lpstr>ratings_issuer</vt:lpstr>
      <vt:lpstr>tradings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Габов Максим Валерьевич</dc:creator>
  <cp:lastModifiedBy>Габов Максим Валерьевич</cp:lastModifiedBy>
  <dcterms:created xsi:type="dcterms:W3CDTF">2022-11-07T08:22:49Z</dcterms:created>
  <dcterms:modified xsi:type="dcterms:W3CDTF">2026-01-13T13:59:41Z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serDataId">
    <vt:lpwstr>{ECCDB02C-55BE-4419-AF87-DCAFDA3B8475}</vt:lpwstr>
  </property>
</Properties>
</file>